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Comparaison" sheetId="2" state="visible" r:id="rId2"/>
    <sheet xmlns:r="http://schemas.openxmlformats.org/officeDocument/2006/relationships" name="A_central" sheetId="3" state="visible" r:id="rId3"/>
    <sheet xmlns:r="http://schemas.openxmlformats.org/officeDocument/2006/relationships" name="A_prudent" sheetId="4" state="visible" r:id="rId4"/>
    <sheet xmlns:r="http://schemas.openxmlformats.org/officeDocument/2006/relationships" name="A_optimiste" sheetId="5" state="visible" r:id="rId5"/>
    <sheet xmlns:r="http://schemas.openxmlformats.org/officeDocument/2006/relationships" name="B_central" sheetId="6" state="visible" r:id="rId6"/>
    <sheet xmlns:r="http://schemas.openxmlformats.org/officeDocument/2006/relationships" name="B_prudent" sheetId="7" state="visible" r:id="rId7"/>
    <sheet xmlns:r="http://schemas.openxmlformats.org/officeDocument/2006/relationships" name="B_optimiste" sheetId="8" state="visible" r:id="rId8"/>
    <sheet xmlns:r="http://schemas.openxmlformats.org/officeDocument/2006/relationships" name="C_central" sheetId="9" state="visible" r:id="rId9"/>
    <sheet xmlns:r="http://schemas.openxmlformats.org/officeDocument/2006/relationships" name="C_prudent" sheetId="10" state="visible" r:id="rId10"/>
    <sheet xmlns:r="http://schemas.openxmlformats.org/officeDocument/2006/relationships" name="C_optimiste" sheetId="11" state="visible" r:id="rId11"/>
    <sheet xmlns:r="http://schemas.openxmlformats.org/officeDocument/2006/relationships" name="B_sans_dette" sheetId="12" state="visible" r:id="rId12"/>
    <sheet xmlns:r="http://schemas.openxmlformats.org/officeDocument/2006/relationships" name="B_frugal" sheetId="13" state="visible" r:id="rId13"/>
    <sheet xmlns:r="http://schemas.openxmlformats.org/officeDocument/2006/relationships" name="B_frugal_sans_dette" sheetId="14" state="visible" r:id="rId14"/>
    <sheet xmlns:r="http://schemas.openxmlformats.org/officeDocument/2006/relationships" name="C_frugal_holding" sheetId="15" state="visible" r:id="rId15"/>
    <sheet xmlns:r="http://schemas.openxmlformats.org/officeDocument/2006/relationships" name="C_cible" sheetId="16" state="visible" r:id="rId16"/>
    <sheet xmlns:r="http://schemas.openxmlformats.org/officeDocument/2006/relationships" name="D_bien_modeste" sheetId="17" state="visible" r:id="rId17"/>
    <sheet xmlns:r="http://schemas.openxmlformats.org/officeDocument/2006/relationships" name="A_frugal" sheetId="18" state="visible" r:id="rId18"/>
    <sheet xmlns:r="http://schemas.openxmlformats.org/officeDocument/2006/relationships" name="S_Bfsd_CA-30" sheetId="19" state="visible" r:id="rId19"/>
    <sheet xmlns:r="http://schemas.openxmlformats.org/officeDocument/2006/relationships" name="S_Bfsd_Travaux+30" sheetId="20" state="visible" r:id="rId20"/>
    <sheet xmlns:r="http://schemas.openxmlformats.org/officeDocument/2006/relationships" name="S_Bfsd_Retard12m" sheetId="21" state="visible" r:id="rId21"/>
    <sheet xmlns:r="http://schemas.openxmlformats.org/officeDocument/2006/relationships" name="S_Bfsd_Taux+2pts" sheetId="22" state="visible" r:id="rId22"/>
    <sheet xmlns:r="http://schemas.openxmlformats.org/officeDocument/2006/relationships" name="S_Bfsd_RetraitInv50" sheetId="23" state="visible" r:id="rId23"/>
    <sheet xmlns:r="http://schemas.openxmlformats.org/officeDocument/2006/relationships" name="S_Bfsd_Annul40evt" sheetId="24" state="visible" r:id="rId24"/>
    <sheet xmlns:r="http://schemas.openxmlformats.org/officeDocument/2006/relationships" name="S_Bfsd_Cumul" sheetId="25" state="visible" r:id="rId25"/>
    <sheet xmlns:r="http://schemas.openxmlformats.org/officeDocument/2006/relationships" name="S_Ccib_CA-30" sheetId="26" state="visible" r:id="rId26"/>
    <sheet xmlns:r="http://schemas.openxmlformats.org/officeDocument/2006/relationships" name="S_Ccib_Travaux+30" sheetId="27" state="visible" r:id="rId27"/>
    <sheet xmlns:r="http://schemas.openxmlformats.org/officeDocument/2006/relationships" name="S_Ccib_Retard12m" sheetId="28" state="visible" r:id="rId28"/>
    <sheet xmlns:r="http://schemas.openxmlformats.org/officeDocument/2006/relationships" name="S_Ccib_Taux+2pts" sheetId="29" state="visible" r:id="rId29"/>
    <sheet xmlns:r="http://schemas.openxmlformats.org/officeDocument/2006/relationships" name="S_Ccib_RetraitInv50" sheetId="30" state="visible" r:id="rId30"/>
    <sheet xmlns:r="http://schemas.openxmlformats.org/officeDocument/2006/relationships" name="S_Ccib_Annul40evt" sheetId="31" state="visible" r:id="rId31"/>
    <sheet xmlns:r="http://schemas.openxmlformats.org/officeDocument/2006/relationships" name="S_Ccib_Cumul" sheetId="32" state="visible" r:id="rId32"/>
    <sheet xmlns:r="http://schemas.openxmlformats.org/officeDocument/2006/relationships" name="Sources_hypotheses" sheetId="33" state="visible" r:id="rId33"/>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6">
    <font>
      <name val="Calibri"/>
      <family val="2"/>
      <color theme="1"/>
      <sz val="11"/>
      <scheme val="minor"/>
    </font>
    <font>
      <b val="1"/>
      <sz val="14"/>
    </font>
    <font>
      <b val="1"/>
      <sz val="13"/>
    </font>
    <font>
      <i val="1"/>
    </font>
    <font>
      <b val="1"/>
    </font>
    <font>
      <color rgb="000000CC"/>
    </font>
  </fonts>
  <fills count="4">
    <fill>
      <patternFill/>
    </fill>
    <fill>
      <patternFill patternType="gray125"/>
    </fill>
    <fill>
      <patternFill patternType="solid">
        <fgColor rgb="00DDE7F0"/>
      </patternFill>
    </fill>
    <fill>
      <patternFill patternType="solid">
        <fgColor rgb="00FFF6D5"/>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pivotButton="0" quotePrefix="0" xfId="0"/>
    <xf numFmtId="0" fontId="4" fillId="0" borderId="0" pivotButton="0" quotePrefix="0" xfId="0"/>
    <xf numFmtId="164" fontId="0" fillId="0" borderId="0" pivotButton="0" quotePrefix="0" xfId="0"/>
    <xf numFmtId="165" fontId="0" fillId="0" borderId="0" pivotButton="0" quotePrefix="0" xfId="0"/>
    <xf numFmtId="2" fontId="0" fillId="0" borderId="0" pivotButton="0" quotePrefix="0" xfId="0"/>
    <xf numFmtId="1" fontId="0" fillId="0" borderId="0" pivotButton="0" quotePrefix="0" xfId="0"/>
    <xf numFmtId="0" fontId="3" fillId="0" borderId="0" pivotButton="0" quotePrefix="0" xfId="0"/>
    <xf numFmtId="0" fontId="4" fillId="2" borderId="0" pivotButton="0" quotePrefix="0" xfId="0"/>
    <xf numFmtId="0" fontId="0" fillId="2" borderId="0" pivotButton="0" quotePrefix="0" xfId="0"/>
    <xf numFmtId="164" fontId="5" fillId="3" borderId="0" pivotButton="0" quotePrefix="0" xfId="0"/>
    <xf numFmtId="165" fontId="5" fillId="3" borderId="0" pivotButton="0" quotePrefix="0" xfId="0"/>
    <xf numFmtId="3" fontId="5" fillId="3" borderId="0" pivotButton="0" quotePrefix="0" xfId="0"/>
    <xf numFmtId="0" fontId="5" fillId="3" borderId="0" pivotButton="0" quotePrefix="0" xfId="0"/>
    <xf numFmtId="166" fontId="0"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Opération Château — Prévisionnels 10 ans (scénarios A, B, C, cas prudent / central / optimiste, stress tests)</t>
        </is>
      </c>
    </row>
    <row r="2">
      <c r="A2" s="2" t="inlineStr">
        <is>
          <t>Généré le 2026-10-14 par build_model.py à partir de hypotheses.py. Toutes les cellules de calcul sont des formules : modifiez les cellules jaunes (texte bleu) pour recalculer.</t>
        </is>
      </c>
    </row>
    <row r="3">
      <c r="A3" s="2" t="inlineStr">
        <is>
          <t>AVERTISSEMENT : aucun chiffre de ce fichier n'est une donnée vérifiée sur un bien réel. Les prix de pension, de mariage, de gîte et les taux viennent d'extraits de recherche web (pages non ouvertes : accès bloqué par l'environnement) ; les charges du château, les travaux, les volumes et les loyers sont des ESTIMATIONS. Colonne D / G de chaque feuille = statut de l'hypothèse.</t>
        </is>
      </c>
    </row>
    <row r="4">
      <c r="A4" s="2" t="inlineStr">
        <is>
          <t>Bien de référence pour A et B : profil type 'château + ~40-60 ha + écuries existantes' à ~2,65 M€ (ordre de grandeur de l'annonce d'Ygrande (03) relevée par l'agent 1, disponibilité NON vérifiée). Ce n'est pas une recommandation d'achat de ce bien.</t>
        </is>
      </c>
    </row>
    <row r="5">
      <c r="A5" s="2" t="inlineStr">
        <is>
          <t>Scénario A — Château équestre événementiel : le cheval (pension premium, écurie pro, ventes privées, concours, réceptions équestres) est le moteur principal.</t>
        </is>
      </c>
    </row>
    <row r="6">
      <c r="A6" s="2" t="inlineStr">
        <is>
          <t>Scénario B — Château premium multiactivité : base équestre (pension) + mariages + journées d'étude + gîtes + tournages.</t>
        </is>
      </c>
    </row>
    <row r="7">
      <c r="A7" s="2" t="inlineStr">
        <is>
          <t>Scénario C — Acquisition progressive : années 1-4 exploitation d'un domaine loué (loyer), acquisition en année 5 financée surtout par les fonds propres d'une holding du fondateur (alimentée par des reprises de PME — NON acquis, à démontrer).</t>
        </is>
      </c>
    </row>
    <row r="8">
      <c r="A8" s="2" t="inlineStr">
        <is>
          <t>Feuille B_sans_dette : même exploitation que B_central mais acquisition 100 % en fonds propres — sert uniquement à tester si l'EXPLOITATION seule est autofinancée (hors dette).</t>
        </is>
      </c>
    </row>
    <row r="9">
      <c r="A9" s="2" t="inlineStr">
        <is>
          <t>Cas prudent / optimiste : dérivés du cas central (volumes, prix, charges, travaux, montée en charge) — voir feuille Sources_hypotheses.</t>
        </is>
      </c>
    </row>
    <row r="10">
      <c r="A10" s="2" t="inlineStr">
        <is>
          <t>Stress tests (feuilles S_Bfsd_* = B frugal sans dette, S_Ccib_* = C cible) : appliqués aux deux seules configurations non déficitaires — CA −30 %, travaux +30 %, ouverture retardée de 12 mois, taux +2 points, retrait de 50 % des fonds investisseurs, annulation de 40 % des événements, et un cumul.</t>
        </is>
      </c>
    </row>
    <row r="11">
      <c r="A11" s="2" t="inlineStr">
        <is>
          <t>Simplifications : IS à 25 % sans taux réduit de 15 % ni plafonnement de l'imputation des déficits ; TVA neutre (montants HT) ; amortissement bâti 30 ans / travaux 15 ans ; pas de dividendes avant la sortie ; valeur de sortie = % du coût historique (hypothèse, les châteaux se revendent souvent sous leur coût de restauration).</t>
        </is>
      </c>
    </row>
    <row r="12">
      <c r="A12" s="2" t="inlineStr">
        <is>
          <t>Verdict automatique : VIABLE si trésorerie jamais négative, trésorerie an 10 ≥ réserve cible, DSCR ≥ 1,2 sur les années 4-10 et cash-flow libre d'exploitation ≥ 0 sur les années 4-10. Sinon FRAGILE ou NON VIABLE.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3" t="inlineStr">
        <is>
          <t>Comparaison des scénarios et stress tests (valeurs liées aux feuilles)</t>
        </is>
      </c>
    </row>
    <row r="3">
      <c r="A3" s="4" t="inlineStr">
        <is>
          <t>Feuille</t>
        </is>
      </c>
      <c r="B3" s="4" t="inlineStr">
        <is>
          <t>Emplois totaux</t>
        </is>
      </c>
      <c r="C3" s="4" t="inlineStr">
        <is>
          <t>Ressources prévues</t>
        </is>
      </c>
      <c r="D3" s="4" t="inlineStr">
        <is>
          <t>CA an 5</t>
        </is>
      </c>
      <c r="E3" s="4" t="inlineStr">
        <is>
          <t>EBITDA an 5</t>
        </is>
      </c>
      <c r="F3" s="4" t="inlineStr">
        <is>
          <t>EBITDA an 10</t>
        </is>
      </c>
      <c r="G3" s="4" t="inlineStr">
        <is>
          <t>Part équestre CA an 5</t>
        </is>
      </c>
      <c r="H3" s="4" t="inlineStr">
        <is>
          <t>Trésorerie min.</t>
        </is>
      </c>
      <c r="I3" s="4" t="inlineStr">
        <is>
          <t>Trésorerie an 10</t>
        </is>
      </c>
      <c r="J3" s="4" t="inlineStr">
        <is>
          <t>DSCR min. an 4–10</t>
        </is>
      </c>
      <c r="K3" s="4" t="inlineStr">
        <is>
          <t>Années FCF &lt; 0</t>
        </is>
      </c>
      <c r="L3" s="4" t="inlineStr">
        <is>
          <t>Dette soutenable</t>
        </is>
      </c>
      <c r="M3" s="4" t="inlineStr">
        <is>
          <t>Fonds propres nécessaires</t>
        </is>
      </c>
      <c r="N3" s="4" t="inlineStr">
        <is>
          <t>TRI investisseurs</t>
        </is>
      </c>
      <c r="O3" s="4" t="inlineStr">
        <is>
          <t>TRI fondateur</t>
        </is>
      </c>
      <c r="P3" s="4" t="inlineStr">
        <is>
          <t>Capital fondateur</t>
        </is>
      </c>
      <c r="Q3" s="4" t="inlineStr">
        <is>
          <t>Votes fondateur</t>
        </is>
      </c>
      <c r="R3" s="4" t="inlineStr">
        <is>
          <t>Verdict</t>
        </is>
      </c>
    </row>
    <row r="4">
      <c r="A4" t="inlineStr">
        <is>
          <t>A_central</t>
        </is>
      </c>
      <c r="B4" s="5">
        <f>'A_central'!$B$177</f>
        <v/>
      </c>
      <c r="C4" s="5">
        <f>'A_central'!$B$178</f>
        <v/>
      </c>
      <c r="D4" s="5">
        <f>'A_central'!$B$179</f>
        <v/>
      </c>
      <c r="E4" s="5">
        <f>'A_central'!$B$180</f>
        <v/>
      </c>
      <c r="F4" s="5">
        <f>'A_central'!$B$181</f>
        <v/>
      </c>
      <c r="G4" s="6">
        <f>'A_central'!$B$182</f>
        <v/>
      </c>
      <c r="H4" s="5">
        <f>'A_central'!$B$183</f>
        <v/>
      </c>
      <c r="I4" s="5">
        <f>'A_central'!$B$184</f>
        <v/>
      </c>
      <c r="J4" s="7">
        <f>'A_central'!$B$185</f>
        <v/>
      </c>
      <c r="K4" s="8">
        <f>'A_central'!$B$186</f>
        <v/>
      </c>
      <c r="L4" s="5">
        <f>'A_central'!$B$189</f>
        <v/>
      </c>
      <c r="M4" s="5">
        <f>'A_central'!$B$190</f>
        <v/>
      </c>
      <c r="N4" s="6">
        <f>'A_central'!$B$187</f>
        <v/>
      </c>
      <c r="O4" s="6">
        <f>'A_central'!$B$188</f>
        <v/>
      </c>
      <c r="P4" s="6">
        <f>'A_central'!$B$191</f>
        <v/>
      </c>
      <c r="Q4" s="6">
        <f>'A_central'!$B$192</f>
        <v/>
      </c>
      <c r="R4">
        <f>'A_central'!$B$193</f>
        <v/>
      </c>
    </row>
    <row r="5">
      <c r="A5" t="inlineStr">
        <is>
          <t>A_prudent</t>
        </is>
      </c>
      <c r="B5" s="5">
        <f>'A_prudent'!$B$177</f>
        <v/>
      </c>
      <c r="C5" s="5">
        <f>'A_prudent'!$B$178</f>
        <v/>
      </c>
      <c r="D5" s="5">
        <f>'A_prudent'!$B$179</f>
        <v/>
      </c>
      <c r="E5" s="5">
        <f>'A_prudent'!$B$180</f>
        <v/>
      </c>
      <c r="F5" s="5">
        <f>'A_prudent'!$B$181</f>
        <v/>
      </c>
      <c r="G5" s="6">
        <f>'A_prudent'!$B$182</f>
        <v/>
      </c>
      <c r="H5" s="5">
        <f>'A_prudent'!$B$183</f>
        <v/>
      </c>
      <c r="I5" s="5">
        <f>'A_prudent'!$B$184</f>
        <v/>
      </c>
      <c r="J5" s="7">
        <f>'A_prudent'!$B$185</f>
        <v/>
      </c>
      <c r="K5" s="8">
        <f>'A_prudent'!$B$186</f>
        <v/>
      </c>
      <c r="L5" s="5">
        <f>'A_prudent'!$B$189</f>
        <v/>
      </c>
      <c r="M5" s="5">
        <f>'A_prudent'!$B$190</f>
        <v/>
      </c>
      <c r="N5" s="6">
        <f>'A_prudent'!$B$187</f>
        <v/>
      </c>
      <c r="O5" s="6">
        <f>'A_prudent'!$B$188</f>
        <v/>
      </c>
      <c r="P5" s="6">
        <f>'A_prudent'!$B$191</f>
        <v/>
      </c>
      <c r="Q5" s="6">
        <f>'A_prudent'!$B$192</f>
        <v/>
      </c>
      <c r="R5">
        <f>'A_prudent'!$B$193</f>
        <v/>
      </c>
    </row>
    <row r="6">
      <c r="A6" t="inlineStr">
        <is>
          <t>A_optimiste</t>
        </is>
      </c>
      <c r="B6" s="5">
        <f>'A_optimiste'!$B$177</f>
        <v/>
      </c>
      <c r="C6" s="5">
        <f>'A_optimiste'!$B$178</f>
        <v/>
      </c>
      <c r="D6" s="5">
        <f>'A_optimiste'!$B$179</f>
        <v/>
      </c>
      <c r="E6" s="5">
        <f>'A_optimiste'!$B$180</f>
        <v/>
      </c>
      <c r="F6" s="5">
        <f>'A_optimiste'!$B$181</f>
        <v/>
      </c>
      <c r="G6" s="6">
        <f>'A_optimiste'!$B$182</f>
        <v/>
      </c>
      <c r="H6" s="5">
        <f>'A_optimiste'!$B$183</f>
        <v/>
      </c>
      <c r="I6" s="5">
        <f>'A_optimiste'!$B$184</f>
        <v/>
      </c>
      <c r="J6" s="7">
        <f>'A_optimiste'!$B$185</f>
        <v/>
      </c>
      <c r="K6" s="8">
        <f>'A_optimiste'!$B$186</f>
        <v/>
      </c>
      <c r="L6" s="5">
        <f>'A_optimiste'!$B$189</f>
        <v/>
      </c>
      <c r="M6" s="5">
        <f>'A_optimiste'!$B$190</f>
        <v/>
      </c>
      <c r="N6" s="6">
        <f>'A_optimiste'!$B$187</f>
        <v/>
      </c>
      <c r="O6" s="6">
        <f>'A_optimiste'!$B$188</f>
        <v/>
      </c>
      <c r="P6" s="6">
        <f>'A_optimiste'!$B$191</f>
        <v/>
      </c>
      <c r="Q6" s="6">
        <f>'A_optimiste'!$B$192</f>
        <v/>
      </c>
      <c r="R6">
        <f>'A_optimiste'!$B$193</f>
        <v/>
      </c>
    </row>
    <row r="7">
      <c r="A7" t="inlineStr">
        <is>
          <t>B_central</t>
        </is>
      </c>
      <c r="B7" s="5">
        <f>'B_central'!$B$173</f>
        <v/>
      </c>
      <c r="C7" s="5">
        <f>'B_central'!$B$174</f>
        <v/>
      </c>
      <c r="D7" s="5">
        <f>'B_central'!$B$175</f>
        <v/>
      </c>
      <c r="E7" s="5">
        <f>'B_central'!$B$176</f>
        <v/>
      </c>
      <c r="F7" s="5">
        <f>'B_central'!$B$177</f>
        <v/>
      </c>
      <c r="G7" s="6">
        <f>'B_central'!$B$178</f>
        <v/>
      </c>
      <c r="H7" s="5">
        <f>'B_central'!$B$179</f>
        <v/>
      </c>
      <c r="I7" s="5">
        <f>'B_central'!$B$180</f>
        <v/>
      </c>
      <c r="J7" s="7">
        <f>'B_central'!$B$181</f>
        <v/>
      </c>
      <c r="K7" s="8">
        <f>'B_central'!$B$182</f>
        <v/>
      </c>
      <c r="L7" s="5">
        <f>'B_central'!$B$185</f>
        <v/>
      </c>
      <c r="M7" s="5">
        <f>'B_central'!$B$186</f>
        <v/>
      </c>
      <c r="N7" s="6">
        <f>'B_central'!$B$183</f>
        <v/>
      </c>
      <c r="O7" s="6">
        <f>'B_central'!$B$184</f>
        <v/>
      </c>
      <c r="P7" s="6">
        <f>'B_central'!$B$187</f>
        <v/>
      </c>
      <c r="Q7" s="6">
        <f>'B_central'!$B$188</f>
        <v/>
      </c>
      <c r="R7">
        <f>'B_central'!$B$189</f>
        <v/>
      </c>
    </row>
    <row r="8">
      <c r="A8" t="inlineStr">
        <is>
          <t>B_prudent</t>
        </is>
      </c>
      <c r="B8" s="5">
        <f>'B_prudent'!$B$173</f>
        <v/>
      </c>
      <c r="C8" s="5">
        <f>'B_prudent'!$B$174</f>
        <v/>
      </c>
      <c r="D8" s="5">
        <f>'B_prudent'!$B$175</f>
        <v/>
      </c>
      <c r="E8" s="5">
        <f>'B_prudent'!$B$176</f>
        <v/>
      </c>
      <c r="F8" s="5">
        <f>'B_prudent'!$B$177</f>
        <v/>
      </c>
      <c r="G8" s="6">
        <f>'B_prudent'!$B$178</f>
        <v/>
      </c>
      <c r="H8" s="5">
        <f>'B_prudent'!$B$179</f>
        <v/>
      </c>
      <c r="I8" s="5">
        <f>'B_prudent'!$B$180</f>
        <v/>
      </c>
      <c r="J8" s="7">
        <f>'B_prudent'!$B$181</f>
        <v/>
      </c>
      <c r="K8" s="8">
        <f>'B_prudent'!$B$182</f>
        <v/>
      </c>
      <c r="L8" s="5">
        <f>'B_prudent'!$B$185</f>
        <v/>
      </c>
      <c r="M8" s="5">
        <f>'B_prudent'!$B$186</f>
        <v/>
      </c>
      <c r="N8" s="6">
        <f>'B_prudent'!$B$183</f>
        <v/>
      </c>
      <c r="O8" s="6">
        <f>'B_prudent'!$B$184</f>
        <v/>
      </c>
      <c r="P8" s="6">
        <f>'B_prudent'!$B$187</f>
        <v/>
      </c>
      <c r="Q8" s="6">
        <f>'B_prudent'!$B$188</f>
        <v/>
      </c>
      <c r="R8">
        <f>'B_prudent'!$B$189</f>
        <v/>
      </c>
    </row>
    <row r="9">
      <c r="A9" t="inlineStr">
        <is>
          <t>B_optimiste</t>
        </is>
      </c>
      <c r="B9" s="5">
        <f>'B_optimiste'!$B$173</f>
        <v/>
      </c>
      <c r="C9" s="5">
        <f>'B_optimiste'!$B$174</f>
        <v/>
      </c>
      <c r="D9" s="5">
        <f>'B_optimiste'!$B$175</f>
        <v/>
      </c>
      <c r="E9" s="5">
        <f>'B_optimiste'!$B$176</f>
        <v/>
      </c>
      <c r="F9" s="5">
        <f>'B_optimiste'!$B$177</f>
        <v/>
      </c>
      <c r="G9" s="6">
        <f>'B_optimiste'!$B$178</f>
        <v/>
      </c>
      <c r="H9" s="5">
        <f>'B_optimiste'!$B$179</f>
        <v/>
      </c>
      <c r="I9" s="5">
        <f>'B_optimiste'!$B$180</f>
        <v/>
      </c>
      <c r="J9" s="7">
        <f>'B_optimiste'!$B$181</f>
        <v/>
      </c>
      <c r="K9" s="8">
        <f>'B_optimiste'!$B$182</f>
        <v/>
      </c>
      <c r="L9" s="5">
        <f>'B_optimiste'!$B$185</f>
        <v/>
      </c>
      <c r="M9" s="5">
        <f>'B_optimiste'!$B$186</f>
        <v/>
      </c>
      <c r="N9" s="6">
        <f>'B_optimiste'!$B$183</f>
        <v/>
      </c>
      <c r="O9" s="6">
        <f>'B_optimiste'!$B$184</f>
        <v/>
      </c>
      <c r="P9" s="6">
        <f>'B_optimiste'!$B$187</f>
        <v/>
      </c>
      <c r="Q9" s="6">
        <f>'B_optimiste'!$B$188</f>
        <v/>
      </c>
      <c r="R9">
        <f>'B_optimiste'!$B$189</f>
        <v/>
      </c>
    </row>
    <row r="10">
      <c r="A10" t="inlineStr">
        <is>
          <t>C_central</t>
        </is>
      </c>
      <c r="B10" s="5">
        <f>'C_central'!$B$173</f>
        <v/>
      </c>
      <c r="C10" s="5">
        <f>'C_central'!$B$174</f>
        <v/>
      </c>
      <c r="D10" s="5">
        <f>'C_central'!$B$175</f>
        <v/>
      </c>
      <c r="E10" s="5">
        <f>'C_central'!$B$176</f>
        <v/>
      </c>
      <c r="F10" s="5">
        <f>'C_central'!$B$177</f>
        <v/>
      </c>
      <c r="G10" s="6">
        <f>'C_central'!$B$178</f>
        <v/>
      </c>
      <c r="H10" s="5">
        <f>'C_central'!$B$179</f>
        <v/>
      </c>
      <c r="I10" s="5">
        <f>'C_central'!$B$180</f>
        <v/>
      </c>
      <c r="J10" s="7">
        <f>'C_central'!$B$181</f>
        <v/>
      </c>
      <c r="K10" s="8">
        <f>'C_central'!$B$182</f>
        <v/>
      </c>
      <c r="L10" s="5">
        <f>'C_central'!$B$185</f>
        <v/>
      </c>
      <c r="M10" s="5">
        <f>'C_central'!$B$186</f>
        <v/>
      </c>
      <c r="N10" s="6">
        <f>'C_central'!$B$183</f>
        <v/>
      </c>
      <c r="O10" s="6">
        <f>'C_central'!$B$184</f>
        <v/>
      </c>
      <c r="P10" s="6">
        <f>'C_central'!$B$187</f>
        <v/>
      </c>
      <c r="Q10" s="6">
        <f>'C_central'!$B$188</f>
        <v/>
      </c>
      <c r="R10">
        <f>'C_central'!$B$189</f>
        <v/>
      </c>
    </row>
    <row r="11">
      <c r="A11" t="inlineStr">
        <is>
          <t>C_prudent</t>
        </is>
      </c>
      <c r="B11" s="5">
        <f>'C_prudent'!$B$173</f>
        <v/>
      </c>
      <c r="C11" s="5">
        <f>'C_prudent'!$B$174</f>
        <v/>
      </c>
      <c r="D11" s="5">
        <f>'C_prudent'!$B$175</f>
        <v/>
      </c>
      <c r="E11" s="5">
        <f>'C_prudent'!$B$176</f>
        <v/>
      </c>
      <c r="F11" s="5">
        <f>'C_prudent'!$B$177</f>
        <v/>
      </c>
      <c r="G11" s="6">
        <f>'C_prudent'!$B$178</f>
        <v/>
      </c>
      <c r="H11" s="5">
        <f>'C_prudent'!$B$179</f>
        <v/>
      </c>
      <c r="I11" s="5">
        <f>'C_prudent'!$B$180</f>
        <v/>
      </c>
      <c r="J11" s="7">
        <f>'C_prudent'!$B$181</f>
        <v/>
      </c>
      <c r="K11" s="8">
        <f>'C_prudent'!$B$182</f>
        <v/>
      </c>
      <c r="L11" s="5">
        <f>'C_prudent'!$B$185</f>
        <v/>
      </c>
      <c r="M11" s="5">
        <f>'C_prudent'!$B$186</f>
        <v/>
      </c>
      <c r="N11" s="6">
        <f>'C_prudent'!$B$183</f>
        <v/>
      </c>
      <c r="O11" s="6">
        <f>'C_prudent'!$B$184</f>
        <v/>
      </c>
      <c r="P11" s="6">
        <f>'C_prudent'!$B$187</f>
        <v/>
      </c>
      <c r="Q11" s="6">
        <f>'C_prudent'!$B$188</f>
        <v/>
      </c>
      <c r="R11">
        <f>'C_prudent'!$B$189</f>
        <v/>
      </c>
    </row>
    <row r="12">
      <c r="A12" t="inlineStr">
        <is>
          <t>C_optimiste</t>
        </is>
      </c>
      <c r="B12" s="5">
        <f>'C_optimiste'!$B$173</f>
        <v/>
      </c>
      <c r="C12" s="5">
        <f>'C_optimiste'!$B$174</f>
        <v/>
      </c>
      <c r="D12" s="5">
        <f>'C_optimiste'!$B$175</f>
        <v/>
      </c>
      <c r="E12" s="5">
        <f>'C_optimiste'!$B$176</f>
        <v/>
      </c>
      <c r="F12" s="5">
        <f>'C_optimiste'!$B$177</f>
        <v/>
      </c>
      <c r="G12" s="6">
        <f>'C_optimiste'!$B$178</f>
        <v/>
      </c>
      <c r="H12" s="5">
        <f>'C_optimiste'!$B$179</f>
        <v/>
      </c>
      <c r="I12" s="5">
        <f>'C_optimiste'!$B$180</f>
        <v/>
      </c>
      <c r="J12" s="7">
        <f>'C_optimiste'!$B$181</f>
        <v/>
      </c>
      <c r="K12" s="8">
        <f>'C_optimiste'!$B$182</f>
        <v/>
      </c>
      <c r="L12" s="5">
        <f>'C_optimiste'!$B$185</f>
        <v/>
      </c>
      <c r="M12" s="5">
        <f>'C_optimiste'!$B$186</f>
        <v/>
      </c>
      <c r="N12" s="6">
        <f>'C_optimiste'!$B$183</f>
        <v/>
      </c>
      <c r="O12" s="6">
        <f>'C_optimiste'!$B$184</f>
        <v/>
      </c>
      <c r="P12" s="6">
        <f>'C_optimiste'!$B$187</f>
        <v/>
      </c>
      <c r="Q12" s="6">
        <f>'C_optimiste'!$B$188</f>
        <v/>
      </c>
      <c r="R12">
        <f>'C_optimiste'!$B$189</f>
        <v/>
      </c>
    </row>
    <row r="13">
      <c r="A13" t="inlineStr">
        <is>
          <t>B_sans_dette</t>
        </is>
      </c>
      <c r="B13" s="5">
        <f>'B_sans_dette'!$B$173</f>
        <v/>
      </c>
      <c r="C13" s="5">
        <f>'B_sans_dette'!$B$174</f>
        <v/>
      </c>
      <c r="D13" s="5">
        <f>'B_sans_dette'!$B$175</f>
        <v/>
      </c>
      <c r="E13" s="5">
        <f>'B_sans_dette'!$B$176</f>
        <v/>
      </c>
      <c r="F13" s="5">
        <f>'B_sans_dette'!$B$177</f>
        <v/>
      </c>
      <c r="G13" s="6">
        <f>'B_sans_dette'!$B$178</f>
        <v/>
      </c>
      <c r="H13" s="5">
        <f>'B_sans_dette'!$B$179</f>
        <v/>
      </c>
      <c r="I13" s="5">
        <f>'B_sans_dette'!$B$180</f>
        <v/>
      </c>
      <c r="J13" s="7">
        <f>'B_sans_dette'!$B$181</f>
        <v/>
      </c>
      <c r="K13" s="8">
        <f>'B_sans_dette'!$B$182</f>
        <v/>
      </c>
      <c r="L13" s="5">
        <f>'B_sans_dette'!$B$185</f>
        <v/>
      </c>
      <c r="M13" s="5">
        <f>'B_sans_dette'!$B$186</f>
        <v/>
      </c>
      <c r="N13" s="6">
        <f>'B_sans_dette'!$B$183</f>
        <v/>
      </c>
      <c r="O13" s="6">
        <f>'B_sans_dette'!$B$184</f>
        <v/>
      </c>
      <c r="P13" s="6">
        <f>'B_sans_dette'!$B$187</f>
        <v/>
      </c>
      <c r="Q13" s="6">
        <f>'B_sans_dette'!$B$188</f>
        <v/>
      </c>
      <c r="R13">
        <f>'B_sans_dette'!$B$189</f>
        <v/>
      </c>
    </row>
    <row r="14">
      <c r="A14" t="inlineStr">
        <is>
          <t>B_frugal</t>
        </is>
      </c>
      <c r="B14" s="5">
        <f>'B_frugal'!$B$167</f>
        <v/>
      </c>
      <c r="C14" s="5">
        <f>'B_frugal'!$B$168</f>
        <v/>
      </c>
      <c r="D14" s="5">
        <f>'B_frugal'!$B$169</f>
        <v/>
      </c>
      <c r="E14" s="5">
        <f>'B_frugal'!$B$170</f>
        <v/>
      </c>
      <c r="F14" s="5">
        <f>'B_frugal'!$B$171</f>
        <v/>
      </c>
      <c r="G14" s="6">
        <f>'B_frugal'!$B$172</f>
        <v/>
      </c>
      <c r="H14" s="5">
        <f>'B_frugal'!$B$173</f>
        <v/>
      </c>
      <c r="I14" s="5">
        <f>'B_frugal'!$B$174</f>
        <v/>
      </c>
      <c r="J14" s="7">
        <f>'B_frugal'!$B$175</f>
        <v/>
      </c>
      <c r="K14" s="8">
        <f>'B_frugal'!$B$176</f>
        <v/>
      </c>
      <c r="L14" s="5">
        <f>'B_frugal'!$B$179</f>
        <v/>
      </c>
      <c r="M14" s="5">
        <f>'B_frugal'!$B$180</f>
        <v/>
      </c>
      <c r="N14" s="6">
        <f>'B_frugal'!$B$177</f>
        <v/>
      </c>
      <c r="O14" s="6">
        <f>'B_frugal'!$B$178</f>
        <v/>
      </c>
      <c r="P14" s="6">
        <f>'B_frugal'!$B$181</f>
        <v/>
      </c>
      <c r="Q14" s="6">
        <f>'B_frugal'!$B$182</f>
        <v/>
      </c>
      <c r="R14">
        <f>'B_frugal'!$B$183</f>
        <v/>
      </c>
    </row>
    <row r="15">
      <c r="A15" t="inlineStr">
        <is>
          <t>B_frugal_sans_dette</t>
        </is>
      </c>
      <c r="B15" s="5">
        <f>'B_frugal_sans_dette'!$B$167</f>
        <v/>
      </c>
      <c r="C15" s="5">
        <f>'B_frugal_sans_dette'!$B$168</f>
        <v/>
      </c>
      <c r="D15" s="5">
        <f>'B_frugal_sans_dette'!$B$169</f>
        <v/>
      </c>
      <c r="E15" s="5">
        <f>'B_frugal_sans_dette'!$B$170</f>
        <v/>
      </c>
      <c r="F15" s="5">
        <f>'B_frugal_sans_dette'!$B$171</f>
        <v/>
      </c>
      <c r="G15" s="6">
        <f>'B_frugal_sans_dette'!$B$172</f>
        <v/>
      </c>
      <c r="H15" s="5">
        <f>'B_frugal_sans_dette'!$B$173</f>
        <v/>
      </c>
      <c r="I15" s="5">
        <f>'B_frugal_sans_dette'!$B$174</f>
        <v/>
      </c>
      <c r="J15" s="7">
        <f>'B_frugal_sans_dette'!$B$175</f>
        <v/>
      </c>
      <c r="K15" s="8">
        <f>'B_frugal_sans_dette'!$B$176</f>
        <v/>
      </c>
      <c r="L15" s="5">
        <f>'B_frugal_sans_dette'!$B$179</f>
        <v/>
      </c>
      <c r="M15" s="5">
        <f>'B_frugal_sans_dette'!$B$180</f>
        <v/>
      </c>
      <c r="N15" s="6">
        <f>'B_frugal_sans_dette'!$B$177</f>
        <v/>
      </c>
      <c r="O15" s="6">
        <f>'B_frugal_sans_dette'!$B$178</f>
        <v/>
      </c>
      <c r="P15" s="6">
        <f>'B_frugal_sans_dette'!$B$181</f>
        <v/>
      </c>
      <c r="Q15" s="6">
        <f>'B_frugal_sans_dette'!$B$182</f>
        <v/>
      </c>
      <c r="R15">
        <f>'B_frugal_sans_dette'!$B$183</f>
        <v/>
      </c>
    </row>
    <row r="16">
      <c r="A16" t="inlineStr">
        <is>
          <t>C_frugal_holding</t>
        </is>
      </c>
      <c r="B16" s="5">
        <f>'C_frugal_holding'!$B$167</f>
        <v/>
      </c>
      <c r="C16" s="5">
        <f>'C_frugal_holding'!$B$168</f>
        <v/>
      </c>
      <c r="D16" s="5">
        <f>'C_frugal_holding'!$B$169</f>
        <v/>
      </c>
      <c r="E16" s="5">
        <f>'C_frugal_holding'!$B$170</f>
        <v/>
      </c>
      <c r="F16" s="5">
        <f>'C_frugal_holding'!$B$171</f>
        <v/>
      </c>
      <c r="G16" s="6">
        <f>'C_frugal_holding'!$B$172</f>
        <v/>
      </c>
      <c r="H16" s="5">
        <f>'C_frugal_holding'!$B$173</f>
        <v/>
      </c>
      <c r="I16" s="5">
        <f>'C_frugal_holding'!$B$174</f>
        <v/>
      </c>
      <c r="J16" s="7">
        <f>'C_frugal_holding'!$B$175</f>
        <v/>
      </c>
      <c r="K16" s="8">
        <f>'C_frugal_holding'!$B$176</f>
        <v/>
      </c>
      <c r="L16" s="5">
        <f>'C_frugal_holding'!$B$179</f>
        <v/>
      </c>
      <c r="M16" s="5">
        <f>'C_frugal_holding'!$B$180</f>
        <v/>
      </c>
      <c r="N16" s="6">
        <f>'C_frugal_holding'!$B$177</f>
        <v/>
      </c>
      <c r="O16" s="6">
        <f>'C_frugal_holding'!$B$178</f>
        <v/>
      </c>
      <c r="P16" s="6">
        <f>'C_frugal_holding'!$B$181</f>
        <v/>
      </c>
      <c r="Q16" s="6">
        <f>'C_frugal_holding'!$B$182</f>
        <v/>
      </c>
      <c r="R16">
        <f>'C_frugal_holding'!$B$183</f>
        <v/>
      </c>
    </row>
    <row r="17">
      <c r="A17" t="inlineStr">
        <is>
          <t>C_cible</t>
        </is>
      </c>
      <c r="B17" s="5">
        <f>'C_cible'!$B$167</f>
        <v/>
      </c>
      <c r="C17" s="5">
        <f>'C_cible'!$B$168</f>
        <v/>
      </c>
      <c r="D17" s="5">
        <f>'C_cible'!$B$169</f>
        <v/>
      </c>
      <c r="E17" s="5">
        <f>'C_cible'!$B$170</f>
        <v/>
      </c>
      <c r="F17" s="5">
        <f>'C_cible'!$B$171</f>
        <v/>
      </c>
      <c r="G17" s="6">
        <f>'C_cible'!$B$172</f>
        <v/>
      </c>
      <c r="H17" s="5">
        <f>'C_cible'!$B$173</f>
        <v/>
      </c>
      <c r="I17" s="5">
        <f>'C_cible'!$B$174</f>
        <v/>
      </c>
      <c r="J17" s="7">
        <f>'C_cible'!$B$175</f>
        <v/>
      </c>
      <c r="K17" s="8">
        <f>'C_cible'!$B$176</f>
        <v/>
      </c>
      <c r="L17" s="5">
        <f>'C_cible'!$B$179</f>
        <v/>
      </c>
      <c r="M17" s="5">
        <f>'C_cible'!$B$180</f>
        <v/>
      </c>
      <c r="N17" s="6">
        <f>'C_cible'!$B$177</f>
        <v/>
      </c>
      <c r="O17" s="6">
        <f>'C_cible'!$B$178</f>
        <v/>
      </c>
      <c r="P17" s="6">
        <f>'C_cible'!$B$181</f>
        <v/>
      </c>
      <c r="Q17" s="6">
        <f>'C_cible'!$B$182</f>
        <v/>
      </c>
      <c r="R17">
        <f>'C_cible'!$B$183</f>
        <v/>
      </c>
    </row>
    <row r="18">
      <c r="A18" t="inlineStr">
        <is>
          <t>D_bien_modeste</t>
        </is>
      </c>
      <c r="B18" s="5">
        <f>'D_bien_modeste'!$B$167</f>
        <v/>
      </c>
      <c r="C18" s="5">
        <f>'D_bien_modeste'!$B$168</f>
        <v/>
      </c>
      <c r="D18" s="5">
        <f>'D_bien_modeste'!$B$169</f>
        <v/>
      </c>
      <c r="E18" s="5">
        <f>'D_bien_modeste'!$B$170</f>
        <v/>
      </c>
      <c r="F18" s="5">
        <f>'D_bien_modeste'!$B$171</f>
        <v/>
      </c>
      <c r="G18" s="6">
        <f>'D_bien_modeste'!$B$172</f>
        <v/>
      </c>
      <c r="H18" s="5">
        <f>'D_bien_modeste'!$B$173</f>
        <v/>
      </c>
      <c r="I18" s="5">
        <f>'D_bien_modeste'!$B$174</f>
        <v/>
      </c>
      <c r="J18" s="7">
        <f>'D_bien_modeste'!$B$175</f>
        <v/>
      </c>
      <c r="K18" s="8">
        <f>'D_bien_modeste'!$B$176</f>
        <v/>
      </c>
      <c r="L18" s="5">
        <f>'D_bien_modeste'!$B$179</f>
        <v/>
      </c>
      <c r="M18" s="5">
        <f>'D_bien_modeste'!$B$180</f>
        <v/>
      </c>
      <c r="N18" s="6">
        <f>'D_bien_modeste'!$B$177</f>
        <v/>
      </c>
      <c r="O18" s="6">
        <f>'D_bien_modeste'!$B$178</f>
        <v/>
      </c>
      <c r="P18" s="6">
        <f>'D_bien_modeste'!$B$181</f>
        <v/>
      </c>
      <c r="Q18" s="6">
        <f>'D_bien_modeste'!$B$182</f>
        <v/>
      </c>
      <c r="R18">
        <f>'D_bien_modeste'!$B$183</f>
        <v/>
      </c>
    </row>
    <row r="19">
      <c r="A19" t="inlineStr">
        <is>
          <t>A_frugal</t>
        </is>
      </c>
      <c r="B19" s="5">
        <f>'A_frugal'!$B$173</f>
        <v/>
      </c>
      <c r="C19" s="5">
        <f>'A_frugal'!$B$174</f>
        <v/>
      </c>
      <c r="D19" s="5">
        <f>'A_frugal'!$B$175</f>
        <v/>
      </c>
      <c r="E19" s="5">
        <f>'A_frugal'!$B$176</f>
        <v/>
      </c>
      <c r="F19" s="5">
        <f>'A_frugal'!$B$177</f>
        <v/>
      </c>
      <c r="G19" s="6">
        <f>'A_frugal'!$B$178</f>
        <v/>
      </c>
      <c r="H19" s="5">
        <f>'A_frugal'!$B$179</f>
        <v/>
      </c>
      <c r="I19" s="5">
        <f>'A_frugal'!$B$180</f>
        <v/>
      </c>
      <c r="J19" s="7">
        <f>'A_frugal'!$B$181</f>
        <v/>
      </c>
      <c r="K19" s="8">
        <f>'A_frugal'!$B$182</f>
        <v/>
      </c>
      <c r="L19" s="5">
        <f>'A_frugal'!$B$185</f>
        <v/>
      </c>
      <c r="M19" s="5">
        <f>'A_frugal'!$B$186</f>
        <v/>
      </c>
      <c r="N19" s="6">
        <f>'A_frugal'!$B$183</f>
        <v/>
      </c>
      <c r="O19" s="6">
        <f>'A_frugal'!$B$184</f>
        <v/>
      </c>
      <c r="P19" s="6">
        <f>'A_frugal'!$B$187</f>
        <v/>
      </c>
      <c r="Q19" s="6">
        <f>'A_frugal'!$B$188</f>
        <v/>
      </c>
      <c r="R19">
        <f>'A_frugal'!$B$189</f>
        <v/>
      </c>
    </row>
    <row r="20">
      <c r="A20" t="inlineStr">
        <is>
          <t>S_Bfsd_CA-30</t>
        </is>
      </c>
      <c r="B20" s="5">
        <f>'S_Bfsd_CA-30'!$B$167</f>
        <v/>
      </c>
      <c r="C20" s="5">
        <f>'S_Bfsd_CA-30'!$B$168</f>
        <v/>
      </c>
      <c r="D20" s="5">
        <f>'S_Bfsd_CA-30'!$B$169</f>
        <v/>
      </c>
      <c r="E20" s="5">
        <f>'S_Bfsd_CA-30'!$B$170</f>
        <v/>
      </c>
      <c r="F20" s="5">
        <f>'S_Bfsd_CA-30'!$B$171</f>
        <v/>
      </c>
      <c r="G20" s="6">
        <f>'S_Bfsd_CA-30'!$B$172</f>
        <v/>
      </c>
      <c r="H20" s="5">
        <f>'S_Bfsd_CA-30'!$B$173</f>
        <v/>
      </c>
      <c r="I20" s="5">
        <f>'S_Bfsd_CA-30'!$B$174</f>
        <v/>
      </c>
      <c r="J20" s="7">
        <f>'S_Bfsd_CA-30'!$B$175</f>
        <v/>
      </c>
      <c r="K20" s="8">
        <f>'S_Bfsd_CA-30'!$B$176</f>
        <v/>
      </c>
      <c r="L20" s="5">
        <f>'S_Bfsd_CA-30'!$B$179</f>
        <v/>
      </c>
      <c r="M20" s="5">
        <f>'S_Bfsd_CA-30'!$B$180</f>
        <v/>
      </c>
      <c r="N20" s="6">
        <f>'S_Bfsd_CA-30'!$B$177</f>
        <v/>
      </c>
      <c r="O20" s="6">
        <f>'S_Bfsd_CA-30'!$B$178</f>
        <v/>
      </c>
      <c r="P20" s="6">
        <f>'S_Bfsd_CA-30'!$B$181</f>
        <v/>
      </c>
      <c r="Q20" s="6">
        <f>'S_Bfsd_CA-30'!$B$182</f>
        <v/>
      </c>
      <c r="R20">
        <f>'S_Bfsd_CA-30'!$B$183</f>
        <v/>
      </c>
    </row>
    <row r="21">
      <c r="A21" t="inlineStr">
        <is>
          <t>S_Bfsd_Travaux+30</t>
        </is>
      </c>
      <c r="B21" s="5">
        <f>'S_Bfsd_Travaux+30'!$B$167</f>
        <v/>
      </c>
      <c r="C21" s="5">
        <f>'S_Bfsd_Travaux+30'!$B$168</f>
        <v/>
      </c>
      <c r="D21" s="5">
        <f>'S_Bfsd_Travaux+30'!$B$169</f>
        <v/>
      </c>
      <c r="E21" s="5">
        <f>'S_Bfsd_Travaux+30'!$B$170</f>
        <v/>
      </c>
      <c r="F21" s="5">
        <f>'S_Bfsd_Travaux+30'!$B$171</f>
        <v/>
      </c>
      <c r="G21" s="6">
        <f>'S_Bfsd_Travaux+30'!$B$172</f>
        <v/>
      </c>
      <c r="H21" s="5">
        <f>'S_Bfsd_Travaux+30'!$B$173</f>
        <v/>
      </c>
      <c r="I21" s="5">
        <f>'S_Bfsd_Travaux+30'!$B$174</f>
        <v/>
      </c>
      <c r="J21" s="7">
        <f>'S_Bfsd_Travaux+30'!$B$175</f>
        <v/>
      </c>
      <c r="K21" s="8">
        <f>'S_Bfsd_Travaux+30'!$B$176</f>
        <v/>
      </c>
      <c r="L21" s="5">
        <f>'S_Bfsd_Travaux+30'!$B$179</f>
        <v/>
      </c>
      <c r="M21" s="5">
        <f>'S_Bfsd_Travaux+30'!$B$180</f>
        <v/>
      </c>
      <c r="N21" s="6">
        <f>'S_Bfsd_Travaux+30'!$B$177</f>
        <v/>
      </c>
      <c r="O21" s="6">
        <f>'S_Bfsd_Travaux+30'!$B$178</f>
        <v/>
      </c>
      <c r="P21" s="6">
        <f>'S_Bfsd_Travaux+30'!$B$181</f>
        <v/>
      </c>
      <c r="Q21" s="6">
        <f>'S_Bfsd_Travaux+30'!$B$182</f>
        <v/>
      </c>
      <c r="R21">
        <f>'S_Bfsd_Travaux+30'!$B$183</f>
        <v/>
      </c>
    </row>
    <row r="22">
      <c r="A22" t="inlineStr">
        <is>
          <t>S_Bfsd_Retard12m</t>
        </is>
      </c>
      <c r="B22" s="5">
        <f>'S_Bfsd_Retard12m'!$B$167</f>
        <v/>
      </c>
      <c r="C22" s="5">
        <f>'S_Bfsd_Retard12m'!$B$168</f>
        <v/>
      </c>
      <c r="D22" s="5">
        <f>'S_Bfsd_Retard12m'!$B$169</f>
        <v/>
      </c>
      <c r="E22" s="5">
        <f>'S_Bfsd_Retard12m'!$B$170</f>
        <v/>
      </c>
      <c r="F22" s="5">
        <f>'S_Bfsd_Retard12m'!$B$171</f>
        <v/>
      </c>
      <c r="G22" s="6">
        <f>'S_Bfsd_Retard12m'!$B$172</f>
        <v/>
      </c>
      <c r="H22" s="5">
        <f>'S_Bfsd_Retard12m'!$B$173</f>
        <v/>
      </c>
      <c r="I22" s="5">
        <f>'S_Bfsd_Retard12m'!$B$174</f>
        <v/>
      </c>
      <c r="J22" s="7">
        <f>'S_Bfsd_Retard12m'!$B$175</f>
        <v/>
      </c>
      <c r="K22" s="8">
        <f>'S_Bfsd_Retard12m'!$B$176</f>
        <v/>
      </c>
      <c r="L22" s="5">
        <f>'S_Bfsd_Retard12m'!$B$179</f>
        <v/>
      </c>
      <c r="M22" s="5">
        <f>'S_Bfsd_Retard12m'!$B$180</f>
        <v/>
      </c>
      <c r="N22" s="6">
        <f>'S_Bfsd_Retard12m'!$B$177</f>
        <v/>
      </c>
      <c r="O22" s="6">
        <f>'S_Bfsd_Retard12m'!$B$178</f>
        <v/>
      </c>
      <c r="P22" s="6">
        <f>'S_Bfsd_Retard12m'!$B$181</f>
        <v/>
      </c>
      <c r="Q22" s="6">
        <f>'S_Bfsd_Retard12m'!$B$182</f>
        <v/>
      </c>
      <c r="R22">
        <f>'S_Bfsd_Retard12m'!$B$183</f>
        <v/>
      </c>
    </row>
    <row r="23">
      <c r="A23" t="inlineStr">
        <is>
          <t>S_Bfsd_Taux+2pts</t>
        </is>
      </c>
      <c r="B23" s="5">
        <f>'S_Bfsd_Taux+2pts'!$B$167</f>
        <v/>
      </c>
      <c r="C23" s="5">
        <f>'S_Bfsd_Taux+2pts'!$B$168</f>
        <v/>
      </c>
      <c r="D23" s="5">
        <f>'S_Bfsd_Taux+2pts'!$B$169</f>
        <v/>
      </c>
      <c r="E23" s="5">
        <f>'S_Bfsd_Taux+2pts'!$B$170</f>
        <v/>
      </c>
      <c r="F23" s="5">
        <f>'S_Bfsd_Taux+2pts'!$B$171</f>
        <v/>
      </c>
      <c r="G23" s="6">
        <f>'S_Bfsd_Taux+2pts'!$B$172</f>
        <v/>
      </c>
      <c r="H23" s="5">
        <f>'S_Bfsd_Taux+2pts'!$B$173</f>
        <v/>
      </c>
      <c r="I23" s="5">
        <f>'S_Bfsd_Taux+2pts'!$B$174</f>
        <v/>
      </c>
      <c r="J23" s="7">
        <f>'S_Bfsd_Taux+2pts'!$B$175</f>
        <v/>
      </c>
      <c r="K23" s="8">
        <f>'S_Bfsd_Taux+2pts'!$B$176</f>
        <v/>
      </c>
      <c r="L23" s="5">
        <f>'S_Bfsd_Taux+2pts'!$B$179</f>
        <v/>
      </c>
      <c r="M23" s="5">
        <f>'S_Bfsd_Taux+2pts'!$B$180</f>
        <v/>
      </c>
      <c r="N23" s="6">
        <f>'S_Bfsd_Taux+2pts'!$B$177</f>
        <v/>
      </c>
      <c r="O23" s="6">
        <f>'S_Bfsd_Taux+2pts'!$B$178</f>
        <v/>
      </c>
      <c r="P23" s="6">
        <f>'S_Bfsd_Taux+2pts'!$B$181</f>
        <v/>
      </c>
      <c r="Q23" s="6">
        <f>'S_Bfsd_Taux+2pts'!$B$182</f>
        <v/>
      </c>
      <c r="R23">
        <f>'S_Bfsd_Taux+2pts'!$B$183</f>
        <v/>
      </c>
    </row>
    <row r="24">
      <c r="A24" t="inlineStr">
        <is>
          <t>S_Bfsd_RetraitInv50</t>
        </is>
      </c>
      <c r="B24" s="5">
        <f>'S_Bfsd_RetraitInv50'!$B$167</f>
        <v/>
      </c>
      <c r="C24" s="5">
        <f>'S_Bfsd_RetraitInv50'!$B$168</f>
        <v/>
      </c>
      <c r="D24" s="5">
        <f>'S_Bfsd_RetraitInv50'!$B$169</f>
        <v/>
      </c>
      <c r="E24" s="5">
        <f>'S_Bfsd_RetraitInv50'!$B$170</f>
        <v/>
      </c>
      <c r="F24" s="5">
        <f>'S_Bfsd_RetraitInv50'!$B$171</f>
        <v/>
      </c>
      <c r="G24" s="6">
        <f>'S_Bfsd_RetraitInv50'!$B$172</f>
        <v/>
      </c>
      <c r="H24" s="5">
        <f>'S_Bfsd_RetraitInv50'!$B$173</f>
        <v/>
      </c>
      <c r="I24" s="5">
        <f>'S_Bfsd_RetraitInv50'!$B$174</f>
        <v/>
      </c>
      <c r="J24" s="7">
        <f>'S_Bfsd_RetraitInv50'!$B$175</f>
        <v/>
      </c>
      <c r="K24" s="8">
        <f>'S_Bfsd_RetraitInv50'!$B$176</f>
        <v/>
      </c>
      <c r="L24" s="5">
        <f>'S_Bfsd_RetraitInv50'!$B$179</f>
        <v/>
      </c>
      <c r="M24" s="5">
        <f>'S_Bfsd_RetraitInv50'!$B$180</f>
        <v/>
      </c>
      <c r="N24" s="6">
        <f>'S_Bfsd_RetraitInv50'!$B$177</f>
        <v/>
      </c>
      <c r="O24" s="6">
        <f>'S_Bfsd_RetraitInv50'!$B$178</f>
        <v/>
      </c>
      <c r="P24" s="6">
        <f>'S_Bfsd_RetraitInv50'!$B$181</f>
        <v/>
      </c>
      <c r="Q24" s="6">
        <f>'S_Bfsd_RetraitInv50'!$B$182</f>
        <v/>
      </c>
      <c r="R24">
        <f>'S_Bfsd_RetraitInv50'!$B$183</f>
        <v/>
      </c>
    </row>
    <row r="25">
      <c r="A25" t="inlineStr">
        <is>
          <t>S_Bfsd_Annul40evt</t>
        </is>
      </c>
      <c r="B25" s="5">
        <f>'S_Bfsd_Annul40evt'!$B$167</f>
        <v/>
      </c>
      <c r="C25" s="5">
        <f>'S_Bfsd_Annul40evt'!$B$168</f>
        <v/>
      </c>
      <c r="D25" s="5">
        <f>'S_Bfsd_Annul40evt'!$B$169</f>
        <v/>
      </c>
      <c r="E25" s="5">
        <f>'S_Bfsd_Annul40evt'!$B$170</f>
        <v/>
      </c>
      <c r="F25" s="5">
        <f>'S_Bfsd_Annul40evt'!$B$171</f>
        <v/>
      </c>
      <c r="G25" s="6">
        <f>'S_Bfsd_Annul40evt'!$B$172</f>
        <v/>
      </c>
      <c r="H25" s="5">
        <f>'S_Bfsd_Annul40evt'!$B$173</f>
        <v/>
      </c>
      <c r="I25" s="5">
        <f>'S_Bfsd_Annul40evt'!$B$174</f>
        <v/>
      </c>
      <c r="J25" s="7">
        <f>'S_Bfsd_Annul40evt'!$B$175</f>
        <v/>
      </c>
      <c r="K25" s="8">
        <f>'S_Bfsd_Annul40evt'!$B$176</f>
        <v/>
      </c>
      <c r="L25" s="5">
        <f>'S_Bfsd_Annul40evt'!$B$179</f>
        <v/>
      </c>
      <c r="M25" s="5">
        <f>'S_Bfsd_Annul40evt'!$B$180</f>
        <v/>
      </c>
      <c r="N25" s="6">
        <f>'S_Bfsd_Annul40evt'!$B$177</f>
        <v/>
      </c>
      <c r="O25" s="6">
        <f>'S_Bfsd_Annul40evt'!$B$178</f>
        <v/>
      </c>
      <c r="P25" s="6">
        <f>'S_Bfsd_Annul40evt'!$B$181</f>
        <v/>
      </c>
      <c r="Q25" s="6">
        <f>'S_Bfsd_Annul40evt'!$B$182</f>
        <v/>
      </c>
      <c r="R25">
        <f>'S_Bfsd_Annul40evt'!$B$183</f>
        <v/>
      </c>
    </row>
    <row r="26">
      <c r="A26" t="inlineStr">
        <is>
          <t>S_Bfsd_Cumul</t>
        </is>
      </c>
      <c r="B26" s="5">
        <f>'S_Bfsd_Cumul'!$B$167</f>
        <v/>
      </c>
      <c r="C26" s="5">
        <f>'S_Bfsd_Cumul'!$B$168</f>
        <v/>
      </c>
      <c r="D26" s="5">
        <f>'S_Bfsd_Cumul'!$B$169</f>
        <v/>
      </c>
      <c r="E26" s="5">
        <f>'S_Bfsd_Cumul'!$B$170</f>
        <v/>
      </c>
      <c r="F26" s="5">
        <f>'S_Bfsd_Cumul'!$B$171</f>
        <v/>
      </c>
      <c r="G26" s="6">
        <f>'S_Bfsd_Cumul'!$B$172</f>
        <v/>
      </c>
      <c r="H26" s="5">
        <f>'S_Bfsd_Cumul'!$B$173</f>
        <v/>
      </c>
      <c r="I26" s="5">
        <f>'S_Bfsd_Cumul'!$B$174</f>
        <v/>
      </c>
      <c r="J26" s="7">
        <f>'S_Bfsd_Cumul'!$B$175</f>
        <v/>
      </c>
      <c r="K26" s="8">
        <f>'S_Bfsd_Cumul'!$B$176</f>
        <v/>
      </c>
      <c r="L26" s="5">
        <f>'S_Bfsd_Cumul'!$B$179</f>
        <v/>
      </c>
      <c r="M26" s="5">
        <f>'S_Bfsd_Cumul'!$B$180</f>
        <v/>
      </c>
      <c r="N26" s="6">
        <f>'S_Bfsd_Cumul'!$B$177</f>
        <v/>
      </c>
      <c r="O26" s="6">
        <f>'S_Bfsd_Cumul'!$B$178</f>
        <v/>
      </c>
      <c r="P26" s="6">
        <f>'S_Bfsd_Cumul'!$B$181</f>
        <v/>
      </c>
      <c r="Q26" s="6">
        <f>'S_Bfsd_Cumul'!$B$182</f>
        <v/>
      </c>
      <c r="R26">
        <f>'S_Bfsd_Cumul'!$B$183</f>
        <v/>
      </c>
    </row>
    <row r="27">
      <c r="A27" t="inlineStr">
        <is>
          <t>S_Ccib_CA-30</t>
        </is>
      </c>
      <c r="B27" s="5">
        <f>'S_Ccib_CA-30'!$B$167</f>
        <v/>
      </c>
      <c r="C27" s="5">
        <f>'S_Ccib_CA-30'!$B$168</f>
        <v/>
      </c>
      <c r="D27" s="5">
        <f>'S_Ccib_CA-30'!$B$169</f>
        <v/>
      </c>
      <c r="E27" s="5">
        <f>'S_Ccib_CA-30'!$B$170</f>
        <v/>
      </c>
      <c r="F27" s="5">
        <f>'S_Ccib_CA-30'!$B$171</f>
        <v/>
      </c>
      <c r="G27" s="6">
        <f>'S_Ccib_CA-30'!$B$172</f>
        <v/>
      </c>
      <c r="H27" s="5">
        <f>'S_Ccib_CA-30'!$B$173</f>
        <v/>
      </c>
      <c r="I27" s="5">
        <f>'S_Ccib_CA-30'!$B$174</f>
        <v/>
      </c>
      <c r="J27" s="7">
        <f>'S_Ccib_CA-30'!$B$175</f>
        <v/>
      </c>
      <c r="K27" s="8">
        <f>'S_Ccib_CA-30'!$B$176</f>
        <v/>
      </c>
      <c r="L27" s="5">
        <f>'S_Ccib_CA-30'!$B$179</f>
        <v/>
      </c>
      <c r="M27" s="5">
        <f>'S_Ccib_CA-30'!$B$180</f>
        <v/>
      </c>
      <c r="N27" s="6">
        <f>'S_Ccib_CA-30'!$B$177</f>
        <v/>
      </c>
      <c r="O27" s="6">
        <f>'S_Ccib_CA-30'!$B$178</f>
        <v/>
      </c>
      <c r="P27" s="6">
        <f>'S_Ccib_CA-30'!$B$181</f>
        <v/>
      </c>
      <c r="Q27" s="6">
        <f>'S_Ccib_CA-30'!$B$182</f>
        <v/>
      </c>
      <c r="R27">
        <f>'S_Ccib_CA-30'!$B$183</f>
        <v/>
      </c>
    </row>
    <row r="28">
      <c r="A28" t="inlineStr">
        <is>
          <t>S_Ccib_Travaux+30</t>
        </is>
      </c>
      <c r="B28" s="5">
        <f>'S_Ccib_Travaux+30'!$B$167</f>
        <v/>
      </c>
      <c r="C28" s="5">
        <f>'S_Ccib_Travaux+30'!$B$168</f>
        <v/>
      </c>
      <c r="D28" s="5">
        <f>'S_Ccib_Travaux+30'!$B$169</f>
        <v/>
      </c>
      <c r="E28" s="5">
        <f>'S_Ccib_Travaux+30'!$B$170</f>
        <v/>
      </c>
      <c r="F28" s="5">
        <f>'S_Ccib_Travaux+30'!$B$171</f>
        <v/>
      </c>
      <c r="G28" s="6">
        <f>'S_Ccib_Travaux+30'!$B$172</f>
        <v/>
      </c>
      <c r="H28" s="5">
        <f>'S_Ccib_Travaux+30'!$B$173</f>
        <v/>
      </c>
      <c r="I28" s="5">
        <f>'S_Ccib_Travaux+30'!$B$174</f>
        <v/>
      </c>
      <c r="J28" s="7">
        <f>'S_Ccib_Travaux+30'!$B$175</f>
        <v/>
      </c>
      <c r="K28" s="8">
        <f>'S_Ccib_Travaux+30'!$B$176</f>
        <v/>
      </c>
      <c r="L28" s="5">
        <f>'S_Ccib_Travaux+30'!$B$179</f>
        <v/>
      </c>
      <c r="M28" s="5">
        <f>'S_Ccib_Travaux+30'!$B$180</f>
        <v/>
      </c>
      <c r="N28" s="6">
        <f>'S_Ccib_Travaux+30'!$B$177</f>
        <v/>
      </c>
      <c r="O28" s="6">
        <f>'S_Ccib_Travaux+30'!$B$178</f>
        <v/>
      </c>
      <c r="P28" s="6">
        <f>'S_Ccib_Travaux+30'!$B$181</f>
        <v/>
      </c>
      <c r="Q28" s="6">
        <f>'S_Ccib_Travaux+30'!$B$182</f>
        <v/>
      </c>
      <c r="R28">
        <f>'S_Ccib_Travaux+30'!$B$183</f>
        <v/>
      </c>
    </row>
    <row r="29">
      <c r="A29" t="inlineStr">
        <is>
          <t>S_Ccib_Retard12m</t>
        </is>
      </c>
      <c r="B29" s="5">
        <f>'S_Ccib_Retard12m'!$B$167</f>
        <v/>
      </c>
      <c r="C29" s="5">
        <f>'S_Ccib_Retard12m'!$B$168</f>
        <v/>
      </c>
      <c r="D29" s="5">
        <f>'S_Ccib_Retard12m'!$B$169</f>
        <v/>
      </c>
      <c r="E29" s="5">
        <f>'S_Ccib_Retard12m'!$B$170</f>
        <v/>
      </c>
      <c r="F29" s="5">
        <f>'S_Ccib_Retard12m'!$B$171</f>
        <v/>
      </c>
      <c r="G29" s="6">
        <f>'S_Ccib_Retard12m'!$B$172</f>
        <v/>
      </c>
      <c r="H29" s="5">
        <f>'S_Ccib_Retard12m'!$B$173</f>
        <v/>
      </c>
      <c r="I29" s="5">
        <f>'S_Ccib_Retard12m'!$B$174</f>
        <v/>
      </c>
      <c r="J29" s="7">
        <f>'S_Ccib_Retard12m'!$B$175</f>
        <v/>
      </c>
      <c r="K29" s="8">
        <f>'S_Ccib_Retard12m'!$B$176</f>
        <v/>
      </c>
      <c r="L29" s="5">
        <f>'S_Ccib_Retard12m'!$B$179</f>
        <v/>
      </c>
      <c r="M29" s="5">
        <f>'S_Ccib_Retard12m'!$B$180</f>
        <v/>
      </c>
      <c r="N29" s="6">
        <f>'S_Ccib_Retard12m'!$B$177</f>
        <v/>
      </c>
      <c r="O29" s="6">
        <f>'S_Ccib_Retard12m'!$B$178</f>
        <v/>
      </c>
      <c r="P29" s="6">
        <f>'S_Ccib_Retard12m'!$B$181</f>
        <v/>
      </c>
      <c r="Q29" s="6">
        <f>'S_Ccib_Retard12m'!$B$182</f>
        <v/>
      </c>
      <c r="R29">
        <f>'S_Ccib_Retard12m'!$B$183</f>
        <v/>
      </c>
    </row>
    <row r="30">
      <c r="A30" t="inlineStr">
        <is>
          <t>S_Ccib_Taux+2pts</t>
        </is>
      </c>
      <c r="B30" s="5">
        <f>'S_Ccib_Taux+2pts'!$B$167</f>
        <v/>
      </c>
      <c r="C30" s="5">
        <f>'S_Ccib_Taux+2pts'!$B$168</f>
        <v/>
      </c>
      <c r="D30" s="5">
        <f>'S_Ccib_Taux+2pts'!$B$169</f>
        <v/>
      </c>
      <c r="E30" s="5">
        <f>'S_Ccib_Taux+2pts'!$B$170</f>
        <v/>
      </c>
      <c r="F30" s="5">
        <f>'S_Ccib_Taux+2pts'!$B$171</f>
        <v/>
      </c>
      <c r="G30" s="6">
        <f>'S_Ccib_Taux+2pts'!$B$172</f>
        <v/>
      </c>
      <c r="H30" s="5">
        <f>'S_Ccib_Taux+2pts'!$B$173</f>
        <v/>
      </c>
      <c r="I30" s="5">
        <f>'S_Ccib_Taux+2pts'!$B$174</f>
        <v/>
      </c>
      <c r="J30" s="7">
        <f>'S_Ccib_Taux+2pts'!$B$175</f>
        <v/>
      </c>
      <c r="K30" s="8">
        <f>'S_Ccib_Taux+2pts'!$B$176</f>
        <v/>
      </c>
      <c r="L30" s="5">
        <f>'S_Ccib_Taux+2pts'!$B$179</f>
        <v/>
      </c>
      <c r="M30" s="5">
        <f>'S_Ccib_Taux+2pts'!$B$180</f>
        <v/>
      </c>
      <c r="N30" s="6">
        <f>'S_Ccib_Taux+2pts'!$B$177</f>
        <v/>
      </c>
      <c r="O30" s="6">
        <f>'S_Ccib_Taux+2pts'!$B$178</f>
        <v/>
      </c>
      <c r="P30" s="6">
        <f>'S_Ccib_Taux+2pts'!$B$181</f>
        <v/>
      </c>
      <c r="Q30" s="6">
        <f>'S_Ccib_Taux+2pts'!$B$182</f>
        <v/>
      </c>
      <c r="R30">
        <f>'S_Ccib_Taux+2pts'!$B$183</f>
        <v/>
      </c>
    </row>
    <row r="31">
      <c r="A31" t="inlineStr">
        <is>
          <t>S_Ccib_RetraitInv50</t>
        </is>
      </c>
      <c r="B31" s="5">
        <f>'S_Ccib_RetraitInv50'!$B$167</f>
        <v/>
      </c>
      <c r="C31" s="5">
        <f>'S_Ccib_RetraitInv50'!$B$168</f>
        <v/>
      </c>
      <c r="D31" s="5">
        <f>'S_Ccib_RetraitInv50'!$B$169</f>
        <v/>
      </c>
      <c r="E31" s="5">
        <f>'S_Ccib_RetraitInv50'!$B$170</f>
        <v/>
      </c>
      <c r="F31" s="5">
        <f>'S_Ccib_RetraitInv50'!$B$171</f>
        <v/>
      </c>
      <c r="G31" s="6">
        <f>'S_Ccib_RetraitInv50'!$B$172</f>
        <v/>
      </c>
      <c r="H31" s="5">
        <f>'S_Ccib_RetraitInv50'!$B$173</f>
        <v/>
      </c>
      <c r="I31" s="5">
        <f>'S_Ccib_RetraitInv50'!$B$174</f>
        <v/>
      </c>
      <c r="J31" s="7">
        <f>'S_Ccib_RetraitInv50'!$B$175</f>
        <v/>
      </c>
      <c r="K31" s="8">
        <f>'S_Ccib_RetraitInv50'!$B$176</f>
        <v/>
      </c>
      <c r="L31" s="5">
        <f>'S_Ccib_RetraitInv50'!$B$179</f>
        <v/>
      </c>
      <c r="M31" s="5">
        <f>'S_Ccib_RetraitInv50'!$B$180</f>
        <v/>
      </c>
      <c r="N31" s="6">
        <f>'S_Ccib_RetraitInv50'!$B$177</f>
        <v/>
      </c>
      <c r="O31" s="6">
        <f>'S_Ccib_RetraitInv50'!$B$178</f>
        <v/>
      </c>
      <c r="P31" s="6">
        <f>'S_Ccib_RetraitInv50'!$B$181</f>
        <v/>
      </c>
      <c r="Q31" s="6">
        <f>'S_Ccib_RetraitInv50'!$B$182</f>
        <v/>
      </c>
      <c r="R31">
        <f>'S_Ccib_RetraitInv50'!$B$183</f>
        <v/>
      </c>
    </row>
    <row r="32">
      <c r="A32" t="inlineStr">
        <is>
          <t>S_Ccib_Annul40evt</t>
        </is>
      </c>
      <c r="B32" s="5">
        <f>'S_Ccib_Annul40evt'!$B$167</f>
        <v/>
      </c>
      <c r="C32" s="5">
        <f>'S_Ccib_Annul40evt'!$B$168</f>
        <v/>
      </c>
      <c r="D32" s="5">
        <f>'S_Ccib_Annul40evt'!$B$169</f>
        <v/>
      </c>
      <c r="E32" s="5">
        <f>'S_Ccib_Annul40evt'!$B$170</f>
        <v/>
      </c>
      <c r="F32" s="5">
        <f>'S_Ccib_Annul40evt'!$B$171</f>
        <v/>
      </c>
      <c r="G32" s="6">
        <f>'S_Ccib_Annul40evt'!$B$172</f>
        <v/>
      </c>
      <c r="H32" s="5">
        <f>'S_Ccib_Annul40evt'!$B$173</f>
        <v/>
      </c>
      <c r="I32" s="5">
        <f>'S_Ccib_Annul40evt'!$B$174</f>
        <v/>
      </c>
      <c r="J32" s="7">
        <f>'S_Ccib_Annul40evt'!$B$175</f>
        <v/>
      </c>
      <c r="K32" s="8">
        <f>'S_Ccib_Annul40evt'!$B$176</f>
        <v/>
      </c>
      <c r="L32" s="5">
        <f>'S_Ccib_Annul40evt'!$B$179</f>
        <v/>
      </c>
      <c r="M32" s="5">
        <f>'S_Ccib_Annul40evt'!$B$180</f>
        <v/>
      </c>
      <c r="N32" s="6">
        <f>'S_Ccib_Annul40evt'!$B$177</f>
        <v/>
      </c>
      <c r="O32" s="6">
        <f>'S_Ccib_Annul40evt'!$B$178</f>
        <v/>
      </c>
      <c r="P32" s="6">
        <f>'S_Ccib_Annul40evt'!$B$181</f>
        <v/>
      </c>
      <c r="Q32" s="6">
        <f>'S_Ccib_Annul40evt'!$B$182</f>
        <v/>
      </c>
      <c r="R32">
        <f>'S_Ccib_Annul40evt'!$B$183</f>
        <v/>
      </c>
    </row>
    <row r="33">
      <c r="A33" t="inlineStr">
        <is>
          <t>S_Ccib_Cumul</t>
        </is>
      </c>
      <c r="B33" s="5">
        <f>'S_Ccib_Cumul'!$B$167</f>
        <v/>
      </c>
      <c r="C33" s="5">
        <f>'S_Ccib_Cumul'!$B$168</f>
        <v/>
      </c>
      <c r="D33" s="5">
        <f>'S_Ccib_Cumul'!$B$169</f>
        <v/>
      </c>
      <c r="E33" s="5">
        <f>'S_Ccib_Cumul'!$B$170</f>
        <v/>
      </c>
      <c r="F33" s="5">
        <f>'S_Ccib_Cumul'!$B$171</f>
        <v/>
      </c>
      <c r="G33" s="6">
        <f>'S_Ccib_Cumul'!$B$172</f>
        <v/>
      </c>
      <c r="H33" s="5">
        <f>'S_Ccib_Cumul'!$B$173</f>
        <v/>
      </c>
      <c r="I33" s="5">
        <f>'S_Ccib_Cumul'!$B$174</f>
        <v/>
      </c>
      <c r="J33" s="7">
        <f>'S_Ccib_Cumul'!$B$175</f>
        <v/>
      </c>
      <c r="K33" s="8">
        <f>'S_Ccib_Cumul'!$B$176</f>
        <v/>
      </c>
      <c r="L33" s="5">
        <f>'S_Ccib_Cumul'!$B$179</f>
        <v/>
      </c>
      <c r="M33" s="5">
        <f>'S_Ccib_Cumul'!$B$180</f>
        <v/>
      </c>
      <c r="N33" s="6">
        <f>'S_Ccib_Cumul'!$B$177</f>
        <v/>
      </c>
      <c r="O33" s="6">
        <f>'S_Ccib_Cumul'!$B$178</f>
        <v/>
      </c>
      <c r="P33" s="6">
        <f>'S_Ccib_Cumul'!$B$181</f>
        <v/>
      </c>
      <c r="Q33" s="6">
        <f>'S_Ccib_Cumul'!$B$182</f>
        <v/>
      </c>
      <c r="R33">
        <f>'S_Ccib_Cumul'!$B$183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 agent d'entretien (1 ETP chargé)</t>
        </is>
      </c>
      <c r="B75" s="12" t="n">
        <v>40000</v>
      </c>
      <c r="C75" s="15" t="n">
        <v>1</v>
      </c>
      <c r="G75" t="inlineStr">
        <is>
          <t>ESTIMATION 35-45 k€ (agent 4)</t>
        </is>
      </c>
    </row>
    <row r="76">
      <c r="A76" t="inlineStr">
        <is>
          <t>Parc, haies, clôtures, petit entretien</t>
        </is>
      </c>
      <c r="B76" s="12" t="n">
        <v>15000</v>
      </c>
      <c r="C76" s="15" t="n">
        <v>1</v>
      </c>
      <c r="G76" t="inlineStr">
        <is>
          <t>ESTIMATION</t>
        </is>
      </c>
    </row>
    <row r="77">
      <c r="A77" t="inlineStr">
        <is>
          <t>Soigneurs (3 ETP chargés)</t>
        </is>
      </c>
      <c r="B77" s="12" t="n">
        <v>75000</v>
      </c>
      <c r="C77" s="15" t="n">
        <v>0</v>
      </c>
      <c r="G77" t="inlineStr">
        <is>
          <t>1 ETP/15-19 équidés [A3-27] ; ~50 chevaux</t>
        </is>
      </c>
    </row>
    <row r="78">
      <c r="A78" t="inlineStr">
        <is>
          <t>Responsable d'écurie (1 ETP chargé)</t>
        </is>
      </c>
      <c r="B78" s="12" t="n">
        <v>35000</v>
      </c>
      <c r="C78" s="15" t="n">
        <v>0</v>
      </c>
      <c r="G78" t="inlineStr">
        <is>
          <t>ESTIMATION</t>
        </is>
      </c>
    </row>
    <row r="79">
      <c r="A79" t="inlineStr">
        <is>
          <t>Commercial, marketing, site, salons</t>
        </is>
      </c>
      <c r="B79" s="12" t="n">
        <v>15000</v>
      </c>
      <c r="C79" s="15" t="n">
        <v>0</v>
      </c>
      <c r="G79" t="inlineStr">
        <is>
          <t>ESTIMATION</t>
        </is>
      </c>
    </row>
    <row r="80">
      <c r="A80" t="inlineStr">
        <is>
          <t>Comptabilité, juridique, banque, logiciels</t>
        </is>
      </c>
      <c r="B80" s="12" t="n">
        <v>15000</v>
      </c>
      <c r="C80" s="15" t="n">
        <v>0</v>
      </c>
      <c r="G80" t="inlineStr">
        <is>
          <t>ESTIMATION</t>
        </is>
      </c>
    </row>
    <row r="81">
      <c r="A81" t="inlineStr">
        <is>
          <t>Entretien installations équestres, matériel, véhicules</t>
        </is>
      </c>
      <c r="B81" s="12" t="n">
        <v>12000</v>
      </c>
      <c r="C81" s="15" t="n">
        <v>0</v>
      </c>
      <c r="G81" t="inlineStr">
        <is>
          <t>ESTIMATION</t>
        </is>
      </c>
    </row>
    <row r="82">
      <c r="A82" t="inlineStr">
        <is>
          <t>Rémunération du dirigeant (chargée)</t>
        </is>
      </c>
      <c r="B82" s="12" t="n">
        <v>30000</v>
      </c>
      <c r="C82" s="15" t="n">
        <v>0</v>
      </c>
      <c r="G82" t="inlineStr">
        <is>
          <t>Hypothèse minimale ; le dirigeant paie 24 k€ de loyer privé</t>
        </is>
      </c>
    </row>
    <row r="83">
      <c r="A83" t="inlineStr">
        <is>
          <t>Organisation événements équestres (prestataires fixes, sono, secours)</t>
        </is>
      </c>
      <c r="B83" s="12" t="n">
        <v>10000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720000</v>
      </c>
      <c r="C10" t="inlineStr">
        <is>
          <t>€</t>
        </is>
      </c>
      <c r="D10" t="inlineStr">
        <is>
          <t>ESTIMATION sans visite ni devis (agent 1 : 0,3-1,2 M€ pour un domaine déjà équipé)</t>
        </is>
      </c>
    </row>
    <row r="11">
      <c r="A11" t="inlineStr">
        <is>
          <t>Investissements équestres (boxes, carrière, manège…)</t>
        </is>
      </c>
      <c r="B11" s="12" t="n">
        <v>540000</v>
      </c>
      <c r="C11" t="inlineStr">
        <is>
          <t>€</t>
        </is>
      </c>
      <c r="D11" t="inlineStr">
        <is>
          <t>ESTIMATION : manège haut de gamme 150 k€ + boxes/carrière/paddocks (agent 3)</t>
        </is>
      </c>
    </row>
    <row r="12">
      <c r="A12" t="inlineStr">
        <is>
          <t>Investissements événementiel / hébergement</t>
        </is>
      </c>
      <c r="B12" s="12" t="n">
        <v>144000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0.4</v>
      </c>
      <c r="C48" t="inlineStr">
        <is>
          <t>%</t>
        </is>
      </c>
      <c r="D48" t="inlineStr">
        <is>
          <t>Cas prudent</t>
        </is>
      </c>
    </row>
    <row r="49">
      <c r="A49" t="inlineStr">
        <is>
          <t>Montée en charge : 2e année</t>
        </is>
      </c>
      <c r="B49" s="13" t="n">
        <v>0.6</v>
      </c>
      <c r="C49" t="inlineStr">
        <is>
          <t>%</t>
        </is>
      </c>
      <c r="D49" t="inlineStr">
        <is>
          <t>Cas prudent</t>
        </is>
      </c>
    </row>
    <row r="50">
      <c r="A50" t="inlineStr">
        <is>
          <t>Montée en charge : 3e année</t>
        </is>
      </c>
      <c r="B50" s="13" t="n">
        <v>0.8</v>
      </c>
      <c r="C50" t="inlineStr">
        <is>
          <t>%</t>
        </is>
      </c>
      <c r="D50" t="inlineStr">
        <is>
          <t>Cas prudent</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17.6</v>
      </c>
      <c r="C58" s="12" t="n">
        <v>6072</v>
      </c>
      <c r="D58" s="13" t="n">
        <v>0.27</v>
      </c>
      <c r="E58" s="15" t="n">
        <v>0</v>
      </c>
      <c r="F58" s="15" t="n">
        <v>1</v>
      </c>
      <c r="G58" t="inlineStr">
        <is>
          <t>24 boxes × 90 % ; 550 €/mois ESTIMATION centrale (fourchette sourcée 430-700 €)</t>
        </is>
      </c>
    </row>
    <row r="59">
      <c r="A59" t="inlineStr">
        <is>
          <t>Écurie louée à un cavalier pro (boxes/an)</t>
        </is>
      </c>
      <c r="B59" s="14" t="n">
        <v>8</v>
      </c>
      <c r="C59" s="12" t="n">
        <v>2208</v>
      </c>
      <c r="D59" s="13" t="n">
        <v>0.1</v>
      </c>
      <c r="E59" s="15" t="n">
        <v>0</v>
      </c>
      <c r="F59" s="15" t="n">
        <v>1</v>
      </c>
      <c r="G59" t="inlineStr">
        <is>
          <t>200 €/box/mois ESTIMATION ; risque de requalification en bail rural (agent 3/6)</t>
        </is>
      </c>
    </row>
    <row r="60">
      <c r="A60" t="inlineStr">
        <is>
          <t>Pension au pré / retraite</t>
        </is>
      </c>
      <c r="B60" s="14" t="n">
        <v>14.4</v>
      </c>
      <c r="C60" s="12" t="n">
        <v>3091</v>
      </c>
      <c r="D60" s="13" t="n">
        <v>0.29</v>
      </c>
      <c r="E60" s="15" t="n">
        <v>0</v>
      </c>
      <c r="F60" s="15" t="n">
        <v>1</v>
      </c>
      <c r="G60" t="inlineStr">
        <is>
          <t>280 €/mois ; source faible</t>
        </is>
      </c>
    </row>
    <row r="61">
      <c r="A61" t="inlineStr">
        <is>
          <t>Ventes privées / showcases B2B</t>
        </is>
      </c>
      <c r="B61" s="14" t="n">
        <v>6.4</v>
      </c>
      <c r="C61" s="12" t="n">
        <v>4600</v>
      </c>
      <c r="D61" s="13" t="n">
        <v>0.3</v>
      </c>
      <c r="E61" s="15" t="n">
        <v>1</v>
      </c>
      <c r="F61" s="15" t="n">
        <v>1</v>
      </c>
      <c r="G61" t="inlineStr">
        <is>
          <t>ESTIMATION — aucune preuve de demande pour un lieu privé</t>
        </is>
      </c>
    </row>
    <row r="62">
      <c r="A62" t="inlineStr">
        <is>
          <t>Concours (CSO amateur, jours) — recettes</t>
        </is>
      </c>
      <c r="B62" s="14" t="n">
        <v>2.4</v>
      </c>
      <c r="C62" s="12" t="n">
        <v>7360</v>
      </c>
      <c r="D62" s="13" t="n">
        <v>0.85</v>
      </c>
      <c r="E62" s="15" t="n">
        <v>1</v>
      </c>
      <c r="F62" s="15" t="n">
        <v>1</v>
      </c>
      <c r="G62" t="inlineStr">
        <is>
          <t>Budget CSO INCONNU ; marge −5/+10 k€ par événement selon agent 3</t>
        </is>
      </c>
    </row>
    <row r="63">
      <c r="A63" t="inlineStr">
        <is>
          <t>Réceptions équestres (propriétaires, éleveurs, marques)</t>
        </is>
      </c>
      <c r="B63" s="14" t="n">
        <v>4.8</v>
      </c>
      <c r="C63" s="12" t="n">
        <v>3680</v>
      </c>
      <c r="D63" s="13" t="n">
        <v>0.35</v>
      </c>
      <c r="E63" s="15" t="n">
        <v>1</v>
      </c>
      <c r="F63" s="15" t="n">
        <v>1</v>
      </c>
      <c r="G63" t="inlineStr">
        <is>
          <t>ESTIMATION</t>
        </is>
      </c>
    </row>
    <row r="64">
      <c r="A64" t="inlineStr">
        <is>
          <t>Séjours / stages équestres haut de gamme</t>
        </is>
      </c>
      <c r="B64" s="14" t="n">
        <v>12</v>
      </c>
      <c r="C64" s="12" t="n">
        <v>828</v>
      </c>
      <c r="D64" s="13" t="n">
        <v>0.4</v>
      </c>
      <c r="E64" s="15" t="n">
        <v>0</v>
      </c>
      <c r="F64" s="15" t="n">
        <v>1</v>
      </c>
      <c r="G64" t="inlineStr">
        <is>
          <t>ESTIMATION, demande non démontrée</t>
        </is>
      </c>
    </row>
    <row r="65">
      <c r="A65" t="inlineStr">
        <is>
          <t>Gîte de prestige (semaines louées)</t>
        </is>
      </c>
      <c r="B65" s="14" t="n">
        <v>16</v>
      </c>
      <c r="C65" s="12" t="n">
        <v>920</v>
      </c>
      <c r="D65" s="13" t="n">
        <v>0.42</v>
      </c>
      <c r="E65" s="15" t="n">
        <v>0</v>
      </c>
      <c r="F65" s="15" t="n">
        <v>0</v>
      </c>
      <c r="G65" t="inlineStr">
        <is>
          <t>Cf. B</t>
        </is>
      </c>
    </row>
    <row r="66">
      <c r="A66" t="inlineStr">
        <is>
          <t>Tournages / shootings (jours)</t>
        </is>
      </c>
      <c r="B66" s="14" t="n">
        <v>3.2</v>
      </c>
      <c r="C66" s="12" t="n">
        <v>1840</v>
      </c>
      <c r="D66" s="13" t="n">
        <v>0.15</v>
      </c>
      <c r="E66" s="15" t="n">
        <v>1</v>
      </c>
      <c r="F66" s="15" t="n">
        <v>0</v>
      </c>
      <c r="G66" t="inlineStr">
        <is>
          <t>Cf. B</t>
        </is>
      </c>
    </row>
    <row r="67">
      <c r="A67" t="inlineStr">
        <is>
          <t>Valorisation des terres non pâturées (ha)</t>
        </is>
      </c>
      <c r="B67" s="14" t="n">
        <v>8</v>
      </c>
      <c r="C67" s="12" t="n">
        <v>138</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33000</v>
      </c>
      <c r="C72" s="15" t="n">
        <v>1</v>
      </c>
      <c r="G72" t="inlineStr">
        <is>
          <t>ESTIMATION 15-40 k€ (agent 4)</t>
        </is>
      </c>
    </row>
    <row r="73">
      <c r="A73" t="inlineStr">
        <is>
          <t>Assurances bâtiment + RC activités</t>
        </is>
      </c>
      <c r="B73" s="12" t="n">
        <v>16500</v>
      </c>
      <c r="C73" s="15" t="n">
        <v>1</v>
      </c>
      <c r="G73" t="inlineStr">
        <is>
          <t>ESTIMATION 5-15 k€ + RC ; devis à obtenir</t>
        </is>
      </c>
    </row>
    <row r="74">
      <c r="A74" t="inlineStr">
        <is>
          <t>Taxe foncière</t>
        </is>
      </c>
      <c r="B74" s="12" t="n">
        <v>16500</v>
      </c>
      <c r="C74" s="15" t="n">
        <v>1</v>
      </c>
      <c r="G74" t="inlineStr">
        <is>
          <t>INCONNU — demander l'avis d'imposition du vendeur</t>
        </is>
      </c>
    </row>
    <row r="75">
      <c r="A75" t="inlineStr">
        <is>
          <t>Jardinier / agent d'entretien (1 ETP chargé)</t>
        </is>
      </c>
      <c r="B75" s="12" t="n">
        <v>44000</v>
      </c>
      <c r="C75" s="15" t="n">
        <v>1</v>
      </c>
      <c r="G75" t="inlineStr">
        <is>
          <t>ESTIMATION 35-45 k€ (agent 4)</t>
        </is>
      </c>
    </row>
    <row r="76">
      <c r="A76" t="inlineStr">
        <is>
          <t>Parc, haies, clôtures, petit entretien</t>
        </is>
      </c>
      <c r="B76" s="12" t="n">
        <v>16500</v>
      </c>
      <c r="C76" s="15" t="n">
        <v>1</v>
      </c>
      <c r="G76" t="inlineStr">
        <is>
          <t>ESTIMATION</t>
        </is>
      </c>
    </row>
    <row r="77">
      <c r="A77" t="inlineStr">
        <is>
          <t>Soigneurs (3 ETP chargés)</t>
        </is>
      </c>
      <c r="B77" s="12" t="n">
        <v>82500</v>
      </c>
      <c r="C77" s="15" t="n">
        <v>0</v>
      </c>
      <c r="G77" t="inlineStr">
        <is>
          <t>1 ETP/15-19 équidés [A3-27] ; ~50 chevaux</t>
        </is>
      </c>
    </row>
    <row r="78">
      <c r="A78" t="inlineStr">
        <is>
          <t>Responsable d'écurie (1 ETP chargé)</t>
        </is>
      </c>
      <c r="B78" s="12" t="n">
        <v>38500</v>
      </c>
      <c r="C78" s="15" t="n">
        <v>0</v>
      </c>
      <c r="G78" t="inlineStr">
        <is>
          <t>ESTIMATION</t>
        </is>
      </c>
    </row>
    <row r="79">
      <c r="A79" t="inlineStr">
        <is>
          <t>Commercial, marketing, site, salons</t>
        </is>
      </c>
      <c r="B79" s="12" t="n">
        <v>16500</v>
      </c>
      <c r="C79" s="15" t="n">
        <v>0</v>
      </c>
      <c r="G79" t="inlineStr">
        <is>
          <t>ESTIMATION</t>
        </is>
      </c>
    </row>
    <row r="80">
      <c r="A80" t="inlineStr">
        <is>
          <t>Comptabilité, juridique, banque, logiciels</t>
        </is>
      </c>
      <c r="B80" s="12" t="n">
        <v>16500</v>
      </c>
      <c r="C80" s="15" t="n">
        <v>0</v>
      </c>
      <c r="G80" t="inlineStr">
        <is>
          <t>ESTIMATION</t>
        </is>
      </c>
    </row>
    <row r="81">
      <c r="A81" t="inlineStr">
        <is>
          <t>Entretien installations équestres, matériel, véhicules</t>
        </is>
      </c>
      <c r="B81" s="12" t="n">
        <v>13200</v>
      </c>
      <c r="C81" s="15" t="n">
        <v>0</v>
      </c>
      <c r="G81" t="inlineStr">
        <is>
          <t>ESTIMATION</t>
        </is>
      </c>
    </row>
    <row r="82">
      <c r="A82" t="inlineStr">
        <is>
          <t>Rémunération du dirigeant (chargée)</t>
        </is>
      </c>
      <c r="B82" s="12" t="n">
        <v>33000</v>
      </c>
      <c r="C82" s="15" t="n">
        <v>0</v>
      </c>
      <c r="G82" t="inlineStr">
        <is>
          <t>Hypothèse minimale ; le dirigeant paie 24 k€ de loyer privé</t>
        </is>
      </c>
    </row>
    <row r="83">
      <c r="A83" t="inlineStr">
        <is>
          <t>Organisation événements équestres (prestataires fixes, sono, secours)</t>
        </is>
      </c>
      <c r="B83" s="12" t="n">
        <v>11000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Cas optimiste</t>
        </is>
      </c>
    </row>
    <row r="49">
      <c r="A49" t="inlineStr">
        <is>
          <t>Montée en charge : 2e année</t>
        </is>
      </c>
      <c r="B49" s="13" t="n">
        <v>0.85</v>
      </c>
      <c r="C49" t="inlineStr">
        <is>
          <t>%</t>
        </is>
      </c>
      <c r="D49" t="inlineStr">
        <is>
          <t>Cas optimiste</t>
        </is>
      </c>
    </row>
    <row r="50">
      <c r="A50" t="inlineStr">
        <is>
          <t>Montée en charge : 3e année</t>
        </is>
      </c>
      <c r="B50" s="13" t="n">
        <v>1</v>
      </c>
      <c r="C50" t="inlineStr">
        <is>
          <t>%</t>
        </is>
      </c>
      <c r="D50" t="inlineStr">
        <is>
          <t>Cas optimiste</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25.3</v>
      </c>
      <c r="C58" s="12" t="n">
        <v>7128</v>
      </c>
      <c r="D58" s="13" t="n">
        <v>0.27</v>
      </c>
      <c r="E58" s="15" t="n">
        <v>0</v>
      </c>
      <c r="F58" s="15" t="n">
        <v>1</v>
      </c>
      <c r="G58" t="inlineStr">
        <is>
          <t>24 boxes × 90 % ; 550 €/mois ESTIMATION centrale (fourchette sourcée 430-700 €)</t>
        </is>
      </c>
    </row>
    <row r="59">
      <c r="A59" t="inlineStr">
        <is>
          <t>Écurie louée à un cavalier pro (boxes/an)</t>
        </is>
      </c>
      <c r="B59" s="14" t="n">
        <v>11.5</v>
      </c>
      <c r="C59" s="12" t="n">
        <v>2592</v>
      </c>
      <c r="D59" s="13" t="n">
        <v>0.1</v>
      </c>
      <c r="E59" s="15" t="n">
        <v>0</v>
      </c>
      <c r="F59" s="15" t="n">
        <v>1</v>
      </c>
      <c r="G59" t="inlineStr">
        <is>
          <t>200 €/box/mois ESTIMATION ; risque de requalification en bail rural (agent 3/6)</t>
        </is>
      </c>
    </row>
    <row r="60">
      <c r="A60" t="inlineStr">
        <is>
          <t>Pension au pré / retraite</t>
        </is>
      </c>
      <c r="B60" s="14" t="n">
        <v>20.7</v>
      </c>
      <c r="C60" s="12" t="n">
        <v>3629</v>
      </c>
      <c r="D60" s="13" t="n">
        <v>0.29</v>
      </c>
      <c r="E60" s="15" t="n">
        <v>0</v>
      </c>
      <c r="F60" s="15" t="n">
        <v>1</v>
      </c>
      <c r="G60" t="inlineStr">
        <is>
          <t>280 €/mois ; source faible</t>
        </is>
      </c>
    </row>
    <row r="61">
      <c r="A61" t="inlineStr">
        <is>
          <t>Ventes privées / showcases B2B</t>
        </is>
      </c>
      <c r="B61" s="14" t="n">
        <v>9.199999999999999</v>
      </c>
      <c r="C61" s="12" t="n">
        <v>5400</v>
      </c>
      <c r="D61" s="13" t="n">
        <v>0.3</v>
      </c>
      <c r="E61" s="15" t="n">
        <v>1</v>
      </c>
      <c r="F61" s="15" t="n">
        <v>1</v>
      </c>
      <c r="G61" t="inlineStr">
        <is>
          <t>ESTIMATION — aucune preuve de demande pour un lieu privé</t>
        </is>
      </c>
    </row>
    <row r="62">
      <c r="A62" t="inlineStr">
        <is>
          <t>Concours (CSO amateur, jours) — recettes</t>
        </is>
      </c>
      <c r="B62" s="14" t="n">
        <v>3.4</v>
      </c>
      <c r="C62" s="12" t="n">
        <v>8640</v>
      </c>
      <c r="D62" s="13" t="n">
        <v>0.85</v>
      </c>
      <c r="E62" s="15" t="n">
        <v>1</v>
      </c>
      <c r="F62" s="15" t="n">
        <v>1</v>
      </c>
      <c r="G62" t="inlineStr">
        <is>
          <t>Budget CSO INCONNU ; marge −5/+10 k€ par événement selon agent 3</t>
        </is>
      </c>
    </row>
    <row r="63">
      <c r="A63" t="inlineStr">
        <is>
          <t>Réceptions équestres (propriétaires, éleveurs, marques)</t>
        </is>
      </c>
      <c r="B63" s="14" t="n">
        <v>6.9</v>
      </c>
      <c r="C63" s="12" t="n">
        <v>4320</v>
      </c>
      <c r="D63" s="13" t="n">
        <v>0.35</v>
      </c>
      <c r="E63" s="15" t="n">
        <v>1</v>
      </c>
      <c r="F63" s="15" t="n">
        <v>1</v>
      </c>
      <c r="G63" t="inlineStr">
        <is>
          <t>ESTIMATION</t>
        </is>
      </c>
    </row>
    <row r="64">
      <c r="A64" t="inlineStr">
        <is>
          <t>Séjours / stages équestres haut de gamme</t>
        </is>
      </c>
      <c r="B64" s="14" t="n">
        <v>17.2</v>
      </c>
      <c r="C64" s="12" t="n">
        <v>972</v>
      </c>
      <c r="D64" s="13" t="n">
        <v>0.4</v>
      </c>
      <c r="E64" s="15" t="n">
        <v>0</v>
      </c>
      <c r="F64" s="15" t="n">
        <v>1</v>
      </c>
      <c r="G64" t="inlineStr">
        <is>
          <t>ESTIMATION, demande non démontrée</t>
        </is>
      </c>
    </row>
    <row r="65">
      <c r="A65" t="inlineStr">
        <is>
          <t>Gîte de prestige (semaines louées)</t>
        </is>
      </c>
      <c r="B65" s="14" t="n">
        <v>23</v>
      </c>
      <c r="C65" s="12" t="n">
        <v>1080</v>
      </c>
      <c r="D65" s="13" t="n">
        <v>0.42</v>
      </c>
      <c r="E65" s="15" t="n">
        <v>0</v>
      </c>
      <c r="F65" s="15" t="n">
        <v>0</v>
      </c>
      <c r="G65" t="inlineStr">
        <is>
          <t>Cf. B</t>
        </is>
      </c>
    </row>
    <row r="66">
      <c r="A66" t="inlineStr">
        <is>
          <t>Tournages / shootings (jours)</t>
        </is>
      </c>
      <c r="B66" s="14" t="n">
        <v>4.6</v>
      </c>
      <c r="C66" s="12" t="n">
        <v>2160</v>
      </c>
      <c r="D66" s="13" t="n">
        <v>0.15</v>
      </c>
      <c r="E66" s="15" t="n">
        <v>1</v>
      </c>
      <c r="F66" s="15" t="n">
        <v>0</v>
      </c>
      <c r="G66" t="inlineStr">
        <is>
          <t>Cf. B</t>
        </is>
      </c>
    </row>
    <row r="67">
      <c r="A67" t="inlineStr">
        <is>
          <t>Valorisation des terres non pâturées (ha)</t>
        </is>
      </c>
      <c r="B67" s="14" t="n">
        <v>11.5</v>
      </c>
      <c r="C67" s="12" t="n">
        <v>162</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28500</v>
      </c>
      <c r="C72" s="15" t="n">
        <v>1</v>
      </c>
      <c r="G72" t="inlineStr">
        <is>
          <t>ESTIMATION 15-40 k€ (agent 4)</t>
        </is>
      </c>
    </row>
    <row r="73">
      <c r="A73" t="inlineStr">
        <is>
          <t>Assurances bâtiment + RC activités</t>
        </is>
      </c>
      <c r="B73" s="12" t="n">
        <v>14250</v>
      </c>
      <c r="C73" s="15" t="n">
        <v>1</v>
      </c>
      <c r="G73" t="inlineStr">
        <is>
          <t>ESTIMATION 5-15 k€ + RC ; devis à obtenir</t>
        </is>
      </c>
    </row>
    <row r="74">
      <c r="A74" t="inlineStr">
        <is>
          <t>Taxe foncière</t>
        </is>
      </c>
      <c r="B74" s="12" t="n">
        <v>14250</v>
      </c>
      <c r="C74" s="15" t="n">
        <v>1</v>
      </c>
      <c r="G74" t="inlineStr">
        <is>
          <t>INCONNU — demander l'avis d'imposition du vendeur</t>
        </is>
      </c>
    </row>
    <row r="75">
      <c r="A75" t="inlineStr">
        <is>
          <t>Jardinier / agent d'entretien (1 ETP chargé)</t>
        </is>
      </c>
      <c r="B75" s="12" t="n">
        <v>38000</v>
      </c>
      <c r="C75" s="15" t="n">
        <v>1</v>
      </c>
      <c r="G75" t="inlineStr">
        <is>
          <t>ESTIMATION 35-45 k€ (agent 4)</t>
        </is>
      </c>
    </row>
    <row r="76">
      <c r="A76" t="inlineStr">
        <is>
          <t>Parc, haies, clôtures, petit entretien</t>
        </is>
      </c>
      <c r="B76" s="12" t="n">
        <v>14250</v>
      </c>
      <c r="C76" s="15" t="n">
        <v>1</v>
      </c>
      <c r="G76" t="inlineStr">
        <is>
          <t>ESTIMATION</t>
        </is>
      </c>
    </row>
    <row r="77">
      <c r="A77" t="inlineStr">
        <is>
          <t>Soigneurs (3 ETP chargés)</t>
        </is>
      </c>
      <c r="B77" s="12" t="n">
        <v>71250</v>
      </c>
      <c r="C77" s="15" t="n">
        <v>0</v>
      </c>
      <c r="G77" t="inlineStr">
        <is>
          <t>1 ETP/15-19 équidés [A3-27] ; ~50 chevaux</t>
        </is>
      </c>
    </row>
    <row r="78">
      <c r="A78" t="inlineStr">
        <is>
          <t>Responsable d'écurie (1 ETP chargé)</t>
        </is>
      </c>
      <c r="B78" s="12" t="n">
        <v>33250</v>
      </c>
      <c r="C78" s="15" t="n">
        <v>0</v>
      </c>
      <c r="G78" t="inlineStr">
        <is>
          <t>ESTIMATION</t>
        </is>
      </c>
    </row>
    <row r="79">
      <c r="A79" t="inlineStr">
        <is>
          <t>Commercial, marketing, site, salons</t>
        </is>
      </c>
      <c r="B79" s="12" t="n">
        <v>14250</v>
      </c>
      <c r="C79" s="15" t="n">
        <v>0</v>
      </c>
      <c r="G79" t="inlineStr">
        <is>
          <t>ESTIMATION</t>
        </is>
      </c>
    </row>
    <row r="80">
      <c r="A80" t="inlineStr">
        <is>
          <t>Comptabilité, juridique, banque, logiciels</t>
        </is>
      </c>
      <c r="B80" s="12" t="n">
        <v>14250</v>
      </c>
      <c r="C80" s="15" t="n">
        <v>0</v>
      </c>
      <c r="G80" t="inlineStr">
        <is>
          <t>ESTIMATION</t>
        </is>
      </c>
    </row>
    <row r="81">
      <c r="A81" t="inlineStr">
        <is>
          <t>Entretien installations équestres, matériel, véhicules</t>
        </is>
      </c>
      <c r="B81" s="12" t="n">
        <v>11400</v>
      </c>
      <c r="C81" s="15" t="n">
        <v>0</v>
      </c>
      <c r="G81" t="inlineStr">
        <is>
          <t>ESTIMATION</t>
        </is>
      </c>
    </row>
    <row r="82">
      <c r="A82" t="inlineStr">
        <is>
          <t>Rémunération du dirigeant (chargée)</t>
        </is>
      </c>
      <c r="B82" s="12" t="n">
        <v>28500</v>
      </c>
      <c r="C82" s="15" t="n">
        <v>0</v>
      </c>
      <c r="G82" t="inlineStr">
        <is>
          <t>Hypothèse minimale ; le dirigeant paie 24 k€ de loyer privé</t>
        </is>
      </c>
    </row>
    <row r="83">
      <c r="A83" t="inlineStr">
        <is>
          <t>Organisation événements équestres (prestataires fixes, sono, secours)</t>
        </is>
      </c>
      <c r="B83" s="12" t="n">
        <v>9500</v>
      </c>
      <c r="C83" s="15" t="n">
        <v>0</v>
      </c>
      <c r="G83" t="inlineStr">
        <is>
          <t>ESTIMATION</t>
        </is>
      </c>
    </row>
    <row r="85">
      <c r="A85" s="10" t="inlineStr">
        <is>
          <t>7. Calcul sur 10 ans</t>
        </is>
      </c>
      <c r="B85" s="11" t="n"/>
      <c r="C85" s="11" t="n"/>
      <c r="D85" s="11" t="n"/>
      <c r="E85" s="11" t="n"/>
      <c r="F85" s="11" t="n"/>
      <c r="G85" s="11" t="n"/>
      <c r="H85" s="11" t="n"/>
      <c r="I85" s="11" t="n"/>
      <c r="J85" s="11" t="n"/>
      <c r="K85" s="11" t="n"/>
      <c r="L85" s="11" t="n"/>
      <c r="M85" s="11" t="n"/>
    </row>
    <row r="86">
      <c r="A86" s="4" t="inlineStr">
        <is>
          <t>Année</t>
        </is>
      </c>
      <c r="B86" s="4" t="inlineStr">
        <is>
          <t>Total / réf.</t>
        </is>
      </c>
      <c r="C86" s="4" t="n">
        <v>1</v>
      </c>
      <c r="D86" s="4" t="n">
        <v>2</v>
      </c>
      <c r="E86" s="4" t="n">
        <v>3</v>
      </c>
      <c r="F86" s="4" t="n">
        <v>4</v>
      </c>
      <c r="G86" s="4" t="n">
        <v>5</v>
      </c>
      <c r="H86" s="4" t="n">
        <v>6</v>
      </c>
      <c r="I86" s="4" t="n">
        <v>7</v>
      </c>
      <c r="J86" s="4" t="n">
        <v>8</v>
      </c>
      <c r="K86" s="4" t="n">
        <v>9</v>
      </c>
      <c r="L86" s="4" t="n">
        <v>10</v>
      </c>
    </row>
    <row r="87">
      <c r="A87" t="inlineStr">
        <is>
          <t>Année d'ouverture effective</t>
        </is>
      </c>
      <c r="C87" s="8">
        <f>$B$6+$B$42</f>
        <v/>
      </c>
      <c r="D87" s="8">
        <f>$B$6+$B$42</f>
        <v/>
      </c>
      <c r="E87" s="8">
        <f>$B$6+$B$42</f>
        <v/>
      </c>
      <c r="F87" s="8">
        <f>$B$6+$B$42</f>
        <v/>
      </c>
      <c r="G87" s="8">
        <f>$B$6+$B$42</f>
        <v/>
      </c>
      <c r="H87" s="8">
        <f>$B$6+$B$42</f>
        <v/>
      </c>
      <c r="I87" s="8">
        <f>$B$6+$B$42</f>
        <v/>
      </c>
      <c r="J87" s="8">
        <f>$B$6+$B$42</f>
        <v/>
      </c>
      <c r="K87" s="8">
        <f>$B$6+$B$42</f>
        <v/>
      </c>
      <c r="L87" s="8">
        <f>$B$6+$B$42</f>
        <v/>
      </c>
    </row>
    <row r="88">
      <c r="A88" t="inlineStr">
        <is>
          <t>Rang de l'année d'exploitation</t>
        </is>
      </c>
      <c r="C88" s="8">
        <f>MAX(0,C$86-C87+1)</f>
        <v/>
      </c>
      <c r="D88" s="8">
        <f>MAX(0,D$86-D87+1)</f>
        <v/>
      </c>
      <c r="E88" s="8">
        <f>MAX(0,E$86-E87+1)</f>
        <v/>
      </c>
      <c r="F88" s="8">
        <f>MAX(0,F$86-F87+1)</f>
        <v/>
      </c>
      <c r="G88" s="8">
        <f>MAX(0,G$86-G87+1)</f>
        <v/>
      </c>
      <c r="H88" s="8">
        <f>MAX(0,H$86-H87+1)</f>
        <v/>
      </c>
      <c r="I88" s="8">
        <f>MAX(0,I$86-I87+1)</f>
        <v/>
      </c>
      <c r="J88" s="8">
        <f>MAX(0,J$86-J87+1)</f>
        <v/>
      </c>
      <c r="K88" s="8">
        <f>MAX(0,K$86-K87+1)</f>
        <v/>
      </c>
      <c r="L88" s="8">
        <f>MAX(0,L$86-L87+1)</f>
        <v/>
      </c>
    </row>
    <row r="89">
      <c r="A89" t="inlineStr">
        <is>
          <t>Coefficient de montée en charge</t>
        </is>
      </c>
      <c r="C89" s="6">
        <f>IF(C88=0,0,IF(C88=1,$B$48,IF(C88=2,$B$49,IF(C88=3,$B$50,1))))</f>
        <v/>
      </c>
      <c r="D89" s="6">
        <f>IF(D88=0,0,IF(D88=1,$B$48,IF(D88=2,$B$49,IF(D88=3,$B$50,1))))</f>
        <v/>
      </c>
      <c r="E89" s="6">
        <f>IF(E88=0,0,IF(E88=1,$B$48,IF(E88=2,$B$49,IF(E88=3,$B$50,1))))</f>
        <v/>
      </c>
      <c r="F89" s="6">
        <f>IF(F88=0,0,IF(F88=1,$B$48,IF(F88=2,$B$49,IF(F88=3,$B$50,1))))</f>
        <v/>
      </c>
      <c r="G89" s="6">
        <f>IF(G88=0,0,IF(G88=1,$B$48,IF(G88=2,$B$49,IF(G88=3,$B$50,1))))</f>
        <v/>
      </c>
      <c r="H89" s="6">
        <f>IF(H88=0,0,IF(H88=1,$B$48,IF(H88=2,$B$49,IF(H88=3,$B$50,1))))</f>
        <v/>
      </c>
      <c r="I89" s="6">
        <f>IF(I88=0,0,IF(I88=1,$B$48,IF(I88=2,$B$49,IF(I88=3,$B$50,1))))</f>
        <v/>
      </c>
      <c r="J89" s="6">
        <f>IF(J88=0,0,IF(J88=1,$B$48,IF(J88=2,$B$49,IF(J88=3,$B$50,1))))</f>
        <v/>
      </c>
      <c r="K89" s="6">
        <f>IF(K88=0,0,IF(K88=1,$B$48,IF(K88=2,$B$49,IF(K88=3,$B$50,1))))</f>
        <v/>
      </c>
      <c r="L89" s="6">
        <f>IF(L88=0,0,IF(L88=1,$B$48,IF(L88=2,$B$49,IF(L88=3,$B$50,1))))</f>
        <v/>
      </c>
    </row>
    <row r="90">
      <c r="A90" t="inlineStr">
        <is>
          <t>Indice prix</t>
        </is>
      </c>
      <c r="C90" s="16">
        <f>(1+$B$51)^(C$86-1)</f>
        <v/>
      </c>
      <c r="D90" s="16">
        <f>(1+$B$51)^(D$86-1)</f>
        <v/>
      </c>
      <c r="E90" s="16">
        <f>(1+$B$51)^(E$86-1)</f>
        <v/>
      </c>
      <c r="F90" s="16">
        <f>(1+$B$51)^(F$86-1)</f>
        <v/>
      </c>
      <c r="G90" s="16">
        <f>(1+$B$51)^(G$86-1)</f>
        <v/>
      </c>
      <c r="H90" s="16">
        <f>(1+$B$51)^(H$86-1)</f>
        <v/>
      </c>
      <c r="I90" s="16">
        <f>(1+$B$51)^(I$86-1)</f>
        <v/>
      </c>
      <c r="J90" s="16">
        <f>(1+$B$51)^(J$86-1)</f>
        <v/>
      </c>
      <c r="K90" s="16">
        <f>(1+$B$51)^(K$86-1)</f>
        <v/>
      </c>
      <c r="L90" s="16">
        <f>(1+$B$51)^(L$86-1)</f>
        <v/>
      </c>
    </row>
    <row r="91">
      <c r="A91" t="inlineStr">
        <is>
          <t>Indice charges</t>
        </is>
      </c>
      <c r="C91" s="16">
        <f>(1+$B$52)^(C$86-1)</f>
        <v/>
      </c>
      <c r="D91" s="16">
        <f>(1+$B$52)^(D$86-1)</f>
        <v/>
      </c>
      <c r="E91" s="16">
        <f>(1+$B$52)^(E$86-1)</f>
        <v/>
      </c>
      <c r="F91" s="16">
        <f>(1+$B$52)^(F$86-1)</f>
        <v/>
      </c>
      <c r="G91" s="16">
        <f>(1+$B$52)^(G$86-1)</f>
        <v/>
      </c>
      <c r="H91" s="16">
        <f>(1+$B$52)^(H$86-1)</f>
        <v/>
      </c>
      <c r="I91" s="16">
        <f>(1+$B$52)^(I$86-1)</f>
        <v/>
      </c>
      <c r="J91" s="16">
        <f>(1+$B$52)^(J$86-1)</f>
        <v/>
      </c>
      <c r="K91" s="16">
        <f>(1+$B$52)^(K$86-1)</f>
        <v/>
      </c>
      <c r="L91" s="16">
        <f>(1+$B$52)^(L$86-1)</f>
        <v/>
      </c>
    </row>
    <row r="92">
      <c r="A92" t="inlineStr">
        <is>
          <t>Murs détenus (1/0)</t>
        </is>
      </c>
      <c r="C92" s="8">
        <f>IF(C$86&gt;=$B$5,1,0)</f>
        <v/>
      </c>
      <c r="D92" s="8">
        <f>IF(D$86&gt;=$B$5,1,0)</f>
        <v/>
      </c>
      <c r="E92" s="8">
        <f>IF(E$86&gt;=$B$5,1,0)</f>
        <v/>
      </c>
      <c r="F92" s="8">
        <f>IF(F$86&gt;=$B$5,1,0)</f>
        <v/>
      </c>
      <c r="G92" s="8">
        <f>IF(G$86&gt;=$B$5,1,0)</f>
        <v/>
      </c>
      <c r="H92" s="8">
        <f>IF(H$86&gt;=$B$5,1,0)</f>
        <v/>
      </c>
      <c r="I92" s="8">
        <f>IF(I$86&gt;=$B$5,1,0)</f>
        <v/>
      </c>
      <c r="J92" s="8">
        <f>IF(J$86&gt;=$B$5,1,0)</f>
        <v/>
      </c>
      <c r="K92" s="8">
        <f>IF(K$86&gt;=$B$5,1,0)</f>
        <v/>
      </c>
      <c r="L92" s="8">
        <f>IF(L$86&gt;=$B$5,1,0)</f>
        <v/>
      </c>
    </row>
    <row r="94">
      <c r="A94" s="4" t="inlineStr">
        <is>
          <t>Compte de résultat</t>
        </is>
      </c>
    </row>
    <row r="95">
      <c r="A95" t="inlineStr">
        <is>
          <t xml:space="preserve">  Pension box premium / pension travail</t>
        </is>
      </c>
      <c r="B95" s="5">
        <f>SUM(C95:L95)</f>
        <v/>
      </c>
      <c r="C95" s="5">
        <f>$B$58*$C$58*C89*C90*$B$40*(1-$E$58*$B$45)</f>
        <v/>
      </c>
      <c r="D95" s="5">
        <f>$B$58*$C$58*D89*D90*$B$40*(1-$E$58*$B$45)</f>
        <v/>
      </c>
      <c r="E95" s="5">
        <f>$B$58*$C$58*E89*E90*$B$40*(1-$E$58*$B$45)</f>
        <v/>
      </c>
      <c r="F95" s="5">
        <f>$B$58*$C$58*F89*F90*$B$40*(1-$E$58*$B$45)</f>
        <v/>
      </c>
      <c r="G95" s="5">
        <f>$B$58*$C$58*G89*G90*$B$40*(1-$E$58*$B$45)</f>
        <v/>
      </c>
      <c r="H95" s="5">
        <f>$B$58*$C$58*H89*H90*$B$40*(1-$E$58*$B$45)</f>
        <v/>
      </c>
      <c r="I95" s="5">
        <f>$B$58*$C$58*I89*I90*$B$40*(1-$E$58*$B$45)</f>
        <v/>
      </c>
      <c r="J95" s="5">
        <f>$B$58*$C$58*J89*J90*$B$40*(1-$E$58*$B$45)</f>
        <v/>
      </c>
      <c r="K95" s="5">
        <f>$B$58*$C$58*K89*K90*$B$40*(1-$E$58*$B$45)</f>
        <v/>
      </c>
      <c r="L95" s="5">
        <f>$B$58*$C$58*L89*L90*$B$40*(1-$E$58*$B$45)</f>
        <v/>
      </c>
    </row>
    <row r="96">
      <c r="A96" t="inlineStr">
        <is>
          <t xml:space="preserve">  Écurie louée à un cavalier pro (boxes/an)</t>
        </is>
      </c>
      <c r="B96" s="5">
        <f>SUM(C96:L96)</f>
        <v/>
      </c>
      <c r="C96" s="5">
        <f>$B$59*$C$59*C89*C90*$B$40*(1-$E$59*$B$45)</f>
        <v/>
      </c>
      <c r="D96" s="5">
        <f>$B$59*$C$59*D89*D90*$B$40*(1-$E$59*$B$45)</f>
        <v/>
      </c>
      <c r="E96" s="5">
        <f>$B$59*$C$59*E89*E90*$B$40*(1-$E$59*$B$45)</f>
        <v/>
      </c>
      <c r="F96" s="5">
        <f>$B$59*$C$59*F89*F90*$B$40*(1-$E$59*$B$45)</f>
        <v/>
      </c>
      <c r="G96" s="5">
        <f>$B$59*$C$59*G89*G90*$B$40*(1-$E$59*$B$45)</f>
        <v/>
      </c>
      <c r="H96" s="5">
        <f>$B$59*$C$59*H89*H90*$B$40*(1-$E$59*$B$45)</f>
        <v/>
      </c>
      <c r="I96" s="5">
        <f>$B$59*$C$59*I89*I90*$B$40*(1-$E$59*$B$45)</f>
        <v/>
      </c>
      <c r="J96" s="5">
        <f>$B$59*$C$59*J89*J90*$B$40*(1-$E$59*$B$45)</f>
        <v/>
      </c>
      <c r="K96" s="5">
        <f>$B$59*$C$59*K89*K90*$B$40*(1-$E$59*$B$45)</f>
        <v/>
      </c>
      <c r="L96" s="5">
        <f>$B$59*$C$59*L89*L90*$B$40*(1-$E$59*$B$45)</f>
        <v/>
      </c>
    </row>
    <row r="97">
      <c r="A97" t="inlineStr">
        <is>
          <t xml:space="preserve">  Pension au pré / retraite</t>
        </is>
      </c>
      <c r="B97" s="5">
        <f>SUM(C97:L97)</f>
        <v/>
      </c>
      <c r="C97" s="5">
        <f>$B$60*$C$60*C89*C90*$B$40*(1-$E$60*$B$45)</f>
        <v/>
      </c>
      <c r="D97" s="5">
        <f>$B$60*$C$60*D89*D90*$B$40*(1-$E$60*$B$45)</f>
        <v/>
      </c>
      <c r="E97" s="5">
        <f>$B$60*$C$60*E89*E90*$B$40*(1-$E$60*$B$45)</f>
        <v/>
      </c>
      <c r="F97" s="5">
        <f>$B$60*$C$60*F89*F90*$B$40*(1-$E$60*$B$45)</f>
        <v/>
      </c>
      <c r="G97" s="5">
        <f>$B$60*$C$60*G89*G90*$B$40*(1-$E$60*$B$45)</f>
        <v/>
      </c>
      <c r="H97" s="5">
        <f>$B$60*$C$60*H89*H90*$B$40*(1-$E$60*$B$45)</f>
        <v/>
      </c>
      <c r="I97" s="5">
        <f>$B$60*$C$60*I89*I90*$B$40*(1-$E$60*$B$45)</f>
        <v/>
      </c>
      <c r="J97" s="5">
        <f>$B$60*$C$60*J89*J90*$B$40*(1-$E$60*$B$45)</f>
        <v/>
      </c>
      <c r="K97" s="5">
        <f>$B$60*$C$60*K89*K90*$B$40*(1-$E$60*$B$45)</f>
        <v/>
      </c>
      <c r="L97" s="5">
        <f>$B$60*$C$60*L89*L90*$B$40*(1-$E$60*$B$45)</f>
        <v/>
      </c>
    </row>
    <row r="98">
      <c r="A98" t="inlineStr">
        <is>
          <t xml:space="preserve">  Ventes privées / showcases B2B</t>
        </is>
      </c>
      <c r="B98" s="5">
        <f>SUM(C98:L98)</f>
        <v/>
      </c>
      <c r="C98" s="5">
        <f>$B$61*$C$61*C89*C90*$B$40*(1-$E$61*$B$45)</f>
        <v/>
      </c>
      <c r="D98" s="5">
        <f>$B$61*$C$61*D89*D90*$B$40*(1-$E$61*$B$45)</f>
        <v/>
      </c>
      <c r="E98" s="5">
        <f>$B$61*$C$61*E89*E90*$B$40*(1-$E$61*$B$45)</f>
        <v/>
      </c>
      <c r="F98" s="5">
        <f>$B$61*$C$61*F89*F90*$B$40*(1-$E$61*$B$45)</f>
        <v/>
      </c>
      <c r="G98" s="5">
        <f>$B$61*$C$61*G89*G90*$B$40*(1-$E$61*$B$45)</f>
        <v/>
      </c>
      <c r="H98" s="5">
        <f>$B$61*$C$61*H89*H90*$B$40*(1-$E$61*$B$45)</f>
        <v/>
      </c>
      <c r="I98" s="5">
        <f>$B$61*$C$61*I89*I90*$B$40*(1-$E$61*$B$45)</f>
        <v/>
      </c>
      <c r="J98" s="5">
        <f>$B$61*$C$61*J89*J90*$B$40*(1-$E$61*$B$45)</f>
        <v/>
      </c>
      <c r="K98" s="5">
        <f>$B$61*$C$61*K89*K90*$B$40*(1-$E$61*$B$45)</f>
        <v/>
      </c>
      <c r="L98" s="5">
        <f>$B$61*$C$61*L89*L90*$B$40*(1-$E$61*$B$45)</f>
        <v/>
      </c>
    </row>
    <row r="99">
      <c r="A99" t="inlineStr">
        <is>
          <t xml:space="preserve">  Concours (CSO amateur, jours) — recettes</t>
        </is>
      </c>
      <c r="B99" s="5">
        <f>SUM(C99:L99)</f>
        <v/>
      </c>
      <c r="C99" s="5">
        <f>$B$62*$C$62*C89*C90*$B$40*(1-$E$62*$B$45)</f>
        <v/>
      </c>
      <c r="D99" s="5">
        <f>$B$62*$C$62*D89*D90*$B$40*(1-$E$62*$B$45)</f>
        <v/>
      </c>
      <c r="E99" s="5">
        <f>$B$62*$C$62*E89*E90*$B$40*(1-$E$62*$B$45)</f>
        <v/>
      </c>
      <c r="F99" s="5">
        <f>$B$62*$C$62*F89*F90*$B$40*(1-$E$62*$B$45)</f>
        <v/>
      </c>
      <c r="G99" s="5">
        <f>$B$62*$C$62*G89*G90*$B$40*(1-$E$62*$B$45)</f>
        <v/>
      </c>
      <c r="H99" s="5">
        <f>$B$62*$C$62*H89*H90*$B$40*(1-$E$62*$B$45)</f>
        <v/>
      </c>
      <c r="I99" s="5">
        <f>$B$62*$C$62*I89*I90*$B$40*(1-$E$62*$B$45)</f>
        <v/>
      </c>
      <c r="J99" s="5">
        <f>$B$62*$C$62*J89*J90*$B$40*(1-$E$62*$B$45)</f>
        <v/>
      </c>
      <c r="K99" s="5">
        <f>$B$62*$C$62*K89*K90*$B$40*(1-$E$62*$B$45)</f>
        <v/>
      </c>
      <c r="L99" s="5">
        <f>$B$62*$C$62*L89*L90*$B$40*(1-$E$62*$B$45)</f>
        <v/>
      </c>
    </row>
    <row r="100">
      <c r="A100" t="inlineStr">
        <is>
          <t xml:space="preserve">  Réceptions équestres (propriétaires, éleveurs, marques)</t>
        </is>
      </c>
      <c r="B100" s="5">
        <f>SUM(C100:L100)</f>
        <v/>
      </c>
      <c r="C100" s="5">
        <f>$B$63*$C$63*C89*C90*$B$40*(1-$E$63*$B$45)</f>
        <v/>
      </c>
      <c r="D100" s="5">
        <f>$B$63*$C$63*D89*D90*$B$40*(1-$E$63*$B$45)</f>
        <v/>
      </c>
      <c r="E100" s="5">
        <f>$B$63*$C$63*E89*E90*$B$40*(1-$E$63*$B$45)</f>
        <v/>
      </c>
      <c r="F100" s="5">
        <f>$B$63*$C$63*F89*F90*$B$40*(1-$E$63*$B$45)</f>
        <v/>
      </c>
      <c r="G100" s="5">
        <f>$B$63*$C$63*G89*G90*$B$40*(1-$E$63*$B$45)</f>
        <v/>
      </c>
      <c r="H100" s="5">
        <f>$B$63*$C$63*H89*H90*$B$40*(1-$E$63*$B$45)</f>
        <v/>
      </c>
      <c r="I100" s="5">
        <f>$B$63*$C$63*I89*I90*$B$40*(1-$E$63*$B$45)</f>
        <v/>
      </c>
      <c r="J100" s="5">
        <f>$B$63*$C$63*J89*J90*$B$40*(1-$E$63*$B$45)</f>
        <v/>
      </c>
      <c r="K100" s="5">
        <f>$B$63*$C$63*K89*K90*$B$40*(1-$E$63*$B$45)</f>
        <v/>
      </c>
      <c r="L100" s="5">
        <f>$B$63*$C$63*L89*L90*$B$40*(1-$E$63*$B$45)</f>
        <v/>
      </c>
    </row>
    <row r="101">
      <c r="A101" t="inlineStr">
        <is>
          <t xml:space="preserve">  Séjours / stages équestres haut de gamme</t>
        </is>
      </c>
      <c r="B101" s="5">
        <f>SUM(C101:L101)</f>
        <v/>
      </c>
      <c r="C101" s="5">
        <f>$B$64*$C$64*C89*C90*$B$40*(1-$E$64*$B$45)</f>
        <v/>
      </c>
      <c r="D101" s="5">
        <f>$B$64*$C$64*D89*D90*$B$40*(1-$E$64*$B$45)</f>
        <v/>
      </c>
      <c r="E101" s="5">
        <f>$B$64*$C$64*E89*E90*$B$40*(1-$E$64*$B$45)</f>
        <v/>
      </c>
      <c r="F101" s="5">
        <f>$B$64*$C$64*F89*F90*$B$40*(1-$E$64*$B$45)</f>
        <v/>
      </c>
      <c r="G101" s="5">
        <f>$B$64*$C$64*G89*G90*$B$40*(1-$E$64*$B$45)</f>
        <v/>
      </c>
      <c r="H101" s="5">
        <f>$B$64*$C$64*H89*H90*$B$40*(1-$E$64*$B$45)</f>
        <v/>
      </c>
      <c r="I101" s="5">
        <f>$B$64*$C$64*I89*I90*$B$40*(1-$E$64*$B$45)</f>
        <v/>
      </c>
      <c r="J101" s="5">
        <f>$B$64*$C$64*J89*J90*$B$40*(1-$E$64*$B$45)</f>
        <v/>
      </c>
      <c r="K101" s="5">
        <f>$B$64*$C$64*K89*K90*$B$40*(1-$E$64*$B$45)</f>
        <v/>
      </c>
      <c r="L101" s="5">
        <f>$B$64*$C$64*L89*L90*$B$40*(1-$E$64*$B$45)</f>
        <v/>
      </c>
    </row>
    <row r="102">
      <c r="A102" t="inlineStr">
        <is>
          <t xml:space="preserve">  Gîte de prestige (semaines louées)</t>
        </is>
      </c>
      <c r="B102" s="5">
        <f>SUM(C102:L102)</f>
        <v/>
      </c>
      <c r="C102" s="5">
        <f>$B$65*$C$65*C89*C90*$B$40*(1-$E$65*$B$45)</f>
        <v/>
      </c>
      <c r="D102" s="5">
        <f>$B$65*$C$65*D89*D90*$B$40*(1-$E$65*$B$45)</f>
        <v/>
      </c>
      <c r="E102" s="5">
        <f>$B$65*$C$65*E89*E90*$B$40*(1-$E$65*$B$45)</f>
        <v/>
      </c>
      <c r="F102" s="5">
        <f>$B$65*$C$65*F89*F90*$B$40*(1-$E$65*$B$45)</f>
        <v/>
      </c>
      <c r="G102" s="5">
        <f>$B$65*$C$65*G89*G90*$B$40*(1-$E$65*$B$45)</f>
        <v/>
      </c>
      <c r="H102" s="5">
        <f>$B$65*$C$65*H89*H90*$B$40*(1-$E$65*$B$45)</f>
        <v/>
      </c>
      <c r="I102" s="5">
        <f>$B$65*$C$65*I89*I90*$B$40*(1-$E$65*$B$45)</f>
        <v/>
      </c>
      <c r="J102" s="5">
        <f>$B$65*$C$65*J89*J90*$B$40*(1-$E$65*$B$45)</f>
        <v/>
      </c>
      <c r="K102" s="5">
        <f>$B$65*$C$65*K89*K90*$B$40*(1-$E$65*$B$45)</f>
        <v/>
      </c>
      <c r="L102" s="5">
        <f>$B$65*$C$65*L89*L90*$B$40*(1-$E$65*$B$45)</f>
        <v/>
      </c>
    </row>
    <row r="103">
      <c r="A103" t="inlineStr">
        <is>
          <t xml:space="preserve">  Tournages / shootings (jours)</t>
        </is>
      </c>
      <c r="B103" s="5">
        <f>SUM(C103:L103)</f>
        <v/>
      </c>
      <c r="C103" s="5">
        <f>$B$66*$C$66*C89*C90*$B$40*(1-$E$66*$B$45)</f>
        <v/>
      </c>
      <c r="D103" s="5">
        <f>$B$66*$C$66*D89*D90*$B$40*(1-$E$66*$B$45)</f>
        <v/>
      </c>
      <c r="E103" s="5">
        <f>$B$66*$C$66*E89*E90*$B$40*(1-$E$66*$B$45)</f>
        <v/>
      </c>
      <c r="F103" s="5">
        <f>$B$66*$C$66*F89*F90*$B$40*(1-$E$66*$B$45)</f>
        <v/>
      </c>
      <c r="G103" s="5">
        <f>$B$66*$C$66*G89*G90*$B$40*(1-$E$66*$B$45)</f>
        <v/>
      </c>
      <c r="H103" s="5">
        <f>$B$66*$C$66*H89*H90*$B$40*(1-$E$66*$B$45)</f>
        <v/>
      </c>
      <c r="I103" s="5">
        <f>$B$66*$C$66*I89*I90*$B$40*(1-$E$66*$B$45)</f>
        <v/>
      </c>
      <c r="J103" s="5">
        <f>$B$66*$C$66*J89*J90*$B$40*(1-$E$66*$B$45)</f>
        <v/>
      </c>
      <c r="K103" s="5">
        <f>$B$66*$C$66*K89*K90*$B$40*(1-$E$66*$B$45)</f>
        <v/>
      </c>
      <c r="L103" s="5">
        <f>$B$66*$C$66*L89*L90*$B$40*(1-$E$66*$B$45)</f>
        <v/>
      </c>
    </row>
    <row r="104">
      <c r="A104" t="inlineStr">
        <is>
          <t xml:space="preserve">  Valorisation des terres non pâturées (ha)</t>
        </is>
      </c>
      <c r="B104" s="5">
        <f>SUM(C104:L104)</f>
        <v/>
      </c>
      <c r="C104" s="5">
        <f>$B$67*$C$67*C89*C90*$B$40*(1-$E$67*$B$45)</f>
        <v/>
      </c>
      <c r="D104" s="5">
        <f>$B$67*$C$67*D89*D90*$B$40*(1-$E$67*$B$45)</f>
        <v/>
      </c>
      <c r="E104" s="5">
        <f>$B$67*$C$67*E89*E90*$B$40*(1-$E$67*$B$45)</f>
        <v/>
      </c>
      <c r="F104" s="5">
        <f>$B$67*$C$67*F89*F90*$B$40*(1-$E$67*$B$45)</f>
        <v/>
      </c>
      <c r="G104" s="5">
        <f>$B$67*$C$67*G89*G90*$B$40*(1-$E$67*$B$45)</f>
        <v/>
      </c>
      <c r="H104" s="5">
        <f>$B$67*$C$67*H89*H90*$B$40*(1-$E$67*$B$45)</f>
        <v/>
      </c>
      <c r="I104" s="5">
        <f>$B$67*$C$67*I89*I90*$B$40*(1-$E$67*$B$45)</f>
        <v/>
      </c>
      <c r="J104" s="5">
        <f>$B$67*$C$67*J89*J90*$B$40*(1-$E$67*$B$45)</f>
        <v/>
      </c>
      <c r="K104" s="5">
        <f>$B$67*$C$67*K89*K90*$B$40*(1-$E$67*$B$45)</f>
        <v/>
      </c>
      <c r="L104" s="5">
        <f>$B$67*$C$67*L89*L90*$B$40*(1-$E$67*$B$45)</f>
        <v/>
      </c>
    </row>
    <row r="105">
      <c r="A105" t="inlineStr">
        <is>
          <t xml:space="preserve">  Loyer de la partie privée payé par le fondateur</t>
        </is>
      </c>
      <c r="B105" s="5">
        <f>SUM(C105:L105)</f>
        <v/>
      </c>
      <c r="C105" s="5">
        <f>$B$68*$C$68*C89*C90*$B$40*(1-$E$68*$B$45)</f>
        <v/>
      </c>
      <c r="D105" s="5">
        <f>$B$68*$C$68*D89*D90*$B$40*(1-$E$68*$B$45)</f>
        <v/>
      </c>
      <c r="E105" s="5">
        <f>$B$68*$C$68*E89*E90*$B$40*(1-$E$68*$B$45)</f>
        <v/>
      </c>
      <c r="F105" s="5">
        <f>$B$68*$C$68*F89*F90*$B$40*(1-$E$68*$B$45)</f>
        <v/>
      </c>
      <c r="G105" s="5">
        <f>$B$68*$C$68*G89*G90*$B$40*(1-$E$68*$B$45)</f>
        <v/>
      </c>
      <c r="H105" s="5">
        <f>$B$68*$C$68*H89*H90*$B$40*(1-$E$68*$B$45)</f>
        <v/>
      </c>
      <c r="I105" s="5">
        <f>$B$68*$C$68*I89*I90*$B$40*(1-$E$68*$B$45)</f>
        <v/>
      </c>
      <c r="J105" s="5">
        <f>$B$68*$C$68*J89*J90*$B$40*(1-$E$68*$B$45)</f>
        <v/>
      </c>
      <c r="K105" s="5">
        <f>$B$68*$C$68*K89*K90*$B$40*(1-$E$68*$B$45)</f>
        <v/>
      </c>
      <c r="L105" s="5">
        <f>$B$68*$C$68*L89*L90*$B$40*(1-$E$68*$B$45)</f>
        <v/>
      </c>
    </row>
    <row r="106">
      <c r="A106" s="4" t="inlineStr">
        <is>
          <t>Chiffre d'affaires total</t>
        </is>
      </c>
      <c r="B106" s="17">
        <f>SUM(C106:L106)</f>
        <v/>
      </c>
      <c r="C106" s="17">
        <f>C95+C96+C97+C98+C99+C100+C101+C102+C103+C104+C105</f>
        <v/>
      </c>
      <c r="D106" s="17">
        <f>D95+D96+D97+D98+D99+D100+D101+D102+D103+D104+D105</f>
        <v/>
      </c>
      <c r="E106" s="17">
        <f>E95+E96+E97+E98+E99+E100+E101+E102+E103+E104+E105</f>
        <v/>
      </c>
      <c r="F106" s="17">
        <f>F95+F96+F97+F98+F99+F100+F101+F102+F103+F104+F105</f>
        <v/>
      </c>
      <c r="G106" s="17">
        <f>G95+G96+G97+G98+G99+G100+G101+G102+G103+G104+G105</f>
        <v/>
      </c>
      <c r="H106" s="17">
        <f>H95+H96+H97+H98+H99+H100+H101+H102+H103+H104+H105</f>
        <v/>
      </c>
      <c r="I106" s="17">
        <f>I95+I96+I97+I98+I99+I100+I101+I102+I103+I104+I105</f>
        <v/>
      </c>
      <c r="J106" s="17">
        <f>J95+J96+J97+J98+J99+J100+J101+J102+J103+J104+J105</f>
        <v/>
      </c>
      <c r="K106" s="17">
        <f>K95+K96+K97+K98+K99+K100+K101+K102+K103+K104+K105</f>
        <v/>
      </c>
      <c r="L106" s="17">
        <f>L95+L96+L97+L98+L99+L100+L101+L102+L103+L104+L105</f>
        <v/>
      </c>
    </row>
    <row r="107">
      <c r="A107" t="inlineStr">
        <is>
          <t xml:space="preserve">  dont équestre</t>
        </is>
      </c>
      <c r="B107" s="5">
        <f>SUM(C107:L107)</f>
        <v/>
      </c>
      <c r="C107" s="5">
        <f>C95*$F$58+C96*$F$59+C97*$F$60+C98*$F$61+C99*$F$62+C100*$F$63+C101*$F$64+C102*$F$65+C103*$F$66+C104*$F$67+C105*$F$68</f>
        <v/>
      </c>
      <c r="D107" s="5">
        <f>D95*$F$58+D96*$F$59+D97*$F$60+D98*$F$61+D99*$F$62+D100*$F$63+D101*$F$64+D102*$F$65+D103*$F$66+D104*$F$67+D105*$F$68</f>
        <v/>
      </c>
      <c r="E107" s="5">
        <f>E95*$F$58+E96*$F$59+E97*$F$60+E98*$F$61+E99*$F$62+E100*$F$63+E101*$F$64+E102*$F$65+E103*$F$66+E104*$F$67+E105*$F$68</f>
        <v/>
      </c>
      <c r="F107" s="5">
        <f>F95*$F$58+F96*$F$59+F97*$F$60+F98*$F$61+F99*$F$62+F100*$F$63+F101*$F$64+F102*$F$65+F103*$F$66+F104*$F$67+F105*$F$68</f>
        <v/>
      </c>
      <c r="G107" s="5">
        <f>G95*$F$58+G96*$F$59+G97*$F$60+G98*$F$61+G99*$F$62+G100*$F$63+G101*$F$64+G102*$F$65+G103*$F$66+G104*$F$67+G105*$F$68</f>
        <v/>
      </c>
      <c r="H107" s="5">
        <f>H95*$F$58+H96*$F$59+H97*$F$60+H98*$F$61+H99*$F$62+H100*$F$63+H101*$F$64+H102*$F$65+H103*$F$66+H104*$F$67+H105*$F$68</f>
        <v/>
      </c>
      <c r="I107" s="5">
        <f>I95*$F$58+I96*$F$59+I97*$F$60+I98*$F$61+I99*$F$62+I100*$F$63+I101*$F$64+I102*$F$65+I103*$F$66+I104*$F$67+I105*$F$68</f>
        <v/>
      </c>
      <c r="J107" s="5">
        <f>J95*$F$58+J96*$F$59+J97*$F$60+J98*$F$61+J99*$F$62+J100*$F$63+J101*$F$64+J102*$F$65+J103*$F$66+J104*$F$67+J105*$F$68</f>
        <v/>
      </c>
      <c r="K107" s="5">
        <f>K95*$F$58+K96*$F$59+K97*$F$60+K98*$F$61+K99*$F$62+K100*$F$63+K101*$F$64+K102*$F$65+K103*$F$66+K104*$F$67+K105*$F$68</f>
        <v/>
      </c>
      <c r="L107" s="5">
        <f>L95*$F$58+L96*$F$59+L97*$F$60+L98*$F$61+L99*$F$62+L100*$F$63+L101*$F$64+L102*$F$65+L103*$F$66+L104*$F$67+L105*$F$68</f>
        <v/>
      </c>
    </row>
    <row r="108">
      <c r="A108" t="inlineStr">
        <is>
          <t xml:space="preserve">  Part équestre du CA</t>
        </is>
      </c>
      <c r="C108" s="6">
        <f>IF(C106=0,0,C107/C106)</f>
        <v/>
      </c>
      <c r="D108" s="6">
        <f>IF(D106=0,0,D107/D106)</f>
        <v/>
      </c>
      <c r="E108" s="6">
        <f>IF(E106=0,0,E107/E106)</f>
        <v/>
      </c>
      <c r="F108" s="6">
        <f>IF(F106=0,0,F107/F106)</f>
        <v/>
      </c>
      <c r="G108" s="6">
        <f>IF(G106=0,0,G107/G106)</f>
        <v/>
      </c>
      <c r="H108" s="6">
        <f>IF(H106=0,0,H107/H106)</f>
        <v/>
      </c>
      <c r="I108" s="6">
        <f>IF(I106=0,0,I107/I106)</f>
        <v/>
      </c>
      <c r="J108" s="6">
        <f>IF(J106=0,0,J107/J106)</f>
        <v/>
      </c>
      <c r="K108" s="6">
        <f>IF(K106=0,0,K107/K106)</f>
        <v/>
      </c>
      <c r="L108" s="6">
        <f>IF(L106=0,0,L107/L106)</f>
        <v/>
      </c>
    </row>
    <row r="109">
      <c r="A109" t="inlineStr">
        <is>
          <t>Coûts variables</t>
        </is>
      </c>
      <c r="B109" s="5">
        <f>SUM(C109:L109)</f>
        <v/>
      </c>
      <c r="C109" s="5">
        <f>-(C95*$D$58+C96*$D$59+C97*$D$60+C98*$D$61+C99*$D$62+C100*$D$63+C101*$D$64+C102*$D$65+C103*$D$66+C104*$D$67+C105*$D$68)</f>
        <v/>
      </c>
      <c r="D109" s="5">
        <f>-(D95*$D$58+D96*$D$59+D97*$D$60+D98*$D$61+D99*$D$62+D100*$D$63+D101*$D$64+D102*$D$65+D103*$D$66+D104*$D$67+D105*$D$68)</f>
        <v/>
      </c>
      <c r="E109" s="5">
        <f>-(E95*$D$58+E96*$D$59+E97*$D$60+E98*$D$61+E99*$D$62+E100*$D$63+E101*$D$64+E102*$D$65+E103*$D$66+E104*$D$67+E105*$D$68)</f>
        <v/>
      </c>
      <c r="F109" s="5">
        <f>-(F95*$D$58+F96*$D$59+F97*$D$60+F98*$D$61+F99*$D$62+F100*$D$63+F101*$D$64+F102*$D$65+F103*$D$66+F104*$D$67+F105*$D$68)</f>
        <v/>
      </c>
      <c r="G109" s="5">
        <f>-(G95*$D$58+G96*$D$59+G97*$D$60+G98*$D$61+G99*$D$62+G100*$D$63+G101*$D$64+G102*$D$65+G103*$D$66+G104*$D$67+G105*$D$68)</f>
        <v/>
      </c>
      <c r="H109" s="5">
        <f>-(H95*$D$58+H96*$D$59+H97*$D$60+H98*$D$61+H99*$D$62+H100*$D$63+H101*$D$64+H102*$D$65+H103*$D$66+H104*$D$67+H105*$D$68)</f>
        <v/>
      </c>
      <c r="I109" s="5">
        <f>-(I95*$D$58+I96*$D$59+I97*$D$60+I98*$D$61+I99*$D$62+I100*$D$63+I101*$D$64+I102*$D$65+I103*$D$66+I104*$D$67+I105*$D$68)</f>
        <v/>
      </c>
      <c r="J109" s="5">
        <f>-(J95*$D$58+J96*$D$59+J97*$D$60+J98*$D$61+J99*$D$62+J100*$D$63+J101*$D$64+J102*$D$65+J103*$D$66+J104*$D$67+J105*$D$68)</f>
        <v/>
      </c>
      <c r="K109" s="5">
        <f>-(K95*$D$58+K96*$D$59+K97*$D$60+K98*$D$61+K99*$D$62+K100*$D$63+K101*$D$64+K102*$D$65+K103*$D$66+K104*$D$67+K105*$D$68)</f>
        <v/>
      </c>
      <c r="L109" s="5">
        <f>-(L95*$D$58+L96*$D$59+L97*$D$60+L98*$D$61+L99*$D$62+L100*$D$63+L101*$D$64+L102*$D$65+L103*$D$66+L104*$D$67+L105*$D$68)</f>
        <v/>
      </c>
    </row>
    <row r="110">
      <c r="A110" s="4" t="inlineStr">
        <is>
          <t>Marge sur coûts variables</t>
        </is>
      </c>
      <c r="B110" s="17">
        <f>SUM(C110:L110)</f>
        <v/>
      </c>
      <c r="C110" s="17">
        <f>C106+C109</f>
        <v/>
      </c>
      <c r="D110" s="17">
        <f>D106+D109</f>
        <v/>
      </c>
      <c r="E110" s="17">
        <f>E106+E109</f>
        <v/>
      </c>
      <c r="F110" s="17">
        <f>F106+F109</f>
        <v/>
      </c>
      <c r="G110" s="17">
        <f>G106+G109</f>
        <v/>
      </c>
      <c r="H110" s="17">
        <f>H106+H109</f>
        <v/>
      </c>
      <c r="I110" s="17">
        <f>I106+I109</f>
        <v/>
      </c>
      <c r="J110" s="17">
        <f>J106+J109</f>
        <v/>
      </c>
      <c r="K110" s="17">
        <f>K106+K109</f>
        <v/>
      </c>
      <c r="L110" s="17">
        <f>L106+L109</f>
        <v/>
      </c>
    </row>
    <row r="111">
      <c r="A111" t="inlineStr">
        <is>
          <t xml:space="preserve">  Énergie (chauffage partiel, électricité)</t>
        </is>
      </c>
      <c r="B111" s="5">
        <f>SUM(C111:L111)</f>
        <v/>
      </c>
      <c r="C111" s="5">
        <f>-$B$72*C91*IF($C$72=1,C92,IF(C88&gt;0,1,0))</f>
        <v/>
      </c>
      <c r="D111" s="5">
        <f>-$B$72*D91*IF($C$72=1,D92,IF(D88&gt;0,1,0))</f>
        <v/>
      </c>
      <c r="E111" s="5">
        <f>-$B$72*E91*IF($C$72=1,E92,IF(E88&gt;0,1,0))</f>
        <v/>
      </c>
      <c r="F111" s="5">
        <f>-$B$72*F91*IF($C$72=1,F92,IF(F88&gt;0,1,0))</f>
        <v/>
      </c>
      <c r="G111" s="5">
        <f>-$B$72*G91*IF($C$72=1,G92,IF(G88&gt;0,1,0))</f>
        <v/>
      </c>
      <c r="H111" s="5">
        <f>-$B$72*H91*IF($C$72=1,H92,IF(H88&gt;0,1,0))</f>
        <v/>
      </c>
      <c r="I111" s="5">
        <f>-$B$72*I91*IF($C$72=1,I92,IF(I88&gt;0,1,0))</f>
        <v/>
      </c>
      <c r="J111" s="5">
        <f>-$B$72*J91*IF($C$72=1,J92,IF(J88&gt;0,1,0))</f>
        <v/>
      </c>
      <c r="K111" s="5">
        <f>-$B$72*K91*IF($C$72=1,K92,IF(K88&gt;0,1,0))</f>
        <v/>
      </c>
      <c r="L111" s="5">
        <f>-$B$72*L91*IF($C$72=1,L92,IF(L88&gt;0,1,0))</f>
        <v/>
      </c>
    </row>
    <row r="112">
      <c r="A112" t="inlineStr">
        <is>
          <t xml:space="preserve">  Assurances bâtiment + RC activités</t>
        </is>
      </c>
      <c r="B112" s="5">
        <f>SUM(C112:L112)</f>
        <v/>
      </c>
      <c r="C112" s="5">
        <f>-$B$73*C91*IF($C$73=1,C92,IF(C88&gt;0,1,0))</f>
        <v/>
      </c>
      <c r="D112" s="5">
        <f>-$B$73*D91*IF($C$73=1,D92,IF(D88&gt;0,1,0))</f>
        <v/>
      </c>
      <c r="E112" s="5">
        <f>-$B$73*E91*IF($C$73=1,E92,IF(E88&gt;0,1,0))</f>
        <v/>
      </c>
      <c r="F112" s="5">
        <f>-$B$73*F91*IF($C$73=1,F92,IF(F88&gt;0,1,0))</f>
        <v/>
      </c>
      <c r="G112" s="5">
        <f>-$B$73*G91*IF($C$73=1,G92,IF(G88&gt;0,1,0))</f>
        <v/>
      </c>
      <c r="H112" s="5">
        <f>-$B$73*H91*IF($C$73=1,H92,IF(H88&gt;0,1,0))</f>
        <v/>
      </c>
      <c r="I112" s="5">
        <f>-$B$73*I91*IF($C$73=1,I92,IF(I88&gt;0,1,0))</f>
        <v/>
      </c>
      <c r="J112" s="5">
        <f>-$B$73*J91*IF($C$73=1,J92,IF(J88&gt;0,1,0))</f>
        <v/>
      </c>
      <c r="K112" s="5">
        <f>-$B$73*K91*IF($C$73=1,K92,IF(K88&gt;0,1,0))</f>
        <v/>
      </c>
      <c r="L112" s="5">
        <f>-$B$73*L91*IF($C$73=1,L92,IF(L88&gt;0,1,0))</f>
        <v/>
      </c>
    </row>
    <row r="113">
      <c r="A113" t="inlineStr">
        <is>
          <t xml:space="preserve">  Taxe foncière</t>
        </is>
      </c>
      <c r="B113" s="5">
        <f>SUM(C113:L113)</f>
        <v/>
      </c>
      <c r="C113" s="5">
        <f>-$B$74*C91*IF($C$74=1,C92,IF(C88&gt;0,1,0))</f>
        <v/>
      </c>
      <c r="D113" s="5">
        <f>-$B$74*D91*IF($C$74=1,D92,IF(D88&gt;0,1,0))</f>
        <v/>
      </c>
      <c r="E113" s="5">
        <f>-$B$74*E91*IF($C$74=1,E92,IF(E88&gt;0,1,0))</f>
        <v/>
      </c>
      <c r="F113" s="5">
        <f>-$B$74*F91*IF($C$74=1,F92,IF(F88&gt;0,1,0))</f>
        <v/>
      </c>
      <c r="G113" s="5">
        <f>-$B$74*G91*IF($C$74=1,G92,IF(G88&gt;0,1,0))</f>
        <v/>
      </c>
      <c r="H113" s="5">
        <f>-$B$74*H91*IF($C$74=1,H92,IF(H88&gt;0,1,0))</f>
        <v/>
      </c>
      <c r="I113" s="5">
        <f>-$B$74*I91*IF($C$74=1,I92,IF(I88&gt;0,1,0))</f>
        <v/>
      </c>
      <c r="J113" s="5">
        <f>-$B$74*J91*IF($C$74=1,J92,IF(J88&gt;0,1,0))</f>
        <v/>
      </c>
      <c r="K113" s="5">
        <f>-$B$74*K91*IF($C$74=1,K92,IF(K88&gt;0,1,0))</f>
        <v/>
      </c>
      <c r="L113" s="5">
        <f>-$B$74*L91*IF($C$74=1,L92,IF(L88&gt;0,1,0))</f>
        <v/>
      </c>
    </row>
    <row r="114">
      <c r="A114" t="inlineStr">
        <is>
          <t xml:space="preserve">  Jardinier / agent d'entretien (1 ETP chargé)</t>
        </is>
      </c>
      <c r="B114" s="5">
        <f>SUM(C114:L114)</f>
        <v/>
      </c>
      <c r="C114" s="5">
        <f>-$B$75*C91*IF($C$75=1,C92,IF(C88&gt;0,1,0))</f>
        <v/>
      </c>
      <c r="D114" s="5">
        <f>-$B$75*D91*IF($C$75=1,D92,IF(D88&gt;0,1,0))</f>
        <v/>
      </c>
      <c r="E114" s="5">
        <f>-$B$75*E91*IF($C$75=1,E92,IF(E88&gt;0,1,0))</f>
        <v/>
      </c>
      <c r="F114" s="5">
        <f>-$B$75*F91*IF($C$75=1,F92,IF(F88&gt;0,1,0))</f>
        <v/>
      </c>
      <c r="G114" s="5">
        <f>-$B$75*G91*IF($C$75=1,G92,IF(G88&gt;0,1,0))</f>
        <v/>
      </c>
      <c r="H114" s="5">
        <f>-$B$75*H91*IF($C$75=1,H92,IF(H88&gt;0,1,0))</f>
        <v/>
      </c>
      <c r="I114" s="5">
        <f>-$B$75*I91*IF($C$75=1,I92,IF(I88&gt;0,1,0))</f>
        <v/>
      </c>
      <c r="J114" s="5">
        <f>-$B$75*J91*IF($C$75=1,J92,IF(J88&gt;0,1,0))</f>
        <v/>
      </c>
      <c r="K114" s="5">
        <f>-$B$75*K91*IF($C$75=1,K92,IF(K88&gt;0,1,0))</f>
        <v/>
      </c>
      <c r="L114" s="5">
        <f>-$B$75*L91*IF($C$75=1,L92,IF(L88&gt;0,1,0))</f>
        <v/>
      </c>
    </row>
    <row r="115">
      <c r="A115" t="inlineStr">
        <is>
          <t xml:space="preserve">  Parc, haies, clôtures, petit entretien</t>
        </is>
      </c>
      <c r="B115" s="5">
        <f>SUM(C115:L115)</f>
        <v/>
      </c>
      <c r="C115" s="5">
        <f>-$B$76*C91*IF($C$76=1,C92,IF(C88&gt;0,1,0))</f>
        <v/>
      </c>
      <c r="D115" s="5">
        <f>-$B$76*D91*IF($C$76=1,D92,IF(D88&gt;0,1,0))</f>
        <v/>
      </c>
      <c r="E115" s="5">
        <f>-$B$76*E91*IF($C$76=1,E92,IF(E88&gt;0,1,0))</f>
        <v/>
      </c>
      <c r="F115" s="5">
        <f>-$B$76*F91*IF($C$76=1,F92,IF(F88&gt;0,1,0))</f>
        <v/>
      </c>
      <c r="G115" s="5">
        <f>-$B$76*G91*IF($C$76=1,G92,IF(G88&gt;0,1,0))</f>
        <v/>
      </c>
      <c r="H115" s="5">
        <f>-$B$76*H91*IF($C$76=1,H92,IF(H88&gt;0,1,0))</f>
        <v/>
      </c>
      <c r="I115" s="5">
        <f>-$B$76*I91*IF($C$76=1,I92,IF(I88&gt;0,1,0))</f>
        <v/>
      </c>
      <c r="J115" s="5">
        <f>-$B$76*J91*IF($C$76=1,J92,IF(J88&gt;0,1,0))</f>
        <v/>
      </c>
      <c r="K115" s="5">
        <f>-$B$76*K91*IF($C$76=1,K92,IF(K88&gt;0,1,0))</f>
        <v/>
      </c>
      <c r="L115" s="5">
        <f>-$B$76*L91*IF($C$76=1,L92,IF(L88&gt;0,1,0))</f>
        <v/>
      </c>
    </row>
    <row r="116">
      <c r="A116" t="inlineStr">
        <is>
          <t xml:space="preserve">  Soigneurs (3 ETP chargés)</t>
        </is>
      </c>
      <c r="B116" s="5">
        <f>SUM(C116:L116)</f>
        <v/>
      </c>
      <c r="C116" s="5">
        <f>-$B$77*C91*IF($C$77=1,C92,IF(C88&gt;0,1,0))</f>
        <v/>
      </c>
      <c r="D116" s="5">
        <f>-$B$77*D91*IF($C$77=1,D92,IF(D88&gt;0,1,0))</f>
        <v/>
      </c>
      <c r="E116" s="5">
        <f>-$B$77*E91*IF($C$77=1,E92,IF(E88&gt;0,1,0))</f>
        <v/>
      </c>
      <c r="F116" s="5">
        <f>-$B$77*F91*IF($C$77=1,F92,IF(F88&gt;0,1,0))</f>
        <v/>
      </c>
      <c r="G116" s="5">
        <f>-$B$77*G91*IF($C$77=1,G92,IF(G88&gt;0,1,0))</f>
        <v/>
      </c>
      <c r="H116" s="5">
        <f>-$B$77*H91*IF($C$77=1,H92,IF(H88&gt;0,1,0))</f>
        <v/>
      </c>
      <c r="I116" s="5">
        <f>-$B$77*I91*IF($C$77=1,I92,IF(I88&gt;0,1,0))</f>
        <v/>
      </c>
      <c r="J116" s="5">
        <f>-$B$77*J91*IF($C$77=1,J92,IF(J88&gt;0,1,0))</f>
        <v/>
      </c>
      <c r="K116" s="5">
        <f>-$B$77*K91*IF($C$77=1,K92,IF(K88&gt;0,1,0))</f>
        <v/>
      </c>
      <c r="L116" s="5">
        <f>-$B$77*L91*IF($C$77=1,L92,IF(L88&gt;0,1,0))</f>
        <v/>
      </c>
    </row>
    <row r="117">
      <c r="A117" t="inlineStr">
        <is>
          <t xml:space="preserve">  Responsable d'écurie (1 ETP chargé)</t>
        </is>
      </c>
      <c r="B117" s="5">
        <f>SUM(C117:L117)</f>
        <v/>
      </c>
      <c r="C117" s="5">
        <f>-$B$78*C91*IF($C$78=1,C92,IF(C88&gt;0,1,0))</f>
        <v/>
      </c>
      <c r="D117" s="5">
        <f>-$B$78*D91*IF($C$78=1,D92,IF(D88&gt;0,1,0))</f>
        <v/>
      </c>
      <c r="E117" s="5">
        <f>-$B$78*E91*IF($C$78=1,E92,IF(E88&gt;0,1,0))</f>
        <v/>
      </c>
      <c r="F117" s="5">
        <f>-$B$78*F91*IF($C$78=1,F92,IF(F88&gt;0,1,0))</f>
        <v/>
      </c>
      <c r="G117" s="5">
        <f>-$B$78*G91*IF($C$78=1,G92,IF(G88&gt;0,1,0))</f>
        <v/>
      </c>
      <c r="H117" s="5">
        <f>-$B$78*H91*IF($C$78=1,H92,IF(H88&gt;0,1,0))</f>
        <v/>
      </c>
      <c r="I117" s="5">
        <f>-$B$78*I91*IF($C$78=1,I92,IF(I88&gt;0,1,0))</f>
        <v/>
      </c>
      <c r="J117" s="5">
        <f>-$B$78*J91*IF($C$78=1,J92,IF(J88&gt;0,1,0))</f>
        <v/>
      </c>
      <c r="K117" s="5">
        <f>-$B$78*K91*IF($C$78=1,K92,IF(K88&gt;0,1,0))</f>
        <v/>
      </c>
      <c r="L117" s="5">
        <f>-$B$78*L91*IF($C$78=1,L92,IF(L88&gt;0,1,0))</f>
        <v/>
      </c>
    </row>
    <row r="118">
      <c r="A118" t="inlineStr">
        <is>
          <t xml:space="preserve">  Commercial, marketing, site, salons</t>
        </is>
      </c>
      <c r="B118" s="5">
        <f>SUM(C118:L118)</f>
        <v/>
      </c>
      <c r="C118" s="5">
        <f>-$B$79*C91*IF($C$79=1,C92,IF(C88&gt;0,1,0))</f>
        <v/>
      </c>
      <c r="D118" s="5">
        <f>-$B$79*D91*IF($C$79=1,D92,IF(D88&gt;0,1,0))</f>
        <v/>
      </c>
      <c r="E118" s="5">
        <f>-$B$79*E91*IF($C$79=1,E92,IF(E88&gt;0,1,0))</f>
        <v/>
      </c>
      <c r="F118" s="5">
        <f>-$B$79*F91*IF($C$79=1,F92,IF(F88&gt;0,1,0))</f>
        <v/>
      </c>
      <c r="G118" s="5">
        <f>-$B$79*G91*IF($C$79=1,G92,IF(G88&gt;0,1,0))</f>
        <v/>
      </c>
      <c r="H118" s="5">
        <f>-$B$79*H91*IF($C$79=1,H92,IF(H88&gt;0,1,0))</f>
        <v/>
      </c>
      <c r="I118" s="5">
        <f>-$B$79*I91*IF($C$79=1,I92,IF(I88&gt;0,1,0))</f>
        <v/>
      </c>
      <c r="J118" s="5">
        <f>-$B$79*J91*IF($C$79=1,J92,IF(J88&gt;0,1,0))</f>
        <v/>
      </c>
      <c r="K118" s="5">
        <f>-$B$79*K91*IF($C$79=1,K92,IF(K88&gt;0,1,0))</f>
        <v/>
      </c>
      <c r="L118" s="5">
        <f>-$B$79*L91*IF($C$79=1,L92,IF(L88&gt;0,1,0))</f>
        <v/>
      </c>
    </row>
    <row r="119">
      <c r="A119" t="inlineStr">
        <is>
          <t xml:space="preserve">  Comptabilité, juridique, banque, logiciels</t>
        </is>
      </c>
      <c r="B119" s="5">
        <f>SUM(C119:L119)</f>
        <v/>
      </c>
      <c r="C119" s="5">
        <f>-$B$80*C91*IF($C$80=1,C92,IF(C88&gt;0,1,0))</f>
        <v/>
      </c>
      <c r="D119" s="5">
        <f>-$B$80*D91*IF($C$80=1,D92,IF(D88&gt;0,1,0))</f>
        <v/>
      </c>
      <c r="E119" s="5">
        <f>-$B$80*E91*IF($C$80=1,E92,IF(E88&gt;0,1,0))</f>
        <v/>
      </c>
      <c r="F119" s="5">
        <f>-$B$80*F91*IF($C$80=1,F92,IF(F88&gt;0,1,0))</f>
        <v/>
      </c>
      <c r="G119" s="5">
        <f>-$B$80*G91*IF($C$80=1,G92,IF(G88&gt;0,1,0))</f>
        <v/>
      </c>
      <c r="H119" s="5">
        <f>-$B$80*H91*IF($C$80=1,H92,IF(H88&gt;0,1,0))</f>
        <v/>
      </c>
      <c r="I119" s="5">
        <f>-$B$80*I91*IF($C$80=1,I92,IF(I88&gt;0,1,0))</f>
        <v/>
      </c>
      <c r="J119" s="5">
        <f>-$B$80*J91*IF($C$80=1,J92,IF(J88&gt;0,1,0))</f>
        <v/>
      </c>
      <c r="K119" s="5">
        <f>-$B$80*K91*IF($C$80=1,K92,IF(K88&gt;0,1,0))</f>
        <v/>
      </c>
      <c r="L119" s="5">
        <f>-$B$80*L91*IF($C$80=1,L92,IF(L88&gt;0,1,0))</f>
        <v/>
      </c>
    </row>
    <row r="120">
      <c r="A120" t="inlineStr">
        <is>
          <t xml:space="preserve">  Entretien installations équestres, matériel, véhicules</t>
        </is>
      </c>
      <c r="B120" s="5">
        <f>SUM(C120:L120)</f>
        <v/>
      </c>
      <c r="C120" s="5">
        <f>-$B$81*C91*IF($C$81=1,C92,IF(C88&gt;0,1,0))</f>
        <v/>
      </c>
      <c r="D120" s="5">
        <f>-$B$81*D91*IF($C$81=1,D92,IF(D88&gt;0,1,0))</f>
        <v/>
      </c>
      <c r="E120" s="5">
        <f>-$B$81*E91*IF($C$81=1,E92,IF(E88&gt;0,1,0))</f>
        <v/>
      </c>
      <c r="F120" s="5">
        <f>-$B$81*F91*IF($C$81=1,F92,IF(F88&gt;0,1,0))</f>
        <v/>
      </c>
      <c r="G120" s="5">
        <f>-$B$81*G91*IF($C$81=1,G92,IF(G88&gt;0,1,0))</f>
        <v/>
      </c>
      <c r="H120" s="5">
        <f>-$B$81*H91*IF($C$81=1,H92,IF(H88&gt;0,1,0))</f>
        <v/>
      </c>
      <c r="I120" s="5">
        <f>-$B$81*I91*IF($C$81=1,I92,IF(I88&gt;0,1,0))</f>
        <v/>
      </c>
      <c r="J120" s="5">
        <f>-$B$81*J91*IF($C$81=1,J92,IF(J88&gt;0,1,0))</f>
        <v/>
      </c>
      <c r="K120" s="5">
        <f>-$B$81*K91*IF($C$81=1,K92,IF(K88&gt;0,1,0))</f>
        <v/>
      </c>
      <c r="L120" s="5">
        <f>-$B$81*L91*IF($C$81=1,L92,IF(L88&gt;0,1,0))</f>
        <v/>
      </c>
    </row>
    <row r="121">
      <c r="A121" t="inlineStr">
        <is>
          <t xml:space="preserve">  Rémunération du dirigeant (chargée)</t>
        </is>
      </c>
      <c r="B121" s="5">
        <f>SUM(C121:L121)</f>
        <v/>
      </c>
      <c r="C121" s="5">
        <f>-$B$82*C91*IF($C$82=1,C92,IF(C88&gt;0,1,0))</f>
        <v/>
      </c>
      <c r="D121" s="5">
        <f>-$B$82*D91*IF($C$82=1,D92,IF(D88&gt;0,1,0))</f>
        <v/>
      </c>
      <c r="E121" s="5">
        <f>-$B$82*E91*IF($C$82=1,E92,IF(E88&gt;0,1,0))</f>
        <v/>
      </c>
      <c r="F121" s="5">
        <f>-$B$82*F91*IF($C$82=1,F92,IF(F88&gt;0,1,0))</f>
        <v/>
      </c>
      <c r="G121" s="5">
        <f>-$B$82*G91*IF($C$82=1,G92,IF(G88&gt;0,1,0))</f>
        <v/>
      </c>
      <c r="H121" s="5">
        <f>-$B$82*H91*IF($C$82=1,H92,IF(H88&gt;0,1,0))</f>
        <v/>
      </c>
      <c r="I121" s="5">
        <f>-$B$82*I91*IF($C$82=1,I92,IF(I88&gt;0,1,0))</f>
        <v/>
      </c>
      <c r="J121" s="5">
        <f>-$B$82*J91*IF($C$82=1,J92,IF(J88&gt;0,1,0))</f>
        <v/>
      </c>
      <c r="K121" s="5">
        <f>-$B$82*K91*IF($C$82=1,K92,IF(K88&gt;0,1,0))</f>
        <v/>
      </c>
      <c r="L121" s="5">
        <f>-$B$82*L91*IF($C$82=1,L92,IF(L88&gt;0,1,0))</f>
        <v/>
      </c>
    </row>
    <row r="122">
      <c r="A122" t="inlineStr">
        <is>
          <t xml:space="preserve">  Organisation événements équestres (prestataires fixes, sono, secours)</t>
        </is>
      </c>
      <c r="B122" s="5">
        <f>SUM(C122:L122)</f>
        <v/>
      </c>
      <c r="C122" s="5">
        <f>-$B$83*C91*IF($C$83=1,C92,IF(C88&gt;0,1,0))</f>
        <v/>
      </c>
      <c r="D122" s="5">
        <f>-$B$83*D91*IF($C$83=1,D92,IF(D88&gt;0,1,0))</f>
        <v/>
      </c>
      <c r="E122" s="5">
        <f>-$B$83*E91*IF($C$83=1,E92,IF(E88&gt;0,1,0))</f>
        <v/>
      </c>
      <c r="F122" s="5">
        <f>-$B$83*F91*IF($C$83=1,F92,IF(F88&gt;0,1,0))</f>
        <v/>
      </c>
      <c r="G122" s="5">
        <f>-$B$83*G91*IF($C$83=1,G92,IF(G88&gt;0,1,0))</f>
        <v/>
      </c>
      <c r="H122" s="5">
        <f>-$B$83*H91*IF($C$83=1,H92,IF(H88&gt;0,1,0))</f>
        <v/>
      </c>
      <c r="I122" s="5">
        <f>-$B$83*I91*IF($C$83=1,I92,IF(I88&gt;0,1,0))</f>
        <v/>
      </c>
      <c r="J122" s="5">
        <f>-$B$83*J91*IF($C$83=1,J92,IF(J88&gt;0,1,0))</f>
        <v/>
      </c>
      <c r="K122" s="5">
        <f>-$B$83*K91*IF($C$83=1,K92,IF(K88&gt;0,1,0))</f>
        <v/>
      </c>
      <c r="L122" s="5">
        <f>-$B$83*L91*IF($C$83=1,L92,IF(L88&gt;0,1,0))</f>
        <v/>
      </c>
    </row>
    <row r="123">
      <c r="A123" s="4" t="inlineStr">
        <is>
          <t>Charges fixes totales</t>
        </is>
      </c>
      <c r="B123" s="17">
        <f>SUM(C123:L123)</f>
        <v/>
      </c>
      <c r="C123" s="17">
        <f>C111+C112+C113+C114+C115+C116+C117+C118+C119+C120+C121+C122</f>
        <v/>
      </c>
      <c r="D123" s="17">
        <f>D111+D112+D113+D114+D115+D116+D117+D118+D119+D120+D121+D122</f>
        <v/>
      </c>
      <c r="E123" s="17">
        <f>E111+E112+E113+E114+E115+E116+E117+E118+E119+E120+E121+E122</f>
        <v/>
      </c>
      <c r="F123" s="17">
        <f>F111+F112+F113+F114+F115+F116+F117+F118+F119+F120+F121+F122</f>
        <v/>
      </c>
      <c r="G123" s="17">
        <f>G111+G112+G113+G114+G115+G116+G117+G118+G119+G120+G121+G122</f>
        <v/>
      </c>
      <c r="H123" s="17">
        <f>H111+H112+H113+H114+H115+H116+H117+H118+H119+H120+H121+H122</f>
        <v/>
      </c>
      <c r="I123" s="17">
        <f>I111+I112+I113+I114+I115+I116+I117+I118+I119+I120+I121+I122</f>
        <v/>
      </c>
      <c r="J123" s="17">
        <f>J111+J112+J113+J114+J115+J116+J117+J118+J119+J120+J121+J122</f>
        <v/>
      </c>
      <c r="K123" s="17">
        <f>K111+K112+K113+K114+K115+K116+K117+K118+K119+K120+K121+K122</f>
        <v/>
      </c>
      <c r="L123" s="17">
        <f>L111+L112+L113+L114+L115+L116+L117+L118+L119+L120+L121+L122</f>
        <v/>
      </c>
    </row>
    <row r="124">
      <c r="A124" t="inlineStr">
        <is>
          <t>Loyer des murs (avant acquisition)</t>
        </is>
      </c>
      <c r="B124" s="5">
        <f>SUM(C124:L124)</f>
        <v/>
      </c>
      <c r="C124" s="5">
        <f>-IF(C92=0,IF(C88&gt;0,$B$18*C91,0),0)</f>
        <v/>
      </c>
      <c r="D124" s="5">
        <f>-IF(D92=0,IF(D88&gt;0,$B$18*D91,0),0)</f>
        <v/>
      </c>
      <c r="E124" s="5">
        <f>-IF(E92=0,IF(E88&gt;0,$B$18*E91,0),0)</f>
        <v/>
      </c>
      <c r="F124" s="5">
        <f>-IF(F92=0,IF(F88&gt;0,$B$18*F91,0),0)</f>
        <v/>
      </c>
      <c r="G124" s="5">
        <f>-IF(G92=0,IF(G88&gt;0,$B$18*G91,0),0)</f>
        <v/>
      </c>
      <c r="H124" s="5">
        <f>-IF(H92=0,IF(H88&gt;0,$B$18*H91,0),0)</f>
        <v/>
      </c>
      <c r="I124" s="5">
        <f>-IF(I92=0,IF(I88&gt;0,$B$18*I91,0),0)</f>
        <v/>
      </c>
      <c r="J124" s="5">
        <f>-IF(J92=0,IF(J88&gt;0,$B$18*J91,0),0)</f>
        <v/>
      </c>
      <c r="K124" s="5">
        <f>-IF(K92=0,IF(K88&gt;0,$B$18*K91,0),0)</f>
        <v/>
      </c>
      <c r="L124" s="5">
        <f>-IF(L92=0,IF(L88&gt;0,$B$18*L91,0),0)</f>
        <v/>
      </c>
    </row>
    <row r="125">
      <c r="A125" s="4" t="inlineStr">
        <is>
          <t>EBITDA</t>
        </is>
      </c>
      <c r="B125" s="17">
        <f>SUM(C125:L125)</f>
        <v/>
      </c>
      <c r="C125" s="17">
        <f>C110+C123+C124</f>
        <v/>
      </c>
      <c r="D125" s="17">
        <f>D110+D123+D124</f>
        <v/>
      </c>
      <c r="E125" s="17">
        <f>E110+E123+E124</f>
        <v/>
      </c>
      <c r="F125" s="17">
        <f>F110+F123+F124</f>
        <v/>
      </c>
      <c r="G125" s="17">
        <f>G110+G123+G124</f>
        <v/>
      </c>
      <c r="H125" s="17">
        <f>H110+H123+H124</f>
        <v/>
      </c>
      <c r="I125" s="17">
        <f>I110+I123+I124</f>
        <v/>
      </c>
      <c r="J125" s="17">
        <f>J110+J123+J124</f>
        <v/>
      </c>
      <c r="K125" s="17">
        <f>K110+K123+K124</f>
        <v/>
      </c>
      <c r="L125" s="17">
        <f>L110+L123+L124</f>
        <v/>
      </c>
    </row>
    <row r="126">
      <c r="A126" t="inlineStr">
        <is>
          <t xml:space="preserve">  Marge d'EBITDA</t>
        </is>
      </c>
      <c r="C126" s="6">
        <f>IF(C106=0,0,C125/C106)</f>
        <v/>
      </c>
      <c r="D126" s="6">
        <f>IF(D106=0,0,D125/D106)</f>
        <v/>
      </c>
      <c r="E126" s="6">
        <f>IF(E106=0,0,E125/E106)</f>
        <v/>
      </c>
      <c r="F126" s="6">
        <f>IF(F106=0,0,F125/F106)</f>
        <v/>
      </c>
      <c r="G126" s="6">
        <f>IF(G106=0,0,G125/G106)</f>
        <v/>
      </c>
      <c r="H126" s="6">
        <f>IF(H106=0,0,H125/H106)</f>
        <v/>
      </c>
      <c r="I126" s="6">
        <f>IF(I106=0,0,I125/I106)</f>
        <v/>
      </c>
      <c r="J126" s="6">
        <f>IF(J106=0,0,J125/J106)</f>
        <v/>
      </c>
      <c r="K126" s="6">
        <f>IF(K106=0,0,K125/K106)</f>
        <v/>
      </c>
      <c r="L126" s="6">
        <f>IF(L106=0,0,L125/L106)</f>
        <v/>
      </c>
    </row>
    <row r="127">
      <c r="A127" t="inlineStr">
        <is>
          <t>Travaux et équipements initiaux</t>
        </is>
      </c>
      <c r="B127" s="5">
        <f>SUM(C127:L127)</f>
        <v/>
      </c>
      <c r="C127" s="5">
        <f>($B$10+$B$11+$B$12)*$B$41*IF(C$86=$B$5,$B$13,IF(C$86=$B$5+1,$B$14,IF(C$86=$B$5+2,$B$15,0)))*C91</f>
        <v/>
      </c>
      <c r="D127" s="5">
        <f>($B$10+$B$11+$B$12)*$B$41*IF(D$86=$B$5,$B$13,IF(D$86=$B$5+1,$B$14,IF(D$86=$B$5+2,$B$15,0)))*D91</f>
        <v/>
      </c>
      <c r="E127" s="5">
        <f>($B$10+$B$11+$B$12)*$B$41*IF(E$86=$B$5,$B$13,IF(E$86=$B$5+1,$B$14,IF(E$86=$B$5+2,$B$15,0)))*E91</f>
        <v/>
      </c>
      <c r="F127" s="5">
        <f>($B$10+$B$11+$B$12)*$B$41*IF(F$86=$B$5,$B$13,IF(F$86=$B$5+1,$B$14,IF(F$86=$B$5+2,$B$15,0)))*F91</f>
        <v/>
      </c>
      <c r="G127" s="5">
        <f>($B$10+$B$11+$B$12)*$B$41*IF(G$86=$B$5,$B$13,IF(G$86=$B$5+1,$B$14,IF(G$86=$B$5+2,$B$15,0)))*G91</f>
        <v/>
      </c>
      <c r="H127" s="5">
        <f>($B$10+$B$11+$B$12)*$B$41*IF(H$86=$B$5,$B$13,IF(H$86=$B$5+1,$B$14,IF(H$86=$B$5+2,$B$15,0)))*H91</f>
        <v/>
      </c>
      <c r="I127" s="5">
        <f>($B$10+$B$11+$B$12)*$B$41*IF(I$86=$B$5,$B$13,IF(I$86=$B$5+1,$B$14,IF(I$86=$B$5+2,$B$15,0)))*I91</f>
        <v/>
      </c>
      <c r="J127" s="5">
        <f>($B$10+$B$11+$B$12)*$B$41*IF(J$86=$B$5,$B$13,IF(J$86=$B$5+1,$B$14,IF(J$86=$B$5+2,$B$15,0)))*J91</f>
        <v/>
      </c>
      <c r="K127" s="5">
        <f>($B$10+$B$11+$B$12)*$B$41*IF(K$86=$B$5,$B$13,IF(K$86=$B$5+1,$B$14,IF(K$86=$B$5+2,$B$15,0)))*K91</f>
        <v/>
      </c>
      <c r="L127" s="5">
        <f>($B$10+$B$11+$B$12)*$B$41*IF(L$86=$B$5,$B$13,IF(L$86=$B$5+1,$B$14,IF(L$86=$B$5+2,$B$15,0)))*L91</f>
        <v/>
      </c>
    </row>
    <row r="128">
      <c r="A128" t="inlineStr">
        <is>
          <t>Acquisition (prix + frais)</t>
        </is>
      </c>
      <c r="B128" s="5">
        <f>SUM(C128:L128)</f>
        <v/>
      </c>
      <c r="C128" s="5">
        <f>IF(C$86=$B$5,$B$7*(1+$B$8),0)</f>
        <v/>
      </c>
      <c r="D128" s="5">
        <f>IF(D$86=$B$5,$B$7*(1+$B$8),0)</f>
        <v/>
      </c>
      <c r="E128" s="5">
        <f>IF(E$86=$B$5,$B$7*(1+$B$8),0)</f>
        <v/>
      </c>
      <c r="F128" s="5">
        <f>IF(F$86=$B$5,$B$7*(1+$B$8),0)</f>
        <v/>
      </c>
      <c r="G128" s="5">
        <f>IF(G$86=$B$5,$B$7*(1+$B$8),0)</f>
        <v/>
      </c>
      <c r="H128" s="5">
        <f>IF(H$86=$B$5,$B$7*(1+$B$8),0)</f>
        <v/>
      </c>
      <c r="I128" s="5">
        <f>IF(I$86=$B$5,$B$7*(1+$B$8),0)</f>
        <v/>
      </c>
      <c r="J128" s="5">
        <f>IF(J$86=$B$5,$B$7*(1+$B$8),0)</f>
        <v/>
      </c>
      <c r="K128" s="5">
        <f>IF(K$86=$B$5,$B$7*(1+$B$8),0)</f>
        <v/>
      </c>
      <c r="L128" s="5">
        <f>IF(L$86=$B$5,$B$7*(1+$B$8),0)</f>
        <v/>
      </c>
    </row>
    <row r="129">
      <c r="A129" t="inlineStr">
        <is>
          <t>Gros entretien patrimonial récurrent</t>
        </is>
      </c>
      <c r="B129" s="5">
        <f>SUM(C129:L129)</f>
        <v/>
      </c>
      <c r="C129" s="5">
        <f>IF(C$86&gt;=$B$5+3,$B$16*($B$7+($B$10+$B$11+$B$12)*$B$41)*C91,0)</f>
        <v/>
      </c>
      <c r="D129" s="5">
        <f>IF(D$86&gt;=$B$5+3,$B$16*($B$7+($B$10+$B$11+$B$12)*$B$41)*D91,0)</f>
        <v/>
      </c>
      <c r="E129" s="5">
        <f>IF(E$86&gt;=$B$5+3,$B$16*($B$7+($B$10+$B$11+$B$12)*$B$41)*E91,0)</f>
        <v/>
      </c>
      <c r="F129" s="5">
        <f>IF(F$86&gt;=$B$5+3,$B$16*($B$7+($B$10+$B$11+$B$12)*$B$41)*F91,0)</f>
        <v/>
      </c>
      <c r="G129" s="5">
        <f>IF(G$86&gt;=$B$5+3,$B$16*($B$7+($B$10+$B$11+$B$12)*$B$41)*G91,0)</f>
        <v/>
      </c>
      <c r="H129" s="5">
        <f>IF(H$86&gt;=$B$5+3,$B$16*($B$7+($B$10+$B$11+$B$12)*$B$41)*H91,0)</f>
        <v/>
      </c>
      <c r="I129" s="5">
        <f>IF(I$86&gt;=$B$5+3,$B$16*($B$7+($B$10+$B$11+$B$12)*$B$41)*I91,0)</f>
        <v/>
      </c>
      <c r="J129" s="5">
        <f>IF(J$86&gt;=$B$5+3,$B$16*($B$7+($B$10+$B$11+$B$12)*$B$41)*J91,0)</f>
        <v/>
      </c>
      <c r="K129" s="5">
        <f>IF(K$86&gt;=$B$5+3,$B$16*($B$7+($B$10+$B$11+$B$12)*$B$41)*K91,0)</f>
        <v/>
      </c>
      <c r="L129" s="5">
        <f>IF(L$86&gt;=$B$5+3,$B$16*($B$7+($B$10+$B$11+$B$12)*$B$41)*L91,0)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-(C92*$B$7*(1+$B$8)*$B$9/30+C130/15)</f>
        <v/>
      </c>
      <c r="D131" s="5">
        <f>-(D92*$B$7*(1+$B$8)*$B$9/30+D130/15)</f>
        <v/>
      </c>
      <c r="E131" s="5">
        <f>-(E92*$B$7*(1+$B$8)*$B$9/30+E130/15)</f>
        <v/>
      </c>
      <c r="F131" s="5">
        <f>-(F92*$B$7*(1+$B$8)*$B$9/30+F130/15)</f>
        <v/>
      </c>
      <c r="G131" s="5">
        <f>-(G92*$B$7*(1+$B$8)*$B$9/30+G130/15)</f>
        <v/>
      </c>
      <c r="H131" s="5">
        <f>-(H92*$B$7*(1+$B$8)*$B$9/30+H130/15)</f>
        <v/>
      </c>
      <c r="I131" s="5">
        <f>-(I92*$B$7*(1+$B$8)*$B$9/30+I130/15)</f>
        <v/>
      </c>
      <c r="J131" s="5">
        <f>-(J92*$B$7*(1+$B$8)*$B$9/30+J130/15)</f>
        <v/>
      </c>
      <c r="K131" s="5">
        <f>-(K92*$B$7*(1+$B$8)*$B$9/30+K130/15)</f>
        <v/>
      </c>
      <c r="L131" s="5">
        <f>-(L92*$B$7*(1+$B$8)*$B$9/30+L130/15)</f>
        <v/>
      </c>
    </row>
    <row r="132">
      <c r="A132" s="4" t="inlineStr">
        <is>
          <t>Résultat d'exploitation</t>
        </is>
      </c>
      <c r="B132" s="17">
        <f>SUM(C132:L132)</f>
        <v/>
      </c>
      <c r="C132" s="17">
        <f>C125+C131</f>
        <v/>
      </c>
      <c r="D132" s="17">
        <f>D125+D131</f>
        <v/>
      </c>
      <c r="E132" s="17">
        <f>E125+E131</f>
        <v/>
      </c>
      <c r="F132" s="17">
        <f>F125+F131</f>
        <v/>
      </c>
      <c r="G132" s="17">
        <f>G125+G131</f>
        <v/>
      </c>
      <c r="H132" s="17">
        <f>H125+H131</f>
        <v/>
      </c>
      <c r="I132" s="17">
        <f>I125+I131</f>
        <v/>
      </c>
      <c r="J132" s="17">
        <f>J125+J131</f>
        <v/>
      </c>
      <c r="K132" s="17">
        <f>K125+K131</f>
        <v/>
      </c>
      <c r="L132" s="17">
        <f>L125+L131</f>
        <v/>
      </c>
    </row>
    <row r="134">
      <c r="A134" s="4" t="inlineStr">
        <is>
          <t>Échéancier des emprunts</t>
        </is>
      </c>
    </row>
    <row r="135">
      <c r="A135" t="inlineStr">
        <is>
          <t>Taux bancaire effectif</t>
        </is>
      </c>
      <c r="C135" s="6">
        <f>$B$26+$B$43</f>
        <v/>
      </c>
      <c r="D135" s="6">
        <f>$B$26+$B$43</f>
        <v/>
      </c>
      <c r="E135" s="6">
        <f>$B$26+$B$43</f>
        <v/>
      </c>
      <c r="F135" s="6">
        <f>$B$26+$B$43</f>
        <v/>
      </c>
      <c r="G135" s="6">
        <f>$B$26+$B$43</f>
        <v/>
      </c>
      <c r="H135" s="6">
        <f>$B$26+$B$43</f>
        <v/>
      </c>
      <c r="I135" s="6">
        <f>$B$26+$B$43</f>
        <v/>
      </c>
      <c r="J135" s="6">
        <f>$B$26+$B$43</f>
        <v/>
      </c>
      <c r="K135" s="6">
        <f>$B$26+$B$43</f>
        <v/>
      </c>
      <c r="L135" s="6">
        <f>$B$26+$B$43</f>
        <v/>
      </c>
    </row>
    <row r="136">
      <c r="A136" t="inlineStr">
        <is>
          <t>Rang de l'année d'emprunt</t>
        </is>
      </c>
      <c r="C136" s="8">
        <f>MAX(0,C$86-$B$5+1)</f>
        <v/>
      </c>
      <c r="D136" s="8">
        <f>MAX(0,D$86-$B$5+1)</f>
        <v/>
      </c>
      <c r="E136" s="8">
        <f>MAX(0,E$86-$B$5+1)</f>
        <v/>
      </c>
      <c r="F136" s="8">
        <f>MAX(0,F$86-$B$5+1)</f>
        <v/>
      </c>
      <c r="G136" s="8">
        <f>MAX(0,G$86-$B$5+1)</f>
        <v/>
      </c>
      <c r="H136" s="8">
        <f>MAX(0,H$86-$B$5+1)</f>
        <v/>
      </c>
      <c r="I136" s="8">
        <f>MAX(0,I$86-$B$5+1)</f>
        <v/>
      </c>
      <c r="J136" s="8">
        <f>MAX(0,J$86-$B$5+1)</f>
        <v/>
      </c>
      <c r="K136" s="8">
        <f>MAX(0,K$86-$B$5+1)</f>
        <v/>
      </c>
      <c r="L136" s="8">
        <f>MAX(0,L$86-$B$5+1)</f>
        <v/>
      </c>
    </row>
    <row r="137">
      <c r="A137" t="inlineStr">
        <is>
          <t>Dette bancaire — capital début</t>
        </is>
      </c>
      <c r="C137" s="5">
        <f>IF(C136=1,$B$25,0)</f>
        <v/>
      </c>
      <c r="D137" s="5">
        <f>IF(D136=1,$B$25,C140)</f>
        <v/>
      </c>
      <c r="E137" s="5">
        <f>IF(E136=1,$B$25,D140)</f>
        <v/>
      </c>
      <c r="F137" s="5">
        <f>IF(F136=1,$B$25,E140)</f>
        <v/>
      </c>
      <c r="G137" s="5">
        <f>IF(G136=1,$B$25,F140)</f>
        <v/>
      </c>
      <c r="H137" s="5">
        <f>IF(H136=1,$B$25,G140)</f>
        <v/>
      </c>
      <c r="I137" s="5">
        <f>IF(I136=1,$B$25,H140)</f>
        <v/>
      </c>
      <c r="J137" s="5">
        <f>IF(J136=1,$B$25,I140)</f>
        <v/>
      </c>
      <c r="K137" s="5">
        <f>IF(K136=1,$B$25,J140)</f>
        <v/>
      </c>
      <c r="L137" s="5">
        <f>IF(L136=1,$B$25,K140)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IF(OR(C136=0,C136&lt;=$B$28,C137&lt;=0),0,MIN(C137,PMT(C135,$B$27-$B$28,-$B$25)-C138))</f>
        <v/>
      </c>
      <c r="D139" s="5">
        <f>IF(OR(D136=0,D136&lt;=$B$28,D137&lt;=0),0,MIN(D137,PMT(D135,$B$27-$B$28,-$B$25)-D138))</f>
        <v/>
      </c>
      <c r="E139" s="5">
        <f>IF(OR(E136=0,E136&lt;=$B$28,E137&lt;=0),0,MIN(E137,PMT(E135,$B$27-$B$28,-$B$25)-E138))</f>
        <v/>
      </c>
      <c r="F139" s="5">
        <f>IF(OR(F136=0,F136&lt;=$B$28,F137&lt;=0),0,MIN(F137,PMT(F135,$B$27-$B$28,-$B$25)-F138))</f>
        <v/>
      </c>
      <c r="G139" s="5">
        <f>IF(OR(G136=0,G136&lt;=$B$28,G137&lt;=0),0,MIN(G137,PMT(G135,$B$27-$B$28,-$B$25)-G138))</f>
        <v/>
      </c>
      <c r="H139" s="5">
        <f>IF(OR(H136=0,H136&lt;=$B$28,H137&lt;=0),0,MIN(H137,PMT(H135,$B$27-$B$28,-$B$25)-H138))</f>
        <v/>
      </c>
      <c r="I139" s="5">
        <f>IF(OR(I136=0,I136&lt;=$B$28,I137&lt;=0),0,MIN(I137,PMT(I135,$B$27-$B$28,-$B$25)-I138))</f>
        <v/>
      </c>
      <c r="J139" s="5">
        <f>IF(OR(J136=0,J136&lt;=$B$28,J137&lt;=0),0,MIN(J137,PMT(J135,$B$27-$B$28,-$B$25)-J138))</f>
        <v/>
      </c>
      <c r="K139" s="5">
        <f>IF(OR(K136=0,K136&lt;=$B$28,K137&lt;=0),0,MIN(K137,PMT(K135,$B$27-$B$28,-$B$25)-K138))</f>
        <v/>
      </c>
      <c r="L139" s="5">
        <f>IF(OR(L136=0,L136&lt;=$B$28,L137&lt;=0),0,MIN(L137,PMT(L135,$B$27-$B$28,-$B$25)-L138))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IF(C136=1,$B$29,0)</f>
        <v/>
      </c>
      <c r="D141" s="5">
        <f>IF(D136=1,$B$29,C144)</f>
        <v/>
      </c>
      <c r="E141" s="5">
        <f>IF(E136=1,$B$29,D144)</f>
        <v/>
      </c>
      <c r="F141" s="5">
        <f>IF(F136=1,$B$29,E144)</f>
        <v/>
      </c>
      <c r="G141" s="5">
        <f>IF(G136=1,$B$29,F144)</f>
        <v/>
      </c>
      <c r="H141" s="5">
        <f>IF(H136=1,$B$29,G144)</f>
        <v/>
      </c>
      <c r="I141" s="5">
        <f>IF(I136=1,$B$29,H144)</f>
        <v/>
      </c>
      <c r="J141" s="5">
        <f>IF(J136=1,$B$29,I144)</f>
        <v/>
      </c>
      <c r="K141" s="5">
        <f>IF(K136=1,$B$29,J144)</f>
        <v/>
      </c>
      <c r="L141" s="5">
        <f>IF(L136=1,$B$29,K144)</f>
        <v/>
      </c>
    </row>
    <row r="142">
      <c r="A142" t="inlineStr">
        <is>
          <t xml:space="preserve">  Intérêts crédit-vendeur</t>
        </is>
      </c>
      <c r="B142" s="5">
        <f>SUM(C142:L142)</f>
        <v/>
      </c>
      <c r="C142" s="5">
        <f>C141*$B$30</f>
        <v/>
      </c>
      <c r="D142" s="5">
        <f>D141*$B$30</f>
        <v/>
      </c>
      <c r="E142" s="5">
        <f>E141*$B$30</f>
        <v/>
      </c>
      <c r="F142" s="5">
        <f>F141*$B$30</f>
        <v/>
      </c>
      <c r="G142" s="5">
        <f>G141*$B$30</f>
        <v/>
      </c>
      <c r="H142" s="5">
        <f>H141*$B$30</f>
        <v/>
      </c>
      <c r="I142" s="5">
        <f>I141*$B$30</f>
        <v/>
      </c>
      <c r="J142" s="5">
        <f>J141*$B$30</f>
        <v/>
      </c>
      <c r="K142" s="5">
        <f>K141*$B$30</f>
        <v/>
      </c>
      <c r="L142" s="5">
        <f>L141*$B$30</f>
        <v/>
      </c>
    </row>
    <row r="143">
      <c r="A143" t="inlineStr">
        <is>
          <t xml:space="preserve">  Amortissement crédit-vendeur</t>
        </is>
      </c>
      <c r="B143" s="5">
        <f>SUM(C143:L143)</f>
        <v/>
      </c>
      <c r="C143" s="5">
        <f>IF(OR(C136=0,C141&lt;=0),0,MIN(C141,IF($B$30=0,$B$29/$B$31,PMT($B$30,$B$31,-$B$29)-C142)))</f>
        <v/>
      </c>
      <c r="D143" s="5">
        <f>IF(OR(D136=0,D141&lt;=0),0,MIN(D141,IF($B$30=0,$B$29/$B$31,PMT($B$30,$B$31,-$B$29)-D142)))</f>
        <v/>
      </c>
      <c r="E143" s="5">
        <f>IF(OR(E136=0,E141&lt;=0),0,MIN(E141,IF($B$30=0,$B$29/$B$31,PMT($B$30,$B$31,-$B$29)-E142)))</f>
        <v/>
      </c>
      <c r="F143" s="5">
        <f>IF(OR(F136=0,F141&lt;=0),0,MIN(F141,IF($B$30=0,$B$29/$B$31,PMT($B$30,$B$31,-$B$29)-F142)))</f>
        <v/>
      </c>
      <c r="G143" s="5">
        <f>IF(OR(G136=0,G141&lt;=0),0,MIN(G141,IF($B$30=0,$B$29/$B$31,PMT($B$30,$B$31,-$B$29)-G142)))</f>
        <v/>
      </c>
      <c r="H143" s="5">
        <f>IF(OR(H136=0,H141&lt;=0),0,MIN(H141,IF($B$30=0,$B$29/$B$31,PMT($B$30,$B$31,-$B$29)-H142)))</f>
        <v/>
      </c>
      <c r="I143" s="5">
        <f>IF(OR(I136=0,I141&lt;=0),0,MIN(I141,IF($B$30=0,$B$29/$B$31,PMT($B$30,$B$31,-$B$29)-I142)))</f>
        <v/>
      </c>
      <c r="J143" s="5">
        <f>IF(OR(J136=0,J141&lt;=0),0,MIN(J141,IF($B$30=0,$B$29/$B$31,PMT($B$30,$B$31,-$B$29)-J142)))</f>
        <v/>
      </c>
      <c r="K143" s="5">
        <f>IF(OR(K136=0,K141&lt;=0),0,MIN(K141,IF($B$30=0,$B$29/$B$31,PMT($B$30,$B$31,-$B$29)-K142)))</f>
        <v/>
      </c>
      <c r="L143" s="5">
        <f>IF(OR(L136=0,L141&lt;=0),0,MIN(L141,IF($B$30=0,$B$29/$B$31,PMT($B$30,$B$31,-$B$29)-L142)))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IF(AND(C$86&gt;=$B$5,C$86&lt;=$B$34),$B$32,0)</f>
        <v/>
      </c>
      <c r="D145" s="5">
        <f>IF(AND(D$86&gt;=$B$5,D$86&lt;=$B$34),$B$32,0)</f>
        <v/>
      </c>
      <c r="E145" s="5">
        <f>IF(AND(E$86&gt;=$B$5,E$86&lt;=$B$34),$B$32,0)</f>
        <v/>
      </c>
      <c r="F145" s="5">
        <f>IF(AND(F$86&gt;=$B$5,F$86&lt;=$B$34),$B$32,0)</f>
        <v/>
      </c>
      <c r="G145" s="5">
        <f>IF(AND(G$86&gt;=$B$5,G$86&lt;=$B$34),$B$32,0)</f>
        <v/>
      </c>
      <c r="H145" s="5">
        <f>IF(AND(H$86&gt;=$B$5,H$86&lt;=$B$34),$B$32,0)</f>
        <v/>
      </c>
      <c r="I145" s="5">
        <f>IF(AND(I$86&gt;=$B$5,I$86&lt;=$B$34),$B$32,0)</f>
        <v/>
      </c>
      <c r="J145" s="5">
        <f>IF(AND(J$86&gt;=$B$5,J$86&lt;=$B$34),$B$32,0)</f>
        <v/>
      </c>
      <c r="K145" s="5">
        <f>IF(AND(K$86&gt;=$B$5,K$86&lt;=$B$34),$B$32,0)</f>
        <v/>
      </c>
      <c r="L145" s="5">
        <f>IF(AND(L$86&gt;=$B$5,L$86&lt;=$B$34),$B$32,0)</f>
        <v/>
      </c>
    </row>
    <row r="146">
      <c r="A146" t="inlineStr">
        <is>
          <t xml:space="preserve">  Coupons obligataires</t>
        </is>
      </c>
      <c r="B146" s="5">
        <f>SUM(C146:L146)</f>
        <v/>
      </c>
      <c r="C146" s="5">
        <f>C145*$B$33</f>
        <v/>
      </c>
      <c r="D146" s="5">
        <f>D145*$B$33</f>
        <v/>
      </c>
      <c r="E146" s="5">
        <f>E145*$B$33</f>
        <v/>
      </c>
      <c r="F146" s="5">
        <f>F145*$B$33</f>
        <v/>
      </c>
      <c r="G146" s="5">
        <f>G145*$B$33</f>
        <v/>
      </c>
      <c r="H146" s="5">
        <f>H145*$B$33</f>
        <v/>
      </c>
      <c r="I146" s="5">
        <f>I145*$B$33</f>
        <v/>
      </c>
      <c r="J146" s="5">
        <f>J145*$B$33</f>
        <v/>
      </c>
      <c r="K146" s="5">
        <f>K145*$B$33</f>
        <v/>
      </c>
      <c r="L146" s="5">
        <f>L145*$B$33</f>
        <v/>
      </c>
    </row>
    <row r="147">
      <c r="A147" t="inlineStr">
        <is>
          <t xml:space="preserve">  Remboursement obligations</t>
        </is>
      </c>
      <c r="B147" s="5">
        <f>SUM(C147:L147)</f>
        <v/>
      </c>
      <c r="C147" s="5">
        <f>IF(C$86=$B$34,$B$32,0)</f>
        <v/>
      </c>
      <c r="D147" s="5">
        <f>IF(D$86=$B$34,$B$32,0)</f>
        <v/>
      </c>
      <c r="E147" s="5">
        <f>IF(E$86=$B$34,$B$32,0)</f>
        <v/>
      </c>
      <c r="F147" s="5">
        <f>IF(F$86=$B$34,$B$32,0)</f>
        <v/>
      </c>
      <c r="G147" s="5">
        <f>IF(G$86=$B$34,$B$32,0)</f>
        <v/>
      </c>
      <c r="H147" s="5">
        <f>IF(H$86=$B$34,$B$32,0)</f>
        <v/>
      </c>
      <c r="I147" s="5">
        <f>IF(I$86=$B$34,$B$32,0)</f>
        <v/>
      </c>
      <c r="J147" s="5">
        <f>IF(J$86=$B$34,$B$32,0)</f>
        <v/>
      </c>
      <c r="K147" s="5">
        <f>IF(K$86=$B$34,$B$32,0)</f>
        <v/>
      </c>
      <c r="L147" s="5">
        <f>IF(L$86=$B$34,$B$32,0)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7">
        <f>SUM(C150:L150)</f>
        <v/>
      </c>
      <c r="C150" s="17">
        <f>C132+C149</f>
        <v/>
      </c>
      <c r="D150" s="17">
        <f>D132+D149</f>
        <v/>
      </c>
      <c r="E150" s="17">
        <f>E132+E149</f>
        <v/>
      </c>
      <c r="F150" s="17">
        <f>F132+F149</f>
        <v/>
      </c>
      <c r="G150" s="17">
        <f>G132+G149</f>
        <v/>
      </c>
      <c r="H150" s="17">
        <f>H132+H149</f>
        <v/>
      </c>
      <c r="I150" s="17">
        <f>I132+I149</f>
        <v/>
      </c>
      <c r="J150" s="17">
        <f>J132+J149</f>
        <v/>
      </c>
      <c r="K150" s="17">
        <f>K132+K149</f>
        <v/>
      </c>
      <c r="L150" s="17">
        <f>L132+L149</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-MAX(0,C150)*$B$54</f>
        <v/>
      </c>
      <c r="D152" s="5">
        <f>-MAX(0,D150-C151)*$B$54</f>
        <v/>
      </c>
      <c r="E152" s="5">
        <f>-MAX(0,E150-D151)*$B$54</f>
        <v/>
      </c>
      <c r="F152" s="5">
        <f>-MAX(0,F150-E151)*$B$54</f>
        <v/>
      </c>
      <c r="G152" s="5">
        <f>-MAX(0,G150-F151)*$B$54</f>
        <v/>
      </c>
      <c r="H152" s="5">
        <f>-MAX(0,H150-G151)*$B$54</f>
        <v/>
      </c>
      <c r="I152" s="5">
        <f>-MAX(0,I150-H151)*$B$54</f>
        <v/>
      </c>
      <c r="J152" s="5">
        <f>-MAX(0,J150-I151)*$B$54</f>
        <v/>
      </c>
      <c r="K152" s="5">
        <f>-MAX(0,K150-J151)*$B$54</f>
        <v/>
      </c>
      <c r="L152" s="5">
        <f>-MAX(0,L150-K151)*$B$54</f>
        <v/>
      </c>
    </row>
    <row r="153">
      <c r="A153" s="4" t="inlineStr">
        <is>
          <t>Résultat net</t>
        </is>
      </c>
      <c r="B153" s="17">
        <f>SUM(C153:L153)</f>
        <v/>
      </c>
      <c r="C153" s="17">
        <f>C150+C152</f>
        <v/>
      </c>
      <c r="D153" s="17">
        <f>D150+D152</f>
        <v/>
      </c>
      <c r="E153" s="17">
        <f>E150+E152</f>
        <v/>
      </c>
      <c r="F153" s="17">
        <f>F150+F152</f>
        <v/>
      </c>
      <c r="G153" s="17">
        <f>G150+G152</f>
        <v/>
      </c>
      <c r="H153" s="17">
        <f>H150+H152</f>
        <v/>
      </c>
      <c r="I153" s="17">
        <f>I150+I152</f>
        <v/>
      </c>
      <c r="J153" s="17">
        <f>J150+J152</f>
        <v/>
      </c>
      <c r="K153" s="17">
        <f>K150+K152</f>
        <v/>
      </c>
      <c r="L153" s="17">
        <f>L150+L152</f>
        <v/>
      </c>
    </row>
    <row r="155">
      <c r="A155" s="4" t="inlineStr">
        <is>
          <t>Tableau des flux de trésorerie</t>
        </is>
      </c>
    </row>
    <row r="156">
      <c r="A156" t="inlineStr">
        <is>
          <t>BFR (niveau)</t>
        </is>
      </c>
      <c r="C156" s="5">
        <f>C106*$B$53</f>
        <v/>
      </c>
      <c r="D156" s="5">
        <f>D106*$B$53</f>
        <v/>
      </c>
      <c r="E156" s="5">
        <f>E106*$B$53</f>
        <v/>
      </c>
      <c r="F156" s="5">
        <f>F106*$B$53</f>
        <v/>
      </c>
      <c r="G156" s="5">
        <f>G106*$B$53</f>
        <v/>
      </c>
      <c r="H156" s="5">
        <f>H106*$B$53</f>
        <v/>
      </c>
      <c r="I156" s="5">
        <f>I106*$B$53</f>
        <v/>
      </c>
      <c r="J156" s="5">
        <f>J106*$B$53</f>
        <v/>
      </c>
      <c r="K156" s="5">
        <f>K106*$B$53</f>
        <v/>
      </c>
      <c r="L156" s="5">
        <f>L106*$B$53</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IS − ΔBFR)</t>
        </is>
      </c>
      <c r="B158" s="17">
        <f>SUM(C158:L158)</f>
        <v/>
      </c>
      <c r="C158" s="17">
        <f>C125+C152+C157</f>
        <v/>
      </c>
      <c r="D158" s="17">
        <f>D125+D152+D157</f>
        <v/>
      </c>
      <c r="E158" s="17">
        <f>E125+E152+E157</f>
        <v/>
      </c>
      <c r="F158" s="17">
        <f>F125+F152+F157</f>
        <v/>
      </c>
      <c r="G158" s="17">
        <f>G125+G152+G157</f>
        <v/>
      </c>
      <c r="H158" s="17">
        <f>H125+H152+H157</f>
        <v/>
      </c>
      <c r="I158" s="17">
        <f>I125+I152+I157</f>
        <v/>
      </c>
      <c r="J158" s="17">
        <f>J125+J152+J157</f>
        <v/>
      </c>
      <c r="K158" s="17">
        <f>K125+K152+K157</f>
        <v/>
      </c>
      <c r="L158" s="17">
        <f>L125+L152+L157</f>
        <v/>
      </c>
    </row>
    <row r="159">
      <c r="A159" s="4" t="inlineStr">
        <is>
          <t>Flux d'investissement</t>
        </is>
      </c>
      <c r="B159" s="17">
        <f>SUM(C159:L159)</f>
        <v/>
      </c>
      <c r="C159" s="17">
        <f>-(C128+C127+C129)</f>
        <v/>
      </c>
      <c r="D159" s="17">
        <f>-(D128+D127+D129)</f>
        <v/>
      </c>
      <c r="E159" s="17">
        <f>-(E128+E127+E129)</f>
        <v/>
      </c>
      <c r="F159" s="17">
        <f>-(F128+F127+F129)</f>
        <v/>
      </c>
      <c r="G159" s="17">
        <f>-(G128+G127+G129)</f>
        <v/>
      </c>
      <c r="H159" s="17">
        <f>-(H128+H127+H129)</f>
        <v/>
      </c>
      <c r="I159" s="17">
        <f>-(I128+I127+I129)</f>
        <v/>
      </c>
      <c r="J159" s="17">
        <f>-(J128+J127+J129)</f>
        <v/>
      </c>
      <c r="K159" s="17">
        <f>-(K128+K127+K129)</f>
        <v/>
      </c>
      <c r="L159" s="17">
        <f>-(L128+L127+L129)</f>
        <v/>
      </c>
    </row>
    <row r="160">
      <c r="A160" t="inlineStr">
        <is>
          <t xml:space="preserve">  Apports en fonds propres + subventions</t>
        </is>
      </c>
      <c r="B160" s="5">
        <f>SUM(C160:L160)</f>
        <v/>
      </c>
      <c r="C160" s="5">
        <f>IF(C$86=1,$B$21,0)+IF(C$86=$B$5,$B$22*(1-$B$44)+$B$24,0)</f>
        <v/>
      </c>
      <c r="D160" s="5">
        <f>IF(D$86=1,$B$21,0)+IF(D$86=$B$5,$B$22*(1-$B$44)+$B$24,0)</f>
        <v/>
      </c>
      <c r="E160" s="5">
        <f>IF(E$86=1,$B$21,0)+IF(E$86=$B$5,$B$22*(1-$B$44)+$B$24,0)</f>
        <v/>
      </c>
      <c r="F160" s="5">
        <f>IF(F$86=1,$B$21,0)+IF(F$86=$B$5,$B$22*(1-$B$44)+$B$24,0)</f>
        <v/>
      </c>
      <c r="G160" s="5">
        <f>IF(G$86=1,$B$21,0)+IF(G$86=$B$5,$B$22*(1-$B$44)+$B$24,0)</f>
        <v/>
      </c>
      <c r="H160" s="5">
        <f>IF(H$86=1,$B$21,0)+IF(H$86=$B$5,$B$22*(1-$B$44)+$B$24,0)</f>
        <v/>
      </c>
      <c r="I160" s="5">
        <f>IF(I$86=1,$B$21,0)+IF(I$86=$B$5,$B$22*(1-$B$44)+$B$24,0)</f>
        <v/>
      </c>
      <c r="J160" s="5">
        <f>IF(J$86=1,$B$21,0)+IF(J$86=$B$5,$B$22*(1-$B$44)+$B$24,0)</f>
        <v/>
      </c>
      <c r="K160" s="5">
        <f>IF(K$86=1,$B$21,0)+IF(K$86=$B$5,$B$22*(1-$B$44)+$B$24,0)</f>
        <v/>
      </c>
      <c r="L160" s="5">
        <f>IF(L$86=1,$B$21,0)+IF(L$86=$B$5,$B$22*(1-$B$44)+$B$24,0)</f>
        <v/>
      </c>
    </row>
    <row r="161">
      <c r="A161" t="inlineStr">
        <is>
          <t xml:space="preserve">  Tirages dette + crédit-vendeur + obligations</t>
        </is>
      </c>
      <c r="B161" s="5">
        <f>SUM(C161:L161)</f>
        <v/>
      </c>
      <c r="C161" s="5">
        <f>IF(C$86=$B$5,$B$25+$B$29+$B$32,0)</f>
        <v/>
      </c>
      <c r="D161" s="5">
        <f>IF(D$86=$B$5,$B$25+$B$29+$B$32,0)</f>
        <v/>
      </c>
      <c r="E161" s="5">
        <f>IF(E$86=$B$5,$B$25+$B$29+$B$32,0)</f>
        <v/>
      </c>
      <c r="F161" s="5">
        <f>IF(F$86=$B$5,$B$25+$B$29+$B$32,0)</f>
        <v/>
      </c>
      <c r="G161" s="5">
        <f>IF(G$86=$B$5,$B$25+$B$29+$B$32,0)</f>
        <v/>
      </c>
      <c r="H161" s="5">
        <f>IF(H$86=$B$5,$B$25+$B$29+$B$32,0)</f>
        <v/>
      </c>
      <c r="I161" s="5">
        <f>IF(I$86=$B$5,$B$25+$B$29+$B$32,0)</f>
        <v/>
      </c>
      <c r="J161" s="5">
        <f>IF(J$86=$B$5,$B$25+$B$29+$B$32,0)</f>
        <v/>
      </c>
      <c r="K161" s="5">
        <f>IF(K$86=$B$5,$B$25+$B$29+$B$32,0)</f>
        <v/>
      </c>
      <c r="L161" s="5">
        <f>IF(L$86=$B$5,$B$25+$B$29+$B$32,0)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7">
        <f>SUM(C163:L163)</f>
        <v/>
      </c>
      <c r="C163" s="17">
        <f>C160+C161+C162</f>
        <v/>
      </c>
      <c r="D163" s="17">
        <f>D160+D161+D162</f>
        <v/>
      </c>
      <c r="E163" s="17">
        <f>E160+E161+E162</f>
        <v/>
      </c>
      <c r="F163" s="17">
        <f>F160+F161+F162</f>
        <v/>
      </c>
      <c r="G163" s="17">
        <f>G160+G161+G162</f>
        <v/>
      </c>
      <c r="H163" s="17">
        <f>H160+H161+H162</f>
        <v/>
      </c>
      <c r="I163" s="17">
        <f>I160+I161+I162</f>
        <v/>
      </c>
      <c r="J163" s="17">
        <f>J160+J161+J162</f>
        <v/>
      </c>
      <c r="K163" s="17">
        <f>K160+K161+K162</f>
        <v/>
      </c>
      <c r="L163" s="17">
        <f>L160+L161+L162</f>
        <v/>
      </c>
    </row>
    <row r="164">
      <c r="A164" s="4" t="inlineStr">
        <is>
          <t>Variation de trésorerie</t>
        </is>
      </c>
      <c r="B164" s="17">
        <f>SUM(C164:L164)</f>
        <v/>
      </c>
      <c r="C164" s="17">
        <f>C158+C159+C163</f>
        <v/>
      </c>
      <c r="D164" s="17">
        <f>D158+D159+D163</f>
        <v/>
      </c>
      <c r="E164" s="17">
        <f>E158+E159+E163</f>
        <v/>
      </c>
      <c r="F164" s="17">
        <f>F158+F159+F163</f>
        <v/>
      </c>
      <c r="G164" s="17">
        <f>G158+G159+G163</f>
        <v/>
      </c>
      <c r="H164" s="17">
        <f>H158+H159+H163</f>
        <v/>
      </c>
      <c r="I164" s="17">
        <f>I158+I159+I163</f>
        <v/>
      </c>
      <c r="J164" s="17">
        <f>J158+J159+J163</f>
        <v/>
      </c>
      <c r="K164" s="17">
        <f>K158+K159+K163</f>
        <v/>
      </c>
      <c r="L164" s="17">
        <f>L158+L159+L163</f>
        <v/>
      </c>
    </row>
    <row r="165">
      <c r="A165" s="4" t="inlineStr">
        <is>
          <t>Trésorerie fin d'année</t>
        </is>
      </c>
      <c r="C165" s="17">
        <f>C164</f>
        <v/>
      </c>
      <c r="D165" s="17">
        <f>C165+D164</f>
        <v/>
      </c>
      <c r="E165" s="17">
        <f>D165+E164</f>
        <v/>
      </c>
      <c r="F165" s="17">
        <f>E165+F164</f>
        <v/>
      </c>
      <c r="G165" s="17">
        <f>F165+G164</f>
        <v/>
      </c>
      <c r="H165" s="17">
        <f>G165+H164</f>
        <v/>
      </c>
      <c r="I165" s="17">
        <f>H165+I164</f>
        <v/>
      </c>
      <c r="J165" s="17">
        <f>I165+J164</f>
        <v/>
      </c>
      <c r="K165" s="17">
        <f>J165+K164</f>
        <v/>
      </c>
      <c r="L165" s="17">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IS) / service de la dette)</t>
        </is>
      </c>
      <c r="C167" s="7">
        <f>IF((C138+C139+C142+C143+C146)=0,"",(C125+C152)/(C138+C139+C142+C143+C146))</f>
        <v/>
      </c>
      <c r="D167" s="7">
        <f>IF((D138+D139+D142+D143+D146)=0,"",(D125+D152)/(D138+D139+D142+D143+D146))</f>
        <v/>
      </c>
      <c r="E167" s="7">
        <f>IF((E138+E139+E142+E143+E146)=0,"",(E125+E152)/(E138+E139+E142+E143+E146))</f>
        <v/>
      </c>
      <c r="F167" s="7">
        <f>IF((F138+F139+F142+F143+F146)=0,"",(F125+F152)/(F138+F139+F142+F143+F146))</f>
        <v/>
      </c>
      <c r="G167" s="7">
        <f>IF((G138+G139+G142+G143+G146)=0,"",(G125+G152)/(G138+G139+G142+G143+G146))</f>
        <v/>
      </c>
      <c r="H167" s="7">
        <f>IF((H138+H139+H142+H143+H146)=0,"",(H125+H152)/(H138+H139+H142+H143+H146))</f>
        <v/>
      </c>
      <c r="I167" s="7">
        <f>IF((I138+I139+I142+I143+I146)=0,"",(I125+I152)/(I138+I139+I142+I143+I146))</f>
        <v/>
      </c>
      <c r="J167" s="7">
        <f>IF((J138+J139+J142+J143+J146)=0,"",(J125+J152)/(J138+J139+J142+J143+J146))</f>
        <v/>
      </c>
      <c r="K167" s="7">
        <f>IF((K138+K139+K142+K143+K146)=0,"",(K125+K152)/(K138+K139+K142+K143+K146))</f>
        <v/>
      </c>
      <c r="L167" s="7">
        <f>IF((L138+L139+L142+L143+L146)=0,"",(L125+L152)/(L138+L139+L142+L143+L146))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C92*($B$7+C130)*$B$17</f>
        <v/>
      </c>
      <c r="D171" s="5">
        <f>D92*($B$7+D130)*$B$17</f>
        <v/>
      </c>
      <c r="E171" s="5">
        <f>E92*($B$7+E130)*$B$17</f>
        <v/>
      </c>
      <c r="F171" s="5">
        <f>F92*($B$7+F130)*$B$17</f>
        <v/>
      </c>
      <c r="G171" s="5">
        <f>G92*($B$7+G130)*$B$17</f>
        <v/>
      </c>
      <c r="H171" s="5">
        <f>H92*($B$7+H130)*$B$17</f>
        <v/>
      </c>
      <c r="I171" s="5">
        <f>I92*($B$7+I130)*$B$17</f>
        <v/>
      </c>
      <c r="J171" s="5">
        <f>J92*($B$7+J130)*$B$17</f>
        <v/>
      </c>
      <c r="K171" s="5">
        <f>K92*($B$7+K130)*$B$17</f>
        <v/>
      </c>
      <c r="L171" s="5">
        <f>L92*($B$7+L130)*$B$17</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-IF(C$86=$B$5,$B$22*(1-$B$44)*(1-$B$23),0)</f>
        <v/>
      </c>
      <c r="D173" s="5">
        <f>-IF(D$86=$B$5,$B$22*(1-$B$44)*(1-$B$23),0)</f>
        <v/>
      </c>
      <c r="E173" s="5">
        <f>-IF(E$86=$B$5,$B$22*(1-$B$44)*(1-$B$23),0)</f>
        <v/>
      </c>
      <c r="F173" s="5">
        <f>-IF(F$86=$B$5,$B$22*(1-$B$44)*(1-$B$23),0)</f>
        <v/>
      </c>
      <c r="G173" s="5">
        <f>-IF(G$86=$B$5,$B$22*(1-$B$44)*(1-$B$23),0)</f>
        <v/>
      </c>
      <c r="H173" s="5">
        <f>-IF(H$86=$B$5,$B$22*(1-$B$44)*(1-$B$23),0)</f>
        <v/>
      </c>
      <c r="I173" s="5">
        <f>-IF(I$86=$B$5,$B$22*(1-$B$44)*(1-$B$23),0)</f>
        <v/>
      </c>
      <c r="J173" s="5">
        <f>-IF(J$86=$B$5,$B$22*(1-$B$44)*(1-$B$23),0)</f>
        <v/>
      </c>
      <c r="K173" s="5">
        <f>-IF(K$86=$B$5,$B$22*(1-$B$44)*(1-$B$23),0)</f>
        <v/>
      </c>
      <c r="L173" s="5">
        <f>-IF(L$86=$B$5,$B$22*(1-$B$44)*(1-$B$23),0)+MAX(0,L172)*(1-$B$35)</f>
        <v/>
      </c>
    </row>
    <row r="174">
      <c r="A174" t="inlineStr">
        <is>
          <t>Flux du fondateur et de sa holding (apports, sortie théorique an 10)</t>
        </is>
      </c>
      <c r="B174" s="5">
        <f>SUM(C174:L174)</f>
        <v/>
      </c>
      <c r="C174" s="5">
        <f>-IF(C$86=1,$B$21,0)-IF(C$86=$B$5,$B$22*(1-$B$44)*$B$23,0)</f>
        <v/>
      </c>
      <c r="D174" s="5">
        <f>-IF(D$86=1,$B$21,0)-IF(D$86=$B$5,$B$22*(1-$B$44)*$B$23,0)</f>
        <v/>
      </c>
      <c r="E174" s="5">
        <f>-IF(E$86=1,$B$21,0)-IF(E$86=$B$5,$B$22*(1-$B$44)*$B$23,0)</f>
        <v/>
      </c>
      <c r="F174" s="5">
        <f>-IF(F$86=1,$B$21,0)-IF(F$86=$B$5,$B$22*(1-$B$44)*$B$23,0)</f>
        <v/>
      </c>
      <c r="G174" s="5">
        <f>-IF(G$86=1,$B$21,0)-IF(G$86=$B$5,$B$22*(1-$B$44)*$B$23,0)</f>
        <v/>
      </c>
      <c r="H174" s="5">
        <f>-IF(H$86=1,$B$21,0)-IF(H$86=$B$5,$B$22*(1-$B$44)*$B$23,0)</f>
        <v/>
      </c>
      <c r="I174" s="5">
        <f>-IF(I$86=1,$B$21,0)-IF(I$86=$B$5,$B$22*(1-$B$44)*$B$23,0)</f>
        <v/>
      </c>
      <c r="J174" s="5">
        <f>-IF(J$86=1,$B$21,0)-IF(J$86=$B$5,$B$22*(1-$B$44)*$B$23,0)</f>
        <v/>
      </c>
      <c r="K174" s="5">
        <f>-IF(K$86=1,$B$21,0)-IF(K$86=$B$5,$B$22*(1-$B$44)*$B$23,0)</f>
        <v/>
      </c>
      <c r="L174" s="5">
        <f>-IF(L$86=1,$B$21,0)-IF(L$86=$B$5,$B$22*(1-$B$44)*$B$23,0)+MAX(0,L172)*$B$35</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7">
        <f>$B$7*(1+$B$8)+SUM(C127:L127)</f>
        <v/>
      </c>
    </row>
    <row r="178">
      <c r="A178" t="inlineStr">
        <is>
          <t>Ressources externes et apports prévus</t>
        </is>
      </c>
      <c r="B178" s="17">
        <f>$B$21+$B$22*(1-$B$44)+$B$24+$B$25+$B$29+$B$32</f>
        <v/>
      </c>
    </row>
    <row r="179">
      <c r="A179" t="inlineStr">
        <is>
          <t>CA année 5</t>
        </is>
      </c>
      <c r="B179" s="17">
        <f>G106</f>
        <v/>
      </c>
    </row>
    <row r="180">
      <c r="A180" t="inlineStr">
        <is>
          <t>EBITDA année 5</t>
        </is>
      </c>
      <c r="B180" s="17">
        <f>G125</f>
        <v/>
      </c>
    </row>
    <row r="181">
      <c r="A181" t="inlineStr">
        <is>
          <t>EBITDA année 10</t>
        </is>
      </c>
      <c r="B181" s="17">
        <f>L125</f>
        <v/>
      </c>
    </row>
    <row r="182">
      <c r="A182" t="inlineStr">
        <is>
          <t>Part équestre du CA année 5</t>
        </is>
      </c>
      <c r="B182" s="18">
        <f>G108</f>
        <v/>
      </c>
    </row>
    <row r="183">
      <c r="A183" t="inlineStr">
        <is>
          <t>Trésorerie minimale sur 10 ans</t>
        </is>
      </c>
      <c r="B183" s="17">
        <f>MIN(C165:L165)</f>
        <v/>
      </c>
    </row>
    <row r="184">
      <c r="A184" t="inlineStr">
        <is>
          <t>Trésorerie fin année 10</t>
        </is>
      </c>
      <c r="B184" s="17">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8">
        <f>IFERROR(IRR(C173:L173,-0.05),"perte quasi totale (TRI non calculable)")</f>
        <v/>
      </c>
    </row>
    <row r="188">
      <c r="A188" t="inlineStr">
        <is>
          <t>TRI fondateur (sortie théorique an 10)</t>
        </is>
      </c>
      <c r="B188" s="18">
        <f>IFERROR(IRR(C174:L174,-0.05),"perte quasi totale (TRI non calculable)")</f>
        <v/>
      </c>
    </row>
    <row r="189">
      <c r="A189" t="inlineStr">
        <is>
          <t>Dette bancaire soutenable estimée (DSCR 1,2 sur (EBITDA − gros entretien) an 6, taux et durée du scénario)</t>
        </is>
      </c>
      <c r="B189" s="17">
        <f>MAX(0,PV($B$26,$B$27,-(H125-H129)/1.2))</f>
        <v/>
      </c>
    </row>
    <row r="190">
      <c r="A190" t="inlineStr">
        <is>
          <t>Fonds propres nécessaires (emplois + réserve − dette soutenable)</t>
        </is>
      </c>
      <c r="B190" s="17">
        <f>$B$7*(1+$B$8)+SUM(C127:L127)+$B$37-$B$189</f>
        <v/>
      </c>
    </row>
    <row r="191">
      <c r="A191" t="inlineStr">
        <is>
          <t>Part du capital du fondateur</t>
        </is>
      </c>
      <c r="B191" s="18">
        <f>$B$35</f>
        <v/>
      </c>
    </row>
    <row r="192">
      <c r="A192" t="inlineStr">
        <is>
          <t>Droits de vote du fondateur</t>
        </is>
      </c>
      <c r="B192" s="18">
        <f>$B$36</f>
        <v/>
      </c>
    </row>
    <row r="193">
      <c r="A193" s="4" t="inlineStr">
        <is>
          <t>Verdict (règle : trésorerie ≥ réserve cible, DSCR ≥ 1,2, cash-flow libre ≥ 0 an 4–10)</t>
        </is>
      </c>
      <c r="B193" s="4">
        <f>IF(AND($B$183&gt;=0,$B$184&gt;=$B$37,OR($B$185="n/a",$B$185&gt;=1.2),$B$186=0),"VIABLE sous hypothèses",IF($B$183&lt;0,"NON VIABLE (trésorerie négative)","FRAGILE"))</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720000</v>
      </c>
      <c r="C10" t="inlineStr">
        <is>
          <t>€</t>
        </is>
      </c>
      <c r="D10" t="inlineStr">
        <is>
          <t>ESTIMATION sans visite ni devis (agent 1 : 0,3-1,2 M€ pour un domaine déjà équipé)</t>
        </is>
      </c>
    </row>
    <row r="11">
      <c r="A11" t="inlineStr">
        <is>
          <t>Investissements équestres (boxes, carrière, manège…)</t>
        </is>
      </c>
      <c r="B11" s="12" t="n">
        <v>300000</v>
      </c>
      <c r="C11" t="inlineStr">
        <is>
          <t>€</t>
        </is>
      </c>
      <c r="D11" t="inlineStr">
        <is>
          <t>ESTIMATION : remise à niveau boxes + carrière + clôtures (agent 3)</t>
        </is>
      </c>
    </row>
    <row r="12">
      <c r="A12" t="inlineStr">
        <is>
          <t>Investissements événementiel / hébergement</t>
        </is>
      </c>
      <c r="B12" s="12" t="n">
        <v>576000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0.4</v>
      </c>
      <c r="C48" t="inlineStr">
        <is>
          <t>%</t>
        </is>
      </c>
      <c r="D48" t="inlineStr">
        <is>
          <t>Cas prudent</t>
        </is>
      </c>
    </row>
    <row r="49">
      <c r="A49" t="inlineStr">
        <is>
          <t>Montée en charge : 2e année</t>
        </is>
      </c>
      <c r="B49" s="13" t="n">
        <v>0.6</v>
      </c>
      <c r="C49" t="inlineStr">
        <is>
          <t>%</t>
        </is>
      </c>
      <c r="D49" t="inlineStr">
        <is>
          <t>Cas prudent</t>
        </is>
      </c>
    </row>
    <row r="50">
      <c r="A50" t="inlineStr">
        <is>
          <t>Montée en charge : 3e année</t>
        </is>
      </c>
      <c r="B50" s="13" t="n">
        <v>0.8</v>
      </c>
      <c r="C50" t="inlineStr">
        <is>
          <t>%</t>
        </is>
      </c>
      <c r="D50" t="inlineStr">
        <is>
          <t>Cas prudent</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14.4</v>
      </c>
      <c r="C58" s="12" t="n">
        <v>6072</v>
      </c>
      <c r="D58" s="13" t="n">
        <v>0.27</v>
      </c>
      <c r="E58" s="15" t="n">
        <v>0</v>
      </c>
      <c r="F58" s="15" t="n">
        <v>1</v>
      </c>
      <c r="G58" t="inlineStr">
        <is>
          <t>20 boxes × 90 % ; 550 €/mois [A3, fourchette 430-700 € sourcée] ; coût direct 150 €/mois ESTIMATION</t>
        </is>
      </c>
    </row>
    <row r="59">
      <c r="A59" t="inlineStr">
        <is>
          <t>Pension au pré / retraite</t>
        </is>
      </c>
      <c r="B59" s="14" t="n">
        <v>21.6</v>
      </c>
      <c r="C59" s="12" t="n">
        <v>3091</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3.2</v>
      </c>
      <c r="C60" s="12" t="n">
        <v>4600</v>
      </c>
      <c r="D60" s="13" t="n">
        <v>0.3</v>
      </c>
      <c r="E60" s="15" t="n">
        <v>1</v>
      </c>
      <c r="F60" s="15" t="n">
        <v>1</v>
      </c>
      <c r="G60" t="inlineStr">
        <is>
          <t>ESTIMATION — aucune preuve de demande pour un lieu privé (agent 3)</t>
        </is>
      </c>
    </row>
    <row r="61">
      <c r="A61" t="inlineStr">
        <is>
          <t>Mariages (location du lieu, week-end)</t>
        </is>
      </c>
      <c r="B61" s="14" t="n">
        <v>14.4</v>
      </c>
      <c r="C61" s="12" t="n">
        <v>5060</v>
      </c>
      <c r="D61" s="13" t="n">
        <v>0.33</v>
      </c>
      <c r="E61" s="15" t="n">
        <v>1</v>
      </c>
      <c r="F61" s="15" t="n">
        <v>0</v>
      </c>
      <c r="G61" t="inlineStr">
        <is>
          <t>Médiane ≈5 900 € sur 10 tarifs publiés [A4] ; 18/an = plafond vie privée ESTIMATION</t>
        </is>
      </c>
    </row>
    <row r="62">
      <c r="A62" t="inlineStr">
        <is>
          <t>Journées d'étude / CODIR (sans nuitée)</t>
        </is>
      </c>
      <c r="B62" s="14" t="n">
        <v>8</v>
      </c>
      <c r="C62" s="12" t="n">
        <v>2300</v>
      </c>
      <c r="D62" s="13" t="n">
        <v>0.3</v>
      </c>
      <c r="E62" s="15" t="n">
        <v>1</v>
      </c>
      <c r="F62" s="15" t="n">
        <v>0</v>
      </c>
      <c r="G62" t="inlineStr">
        <is>
          <t>Mini 2 000 € HT observé [A4-29] ; volume ESTIMATION</t>
        </is>
      </c>
    </row>
    <row r="63">
      <c r="A63" t="inlineStr">
        <is>
          <t>Gîte de prestige (semaines louées)</t>
        </is>
      </c>
      <c r="B63" s="14" t="n">
        <v>16</v>
      </c>
      <c r="C63" s="12" t="n">
        <v>920</v>
      </c>
      <c r="D63" s="13" t="n">
        <v>0.42</v>
      </c>
      <c r="E63" s="15" t="n">
        <v>0</v>
      </c>
      <c r="F63" s="15" t="n">
        <v>0</v>
      </c>
      <c r="G63" t="inlineStr">
        <is>
          <t>1 gîte ; 16,9 sem./an observé Gîtes de France [A4-37] ; prix ESTIMATION</t>
        </is>
      </c>
    </row>
    <row r="64">
      <c r="A64" t="inlineStr">
        <is>
          <t>Tournages / shootings (jours)</t>
        </is>
      </c>
      <c r="B64" s="14" t="n">
        <v>3.2</v>
      </c>
      <c r="C64" s="12" t="n">
        <v>1840</v>
      </c>
      <c r="D64" s="13" t="n">
        <v>0.15</v>
      </c>
      <c r="E64" s="15" t="n">
        <v>1</v>
      </c>
      <c r="F64" s="15" t="n">
        <v>0</v>
      </c>
      <c r="G64" t="inlineStr">
        <is>
          <t>≈2 000 €/j [A4-44] ; fréquence INCONNUE</t>
        </is>
      </c>
    </row>
    <row r="65">
      <c r="A65" t="inlineStr">
        <is>
          <t>Valorisation des terres non pâturées (ha)</t>
        </is>
      </c>
      <c r="B65" s="14" t="n">
        <v>12</v>
      </c>
      <c r="C65" s="12" t="n">
        <v>138</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33000</v>
      </c>
      <c r="C70" s="15" t="n">
        <v>1</v>
      </c>
      <c r="G70" t="inlineStr">
        <is>
          <t>ESTIMATION 15-40 k€ (agent 4)</t>
        </is>
      </c>
    </row>
    <row r="71">
      <c r="A71" t="inlineStr">
        <is>
          <t>Assurances bâtiment + RC activités</t>
        </is>
      </c>
      <c r="B71" s="12" t="n">
        <v>16500</v>
      </c>
      <c r="C71" s="15" t="n">
        <v>1</v>
      </c>
      <c r="G71" t="inlineStr">
        <is>
          <t>ESTIMATION 5-15 k€ + RC ; devis à obtenir</t>
        </is>
      </c>
    </row>
    <row r="72">
      <c r="A72" t="inlineStr">
        <is>
          <t>Taxe foncière</t>
        </is>
      </c>
      <c r="B72" s="12" t="n">
        <v>16500</v>
      </c>
      <c r="C72" s="15" t="n">
        <v>1</v>
      </c>
      <c r="G72" t="inlineStr">
        <is>
          <t>INCONNU — demander l'avis d'imposition du vendeur</t>
        </is>
      </c>
    </row>
    <row r="73">
      <c r="A73" t="inlineStr">
        <is>
          <t>Jardinier / agent d'entretien (1 ETP chargé)</t>
        </is>
      </c>
      <c r="B73" s="12" t="n">
        <v>44000</v>
      </c>
      <c r="C73" s="15" t="n">
        <v>1</v>
      </c>
      <c r="G73" t="inlineStr">
        <is>
          <t>ESTIMATION 35-45 k€ (agent 4)</t>
        </is>
      </c>
    </row>
    <row r="74">
      <c r="A74" t="inlineStr">
        <is>
          <t>Parc, haies, clôtures, petit entretien</t>
        </is>
      </c>
      <c r="B74" s="12" t="n">
        <v>16500</v>
      </c>
      <c r="C74" s="15" t="n">
        <v>1</v>
      </c>
      <c r="G74" t="inlineStr">
        <is>
          <t>ESTIMATION</t>
        </is>
      </c>
    </row>
    <row r="75">
      <c r="A75" t="inlineStr">
        <is>
          <t>Soigneurs (2 ETP chargés)</t>
        </is>
      </c>
      <c r="B75" s="12" t="n">
        <v>55000</v>
      </c>
      <c r="C75" s="15" t="n">
        <v>0</v>
      </c>
      <c r="G75" t="inlineStr">
        <is>
          <t>Grille IDCC 7026 1 811 €/mois brut [A3-30] ; 1 ETP/19 équidés [A3-27]</t>
        </is>
      </c>
    </row>
    <row r="76">
      <c r="A76" t="inlineStr">
        <is>
          <t>Responsable d'écurie (1 ETP chargé)</t>
        </is>
      </c>
      <c r="B76" s="12" t="n">
        <v>38500</v>
      </c>
      <c r="C76" s="15" t="n">
        <v>0</v>
      </c>
      <c r="G76" t="inlineStr">
        <is>
          <t>ESTIMATION</t>
        </is>
      </c>
    </row>
    <row r="77">
      <c r="A77" t="inlineStr">
        <is>
          <t>Coordinateur événementiel saisonnier</t>
        </is>
      </c>
      <c r="B77" s="12" t="n">
        <v>22000</v>
      </c>
      <c r="C77" s="15" t="n">
        <v>0</v>
      </c>
      <c r="G77" t="inlineStr">
        <is>
          <t>ESTIMATION (agent 4)</t>
        </is>
      </c>
    </row>
    <row r="78">
      <c r="A78" t="inlineStr">
        <is>
          <t>Commercial, marketing, site, salons</t>
        </is>
      </c>
      <c r="B78" s="12" t="n">
        <v>16500</v>
      </c>
      <c r="C78" s="15" t="n">
        <v>0</v>
      </c>
      <c r="G78" t="inlineStr">
        <is>
          <t>ESTIMATION</t>
        </is>
      </c>
    </row>
    <row r="79">
      <c r="A79" t="inlineStr">
        <is>
          <t>Comptabilité, juridique, banque, logiciels</t>
        </is>
      </c>
      <c r="B79" s="12" t="n">
        <v>16500</v>
      </c>
      <c r="C79" s="15" t="n">
        <v>0</v>
      </c>
      <c r="G79" t="inlineStr">
        <is>
          <t>ESTIMATION</t>
        </is>
      </c>
    </row>
    <row r="80">
      <c r="A80" t="inlineStr">
        <is>
          <t>Entretien installations équestres, matériel, véhicules</t>
        </is>
      </c>
      <c r="B80" s="12" t="n">
        <v>13200</v>
      </c>
      <c r="C80" s="15" t="n">
        <v>0</v>
      </c>
      <c r="G80" t="inlineStr">
        <is>
          <t>ESTIMATION</t>
        </is>
      </c>
    </row>
    <row r="81">
      <c r="A81" t="inlineStr">
        <is>
          <t>Rémunération du dirigeant (chargée)</t>
        </is>
      </c>
      <c r="B81" s="12" t="n">
        <v>33000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Cas optimiste</t>
        </is>
      </c>
    </row>
    <row r="49">
      <c r="A49" t="inlineStr">
        <is>
          <t>Montée en charge : 2e année</t>
        </is>
      </c>
      <c r="B49" s="13" t="n">
        <v>0.85</v>
      </c>
      <c r="C49" t="inlineStr">
        <is>
          <t>%</t>
        </is>
      </c>
      <c r="D49" t="inlineStr">
        <is>
          <t>Cas optimiste</t>
        </is>
      </c>
    </row>
    <row r="50">
      <c r="A50" t="inlineStr">
        <is>
          <t>Montée en charge : 3e année</t>
        </is>
      </c>
      <c r="B50" s="13" t="n">
        <v>1</v>
      </c>
      <c r="C50" t="inlineStr">
        <is>
          <t>%</t>
        </is>
      </c>
      <c r="D50" t="inlineStr">
        <is>
          <t>Cas optimiste</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20.7</v>
      </c>
      <c r="C58" s="12" t="n">
        <v>7128</v>
      </c>
      <c r="D58" s="13" t="n">
        <v>0.27</v>
      </c>
      <c r="E58" s="15" t="n">
        <v>0</v>
      </c>
      <c r="F58" s="15" t="n">
        <v>1</v>
      </c>
      <c r="G58" t="inlineStr">
        <is>
          <t>20 boxes × 90 % ; 550 €/mois [A3, fourchette 430-700 € sourcée] ; coût direct 150 €/mois ESTIMATION</t>
        </is>
      </c>
    </row>
    <row r="59">
      <c r="A59" t="inlineStr">
        <is>
          <t>Pension au pré / retraite</t>
        </is>
      </c>
      <c r="B59" s="14" t="n">
        <v>31</v>
      </c>
      <c r="C59" s="12" t="n">
        <v>3629</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4.6</v>
      </c>
      <c r="C60" s="12" t="n">
        <v>5400</v>
      </c>
      <c r="D60" s="13" t="n">
        <v>0.3</v>
      </c>
      <c r="E60" s="15" t="n">
        <v>1</v>
      </c>
      <c r="F60" s="15" t="n">
        <v>1</v>
      </c>
      <c r="G60" t="inlineStr">
        <is>
          <t>ESTIMATION — aucune preuve de demande pour un lieu privé (agent 3)</t>
        </is>
      </c>
    </row>
    <row r="61">
      <c r="A61" t="inlineStr">
        <is>
          <t>Mariages (location du lieu, week-end)</t>
        </is>
      </c>
      <c r="B61" s="14" t="n">
        <v>20.7</v>
      </c>
      <c r="C61" s="12" t="n">
        <v>5940</v>
      </c>
      <c r="D61" s="13" t="n">
        <v>0.33</v>
      </c>
      <c r="E61" s="15" t="n">
        <v>1</v>
      </c>
      <c r="F61" s="15" t="n">
        <v>0</v>
      </c>
      <c r="G61" t="inlineStr">
        <is>
          <t>Médiane ≈5 900 € sur 10 tarifs publiés [A4] ; 18/an = plafond vie privée ESTIMATION</t>
        </is>
      </c>
    </row>
    <row r="62">
      <c r="A62" t="inlineStr">
        <is>
          <t>Journées d'étude / CODIR (sans nuitée)</t>
        </is>
      </c>
      <c r="B62" s="14" t="n">
        <v>11.5</v>
      </c>
      <c r="C62" s="12" t="n">
        <v>2700</v>
      </c>
      <c r="D62" s="13" t="n">
        <v>0.3</v>
      </c>
      <c r="E62" s="15" t="n">
        <v>1</v>
      </c>
      <c r="F62" s="15" t="n">
        <v>0</v>
      </c>
      <c r="G62" t="inlineStr">
        <is>
          <t>Mini 2 000 € HT observé [A4-29] ; volume ESTIMATION</t>
        </is>
      </c>
    </row>
    <row r="63">
      <c r="A63" t="inlineStr">
        <is>
          <t>Gîte de prestige (semaines louées)</t>
        </is>
      </c>
      <c r="B63" s="14" t="n">
        <v>23</v>
      </c>
      <c r="C63" s="12" t="n">
        <v>1080</v>
      </c>
      <c r="D63" s="13" t="n">
        <v>0.42</v>
      </c>
      <c r="E63" s="15" t="n">
        <v>0</v>
      </c>
      <c r="F63" s="15" t="n">
        <v>0</v>
      </c>
      <c r="G63" t="inlineStr">
        <is>
          <t>1 gîte ; 16,9 sem./an observé Gîtes de France [A4-37] ; prix ESTIMATION</t>
        </is>
      </c>
    </row>
    <row r="64">
      <c r="A64" t="inlineStr">
        <is>
          <t>Tournages / shootings (jours)</t>
        </is>
      </c>
      <c r="B64" s="14" t="n">
        <v>4.6</v>
      </c>
      <c r="C64" s="12" t="n">
        <v>2160</v>
      </c>
      <c r="D64" s="13" t="n">
        <v>0.15</v>
      </c>
      <c r="E64" s="15" t="n">
        <v>1</v>
      </c>
      <c r="F64" s="15" t="n">
        <v>0</v>
      </c>
      <c r="G64" t="inlineStr">
        <is>
          <t>≈2 000 €/j [A4-44] ; fréquence INCONNUE</t>
        </is>
      </c>
    </row>
    <row r="65">
      <c r="A65" t="inlineStr">
        <is>
          <t>Valorisation des terres non pâturées (ha)</t>
        </is>
      </c>
      <c r="B65" s="14" t="n">
        <v>17.2</v>
      </c>
      <c r="C65" s="12" t="n">
        <v>162</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28500</v>
      </c>
      <c r="C70" s="15" t="n">
        <v>1</v>
      </c>
      <c r="G70" t="inlineStr">
        <is>
          <t>ESTIMATION 15-40 k€ (agent 4)</t>
        </is>
      </c>
    </row>
    <row r="71">
      <c r="A71" t="inlineStr">
        <is>
          <t>Assurances bâtiment + RC activités</t>
        </is>
      </c>
      <c r="B71" s="12" t="n">
        <v>14250</v>
      </c>
      <c r="C71" s="15" t="n">
        <v>1</v>
      </c>
      <c r="G71" t="inlineStr">
        <is>
          <t>ESTIMATION 5-15 k€ + RC ; devis à obtenir</t>
        </is>
      </c>
    </row>
    <row r="72">
      <c r="A72" t="inlineStr">
        <is>
          <t>Taxe foncière</t>
        </is>
      </c>
      <c r="B72" s="12" t="n">
        <v>14250</v>
      </c>
      <c r="C72" s="15" t="n">
        <v>1</v>
      </c>
      <c r="G72" t="inlineStr">
        <is>
          <t>INCONNU — demander l'avis d'imposition du vendeur</t>
        </is>
      </c>
    </row>
    <row r="73">
      <c r="A73" t="inlineStr">
        <is>
          <t>Jardinier / agent d'entretien (1 ETP chargé)</t>
        </is>
      </c>
      <c r="B73" s="12" t="n">
        <v>38000</v>
      </c>
      <c r="C73" s="15" t="n">
        <v>1</v>
      </c>
      <c r="G73" t="inlineStr">
        <is>
          <t>ESTIMATION 35-45 k€ (agent 4)</t>
        </is>
      </c>
    </row>
    <row r="74">
      <c r="A74" t="inlineStr">
        <is>
          <t>Parc, haies, clôtures, petit entretien</t>
        </is>
      </c>
      <c r="B74" s="12" t="n">
        <v>14250</v>
      </c>
      <c r="C74" s="15" t="n">
        <v>1</v>
      </c>
      <c r="G74" t="inlineStr">
        <is>
          <t>ESTIMATION</t>
        </is>
      </c>
    </row>
    <row r="75">
      <c r="A75" t="inlineStr">
        <is>
          <t>Soigneurs (2 ETP chargés)</t>
        </is>
      </c>
      <c r="B75" s="12" t="n">
        <v>47500</v>
      </c>
      <c r="C75" s="15" t="n">
        <v>0</v>
      </c>
      <c r="G75" t="inlineStr">
        <is>
          <t>Grille IDCC 7026 1 811 €/mois brut [A3-30] ; 1 ETP/19 équidés [A3-27]</t>
        </is>
      </c>
    </row>
    <row r="76">
      <c r="A76" t="inlineStr">
        <is>
          <t>Responsable d'écurie (1 ETP chargé)</t>
        </is>
      </c>
      <c r="B76" s="12" t="n">
        <v>33250</v>
      </c>
      <c r="C76" s="15" t="n">
        <v>0</v>
      </c>
      <c r="G76" t="inlineStr">
        <is>
          <t>ESTIMATION</t>
        </is>
      </c>
    </row>
    <row r="77">
      <c r="A77" t="inlineStr">
        <is>
          <t>Coordinateur événementiel saisonnier</t>
        </is>
      </c>
      <c r="B77" s="12" t="n">
        <v>19000</v>
      </c>
      <c r="C77" s="15" t="n">
        <v>0</v>
      </c>
      <c r="G77" t="inlineStr">
        <is>
          <t>ESTIMATION (agent 4)</t>
        </is>
      </c>
    </row>
    <row r="78">
      <c r="A78" t="inlineStr">
        <is>
          <t>Commercial, marketing, site, salons</t>
        </is>
      </c>
      <c r="B78" s="12" t="n">
        <v>14250</v>
      </c>
      <c r="C78" s="15" t="n">
        <v>0</v>
      </c>
      <c r="G78" t="inlineStr">
        <is>
          <t>ESTIMATION</t>
        </is>
      </c>
    </row>
    <row r="79">
      <c r="A79" t="inlineStr">
        <is>
          <t>Comptabilité, juridique, banque, logiciels</t>
        </is>
      </c>
      <c r="B79" s="12" t="n">
        <v>14250</v>
      </c>
      <c r="C79" s="15" t="n">
        <v>0</v>
      </c>
      <c r="G79" t="inlineStr">
        <is>
          <t>ESTIMATION</t>
        </is>
      </c>
    </row>
    <row r="80">
      <c r="A80" t="inlineStr">
        <is>
          <t>Entretien installations équestres, matériel, véhicules</t>
        </is>
      </c>
      <c r="B80" s="12" t="n">
        <v>11400</v>
      </c>
      <c r="C80" s="15" t="n">
        <v>0</v>
      </c>
      <c r="G80" t="inlineStr">
        <is>
          <t>ESTIMATION</t>
        </is>
      </c>
    </row>
    <row r="81">
      <c r="A81" t="inlineStr">
        <is>
          <t>Rémunération du dirigeant (chargée)</t>
        </is>
      </c>
      <c r="B81" s="12" t="n">
        <v>28500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0</v>
      </c>
      <c r="G73" t="inlineStr">
        <is>
          <t>ESTIMATION 35-45 k€ (agent 4)</t>
        </is>
      </c>
    </row>
    <row r="74">
      <c r="A74" t="inlineStr">
        <is>
          <t>Parc, haies, clôtures, petit entretien</t>
        </is>
      </c>
      <c r="B74" s="12" t="n">
        <v>15000</v>
      </c>
      <c r="C74" s="15" t="n">
        <v>0</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t>
        </is>
      </c>
    </row>
    <row r="11">
      <c r="A11" t="inlineStr">
        <is>
          <t>Investissements équestres (boxes, carrière, manège…)</t>
        </is>
      </c>
      <c r="B11" s="12" t="n">
        <v>180000</v>
      </c>
      <c r="C11" t="inlineStr">
        <is>
          <t>€</t>
        </is>
      </c>
      <c r="D11" t="inlineStr">
        <is>
          <t>ESTIMATION</t>
        </is>
      </c>
    </row>
    <row r="12">
      <c r="A12" t="inlineStr">
        <is>
          <t>Investissements événementiel / hébergement</t>
        </is>
      </c>
      <c r="B12" s="12" t="n">
        <v>360000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0.4</v>
      </c>
      <c r="C48" t="inlineStr">
        <is>
          <t>%</t>
        </is>
      </c>
      <c r="D48" t="inlineStr">
        <is>
          <t>Cas prudent</t>
        </is>
      </c>
    </row>
    <row r="49">
      <c r="A49" t="inlineStr">
        <is>
          <t>Montée en charge : 2e année</t>
        </is>
      </c>
      <c r="B49" s="13" t="n">
        <v>0.6</v>
      </c>
      <c r="C49" t="inlineStr">
        <is>
          <t>%</t>
        </is>
      </c>
      <c r="D49" t="inlineStr">
        <is>
          <t>Cas prudent</t>
        </is>
      </c>
    </row>
    <row r="50">
      <c r="A50" t="inlineStr">
        <is>
          <t>Montée en charge : 3e année</t>
        </is>
      </c>
      <c r="B50" s="13" t="n">
        <v>0.8</v>
      </c>
      <c r="C50" t="inlineStr">
        <is>
          <t>%</t>
        </is>
      </c>
      <c r="D50" t="inlineStr">
        <is>
          <t>Cas prudent</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14.4</v>
      </c>
      <c r="C58" s="12" t="n">
        <v>6072</v>
      </c>
      <c r="D58" s="13" t="n">
        <v>0.27</v>
      </c>
      <c r="E58" s="15" t="n">
        <v>0</v>
      </c>
      <c r="F58" s="15" t="n">
        <v>1</v>
      </c>
      <c r="G58" t="inlineStr">
        <is>
          <t>20 boxes × 90 % ; 550 €/mois [A3, fourchette 430-700 € sourcée] ; coût direct 150 €/mois ESTIMATION</t>
        </is>
      </c>
    </row>
    <row r="59">
      <c r="A59" t="inlineStr">
        <is>
          <t>Pension au pré / retraite</t>
        </is>
      </c>
      <c r="B59" s="14" t="n">
        <v>21.6</v>
      </c>
      <c r="C59" s="12" t="n">
        <v>3091</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3.2</v>
      </c>
      <c r="C60" s="12" t="n">
        <v>4600</v>
      </c>
      <c r="D60" s="13" t="n">
        <v>0.3</v>
      </c>
      <c r="E60" s="15" t="n">
        <v>1</v>
      </c>
      <c r="F60" s="15" t="n">
        <v>1</v>
      </c>
      <c r="G60" t="inlineStr">
        <is>
          <t>ESTIMATION — aucune preuve de demande pour un lieu privé (agent 3)</t>
        </is>
      </c>
    </row>
    <row r="61">
      <c r="A61" t="inlineStr">
        <is>
          <t>Mariages (location du lieu) — limités pendant la location</t>
        </is>
      </c>
      <c r="B61" s="14" t="n">
        <v>8</v>
      </c>
      <c r="C61" s="12" t="n">
        <v>5060</v>
      </c>
      <c r="D61" s="13" t="n">
        <v>0.33</v>
      </c>
      <c r="E61" s="15" t="n">
        <v>1</v>
      </c>
      <c r="F61" s="15" t="n">
        <v>0</v>
      </c>
      <c r="G61" t="inlineStr">
        <is>
          <t>Volume réduit (salle ERP non construite) — ESTIMATION</t>
        </is>
      </c>
    </row>
    <row r="62">
      <c r="A62" t="inlineStr">
        <is>
          <t>Journées d'étude / CODIR (sans nuitée)</t>
        </is>
      </c>
      <c r="B62" s="14" t="n">
        <v>4.8</v>
      </c>
      <c r="C62" s="12" t="n">
        <v>2300</v>
      </c>
      <c r="D62" s="13" t="n">
        <v>0.3</v>
      </c>
      <c r="E62" s="15" t="n">
        <v>1</v>
      </c>
      <c r="F62" s="15" t="n">
        <v>0</v>
      </c>
      <c r="G62" t="inlineStr">
        <is>
          <t>ESTIMATION</t>
        </is>
      </c>
    </row>
    <row r="63">
      <c r="A63" t="inlineStr">
        <is>
          <t>Gîte de prestige (semaines louées)</t>
        </is>
      </c>
      <c r="B63" s="14" t="n">
        <v>16</v>
      </c>
      <c r="C63" s="12" t="n">
        <v>920</v>
      </c>
      <c r="D63" s="13" t="n">
        <v>0.42</v>
      </c>
      <c r="E63" s="15" t="n">
        <v>0</v>
      </c>
      <c r="F63" s="15" t="n">
        <v>0</v>
      </c>
      <c r="G63" t="inlineStr">
        <is>
          <t>1 gîte ; 16,9 sem./an observé Gîtes de France [A4-37] ; prix ESTIMATION</t>
        </is>
      </c>
    </row>
    <row r="64">
      <c r="A64" t="inlineStr">
        <is>
          <t>Tournages / shootings (jours)</t>
        </is>
      </c>
      <c r="B64" s="14" t="n">
        <v>3.2</v>
      </c>
      <c r="C64" s="12" t="n">
        <v>1840</v>
      </c>
      <c r="D64" s="13" t="n">
        <v>0.15</v>
      </c>
      <c r="E64" s="15" t="n">
        <v>1</v>
      </c>
      <c r="F64" s="15" t="n">
        <v>0</v>
      </c>
      <c r="G64" t="inlineStr">
        <is>
          <t>≈2 000 €/j [A4-44] ; fréquence INCONNUE</t>
        </is>
      </c>
    </row>
    <row r="65">
      <c r="A65" t="inlineStr">
        <is>
          <t>Valorisation des terres non pâturées (ha)</t>
        </is>
      </c>
      <c r="B65" s="14" t="n">
        <v>12</v>
      </c>
      <c r="C65" s="12" t="n">
        <v>138</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33000</v>
      </c>
      <c r="C70" s="15" t="n">
        <v>0</v>
      </c>
      <c r="G70" t="inlineStr">
        <is>
          <t>ESTIMATION 15-40 k€ (agent 4)</t>
        </is>
      </c>
    </row>
    <row r="71">
      <c r="A71" t="inlineStr">
        <is>
          <t>Assurances bâtiment + RC activités</t>
        </is>
      </c>
      <c r="B71" s="12" t="n">
        <v>16500</v>
      </c>
      <c r="C71" s="15" t="n">
        <v>1</v>
      </c>
      <c r="G71" t="inlineStr">
        <is>
          <t>ESTIMATION 5-15 k€ + RC ; devis à obtenir</t>
        </is>
      </c>
    </row>
    <row r="72">
      <c r="A72" t="inlineStr">
        <is>
          <t>Taxe foncière</t>
        </is>
      </c>
      <c r="B72" s="12" t="n">
        <v>16500</v>
      </c>
      <c r="C72" s="15" t="n">
        <v>1</v>
      </c>
      <c r="G72" t="inlineStr">
        <is>
          <t>INCONNU — demander l'avis d'imposition du vendeur</t>
        </is>
      </c>
    </row>
    <row r="73">
      <c r="A73" t="inlineStr">
        <is>
          <t>Jardinier / agent d'entretien (1 ETP chargé)</t>
        </is>
      </c>
      <c r="B73" s="12" t="n">
        <v>44000</v>
      </c>
      <c r="C73" s="15" t="n">
        <v>0</v>
      </c>
      <c r="G73" t="inlineStr">
        <is>
          <t>ESTIMATION 35-45 k€ (agent 4)</t>
        </is>
      </c>
    </row>
    <row r="74">
      <c r="A74" t="inlineStr">
        <is>
          <t>Parc, haies, clôtures, petit entretien</t>
        </is>
      </c>
      <c r="B74" s="12" t="n">
        <v>16500</v>
      </c>
      <c r="C74" s="15" t="n">
        <v>0</v>
      </c>
      <c r="G74" t="inlineStr">
        <is>
          <t>ESTIMATION</t>
        </is>
      </c>
    </row>
    <row r="75">
      <c r="A75" t="inlineStr">
        <is>
          <t>Soigneurs (2 ETP chargés)</t>
        </is>
      </c>
      <c r="B75" s="12" t="n">
        <v>55000</v>
      </c>
      <c r="C75" s="15" t="n">
        <v>0</v>
      </c>
      <c r="G75" t="inlineStr">
        <is>
          <t>Grille IDCC 7026 1 811 €/mois brut [A3-30] ; 1 ETP/19 équidés [A3-27]</t>
        </is>
      </c>
    </row>
    <row r="76">
      <c r="A76" t="inlineStr">
        <is>
          <t>Responsable d'écurie (1 ETP chargé)</t>
        </is>
      </c>
      <c r="B76" s="12" t="n">
        <v>38500</v>
      </c>
      <c r="C76" s="15" t="n">
        <v>0</v>
      </c>
      <c r="G76" t="inlineStr">
        <is>
          <t>ESTIMATION</t>
        </is>
      </c>
    </row>
    <row r="77">
      <c r="A77" t="inlineStr">
        <is>
          <t>Coordinateur événementiel saisonnier</t>
        </is>
      </c>
      <c r="B77" s="12" t="n">
        <v>22000</v>
      </c>
      <c r="C77" s="15" t="n">
        <v>0</v>
      </c>
      <c r="G77" t="inlineStr">
        <is>
          <t>ESTIMATION (agent 4)</t>
        </is>
      </c>
    </row>
    <row r="78">
      <c r="A78" t="inlineStr">
        <is>
          <t>Commercial, marketing, site, salons</t>
        </is>
      </c>
      <c r="B78" s="12" t="n">
        <v>16500</v>
      </c>
      <c r="C78" s="15" t="n">
        <v>0</v>
      </c>
      <c r="G78" t="inlineStr">
        <is>
          <t>ESTIMATION</t>
        </is>
      </c>
    </row>
    <row r="79">
      <c r="A79" t="inlineStr">
        <is>
          <t>Comptabilité, juridique, banque, logiciels</t>
        </is>
      </c>
      <c r="B79" s="12" t="n">
        <v>16500</v>
      </c>
      <c r="C79" s="15" t="n">
        <v>0</v>
      </c>
      <c r="G79" t="inlineStr">
        <is>
          <t>ESTIMATION</t>
        </is>
      </c>
    </row>
    <row r="80">
      <c r="A80" t="inlineStr">
        <is>
          <t>Entretien installations équestres, matériel, véhicules</t>
        </is>
      </c>
      <c r="B80" s="12" t="n">
        <v>13200</v>
      </c>
      <c r="C80" s="15" t="n">
        <v>0</v>
      </c>
      <c r="G80" t="inlineStr">
        <is>
          <t>ESTIMATION</t>
        </is>
      </c>
    </row>
    <row r="81">
      <c r="A81" t="inlineStr">
        <is>
          <t>Rémunération du dirigeant (chargée)</t>
        </is>
      </c>
      <c r="B81" s="12" t="n">
        <v>33000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1500000</v>
      </c>
      <c r="C22" t="inlineStr">
        <is>
          <t>€</t>
        </is>
      </c>
      <c r="D22" t="inlineStr">
        <is>
          <t>Fonds propres de la HOLDING du fondateur — suppose 1-2 reprises de PME réussies : NON acquis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1900000</v>
      </c>
      <c r="C25" t="inlineStr">
        <is>
          <t>€</t>
        </is>
      </c>
      <c r="D25" t="inlineStr">
        <is>
          <t>NON ACQUIS — banque avec 4 ans d'historique d'exploitation</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Cas optimiste</t>
        </is>
      </c>
    </row>
    <row r="49">
      <c r="A49" t="inlineStr">
        <is>
          <t>Montée en charge : 2e année</t>
        </is>
      </c>
      <c r="B49" s="13" t="n">
        <v>0.85</v>
      </c>
      <c r="C49" t="inlineStr">
        <is>
          <t>%</t>
        </is>
      </c>
      <c r="D49" t="inlineStr">
        <is>
          <t>Cas optimiste</t>
        </is>
      </c>
    </row>
    <row r="50">
      <c r="A50" t="inlineStr">
        <is>
          <t>Montée en charge : 3e année</t>
        </is>
      </c>
      <c r="B50" s="13" t="n">
        <v>1</v>
      </c>
      <c r="C50" t="inlineStr">
        <is>
          <t>%</t>
        </is>
      </c>
      <c r="D50" t="inlineStr">
        <is>
          <t>Cas optimiste</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20.7</v>
      </c>
      <c r="C58" s="12" t="n">
        <v>7128</v>
      </c>
      <c r="D58" s="13" t="n">
        <v>0.27</v>
      </c>
      <c r="E58" s="15" t="n">
        <v>0</v>
      </c>
      <c r="F58" s="15" t="n">
        <v>1</v>
      </c>
      <c r="G58" t="inlineStr">
        <is>
          <t>20 boxes × 90 % ; 550 €/mois [A3, fourchette 430-700 € sourcée] ; coût direct 150 €/mois ESTIMATION</t>
        </is>
      </c>
    </row>
    <row r="59">
      <c r="A59" t="inlineStr">
        <is>
          <t>Pension au pré / retraite</t>
        </is>
      </c>
      <c r="B59" s="14" t="n">
        <v>31</v>
      </c>
      <c r="C59" s="12" t="n">
        <v>3629</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4.6</v>
      </c>
      <c r="C60" s="12" t="n">
        <v>5400</v>
      </c>
      <c r="D60" s="13" t="n">
        <v>0.3</v>
      </c>
      <c r="E60" s="15" t="n">
        <v>1</v>
      </c>
      <c r="F60" s="15" t="n">
        <v>1</v>
      </c>
      <c r="G60" t="inlineStr">
        <is>
          <t>ESTIMATION — aucune preuve de demande pour un lieu privé (agent 3)</t>
        </is>
      </c>
    </row>
    <row r="61">
      <c r="A61" t="inlineStr">
        <is>
          <t>Mariages (location du lieu) — limités pendant la location</t>
        </is>
      </c>
      <c r="B61" s="14" t="n">
        <v>11.5</v>
      </c>
      <c r="C61" s="12" t="n">
        <v>5940</v>
      </c>
      <c r="D61" s="13" t="n">
        <v>0.33</v>
      </c>
      <c r="E61" s="15" t="n">
        <v>1</v>
      </c>
      <c r="F61" s="15" t="n">
        <v>0</v>
      </c>
      <c r="G61" t="inlineStr">
        <is>
          <t>Volume réduit (salle ERP non construite) — ESTIMATION</t>
        </is>
      </c>
    </row>
    <row r="62">
      <c r="A62" t="inlineStr">
        <is>
          <t>Journées d'étude / CODIR (sans nuitée)</t>
        </is>
      </c>
      <c r="B62" s="14" t="n">
        <v>6.9</v>
      </c>
      <c r="C62" s="12" t="n">
        <v>2700</v>
      </c>
      <c r="D62" s="13" t="n">
        <v>0.3</v>
      </c>
      <c r="E62" s="15" t="n">
        <v>1</v>
      </c>
      <c r="F62" s="15" t="n">
        <v>0</v>
      </c>
      <c r="G62" t="inlineStr">
        <is>
          <t>ESTIMATION</t>
        </is>
      </c>
    </row>
    <row r="63">
      <c r="A63" t="inlineStr">
        <is>
          <t>Gîte de prestige (semaines louées)</t>
        </is>
      </c>
      <c r="B63" s="14" t="n">
        <v>23</v>
      </c>
      <c r="C63" s="12" t="n">
        <v>1080</v>
      </c>
      <c r="D63" s="13" t="n">
        <v>0.42</v>
      </c>
      <c r="E63" s="15" t="n">
        <v>0</v>
      </c>
      <c r="F63" s="15" t="n">
        <v>0</v>
      </c>
      <c r="G63" t="inlineStr">
        <is>
          <t>1 gîte ; 16,9 sem./an observé Gîtes de France [A4-37] ; prix ESTIMATION</t>
        </is>
      </c>
    </row>
    <row r="64">
      <c r="A64" t="inlineStr">
        <is>
          <t>Tournages / shootings (jours)</t>
        </is>
      </c>
      <c r="B64" s="14" t="n">
        <v>4.6</v>
      </c>
      <c r="C64" s="12" t="n">
        <v>2160</v>
      </c>
      <c r="D64" s="13" t="n">
        <v>0.15</v>
      </c>
      <c r="E64" s="15" t="n">
        <v>1</v>
      </c>
      <c r="F64" s="15" t="n">
        <v>0</v>
      </c>
      <c r="G64" t="inlineStr">
        <is>
          <t>≈2 000 €/j [A4-44] ; fréquence INCONNUE</t>
        </is>
      </c>
    </row>
    <row r="65">
      <c r="A65" t="inlineStr">
        <is>
          <t>Valorisation des terres non pâturées (ha)</t>
        </is>
      </c>
      <c r="B65" s="14" t="n">
        <v>17.2</v>
      </c>
      <c r="C65" s="12" t="n">
        <v>162</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28500</v>
      </c>
      <c r="C70" s="15" t="n">
        <v>0</v>
      </c>
      <c r="G70" t="inlineStr">
        <is>
          <t>ESTIMATION 15-40 k€ (agent 4)</t>
        </is>
      </c>
    </row>
    <row r="71">
      <c r="A71" t="inlineStr">
        <is>
          <t>Assurances bâtiment + RC activités</t>
        </is>
      </c>
      <c r="B71" s="12" t="n">
        <v>14250</v>
      </c>
      <c r="C71" s="15" t="n">
        <v>1</v>
      </c>
      <c r="G71" t="inlineStr">
        <is>
          <t>ESTIMATION 5-15 k€ + RC ; devis à obtenir</t>
        </is>
      </c>
    </row>
    <row r="72">
      <c r="A72" t="inlineStr">
        <is>
          <t>Taxe foncière</t>
        </is>
      </c>
      <c r="B72" s="12" t="n">
        <v>14250</v>
      </c>
      <c r="C72" s="15" t="n">
        <v>1</v>
      </c>
      <c r="G72" t="inlineStr">
        <is>
          <t>INCONNU — demander l'avis d'imposition du vendeur</t>
        </is>
      </c>
    </row>
    <row r="73">
      <c r="A73" t="inlineStr">
        <is>
          <t>Jardinier / agent d'entretien (1 ETP chargé)</t>
        </is>
      </c>
      <c r="B73" s="12" t="n">
        <v>38000</v>
      </c>
      <c r="C73" s="15" t="n">
        <v>0</v>
      </c>
      <c r="G73" t="inlineStr">
        <is>
          <t>ESTIMATION 35-45 k€ (agent 4)</t>
        </is>
      </c>
    </row>
    <row r="74">
      <c r="A74" t="inlineStr">
        <is>
          <t>Parc, haies, clôtures, petit entretien</t>
        </is>
      </c>
      <c r="B74" s="12" t="n">
        <v>14250</v>
      </c>
      <c r="C74" s="15" t="n">
        <v>0</v>
      </c>
      <c r="G74" t="inlineStr">
        <is>
          <t>ESTIMATION</t>
        </is>
      </c>
    </row>
    <row r="75">
      <c r="A75" t="inlineStr">
        <is>
          <t>Soigneurs (2 ETP chargés)</t>
        </is>
      </c>
      <c r="B75" s="12" t="n">
        <v>47500</v>
      </c>
      <c r="C75" s="15" t="n">
        <v>0</v>
      </c>
      <c r="G75" t="inlineStr">
        <is>
          <t>Grille IDCC 7026 1 811 €/mois brut [A3-30] ; 1 ETP/19 équidés [A3-27]</t>
        </is>
      </c>
    </row>
    <row r="76">
      <c r="A76" t="inlineStr">
        <is>
          <t>Responsable d'écurie (1 ETP chargé)</t>
        </is>
      </c>
      <c r="B76" s="12" t="n">
        <v>33250</v>
      </c>
      <c r="C76" s="15" t="n">
        <v>0</v>
      </c>
      <c r="G76" t="inlineStr">
        <is>
          <t>ESTIMATION</t>
        </is>
      </c>
    </row>
    <row r="77">
      <c r="A77" t="inlineStr">
        <is>
          <t>Coordinateur événementiel saisonnier</t>
        </is>
      </c>
      <c r="B77" s="12" t="n">
        <v>19000</v>
      </c>
      <c r="C77" s="15" t="n">
        <v>0</v>
      </c>
      <c r="G77" t="inlineStr">
        <is>
          <t>ESTIMATION (agent 4)</t>
        </is>
      </c>
    </row>
    <row r="78">
      <c r="A78" t="inlineStr">
        <is>
          <t>Commercial, marketing, site, salons</t>
        </is>
      </c>
      <c r="B78" s="12" t="n">
        <v>14250</v>
      </c>
      <c r="C78" s="15" t="n">
        <v>0</v>
      </c>
      <c r="G78" t="inlineStr">
        <is>
          <t>ESTIMATION</t>
        </is>
      </c>
    </row>
    <row r="79">
      <c r="A79" t="inlineStr">
        <is>
          <t>Comptabilité, juridique, banque, logiciels</t>
        </is>
      </c>
      <c r="B79" s="12" t="n">
        <v>14250</v>
      </c>
      <c r="C79" s="15" t="n">
        <v>0</v>
      </c>
      <c r="G79" t="inlineStr">
        <is>
          <t>ESTIMATION</t>
        </is>
      </c>
    </row>
    <row r="80">
      <c r="A80" t="inlineStr">
        <is>
          <t>Entretien installations équestres, matériel, véhicules</t>
        </is>
      </c>
      <c r="B80" s="12" t="n">
        <v>11400</v>
      </c>
      <c r="C80" s="15" t="n">
        <v>0</v>
      </c>
      <c r="G80" t="inlineStr">
        <is>
          <t>ESTIMATION</t>
        </is>
      </c>
    </row>
    <row r="81">
      <c r="A81" t="inlineStr">
        <is>
          <t>Rémunération du dirigeant (chargée)</t>
        </is>
      </c>
      <c r="B81" s="12" t="n">
        <v>28500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 limités pendant la location</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Test — exploitation B sans aucune dette (acquisition 100 % fonds propres)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 agent d'entretien (1 ETP chargé)</t>
        </is>
      </c>
      <c r="B73" s="12" t="n">
        <v>40000</v>
      </c>
      <c r="C73" s="15" t="n">
        <v>1</v>
      </c>
      <c r="G73" t="inlineStr">
        <is>
          <t>ESTIMATION 35-45 k€ (agent 4)</t>
        </is>
      </c>
    </row>
    <row r="74">
      <c r="A74" t="inlineStr">
        <is>
          <t>Parc, haies, clôtures, petit entretien</t>
        </is>
      </c>
      <c r="B74" s="12" t="n">
        <v>15000</v>
      </c>
      <c r="C74" s="15" t="n">
        <v>1</v>
      </c>
      <c r="G74" t="inlineStr">
        <is>
          <t>ESTIMATION</t>
        </is>
      </c>
    </row>
    <row r="75">
      <c r="A75" t="inlineStr">
        <is>
          <t>Soigneurs (2 ETP chargés)</t>
        </is>
      </c>
      <c r="B75" s="12" t="n">
        <v>50000</v>
      </c>
      <c r="C75" s="15" t="n">
        <v>0</v>
      </c>
      <c r="G75" t="inlineStr">
        <is>
          <t>Grille IDCC 7026 1 811 €/mois brut [A3-30] ; 1 ETP/19 équidés [A3-27]</t>
        </is>
      </c>
    </row>
    <row r="76">
      <c r="A76" t="inlineStr">
        <is>
          <t>Responsable d'écurie (1 ETP chargé)</t>
        </is>
      </c>
      <c r="B76" s="12" t="n">
        <v>35000</v>
      </c>
      <c r="C76" s="15" t="n">
        <v>0</v>
      </c>
      <c r="G76" t="inlineStr">
        <is>
          <t>ESTIMATION</t>
        </is>
      </c>
    </row>
    <row r="77">
      <c r="A77" t="inlineStr">
        <is>
          <t>Coordinateur événementiel saisonnier</t>
        </is>
      </c>
      <c r="B77" s="12" t="n">
        <v>20000</v>
      </c>
      <c r="C77" s="15" t="n">
        <v>0</v>
      </c>
      <c r="G77" t="inlineStr">
        <is>
          <t>ESTIMATION (agent 4)</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Rémunération du dirigeant (chargée)</t>
        </is>
      </c>
      <c r="B81" s="12" t="n">
        <v>30000</v>
      </c>
      <c r="C81" s="15" t="n">
        <v>0</v>
      </c>
      <c r="G81" t="inlineStr">
        <is>
          <t>Hypothèse minimale ; le dirigeant paie 24 k€ de loyer privé</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Pension au pré / retraite</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Ventes privées / showcases B2B (location + service)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Mariages (location du lieu, week-end)</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Journées d'étude / CODIR (sans nuitée)</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Gîte de prestige (semaines louées)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Tournages / shootings (jours)</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Valorisation des terres non pâturées (ha)</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Loyer de la partie privée payé par le fondateur</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s="4" t="inlineStr">
        <is>
          <t>Chiffre d'affaires total</t>
        </is>
      </c>
      <c r="B102" s="17">
        <f>SUM(C102:L102)</f>
        <v/>
      </c>
      <c r="C102" s="17">
        <f>C93+C94+C95+C96+C97+C98+C99+C100+C101</f>
        <v/>
      </c>
      <c r="D102" s="17">
        <f>D93+D94+D95+D96+D97+D98+D99+D100+D101</f>
        <v/>
      </c>
      <c r="E102" s="17">
        <f>E93+E94+E95+E96+E97+E98+E99+E100+E101</f>
        <v/>
      </c>
      <c r="F102" s="17">
        <f>F93+F94+F95+F96+F97+F98+F99+F100+F101</f>
        <v/>
      </c>
      <c r="G102" s="17">
        <f>G93+G94+G95+G96+G97+G98+G99+G100+G101</f>
        <v/>
      </c>
      <c r="H102" s="17">
        <f>H93+H94+H95+H96+H97+H98+H99+H100+H101</f>
        <v/>
      </c>
      <c r="I102" s="17">
        <f>I93+I94+I95+I96+I97+I98+I99+I100+I101</f>
        <v/>
      </c>
      <c r="J102" s="17">
        <f>J93+J94+J95+J96+J97+J98+J99+J100+J101</f>
        <v/>
      </c>
      <c r="K102" s="17">
        <f>K93+K94+K95+K96+K97+K98+K99+K100+K101</f>
        <v/>
      </c>
      <c r="L102" s="17">
        <f>L93+L94+L95+L96+L97+L98+L99+L100+L101</f>
        <v/>
      </c>
    </row>
    <row r="103">
      <c r="A103" t="inlineStr">
        <is>
          <t xml:space="preserve">  dont équestre</t>
        </is>
      </c>
      <c r="B103" s="5">
        <f>SUM(C103:L103)</f>
        <v/>
      </c>
      <c r="C103" s="5">
        <f>C93*$F$58+C94*$F$59+C95*$F$60+C96*$F$61+C97*$F$62+C98*$F$63+C99*$F$64+C100*$F$65+C101*$F$66</f>
        <v/>
      </c>
      <c r="D103" s="5">
        <f>D93*$F$58+D94*$F$59+D95*$F$60+D96*$F$61+D97*$F$62+D98*$F$63+D99*$F$64+D100*$F$65+D101*$F$66</f>
        <v/>
      </c>
      <c r="E103" s="5">
        <f>E93*$F$58+E94*$F$59+E95*$F$60+E96*$F$61+E97*$F$62+E98*$F$63+E99*$F$64+E100*$F$65+E101*$F$66</f>
        <v/>
      </c>
      <c r="F103" s="5">
        <f>F93*$F$58+F94*$F$59+F95*$F$60+F96*$F$61+F97*$F$62+F98*$F$63+F99*$F$64+F100*$F$65+F101*$F$66</f>
        <v/>
      </c>
      <c r="G103" s="5">
        <f>G93*$F$58+G94*$F$59+G95*$F$60+G96*$F$61+G97*$F$62+G98*$F$63+G99*$F$64+G100*$F$65+G101*$F$66</f>
        <v/>
      </c>
      <c r="H103" s="5">
        <f>H93*$F$58+H94*$F$59+H95*$F$60+H96*$F$61+H97*$F$62+H98*$F$63+H99*$F$64+H100*$F$65+H101*$F$66</f>
        <v/>
      </c>
      <c r="I103" s="5">
        <f>I93*$F$58+I94*$F$59+I95*$F$60+I96*$F$61+I97*$F$62+I98*$F$63+I99*$F$64+I100*$F$65+I101*$F$66</f>
        <v/>
      </c>
      <c r="J103" s="5">
        <f>J93*$F$58+J94*$F$59+J95*$F$60+J96*$F$61+J97*$F$62+J98*$F$63+J99*$F$64+J100*$F$65+J101*$F$66</f>
        <v/>
      </c>
      <c r="K103" s="5">
        <f>K93*$F$58+K94*$F$59+K95*$F$60+K96*$F$61+K97*$F$62+K98*$F$63+K99*$F$64+K100*$F$65+K101*$F$66</f>
        <v/>
      </c>
      <c r="L103" s="5">
        <f>L93*$F$58+L94*$F$59+L95*$F$60+L96*$F$61+L97*$F$62+L98*$F$63+L99*$F$64+L100*$F$65+L101*$F$66</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-(C93*$D$58+C94*$D$59+C95*$D$60+C96*$D$61+C97*$D$62+C98*$D$63+C99*$D$64+C100*$D$65+C101*$D$66)</f>
        <v/>
      </c>
      <c r="D105" s="5">
        <f>-(D93*$D$58+D94*$D$59+D95*$D$60+D96*$D$61+D97*$D$62+D98*$D$63+D99*$D$64+D100*$D$65+D101*$D$66)</f>
        <v/>
      </c>
      <c r="E105" s="5">
        <f>-(E93*$D$58+E94*$D$59+E95*$D$60+E96*$D$61+E97*$D$62+E98*$D$63+E99*$D$64+E100*$D$65+E101*$D$66)</f>
        <v/>
      </c>
      <c r="F105" s="5">
        <f>-(F93*$D$58+F94*$D$59+F95*$D$60+F96*$D$61+F97*$D$62+F98*$D$63+F99*$D$64+F100*$D$65+F101*$D$66)</f>
        <v/>
      </c>
      <c r="G105" s="5">
        <f>-(G93*$D$58+G94*$D$59+G95*$D$60+G96*$D$61+G97*$D$62+G98*$D$63+G99*$D$64+G100*$D$65+G101*$D$66)</f>
        <v/>
      </c>
      <c r="H105" s="5">
        <f>-(H93*$D$58+H94*$D$59+H95*$D$60+H96*$D$61+H97*$D$62+H98*$D$63+H99*$D$64+H100*$D$65+H101*$D$66)</f>
        <v/>
      </c>
      <c r="I105" s="5">
        <f>-(I93*$D$58+I94*$D$59+I95*$D$60+I96*$D$61+I97*$D$62+I98*$D$63+I99*$D$64+I100*$D$65+I101*$D$66)</f>
        <v/>
      </c>
      <c r="J105" s="5">
        <f>-(J93*$D$58+J94*$D$59+J95*$D$60+J96*$D$61+J97*$D$62+J98*$D$63+J99*$D$64+J100*$D$65+J101*$D$66)</f>
        <v/>
      </c>
      <c r="K105" s="5">
        <f>-(K93*$D$58+K94*$D$59+K95*$D$60+K96*$D$61+K97*$D$62+K98*$D$63+K99*$D$64+K100*$D$65+K101*$D$66)</f>
        <v/>
      </c>
      <c r="L105" s="5">
        <f>-(L93*$D$58+L94*$D$59+L95*$D$60+L96*$D$61+L97*$D$62+L98*$D$63+L99*$D$64+L100*$D$65+L101*$D$66)</f>
        <v/>
      </c>
    </row>
    <row r="106">
      <c r="A106" s="4" t="inlineStr">
        <is>
          <t>Marge sur coûts variables</t>
        </is>
      </c>
      <c r="B106" s="17">
        <f>SUM(C106:L106)</f>
        <v/>
      </c>
      <c r="C106" s="17">
        <f>C102+C105</f>
        <v/>
      </c>
      <c r="D106" s="17">
        <f>D102+D105</f>
        <v/>
      </c>
      <c r="E106" s="17">
        <f>E102+E105</f>
        <v/>
      </c>
      <c r="F106" s="17">
        <f>F102+F105</f>
        <v/>
      </c>
      <c r="G106" s="17">
        <f>G102+G105</f>
        <v/>
      </c>
      <c r="H106" s="17">
        <f>H102+H105</f>
        <v/>
      </c>
      <c r="I106" s="17">
        <f>I102+I105</f>
        <v/>
      </c>
      <c r="J106" s="17">
        <f>J102+J105</f>
        <v/>
      </c>
      <c r="K106" s="17">
        <f>K102+K105</f>
        <v/>
      </c>
      <c r="L106" s="17">
        <f>L102+L105</f>
        <v/>
      </c>
    </row>
    <row r="107">
      <c r="A107" t="inlineStr">
        <is>
          <t xml:space="preserve">  Énergie (chauffage partiel, électricité)</t>
        </is>
      </c>
      <c r="B107" s="5">
        <f>SUM(C107:L107)</f>
        <v/>
      </c>
      <c r="C107" s="5">
        <f>-$B$70*C89*IF($C$70=1,C90,IF(C86&gt;0,1,0))</f>
        <v/>
      </c>
      <c r="D107" s="5">
        <f>-$B$70*D89*IF($C$70=1,D90,IF(D86&gt;0,1,0))</f>
        <v/>
      </c>
      <c r="E107" s="5">
        <f>-$B$70*E89*IF($C$70=1,E90,IF(E86&gt;0,1,0))</f>
        <v/>
      </c>
      <c r="F107" s="5">
        <f>-$B$70*F89*IF($C$70=1,F90,IF(F86&gt;0,1,0))</f>
        <v/>
      </c>
      <c r="G107" s="5">
        <f>-$B$70*G89*IF($C$70=1,G90,IF(G86&gt;0,1,0))</f>
        <v/>
      </c>
      <c r="H107" s="5">
        <f>-$B$70*H89*IF($C$70=1,H90,IF(H86&gt;0,1,0))</f>
        <v/>
      </c>
      <c r="I107" s="5">
        <f>-$B$70*I89*IF($C$70=1,I90,IF(I86&gt;0,1,0))</f>
        <v/>
      </c>
      <c r="J107" s="5">
        <f>-$B$70*J89*IF($C$70=1,J90,IF(J86&gt;0,1,0))</f>
        <v/>
      </c>
      <c r="K107" s="5">
        <f>-$B$70*K89*IF($C$70=1,K90,IF(K86&gt;0,1,0))</f>
        <v/>
      </c>
      <c r="L107" s="5">
        <f>-$B$70*L89*IF($C$70=1,L90,IF(L86&gt;0,1,0))</f>
        <v/>
      </c>
    </row>
    <row r="108">
      <c r="A108" t="inlineStr">
        <is>
          <t xml:space="preserve">  Assurances bâtiment + RC activités</t>
        </is>
      </c>
      <c r="B108" s="5">
        <f>SUM(C108:L108)</f>
        <v/>
      </c>
      <c r="C108" s="5">
        <f>-$B$71*C89*IF($C$71=1,C90,IF(C86&gt;0,1,0))</f>
        <v/>
      </c>
      <c r="D108" s="5">
        <f>-$B$71*D89*IF($C$71=1,D90,IF(D86&gt;0,1,0))</f>
        <v/>
      </c>
      <c r="E108" s="5">
        <f>-$B$71*E89*IF($C$71=1,E90,IF(E86&gt;0,1,0))</f>
        <v/>
      </c>
      <c r="F108" s="5">
        <f>-$B$71*F89*IF($C$71=1,F90,IF(F86&gt;0,1,0))</f>
        <v/>
      </c>
      <c r="G108" s="5">
        <f>-$B$71*G89*IF($C$71=1,G90,IF(G86&gt;0,1,0))</f>
        <v/>
      </c>
      <c r="H108" s="5">
        <f>-$B$71*H89*IF($C$71=1,H90,IF(H86&gt;0,1,0))</f>
        <v/>
      </c>
      <c r="I108" s="5">
        <f>-$B$71*I89*IF($C$71=1,I90,IF(I86&gt;0,1,0))</f>
        <v/>
      </c>
      <c r="J108" s="5">
        <f>-$B$71*J89*IF($C$71=1,J90,IF(J86&gt;0,1,0))</f>
        <v/>
      </c>
      <c r="K108" s="5">
        <f>-$B$71*K89*IF($C$71=1,K90,IF(K86&gt;0,1,0))</f>
        <v/>
      </c>
      <c r="L108" s="5">
        <f>-$B$71*L89*IF($C$71=1,L90,IF(L86&gt;0,1,0))</f>
        <v/>
      </c>
    </row>
    <row r="109">
      <c r="A109" t="inlineStr">
        <is>
          <t xml:space="preserve">  Taxe foncière</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Jardinier / agent d'entretien (1 ETP chargé)</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Parc, haies, clôtures, petit entretien</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Soigneurs (2 ETP chargés)</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Responsable d'écurie (1 ETP chargé)</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Coordinateur événementiel saisonnier</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Rémunération du dirigeant (chargée)</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C107+C108+C109+C110+C111+C112+C113+C114+C115+C116+C117+C118</f>
        <v/>
      </c>
      <c r="D119" s="17">
        <f>D107+D108+D109+D110+D111+D112+D113+D114+D115+D116+D117+D118</f>
        <v/>
      </c>
      <c r="E119" s="17">
        <f>E107+E108+E109+E110+E111+E112+E113+E114+E115+E116+E117+E118</f>
        <v/>
      </c>
      <c r="F119" s="17">
        <f>F107+F108+F109+F110+F111+F112+F113+F114+F115+F116+F117+F118</f>
        <v/>
      </c>
      <c r="G119" s="17">
        <f>G107+G108+G109+G110+G111+G112+G113+G114+G115+G116+G117+G118</f>
        <v/>
      </c>
      <c r="H119" s="17">
        <f>H107+H108+H109+H110+H111+H112+H113+H114+H115+H116+H117+H118</f>
        <v/>
      </c>
      <c r="I119" s="17">
        <f>I107+I108+I109+I110+I111+I112+I113+I114+I115+I116+I117+I118</f>
        <v/>
      </c>
      <c r="J119" s="17">
        <f>J107+J108+J109+J110+J111+J112+J113+J114+J115+J116+J117+J118</f>
        <v/>
      </c>
      <c r="K119" s="17">
        <f>K107+K108+K109+K110+K111+K112+K113+K114+K115+K116+K117+K118</f>
        <v/>
      </c>
      <c r="L119" s="17">
        <f>L107+L108+L109+L110+L111+L112+L113+L114+L115+L116+L117+L118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C106+C119+C120</f>
        <v/>
      </c>
      <c r="D121" s="17">
        <f>D106+D119+D120</f>
        <v/>
      </c>
      <c r="E121" s="17">
        <f>E106+E119+E120</f>
        <v/>
      </c>
      <c r="F121" s="17">
        <f>F106+F119+F120</f>
        <v/>
      </c>
      <c r="G121" s="17">
        <f>G106+G119+G120</f>
        <v/>
      </c>
      <c r="H121" s="17">
        <f>H106+H119+H120</f>
        <v/>
      </c>
      <c r="I121" s="17">
        <f>I106+I119+I120</f>
        <v/>
      </c>
      <c r="J121" s="17">
        <f>J106+J119+J120</f>
        <v/>
      </c>
      <c r="K121" s="17">
        <f>K106+K119+K120</f>
        <v/>
      </c>
      <c r="L121" s="17">
        <f>L106+L119+L120</f>
        <v/>
      </c>
    </row>
    <row r="122">
      <c r="A122" t="inlineStr">
        <is>
          <t xml:space="preserve">  Marge d'EBITDA</t>
        </is>
      </c>
      <c r="C122" s="6">
        <f>IF(C102=0,0,C121/C102)</f>
        <v/>
      </c>
      <c r="D122" s="6">
        <f>IF(D102=0,0,D121/D102)</f>
        <v/>
      </c>
      <c r="E122" s="6">
        <f>IF(E102=0,0,E121/E102)</f>
        <v/>
      </c>
      <c r="F122" s="6">
        <f>IF(F102=0,0,F121/F102)</f>
        <v/>
      </c>
      <c r="G122" s="6">
        <f>IF(G102=0,0,G121/G102)</f>
        <v/>
      </c>
      <c r="H122" s="6">
        <f>IF(H102=0,0,H121/H102)</f>
        <v/>
      </c>
      <c r="I122" s="6">
        <f>IF(I102=0,0,I121/I102)</f>
        <v/>
      </c>
      <c r="J122" s="6">
        <f>IF(J102=0,0,J121/J102)</f>
        <v/>
      </c>
      <c r="K122" s="6">
        <f>IF(K102=0,0,K121/K102)</f>
        <v/>
      </c>
      <c r="L122" s="6">
        <f>IF(L102=0,0,L121/L102)</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C102*$B$53</f>
        <v/>
      </c>
      <c r="D152" s="5">
        <f>D102*$B$53</f>
        <v/>
      </c>
      <c r="E152" s="5">
        <f>E102*$B$53</f>
        <v/>
      </c>
      <c r="F152" s="5">
        <f>F102*$B$53</f>
        <v/>
      </c>
      <c r="G152" s="5">
        <f>G102*$B$53</f>
        <v/>
      </c>
      <c r="H152" s="5">
        <f>H102*$B$53</f>
        <v/>
      </c>
      <c r="I152" s="5">
        <f>I102*$B$53</f>
        <v/>
      </c>
      <c r="J152" s="5">
        <f>J102*$B$53</f>
        <v/>
      </c>
      <c r="K152" s="5">
        <f>K102*$B$53</f>
        <v/>
      </c>
      <c r="L152" s="5">
        <f>L102*$B$53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G102</f>
        <v/>
      </c>
    </row>
    <row r="176">
      <c r="A176" t="inlineStr">
        <is>
          <t>EBITDA année 5</t>
        </is>
      </c>
      <c r="B176" s="17">
        <f>G121</f>
        <v/>
      </c>
    </row>
    <row r="177">
      <c r="A177" t="inlineStr">
        <is>
          <t>EBITDA année 10</t>
        </is>
      </c>
      <c r="B177" s="17">
        <f>L121</f>
        <v/>
      </c>
    </row>
    <row r="178">
      <c r="A178" t="inlineStr">
        <is>
          <t>Part équestre du CA année 5</t>
        </is>
      </c>
      <c r="B178" s="18">
        <f>G104</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 fondateur non rémunéré tenant écurie + événements, même financement que B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1400000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2100000</v>
      </c>
      <c r="C25" t="inlineStr">
        <is>
          <t>€</t>
        </is>
      </c>
      <c r="D25" t="inlineStr">
        <is>
          <t>NON ACQUIS — ≈ 50 % de la valeur, à obtenir</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C frugale — holding apporte 2,2 M€, dette 1,2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2200000</v>
      </c>
      <c r="C22" t="inlineStr">
        <is>
          <t>€</t>
        </is>
      </c>
      <c r="D22" t="inlineStr">
        <is>
          <t>Fonds propres HOLDING — NON acquis ; suppose plusieurs reprises de PME rentables</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1200000</v>
      </c>
      <c r="C25" t="inlineStr">
        <is>
          <t>€</t>
        </is>
      </c>
      <c r="D25" t="inlineStr">
        <is>
          <t>NON ACQUIS — LTV ≈ 35 %</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D — bien modeste et isolé (~1,4 M€, ≥ 80 ha, à restaurer), exploitation frugale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1400000</v>
      </c>
      <c r="C7" t="inlineStr">
        <is>
          <t>€</t>
        </is>
      </c>
      <c r="D7" t="inlineStr">
        <is>
          <t>Ordre de grandeur annonce Aubusson (23), XVe s., 85 ha ≈ 1,36 M€ — agent 1, non vérifiée</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900000</v>
      </c>
      <c r="C10" t="inlineStr">
        <is>
          <t>€</t>
        </is>
      </c>
      <c r="D10" t="inlineStr">
        <is>
          <t>ESTIMATION : château ancien à restaurer, sans devis</t>
        </is>
      </c>
    </row>
    <row r="11">
      <c r="A11" t="inlineStr">
        <is>
          <t>Investissements équestres (boxes, carrière, manège…)</t>
        </is>
      </c>
      <c r="B11" s="12" t="n">
        <v>400000</v>
      </c>
      <c r="C11" t="inlineStr">
        <is>
          <t>€</t>
        </is>
      </c>
      <c r="D11" t="inlineStr">
        <is>
          <t>ESTIMATION : écuries à créer (20 boxes + carrière + manège simple)</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1000000</v>
      </c>
      <c r="C22" t="inlineStr">
        <is>
          <t>€</t>
        </is>
      </c>
      <c r="D22" t="inlineStr">
        <is>
          <t>NON ACQUIS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1100000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13.5</v>
      </c>
      <c r="C58" s="12" t="n">
        <v>5610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13.5</v>
      </c>
      <c r="C61" s="12" t="n">
        <v>4675</v>
      </c>
      <c r="D61" s="13" t="n">
        <v>0.33</v>
      </c>
      <c r="E61" s="15" t="n">
        <v>1</v>
      </c>
      <c r="F61" s="15" t="n">
        <v>0</v>
      </c>
      <c r="G61" t="inlineStr">
        <is>
          <t>Médiane ≈5 900 € sur 10 tarifs publiés [A4] ; 18/an = plafond vie privée ESTIMATION</t>
        </is>
      </c>
    </row>
    <row r="62">
      <c r="A62" t="inlineStr">
        <is>
          <t>Journées d'étude / CODIR (sans nuitée)</t>
        </is>
      </c>
      <c r="B62" s="14" t="n">
        <v>7.5</v>
      </c>
      <c r="C62" s="12" t="n">
        <v>2125</v>
      </c>
      <c r="D62" s="13" t="n">
        <v>0.3</v>
      </c>
      <c r="E62" s="15" t="n">
        <v>1</v>
      </c>
      <c r="F62" s="15" t="n">
        <v>0</v>
      </c>
      <c r="G62" t="inlineStr">
        <is>
          <t>Mini 2 000 € HT observé [A4-29] ; volume ESTIMATION</t>
        </is>
      </c>
    </row>
    <row r="63">
      <c r="A63" t="inlineStr">
        <is>
          <t>Gîte de prestige (semaines louées)</t>
        </is>
      </c>
      <c r="B63" s="14" t="n">
        <v>15</v>
      </c>
      <c r="C63" s="12" t="n">
        <v>850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A frugale — fondateur non rémunéré, même financement que A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1300000</v>
      </c>
      <c r="C22" t="inlineStr">
        <is>
          <t>€</t>
        </is>
      </c>
      <c r="D22" t="inlineStr">
        <is>
          <t>NON ACQUIS — investisseurs à trouver</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2000000</v>
      </c>
      <c r="C25" t="inlineStr">
        <is>
          <t>€</t>
        </is>
      </c>
      <c r="D25" t="inlineStr">
        <is>
          <t>NON ACQUIS</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400000</v>
      </c>
      <c r="C29" t="inlineStr">
        <is>
          <t>€</t>
        </is>
      </c>
      <c r="D29" t="inlineStr">
        <is>
          <t>NON ACQUIS — crédit-vendeur à négocier</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300000</v>
      </c>
      <c r="C32" t="inlineStr">
        <is>
          <t>€</t>
        </is>
      </c>
      <c r="D32" t="inlineStr">
        <is>
          <t>NON ACQUIS — obligations in fine (club deal)</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 / pension travail</t>
        </is>
      </c>
      <c r="B58" s="14" t="n">
        <v>22</v>
      </c>
      <c r="C58" s="12" t="n">
        <v>6600</v>
      </c>
      <c r="D58" s="13" t="n">
        <v>0.27</v>
      </c>
      <c r="E58" s="15" t="n">
        <v>0</v>
      </c>
      <c r="F58" s="15" t="n">
        <v>1</v>
      </c>
      <c r="G58" t="inlineStr">
        <is>
          <t>24 boxes × 90 % ; 550 €/mois ESTIMATION centrale (fourchette sourcée 430-700 €)</t>
        </is>
      </c>
    </row>
    <row r="59">
      <c r="A59" t="inlineStr">
        <is>
          <t>Écurie louée à un cavalier pro (boxes/an)</t>
        </is>
      </c>
      <c r="B59" s="14" t="n">
        <v>10</v>
      </c>
      <c r="C59" s="12" t="n">
        <v>2400</v>
      </c>
      <c r="D59" s="13" t="n">
        <v>0.1</v>
      </c>
      <c r="E59" s="15" t="n">
        <v>0</v>
      </c>
      <c r="F59" s="15" t="n">
        <v>1</v>
      </c>
      <c r="G59" t="inlineStr">
        <is>
          <t>200 €/box/mois ESTIMATION ; risque de requalification en bail rural (agent 3/6)</t>
        </is>
      </c>
    </row>
    <row r="60">
      <c r="A60" t="inlineStr">
        <is>
          <t>Pension au pré / retraite</t>
        </is>
      </c>
      <c r="B60" s="14" t="n">
        <v>18</v>
      </c>
      <c r="C60" s="12" t="n">
        <v>3360</v>
      </c>
      <c r="D60" s="13" t="n">
        <v>0.29</v>
      </c>
      <c r="E60" s="15" t="n">
        <v>0</v>
      </c>
      <c r="F60" s="15" t="n">
        <v>1</v>
      </c>
      <c r="G60" t="inlineStr">
        <is>
          <t>280 €/mois ; source faible</t>
        </is>
      </c>
    </row>
    <row r="61">
      <c r="A61" t="inlineStr">
        <is>
          <t>Ventes privées / showcases B2B</t>
        </is>
      </c>
      <c r="B61" s="14" t="n">
        <v>8</v>
      </c>
      <c r="C61" s="12" t="n">
        <v>5000</v>
      </c>
      <c r="D61" s="13" t="n">
        <v>0.3</v>
      </c>
      <c r="E61" s="15" t="n">
        <v>1</v>
      </c>
      <c r="F61" s="15" t="n">
        <v>1</v>
      </c>
      <c r="G61" t="inlineStr">
        <is>
          <t>ESTIMATION — aucune preuve de demande pour un lieu privé</t>
        </is>
      </c>
    </row>
    <row r="62">
      <c r="A62" t="inlineStr">
        <is>
          <t>Concours (CSO amateur, jours) — recettes</t>
        </is>
      </c>
      <c r="B62" s="14" t="n">
        <v>3</v>
      </c>
      <c r="C62" s="12" t="n">
        <v>8000</v>
      </c>
      <c r="D62" s="13" t="n">
        <v>0.85</v>
      </c>
      <c r="E62" s="15" t="n">
        <v>1</v>
      </c>
      <c r="F62" s="15" t="n">
        <v>1</v>
      </c>
      <c r="G62" t="inlineStr">
        <is>
          <t>Budget CSO INCONNU ; marge −5/+10 k€ par événement selon agent 3</t>
        </is>
      </c>
    </row>
    <row r="63">
      <c r="A63" t="inlineStr">
        <is>
          <t>Réceptions équestres (propriétaires, éleveurs, marques)</t>
        </is>
      </c>
      <c r="B63" s="14" t="n">
        <v>6</v>
      </c>
      <c r="C63" s="12" t="n">
        <v>4000</v>
      </c>
      <c r="D63" s="13" t="n">
        <v>0.35</v>
      </c>
      <c r="E63" s="15" t="n">
        <v>1</v>
      </c>
      <c r="F63" s="15" t="n">
        <v>1</v>
      </c>
      <c r="G63" t="inlineStr">
        <is>
          <t>ESTIMATION</t>
        </is>
      </c>
    </row>
    <row r="64">
      <c r="A64" t="inlineStr">
        <is>
          <t>Séjours / stages équestres haut de gamme</t>
        </is>
      </c>
      <c r="B64" s="14" t="n">
        <v>15</v>
      </c>
      <c r="C64" s="12" t="n">
        <v>900</v>
      </c>
      <c r="D64" s="13" t="n">
        <v>0.4</v>
      </c>
      <c r="E64" s="15" t="n">
        <v>0</v>
      </c>
      <c r="F64" s="15" t="n">
        <v>1</v>
      </c>
      <c r="G64" t="inlineStr">
        <is>
          <t>ESTIMATION, demande non démontrée</t>
        </is>
      </c>
    </row>
    <row r="65">
      <c r="A65" t="inlineStr">
        <is>
          <t>Gîte de prestige (semaines louées)</t>
        </is>
      </c>
      <c r="B65" s="14" t="n">
        <v>20</v>
      </c>
      <c r="C65" s="12" t="n">
        <v>1000</v>
      </c>
      <c r="D65" s="13" t="n">
        <v>0.42</v>
      </c>
      <c r="E65" s="15" t="n">
        <v>0</v>
      </c>
      <c r="F65" s="15" t="n">
        <v>0</v>
      </c>
      <c r="G65" t="inlineStr">
        <is>
          <t>Cf. B</t>
        </is>
      </c>
    </row>
    <row r="66">
      <c r="A66" t="inlineStr">
        <is>
          <t>Tournages / shootings (jours)</t>
        </is>
      </c>
      <c r="B66" s="14" t="n">
        <v>4</v>
      </c>
      <c r="C66" s="12" t="n">
        <v>2000</v>
      </c>
      <c r="D66" s="13" t="n">
        <v>0.15</v>
      </c>
      <c r="E66" s="15" t="n">
        <v>1</v>
      </c>
      <c r="F66" s="15" t="n">
        <v>0</v>
      </c>
      <c r="G66" t="inlineStr">
        <is>
          <t>Cf. B</t>
        </is>
      </c>
    </row>
    <row r="67">
      <c r="A67" t="inlineStr">
        <is>
          <t>Valorisation des terres non pâturées (ha)</t>
        </is>
      </c>
      <c r="B67" s="14" t="n">
        <v>10</v>
      </c>
      <c r="C67" s="12" t="n">
        <v>150</v>
      </c>
      <c r="D67" s="13" t="n">
        <v>0.1</v>
      </c>
      <c r="E67" s="15" t="n">
        <v>0</v>
      </c>
      <c r="F67" s="15" t="n">
        <v>0</v>
      </c>
      <c r="G67" t="inlineStr">
        <is>
          <t>NON VÉRIFIÉ</t>
        </is>
      </c>
    </row>
    <row r="68">
      <c r="A68" t="inlineStr">
        <is>
          <t>Loyer de la partie privée payé par le fondateur</t>
        </is>
      </c>
      <c r="B68" s="14" t="n">
        <v>1</v>
      </c>
      <c r="C68" s="12" t="n">
        <v>24000</v>
      </c>
      <c r="D68" s="13" t="n">
        <v>0</v>
      </c>
      <c r="E68" s="15" t="n">
        <v>0</v>
      </c>
      <c r="F68" s="15" t="n">
        <v>0</v>
      </c>
      <c r="G68" t="inlineStr">
        <is>
          <t>Cf. B</t>
        </is>
      </c>
    </row>
    <row r="70">
      <c r="A70" s="10" t="inlineStr">
        <is>
          <t>6. Charges fixes annuelles (euros de l'année d'ouverture)</t>
        </is>
      </c>
      <c r="B70" s="11" t="n"/>
      <c r="C70" s="11" t="n"/>
      <c r="D70" s="11" t="n"/>
      <c r="E70" s="11" t="n"/>
      <c r="F70" s="11" t="n"/>
      <c r="G70" s="11" t="n"/>
      <c r="H70" s="11" t="n"/>
      <c r="I70" s="11" t="n"/>
      <c r="J70" s="11" t="n"/>
      <c r="K70" s="11" t="n"/>
      <c r="L70" s="11" t="n"/>
      <c r="M70" s="11" t="n"/>
    </row>
    <row r="71">
      <c r="A71" s="4" t="inlineStr">
        <is>
          <t>Libellé</t>
        </is>
      </c>
      <c r="B71" s="4" t="inlineStr">
        <is>
          <t>Montant/an</t>
        </is>
      </c>
      <c r="C71" s="4" t="inlineStr">
        <is>
          <t>Dès l'acq. (1) / dès l'ouverture (0)</t>
        </is>
      </c>
      <c r="G71" s="4" t="inlineStr">
        <is>
          <t>Source / statut</t>
        </is>
      </c>
    </row>
    <row r="72">
      <c r="A72" t="inlineStr">
        <is>
          <t>Énergie (chauffage partiel, électricité)</t>
        </is>
      </c>
      <c r="B72" s="12" t="n">
        <v>30000</v>
      </c>
      <c r="C72" s="15" t="n">
        <v>1</v>
      </c>
      <c r="G72" t="inlineStr">
        <is>
          <t>ESTIMATION 15-40 k€ (agent 4)</t>
        </is>
      </c>
    </row>
    <row r="73">
      <c r="A73" t="inlineStr">
        <is>
          <t>Assurances bâtiment + RC activités</t>
        </is>
      </c>
      <c r="B73" s="12" t="n">
        <v>15000</v>
      </c>
      <c r="C73" s="15" t="n">
        <v>1</v>
      </c>
      <c r="G73" t="inlineStr">
        <is>
          <t>ESTIMATION 5-15 k€ + RC ; devis à obtenir</t>
        </is>
      </c>
    </row>
    <row r="74">
      <c r="A74" t="inlineStr">
        <is>
          <t>Taxe foncière</t>
        </is>
      </c>
      <c r="B74" s="12" t="n">
        <v>15000</v>
      </c>
      <c r="C74" s="15" t="n">
        <v>1</v>
      </c>
      <c r="G74" t="inlineStr">
        <is>
          <t>INCONNU — demander l'avis d'imposition du vendeur</t>
        </is>
      </c>
    </row>
    <row r="75">
      <c r="A75" t="inlineStr">
        <is>
          <t>Jardinier mi-temps / prestataire</t>
        </is>
      </c>
      <c r="B75" s="12" t="n">
        <v>20000</v>
      </c>
      <c r="C75" s="15" t="n">
        <v>1</v>
      </c>
      <c r="G75" t="inlineStr">
        <is>
          <t>Variante frugale — ESTIMATION</t>
        </is>
      </c>
    </row>
    <row r="76">
      <c r="A76" t="inlineStr">
        <is>
          <t>Parc, haies, clôtures, petit entretien</t>
        </is>
      </c>
      <c r="B76" s="12" t="n">
        <v>15000</v>
      </c>
      <c r="C76" s="15" t="n">
        <v>1</v>
      </c>
      <c r="G76" t="inlineStr">
        <is>
          <t>ESTIMATION</t>
        </is>
      </c>
    </row>
    <row r="77">
      <c r="A77" t="inlineStr">
        <is>
          <t>Soigneurs (2 ETP chargés)</t>
        </is>
      </c>
      <c r="B77" s="12" t="n">
        <v>50000</v>
      </c>
      <c r="C77" s="15" t="n">
        <v>0</v>
      </c>
      <c r="G77" t="inlineStr">
        <is>
          <t>Variante frugale — fondateur à l'écurie</t>
        </is>
      </c>
    </row>
    <row r="78">
      <c r="A78" t="inlineStr">
        <is>
          <t>Commercial, marketing, site, salons</t>
        </is>
      </c>
      <c r="B78" s="12" t="n">
        <v>15000</v>
      </c>
      <c r="C78" s="15" t="n">
        <v>0</v>
      </c>
      <c r="G78" t="inlineStr">
        <is>
          <t>ESTIMATION</t>
        </is>
      </c>
    </row>
    <row r="79">
      <c r="A79" t="inlineStr">
        <is>
          <t>Comptabilité, juridique, banque, logiciels</t>
        </is>
      </c>
      <c r="B79" s="12" t="n">
        <v>15000</v>
      </c>
      <c r="C79" s="15" t="n">
        <v>0</v>
      </c>
      <c r="G79" t="inlineStr">
        <is>
          <t>ESTIMATION</t>
        </is>
      </c>
    </row>
    <row r="80">
      <c r="A80" t="inlineStr">
        <is>
          <t>Entretien installations équestres, matériel, véhicules</t>
        </is>
      </c>
      <c r="B80" s="12" t="n">
        <v>12000</v>
      </c>
      <c r="C80" s="15" t="n">
        <v>0</v>
      </c>
      <c r="G80" t="inlineStr">
        <is>
          <t>ESTIMATION</t>
        </is>
      </c>
    </row>
    <row r="81">
      <c r="A81" t="inlineStr">
        <is>
          <t>Organisation événements équestres (prestataires fixes, sono, secours)</t>
        </is>
      </c>
      <c r="B81" s="12" t="n">
        <v>10000</v>
      </c>
      <c r="C81" s="15" t="n">
        <v>0</v>
      </c>
      <c r="G81" t="inlineStr">
        <is>
          <t>ESTIMATION</t>
        </is>
      </c>
    </row>
    <row r="83">
      <c r="A83" s="10" t="inlineStr">
        <is>
          <t>7. Calcul sur 10 ans</t>
        </is>
      </c>
      <c r="B83" s="11" t="n"/>
      <c r="C83" s="11" t="n"/>
      <c r="D83" s="11" t="n"/>
      <c r="E83" s="11" t="n"/>
      <c r="F83" s="11" t="n"/>
      <c r="G83" s="11" t="n"/>
      <c r="H83" s="11" t="n"/>
      <c r="I83" s="11" t="n"/>
      <c r="J83" s="11" t="n"/>
      <c r="K83" s="11" t="n"/>
      <c r="L83" s="11" t="n"/>
      <c r="M83" s="11" t="n"/>
    </row>
    <row r="84">
      <c r="A84" s="4" t="inlineStr">
        <is>
          <t>Année</t>
        </is>
      </c>
      <c r="B84" s="4" t="inlineStr">
        <is>
          <t>Total / réf.</t>
        </is>
      </c>
      <c r="C84" s="4" t="n">
        <v>1</v>
      </c>
      <c r="D84" s="4" t="n">
        <v>2</v>
      </c>
      <c r="E84" s="4" t="n">
        <v>3</v>
      </c>
      <c r="F84" s="4" t="n">
        <v>4</v>
      </c>
      <c r="G84" s="4" t="n">
        <v>5</v>
      </c>
      <c r="H84" s="4" t="n">
        <v>6</v>
      </c>
      <c r="I84" s="4" t="n">
        <v>7</v>
      </c>
      <c r="J84" s="4" t="n">
        <v>8</v>
      </c>
      <c r="K84" s="4" t="n">
        <v>9</v>
      </c>
      <c r="L84" s="4" t="n">
        <v>10</v>
      </c>
    </row>
    <row r="85">
      <c r="A85" t="inlineStr">
        <is>
          <t>Année d'ouverture effective</t>
        </is>
      </c>
      <c r="C85" s="8">
        <f>$B$6+$B$42</f>
        <v/>
      </c>
      <c r="D85" s="8">
        <f>$B$6+$B$42</f>
        <v/>
      </c>
      <c r="E85" s="8">
        <f>$B$6+$B$42</f>
        <v/>
      </c>
      <c r="F85" s="8">
        <f>$B$6+$B$42</f>
        <v/>
      </c>
      <c r="G85" s="8">
        <f>$B$6+$B$42</f>
        <v/>
      </c>
      <c r="H85" s="8">
        <f>$B$6+$B$42</f>
        <v/>
      </c>
      <c r="I85" s="8">
        <f>$B$6+$B$42</f>
        <v/>
      </c>
      <c r="J85" s="8">
        <f>$B$6+$B$42</f>
        <v/>
      </c>
      <c r="K85" s="8">
        <f>$B$6+$B$42</f>
        <v/>
      </c>
      <c r="L85" s="8">
        <f>$B$6+$B$42</f>
        <v/>
      </c>
    </row>
    <row r="86">
      <c r="A86" t="inlineStr">
        <is>
          <t>Rang de l'année d'exploitation</t>
        </is>
      </c>
      <c r="C86" s="8">
        <f>MAX(0,C$84-C85+1)</f>
        <v/>
      </c>
      <c r="D86" s="8">
        <f>MAX(0,D$84-D85+1)</f>
        <v/>
      </c>
      <c r="E86" s="8">
        <f>MAX(0,E$84-E85+1)</f>
        <v/>
      </c>
      <c r="F86" s="8">
        <f>MAX(0,F$84-F85+1)</f>
        <v/>
      </c>
      <c r="G86" s="8">
        <f>MAX(0,G$84-G85+1)</f>
        <v/>
      </c>
      <c r="H86" s="8">
        <f>MAX(0,H$84-H85+1)</f>
        <v/>
      </c>
      <c r="I86" s="8">
        <f>MAX(0,I$84-I85+1)</f>
        <v/>
      </c>
      <c r="J86" s="8">
        <f>MAX(0,J$84-J85+1)</f>
        <v/>
      </c>
      <c r="K86" s="8">
        <f>MAX(0,K$84-K85+1)</f>
        <v/>
      </c>
      <c r="L86" s="8">
        <f>MAX(0,L$84-L85+1)</f>
        <v/>
      </c>
    </row>
    <row r="87">
      <c r="A87" t="inlineStr">
        <is>
          <t>Coefficient de montée en charge</t>
        </is>
      </c>
      <c r="C87" s="6">
        <f>IF(C86=0,0,IF(C86=1,$B$48,IF(C86=2,$B$49,IF(C86=3,$B$50,1))))</f>
        <v/>
      </c>
      <c r="D87" s="6">
        <f>IF(D86=0,0,IF(D86=1,$B$48,IF(D86=2,$B$49,IF(D86=3,$B$50,1))))</f>
        <v/>
      </c>
      <c r="E87" s="6">
        <f>IF(E86=0,0,IF(E86=1,$B$48,IF(E86=2,$B$49,IF(E86=3,$B$50,1))))</f>
        <v/>
      </c>
      <c r="F87" s="6">
        <f>IF(F86=0,0,IF(F86=1,$B$48,IF(F86=2,$B$49,IF(F86=3,$B$50,1))))</f>
        <v/>
      </c>
      <c r="G87" s="6">
        <f>IF(G86=0,0,IF(G86=1,$B$48,IF(G86=2,$B$49,IF(G86=3,$B$50,1))))</f>
        <v/>
      </c>
      <c r="H87" s="6">
        <f>IF(H86=0,0,IF(H86=1,$B$48,IF(H86=2,$B$49,IF(H86=3,$B$50,1))))</f>
        <v/>
      </c>
      <c r="I87" s="6">
        <f>IF(I86=0,0,IF(I86=1,$B$48,IF(I86=2,$B$49,IF(I86=3,$B$50,1))))</f>
        <v/>
      </c>
      <c r="J87" s="6">
        <f>IF(J86=0,0,IF(J86=1,$B$48,IF(J86=2,$B$49,IF(J86=3,$B$50,1))))</f>
        <v/>
      </c>
      <c r="K87" s="6">
        <f>IF(K86=0,0,IF(K86=1,$B$48,IF(K86=2,$B$49,IF(K86=3,$B$50,1))))</f>
        <v/>
      </c>
      <c r="L87" s="6">
        <f>IF(L86=0,0,IF(L86=1,$B$48,IF(L86=2,$B$49,IF(L86=3,$B$50,1))))</f>
        <v/>
      </c>
    </row>
    <row r="88">
      <c r="A88" t="inlineStr">
        <is>
          <t>Indice prix</t>
        </is>
      </c>
      <c r="C88" s="16">
        <f>(1+$B$51)^(C$84-1)</f>
        <v/>
      </c>
      <c r="D88" s="16">
        <f>(1+$B$51)^(D$84-1)</f>
        <v/>
      </c>
      <c r="E88" s="16">
        <f>(1+$B$51)^(E$84-1)</f>
        <v/>
      </c>
      <c r="F88" s="16">
        <f>(1+$B$51)^(F$84-1)</f>
        <v/>
      </c>
      <c r="G88" s="16">
        <f>(1+$B$51)^(G$84-1)</f>
        <v/>
      </c>
      <c r="H88" s="16">
        <f>(1+$B$51)^(H$84-1)</f>
        <v/>
      </c>
      <c r="I88" s="16">
        <f>(1+$B$51)^(I$84-1)</f>
        <v/>
      </c>
      <c r="J88" s="16">
        <f>(1+$B$51)^(J$84-1)</f>
        <v/>
      </c>
      <c r="K88" s="16">
        <f>(1+$B$51)^(K$84-1)</f>
        <v/>
      </c>
      <c r="L88" s="16">
        <f>(1+$B$51)^(L$84-1)</f>
        <v/>
      </c>
    </row>
    <row r="89">
      <c r="A89" t="inlineStr">
        <is>
          <t>Indice charges</t>
        </is>
      </c>
      <c r="C89" s="16">
        <f>(1+$B$52)^(C$84-1)</f>
        <v/>
      </c>
      <c r="D89" s="16">
        <f>(1+$B$52)^(D$84-1)</f>
        <v/>
      </c>
      <c r="E89" s="16">
        <f>(1+$B$52)^(E$84-1)</f>
        <v/>
      </c>
      <c r="F89" s="16">
        <f>(1+$B$52)^(F$84-1)</f>
        <v/>
      </c>
      <c r="G89" s="16">
        <f>(1+$B$52)^(G$84-1)</f>
        <v/>
      </c>
      <c r="H89" s="16">
        <f>(1+$B$52)^(H$84-1)</f>
        <v/>
      </c>
      <c r="I89" s="16">
        <f>(1+$B$52)^(I$84-1)</f>
        <v/>
      </c>
      <c r="J89" s="16">
        <f>(1+$B$52)^(J$84-1)</f>
        <v/>
      </c>
      <c r="K89" s="16">
        <f>(1+$B$52)^(K$84-1)</f>
        <v/>
      </c>
      <c r="L89" s="16">
        <f>(1+$B$52)^(L$84-1)</f>
        <v/>
      </c>
    </row>
    <row r="90">
      <c r="A90" t="inlineStr">
        <is>
          <t>Murs détenus (1/0)</t>
        </is>
      </c>
      <c r="C90" s="8">
        <f>IF(C$84&gt;=$B$5,1,0)</f>
        <v/>
      </c>
      <c r="D90" s="8">
        <f>IF(D$84&gt;=$B$5,1,0)</f>
        <v/>
      </c>
      <c r="E90" s="8">
        <f>IF(E$84&gt;=$B$5,1,0)</f>
        <v/>
      </c>
      <c r="F90" s="8">
        <f>IF(F$84&gt;=$B$5,1,0)</f>
        <v/>
      </c>
      <c r="G90" s="8">
        <f>IF(G$84&gt;=$B$5,1,0)</f>
        <v/>
      </c>
      <c r="H90" s="8">
        <f>IF(H$84&gt;=$B$5,1,0)</f>
        <v/>
      </c>
      <c r="I90" s="8">
        <f>IF(I$84&gt;=$B$5,1,0)</f>
        <v/>
      </c>
      <c r="J90" s="8">
        <f>IF(J$84&gt;=$B$5,1,0)</f>
        <v/>
      </c>
      <c r="K90" s="8">
        <f>IF(K$84&gt;=$B$5,1,0)</f>
        <v/>
      </c>
      <c r="L90" s="8">
        <f>IF(L$84&gt;=$B$5,1,0)</f>
        <v/>
      </c>
    </row>
    <row r="92">
      <c r="A92" s="4" t="inlineStr">
        <is>
          <t>Compte de résultat</t>
        </is>
      </c>
    </row>
    <row r="93">
      <c r="A93" t="inlineStr">
        <is>
          <t xml:space="preserve">  Pension box premium / pension travail</t>
        </is>
      </c>
      <c r="B93" s="5">
        <f>SUM(C93:L93)</f>
        <v/>
      </c>
      <c r="C93" s="5">
        <f>$B$58*$C$58*C87*C88*$B$40*(1-$E$58*$B$45)</f>
        <v/>
      </c>
      <c r="D93" s="5">
        <f>$B$58*$C$58*D87*D88*$B$40*(1-$E$58*$B$45)</f>
        <v/>
      </c>
      <c r="E93" s="5">
        <f>$B$58*$C$58*E87*E88*$B$40*(1-$E$58*$B$45)</f>
        <v/>
      </c>
      <c r="F93" s="5">
        <f>$B$58*$C$58*F87*F88*$B$40*(1-$E$58*$B$45)</f>
        <v/>
      </c>
      <c r="G93" s="5">
        <f>$B$58*$C$58*G87*G88*$B$40*(1-$E$58*$B$45)</f>
        <v/>
      </c>
      <c r="H93" s="5">
        <f>$B$58*$C$58*H87*H88*$B$40*(1-$E$58*$B$45)</f>
        <v/>
      </c>
      <c r="I93" s="5">
        <f>$B$58*$C$58*I87*I88*$B$40*(1-$E$58*$B$45)</f>
        <v/>
      </c>
      <c r="J93" s="5">
        <f>$B$58*$C$58*J87*J88*$B$40*(1-$E$58*$B$45)</f>
        <v/>
      </c>
      <c r="K93" s="5">
        <f>$B$58*$C$58*K87*K88*$B$40*(1-$E$58*$B$45)</f>
        <v/>
      </c>
      <c r="L93" s="5">
        <f>$B$58*$C$58*L87*L88*$B$40*(1-$E$58*$B$45)</f>
        <v/>
      </c>
    </row>
    <row r="94">
      <c r="A94" t="inlineStr">
        <is>
          <t xml:space="preserve">  Écurie louée à un cavalier pro (boxes/an)</t>
        </is>
      </c>
      <c r="B94" s="5">
        <f>SUM(C94:L94)</f>
        <v/>
      </c>
      <c r="C94" s="5">
        <f>$B$59*$C$59*C87*C88*$B$40*(1-$E$59*$B$45)</f>
        <v/>
      </c>
      <c r="D94" s="5">
        <f>$B$59*$C$59*D87*D88*$B$40*(1-$E$59*$B$45)</f>
        <v/>
      </c>
      <c r="E94" s="5">
        <f>$B$59*$C$59*E87*E88*$B$40*(1-$E$59*$B$45)</f>
        <v/>
      </c>
      <c r="F94" s="5">
        <f>$B$59*$C$59*F87*F88*$B$40*(1-$E$59*$B$45)</f>
        <v/>
      </c>
      <c r="G94" s="5">
        <f>$B$59*$C$59*G87*G88*$B$40*(1-$E$59*$B$45)</f>
        <v/>
      </c>
      <c r="H94" s="5">
        <f>$B$59*$C$59*H87*H88*$B$40*(1-$E$59*$B$45)</f>
        <v/>
      </c>
      <c r="I94" s="5">
        <f>$B$59*$C$59*I87*I88*$B$40*(1-$E$59*$B$45)</f>
        <v/>
      </c>
      <c r="J94" s="5">
        <f>$B$59*$C$59*J87*J88*$B$40*(1-$E$59*$B$45)</f>
        <v/>
      </c>
      <c r="K94" s="5">
        <f>$B$59*$C$59*K87*K88*$B$40*(1-$E$59*$B$45)</f>
        <v/>
      </c>
      <c r="L94" s="5">
        <f>$B$59*$C$59*L87*L88*$B$40*(1-$E$59*$B$45)</f>
        <v/>
      </c>
    </row>
    <row r="95">
      <c r="A95" t="inlineStr">
        <is>
          <t xml:space="preserve">  Pension au pré / retraite</t>
        </is>
      </c>
      <c r="B95" s="5">
        <f>SUM(C95:L95)</f>
        <v/>
      </c>
      <c r="C95" s="5">
        <f>$B$60*$C$60*C87*C88*$B$40*(1-$E$60*$B$45)</f>
        <v/>
      </c>
      <c r="D95" s="5">
        <f>$B$60*$C$60*D87*D88*$B$40*(1-$E$60*$B$45)</f>
        <v/>
      </c>
      <c r="E95" s="5">
        <f>$B$60*$C$60*E87*E88*$B$40*(1-$E$60*$B$45)</f>
        <v/>
      </c>
      <c r="F95" s="5">
        <f>$B$60*$C$60*F87*F88*$B$40*(1-$E$60*$B$45)</f>
        <v/>
      </c>
      <c r="G95" s="5">
        <f>$B$60*$C$60*G87*G88*$B$40*(1-$E$60*$B$45)</f>
        <v/>
      </c>
      <c r="H95" s="5">
        <f>$B$60*$C$60*H87*H88*$B$40*(1-$E$60*$B$45)</f>
        <v/>
      </c>
      <c r="I95" s="5">
        <f>$B$60*$C$60*I87*I88*$B$40*(1-$E$60*$B$45)</f>
        <v/>
      </c>
      <c r="J95" s="5">
        <f>$B$60*$C$60*J87*J88*$B$40*(1-$E$60*$B$45)</f>
        <v/>
      </c>
      <c r="K95" s="5">
        <f>$B$60*$C$60*K87*K88*$B$40*(1-$E$60*$B$45)</f>
        <v/>
      </c>
      <c r="L95" s="5">
        <f>$B$60*$C$60*L87*L88*$B$40*(1-$E$60*$B$45)</f>
        <v/>
      </c>
    </row>
    <row r="96">
      <c r="A96" t="inlineStr">
        <is>
          <t xml:space="preserve">  Ventes privées / showcases B2B</t>
        </is>
      </c>
      <c r="B96" s="5">
        <f>SUM(C96:L96)</f>
        <v/>
      </c>
      <c r="C96" s="5">
        <f>$B$61*$C$61*C87*C88*$B$40*(1-$E$61*$B$45)</f>
        <v/>
      </c>
      <c r="D96" s="5">
        <f>$B$61*$C$61*D87*D88*$B$40*(1-$E$61*$B$45)</f>
        <v/>
      </c>
      <c r="E96" s="5">
        <f>$B$61*$C$61*E87*E88*$B$40*(1-$E$61*$B$45)</f>
        <v/>
      </c>
      <c r="F96" s="5">
        <f>$B$61*$C$61*F87*F88*$B$40*(1-$E$61*$B$45)</f>
        <v/>
      </c>
      <c r="G96" s="5">
        <f>$B$61*$C$61*G87*G88*$B$40*(1-$E$61*$B$45)</f>
        <v/>
      </c>
      <c r="H96" s="5">
        <f>$B$61*$C$61*H87*H88*$B$40*(1-$E$61*$B$45)</f>
        <v/>
      </c>
      <c r="I96" s="5">
        <f>$B$61*$C$61*I87*I88*$B$40*(1-$E$61*$B$45)</f>
        <v/>
      </c>
      <c r="J96" s="5">
        <f>$B$61*$C$61*J87*J88*$B$40*(1-$E$61*$B$45)</f>
        <v/>
      </c>
      <c r="K96" s="5">
        <f>$B$61*$C$61*K87*K88*$B$40*(1-$E$61*$B$45)</f>
        <v/>
      </c>
      <c r="L96" s="5">
        <f>$B$61*$C$61*L87*L88*$B$40*(1-$E$61*$B$45)</f>
        <v/>
      </c>
    </row>
    <row r="97">
      <c r="A97" t="inlineStr">
        <is>
          <t xml:space="preserve">  Concours (CSO amateur, jours) — recettes</t>
        </is>
      </c>
      <c r="B97" s="5">
        <f>SUM(C97:L97)</f>
        <v/>
      </c>
      <c r="C97" s="5">
        <f>$B$62*$C$62*C87*C88*$B$40*(1-$E$62*$B$45)</f>
        <v/>
      </c>
      <c r="D97" s="5">
        <f>$B$62*$C$62*D87*D88*$B$40*(1-$E$62*$B$45)</f>
        <v/>
      </c>
      <c r="E97" s="5">
        <f>$B$62*$C$62*E87*E88*$B$40*(1-$E$62*$B$45)</f>
        <v/>
      </c>
      <c r="F97" s="5">
        <f>$B$62*$C$62*F87*F88*$B$40*(1-$E$62*$B$45)</f>
        <v/>
      </c>
      <c r="G97" s="5">
        <f>$B$62*$C$62*G87*G88*$B$40*(1-$E$62*$B$45)</f>
        <v/>
      </c>
      <c r="H97" s="5">
        <f>$B$62*$C$62*H87*H88*$B$40*(1-$E$62*$B$45)</f>
        <v/>
      </c>
      <c r="I97" s="5">
        <f>$B$62*$C$62*I87*I88*$B$40*(1-$E$62*$B$45)</f>
        <v/>
      </c>
      <c r="J97" s="5">
        <f>$B$62*$C$62*J87*J88*$B$40*(1-$E$62*$B$45)</f>
        <v/>
      </c>
      <c r="K97" s="5">
        <f>$B$62*$C$62*K87*K88*$B$40*(1-$E$62*$B$45)</f>
        <v/>
      </c>
      <c r="L97" s="5">
        <f>$B$62*$C$62*L87*L88*$B$40*(1-$E$62*$B$45)</f>
        <v/>
      </c>
    </row>
    <row r="98">
      <c r="A98" t="inlineStr">
        <is>
          <t xml:space="preserve">  Réceptions équestres (propriétaires, éleveurs, marques)</t>
        </is>
      </c>
      <c r="B98" s="5">
        <f>SUM(C98:L98)</f>
        <v/>
      </c>
      <c r="C98" s="5">
        <f>$B$63*$C$63*C87*C88*$B$40*(1-$E$63*$B$45)</f>
        <v/>
      </c>
      <c r="D98" s="5">
        <f>$B$63*$C$63*D87*D88*$B$40*(1-$E$63*$B$45)</f>
        <v/>
      </c>
      <c r="E98" s="5">
        <f>$B$63*$C$63*E87*E88*$B$40*(1-$E$63*$B$45)</f>
        <v/>
      </c>
      <c r="F98" s="5">
        <f>$B$63*$C$63*F87*F88*$B$40*(1-$E$63*$B$45)</f>
        <v/>
      </c>
      <c r="G98" s="5">
        <f>$B$63*$C$63*G87*G88*$B$40*(1-$E$63*$B$45)</f>
        <v/>
      </c>
      <c r="H98" s="5">
        <f>$B$63*$C$63*H87*H88*$B$40*(1-$E$63*$B$45)</f>
        <v/>
      </c>
      <c r="I98" s="5">
        <f>$B$63*$C$63*I87*I88*$B$40*(1-$E$63*$B$45)</f>
        <v/>
      </c>
      <c r="J98" s="5">
        <f>$B$63*$C$63*J87*J88*$B$40*(1-$E$63*$B$45)</f>
        <v/>
      </c>
      <c r="K98" s="5">
        <f>$B$63*$C$63*K87*K88*$B$40*(1-$E$63*$B$45)</f>
        <v/>
      </c>
      <c r="L98" s="5">
        <f>$B$63*$C$63*L87*L88*$B$40*(1-$E$63*$B$45)</f>
        <v/>
      </c>
    </row>
    <row r="99">
      <c r="A99" t="inlineStr">
        <is>
          <t xml:space="preserve">  Séjours / stages équestres haut de gamme</t>
        </is>
      </c>
      <c r="B99" s="5">
        <f>SUM(C99:L99)</f>
        <v/>
      </c>
      <c r="C99" s="5">
        <f>$B$64*$C$64*C87*C88*$B$40*(1-$E$64*$B$45)</f>
        <v/>
      </c>
      <c r="D99" s="5">
        <f>$B$64*$C$64*D87*D88*$B$40*(1-$E$64*$B$45)</f>
        <v/>
      </c>
      <c r="E99" s="5">
        <f>$B$64*$C$64*E87*E88*$B$40*(1-$E$64*$B$45)</f>
        <v/>
      </c>
      <c r="F99" s="5">
        <f>$B$64*$C$64*F87*F88*$B$40*(1-$E$64*$B$45)</f>
        <v/>
      </c>
      <c r="G99" s="5">
        <f>$B$64*$C$64*G87*G88*$B$40*(1-$E$64*$B$45)</f>
        <v/>
      </c>
      <c r="H99" s="5">
        <f>$B$64*$C$64*H87*H88*$B$40*(1-$E$64*$B$45)</f>
        <v/>
      </c>
      <c r="I99" s="5">
        <f>$B$64*$C$64*I87*I88*$B$40*(1-$E$64*$B$45)</f>
        <v/>
      </c>
      <c r="J99" s="5">
        <f>$B$64*$C$64*J87*J88*$B$40*(1-$E$64*$B$45)</f>
        <v/>
      </c>
      <c r="K99" s="5">
        <f>$B$64*$C$64*K87*K88*$B$40*(1-$E$64*$B$45)</f>
        <v/>
      </c>
      <c r="L99" s="5">
        <f>$B$64*$C$64*L87*L88*$B$40*(1-$E$64*$B$45)</f>
        <v/>
      </c>
    </row>
    <row r="100">
      <c r="A100" t="inlineStr">
        <is>
          <t xml:space="preserve">  Gîte de prestige (semaines louées)</t>
        </is>
      </c>
      <c r="B100" s="5">
        <f>SUM(C100:L100)</f>
        <v/>
      </c>
      <c r="C100" s="5">
        <f>$B$65*$C$65*C87*C88*$B$40*(1-$E$65*$B$45)</f>
        <v/>
      </c>
      <c r="D100" s="5">
        <f>$B$65*$C$65*D87*D88*$B$40*(1-$E$65*$B$45)</f>
        <v/>
      </c>
      <c r="E100" s="5">
        <f>$B$65*$C$65*E87*E88*$B$40*(1-$E$65*$B$45)</f>
        <v/>
      </c>
      <c r="F100" s="5">
        <f>$B$65*$C$65*F87*F88*$B$40*(1-$E$65*$B$45)</f>
        <v/>
      </c>
      <c r="G100" s="5">
        <f>$B$65*$C$65*G87*G88*$B$40*(1-$E$65*$B$45)</f>
        <v/>
      </c>
      <c r="H100" s="5">
        <f>$B$65*$C$65*H87*H88*$B$40*(1-$E$65*$B$45)</f>
        <v/>
      </c>
      <c r="I100" s="5">
        <f>$B$65*$C$65*I87*I88*$B$40*(1-$E$65*$B$45)</f>
        <v/>
      </c>
      <c r="J100" s="5">
        <f>$B$65*$C$65*J87*J88*$B$40*(1-$E$65*$B$45)</f>
        <v/>
      </c>
      <c r="K100" s="5">
        <f>$B$65*$C$65*K87*K88*$B$40*(1-$E$65*$B$45)</f>
        <v/>
      </c>
      <c r="L100" s="5">
        <f>$B$65*$C$65*L87*L88*$B$40*(1-$E$65*$B$45)</f>
        <v/>
      </c>
    </row>
    <row r="101">
      <c r="A101" t="inlineStr">
        <is>
          <t xml:space="preserve">  Tournages / shootings (jours)</t>
        </is>
      </c>
      <c r="B101" s="5">
        <f>SUM(C101:L101)</f>
        <v/>
      </c>
      <c r="C101" s="5">
        <f>$B$66*$C$66*C87*C88*$B$40*(1-$E$66*$B$45)</f>
        <v/>
      </c>
      <c r="D101" s="5">
        <f>$B$66*$C$66*D87*D88*$B$40*(1-$E$66*$B$45)</f>
        <v/>
      </c>
      <c r="E101" s="5">
        <f>$B$66*$C$66*E87*E88*$B$40*(1-$E$66*$B$45)</f>
        <v/>
      </c>
      <c r="F101" s="5">
        <f>$B$66*$C$66*F87*F88*$B$40*(1-$E$66*$B$45)</f>
        <v/>
      </c>
      <c r="G101" s="5">
        <f>$B$66*$C$66*G87*G88*$B$40*(1-$E$66*$B$45)</f>
        <v/>
      </c>
      <c r="H101" s="5">
        <f>$B$66*$C$66*H87*H88*$B$40*(1-$E$66*$B$45)</f>
        <v/>
      </c>
      <c r="I101" s="5">
        <f>$B$66*$C$66*I87*I88*$B$40*(1-$E$66*$B$45)</f>
        <v/>
      </c>
      <c r="J101" s="5">
        <f>$B$66*$C$66*J87*J88*$B$40*(1-$E$66*$B$45)</f>
        <v/>
      </c>
      <c r="K101" s="5">
        <f>$B$66*$C$66*K87*K88*$B$40*(1-$E$66*$B$45)</f>
        <v/>
      </c>
      <c r="L101" s="5">
        <f>$B$66*$C$66*L87*L88*$B$40*(1-$E$66*$B$45)</f>
        <v/>
      </c>
    </row>
    <row r="102">
      <c r="A102" t="inlineStr">
        <is>
          <t xml:space="preserve">  Valorisation des terres non pâturées (ha)</t>
        </is>
      </c>
      <c r="B102" s="5">
        <f>SUM(C102:L102)</f>
        <v/>
      </c>
      <c r="C102" s="5">
        <f>$B$67*$C$67*C87*C88*$B$40*(1-$E$67*$B$45)</f>
        <v/>
      </c>
      <c r="D102" s="5">
        <f>$B$67*$C$67*D87*D88*$B$40*(1-$E$67*$B$45)</f>
        <v/>
      </c>
      <c r="E102" s="5">
        <f>$B$67*$C$67*E87*E88*$B$40*(1-$E$67*$B$45)</f>
        <v/>
      </c>
      <c r="F102" s="5">
        <f>$B$67*$C$67*F87*F88*$B$40*(1-$E$67*$B$45)</f>
        <v/>
      </c>
      <c r="G102" s="5">
        <f>$B$67*$C$67*G87*G88*$B$40*(1-$E$67*$B$45)</f>
        <v/>
      </c>
      <c r="H102" s="5">
        <f>$B$67*$C$67*H87*H88*$B$40*(1-$E$67*$B$45)</f>
        <v/>
      </c>
      <c r="I102" s="5">
        <f>$B$67*$C$67*I87*I88*$B$40*(1-$E$67*$B$45)</f>
        <v/>
      </c>
      <c r="J102" s="5">
        <f>$B$67*$C$67*J87*J88*$B$40*(1-$E$67*$B$45)</f>
        <v/>
      </c>
      <c r="K102" s="5">
        <f>$B$67*$C$67*K87*K88*$B$40*(1-$E$67*$B$45)</f>
        <v/>
      </c>
      <c r="L102" s="5">
        <f>$B$67*$C$67*L87*L88*$B$40*(1-$E$67*$B$45)</f>
        <v/>
      </c>
    </row>
    <row r="103">
      <c r="A103" t="inlineStr">
        <is>
          <t xml:space="preserve">  Loyer de la partie privée payé par le fondateur</t>
        </is>
      </c>
      <c r="B103" s="5">
        <f>SUM(C103:L103)</f>
        <v/>
      </c>
      <c r="C103" s="5">
        <f>$B$68*$C$68*C87*C88*$B$40*(1-$E$68*$B$45)</f>
        <v/>
      </c>
      <c r="D103" s="5">
        <f>$B$68*$C$68*D87*D88*$B$40*(1-$E$68*$B$45)</f>
        <v/>
      </c>
      <c r="E103" s="5">
        <f>$B$68*$C$68*E87*E88*$B$40*(1-$E$68*$B$45)</f>
        <v/>
      </c>
      <c r="F103" s="5">
        <f>$B$68*$C$68*F87*F88*$B$40*(1-$E$68*$B$45)</f>
        <v/>
      </c>
      <c r="G103" s="5">
        <f>$B$68*$C$68*G87*G88*$B$40*(1-$E$68*$B$45)</f>
        <v/>
      </c>
      <c r="H103" s="5">
        <f>$B$68*$C$68*H87*H88*$B$40*(1-$E$68*$B$45)</f>
        <v/>
      </c>
      <c r="I103" s="5">
        <f>$B$68*$C$68*I87*I88*$B$40*(1-$E$68*$B$45)</f>
        <v/>
      </c>
      <c r="J103" s="5">
        <f>$B$68*$C$68*J87*J88*$B$40*(1-$E$68*$B$45)</f>
        <v/>
      </c>
      <c r="K103" s="5">
        <f>$B$68*$C$68*K87*K88*$B$40*(1-$E$68*$B$45)</f>
        <v/>
      </c>
      <c r="L103" s="5">
        <f>$B$68*$C$68*L87*L88*$B$40*(1-$E$68*$B$45)</f>
        <v/>
      </c>
    </row>
    <row r="104">
      <c r="A104" s="4" t="inlineStr">
        <is>
          <t>Chiffre d'affaires total</t>
        </is>
      </c>
      <c r="B104" s="17">
        <f>SUM(C104:L104)</f>
        <v/>
      </c>
      <c r="C104" s="17">
        <f>C93+C94+C95+C96+C97+C98+C99+C100+C101+C102+C103</f>
        <v/>
      </c>
      <c r="D104" s="17">
        <f>D93+D94+D95+D96+D97+D98+D99+D100+D101+D102+D103</f>
        <v/>
      </c>
      <c r="E104" s="17">
        <f>E93+E94+E95+E96+E97+E98+E99+E100+E101+E102+E103</f>
        <v/>
      </c>
      <c r="F104" s="17">
        <f>F93+F94+F95+F96+F97+F98+F99+F100+F101+F102+F103</f>
        <v/>
      </c>
      <c r="G104" s="17">
        <f>G93+G94+G95+G96+G97+G98+G99+G100+G101+G102+G103</f>
        <v/>
      </c>
      <c r="H104" s="17">
        <f>H93+H94+H95+H96+H97+H98+H99+H100+H101+H102+H103</f>
        <v/>
      </c>
      <c r="I104" s="17">
        <f>I93+I94+I95+I96+I97+I98+I99+I100+I101+I102+I103</f>
        <v/>
      </c>
      <c r="J104" s="17">
        <f>J93+J94+J95+J96+J97+J98+J99+J100+J101+J102+J103</f>
        <v/>
      </c>
      <c r="K104" s="17">
        <f>K93+K94+K95+K96+K97+K98+K99+K100+K101+K102+K103</f>
        <v/>
      </c>
      <c r="L104" s="17">
        <f>L93+L94+L95+L96+L97+L98+L99+L100+L101+L102+L103</f>
        <v/>
      </c>
    </row>
    <row r="105">
      <c r="A105" t="inlineStr">
        <is>
          <t xml:space="preserve">  dont équestre</t>
        </is>
      </c>
      <c r="B105" s="5">
        <f>SUM(C105:L105)</f>
        <v/>
      </c>
      <c r="C105" s="5">
        <f>C93*$F$58+C94*$F$59+C95*$F$60+C96*$F$61+C97*$F$62+C98*$F$63+C99*$F$64+C100*$F$65+C101*$F$66+C102*$F$67+C103*$F$68</f>
        <v/>
      </c>
      <c r="D105" s="5">
        <f>D93*$F$58+D94*$F$59+D95*$F$60+D96*$F$61+D97*$F$62+D98*$F$63+D99*$F$64+D100*$F$65+D101*$F$66+D102*$F$67+D103*$F$68</f>
        <v/>
      </c>
      <c r="E105" s="5">
        <f>E93*$F$58+E94*$F$59+E95*$F$60+E96*$F$61+E97*$F$62+E98*$F$63+E99*$F$64+E100*$F$65+E101*$F$66+E102*$F$67+E103*$F$68</f>
        <v/>
      </c>
      <c r="F105" s="5">
        <f>F93*$F$58+F94*$F$59+F95*$F$60+F96*$F$61+F97*$F$62+F98*$F$63+F99*$F$64+F100*$F$65+F101*$F$66+F102*$F$67+F103*$F$68</f>
        <v/>
      </c>
      <c r="G105" s="5">
        <f>G93*$F$58+G94*$F$59+G95*$F$60+G96*$F$61+G97*$F$62+G98*$F$63+G99*$F$64+G100*$F$65+G101*$F$66+G102*$F$67+G103*$F$68</f>
        <v/>
      </c>
      <c r="H105" s="5">
        <f>H93*$F$58+H94*$F$59+H95*$F$60+H96*$F$61+H97*$F$62+H98*$F$63+H99*$F$64+H100*$F$65+H101*$F$66+H102*$F$67+H103*$F$68</f>
        <v/>
      </c>
      <c r="I105" s="5">
        <f>I93*$F$58+I94*$F$59+I95*$F$60+I96*$F$61+I97*$F$62+I98*$F$63+I99*$F$64+I100*$F$65+I101*$F$66+I102*$F$67+I103*$F$68</f>
        <v/>
      </c>
      <c r="J105" s="5">
        <f>J93*$F$58+J94*$F$59+J95*$F$60+J96*$F$61+J97*$F$62+J98*$F$63+J99*$F$64+J100*$F$65+J101*$F$66+J102*$F$67+J103*$F$68</f>
        <v/>
      </c>
      <c r="K105" s="5">
        <f>K93*$F$58+K94*$F$59+K95*$F$60+K96*$F$61+K97*$F$62+K98*$F$63+K99*$F$64+K100*$F$65+K101*$F$66+K102*$F$67+K103*$F$68</f>
        <v/>
      </c>
      <c r="L105" s="5">
        <f>L93*$F$58+L94*$F$59+L95*$F$60+L96*$F$61+L97*$F$62+L98*$F$63+L99*$F$64+L100*$F$65+L101*$F$66+L102*$F$67+L103*$F$68</f>
        <v/>
      </c>
    </row>
    <row r="106">
      <c r="A106" t="inlineStr">
        <is>
          <t xml:space="preserve">  Part équestre du CA</t>
        </is>
      </c>
      <c r="C106" s="6">
        <f>IF(C104=0,0,C105/C104)</f>
        <v/>
      </c>
      <c r="D106" s="6">
        <f>IF(D104=0,0,D105/D104)</f>
        <v/>
      </c>
      <c r="E106" s="6">
        <f>IF(E104=0,0,E105/E104)</f>
        <v/>
      </c>
      <c r="F106" s="6">
        <f>IF(F104=0,0,F105/F104)</f>
        <v/>
      </c>
      <c r="G106" s="6">
        <f>IF(G104=0,0,G105/G104)</f>
        <v/>
      </c>
      <c r="H106" s="6">
        <f>IF(H104=0,0,H105/H104)</f>
        <v/>
      </c>
      <c r="I106" s="6">
        <f>IF(I104=0,0,I105/I104)</f>
        <v/>
      </c>
      <c r="J106" s="6">
        <f>IF(J104=0,0,J105/J104)</f>
        <v/>
      </c>
      <c r="K106" s="6">
        <f>IF(K104=0,0,K105/K104)</f>
        <v/>
      </c>
      <c r="L106" s="6">
        <f>IF(L104=0,0,L105/L104)</f>
        <v/>
      </c>
    </row>
    <row r="107">
      <c r="A107" t="inlineStr">
        <is>
          <t>Coûts variables</t>
        </is>
      </c>
      <c r="B107" s="5">
        <f>SUM(C107:L107)</f>
        <v/>
      </c>
      <c r="C107" s="5">
        <f>-(C93*$D$58+C94*$D$59+C95*$D$60+C96*$D$61+C97*$D$62+C98*$D$63+C99*$D$64+C100*$D$65+C101*$D$66+C102*$D$67+C103*$D$68)</f>
        <v/>
      </c>
      <c r="D107" s="5">
        <f>-(D93*$D$58+D94*$D$59+D95*$D$60+D96*$D$61+D97*$D$62+D98*$D$63+D99*$D$64+D100*$D$65+D101*$D$66+D102*$D$67+D103*$D$68)</f>
        <v/>
      </c>
      <c r="E107" s="5">
        <f>-(E93*$D$58+E94*$D$59+E95*$D$60+E96*$D$61+E97*$D$62+E98*$D$63+E99*$D$64+E100*$D$65+E101*$D$66+E102*$D$67+E103*$D$68)</f>
        <v/>
      </c>
      <c r="F107" s="5">
        <f>-(F93*$D$58+F94*$D$59+F95*$D$60+F96*$D$61+F97*$D$62+F98*$D$63+F99*$D$64+F100*$D$65+F101*$D$66+F102*$D$67+F103*$D$68)</f>
        <v/>
      </c>
      <c r="G107" s="5">
        <f>-(G93*$D$58+G94*$D$59+G95*$D$60+G96*$D$61+G97*$D$62+G98*$D$63+G99*$D$64+G100*$D$65+G101*$D$66+G102*$D$67+G103*$D$68)</f>
        <v/>
      </c>
      <c r="H107" s="5">
        <f>-(H93*$D$58+H94*$D$59+H95*$D$60+H96*$D$61+H97*$D$62+H98*$D$63+H99*$D$64+H100*$D$65+H101*$D$66+H102*$D$67+H103*$D$68)</f>
        <v/>
      </c>
      <c r="I107" s="5">
        <f>-(I93*$D$58+I94*$D$59+I95*$D$60+I96*$D$61+I97*$D$62+I98*$D$63+I99*$D$64+I100*$D$65+I101*$D$66+I102*$D$67+I103*$D$68)</f>
        <v/>
      </c>
      <c r="J107" s="5">
        <f>-(J93*$D$58+J94*$D$59+J95*$D$60+J96*$D$61+J97*$D$62+J98*$D$63+J99*$D$64+J100*$D$65+J101*$D$66+J102*$D$67+J103*$D$68)</f>
        <v/>
      </c>
      <c r="K107" s="5">
        <f>-(K93*$D$58+K94*$D$59+K95*$D$60+K96*$D$61+K97*$D$62+K98*$D$63+K99*$D$64+K100*$D$65+K101*$D$66+K102*$D$67+K103*$D$68)</f>
        <v/>
      </c>
      <c r="L107" s="5">
        <f>-(L93*$D$58+L94*$D$59+L95*$D$60+L96*$D$61+L97*$D$62+L98*$D$63+L99*$D$64+L100*$D$65+L101*$D$66+L102*$D$67+L103*$D$68)</f>
        <v/>
      </c>
    </row>
    <row r="108">
      <c r="A108" s="4" t="inlineStr">
        <is>
          <t>Marge sur coûts variables</t>
        </is>
      </c>
      <c r="B108" s="17">
        <f>SUM(C108:L108)</f>
        <v/>
      </c>
      <c r="C108" s="17">
        <f>C104+C107</f>
        <v/>
      </c>
      <c r="D108" s="17">
        <f>D104+D107</f>
        <v/>
      </c>
      <c r="E108" s="17">
        <f>E104+E107</f>
        <v/>
      </c>
      <c r="F108" s="17">
        <f>F104+F107</f>
        <v/>
      </c>
      <c r="G108" s="17">
        <f>G104+G107</f>
        <v/>
      </c>
      <c r="H108" s="17">
        <f>H104+H107</f>
        <v/>
      </c>
      <c r="I108" s="17">
        <f>I104+I107</f>
        <v/>
      </c>
      <c r="J108" s="17">
        <f>J104+J107</f>
        <v/>
      </c>
      <c r="K108" s="17">
        <f>K104+K107</f>
        <v/>
      </c>
      <c r="L108" s="17">
        <f>L104+L107</f>
        <v/>
      </c>
    </row>
    <row r="109">
      <c r="A109" t="inlineStr">
        <is>
          <t xml:space="preserve">  Énergie (chauffage partiel, électricité)</t>
        </is>
      </c>
      <c r="B109" s="5">
        <f>SUM(C109:L109)</f>
        <v/>
      </c>
      <c r="C109" s="5">
        <f>-$B$72*C89*IF($C$72=1,C90,IF(C86&gt;0,1,0))</f>
        <v/>
      </c>
      <c r="D109" s="5">
        <f>-$B$72*D89*IF($C$72=1,D90,IF(D86&gt;0,1,0))</f>
        <v/>
      </c>
      <c r="E109" s="5">
        <f>-$B$72*E89*IF($C$72=1,E90,IF(E86&gt;0,1,0))</f>
        <v/>
      </c>
      <c r="F109" s="5">
        <f>-$B$72*F89*IF($C$72=1,F90,IF(F86&gt;0,1,0))</f>
        <v/>
      </c>
      <c r="G109" s="5">
        <f>-$B$72*G89*IF($C$72=1,G90,IF(G86&gt;0,1,0))</f>
        <v/>
      </c>
      <c r="H109" s="5">
        <f>-$B$72*H89*IF($C$72=1,H90,IF(H86&gt;0,1,0))</f>
        <v/>
      </c>
      <c r="I109" s="5">
        <f>-$B$72*I89*IF($C$72=1,I90,IF(I86&gt;0,1,0))</f>
        <v/>
      </c>
      <c r="J109" s="5">
        <f>-$B$72*J89*IF($C$72=1,J90,IF(J86&gt;0,1,0))</f>
        <v/>
      </c>
      <c r="K109" s="5">
        <f>-$B$72*K89*IF($C$72=1,K90,IF(K86&gt;0,1,0))</f>
        <v/>
      </c>
      <c r="L109" s="5">
        <f>-$B$72*L89*IF($C$72=1,L90,IF(L86&gt;0,1,0))</f>
        <v/>
      </c>
    </row>
    <row r="110">
      <c r="A110" t="inlineStr">
        <is>
          <t xml:space="preserve">  Assurances bâtiment + RC activités</t>
        </is>
      </c>
      <c r="B110" s="5">
        <f>SUM(C110:L110)</f>
        <v/>
      </c>
      <c r="C110" s="5">
        <f>-$B$73*C89*IF($C$73=1,C90,IF(C86&gt;0,1,0))</f>
        <v/>
      </c>
      <c r="D110" s="5">
        <f>-$B$73*D89*IF($C$73=1,D90,IF(D86&gt;0,1,0))</f>
        <v/>
      </c>
      <c r="E110" s="5">
        <f>-$B$73*E89*IF($C$73=1,E90,IF(E86&gt;0,1,0))</f>
        <v/>
      </c>
      <c r="F110" s="5">
        <f>-$B$73*F89*IF($C$73=1,F90,IF(F86&gt;0,1,0))</f>
        <v/>
      </c>
      <c r="G110" s="5">
        <f>-$B$73*G89*IF($C$73=1,G90,IF(G86&gt;0,1,0))</f>
        <v/>
      </c>
      <c r="H110" s="5">
        <f>-$B$73*H89*IF($C$73=1,H90,IF(H86&gt;0,1,0))</f>
        <v/>
      </c>
      <c r="I110" s="5">
        <f>-$B$73*I89*IF($C$73=1,I90,IF(I86&gt;0,1,0))</f>
        <v/>
      </c>
      <c r="J110" s="5">
        <f>-$B$73*J89*IF($C$73=1,J90,IF(J86&gt;0,1,0))</f>
        <v/>
      </c>
      <c r="K110" s="5">
        <f>-$B$73*K89*IF($C$73=1,K90,IF(K86&gt;0,1,0))</f>
        <v/>
      </c>
      <c r="L110" s="5">
        <f>-$B$73*L89*IF($C$73=1,L90,IF(L86&gt;0,1,0))</f>
        <v/>
      </c>
    </row>
    <row r="111">
      <c r="A111" t="inlineStr">
        <is>
          <t xml:space="preserve">  Taxe foncière</t>
        </is>
      </c>
      <c r="B111" s="5">
        <f>SUM(C111:L111)</f>
        <v/>
      </c>
      <c r="C111" s="5">
        <f>-$B$74*C89*IF($C$74=1,C90,IF(C86&gt;0,1,0))</f>
        <v/>
      </c>
      <c r="D111" s="5">
        <f>-$B$74*D89*IF($C$74=1,D90,IF(D86&gt;0,1,0))</f>
        <v/>
      </c>
      <c r="E111" s="5">
        <f>-$B$74*E89*IF($C$74=1,E90,IF(E86&gt;0,1,0))</f>
        <v/>
      </c>
      <c r="F111" s="5">
        <f>-$B$74*F89*IF($C$74=1,F90,IF(F86&gt;0,1,0))</f>
        <v/>
      </c>
      <c r="G111" s="5">
        <f>-$B$74*G89*IF($C$74=1,G90,IF(G86&gt;0,1,0))</f>
        <v/>
      </c>
      <c r="H111" s="5">
        <f>-$B$74*H89*IF($C$74=1,H90,IF(H86&gt;0,1,0))</f>
        <v/>
      </c>
      <c r="I111" s="5">
        <f>-$B$74*I89*IF($C$74=1,I90,IF(I86&gt;0,1,0))</f>
        <v/>
      </c>
      <c r="J111" s="5">
        <f>-$B$74*J89*IF($C$74=1,J90,IF(J86&gt;0,1,0))</f>
        <v/>
      </c>
      <c r="K111" s="5">
        <f>-$B$74*K89*IF($C$74=1,K90,IF(K86&gt;0,1,0))</f>
        <v/>
      </c>
      <c r="L111" s="5">
        <f>-$B$74*L89*IF($C$74=1,L90,IF(L86&gt;0,1,0))</f>
        <v/>
      </c>
    </row>
    <row r="112">
      <c r="A112" t="inlineStr">
        <is>
          <t xml:space="preserve">  Jardinier mi-temps / prestataire</t>
        </is>
      </c>
      <c r="B112" s="5">
        <f>SUM(C112:L112)</f>
        <v/>
      </c>
      <c r="C112" s="5">
        <f>-$B$75*C89*IF($C$75=1,C90,IF(C86&gt;0,1,0))</f>
        <v/>
      </c>
      <c r="D112" s="5">
        <f>-$B$75*D89*IF($C$75=1,D90,IF(D86&gt;0,1,0))</f>
        <v/>
      </c>
      <c r="E112" s="5">
        <f>-$B$75*E89*IF($C$75=1,E90,IF(E86&gt;0,1,0))</f>
        <v/>
      </c>
      <c r="F112" s="5">
        <f>-$B$75*F89*IF($C$75=1,F90,IF(F86&gt;0,1,0))</f>
        <v/>
      </c>
      <c r="G112" s="5">
        <f>-$B$75*G89*IF($C$75=1,G90,IF(G86&gt;0,1,0))</f>
        <v/>
      </c>
      <c r="H112" s="5">
        <f>-$B$75*H89*IF($C$75=1,H90,IF(H86&gt;0,1,0))</f>
        <v/>
      </c>
      <c r="I112" s="5">
        <f>-$B$75*I89*IF($C$75=1,I90,IF(I86&gt;0,1,0))</f>
        <v/>
      </c>
      <c r="J112" s="5">
        <f>-$B$75*J89*IF($C$75=1,J90,IF(J86&gt;0,1,0))</f>
        <v/>
      </c>
      <c r="K112" s="5">
        <f>-$B$75*K89*IF($C$75=1,K90,IF(K86&gt;0,1,0))</f>
        <v/>
      </c>
      <c r="L112" s="5">
        <f>-$B$75*L89*IF($C$75=1,L90,IF(L86&gt;0,1,0))</f>
        <v/>
      </c>
    </row>
    <row r="113">
      <c r="A113" t="inlineStr">
        <is>
          <t xml:space="preserve">  Parc, haies, clôtures, petit entretien</t>
        </is>
      </c>
      <c r="B113" s="5">
        <f>SUM(C113:L113)</f>
        <v/>
      </c>
      <c r="C113" s="5">
        <f>-$B$76*C89*IF($C$76=1,C90,IF(C86&gt;0,1,0))</f>
        <v/>
      </c>
      <c r="D113" s="5">
        <f>-$B$76*D89*IF($C$76=1,D90,IF(D86&gt;0,1,0))</f>
        <v/>
      </c>
      <c r="E113" s="5">
        <f>-$B$76*E89*IF($C$76=1,E90,IF(E86&gt;0,1,0))</f>
        <v/>
      </c>
      <c r="F113" s="5">
        <f>-$B$76*F89*IF($C$76=1,F90,IF(F86&gt;0,1,0))</f>
        <v/>
      </c>
      <c r="G113" s="5">
        <f>-$B$76*G89*IF($C$76=1,G90,IF(G86&gt;0,1,0))</f>
        <v/>
      </c>
      <c r="H113" s="5">
        <f>-$B$76*H89*IF($C$76=1,H90,IF(H86&gt;0,1,0))</f>
        <v/>
      </c>
      <c r="I113" s="5">
        <f>-$B$76*I89*IF($C$76=1,I90,IF(I86&gt;0,1,0))</f>
        <v/>
      </c>
      <c r="J113" s="5">
        <f>-$B$76*J89*IF($C$76=1,J90,IF(J86&gt;0,1,0))</f>
        <v/>
      </c>
      <c r="K113" s="5">
        <f>-$B$76*K89*IF($C$76=1,K90,IF(K86&gt;0,1,0))</f>
        <v/>
      </c>
      <c r="L113" s="5">
        <f>-$B$76*L89*IF($C$76=1,L90,IF(L86&gt;0,1,0))</f>
        <v/>
      </c>
    </row>
    <row r="114">
      <c r="A114" t="inlineStr">
        <is>
          <t xml:space="preserve">  Soigneurs (2 ETP chargés)</t>
        </is>
      </c>
      <c r="B114" s="5">
        <f>SUM(C114:L114)</f>
        <v/>
      </c>
      <c r="C114" s="5">
        <f>-$B$77*C89*IF($C$77=1,C90,IF(C86&gt;0,1,0))</f>
        <v/>
      </c>
      <c r="D114" s="5">
        <f>-$B$77*D89*IF($C$77=1,D90,IF(D86&gt;0,1,0))</f>
        <v/>
      </c>
      <c r="E114" s="5">
        <f>-$B$77*E89*IF($C$77=1,E90,IF(E86&gt;0,1,0))</f>
        <v/>
      </c>
      <c r="F114" s="5">
        <f>-$B$77*F89*IF($C$77=1,F90,IF(F86&gt;0,1,0))</f>
        <v/>
      </c>
      <c r="G114" s="5">
        <f>-$B$77*G89*IF($C$77=1,G90,IF(G86&gt;0,1,0))</f>
        <v/>
      </c>
      <c r="H114" s="5">
        <f>-$B$77*H89*IF($C$77=1,H90,IF(H86&gt;0,1,0))</f>
        <v/>
      </c>
      <c r="I114" s="5">
        <f>-$B$77*I89*IF($C$77=1,I90,IF(I86&gt;0,1,0))</f>
        <v/>
      </c>
      <c r="J114" s="5">
        <f>-$B$77*J89*IF($C$77=1,J90,IF(J86&gt;0,1,0))</f>
        <v/>
      </c>
      <c r="K114" s="5">
        <f>-$B$77*K89*IF($C$77=1,K90,IF(K86&gt;0,1,0))</f>
        <v/>
      </c>
      <c r="L114" s="5">
        <f>-$B$77*L89*IF($C$77=1,L90,IF(L86&gt;0,1,0))</f>
        <v/>
      </c>
    </row>
    <row r="115">
      <c r="A115" t="inlineStr">
        <is>
          <t xml:space="preserve">  Commercial, marketing, site, salons</t>
        </is>
      </c>
      <c r="B115" s="5">
        <f>SUM(C115:L115)</f>
        <v/>
      </c>
      <c r="C115" s="5">
        <f>-$B$78*C89*IF($C$78=1,C90,IF(C86&gt;0,1,0))</f>
        <v/>
      </c>
      <c r="D115" s="5">
        <f>-$B$78*D89*IF($C$78=1,D90,IF(D86&gt;0,1,0))</f>
        <v/>
      </c>
      <c r="E115" s="5">
        <f>-$B$78*E89*IF($C$78=1,E90,IF(E86&gt;0,1,0))</f>
        <v/>
      </c>
      <c r="F115" s="5">
        <f>-$B$78*F89*IF($C$78=1,F90,IF(F86&gt;0,1,0))</f>
        <v/>
      </c>
      <c r="G115" s="5">
        <f>-$B$78*G89*IF($C$78=1,G90,IF(G86&gt;0,1,0))</f>
        <v/>
      </c>
      <c r="H115" s="5">
        <f>-$B$78*H89*IF($C$78=1,H90,IF(H86&gt;0,1,0))</f>
        <v/>
      </c>
      <c r="I115" s="5">
        <f>-$B$78*I89*IF($C$78=1,I90,IF(I86&gt;0,1,0))</f>
        <v/>
      </c>
      <c r="J115" s="5">
        <f>-$B$78*J89*IF($C$78=1,J90,IF(J86&gt;0,1,0))</f>
        <v/>
      </c>
      <c r="K115" s="5">
        <f>-$B$78*K89*IF($C$78=1,K90,IF(K86&gt;0,1,0))</f>
        <v/>
      </c>
      <c r="L115" s="5">
        <f>-$B$78*L89*IF($C$78=1,L90,IF(L86&gt;0,1,0))</f>
        <v/>
      </c>
    </row>
    <row r="116">
      <c r="A116" t="inlineStr">
        <is>
          <t xml:space="preserve">  Comptabilité, juridique, banque, logiciels</t>
        </is>
      </c>
      <c r="B116" s="5">
        <f>SUM(C116:L116)</f>
        <v/>
      </c>
      <c r="C116" s="5">
        <f>-$B$79*C89*IF($C$79=1,C90,IF(C86&gt;0,1,0))</f>
        <v/>
      </c>
      <c r="D116" s="5">
        <f>-$B$79*D89*IF($C$79=1,D90,IF(D86&gt;0,1,0))</f>
        <v/>
      </c>
      <c r="E116" s="5">
        <f>-$B$79*E89*IF($C$79=1,E90,IF(E86&gt;0,1,0))</f>
        <v/>
      </c>
      <c r="F116" s="5">
        <f>-$B$79*F89*IF($C$79=1,F90,IF(F86&gt;0,1,0))</f>
        <v/>
      </c>
      <c r="G116" s="5">
        <f>-$B$79*G89*IF($C$79=1,G90,IF(G86&gt;0,1,0))</f>
        <v/>
      </c>
      <c r="H116" s="5">
        <f>-$B$79*H89*IF($C$79=1,H90,IF(H86&gt;0,1,0))</f>
        <v/>
      </c>
      <c r="I116" s="5">
        <f>-$B$79*I89*IF($C$79=1,I90,IF(I86&gt;0,1,0))</f>
        <v/>
      </c>
      <c r="J116" s="5">
        <f>-$B$79*J89*IF($C$79=1,J90,IF(J86&gt;0,1,0))</f>
        <v/>
      </c>
      <c r="K116" s="5">
        <f>-$B$79*K89*IF($C$79=1,K90,IF(K86&gt;0,1,0))</f>
        <v/>
      </c>
      <c r="L116" s="5">
        <f>-$B$79*L89*IF($C$79=1,L90,IF(L86&gt;0,1,0))</f>
        <v/>
      </c>
    </row>
    <row r="117">
      <c r="A117" t="inlineStr">
        <is>
          <t xml:space="preserve">  Entretien installations équestres, matériel, véhicules</t>
        </is>
      </c>
      <c r="B117" s="5">
        <f>SUM(C117:L117)</f>
        <v/>
      </c>
      <c r="C117" s="5">
        <f>-$B$80*C89*IF($C$80=1,C90,IF(C86&gt;0,1,0))</f>
        <v/>
      </c>
      <c r="D117" s="5">
        <f>-$B$80*D89*IF($C$80=1,D90,IF(D86&gt;0,1,0))</f>
        <v/>
      </c>
      <c r="E117" s="5">
        <f>-$B$80*E89*IF($C$80=1,E90,IF(E86&gt;0,1,0))</f>
        <v/>
      </c>
      <c r="F117" s="5">
        <f>-$B$80*F89*IF($C$80=1,F90,IF(F86&gt;0,1,0))</f>
        <v/>
      </c>
      <c r="G117" s="5">
        <f>-$B$80*G89*IF($C$80=1,G90,IF(G86&gt;0,1,0))</f>
        <v/>
      </c>
      <c r="H117" s="5">
        <f>-$B$80*H89*IF($C$80=1,H90,IF(H86&gt;0,1,0))</f>
        <v/>
      </c>
      <c r="I117" s="5">
        <f>-$B$80*I89*IF($C$80=1,I90,IF(I86&gt;0,1,0))</f>
        <v/>
      </c>
      <c r="J117" s="5">
        <f>-$B$80*J89*IF($C$80=1,J90,IF(J86&gt;0,1,0))</f>
        <v/>
      </c>
      <c r="K117" s="5">
        <f>-$B$80*K89*IF($C$80=1,K90,IF(K86&gt;0,1,0))</f>
        <v/>
      </c>
      <c r="L117" s="5">
        <f>-$B$80*L89*IF($C$80=1,L90,IF(L86&gt;0,1,0))</f>
        <v/>
      </c>
    </row>
    <row r="118">
      <c r="A118" t="inlineStr">
        <is>
          <t xml:space="preserve">  Organisation événements équestres (prestataires fixes, sono, secours)</t>
        </is>
      </c>
      <c r="B118" s="5">
        <f>SUM(C118:L118)</f>
        <v/>
      </c>
      <c r="C118" s="5">
        <f>-$B$81*C89*IF($C$81=1,C90,IF(C86&gt;0,1,0))</f>
        <v/>
      </c>
      <c r="D118" s="5">
        <f>-$B$81*D89*IF($C$81=1,D90,IF(D86&gt;0,1,0))</f>
        <v/>
      </c>
      <c r="E118" s="5">
        <f>-$B$81*E89*IF($C$81=1,E90,IF(E86&gt;0,1,0))</f>
        <v/>
      </c>
      <c r="F118" s="5">
        <f>-$B$81*F89*IF($C$81=1,F90,IF(F86&gt;0,1,0))</f>
        <v/>
      </c>
      <c r="G118" s="5">
        <f>-$B$81*G89*IF($C$81=1,G90,IF(G86&gt;0,1,0))</f>
        <v/>
      </c>
      <c r="H118" s="5">
        <f>-$B$81*H89*IF($C$81=1,H90,IF(H86&gt;0,1,0))</f>
        <v/>
      </c>
      <c r="I118" s="5">
        <f>-$B$81*I89*IF($C$81=1,I90,IF(I86&gt;0,1,0))</f>
        <v/>
      </c>
      <c r="J118" s="5">
        <f>-$B$81*J89*IF($C$81=1,J90,IF(J86&gt;0,1,0))</f>
        <v/>
      </c>
      <c r="K118" s="5">
        <f>-$B$81*K89*IF($C$81=1,K90,IF(K86&gt;0,1,0))</f>
        <v/>
      </c>
      <c r="L118" s="5">
        <f>-$B$81*L89*IF($C$81=1,L90,IF(L86&gt;0,1,0))</f>
        <v/>
      </c>
    </row>
    <row r="119">
      <c r="A119" s="4" t="inlineStr">
        <is>
          <t>Charges fixes totales</t>
        </is>
      </c>
      <c r="B119" s="17">
        <f>SUM(C119:L119)</f>
        <v/>
      </c>
      <c r="C119" s="17">
        <f>C109+C110+C111+C112+C113+C114+C115+C116+C117+C118</f>
        <v/>
      </c>
      <c r="D119" s="17">
        <f>D109+D110+D111+D112+D113+D114+D115+D116+D117+D118</f>
        <v/>
      </c>
      <c r="E119" s="17">
        <f>E109+E110+E111+E112+E113+E114+E115+E116+E117+E118</f>
        <v/>
      </c>
      <c r="F119" s="17">
        <f>F109+F110+F111+F112+F113+F114+F115+F116+F117+F118</f>
        <v/>
      </c>
      <c r="G119" s="17">
        <f>G109+G110+G111+G112+G113+G114+G115+G116+G117+G118</f>
        <v/>
      </c>
      <c r="H119" s="17">
        <f>H109+H110+H111+H112+H113+H114+H115+H116+H117+H118</f>
        <v/>
      </c>
      <c r="I119" s="17">
        <f>I109+I110+I111+I112+I113+I114+I115+I116+I117+I118</f>
        <v/>
      </c>
      <c r="J119" s="17">
        <f>J109+J110+J111+J112+J113+J114+J115+J116+J117+J118</f>
        <v/>
      </c>
      <c r="K119" s="17">
        <f>K109+K110+K111+K112+K113+K114+K115+K116+K117+K118</f>
        <v/>
      </c>
      <c r="L119" s="17">
        <f>L109+L110+L111+L112+L113+L114+L115+L116+L117+L118</f>
        <v/>
      </c>
    </row>
    <row r="120">
      <c r="A120" t="inlineStr">
        <is>
          <t>Loyer des murs (avant acquisition)</t>
        </is>
      </c>
      <c r="B120" s="5">
        <f>SUM(C120:L120)</f>
        <v/>
      </c>
      <c r="C120" s="5">
        <f>-IF(C90=0,IF(C86&gt;0,$B$18*C89,0),0)</f>
        <v/>
      </c>
      <c r="D120" s="5">
        <f>-IF(D90=0,IF(D86&gt;0,$B$18*D89,0),0)</f>
        <v/>
      </c>
      <c r="E120" s="5">
        <f>-IF(E90=0,IF(E86&gt;0,$B$18*E89,0),0)</f>
        <v/>
      </c>
      <c r="F120" s="5">
        <f>-IF(F90=0,IF(F86&gt;0,$B$18*F89,0),0)</f>
        <v/>
      </c>
      <c r="G120" s="5">
        <f>-IF(G90=0,IF(G86&gt;0,$B$18*G89,0),0)</f>
        <v/>
      </c>
      <c r="H120" s="5">
        <f>-IF(H90=0,IF(H86&gt;0,$B$18*H89,0),0)</f>
        <v/>
      </c>
      <c r="I120" s="5">
        <f>-IF(I90=0,IF(I86&gt;0,$B$18*I89,0),0)</f>
        <v/>
      </c>
      <c r="J120" s="5">
        <f>-IF(J90=0,IF(J86&gt;0,$B$18*J89,0),0)</f>
        <v/>
      </c>
      <c r="K120" s="5">
        <f>-IF(K90=0,IF(K86&gt;0,$B$18*K89,0),0)</f>
        <v/>
      </c>
      <c r="L120" s="5">
        <f>-IF(L90=0,IF(L86&gt;0,$B$18*L89,0),0)</f>
        <v/>
      </c>
    </row>
    <row r="121">
      <c r="A121" s="4" t="inlineStr">
        <is>
          <t>EBITDA</t>
        </is>
      </c>
      <c r="B121" s="17">
        <f>SUM(C121:L121)</f>
        <v/>
      </c>
      <c r="C121" s="17">
        <f>C108+C119+C120</f>
        <v/>
      </c>
      <c r="D121" s="17">
        <f>D108+D119+D120</f>
        <v/>
      </c>
      <c r="E121" s="17">
        <f>E108+E119+E120</f>
        <v/>
      </c>
      <c r="F121" s="17">
        <f>F108+F119+F120</f>
        <v/>
      </c>
      <c r="G121" s="17">
        <f>G108+G119+G120</f>
        <v/>
      </c>
      <c r="H121" s="17">
        <f>H108+H119+H120</f>
        <v/>
      </c>
      <c r="I121" s="17">
        <f>I108+I119+I120</f>
        <v/>
      </c>
      <c r="J121" s="17">
        <f>J108+J119+J120</f>
        <v/>
      </c>
      <c r="K121" s="17">
        <f>K108+K119+K120</f>
        <v/>
      </c>
      <c r="L121" s="17">
        <f>L108+L119+L120</f>
        <v/>
      </c>
    </row>
    <row r="122">
      <c r="A122" t="inlineStr">
        <is>
          <t xml:space="preserve">  Marge d'EBITDA</t>
        </is>
      </c>
      <c r="C122" s="6">
        <f>IF(C104=0,0,C121/C104)</f>
        <v/>
      </c>
      <c r="D122" s="6">
        <f>IF(D104=0,0,D121/D104)</f>
        <v/>
      </c>
      <c r="E122" s="6">
        <f>IF(E104=0,0,E121/E104)</f>
        <v/>
      </c>
      <c r="F122" s="6">
        <f>IF(F104=0,0,F121/F104)</f>
        <v/>
      </c>
      <c r="G122" s="6">
        <f>IF(G104=0,0,G121/G104)</f>
        <v/>
      </c>
      <c r="H122" s="6">
        <f>IF(H104=0,0,H121/H104)</f>
        <v/>
      </c>
      <c r="I122" s="6">
        <f>IF(I104=0,0,I121/I104)</f>
        <v/>
      </c>
      <c r="J122" s="6">
        <f>IF(J104=0,0,J121/J104)</f>
        <v/>
      </c>
      <c r="K122" s="6">
        <f>IF(K104=0,0,K121/K104)</f>
        <v/>
      </c>
      <c r="L122" s="6">
        <f>IF(L104=0,0,L121/L104)</f>
        <v/>
      </c>
    </row>
    <row r="123">
      <c r="A123" t="inlineStr">
        <is>
          <t>Travaux et équipements initiaux</t>
        </is>
      </c>
      <c r="B123" s="5">
        <f>SUM(C123:L123)</f>
        <v/>
      </c>
      <c r="C123" s="5">
        <f>($B$10+$B$11+$B$12)*$B$41*IF(C$84=$B$5,$B$13,IF(C$84=$B$5+1,$B$14,IF(C$84=$B$5+2,$B$15,0)))*C89</f>
        <v/>
      </c>
      <c r="D123" s="5">
        <f>($B$10+$B$11+$B$12)*$B$41*IF(D$84=$B$5,$B$13,IF(D$84=$B$5+1,$B$14,IF(D$84=$B$5+2,$B$15,0)))*D89</f>
        <v/>
      </c>
      <c r="E123" s="5">
        <f>($B$10+$B$11+$B$12)*$B$41*IF(E$84=$B$5,$B$13,IF(E$84=$B$5+1,$B$14,IF(E$84=$B$5+2,$B$15,0)))*E89</f>
        <v/>
      </c>
      <c r="F123" s="5">
        <f>($B$10+$B$11+$B$12)*$B$41*IF(F$84=$B$5,$B$13,IF(F$84=$B$5+1,$B$14,IF(F$84=$B$5+2,$B$15,0)))*F89</f>
        <v/>
      </c>
      <c r="G123" s="5">
        <f>($B$10+$B$11+$B$12)*$B$41*IF(G$84=$B$5,$B$13,IF(G$84=$B$5+1,$B$14,IF(G$84=$B$5+2,$B$15,0)))*G89</f>
        <v/>
      </c>
      <c r="H123" s="5">
        <f>($B$10+$B$11+$B$12)*$B$41*IF(H$84=$B$5,$B$13,IF(H$84=$B$5+1,$B$14,IF(H$84=$B$5+2,$B$15,0)))*H89</f>
        <v/>
      </c>
      <c r="I123" s="5">
        <f>($B$10+$B$11+$B$12)*$B$41*IF(I$84=$B$5,$B$13,IF(I$84=$B$5+1,$B$14,IF(I$84=$B$5+2,$B$15,0)))*I89</f>
        <v/>
      </c>
      <c r="J123" s="5">
        <f>($B$10+$B$11+$B$12)*$B$41*IF(J$84=$B$5,$B$13,IF(J$84=$B$5+1,$B$14,IF(J$84=$B$5+2,$B$15,0)))*J89</f>
        <v/>
      </c>
      <c r="K123" s="5">
        <f>($B$10+$B$11+$B$12)*$B$41*IF(K$84=$B$5,$B$13,IF(K$84=$B$5+1,$B$14,IF(K$84=$B$5+2,$B$15,0)))*K89</f>
        <v/>
      </c>
      <c r="L123" s="5">
        <f>($B$10+$B$11+$B$12)*$B$41*IF(L$84=$B$5,$B$13,IF(L$84=$B$5+1,$B$14,IF(L$84=$B$5+2,$B$15,0)))*L89</f>
        <v/>
      </c>
    </row>
    <row r="124">
      <c r="A124" t="inlineStr">
        <is>
          <t>Acquisition (prix + frais)</t>
        </is>
      </c>
      <c r="B124" s="5">
        <f>SUM(C124:L124)</f>
        <v/>
      </c>
      <c r="C124" s="5">
        <f>IF(C$84=$B$5,$B$7*(1+$B$8),0)</f>
        <v/>
      </c>
      <c r="D124" s="5">
        <f>IF(D$84=$B$5,$B$7*(1+$B$8),0)</f>
        <v/>
      </c>
      <c r="E124" s="5">
        <f>IF(E$84=$B$5,$B$7*(1+$B$8),0)</f>
        <v/>
      </c>
      <c r="F124" s="5">
        <f>IF(F$84=$B$5,$B$7*(1+$B$8),0)</f>
        <v/>
      </c>
      <c r="G124" s="5">
        <f>IF(G$84=$B$5,$B$7*(1+$B$8),0)</f>
        <v/>
      </c>
      <c r="H124" s="5">
        <f>IF(H$84=$B$5,$B$7*(1+$B$8),0)</f>
        <v/>
      </c>
      <c r="I124" s="5">
        <f>IF(I$84=$B$5,$B$7*(1+$B$8),0)</f>
        <v/>
      </c>
      <c r="J124" s="5">
        <f>IF(J$84=$B$5,$B$7*(1+$B$8),0)</f>
        <v/>
      </c>
      <c r="K124" s="5">
        <f>IF(K$84=$B$5,$B$7*(1+$B$8),0)</f>
        <v/>
      </c>
      <c r="L124" s="5">
        <f>IF(L$84=$B$5,$B$7*(1+$B$8),0)</f>
        <v/>
      </c>
    </row>
    <row r="125">
      <c r="A125" t="inlineStr">
        <is>
          <t>Gros entretien patrimonial récurrent</t>
        </is>
      </c>
      <c r="B125" s="5">
        <f>SUM(C125:L125)</f>
        <v/>
      </c>
      <c r="C125" s="5">
        <f>IF(C$84&gt;=$B$5+3,$B$16*($B$7+($B$10+$B$11+$B$12)*$B$41)*C89,0)</f>
        <v/>
      </c>
      <c r="D125" s="5">
        <f>IF(D$84&gt;=$B$5+3,$B$16*($B$7+($B$10+$B$11+$B$12)*$B$41)*D89,0)</f>
        <v/>
      </c>
      <c r="E125" s="5">
        <f>IF(E$84&gt;=$B$5+3,$B$16*($B$7+($B$10+$B$11+$B$12)*$B$41)*E89,0)</f>
        <v/>
      </c>
      <c r="F125" s="5">
        <f>IF(F$84&gt;=$B$5+3,$B$16*($B$7+($B$10+$B$11+$B$12)*$B$41)*F89,0)</f>
        <v/>
      </c>
      <c r="G125" s="5">
        <f>IF(G$84&gt;=$B$5+3,$B$16*($B$7+($B$10+$B$11+$B$12)*$B$41)*G89,0)</f>
        <v/>
      </c>
      <c r="H125" s="5">
        <f>IF(H$84&gt;=$B$5+3,$B$16*($B$7+($B$10+$B$11+$B$12)*$B$41)*H89,0)</f>
        <v/>
      </c>
      <c r="I125" s="5">
        <f>IF(I$84&gt;=$B$5+3,$B$16*($B$7+($B$10+$B$11+$B$12)*$B$41)*I89,0)</f>
        <v/>
      </c>
      <c r="J125" s="5">
        <f>IF(J$84&gt;=$B$5+3,$B$16*($B$7+($B$10+$B$11+$B$12)*$B$41)*J89,0)</f>
        <v/>
      </c>
      <c r="K125" s="5">
        <f>IF(K$84&gt;=$B$5+3,$B$16*($B$7+($B$10+$B$11+$B$12)*$B$41)*K89,0)</f>
        <v/>
      </c>
      <c r="L125" s="5">
        <f>IF(L$84&gt;=$B$5+3,$B$16*($B$7+($B$10+$B$11+$B$12)*$B$41)*L89,0)</f>
        <v/>
      </c>
    </row>
    <row r="126">
      <c r="A126" t="inlineStr">
        <is>
          <t>Investissements amortissables cumulés</t>
        </is>
      </c>
      <c r="C126" s="5">
        <f>C123+C125</f>
        <v/>
      </c>
      <c r="D126" s="5">
        <f>C126+D123+D125</f>
        <v/>
      </c>
      <c r="E126" s="5">
        <f>D126+E123+E125</f>
        <v/>
      </c>
      <c r="F126" s="5">
        <f>E126+F123+F125</f>
        <v/>
      </c>
      <c r="G126" s="5">
        <f>F126+G123+G125</f>
        <v/>
      </c>
      <c r="H126" s="5">
        <f>G126+H123+H125</f>
        <v/>
      </c>
      <c r="I126" s="5">
        <f>H126+I123+I125</f>
        <v/>
      </c>
      <c r="J126" s="5">
        <f>I126+J123+J125</f>
        <v/>
      </c>
      <c r="K126" s="5">
        <f>J126+K123+K125</f>
        <v/>
      </c>
      <c r="L126" s="5">
        <f>K126+L123+L125</f>
        <v/>
      </c>
    </row>
    <row r="127">
      <c r="A127" t="inlineStr">
        <is>
          <t>Dotations aux amortissements (bâti 30 ans, travaux 15 ans)</t>
        </is>
      </c>
      <c r="B127" s="5">
        <f>SUM(C127:L127)</f>
        <v/>
      </c>
      <c r="C127" s="5">
        <f>-(C90*$B$7*(1+$B$8)*$B$9/30+C126/15)</f>
        <v/>
      </c>
      <c r="D127" s="5">
        <f>-(D90*$B$7*(1+$B$8)*$B$9/30+D126/15)</f>
        <v/>
      </c>
      <c r="E127" s="5">
        <f>-(E90*$B$7*(1+$B$8)*$B$9/30+E126/15)</f>
        <v/>
      </c>
      <c r="F127" s="5">
        <f>-(F90*$B$7*(1+$B$8)*$B$9/30+F126/15)</f>
        <v/>
      </c>
      <c r="G127" s="5">
        <f>-(G90*$B$7*(1+$B$8)*$B$9/30+G126/15)</f>
        <v/>
      </c>
      <c r="H127" s="5">
        <f>-(H90*$B$7*(1+$B$8)*$B$9/30+H126/15)</f>
        <v/>
      </c>
      <c r="I127" s="5">
        <f>-(I90*$B$7*(1+$B$8)*$B$9/30+I126/15)</f>
        <v/>
      </c>
      <c r="J127" s="5">
        <f>-(J90*$B$7*(1+$B$8)*$B$9/30+J126/15)</f>
        <v/>
      </c>
      <c r="K127" s="5">
        <f>-(K90*$B$7*(1+$B$8)*$B$9/30+K126/15)</f>
        <v/>
      </c>
      <c r="L127" s="5">
        <f>-(L90*$B$7*(1+$B$8)*$B$9/30+L126/15)</f>
        <v/>
      </c>
    </row>
    <row r="128">
      <c r="A128" s="4" t="inlineStr">
        <is>
          <t>Résultat d'exploitation</t>
        </is>
      </c>
      <c r="B128" s="17">
        <f>SUM(C128:L128)</f>
        <v/>
      </c>
      <c r="C128" s="17">
        <f>C121+C127</f>
        <v/>
      </c>
      <c r="D128" s="17">
        <f>D121+D127</f>
        <v/>
      </c>
      <c r="E128" s="17">
        <f>E121+E127</f>
        <v/>
      </c>
      <c r="F128" s="17">
        <f>F121+F127</f>
        <v/>
      </c>
      <c r="G128" s="17">
        <f>G121+G127</f>
        <v/>
      </c>
      <c r="H128" s="17">
        <f>H121+H127</f>
        <v/>
      </c>
      <c r="I128" s="17">
        <f>I121+I127</f>
        <v/>
      </c>
      <c r="J128" s="17">
        <f>J121+J127</f>
        <v/>
      </c>
      <c r="K128" s="17">
        <f>K121+K127</f>
        <v/>
      </c>
      <c r="L128" s="17">
        <f>L121+L127</f>
        <v/>
      </c>
    </row>
    <row r="130">
      <c r="A130" s="4" t="inlineStr">
        <is>
          <t>Échéancier des emprunts</t>
        </is>
      </c>
    </row>
    <row r="131">
      <c r="A131" t="inlineStr">
        <is>
          <t>Taux bancaire effectif</t>
        </is>
      </c>
      <c r="C131" s="6">
        <f>$B$26+$B$43</f>
        <v/>
      </c>
      <c r="D131" s="6">
        <f>$B$26+$B$43</f>
        <v/>
      </c>
      <c r="E131" s="6">
        <f>$B$26+$B$43</f>
        <v/>
      </c>
      <c r="F131" s="6">
        <f>$B$26+$B$43</f>
        <v/>
      </c>
      <c r="G131" s="6">
        <f>$B$26+$B$43</f>
        <v/>
      </c>
      <c r="H131" s="6">
        <f>$B$26+$B$43</f>
        <v/>
      </c>
      <c r="I131" s="6">
        <f>$B$26+$B$43</f>
        <v/>
      </c>
      <c r="J131" s="6">
        <f>$B$26+$B$43</f>
        <v/>
      </c>
      <c r="K131" s="6">
        <f>$B$26+$B$43</f>
        <v/>
      </c>
      <c r="L131" s="6">
        <f>$B$26+$B$43</f>
        <v/>
      </c>
    </row>
    <row r="132">
      <c r="A132" t="inlineStr">
        <is>
          <t>Rang de l'année d'emprunt</t>
        </is>
      </c>
      <c r="C132" s="8">
        <f>MAX(0,C$84-$B$5+1)</f>
        <v/>
      </c>
      <c r="D132" s="8">
        <f>MAX(0,D$84-$B$5+1)</f>
        <v/>
      </c>
      <c r="E132" s="8">
        <f>MAX(0,E$84-$B$5+1)</f>
        <v/>
      </c>
      <c r="F132" s="8">
        <f>MAX(0,F$84-$B$5+1)</f>
        <v/>
      </c>
      <c r="G132" s="8">
        <f>MAX(0,G$84-$B$5+1)</f>
        <v/>
      </c>
      <c r="H132" s="8">
        <f>MAX(0,H$84-$B$5+1)</f>
        <v/>
      </c>
      <c r="I132" s="8">
        <f>MAX(0,I$84-$B$5+1)</f>
        <v/>
      </c>
      <c r="J132" s="8">
        <f>MAX(0,J$84-$B$5+1)</f>
        <v/>
      </c>
      <c r="K132" s="8">
        <f>MAX(0,K$84-$B$5+1)</f>
        <v/>
      </c>
      <c r="L132" s="8">
        <f>MAX(0,L$84-$B$5+1)</f>
        <v/>
      </c>
    </row>
    <row r="133">
      <c r="A133" t="inlineStr">
        <is>
          <t>Dette bancaire — capital début</t>
        </is>
      </c>
      <c r="C133" s="5">
        <f>IF(C132=1,$B$25,0)</f>
        <v/>
      </c>
      <c r="D133" s="5">
        <f>IF(D132=1,$B$25,C136)</f>
        <v/>
      </c>
      <c r="E133" s="5">
        <f>IF(E132=1,$B$25,D136)</f>
        <v/>
      </c>
      <c r="F133" s="5">
        <f>IF(F132=1,$B$25,E136)</f>
        <v/>
      </c>
      <c r="G133" s="5">
        <f>IF(G132=1,$B$25,F136)</f>
        <v/>
      </c>
      <c r="H133" s="5">
        <f>IF(H132=1,$B$25,G136)</f>
        <v/>
      </c>
      <c r="I133" s="5">
        <f>IF(I132=1,$B$25,H136)</f>
        <v/>
      </c>
      <c r="J133" s="5">
        <f>IF(J132=1,$B$25,I136)</f>
        <v/>
      </c>
      <c r="K133" s="5">
        <f>IF(K132=1,$B$25,J136)</f>
        <v/>
      </c>
      <c r="L133" s="5">
        <f>IF(L132=1,$B$25,K136)</f>
        <v/>
      </c>
    </row>
    <row r="134">
      <c r="A134" t="inlineStr">
        <is>
          <t xml:space="preserve">  Intérêts</t>
        </is>
      </c>
      <c r="B134" s="5">
        <f>SUM(C134:L134)</f>
        <v/>
      </c>
      <c r="C134" s="5">
        <f>C133*C131</f>
        <v/>
      </c>
      <c r="D134" s="5">
        <f>D133*D131</f>
        <v/>
      </c>
      <c r="E134" s="5">
        <f>E133*E131</f>
        <v/>
      </c>
      <c r="F134" s="5">
        <f>F133*F131</f>
        <v/>
      </c>
      <c r="G134" s="5">
        <f>G133*G131</f>
        <v/>
      </c>
      <c r="H134" s="5">
        <f>H133*H131</f>
        <v/>
      </c>
      <c r="I134" s="5">
        <f>I133*I131</f>
        <v/>
      </c>
      <c r="J134" s="5">
        <f>J133*J131</f>
        <v/>
      </c>
      <c r="K134" s="5">
        <f>K133*K131</f>
        <v/>
      </c>
      <c r="L134" s="5">
        <f>L133*L131</f>
        <v/>
      </c>
    </row>
    <row r="135">
      <c r="A135" t="inlineStr">
        <is>
          <t xml:space="preserve">  Amortissement du capital</t>
        </is>
      </c>
      <c r="B135" s="5">
        <f>SUM(C135:L135)</f>
        <v/>
      </c>
      <c r="C135" s="5">
        <f>IF(OR(C132=0,C132&lt;=$B$28,C133&lt;=0),0,MIN(C133,PMT(C131,$B$27-$B$28,-$B$25)-C134))</f>
        <v/>
      </c>
      <c r="D135" s="5">
        <f>IF(OR(D132=0,D132&lt;=$B$28,D133&lt;=0),0,MIN(D133,PMT(D131,$B$27-$B$28,-$B$25)-D134))</f>
        <v/>
      </c>
      <c r="E135" s="5">
        <f>IF(OR(E132=0,E132&lt;=$B$28,E133&lt;=0),0,MIN(E133,PMT(E131,$B$27-$B$28,-$B$25)-E134))</f>
        <v/>
      </c>
      <c r="F135" s="5">
        <f>IF(OR(F132=0,F132&lt;=$B$28,F133&lt;=0),0,MIN(F133,PMT(F131,$B$27-$B$28,-$B$25)-F134))</f>
        <v/>
      </c>
      <c r="G135" s="5">
        <f>IF(OR(G132=0,G132&lt;=$B$28,G133&lt;=0),0,MIN(G133,PMT(G131,$B$27-$B$28,-$B$25)-G134))</f>
        <v/>
      </c>
      <c r="H135" s="5">
        <f>IF(OR(H132=0,H132&lt;=$B$28,H133&lt;=0),0,MIN(H133,PMT(H131,$B$27-$B$28,-$B$25)-H134))</f>
        <v/>
      </c>
      <c r="I135" s="5">
        <f>IF(OR(I132=0,I132&lt;=$B$28,I133&lt;=0),0,MIN(I133,PMT(I131,$B$27-$B$28,-$B$25)-I134))</f>
        <v/>
      </c>
      <c r="J135" s="5">
        <f>IF(OR(J132=0,J132&lt;=$B$28,J133&lt;=0),0,MIN(J133,PMT(J131,$B$27-$B$28,-$B$25)-J134))</f>
        <v/>
      </c>
      <c r="K135" s="5">
        <f>IF(OR(K132=0,K132&lt;=$B$28,K133&lt;=0),0,MIN(K133,PMT(K131,$B$27-$B$28,-$B$25)-K134))</f>
        <v/>
      </c>
      <c r="L135" s="5">
        <f>IF(OR(L132=0,L132&lt;=$B$28,L133&lt;=0),0,MIN(L133,PMT(L131,$B$27-$B$28,-$B$25)-L134))</f>
        <v/>
      </c>
    </row>
    <row r="136">
      <c r="A136" t="inlineStr">
        <is>
          <t>Dette bancaire — capital fin</t>
        </is>
      </c>
      <c r="C136" s="5">
        <f>C133-C135</f>
        <v/>
      </c>
      <c r="D136" s="5">
        <f>D133-D135</f>
        <v/>
      </c>
      <c r="E136" s="5">
        <f>E133-E135</f>
        <v/>
      </c>
      <c r="F136" s="5">
        <f>F133-F135</f>
        <v/>
      </c>
      <c r="G136" s="5">
        <f>G133-G135</f>
        <v/>
      </c>
      <c r="H136" s="5">
        <f>H133-H135</f>
        <v/>
      </c>
      <c r="I136" s="5">
        <f>I133-I135</f>
        <v/>
      </c>
      <c r="J136" s="5">
        <f>J133-J135</f>
        <v/>
      </c>
      <c r="K136" s="5">
        <f>K133-K135</f>
        <v/>
      </c>
      <c r="L136" s="5">
        <f>L133-L135</f>
        <v/>
      </c>
    </row>
    <row r="137">
      <c r="A137" t="inlineStr">
        <is>
          <t>Crédit-vendeur — capital début</t>
        </is>
      </c>
      <c r="C137" s="5">
        <f>IF(C132=1,$B$29,0)</f>
        <v/>
      </c>
      <c r="D137" s="5">
        <f>IF(D132=1,$B$29,C140)</f>
        <v/>
      </c>
      <c r="E137" s="5">
        <f>IF(E132=1,$B$29,D140)</f>
        <v/>
      </c>
      <c r="F137" s="5">
        <f>IF(F132=1,$B$29,E140)</f>
        <v/>
      </c>
      <c r="G137" s="5">
        <f>IF(G132=1,$B$29,F140)</f>
        <v/>
      </c>
      <c r="H137" s="5">
        <f>IF(H132=1,$B$29,G140)</f>
        <v/>
      </c>
      <c r="I137" s="5">
        <f>IF(I132=1,$B$29,H140)</f>
        <v/>
      </c>
      <c r="J137" s="5">
        <f>IF(J132=1,$B$29,I140)</f>
        <v/>
      </c>
      <c r="K137" s="5">
        <f>IF(K132=1,$B$29,J140)</f>
        <v/>
      </c>
      <c r="L137" s="5">
        <f>IF(L132=1,$B$29,K140)</f>
        <v/>
      </c>
    </row>
    <row r="138">
      <c r="A138" t="inlineStr">
        <is>
          <t xml:space="preserve">  Intérêts crédit-vendeur</t>
        </is>
      </c>
      <c r="B138" s="5">
        <f>SUM(C138:L138)</f>
        <v/>
      </c>
      <c r="C138" s="5">
        <f>C137*$B$30</f>
        <v/>
      </c>
      <c r="D138" s="5">
        <f>D137*$B$30</f>
        <v/>
      </c>
      <c r="E138" s="5">
        <f>E137*$B$30</f>
        <v/>
      </c>
      <c r="F138" s="5">
        <f>F137*$B$30</f>
        <v/>
      </c>
      <c r="G138" s="5">
        <f>G137*$B$30</f>
        <v/>
      </c>
      <c r="H138" s="5">
        <f>H137*$B$30</f>
        <v/>
      </c>
      <c r="I138" s="5">
        <f>I137*$B$30</f>
        <v/>
      </c>
      <c r="J138" s="5">
        <f>J137*$B$30</f>
        <v/>
      </c>
      <c r="K138" s="5">
        <f>K137*$B$30</f>
        <v/>
      </c>
      <c r="L138" s="5">
        <f>L137*$B$30</f>
        <v/>
      </c>
    </row>
    <row r="139">
      <c r="A139" t="inlineStr">
        <is>
          <t xml:space="preserve">  Amortissement crédit-vendeur</t>
        </is>
      </c>
      <c r="B139" s="5">
        <f>SUM(C139:L139)</f>
        <v/>
      </c>
      <c r="C139" s="5">
        <f>IF(OR(C132=0,C137&lt;=0),0,MIN(C137,IF($B$30=0,$B$29/$B$31,PMT($B$30,$B$31,-$B$29)-C138)))</f>
        <v/>
      </c>
      <c r="D139" s="5">
        <f>IF(OR(D132=0,D137&lt;=0),0,MIN(D137,IF($B$30=0,$B$29/$B$31,PMT($B$30,$B$31,-$B$29)-D138)))</f>
        <v/>
      </c>
      <c r="E139" s="5">
        <f>IF(OR(E132=0,E137&lt;=0),0,MIN(E137,IF($B$30=0,$B$29/$B$31,PMT($B$30,$B$31,-$B$29)-E138)))</f>
        <v/>
      </c>
      <c r="F139" s="5">
        <f>IF(OR(F132=0,F137&lt;=0),0,MIN(F137,IF($B$30=0,$B$29/$B$31,PMT($B$30,$B$31,-$B$29)-F138)))</f>
        <v/>
      </c>
      <c r="G139" s="5">
        <f>IF(OR(G132=0,G137&lt;=0),0,MIN(G137,IF($B$30=0,$B$29/$B$31,PMT($B$30,$B$31,-$B$29)-G138)))</f>
        <v/>
      </c>
      <c r="H139" s="5">
        <f>IF(OR(H132=0,H137&lt;=0),0,MIN(H137,IF($B$30=0,$B$29/$B$31,PMT($B$30,$B$31,-$B$29)-H138)))</f>
        <v/>
      </c>
      <c r="I139" s="5">
        <f>IF(OR(I132=0,I137&lt;=0),0,MIN(I137,IF($B$30=0,$B$29/$B$31,PMT($B$30,$B$31,-$B$29)-I138)))</f>
        <v/>
      </c>
      <c r="J139" s="5">
        <f>IF(OR(J132=0,J137&lt;=0),0,MIN(J137,IF($B$30=0,$B$29/$B$31,PMT($B$30,$B$31,-$B$29)-J138)))</f>
        <v/>
      </c>
      <c r="K139" s="5">
        <f>IF(OR(K132=0,K137&lt;=0),0,MIN(K137,IF($B$30=0,$B$29/$B$31,PMT($B$30,$B$31,-$B$29)-K138)))</f>
        <v/>
      </c>
      <c r="L139" s="5">
        <f>IF(OR(L132=0,L137&lt;=0),0,MIN(L137,IF($B$30=0,$B$29/$B$31,PMT($B$30,$B$31,-$B$29)-L138)))</f>
        <v/>
      </c>
    </row>
    <row r="140">
      <c r="A140" t="inlineStr">
        <is>
          <t>Crédit-vendeur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Obligations — encours</t>
        </is>
      </c>
      <c r="C141" s="5">
        <f>IF(AND(C$84&gt;=$B$5,C$84&lt;=$B$34),$B$32,0)</f>
        <v/>
      </c>
      <c r="D141" s="5">
        <f>IF(AND(D$84&gt;=$B$5,D$84&lt;=$B$34),$B$32,0)</f>
        <v/>
      </c>
      <c r="E141" s="5">
        <f>IF(AND(E$84&gt;=$B$5,E$84&lt;=$B$34),$B$32,0)</f>
        <v/>
      </c>
      <c r="F141" s="5">
        <f>IF(AND(F$84&gt;=$B$5,F$84&lt;=$B$34),$B$32,0)</f>
        <v/>
      </c>
      <c r="G141" s="5">
        <f>IF(AND(G$84&gt;=$B$5,G$84&lt;=$B$34),$B$32,0)</f>
        <v/>
      </c>
      <c r="H141" s="5">
        <f>IF(AND(H$84&gt;=$B$5,H$84&lt;=$B$34),$B$32,0)</f>
        <v/>
      </c>
      <c r="I141" s="5">
        <f>IF(AND(I$84&gt;=$B$5,I$84&lt;=$B$34),$B$32,0)</f>
        <v/>
      </c>
      <c r="J141" s="5">
        <f>IF(AND(J$84&gt;=$B$5,J$84&lt;=$B$34),$B$32,0)</f>
        <v/>
      </c>
      <c r="K141" s="5">
        <f>IF(AND(K$84&gt;=$B$5,K$84&lt;=$B$34),$B$32,0)</f>
        <v/>
      </c>
      <c r="L141" s="5">
        <f>IF(AND(L$84&gt;=$B$5,L$84&lt;=$B$34),$B$32,0)</f>
        <v/>
      </c>
    </row>
    <row r="142">
      <c r="A142" t="inlineStr">
        <is>
          <t xml:space="preserve">  Coupons obligataires</t>
        </is>
      </c>
      <c r="B142" s="5">
        <f>SUM(C142:L142)</f>
        <v/>
      </c>
      <c r="C142" s="5">
        <f>C141*$B$33</f>
        <v/>
      </c>
      <c r="D142" s="5">
        <f>D141*$B$33</f>
        <v/>
      </c>
      <c r="E142" s="5">
        <f>E141*$B$33</f>
        <v/>
      </c>
      <c r="F142" s="5">
        <f>F141*$B$33</f>
        <v/>
      </c>
      <c r="G142" s="5">
        <f>G141*$B$33</f>
        <v/>
      </c>
      <c r="H142" s="5">
        <f>H141*$B$33</f>
        <v/>
      </c>
      <c r="I142" s="5">
        <f>I141*$B$33</f>
        <v/>
      </c>
      <c r="J142" s="5">
        <f>J141*$B$33</f>
        <v/>
      </c>
      <c r="K142" s="5">
        <f>K141*$B$33</f>
        <v/>
      </c>
      <c r="L142" s="5">
        <f>L141*$B$33</f>
        <v/>
      </c>
    </row>
    <row r="143">
      <c r="A143" t="inlineStr">
        <is>
          <t xml:space="preserve">  Remboursement obligations</t>
        </is>
      </c>
      <c r="B143" s="5">
        <f>SUM(C143:L143)</f>
        <v/>
      </c>
      <c r="C143" s="5">
        <f>IF(C$84=$B$34,$B$32,0)</f>
        <v/>
      </c>
      <c r="D143" s="5">
        <f>IF(D$84=$B$34,$B$32,0)</f>
        <v/>
      </c>
      <c r="E143" s="5">
        <f>IF(E$84=$B$34,$B$32,0)</f>
        <v/>
      </c>
      <c r="F143" s="5">
        <f>IF(F$84=$B$34,$B$32,0)</f>
        <v/>
      </c>
      <c r="G143" s="5">
        <f>IF(G$84=$B$34,$B$32,0)</f>
        <v/>
      </c>
      <c r="H143" s="5">
        <f>IF(H$84=$B$34,$B$32,0)</f>
        <v/>
      </c>
      <c r="I143" s="5">
        <f>IF(I$84=$B$34,$B$32,0)</f>
        <v/>
      </c>
      <c r="J143" s="5">
        <f>IF(J$84=$B$34,$B$32,0)</f>
        <v/>
      </c>
      <c r="K143" s="5">
        <f>IF(K$84=$B$34,$B$32,0)</f>
        <v/>
      </c>
      <c r="L143" s="5">
        <f>IF(L$84=$B$34,$B$32,0)</f>
        <v/>
      </c>
    </row>
    <row r="145">
      <c r="A145" t="inlineStr">
        <is>
          <t>Charges financières</t>
        </is>
      </c>
      <c r="B145" s="5">
        <f>SUM(C145:L145)</f>
        <v/>
      </c>
      <c r="C145" s="5">
        <f>-(C134+C138+C142)</f>
        <v/>
      </c>
      <c r="D145" s="5">
        <f>-(D134+D138+D142)</f>
        <v/>
      </c>
      <c r="E145" s="5">
        <f>-(E134+E138+E142)</f>
        <v/>
      </c>
      <c r="F145" s="5">
        <f>-(F134+F138+F142)</f>
        <v/>
      </c>
      <c r="G145" s="5">
        <f>-(G134+G138+G142)</f>
        <v/>
      </c>
      <c r="H145" s="5">
        <f>-(H134+H138+H142)</f>
        <v/>
      </c>
      <c r="I145" s="5">
        <f>-(I134+I138+I142)</f>
        <v/>
      </c>
      <c r="J145" s="5">
        <f>-(J134+J138+J142)</f>
        <v/>
      </c>
      <c r="K145" s="5">
        <f>-(K134+K138+K142)</f>
        <v/>
      </c>
      <c r="L145" s="5">
        <f>-(L134+L138+L142)</f>
        <v/>
      </c>
    </row>
    <row r="146">
      <c r="A146" s="4" t="inlineStr">
        <is>
          <t>Résultat avant impôt</t>
        </is>
      </c>
      <c r="B146" s="17">
        <f>SUM(C146:L146)</f>
        <v/>
      </c>
      <c r="C146" s="17">
        <f>C128+C145</f>
        <v/>
      </c>
      <c r="D146" s="17">
        <f>D128+D145</f>
        <v/>
      </c>
      <c r="E146" s="17">
        <f>E128+E145</f>
        <v/>
      </c>
      <c r="F146" s="17">
        <f>F128+F145</f>
        <v/>
      </c>
      <c r="G146" s="17">
        <f>G128+G145</f>
        <v/>
      </c>
      <c r="H146" s="17">
        <f>H128+H145</f>
        <v/>
      </c>
      <c r="I146" s="17">
        <f>I128+I145</f>
        <v/>
      </c>
      <c r="J146" s="17">
        <f>J128+J145</f>
        <v/>
      </c>
      <c r="K146" s="17">
        <f>K128+K145</f>
        <v/>
      </c>
      <c r="L146" s="17">
        <f>L128+L145</f>
        <v/>
      </c>
    </row>
    <row r="147">
      <c r="A147" t="inlineStr">
        <is>
          <t>Stock de déficits reportables (fin d'année)</t>
        </is>
      </c>
      <c r="C147" s="5">
        <f>MAX(0,-C146)</f>
        <v/>
      </c>
      <c r="D147" s="5">
        <f>MAX(0,C147-D146)</f>
        <v/>
      </c>
      <c r="E147" s="5">
        <f>MAX(0,D147-E146)</f>
        <v/>
      </c>
      <c r="F147" s="5">
        <f>MAX(0,E147-F146)</f>
        <v/>
      </c>
      <c r="G147" s="5">
        <f>MAX(0,F147-G146)</f>
        <v/>
      </c>
      <c r="H147" s="5">
        <f>MAX(0,G147-H146)</f>
        <v/>
      </c>
      <c r="I147" s="5">
        <f>MAX(0,H147-I146)</f>
        <v/>
      </c>
      <c r="J147" s="5">
        <f>MAX(0,I147-J146)</f>
        <v/>
      </c>
      <c r="K147" s="5">
        <f>MAX(0,J147-K146)</f>
        <v/>
      </c>
      <c r="L147" s="5">
        <f>MAX(0,K147-L146)</f>
        <v/>
      </c>
    </row>
    <row r="148">
      <c r="A148" t="inlineStr">
        <is>
          <t>Impôt sur les sociétés</t>
        </is>
      </c>
      <c r="B148" s="5">
        <f>SUM(C148:L148)</f>
        <v/>
      </c>
      <c r="C148" s="5">
        <f>-MAX(0,C146)*$B$54</f>
        <v/>
      </c>
      <c r="D148" s="5">
        <f>-MAX(0,D146-C147)*$B$54</f>
        <v/>
      </c>
      <c r="E148" s="5">
        <f>-MAX(0,E146-D147)*$B$54</f>
        <v/>
      </c>
      <c r="F148" s="5">
        <f>-MAX(0,F146-E147)*$B$54</f>
        <v/>
      </c>
      <c r="G148" s="5">
        <f>-MAX(0,G146-F147)*$B$54</f>
        <v/>
      </c>
      <c r="H148" s="5">
        <f>-MAX(0,H146-G147)*$B$54</f>
        <v/>
      </c>
      <c r="I148" s="5">
        <f>-MAX(0,I146-H147)*$B$54</f>
        <v/>
      </c>
      <c r="J148" s="5">
        <f>-MAX(0,J146-I147)*$B$54</f>
        <v/>
      </c>
      <c r="K148" s="5">
        <f>-MAX(0,K146-J147)*$B$54</f>
        <v/>
      </c>
      <c r="L148" s="5">
        <f>-MAX(0,L146-K147)*$B$54</f>
        <v/>
      </c>
    </row>
    <row r="149">
      <c r="A149" s="4" t="inlineStr">
        <is>
          <t>Résultat net</t>
        </is>
      </c>
      <c r="B149" s="17">
        <f>SUM(C149:L149)</f>
        <v/>
      </c>
      <c r="C149" s="17">
        <f>C146+C148</f>
        <v/>
      </c>
      <c r="D149" s="17">
        <f>D146+D148</f>
        <v/>
      </c>
      <c r="E149" s="17">
        <f>E146+E148</f>
        <v/>
      </c>
      <c r="F149" s="17">
        <f>F146+F148</f>
        <v/>
      </c>
      <c r="G149" s="17">
        <f>G146+G148</f>
        <v/>
      </c>
      <c r="H149" s="17">
        <f>H146+H148</f>
        <v/>
      </c>
      <c r="I149" s="17">
        <f>I146+I148</f>
        <v/>
      </c>
      <c r="J149" s="17">
        <f>J146+J148</f>
        <v/>
      </c>
      <c r="K149" s="17">
        <f>K146+K148</f>
        <v/>
      </c>
      <c r="L149" s="17">
        <f>L146+L148</f>
        <v/>
      </c>
    </row>
    <row r="151">
      <c r="A151" s="4" t="inlineStr">
        <is>
          <t>Tableau des flux de trésorerie</t>
        </is>
      </c>
    </row>
    <row r="152">
      <c r="A152" t="inlineStr">
        <is>
          <t>BFR (niveau)</t>
        </is>
      </c>
      <c r="C152" s="5">
        <f>C104*$B$53</f>
        <v/>
      </c>
      <c r="D152" s="5">
        <f>D104*$B$53</f>
        <v/>
      </c>
      <c r="E152" s="5">
        <f>E104*$B$53</f>
        <v/>
      </c>
      <c r="F152" s="5">
        <f>F104*$B$53</f>
        <v/>
      </c>
      <c r="G152" s="5">
        <f>G104*$B$53</f>
        <v/>
      </c>
      <c r="H152" s="5">
        <f>H104*$B$53</f>
        <v/>
      </c>
      <c r="I152" s="5">
        <f>I104*$B$53</f>
        <v/>
      </c>
      <c r="J152" s="5">
        <f>J104*$B$53</f>
        <v/>
      </c>
      <c r="K152" s="5">
        <f>K104*$B$53</f>
        <v/>
      </c>
      <c r="L152" s="5">
        <f>L104*$B$53</f>
        <v/>
      </c>
    </row>
    <row r="153">
      <c r="A153" t="inlineStr">
        <is>
          <t>Variation du BFR</t>
        </is>
      </c>
      <c r="B153" s="5">
        <f>SUM(C153:L153)</f>
        <v/>
      </c>
      <c r="C153" s="5">
        <f>-C152</f>
        <v/>
      </c>
      <c r="D153" s="5">
        <f>-(D152-C152)</f>
        <v/>
      </c>
      <c r="E153" s="5">
        <f>-(E152-D152)</f>
        <v/>
      </c>
      <c r="F153" s="5">
        <f>-(F152-E152)</f>
        <v/>
      </c>
      <c r="G153" s="5">
        <f>-(G152-F152)</f>
        <v/>
      </c>
      <c r="H153" s="5">
        <f>-(H152-G152)</f>
        <v/>
      </c>
      <c r="I153" s="5">
        <f>-(I152-H152)</f>
        <v/>
      </c>
      <c r="J153" s="5">
        <f>-(J152-I152)</f>
        <v/>
      </c>
      <c r="K153" s="5">
        <f>-(K152-J152)</f>
        <v/>
      </c>
      <c r="L153" s="5">
        <f>-(L152-K152)</f>
        <v/>
      </c>
    </row>
    <row r="154">
      <c r="A154" s="4" t="inlineStr">
        <is>
          <t>Flux d'exploitation (EBITDA − IS − ΔBFR)</t>
        </is>
      </c>
      <c r="B154" s="17">
        <f>SUM(C154:L154)</f>
        <v/>
      </c>
      <c r="C154" s="17">
        <f>C121+C148+C153</f>
        <v/>
      </c>
      <c r="D154" s="17">
        <f>D121+D148+D153</f>
        <v/>
      </c>
      <c r="E154" s="17">
        <f>E121+E148+E153</f>
        <v/>
      </c>
      <c r="F154" s="17">
        <f>F121+F148+F153</f>
        <v/>
      </c>
      <c r="G154" s="17">
        <f>G121+G148+G153</f>
        <v/>
      </c>
      <c r="H154" s="17">
        <f>H121+H148+H153</f>
        <v/>
      </c>
      <c r="I154" s="17">
        <f>I121+I148+I153</f>
        <v/>
      </c>
      <c r="J154" s="17">
        <f>J121+J148+J153</f>
        <v/>
      </c>
      <c r="K154" s="17">
        <f>K121+K148+K153</f>
        <v/>
      </c>
      <c r="L154" s="17">
        <f>L121+L148+L153</f>
        <v/>
      </c>
    </row>
    <row r="155">
      <c r="A155" s="4" t="inlineStr">
        <is>
          <t>Flux d'investissement</t>
        </is>
      </c>
      <c r="B155" s="17">
        <f>SUM(C155:L155)</f>
        <v/>
      </c>
      <c r="C155" s="17">
        <f>-(C124+C123+C125)</f>
        <v/>
      </c>
      <c r="D155" s="17">
        <f>-(D124+D123+D125)</f>
        <v/>
      </c>
      <c r="E155" s="17">
        <f>-(E124+E123+E125)</f>
        <v/>
      </c>
      <c r="F155" s="17">
        <f>-(F124+F123+F125)</f>
        <v/>
      </c>
      <c r="G155" s="17">
        <f>-(G124+G123+G125)</f>
        <v/>
      </c>
      <c r="H155" s="17">
        <f>-(H124+H123+H125)</f>
        <v/>
      </c>
      <c r="I155" s="17">
        <f>-(I124+I123+I125)</f>
        <v/>
      </c>
      <c r="J155" s="17">
        <f>-(J124+J123+J125)</f>
        <v/>
      </c>
      <c r="K155" s="17">
        <f>-(K124+K123+K125)</f>
        <v/>
      </c>
      <c r="L155" s="17">
        <f>-(L124+L123+L125)</f>
        <v/>
      </c>
    </row>
    <row r="156">
      <c r="A156" t="inlineStr">
        <is>
          <t xml:space="preserve">  Apports en fonds propres + subventions</t>
        </is>
      </c>
      <c r="B156" s="5">
        <f>SUM(C156:L156)</f>
        <v/>
      </c>
      <c r="C156" s="5">
        <f>IF(C$84=1,$B$21,0)+IF(C$84=$B$5,$B$22*(1-$B$44)+$B$24,0)</f>
        <v/>
      </c>
      <c r="D156" s="5">
        <f>IF(D$84=1,$B$21,0)+IF(D$84=$B$5,$B$22*(1-$B$44)+$B$24,0)</f>
        <v/>
      </c>
      <c r="E156" s="5">
        <f>IF(E$84=1,$B$21,0)+IF(E$84=$B$5,$B$22*(1-$B$44)+$B$24,0)</f>
        <v/>
      </c>
      <c r="F156" s="5">
        <f>IF(F$84=1,$B$21,0)+IF(F$84=$B$5,$B$22*(1-$B$44)+$B$24,0)</f>
        <v/>
      </c>
      <c r="G156" s="5">
        <f>IF(G$84=1,$B$21,0)+IF(G$84=$B$5,$B$22*(1-$B$44)+$B$24,0)</f>
        <v/>
      </c>
      <c r="H156" s="5">
        <f>IF(H$84=1,$B$21,0)+IF(H$84=$B$5,$B$22*(1-$B$44)+$B$24,0)</f>
        <v/>
      </c>
      <c r="I156" s="5">
        <f>IF(I$84=1,$B$21,0)+IF(I$84=$B$5,$B$22*(1-$B$44)+$B$24,0)</f>
        <v/>
      </c>
      <c r="J156" s="5">
        <f>IF(J$84=1,$B$21,0)+IF(J$84=$B$5,$B$22*(1-$B$44)+$B$24,0)</f>
        <v/>
      </c>
      <c r="K156" s="5">
        <f>IF(K$84=1,$B$21,0)+IF(K$84=$B$5,$B$22*(1-$B$44)+$B$24,0)</f>
        <v/>
      </c>
      <c r="L156" s="5">
        <f>IF(L$84=1,$B$21,0)+IF(L$84=$B$5,$B$22*(1-$B$44)+$B$24,0)</f>
        <v/>
      </c>
    </row>
    <row r="157">
      <c r="A157" t="inlineStr">
        <is>
          <t xml:space="preserve">  Tirages dette + crédit-vendeur + obligations</t>
        </is>
      </c>
      <c r="B157" s="5">
        <f>SUM(C157:L157)</f>
        <v/>
      </c>
      <c r="C157" s="5">
        <f>IF(C$84=$B$5,$B$25+$B$29+$B$32,0)</f>
        <v/>
      </c>
      <c r="D157" s="5">
        <f>IF(D$84=$B$5,$B$25+$B$29+$B$32,0)</f>
        <v/>
      </c>
      <c r="E157" s="5">
        <f>IF(E$84=$B$5,$B$25+$B$29+$B$32,0)</f>
        <v/>
      </c>
      <c r="F157" s="5">
        <f>IF(F$84=$B$5,$B$25+$B$29+$B$32,0)</f>
        <v/>
      </c>
      <c r="G157" s="5">
        <f>IF(G$84=$B$5,$B$25+$B$29+$B$32,0)</f>
        <v/>
      </c>
      <c r="H157" s="5">
        <f>IF(H$84=$B$5,$B$25+$B$29+$B$32,0)</f>
        <v/>
      </c>
      <c r="I157" s="5">
        <f>IF(I$84=$B$5,$B$25+$B$29+$B$32,0)</f>
        <v/>
      </c>
      <c r="J157" s="5">
        <f>IF(J$84=$B$5,$B$25+$B$29+$B$32,0)</f>
        <v/>
      </c>
      <c r="K157" s="5">
        <f>IF(K$84=$B$5,$B$25+$B$29+$B$32,0)</f>
        <v/>
      </c>
      <c r="L157" s="5">
        <f>IF(L$84=$B$5,$B$25+$B$29+$B$32,0)</f>
        <v/>
      </c>
    </row>
    <row r="158">
      <c r="A158" t="inlineStr">
        <is>
          <t xml:space="preserve">  Service de la dette (intérêts + capital + coupons + rembt obligations)</t>
        </is>
      </c>
      <c r="B158" s="5">
        <f>SUM(C158:L158)</f>
        <v/>
      </c>
      <c r="C158" s="5">
        <f>-(C134+C135+C138+C139+C142+C143)</f>
        <v/>
      </c>
      <c r="D158" s="5">
        <f>-(D134+D135+D138+D139+D142+D143)</f>
        <v/>
      </c>
      <c r="E158" s="5">
        <f>-(E134+E135+E138+E139+E142+E143)</f>
        <v/>
      </c>
      <c r="F158" s="5">
        <f>-(F134+F135+F138+F139+F142+F143)</f>
        <v/>
      </c>
      <c r="G158" s="5">
        <f>-(G134+G135+G138+G139+G142+G143)</f>
        <v/>
      </c>
      <c r="H158" s="5">
        <f>-(H134+H135+H138+H139+H142+H143)</f>
        <v/>
      </c>
      <c r="I158" s="5">
        <f>-(I134+I135+I138+I139+I142+I143)</f>
        <v/>
      </c>
      <c r="J158" s="5">
        <f>-(J134+J135+J138+J139+J142+J143)</f>
        <v/>
      </c>
      <c r="K158" s="5">
        <f>-(K134+K135+K138+K139+K142+K143)</f>
        <v/>
      </c>
      <c r="L158" s="5">
        <f>-(L134+L135+L138+L139+L142+L143)</f>
        <v/>
      </c>
    </row>
    <row r="159">
      <c r="A159" s="4" t="inlineStr">
        <is>
          <t>Flux de financement</t>
        </is>
      </c>
      <c r="B159" s="17">
        <f>SUM(C159:L159)</f>
        <v/>
      </c>
      <c r="C159" s="17">
        <f>C156+C157+C158</f>
        <v/>
      </c>
      <c r="D159" s="17">
        <f>D156+D157+D158</f>
        <v/>
      </c>
      <c r="E159" s="17">
        <f>E156+E157+E158</f>
        <v/>
      </c>
      <c r="F159" s="17">
        <f>F156+F157+F158</f>
        <v/>
      </c>
      <c r="G159" s="17">
        <f>G156+G157+G158</f>
        <v/>
      </c>
      <c r="H159" s="17">
        <f>H156+H157+H158</f>
        <v/>
      </c>
      <c r="I159" s="17">
        <f>I156+I157+I158</f>
        <v/>
      </c>
      <c r="J159" s="17">
        <f>J156+J157+J158</f>
        <v/>
      </c>
      <c r="K159" s="17">
        <f>K156+K157+K158</f>
        <v/>
      </c>
      <c r="L159" s="17">
        <f>L156+L157+L158</f>
        <v/>
      </c>
    </row>
    <row r="160">
      <c r="A160" s="4" t="inlineStr">
        <is>
          <t>Variation de trésorerie</t>
        </is>
      </c>
      <c r="B160" s="17">
        <f>SUM(C160:L160)</f>
        <v/>
      </c>
      <c r="C160" s="17">
        <f>C154+C155+C159</f>
        <v/>
      </c>
      <c r="D160" s="17">
        <f>D154+D155+D159</f>
        <v/>
      </c>
      <c r="E160" s="17">
        <f>E154+E155+E159</f>
        <v/>
      </c>
      <c r="F160" s="17">
        <f>F154+F155+F159</f>
        <v/>
      </c>
      <c r="G160" s="17">
        <f>G154+G155+G159</f>
        <v/>
      </c>
      <c r="H160" s="17">
        <f>H154+H155+H159</f>
        <v/>
      </c>
      <c r="I160" s="17">
        <f>I154+I155+I159</f>
        <v/>
      </c>
      <c r="J160" s="17">
        <f>J154+J155+J159</f>
        <v/>
      </c>
      <c r="K160" s="17">
        <f>K154+K155+K159</f>
        <v/>
      </c>
      <c r="L160" s="17">
        <f>L154+L155+L159</f>
        <v/>
      </c>
    </row>
    <row r="161">
      <c r="A161" s="4" t="inlineStr">
        <is>
          <t>Trésorerie fin d'année</t>
        </is>
      </c>
      <c r="C161" s="17">
        <f>C160</f>
        <v/>
      </c>
      <c r="D161" s="17">
        <f>C161+D160</f>
        <v/>
      </c>
      <c r="E161" s="17">
        <f>D161+E160</f>
        <v/>
      </c>
      <c r="F161" s="17">
        <f>E161+F160</f>
        <v/>
      </c>
      <c r="G161" s="17">
        <f>F161+G160</f>
        <v/>
      </c>
      <c r="H161" s="17">
        <f>G161+H160</f>
        <v/>
      </c>
      <c r="I161" s="17">
        <f>H161+I160</f>
        <v/>
      </c>
      <c r="J161" s="17">
        <f>I161+J160</f>
        <v/>
      </c>
      <c r="K161" s="17">
        <f>J161+K160</f>
        <v/>
      </c>
      <c r="L161" s="17">
        <f>K161+L160</f>
        <v/>
      </c>
    </row>
    <row r="162">
      <c r="A162" t="inlineStr">
        <is>
          <t>Cash-flow libre d'exploitation (CFO − gros entretien − service dette hors obligations in fine)</t>
        </is>
      </c>
      <c r="B162" s="5">
        <f>SUM(C162:L162)</f>
        <v/>
      </c>
      <c r="C162" s="5">
        <f>C154-C125-(C134+C135+C138+C139+C142)</f>
        <v/>
      </c>
      <c r="D162" s="5">
        <f>D154-D125-(D134+D135+D138+D139+D142)</f>
        <v/>
      </c>
      <c r="E162" s="5">
        <f>E154-E125-(E134+E135+E138+E139+E142)</f>
        <v/>
      </c>
      <c r="F162" s="5">
        <f>F154-F125-(F134+F135+F138+F139+F142)</f>
        <v/>
      </c>
      <c r="G162" s="5">
        <f>G154-G125-(G134+G135+G138+G139+G142)</f>
        <v/>
      </c>
      <c r="H162" s="5">
        <f>H154-H125-(H134+H135+H138+H139+H142)</f>
        <v/>
      </c>
      <c r="I162" s="5">
        <f>I154-I125-(I134+I135+I138+I139+I142)</f>
        <v/>
      </c>
      <c r="J162" s="5">
        <f>J154-J125-(J134+J135+J138+J139+J142)</f>
        <v/>
      </c>
      <c r="K162" s="5">
        <f>K154-K125-(K134+K135+K138+K139+K142)</f>
        <v/>
      </c>
      <c r="L162" s="5">
        <f>L154-L125-(L134+L135+L138+L139+L142)</f>
        <v/>
      </c>
    </row>
    <row r="163">
      <c r="A163" t="inlineStr">
        <is>
          <t>DSCR ((EBITDA − IS) / service de la dette)</t>
        </is>
      </c>
      <c r="C163" s="7">
        <f>IF((C134+C135+C138+C139+C142)=0,"",(C121+C148)/(C134+C135+C138+C139+C142))</f>
        <v/>
      </c>
      <c r="D163" s="7">
        <f>IF((D134+D135+D138+D139+D142)=0,"",(D121+D148)/(D134+D135+D138+D139+D142))</f>
        <v/>
      </c>
      <c r="E163" s="7">
        <f>IF((E134+E135+E138+E139+E142)=0,"",(E121+E148)/(E134+E135+E138+E139+E142))</f>
        <v/>
      </c>
      <c r="F163" s="7">
        <f>IF((F134+F135+F138+F139+F142)=0,"",(F121+F148)/(F134+F135+F138+F139+F142))</f>
        <v/>
      </c>
      <c r="G163" s="7">
        <f>IF((G134+G135+G138+G139+G142)=0,"",(G121+G148)/(G134+G135+G138+G139+G142))</f>
        <v/>
      </c>
      <c r="H163" s="7">
        <f>IF((H134+H135+H138+H139+H142)=0,"",(H121+H148)/(H134+H135+H138+H139+H142))</f>
        <v/>
      </c>
      <c r="I163" s="7">
        <f>IF((I134+I135+I138+I139+I142)=0,"",(I121+I148)/(I134+I135+I138+I139+I142))</f>
        <v/>
      </c>
      <c r="J163" s="7">
        <f>IF((J134+J135+J138+J139+J142)=0,"",(J121+J148)/(J134+J135+J138+J139+J142))</f>
        <v/>
      </c>
      <c r="K163" s="7">
        <f>IF((K134+K135+K138+K139+K142)=0,"",(K121+K148)/(K134+K135+K138+K139+K142))</f>
        <v/>
      </c>
      <c r="L163" s="7">
        <f>IF((L134+L135+L138+L139+L142)=0,"",(L121+L148)/(L134+L135+L138+L139+L142))</f>
        <v/>
      </c>
    </row>
    <row r="165">
      <c r="A165" s="4" t="inlineStr">
        <is>
          <t>Rentabilité des investisseurs et contrôle</t>
        </is>
      </c>
    </row>
    <row r="166">
      <c r="A166" t="inlineStr">
        <is>
          <t>Dettes financières totales fin d'année</t>
        </is>
      </c>
      <c r="C166" s="5">
        <f>C136+C140+C141-C143</f>
        <v/>
      </c>
      <c r="D166" s="5">
        <f>D136+D140+D141-D143</f>
        <v/>
      </c>
      <c r="E166" s="5">
        <f>E136+E140+E141-E143</f>
        <v/>
      </c>
      <c r="F166" s="5">
        <f>F136+F140+F141-F143</f>
        <v/>
      </c>
      <c r="G166" s="5">
        <f>G136+G140+G141-G143</f>
        <v/>
      </c>
      <c r="H166" s="5">
        <f>H136+H140+H141-H143</f>
        <v/>
      </c>
      <c r="I166" s="5">
        <f>I136+I140+I141-I143</f>
        <v/>
      </c>
      <c r="J166" s="5">
        <f>J136+J140+J141-J143</f>
        <v/>
      </c>
      <c r="K166" s="5">
        <f>K136+K140+K141-K143</f>
        <v/>
      </c>
      <c r="L166" s="5">
        <f>L136+L140+L141-L143</f>
        <v/>
      </c>
    </row>
    <row r="167">
      <c r="A167" t="inlineStr">
        <is>
          <t>Valeur estimée de l'actif (si cédé cette année)</t>
        </is>
      </c>
      <c r="C167" s="5">
        <f>C90*($B$7+C126)*$B$17</f>
        <v/>
      </c>
      <c r="D167" s="5">
        <f>D90*($B$7+D126)*$B$17</f>
        <v/>
      </c>
      <c r="E167" s="5">
        <f>E90*($B$7+E126)*$B$17</f>
        <v/>
      </c>
      <c r="F167" s="5">
        <f>F90*($B$7+F126)*$B$17</f>
        <v/>
      </c>
      <c r="G167" s="5">
        <f>G90*($B$7+G126)*$B$17</f>
        <v/>
      </c>
      <c r="H167" s="5">
        <f>H90*($B$7+H126)*$B$17</f>
        <v/>
      </c>
      <c r="I167" s="5">
        <f>I90*($B$7+I126)*$B$17</f>
        <v/>
      </c>
      <c r="J167" s="5">
        <f>J90*($B$7+J126)*$B$17</f>
        <v/>
      </c>
      <c r="K167" s="5">
        <f>K90*($B$7+K126)*$B$17</f>
        <v/>
      </c>
      <c r="L167" s="5">
        <f>L90*($B$7+L126)*$B$17</f>
        <v/>
      </c>
    </row>
    <row r="168">
      <c r="A168" t="inlineStr">
        <is>
          <t>Valeur des fonds propres (actif + trésorerie − dettes)</t>
        </is>
      </c>
      <c r="C168" s="5">
        <f>C167+C161-C166</f>
        <v/>
      </c>
      <c r="D168" s="5">
        <f>D167+D161-D166</f>
        <v/>
      </c>
      <c r="E168" s="5">
        <f>E167+E161-E166</f>
        <v/>
      </c>
      <c r="F168" s="5">
        <f>F167+F161-F166</f>
        <v/>
      </c>
      <c r="G168" s="5">
        <f>G167+G161-G166</f>
        <v/>
      </c>
      <c r="H168" s="5">
        <f>H167+H161-H166</f>
        <v/>
      </c>
      <c r="I168" s="5">
        <f>I167+I161-I166</f>
        <v/>
      </c>
      <c r="J168" s="5">
        <f>J167+J161-J166</f>
        <v/>
      </c>
      <c r="K168" s="5">
        <f>K167+K161-K166</f>
        <v/>
      </c>
      <c r="L168" s="5">
        <f>L167+L161-L166</f>
        <v/>
      </c>
    </row>
    <row r="169">
      <c r="A169" t="inlineStr">
        <is>
          <t>Flux des investisseurs (entrée an d'acq., sortie an 10)</t>
        </is>
      </c>
      <c r="B169" s="5">
        <f>SUM(C169:L169)</f>
        <v/>
      </c>
      <c r="C169" s="5">
        <f>-IF(C$84=$B$5,$B$22*(1-$B$44)*(1-$B$23),0)</f>
        <v/>
      </c>
      <c r="D169" s="5">
        <f>-IF(D$84=$B$5,$B$22*(1-$B$44)*(1-$B$23),0)</f>
        <v/>
      </c>
      <c r="E169" s="5">
        <f>-IF(E$84=$B$5,$B$22*(1-$B$44)*(1-$B$23),0)</f>
        <v/>
      </c>
      <c r="F169" s="5">
        <f>-IF(F$84=$B$5,$B$22*(1-$B$44)*(1-$B$23),0)</f>
        <v/>
      </c>
      <c r="G169" s="5">
        <f>-IF(G$84=$B$5,$B$22*(1-$B$44)*(1-$B$23),0)</f>
        <v/>
      </c>
      <c r="H169" s="5">
        <f>-IF(H$84=$B$5,$B$22*(1-$B$44)*(1-$B$23),0)</f>
        <v/>
      </c>
      <c r="I169" s="5">
        <f>-IF(I$84=$B$5,$B$22*(1-$B$44)*(1-$B$23),0)</f>
        <v/>
      </c>
      <c r="J169" s="5">
        <f>-IF(J$84=$B$5,$B$22*(1-$B$44)*(1-$B$23),0)</f>
        <v/>
      </c>
      <c r="K169" s="5">
        <f>-IF(K$84=$B$5,$B$22*(1-$B$44)*(1-$B$23),0)</f>
        <v/>
      </c>
      <c r="L169" s="5">
        <f>-IF(L$84=$B$5,$B$22*(1-$B$44)*(1-$B$23),0)+MAX(0,L168)*(1-$B$35)</f>
        <v/>
      </c>
    </row>
    <row r="170">
      <c r="A170" t="inlineStr">
        <is>
          <t>Flux du fondateur et de sa holding (apports, sortie théorique an 10)</t>
        </is>
      </c>
      <c r="B170" s="5">
        <f>SUM(C170:L170)</f>
        <v/>
      </c>
      <c r="C170" s="5">
        <f>-IF(C$84=1,$B$21,0)-IF(C$84=$B$5,$B$22*(1-$B$44)*$B$23,0)</f>
        <v/>
      </c>
      <c r="D170" s="5">
        <f>-IF(D$84=1,$B$21,0)-IF(D$84=$B$5,$B$22*(1-$B$44)*$B$23,0)</f>
        <v/>
      </c>
      <c r="E170" s="5">
        <f>-IF(E$84=1,$B$21,0)-IF(E$84=$B$5,$B$22*(1-$B$44)*$B$23,0)</f>
        <v/>
      </c>
      <c r="F170" s="5">
        <f>-IF(F$84=1,$B$21,0)-IF(F$84=$B$5,$B$22*(1-$B$44)*$B$23,0)</f>
        <v/>
      </c>
      <c r="G170" s="5">
        <f>-IF(G$84=1,$B$21,0)-IF(G$84=$B$5,$B$22*(1-$B$44)*$B$23,0)</f>
        <v/>
      </c>
      <c r="H170" s="5">
        <f>-IF(H$84=1,$B$21,0)-IF(H$84=$B$5,$B$22*(1-$B$44)*$B$23,0)</f>
        <v/>
      </c>
      <c r="I170" s="5">
        <f>-IF(I$84=1,$B$21,0)-IF(I$84=$B$5,$B$22*(1-$B$44)*$B$23,0)</f>
        <v/>
      </c>
      <c r="J170" s="5">
        <f>-IF(J$84=1,$B$21,0)-IF(J$84=$B$5,$B$22*(1-$B$44)*$B$23,0)</f>
        <v/>
      </c>
      <c r="K170" s="5">
        <f>-IF(K$84=1,$B$21,0)-IF(K$84=$B$5,$B$22*(1-$B$44)*$B$23,0)</f>
        <v/>
      </c>
      <c r="L170" s="5">
        <f>-IF(L$84=1,$B$21,0)-IF(L$84=$B$5,$B$22*(1-$B$44)*$B$23,0)+MAX(0,L168)*$B$35</f>
        <v/>
      </c>
    </row>
    <row r="172">
      <c r="A172" s="10" t="inlineStr">
        <is>
          <t>8. Indicateurs clés</t>
        </is>
      </c>
      <c r="B172" s="11" t="n"/>
      <c r="C172" s="11" t="n"/>
      <c r="D172" s="11" t="n"/>
      <c r="E172" s="11" t="n"/>
      <c r="F172" s="11" t="n"/>
      <c r="G172" s="11" t="n"/>
      <c r="H172" s="11" t="n"/>
      <c r="I172" s="11" t="n"/>
      <c r="J172" s="11" t="n"/>
      <c r="K172" s="11" t="n"/>
      <c r="L172" s="11" t="n"/>
      <c r="M172" s="11" t="n"/>
    </row>
    <row r="173">
      <c r="A173" t="inlineStr">
        <is>
          <t>Emplois totaux (acq. + frais + travaux initiaux)</t>
        </is>
      </c>
      <c r="B173" s="17">
        <f>$B$7*(1+$B$8)+SUM(C123:L123)</f>
        <v/>
      </c>
    </row>
    <row r="174">
      <c r="A174" t="inlineStr">
        <is>
          <t>Ressources externes et apports prévus</t>
        </is>
      </c>
      <c r="B174" s="17">
        <f>$B$21+$B$22*(1-$B$44)+$B$24+$B$25+$B$29+$B$32</f>
        <v/>
      </c>
    </row>
    <row r="175">
      <c r="A175" t="inlineStr">
        <is>
          <t>CA année 5</t>
        </is>
      </c>
      <c r="B175" s="17">
        <f>G104</f>
        <v/>
      </c>
    </row>
    <row r="176">
      <c r="A176" t="inlineStr">
        <is>
          <t>EBITDA année 5</t>
        </is>
      </c>
      <c r="B176" s="17">
        <f>G121</f>
        <v/>
      </c>
    </row>
    <row r="177">
      <c r="A177" t="inlineStr">
        <is>
          <t>EBITDA année 10</t>
        </is>
      </c>
      <c r="B177" s="17">
        <f>L121</f>
        <v/>
      </c>
    </row>
    <row r="178">
      <c r="A178" t="inlineStr">
        <is>
          <t>Part équestre du CA année 5</t>
        </is>
      </c>
      <c r="B178" s="18">
        <f>G106</f>
        <v/>
      </c>
    </row>
    <row r="179">
      <c r="A179" t="inlineStr">
        <is>
          <t>Trésorerie minimale sur 10 ans</t>
        </is>
      </c>
      <c r="B179" s="17">
        <f>MIN(C161:L161)</f>
        <v/>
      </c>
    </row>
    <row r="180">
      <c r="A180" t="inlineStr">
        <is>
          <t>Trésorerie fin année 10</t>
        </is>
      </c>
      <c r="B180" s="17">
        <f>L161</f>
        <v/>
      </c>
    </row>
    <row r="181">
      <c r="A181" t="inlineStr">
        <is>
          <t>DSCR minimal (années 4 à 10)</t>
        </is>
      </c>
      <c r="B181" s="19">
        <f>IF(COUNT(F163:L163)=0,"n/a",MIN(F163:L163))</f>
        <v/>
      </c>
    </row>
    <row r="182">
      <c r="A182" t="inlineStr">
        <is>
          <t>Nb d'années à cash-flow libre d'exploitation négatif (an 4–10)</t>
        </is>
      </c>
      <c r="B182" s="20">
        <f>COUNTIF(F162:L162,"&lt;0")</f>
        <v/>
      </c>
    </row>
    <row r="183">
      <c r="A183" t="inlineStr">
        <is>
          <t>TRI investisseurs (sortie théorique an 10)</t>
        </is>
      </c>
      <c r="B183" s="18">
        <f>IFERROR(IRR(C169:L169,-0.05),"perte quasi totale (TRI non calculable)")</f>
        <v/>
      </c>
    </row>
    <row r="184">
      <c r="A184" t="inlineStr">
        <is>
          <t>TRI fondateur (sortie théorique an 10)</t>
        </is>
      </c>
      <c r="B184" s="18">
        <f>IFERROR(IRR(C170:L170,-0.05),"perte quasi totale (TRI non calculable)")</f>
        <v/>
      </c>
    </row>
    <row r="185">
      <c r="A185" t="inlineStr">
        <is>
          <t>Dette bancaire soutenable estimée (DSCR 1,2 sur (EBITDA − gros entretien) an 6, taux et durée du scénario)</t>
        </is>
      </c>
      <c r="B185" s="17">
        <f>MAX(0,PV($B$26,$B$27,-(H121-H125)/1.2))</f>
        <v/>
      </c>
    </row>
    <row r="186">
      <c r="A186" t="inlineStr">
        <is>
          <t>Fonds propres nécessaires (emplois + réserve − dette soutenable)</t>
        </is>
      </c>
      <c r="B186" s="17">
        <f>$B$7*(1+$B$8)+SUM(C123:L123)+$B$37-$B$185</f>
        <v/>
      </c>
    </row>
    <row r="187">
      <c r="A187" t="inlineStr">
        <is>
          <t>Part du capital du fondateur</t>
        </is>
      </c>
      <c r="B187" s="18">
        <f>$B$35</f>
        <v/>
      </c>
    </row>
    <row r="188">
      <c r="A188" t="inlineStr">
        <is>
          <t>Droits de vote du fondateur</t>
        </is>
      </c>
      <c r="B188" s="18">
        <f>$B$36</f>
        <v/>
      </c>
    </row>
    <row r="189">
      <c r="A189" s="4" t="inlineStr">
        <is>
          <t>Verdict (règle : trésorerie ≥ réserve cible, DSCR ≥ 1,2, cash-flow libre ≥ 0 an 4–10)</t>
        </is>
      </c>
      <c r="B189" s="4">
        <f>IF(AND($B$179&gt;=0,$B$180&gt;=$B$37,OR($B$181="n/a",$B$181&gt;=1.2),$B$182=0),"VIABLE sous hypothèses",IF($B$179&lt;0,"NON VIABLE (trésorerie négative)","FRAGILE"))</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0.7</v>
      </c>
      <c r="C40" t="inlineStr">
        <is>
          <t>%</t>
        </is>
      </c>
      <c r="D40" t="inlineStr">
        <is>
          <t>Stress test</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1.3</v>
      </c>
      <c r="C41" t="inlineStr">
        <is>
          <t>%</t>
        </is>
      </c>
      <c r="D41" t="inlineStr">
        <is>
          <t>Stress test</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1</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0.02</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0.5</v>
      </c>
      <c r="C44" t="inlineStr">
        <is>
          <t>%</t>
        </is>
      </c>
      <c r="D44" t="inlineStr">
        <is>
          <t>Stress test</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0.4</v>
      </c>
      <c r="C45" t="inlineStr">
        <is>
          <t>%</t>
        </is>
      </c>
      <c r="D45" t="inlineStr">
        <is>
          <t>Stress test</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Scénario d'apport S2 (hypothèse, apport réel inconnu)</t>
        </is>
      </c>
    </row>
    <row r="22">
      <c r="A22" t="inlineStr">
        <is>
          <t>Fonds propres apportés à l'acquisition (investisseurs ou holding)</t>
        </is>
      </c>
      <c r="B22" s="12" t="n">
        <v>4200000</v>
      </c>
      <c r="C22" t="inlineStr">
        <is>
          <t>€</t>
        </is>
      </c>
      <c r="D22" t="inlineStr">
        <is>
          <t>Test : toute la dette remplacée par des fonds propres</t>
        </is>
      </c>
    </row>
    <row r="23">
      <c r="A23" t="inlineStr">
        <is>
          <t>Ces fonds propres viennent-ils de la holding du fondateur ? (1/0)</t>
        </is>
      </c>
      <c r="B23" s="12" t="n">
        <v>0</v>
      </c>
      <c r="C23" t="inlineStr"/>
      <c r="D23" t="inlineStr"/>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0</v>
      </c>
      <c r="C25" t="inlineStr">
        <is>
          <t>€</t>
        </is>
      </c>
      <c r="D25" t="inlineStr">
        <is>
          <t>Test</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is>
          <t>Test</t>
        </is>
      </c>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is>
          <t>Test</t>
        </is>
      </c>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0.35</v>
      </c>
      <c r="C35" t="inlineStr">
        <is>
          <t>%</t>
        </is>
      </c>
      <c r="D35" t="inlineStr">
        <is>
          <t>ESTIMATION : 250 k€ + apport en industrie / BSPCE ; à négocier</t>
        </is>
      </c>
    </row>
    <row r="36">
      <c r="A36" t="inlineStr">
        <is>
          <t>Droits de vote du fondateur</t>
        </is>
      </c>
      <c r="B36" s="13" t="n">
        <v>0.51</v>
      </c>
      <c r="C36" t="inlineStr">
        <is>
          <t>%</t>
        </is>
      </c>
      <c r="D36" t="inlineStr">
        <is>
          <t>Actions de préférence — acceptation par investisseurs NON acquise</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0.85</v>
      </c>
      <c r="C40" t="inlineStr">
        <is>
          <t>%</t>
        </is>
      </c>
      <c r="D40" t="inlineStr">
        <is>
          <t>Stress test</t>
        </is>
      </c>
    </row>
    <row r="41">
      <c r="A41" t="inlineStr">
        <is>
          <t>Multiplicateur du budget travaux</t>
        </is>
      </c>
      <c r="B41" s="13" t="n">
        <v>1.15</v>
      </c>
      <c r="C41" t="inlineStr">
        <is>
          <t>%</t>
        </is>
      </c>
      <c r="D41" t="inlineStr">
        <is>
          <t>Stress test</t>
        </is>
      </c>
    </row>
    <row r="42">
      <c r="A42" t="inlineStr">
        <is>
          <t>Retard d'ouverture</t>
        </is>
      </c>
      <c r="B42" s="12" t="n">
        <v>1</v>
      </c>
      <c r="C42" t="inlineStr">
        <is>
          <t>ans</t>
        </is>
      </c>
      <c r="D42" t="inlineStr">
        <is>
          <t>neutre</t>
        </is>
      </c>
    </row>
    <row r="43">
      <c r="A43" t="inlineStr">
        <is>
          <t>Hausse du taux bancaire (points)</t>
        </is>
      </c>
      <c r="B43" s="13" t="n">
        <v>0.01</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0.5</v>
      </c>
      <c r="C48" t="inlineStr">
        <is>
          <t>%</t>
        </is>
      </c>
      <c r="D48" t="inlineStr">
        <is>
          <t>ESTIMATION</t>
        </is>
      </c>
    </row>
    <row r="49">
      <c r="A49" t="inlineStr">
        <is>
          <t>Montée en charge : 2e année</t>
        </is>
      </c>
      <c r="B49" s="13" t="n">
        <v>0.75</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week-end)</t>
        </is>
      </c>
      <c r="B61" s="14" t="n">
        <v>18</v>
      </c>
      <c r="C61" s="12" t="n">
        <v>5500</v>
      </c>
      <c r="D61" s="13" t="n">
        <v>0.33</v>
      </c>
      <c r="E61" s="15" t="n">
        <v>1</v>
      </c>
      <c r="F61" s="15" t="n">
        <v>0</v>
      </c>
      <c r="G61" t="inlineStr">
        <is>
          <t>Médiane ≈5 900 € sur 10 tarifs publiés [A4] ; 18/an = plafond vie privée ESTIMATION</t>
        </is>
      </c>
    </row>
    <row r="62">
      <c r="A62" t="inlineStr">
        <is>
          <t>Journées d'étude / CODIR (sans nuitée)</t>
        </is>
      </c>
      <c r="B62" s="14" t="n">
        <v>10</v>
      </c>
      <c r="C62" s="12" t="n">
        <v>2500</v>
      </c>
      <c r="D62" s="13" t="n">
        <v>0.3</v>
      </c>
      <c r="E62" s="15" t="n">
        <v>1</v>
      </c>
      <c r="F62" s="15" t="n">
        <v>0</v>
      </c>
      <c r="G62" t="inlineStr">
        <is>
          <t>Mini 2 000 € HT observé [A4-29] ; volume 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1</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1</v>
      </c>
      <c r="G73" t="inlineStr">
        <is>
          <t>Variante frugale — ESTIMATION</t>
        </is>
      </c>
    </row>
    <row r="74">
      <c r="A74" t="inlineStr">
        <is>
          <t>Parc, haies, clôtures, petit entretien</t>
        </is>
      </c>
      <c r="B74" s="12" t="n">
        <v>15000</v>
      </c>
      <c r="C74" s="15" t="n">
        <v>1</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week-end)</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0.7</v>
      </c>
      <c r="C40" t="inlineStr">
        <is>
          <t>%</t>
        </is>
      </c>
      <c r="D40" t="inlineStr">
        <is>
          <t>Stress test</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1.3</v>
      </c>
      <c r="C41" t="inlineStr">
        <is>
          <t>%</t>
        </is>
      </c>
      <c r="D41" t="inlineStr">
        <is>
          <t>Stress test</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1</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0.02</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0.5</v>
      </c>
      <c r="C44" t="inlineStr">
        <is>
          <t>%</t>
        </is>
      </c>
      <c r="D44" t="inlineStr">
        <is>
          <t>Stress test</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1</v>
      </c>
      <c r="C40" t="inlineStr">
        <is>
          <t>%</t>
        </is>
      </c>
      <c r="D40" t="inlineStr">
        <is>
          <t>neutre</t>
        </is>
      </c>
    </row>
    <row r="41">
      <c r="A41" t="inlineStr">
        <is>
          <t>Multiplicateur du budget travaux</t>
        </is>
      </c>
      <c r="B41" s="13" t="n">
        <v>1</v>
      </c>
      <c r="C41" t="inlineStr">
        <is>
          <t>%</t>
        </is>
      </c>
      <c r="D41" t="inlineStr">
        <is>
          <t>neutre</t>
        </is>
      </c>
    </row>
    <row r="42">
      <c r="A42" t="inlineStr">
        <is>
          <t>Retard d'ouverture</t>
        </is>
      </c>
      <c r="B42" s="12" t="n">
        <v>0</v>
      </c>
      <c r="C42" t="inlineStr">
        <is>
          <t>ans</t>
        </is>
      </c>
      <c r="D42" t="inlineStr">
        <is>
          <t>neutre</t>
        </is>
      </c>
    </row>
    <row r="43">
      <c r="A43" t="inlineStr">
        <is>
          <t>Hausse du taux bancaire (points)</t>
        </is>
      </c>
      <c r="B43" s="13" t="n">
        <v>0</v>
      </c>
      <c r="C43" t="inlineStr">
        <is>
          <t>%</t>
        </is>
      </c>
      <c r="D43" t="inlineStr">
        <is>
          <t>neutre</t>
        </is>
      </c>
    </row>
    <row r="44">
      <c r="A44" t="inlineStr">
        <is>
          <t>Part des fonds investisseurs non versée</t>
        </is>
      </c>
      <c r="B44" s="13" t="n">
        <v>0</v>
      </c>
      <c r="C44" t="inlineStr">
        <is>
          <t>%</t>
        </is>
      </c>
      <c r="D44" t="inlineStr">
        <is>
          <t>neutre</t>
        </is>
      </c>
    </row>
    <row r="45">
      <c r="A45" t="inlineStr">
        <is>
          <t>Part des événements annulés</t>
        </is>
      </c>
      <c r="B45" s="13" t="n">
        <v>0.4</v>
      </c>
      <c r="C45" t="inlineStr">
        <is>
          <t>%</t>
        </is>
      </c>
      <c r="D45" t="inlineStr">
        <is>
          <t>Stress test</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holding apporte ~2,9 M€, dette limitée à la capacité (0,9 M€)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20">
      <c r="A20" s="10" t="inlineStr">
        <is>
          <t>2. Financement</t>
        </is>
      </c>
      <c r="B20" s="11" t="n"/>
      <c r="C20" s="11" t="n"/>
      <c r="D20" s="11" t="n"/>
      <c r="E20" s="11" t="n"/>
      <c r="F20" s="11" t="n"/>
      <c r="G20" s="11" t="n"/>
      <c r="H20" s="11" t="n"/>
      <c r="I20" s="11" t="n"/>
      <c r="J20" s="11" t="n"/>
      <c r="K20" s="11" t="n"/>
      <c r="L20" s="11" t="n"/>
      <c r="M20" s="11" t="n"/>
    </row>
    <row r="21">
      <c r="A21" t="inlineStr">
        <is>
          <t>Apport du fondateur (année 1)</t>
        </is>
      </c>
      <c r="B21" s="12" t="n">
        <v>250000</v>
      </c>
      <c r="C21" t="inlineStr">
        <is>
          <t>€</t>
        </is>
      </c>
      <c r="D21" t="inlineStr">
        <is>
          <t>Fonds de roulement et cautions de la phase locative</t>
        </is>
      </c>
    </row>
    <row r="22">
      <c r="A22" t="inlineStr">
        <is>
          <t>Fonds propres apportés à l'acquisition (investisseurs ou holding)</t>
        </is>
      </c>
      <c r="B22" s="12" t="n">
        <v>2900000</v>
      </c>
      <c r="C22" t="inlineStr">
        <is>
          <t>€</t>
        </is>
      </c>
      <c r="D22" t="inlineStr">
        <is>
          <t>Fonds propres HOLDING — NON acquis : objectif à constituer d'ici l'an 5</t>
        </is>
      </c>
    </row>
    <row r="23">
      <c r="A23" t="inlineStr">
        <is>
          <t>Ces fonds propres viennent-ils de la holding du fondateur ? (1/0)</t>
        </is>
      </c>
      <c r="B23" s="12" t="n">
        <v>1</v>
      </c>
      <c r="C23" t="inlineStr"/>
      <c r="D23" t="inlineStr">
        <is>
          <t>Fonds propres = holding du fondateur</t>
        </is>
      </c>
    </row>
    <row r="24">
      <c r="A24" t="inlineStr">
        <is>
          <t>Subventions (non acquises : 0 par défaut)</t>
        </is>
      </c>
      <c r="B24" s="12" t="n">
        <v>0</v>
      </c>
      <c r="C24" t="inlineStr">
        <is>
          <t>€</t>
        </is>
      </c>
      <c r="D24" t="inlineStr">
        <is>
          <t>Aucune subvention considérée comme acquise</t>
        </is>
      </c>
    </row>
    <row r="25">
      <c r="A25" t="inlineStr">
        <is>
          <t>Dette bancaire (année d'acquisition)</t>
        </is>
      </c>
      <c r="B25" s="12" t="n">
        <v>900000</v>
      </c>
      <c r="C25" t="inlineStr">
        <is>
          <t>€</t>
        </is>
      </c>
      <c r="D25" t="inlineStr">
        <is>
          <t>≈ dette soutenable calculée (DSCR 1,2) — NON acquise</t>
        </is>
      </c>
    </row>
    <row r="26">
      <c r="A26" t="inlineStr">
        <is>
          <t>Taux de la dette bancaire</t>
        </is>
      </c>
      <c r="B26" s="13" t="n">
        <v>0.045</v>
      </c>
      <c r="C26" t="inlineStr">
        <is>
          <t>%</t>
        </is>
      </c>
      <c r="D26" t="inlineStr">
        <is>
          <t>Moyenne BdF 3,75 % (07/2026) + prime projet atypique — agent 2</t>
        </is>
      </c>
    </row>
    <row r="27">
      <c r="A27" t="inlineStr">
        <is>
          <t>Durée dette bancaire</t>
        </is>
      </c>
      <c r="B27" s="12" t="n">
        <v>20</v>
      </c>
      <c r="C27" t="inlineStr">
        <is>
          <t>ans</t>
        </is>
      </c>
      <c r="D27" t="inlineStr">
        <is>
          <t>Agent 2</t>
        </is>
      </c>
    </row>
    <row r="28">
      <c r="A28" t="inlineStr">
        <is>
          <t>Différé d'amortissement (dans la durée)</t>
        </is>
      </c>
      <c r="B28" s="12" t="n">
        <v>1</v>
      </c>
      <c r="C28" t="inlineStr">
        <is>
          <t>ans</t>
        </is>
      </c>
      <c r="D28" t="inlineStr">
        <is>
          <t>ESTIMATION</t>
        </is>
      </c>
    </row>
    <row r="29">
      <c r="A29" t="inlineStr">
        <is>
          <t>Crédit-vendeur</t>
        </is>
      </c>
      <c r="B29" s="12" t="n">
        <v>0</v>
      </c>
      <c r="C29" t="inlineStr">
        <is>
          <t>€</t>
        </is>
      </c>
      <c r="D29" t="inlineStr"/>
    </row>
    <row r="30">
      <c r="A30" t="inlineStr">
        <is>
          <t>Taux crédit-vendeur</t>
        </is>
      </c>
      <c r="B30" s="13" t="n">
        <v>0.03</v>
      </c>
      <c r="C30" t="inlineStr">
        <is>
          <t>%</t>
        </is>
      </c>
      <c r="D30" t="inlineStr">
        <is>
          <t>ESTIMATION</t>
        </is>
      </c>
    </row>
    <row r="31">
      <c r="A31" t="inlineStr">
        <is>
          <t>Durée crédit-vendeur (amortissable)</t>
        </is>
      </c>
      <c r="B31" s="12" t="n">
        <v>5</v>
      </c>
      <c r="C31" t="inlineStr">
        <is>
          <t>ans</t>
        </is>
      </c>
      <c r="D31" t="inlineStr">
        <is>
          <t>ESTIMATION</t>
        </is>
      </c>
    </row>
    <row r="32">
      <c r="A32" t="inlineStr">
        <is>
          <t>Obligations / quasi-fonds propres (in fine)</t>
        </is>
      </c>
      <c r="B32" s="12" t="n">
        <v>0</v>
      </c>
      <c r="C32" t="inlineStr">
        <is>
          <t>€</t>
        </is>
      </c>
      <c r="D32" t="inlineStr"/>
    </row>
    <row r="33">
      <c r="A33" t="inlineStr">
        <is>
          <t>Coupon annuel des obligations</t>
        </is>
      </c>
      <c r="B33" s="13" t="n">
        <v>0.06</v>
      </c>
      <c r="C33" t="inlineStr">
        <is>
          <t>%</t>
        </is>
      </c>
      <c r="D33" t="inlineStr">
        <is>
          <t>ESTIMATION</t>
        </is>
      </c>
    </row>
    <row r="34">
      <c r="A34" t="inlineStr">
        <is>
          <t>Année de remboursement des obligations</t>
        </is>
      </c>
      <c r="B34" s="12" t="n">
        <v>8</v>
      </c>
      <c r="C34" t="inlineStr">
        <is>
          <t>année</t>
        </is>
      </c>
      <c r="D34" t="inlineStr">
        <is>
          <t>ESTIMATION</t>
        </is>
      </c>
    </row>
    <row r="35">
      <c r="A35" t="inlineStr">
        <is>
          <t>Part du capital détenue par le fondateur</t>
        </is>
      </c>
      <c r="B35" s="13" t="n">
        <v>1</v>
      </c>
      <c r="C35" t="inlineStr">
        <is>
          <t>%</t>
        </is>
      </c>
      <c r="D35" t="inlineStr">
        <is>
          <t>100 % via holding</t>
        </is>
      </c>
    </row>
    <row r="36">
      <c r="A36" t="inlineStr">
        <is>
          <t>Droits de vote du fondateur</t>
        </is>
      </c>
      <c r="B36" s="13" t="n">
        <v>1</v>
      </c>
      <c r="C36" t="inlineStr">
        <is>
          <t>%</t>
        </is>
      </c>
      <c r="D36" t="inlineStr">
        <is>
          <t>100 %</t>
        </is>
      </c>
    </row>
    <row r="37">
      <c r="A37" t="inlineStr">
        <is>
          <t>Réserve de liquidité cible</t>
        </is>
      </c>
      <c r="B37" s="12" t="n">
        <v>150000</v>
      </c>
      <c r="C37" t="inlineStr">
        <is>
          <t>€</t>
        </is>
      </c>
      <c r="D37" t="inlineStr">
        <is>
          <t>ESTIMATION</t>
        </is>
      </c>
    </row>
    <row r="39">
      <c r="A39" s="10" t="inlineStr">
        <is>
          <t>3. Paramètres de stress (neutres = 100 % / 0)</t>
        </is>
      </c>
      <c r="B39" s="11" t="n"/>
      <c r="C39" s="11" t="n"/>
      <c r="D39" s="11" t="n"/>
      <c r="E39" s="11" t="n"/>
      <c r="F39" s="11" t="n"/>
      <c r="G39" s="11" t="n"/>
      <c r="H39" s="11" t="n"/>
      <c r="I39" s="11" t="n"/>
      <c r="J39" s="11" t="n"/>
      <c r="K39" s="11" t="n"/>
      <c r="L39" s="11" t="n"/>
      <c r="M39" s="11" t="n"/>
    </row>
    <row r="40">
      <c r="A40" t="inlineStr">
        <is>
          <t>Multiplicateur de chiffre d'affaires</t>
        </is>
      </c>
      <c r="B40" s="13" t="n">
        <v>0.85</v>
      </c>
      <c r="C40" t="inlineStr">
        <is>
          <t>%</t>
        </is>
      </c>
      <c r="D40" t="inlineStr">
        <is>
          <t>Stress test</t>
        </is>
      </c>
    </row>
    <row r="41">
      <c r="A41" t="inlineStr">
        <is>
          <t>Multiplicateur du budget travaux</t>
        </is>
      </c>
      <c r="B41" s="13" t="n">
        <v>1.15</v>
      </c>
      <c r="C41" t="inlineStr">
        <is>
          <t>%</t>
        </is>
      </c>
      <c r="D41" t="inlineStr">
        <is>
          <t>Stress test</t>
        </is>
      </c>
    </row>
    <row r="42">
      <c r="A42" t="inlineStr">
        <is>
          <t>Retard d'ouverture</t>
        </is>
      </c>
      <c r="B42" s="12" t="n">
        <v>1</v>
      </c>
      <c r="C42" t="inlineStr">
        <is>
          <t>ans</t>
        </is>
      </c>
      <c r="D42" t="inlineStr">
        <is>
          <t>neutre</t>
        </is>
      </c>
    </row>
    <row r="43">
      <c r="A43" t="inlineStr">
        <is>
          <t>Hausse du taux bancaire (points)</t>
        </is>
      </c>
      <c r="B43" s="13" t="n">
        <v>0.01</v>
      </c>
      <c r="C43" t="inlineStr">
        <is>
          <t>%</t>
        </is>
      </c>
      <c r="D43" t="inlineStr">
        <is>
          <t>Stress test</t>
        </is>
      </c>
    </row>
    <row r="44">
      <c r="A44" t="inlineStr">
        <is>
          <t>Part des fonds investisseurs non versée</t>
        </is>
      </c>
      <c r="B44" s="13" t="n">
        <v>0</v>
      </c>
      <c r="C44" t="inlineStr">
        <is>
          <t>%</t>
        </is>
      </c>
      <c r="D44" t="inlineStr">
        <is>
          <t>neutre</t>
        </is>
      </c>
    </row>
    <row r="45">
      <c r="A45" t="inlineStr">
        <is>
          <t>Part des événements annulés</t>
        </is>
      </c>
      <c r="B45" s="13" t="n">
        <v>0</v>
      </c>
      <c r="C45" t="inlineStr">
        <is>
          <t>%</t>
        </is>
      </c>
      <c r="D45" t="inlineStr">
        <is>
          <t>neutre</t>
        </is>
      </c>
    </row>
    <row r="47">
      <c r="A47" s="10" t="inlineStr">
        <is>
          <t>4. Exploitation — hypothèses générales</t>
        </is>
      </c>
      <c r="B47" s="11" t="n"/>
      <c r="C47" s="11" t="n"/>
      <c r="D47" s="11" t="n"/>
      <c r="E47" s="11" t="n"/>
      <c r="F47" s="11" t="n"/>
      <c r="G47" s="11" t="n"/>
      <c r="H47" s="11" t="n"/>
      <c r="I47" s="11" t="n"/>
      <c r="J47" s="11" t="n"/>
      <c r="K47" s="11" t="n"/>
      <c r="L47" s="11" t="n"/>
      <c r="M47" s="11" t="n"/>
    </row>
    <row r="48">
      <c r="A48" t="inlineStr">
        <is>
          <t>Montée en charge : 1re année d'exploitation</t>
        </is>
      </c>
      <c r="B48" s="13" t="n">
        <v>0.6</v>
      </c>
      <c r="C48" t="inlineStr">
        <is>
          <t>%</t>
        </is>
      </c>
      <c r="D48" t="inlineStr">
        <is>
          <t>Domaine déjà exploité : montée en charge plus rapide (ESTIMATION)</t>
        </is>
      </c>
    </row>
    <row r="49">
      <c r="A49" t="inlineStr">
        <is>
          <t>Montée en charge : 2e année</t>
        </is>
      </c>
      <c r="B49" s="13" t="n">
        <v>0.8</v>
      </c>
      <c r="C49" t="inlineStr">
        <is>
          <t>%</t>
        </is>
      </c>
      <c r="D49" t="inlineStr">
        <is>
          <t>ESTIMATION</t>
        </is>
      </c>
    </row>
    <row r="50">
      <c r="A50" t="inlineStr">
        <is>
          <t>Montée en charge : 3e année</t>
        </is>
      </c>
      <c r="B50" s="13" t="n">
        <v>0.9</v>
      </c>
      <c r="C50" t="inlineStr">
        <is>
          <t>%</t>
        </is>
      </c>
      <c r="D50" t="inlineStr">
        <is>
          <t>ESTIMATION</t>
        </is>
      </c>
    </row>
    <row r="51">
      <c r="A51" t="inlineStr">
        <is>
          <t>Indexation annuelle des prix</t>
        </is>
      </c>
      <c r="B51" s="13" t="n">
        <v>0.02</v>
      </c>
      <c r="C51" t="inlineStr">
        <is>
          <t>%</t>
        </is>
      </c>
      <c r="D51" t="inlineStr">
        <is>
          <t>ESTIMATION</t>
        </is>
      </c>
    </row>
    <row r="52">
      <c r="A52" t="inlineStr">
        <is>
          <t>Inflation annuelle des charges</t>
        </is>
      </c>
      <c r="B52" s="13" t="n">
        <v>0.025</v>
      </c>
      <c r="C52" t="inlineStr">
        <is>
          <t>%</t>
        </is>
      </c>
      <c r="D52" t="inlineStr">
        <is>
          <t>ESTIMATION</t>
        </is>
      </c>
    </row>
    <row r="53">
      <c r="A53" t="inlineStr">
        <is>
          <t>BFR en % du CA (négatif = acomptes clients)</t>
        </is>
      </c>
      <c r="B53" s="13" t="n">
        <v>-0.03</v>
      </c>
      <c r="C53" t="inlineStr">
        <is>
          <t>%</t>
        </is>
      </c>
      <c r="D53" t="inlineStr">
        <is>
          <t>Acomptes mariages/pensions payées d'avance — ESTIMATION</t>
        </is>
      </c>
    </row>
    <row r="54">
      <c r="A54" t="inlineStr">
        <is>
          <t>Taux d'IS (simplifié, taux normal)</t>
        </is>
      </c>
      <c r="B54" s="13" t="n">
        <v>0.25</v>
      </c>
      <c r="C54" t="inlineStr">
        <is>
          <t>%</t>
        </is>
      </c>
      <c r="D54" t="inlineStr">
        <is>
          <t>Taux normal — agent 6</t>
        </is>
      </c>
    </row>
    <row r="56">
      <c r="A56" s="10" t="inlineStr">
        <is>
          <t>5. Lignes de revenus (à maturité, euros de l'année d'ouverture)</t>
        </is>
      </c>
      <c r="B56" s="11" t="n"/>
      <c r="C56" s="11" t="n"/>
      <c r="D56" s="11" t="n"/>
      <c r="E56" s="11" t="n"/>
      <c r="F56" s="11" t="n"/>
      <c r="G56" s="11" t="n"/>
      <c r="H56" s="11" t="n"/>
      <c r="I56" s="11" t="n"/>
      <c r="J56" s="11" t="n"/>
      <c r="K56" s="11" t="n"/>
      <c r="L56" s="11" t="n"/>
      <c r="M56" s="11" t="n"/>
    </row>
    <row r="57">
      <c r="A57" s="4" t="inlineStr">
        <is>
          <t>Libellé</t>
        </is>
      </c>
      <c r="B57" s="4" t="inlineStr">
        <is>
          <t>Volume</t>
        </is>
      </c>
      <c r="C57" s="4" t="inlineStr">
        <is>
          <t>Prix unitaire</t>
        </is>
      </c>
      <c r="D57" s="4" t="inlineStr">
        <is>
          <t>Coût var. %</t>
        </is>
      </c>
      <c r="E57" s="4" t="inlineStr">
        <is>
          <t>Événement ?</t>
        </is>
      </c>
      <c r="F57" s="4" t="inlineStr">
        <is>
          <t>Équestre ?</t>
        </is>
      </c>
      <c r="G57" s="4" t="inlineStr">
        <is>
          <t>Unité / source</t>
        </is>
      </c>
    </row>
    <row r="58">
      <c r="A58" t="inlineStr">
        <is>
          <t>Pension box premium</t>
        </is>
      </c>
      <c r="B58" s="14" t="n">
        <v>18</v>
      </c>
      <c r="C58" s="12" t="n">
        <v>6600</v>
      </c>
      <c r="D58" s="13" t="n">
        <v>0.27</v>
      </c>
      <c r="E58" s="15" t="n">
        <v>0</v>
      </c>
      <c r="F58" s="15" t="n">
        <v>1</v>
      </c>
      <c r="G58" t="inlineStr">
        <is>
          <t>20 boxes × 90 % ; 550 €/mois [A3, fourchette 430-700 € sourcée] ; coût direct 150 €/mois ESTIMATION</t>
        </is>
      </c>
    </row>
    <row r="59">
      <c r="A59" t="inlineStr">
        <is>
          <t>Pension au pré / retraite</t>
        </is>
      </c>
      <c r="B59" s="14" t="n">
        <v>27</v>
      </c>
      <c r="C59" s="12" t="n">
        <v>3360</v>
      </c>
      <c r="D59" s="13" t="n">
        <v>0.29</v>
      </c>
      <c r="E59" s="15" t="n">
        <v>0</v>
      </c>
      <c r="F59" s="15" t="n">
        <v>1</v>
      </c>
      <c r="G59" t="inlineStr">
        <is>
          <t>30 places × 90 % ; 280 €/mois (fourchette 120-400 €, source faible) ; coût 80 €/mois ESTIMATION</t>
        </is>
      </c>
    </row>
    <row r="60">
      <c r="A60" t="inlineStr">
        <is>
          <t>Ventes privées / showcases B2B (location + service)</t>
        </is>
      </c>
      <c r="B60" s="14" t="n">
        <v>4</v>
      </c>
      <c r="C60" s="12" t="n">
        <v>5000</v>
      </c>
      <c r="D60" s="13" t="n">
        <v>0.3</v>
      </c>
      <c r="E60" s="15" t="n">
        <v>1</v>
      </c>
      <c r="F60" s="15" t="n">
        <v>1</v>
      </c>
      <c r="G60" t="inlineStr">
        <is>
          <t>ESTIMATION — aucune preuve de demande pour un lieu privé (agent 3)</t>
        </is>
      </c>
    </row>
    <row r="61">
      <c r="A61" t="inlineStr">
        <is>
          <t>Mariages (location du lieu) — limités pendant la location</t>
        </is>
      </c>
      <c r="B61" s="14" t="n">
        <v>10</v>
      </c>
      <c r="C61" s="12" t="n">
        <v>5500</v>
      </c>
      <c r="D61" s="13" t="n">
        <v>0.33</v>
      </c>
      <c r="E61" s="15" t="n">
        <v>1</v>
      </c>
      <c r="F61" s="15" t="n">
        <v>0</v>
      </c>
      <c r="G61" t="inlineStr">
        <is>
          <t>Volume réduit (salle ERP non construite) — ESTIMATION</t>
        </is>
      </c>
    </row>
    <row r="62">
      <c r="A62" t="inlineStr">
        <is>
          <t>Journées d'étude / CODIR (sans nuitée)</t>
        </is>
      </c>
      <c r="B62" s="14" t="n">
        <v>6</v>
      </c>
      <c r="C62" s="12" t="n">
        <v>2500</v>
      </c>
      <c r="D62" s="13" t="n">
        <v>0.3</v>
      </c>
      <c r="E62" s="15" t="n">
        <v>1</v>
      </c>
      <c r="F62" s="15" t="n">
        <v>0</v>
      </c>
      <c r="G62" t="inlineStr">
        <is>
          <t>ESTIMATION</t>
        </is>
      </c>
    </row>
    <row r="63">
      <c r="A63" t="inlineStr">
        <is>
          <t>Gîte de prestige (semaines louées)</t>
        </is>
      </c>
      <c r="B63" s="14" t="n">
        <v>20</v>
      </c>
      <c r="C63" s="12" t="n">
        <v>1000</v>
      </c>
      <c r="D63" s="13" t="n">
        <v>0.42</v>
      </c>
      <c r="E63" s="15" t="n">
        <v>0</v>
      </c>
      <c r="F63" s="15" t="n">
        <v>0</v>
      </c>
      <c r="G63" t="inlineStr">
        <is>
          <t>1 gîte ; 16,9 sem./an observé Gîtes de France [A4-37] ; prix ESTIMATION</t>
        </is>
      </c>
    </row>
    <row r="64">
      <c r="A64" t="inlineStr">
        <is>
          <t>Tournages / shootings (jours)</t>
        </is>
      </c>
      <c r="B64" s="14" t="n">
        <v>4</v>
      </c>
      <c r="C64" s="12" t="n">
        <v>2000</v>
      </c>
      <c r="D64" s="13" t="n">
        <v>0.15</v>
      </c>
      <c r="E64" s="15" t="n">
        <v>1</v>
      </c>
      <c r="F64" s="15" t="n">
        <v>0</v>
      </c>
      <c r="G64" t="inlineStr">
        <is>
          <t>≈2 000 €/j [A4-44] ; fréquence INCONNUE</t>
        </is>
      </c>
    </row>
    <row r="65">
      <c r="A65" t="inlineStr">
        <is>
          <t>Valorisation des terres non pâturées (ha)</t>
        </is>
      </c>
      <c r="B65" s="14" t="n">
        <v>15</v>
      </c>
      <c r="C65" s="12" t="n">
        <v>150</v>
      </c>
      <c r="D65" s="13" t="n">
        <v>0.1</v>
      </c>
      <c r="E65" s="15" t="n">
        <v>0</v>
      </c>
      <c r="F65" s="15" t="n">
        <v>0</v>
      </c>
      <c r="G65" t="inlineStr">
        <is>
          <t>NON VÉRIFIÉ (agent 4)</t>
        </is>
      </c>
    </row>
    <row r="66">
      <c r="A66" t="inlineStr">
        <is>
          <t>Loyer de la partie privée payé par le fondateur</t>
        </is>
      </c>
      <c r="B66" s="14" t="n">
        <v>1</v>
      </c>
      <c r="C66" s="12" t="n">
        <v>24000</v>
      </c>
      <c r="D66" s="13" t="n">
        <v>0</v>
      </c>
      <c r="E66" s="15" t="n">
        <v>0</v>
      </c>
      <c r="F66" s="15" t="n">
        <v>0</v>
      </c>
      <c r="G66" t="inlineStr">
        <is>
          <t>Loyer de marché exigé (risque ABS sinon — agent 6) ; montant ESTIMATION, à payer sur revenus personnels</t>
        </is>
      </c>
    </row>
    <row r="68">
      <c r="A68" s="10" t="inlineStr">
        <is>
          <t>6. Charges fixes annuelles (euros de l'année d'ouverture)</t>
        </is>
      </c>
      <c r="B68" s="11" t="n"/>
      <c r="C68" s="11" t="n"/>
      <c r="D68" s="11" t="n"/>
      <c r="E68" s="11" t="n"/>
      <c r="F68" s="11" t="n"/>
      <c r="G68" s="11" t="n"/>
      <c r="H68" s="11" t="n"/>
      <c r="I68" s="11" t="n"/>
      <c r="J68" s="11" t="n"/>
      <c r="K68" s="11" t="n"/>
      <c r="L68" s="11" t="n"/>
      <c r="M68" s="11" t="n"/>
    </row>
    <row r="69">
      <c r="A69" s="4" t="inlineStr">
        <is>
          <t>Libellé</t>
        </is>
      </c>
      <c r="B69" s="4" t="inlineStr">
        <is>
          <t>Montant/an</t>
        </is>
      </c>
      <c r="C69" s="4" t="inlineStr">
        <is>
          <t>Dès l'acq. (1) / dès l'ouverture (0)</t>
        </is>
      </c>
      <c r="G69" s="4" t="inlineStr">
        <is>
          <t>Source / statut</t>
        </is>
      </c>
    </row>
    <row r="70">
      <c r="A70" t="inlineStr">
        <is>
          <t>Énergie (chauffage partiel, électricité)</t>
        </is>
      </c>
      <c r="B70" s="12" t="n">
        <v>30000</v>
      </c>
      <c r="C70" s="15" t="n">
        <v>0</v>
      </c>
      <c r="G70" t="inlineStr">
        <is>
          <t>ESTIMATION 15-40 k€ (agent 4)</t>
        </is>
      </c>
    </row>
    <row r="71">
      <c r="A71" t="inlineStr">
        <is>
          <t>Assurances bâtiment + RC activités</t>
        </is>
      </c>
      <c r="B71" s="12" t="n">
        <v>15000</v>
      </c>
      <c r="C71" s="15" t="n">
        <v>1</v>
      </c>
      <c r="G71" t="inlineStr">
        <is>
          <t>ESTIMATION 5-15 k€ + RC ; devis à obtenir</t>
        </is>
      </c>
    </row>
    <row r="72">
      <c r="A72" t="inlineStr">
        <is>
          <t>Taxe foncière</t>
        </is>
      </c>
      <c r="B72" s="12" t="n">
        <v>15000</v>
      </c>
      <c r="C72" s="15" t="n">
        <v>1</v>
      </c>
      <c r="G72" t="inlineStr">
        <is>
          <t>INCONNU — demander l'avis d'imposition du vendeur</t>
        </is>
      </c>
    </row>
    <row r="73">
      <c r="A73" t="inlineStr">
        <is>
          <t>Jardinier mi-temps / prestataire</t>
        </is>
      </c>
      <c r="B73" s="12" t="n">
        <v>20000</v>
      </c>
      <c r="C73" s="15" t="n">
        <v>0</v>
      </c>
      <c r="G73" t="inlineStr">
        <is>
          <t>Variante frugale — ESTIMATION</t>
        </is>
      </c>
    </row>
    <row r="74">
      <c r="A74" t="inlineStr">
        <is>
          <t>Parc, haies, clôtures, petit entretien</t>
        </is>
      </c>
      <c r="B74" s="12" t="n">
        <v>15000</v>
      </c>
      <c r="C74" s="15" t="n">
        <v>0</v>
      </c>
      <c r="G74" t="inlineStr">
        <is>
          <t>ESTIMATION</t>
        </is>
      </c>
    </row>
    <row r="75">
      <c r="A75" t="inlineStr">
        <is>
          <t>Soigneurs (1,5 ETP chargés)</t>
        </is>
      </c>
      <c r="B75" s="12" t="n">
        <v>37500</v>
      </c>
      <c r="C75" s="15" t="n">
        <v>0</v>
      </c>
      <c r="G75" t="inlineStr">
        <is>
          <t>Variante frugale — fondateur à l'écurie</t>
        </is>
      </c>
    </row>
    <row r="76">
      <c r="A76" t="inlineStr">
        <is>
          <t>Commercial, marketing, site, salons</t>
        </is>
      </c>
      <c r="B76" s="12" t="n">
        <v>15000</v>
      </c>
      <c r="C76" s="15" t="n">
        <v>0</v>
      </c>
      <c r="G76" t="inlineStr">
        <is>
          <t>ESTIMATION</t>
        </is>
      </c>
    </row>
    <row r="77">
      <c r="A77" t="inlineStr">
        <is>
          <t>Comptabilité, juridique, banque, logiciels</t>
        </is>
      </c>
      <c r="B77" s="12" t="n">
        <v>15000</v>
      </c>
      <c r="C77" s="15" t="n">
        <v>0</v>
      </c>
      <c r="G77" t="inlineStr">
        <is>
          <t>ESTIMATION</t>
        </is>
      </c>
    </row>
    <row r="78">
      <c r="A78" t="inlineStr">
        <is>
          <t>Entretien installations équestres, matériel, véhicules</t>
        </is>
      </c>
      <c r="B78" s="12" t="n">
        <v>12000</v>
      </c>
      <c r="C78" s="15" t="n">
        <v>0</v>
      </c>
      <c r="G78" t="inlineStr">
        <is>
          <t>ESTIMATION</t>
        </is>
      </c>
    </row>
    <row r="80">
      <c r="A80" s="10" t="inlineStr">
        <is>
          <t>7. Calcul sur 10 ans</t>
        </is>
      </c>
      <c r="B80" s="11" t="n"/>
      <c r="C80" s="11" t="n"/>
      <c r="D80" s="11" t="n"/>
      <c r="E80" s="11" t="n"/>
      <c r="F80" s="11" t="n"/>
      <c r="G80" s="11" t="n"/>
      <c r="H80" s="11" t="n"/>
      <c r="I80" s="11" t="n"/>
      <c r="J80" s="11" t="n"/>
      <c r="K80" s="11" t="n"/>
      <c r="L80" s="11" t="n"/>
      <c r="M80" s="11" t="n"/>
    </row>
    <row r="81">
      <c r="A81" s="4" t="inlineStr">
        <is>
          <t>Année</t>
        </is>
      </c>
      <c r="B81" s="4" t="inlineStr">
        <is>
          <t>Total / réf.</t>
        </is>
      </c>
      <c r="C81" s="4" t="n">
        <v>1</v>
      </c>
      <c r="D81" s="4" t="n">
        <v>2</v>
      </c>
      <c r="E81" s="4" t="n">
        <v>3</v>
      </c>
      <c r="F81" s="4" t="n">
        <v>4</v>
      </c>
      <c r="G81" s="4" t="n">
        <v>5</v>
      </c>
      <c r="H81" s="4" t="n">
        <v>6</v>
      </c>
      <c r="I81" s="4" t="n">
        <v>7</v>
      </c>
      <c r="J81" s="4" t="n">
        <v>8</v>
      </c>
      <c r="K81" s="4" t="n">
        <v>9</v>
      </c>
      <c r="L81" s="4" t="n">
        <v>10</v>
      </c>
    </row>
    <row r="82">
      <c r="A82" t="inlineStr">
        <is>
          <t>Année d'ouverture effective</t>
        </is>
      </c>
      <c r="C82" s="8">
        <f>$B$6+$B$42</f>
        <v/>
      </c>
      <c r="D82" s="8">
        <f>$B$6+$B$42</f>
        <v/>
      </c>
      <c r="E82" s="8">
        <f>$B$6+$B$42</f>
        <v/>
      </c>
      <c r="F82" s="8">
        <f>$B$6+$B$42</f>
        <v/>
      </c>
      <c r="G82" s="8">
        <f>$B$6+$B$42</f>
        <v/>
      </c>
      <c r="H82" s="8">
        <f>$B$6+$B$42</f>
        <v/>
      </c>
      <c r="I82" s="8">
        <f>$B$6+$B$42</f>
        <v/>
      </c>
      <c r="J82" s="8">
        <f>$B$6+$B$42</f>
        <v/>
      </c>
      <c r="K82" s="8">
        <f>$B$6+$B$42</f>
        <v/>
      </c>
      <c r="L82" s="8">
        <f>$B$6+$B$42</f>
        <v/>
      </c>
    </row>
    <row r="83">
      <c r="A83" t="inlineStr">
        <is>
          <t>Rang de l'année d'exploitation</t>
        </is>
      </c>
      <c r="C83" s="8">
        <f>MAX(0,C$81-C82+1)</f>
        <v/>
      </c>
      <c r="D83" s="8">
        <f>MAX(0,D$81-D82+1)</f>
        <v/>
      </c>
      <c r="E83" s="8">
        <f>MAX(0,E$81-E82+1)</f>
        <v/>
      </c>
      <c r="F83" s="8">
        <f>MAX(0,F$81-F82+1)</f>
        <v/>
      </c>
      <c r="G83" s="8">
        <f>MAX(0,G$81-G82+1)</f>
        <v/>
      </c>
      <c r="H83" s="8">
        <f>MAX(0,H$81-H82+1)</f>
        <v/>
      </c>
      <c r="I83" s="8">
        <f>MAX(0,I$81-I82+1)</f>
        <v/>
      </c>
      <c r="J83" s="8">
        <f>MAX(0,J$81-J82+1)</f>
        <v/>
      </c>
      <c r="K83" s="8">
        <f>MAX(0,K$81-K82+1)</f>
        <v/>
      </c>
      <c r="L83" s="8">
        <f>MAX(0,L$81-L82+1)</f>
        <v/>
      </c>
    </row>
    <row r="84">
      <c r="A84" t="inlineStr">
        <is>
          <t>Coefficient de montée en charge</t>
        </is>
      </c>
      <c r="C84" s="6">
        <f>IF(C83=0,0,IF(C83=1,$B$48,IF(C83=2,$B$49,IF(C83=3,$B$50,1))))</f>
        <v/>
      </c>
      <c r="D84" s="6">
        <f>IF(D83=0,0,IF(D83=1,$B$48,IF(D83=2,$B$49,IF(D83=3,$B$50,1))))</f>
        <v/>
      </c>
      <c r="E84" s="6">
        <f>IF(E83=0,0,IF(E83=1,$B$48,IF(E83=2,$B$49,IF(E83=3,$B$50,1))))</f>
        <v/>
      </c>
      <c r="F84" s="6">
        <f>IF(F83=0,0,IF(F83=1,$B$48,IF(F83=2,$B$49,IF(F83=3,$B$50,1))))</f>
        <v/>
      </c>
      <c r="G84" s="6">
        <f>IF(G83=0,0,IF(G83=1,$B$48,IF(G83=2,$B$49,IF(G83=3,$B$50,1))))</f>
        <v/>
      </c>
      <c r="H84" s="6">
        <f>IF(H83=0,0,IF(H83=1,$B$48,IF(H83=2,$B$49,IF(H83=3,$B$50,1))))</f>
        <v/>
      </c>
      <c r="I84" s="6">
        <f>IF(I83=0,0,IF(I83=1,$B$48,IF(I83=2,$B$49,IF(I83=3,$B$50,1))))</f>
        <v/>
      </c>
      <c r="J84" s="6">
        <f>IF(J83=0,0,IF(J83=1,$B$48,IF(J83=2,$B$49,IF(J83=3,$B$50,1))))</f>
        <v/>
      </c>
      <c r="K84" s="6">
        <f>IF(K83=0,0,IF(K83=1,$B$48,IF(K83=2,$B$49,IF(K83=3,$B$50,1))))</f>
        <v/>
      </c>
      <c r="L84" s="6">
        <f>IF(L83=0,0,IF(L83=1,$B$48,IF(L83=2,$B$49,IF(L83=3,$B$50,1))))</f>
        <v/>
      </c>
    </row>
    <row r="85">
      <c r="A85" t="inlineStr">
        <is>
          <t>Indice prix</t>
        </is>
      </c>
      <c r="C85" s="16">
        <f>(1+$B$51)^(C$81-1)</f>
        <v/>
      </c>
      <c r="D85" s="16">
        <f>(1+$B$51)^(D$81-1)</f>
        <v/>
      </c>
      <c r="E85" s="16">
        <f>(1+$B$51)^(E$81-1)</f>
        <v/>
      </c>
      <c r="F85" s="16">
        <f>(1+$B$51)^(F$81-1)</f>
        <v/>
      </c>
      <c r="G85" s="16">
        <f>(1+$B$51)^(G$81-1)</f>
        <v/>
      </c>
      <c r="H85" s="16">
        <f>(1+$B$51)^(H$81-1)</f>
        <v/>
      </c>
      <c r="I85" s="16">
        <f>(1+$B$51)^(I$81-1)</f>
        <v/>
      </c>
      <c r="J85" s="16">
        <f>(1+$B$51)^(J$81-1)</f>
        <v/>
      </c>
      <c r="K85" s="16">
        <f>(1+$B$51)^(K$81-1)</f>
        <v/>
      </c>
      <c r="L85" s="16">
        <f>(1+$B$51)^(L$81-1)</f>
        <v/>
      </c>
    </row>
    <row r="86">
      <c r="A86" t="inlineStr">
        <is>
          <t>Indice charges</t>
        </is>
      </c>
      <c r="C86" s="16">
        <f>(1+$B$52)^(C$81-1)</f>
        <v/>
      </c>
      <c r="D86" s="16">
        <f>(1+$B$52)^(D$81-1)</f>
        <v/>
      </c>
      <c r="E86" s="16">
        <f>(1+$B$52)^(E$81-1)</f>
        <v/>
      </c>
      <c r="F86" s="16">
        <f>(1+$B$52)^(F$81-1)</f>
        <v/>
      </c>
      <c r="G86" s="16">
        <f>(1+$B$52)^(G$81-1)</f>
        <v/>
      </c>
      <c r="H86" s="16">
        <f>(1+$B$52)^(H$81-1)</f>
        <v/>
      </c>
      <c r="I86" s="16">
        <f>(1+$B$52)^(I$81-1)</f>
        <v/>
      </c>
      <c r="J86" s="16">
        <f>(1+$B$52)^(J$81-1)</f>
        <v/>
      </c>
      <c r="K86" s="16">
        <f>(1+$B$52)^(K$81-1)</f>
        <v/>
      </c>
      <c r="L86" s="16">
        <f>(1+$B$52)^(L$81-1)</f>
        <v/>
      </c>
    </row>
    <row r="87">
      <c r="A87" t="inlineStr">
        <is>
          <t>Murs détenus (1/0)</t>
        </is>
      </c>
      <c r="C87" s="8">
        <f>IF(C$81&gt;=$B$5,1,0)</f>
        <v/>
      </c>
      <c r="D87" s="8">
        <f>IF(D$81&gt;=$B$5,1,0)</f>
        <v/>
      </c>
      <c r="E87" s="8">
        <f>IF(E$81&gt;=$B$5,1,0)</f>
        <v/>
      </c>
      <c r="F87" s="8">
        <f>IF(F$81&gt;=$B$5,1,0)</f>
        <v/>
      </c>
      <c r="G87" s="8">
        <f>IF(G$81&gt;=$B$5,1,0)</f>
        <v/>
      </c>
      <c r="H87" s="8">
        <f>IF(H$81&gt;=$B$5,1,0)</f>
        <v/>
      </c>
      <c r="I87" s="8">
        <f>IF(I$81&gt;=$B$5,1,0)</f>
        <v/>
      </c>
      <c r="J87" s="8">
        <f>IF(J$81&gt;=$B$5,1,0)</f>
        <v/>
      </c>
      <c r="K87" s="8">
        <f>IF(K$81&gt;=$B$5,1,0)</f>
        <v/>
      </c>
      <c r="L87" s="8">
        <f>IF(L$81&gt;=$B$5,1,0)</f>
        <v/>
      </c>
    </row>
    <row r="89">
      <c r="A89" s="4" t="inlineStr">
        <is>
          <t>Compte de résultat</t>
        </is>
      </c>
    </row>
    <row r="90">
      <c r="A90" t="inlineStr">
        <is>
          <t xml:space="preserve">  Pension box premium</t>
        </is>
      </c>
      <c r="B90" s="5">
        <f>SUM(C90:L90)</f>
        <v/>
      </c>
      <c r="C90" s="5">
        <f>$B$58*$C$58*C84*C85*$B$40*(1-$E$58*$B$45)</f>
        <v/>
      </c>
      <c r="D90" s="5">
        <f>$B$58*$C$58*D84*D85*$B$40*(1-$E$58*$B$45)</f>
        <v/>
      </c>
      <c r="E90" s="5">
        <f>$B$58*$C$58*E84*E85*$B$40*(1-$E$58*$B$45)</f>
        <v/>
      </c>
      <c r="F90" s="5">
        <f>$B$58*$C$58*F84*F85*$B$40*(1-$E$58*$B$45)</f>
        <v/>
      </c>
      <c r="G90" s="5">
        <f>$B$58*$C$58*G84*G85*$B$40*(1-$E$58*$B$45)</f>
        <v/>
      </c>
      <c r="H90" s="5">
        <f>$B$58*$C$58*H84*H85*$B$40*(1-$E$58*$B$45)</f>
        <v/>
      </c>
      <c r="I90" s="5">
        <f>$B$58*$C$58*I84*I85*$B$40*(1-$E$58*$B$45)</f>
        <v/>
      </c>
      <c r="J90" s="5">
        <f>$B$58*$C$58*J84*J85*$B$40*(1-$E$58*$B$45)</f>
        <v/>
      </c>
      <c r="K90" s="5">
        <f>$B$58*$C$58*K84*K85*$B$40*(1-$E$58*$B$45)</f>
        <v/>
      </c>
      <c r="L90" s="5">
        <f>$B$58*$C$58*L84*L85*$B$40*(1-$E$58*$B$45)</f>
        <v/>
      </c>
    </row>
    <row r="91">
      <c r="A91" t="inlineStr">
        <is>
          <t xml:space="preserve">  Pension au pré / retraite</t>
        </is>
      </c>
      <c r="B91" s="5">
        <f>SUM(C91:L91)</f>
        <v/>
      </c>
      <c r="C91" s="5">
        <f>$B$59*$C$59*C84*C85*$B$40*(1-$E$59*$B$45)</f>
        <v/>
      </c>
      <c r="D91" s="5">
        <f>$B$59*$C$59*D84*D85*$B$40*(1-$E$59*$B$45)</f>
        <v/>
      </c>
      <c r="E91" s="5">
        <f>$B$59*$C$59*E84*E85*$B$40*(1-$E$59*$B$45)</f>
        <v/>
      </c>
      <c r="F91" s="5">
        <f>$B$59*$C$59*F84*F85*$B$40*(1-$E$59*$B$45)</f>
        <v/>
      </c>
      <c r="G91" s="5">
        <f>$B$59*$C$59*G84*G85*$B$40*(1-$E$59*$B$45)</f>
        <v/>
      </c>
      <c r="H91" s="5">
        <f>$B$59*$C$59*H84*H85*$B$40*(1-$E$59*$B$45)</f>
        <v/>
      </c>
      <c r="I91" s="5">
        <f>$B$59*$C$59*I84*I85*$B$40*(1-$E$59*$B$45)</f>
        <v/>
      </c>
      <c r="J91" s="5">
        <f>$B$59*$C$59*J84*J85*$B$40*(1-$E$59*$B$45)</f>
        <v/>
      </c>
      <c r="K91" s="5">
        <f>$B$59*$C$59*K84*K85*$B$40*(1-$E$59*$B$45)</f>
        <v/>
      </c>
      <c r="L91" s="5">
        <f>$B$59*$C$59*L84*L85*$B$40*(1-$E$59*$B$45)</f>
        <v/>
      </c>
    </row>
    <row r="92">
      <c r="A92" t="inlineStr">
        <is>
          <t xml:space="preserve">  Ventes privées / showcases B2B (location + service)</t>
        </is>
      </c>
      <c r="B92" s="5">
        <f>SUM(C92:L92)</f>
        <v/>
      </c>
      <c r="C92" s="5">
        <f>$B$60*$C$60*C84*C85*$B$40*(1-$E$60*$B$45)</f>
        <v/>
      </c>
      <c r="D92" s="5">
        <f>$B$60*$C$60*D84*D85*$B$40*(1-$E$60*$B$45)</f>
        <v/>
      </c>
      <c r="E92" s="5">
        <f>$B$60*$C$60*E84*E85*$B$40*(1-$E$60*$B$45)</f>
        <v/>
      </c>
      <c r="F92" s="5">
        <f>$B$60*$C$60*F84*F85*$B$40*(1-$E$60*$B$45)</f>
        <v/>
      </c>
      <c r="G92" s="5">
        <f>$B$60*$C$60*G84*G85*$B$40*(1-$E$60*$B$45)</f>
        <v/>
      </c>
      <c r="H92" s="5">
        <f>$B$60*$C$60*H84*H85*$B$40*(1-$E$60*$B$45)</f>
        <v/>
      </c>
      <c r="I92" s="5">
        <f>$B$60*$C$60*I84*I85*$B$40*(1-$E$60*$B$45)</f>
        <v/>
      </c>
      <c r="J92" s="5">
        <f>$B$60*$C$60*J84*J85*$B$40*(1-$E$60*$B$45)</f>
        <v/>
      </c>
      <c r="K92" s="5">
        <f>$B$60*$C$60*K84*K85*$B$40*(1-$E$60*$B$45)</f>
        <v/>
      </c>
      <c r="L92" s="5">
        <f>$B$60*$C$60*L84*L85*$B$40*(1-$E$60*$B$45)</f>
        <v/>
      </c>
    </row>
    <row r="93">
      <c r="A93" t="inlineStr">
        <is>
          <t xml:space="preserve">  Mariages (location du lieu) — limités pendant la location</t>
        </is>
      </c>
      <c r="B93" s="5">
        <f>SUM(C93:L93)</f>
        <v/>
      </c>
      <c r="C93" s="5">
        <f>$B$61*$C$61*C84*C85*$B$40*(1-$E$61*$B$45)</f>
        <v/>
      </c>
      <c r="D93" s="5">
        <f>$B$61*$C$61*D84*D85*$B$40*(1-$E$61*$B$45)</f>
        <v/>
      </c>
      <c r="E93" s="5">
        <f>$B$61*$C$61*E84*E85*$B$40*(1-$E$61*$B$45)</f>
        <v/>
      </c>
      <c r="F93" s="5">
        <f>$B$61*$C$61*F84*F85*$B$40*(1-$E$61*$B$45)</f>
        <v/>
      </c>
      <c r="G93" s="5">
        <f>$B$61*$C$61*G84*G85*$B$40*(1-$E$61*$B$45)</f>
        <v/>
      </c>
      <c r="H93" s="5">
        <f>$B$61*$C$61*H84*H85*$B$40*(1-$E$61*$B$45)</f>
        <v/>
      </c>
      <c r="I93" s="5">
        <f>$B$61*$C$61*I84*I85*$B$40*(1-$E$61*$B$45)</f>
        <v/>
      </c>
      <c r="J93" s="5">
        <f>$B$61*$C$61*J84*J85*$B$40*(1-$E$61*$B$45)</f>
        <v/>
      </c>
      <c r="K93" s="5">
        <f>$B$61*$C$61*K84*K85*$B$40*(1-$E$61*$B$45)</f>
        <v/>
      </c>
      <c r="L93" s="5">
        <f>$B$61*$C$61*L84*L85*$B$40*(1-$E$61*$B$45)</f>
        <v/>
      </c>
    </row>
    <row r="94">
      <c r="A94" t="inlineStr">
        <is>
          <t xml:space="preserve">  Journées d'étude / CODIR (sans nuitée)</t>
        </is>
      </c>
      <c r="B94" s="5">
        <f>SUM(C94:L94)</f>
        <v/>
      </c>
      <c r="C94" s="5">
        <f>$B$62*$C$62*C84*C85*$B$40*(1-$E$62*$B$45)</f>
        <v/>
      </c>
      <c r="D94" s="5">
        <f>$B$62*$C$62*D84*D85*$B$40*(1-$E$62*$B$45)</f>
        <v/>
      </c>
      <c r="E94" s="5">
        <f>$B$62*$C$62*E84*E85*$B$40*(1-$E$62*$B$45)</f>
        <v/>
      </c>
      <c r="F94" s="5">
        <f>$B$62*$C$62*F84*F85*$B$40*(1-$E$62*$B$45)</f>
        <v/>
      </c>
      <c r="G94" s="5">
        <f>$B$62*$C$62*G84*G85*$B$40*(1-$E$62*$B$45)</f>
        <v/>
      </c>
      <c r="H94" s="5">
        <f>$B$62*$C$62*H84*H85*$B$40*(1-$E$62*$B$45)</f>
        <v/>
      </c>
      <c r="I94" s="5">
        <f>$B$62*$C$62*I84*I85*$B$40*(1-$E$62*$B$45)</f>
        <v/>
      </c>
      <c r="J94" s="5">
        <f>$B$62*$C$62*J84*J85*$B$40*(1-$E$62*$B$45)</f>
        <v/>
      </c>
      <c r="K94" s="5">
        <f>$B$62*$C$62*K84*K85*$B$40*(1-$E$62*$B$45)</f>
        <v/>
      </c>
      <c r="L94" s="5">
        <f>$B$62*$C$62*L84*L85*$B$40*(1-$E$62*$B$45)</f>
        <v/>
      </c>
    </row>
    <row r="95">
      <c r="A95" t="inlineStr">
        <is>
          <t xml:space="preserve">  Gîte de prestige (semaines louées)</t>
        </is>
      </c>
      <c r="B95" s="5">
        <f>SUM(C95:L95)</f>
        <v/>
      </c>
      <c r="C95" s="5">
        <f>$B$63*$C$63*C84*C85*$B$40*(1-$E$63*$B$45)</f>
        <v/>
      </c>
      <c r="D95" s="5">
        <f>$B$63*$C$63*D84*D85*$B$40*(1-$E$63*$B$45)</f>
        <v/>
      </c>
      <c r="E95" s="5">
        <f>$B$63*$C$63*E84*E85*$B$40*(1-$E$63*$B$45)</f>
        <v/>
      </c>
      <c r="F95" s="5">
        <f>$B$63*$C$63*F84*F85*$B$40*(1-$E$63*$B$45)</f>
        <v/>
      </c>
      <c r="G95" s="5">
        <f>$B$63*$C$63*G84*G85*$B$40*(1-$E$63*$B$45)</f>
        <v/>
      </c>
      <c r="H95" s="5">
        <f>$B$63*$C$63*H84*H85*$B$40*(1-$E$63*$B$45)</f>
        <v/>
      </c>
      <c r="I95" s="5">
        <f>$B$63*$C$63*I84*I85*$B$40*(1-$E$63*$B$45)</f>
        <v/>
      </c>
      <c r="J95" s="5">
        <f>$B$63*$C$63*J84*J85*$B$40*(1-$E$63*$B$45)</f>
        <v/>
      </c>
      <c r="K95" s="5">
        <f>$B$63*$C$63*K84*K85*$B$40*(1-$E$63*$B$45)</f>
        <v/>
      </c>
      <c r="L95" s="5">
        <f>$B$63*$C$63*L84*L85*$B$40*(1-$E$63*$B$45)</f>
        <v/>
      </c>
    </row>
    <row r="96">
      <c r="A96" t="inlineStr">
        <is>
          <t xml:space="preserve">  Tournages / shootings (jours)</t>
        </is>
      </c>
      <c r="B96" s="5">
        <f>SUM(C96:L96)</f>
        <v/>
      </c>
      <c r="C96" s="5">
        <f>$B$64*$C$64*C84*C85*$B$40*(1-$E$64*$B$45)</f>
        <v/>
      </c>
      <c r="D96" s="5">
        <f>$B$64*$C$64*D84*D85*$B$40*(1-$E$64*$B$45)</f>
        <v/>
      </c>
      <c r="E96" s="5">
        <f>$B$64*$C$64*E84*E85*$B$40*(1-$E$64*$B$45)</f>
        <v/>
      </c>
      <c r="F96" s="5">
        <f>$B$64*$C$64*F84*F85*$B$40*(1-$E$64*$B$45)</f>
        <v/>
      </c>
      <c r="G96" s="5">
        <f>$B$64*$C$64*G84*G85*$B$40*(1-$E$64*$B$45)</f>
        <v/>
      </c>
      <c r="H96" s="5">
        <f>$B$64*$C$64*H84*H85*$B$40*(1-$E$64*$B$45)</f>
        <v/>
      </c>
      <c r="I96" s="5">
        <f>$B$64*$C$64*I84*I85*$B$40*(1-$E$64*$B$45)</f>
        <v/>
      </c>
      <c r="J96" s="5">
        <f>$B$64*$C$64*J84*J85*$B$40*(1-$E$64*$B$45)</f>
        <v/>
      </c>
      <c r="K96" s="5">
        <f>$B$64*$C$64*K84*K85*$B$40*(1-$E$64*$B$45)</f>
        <v/>
      </c>
      <c r="L96" s="5">
        <f>$B$64*$C$64*L84*L85*$B$40*(1-$E$64*$B$45)</f>
        <v/>
      </c>
    </row>
    <row r="97">
      <c r="A97" t="inlineStr">
        <is>
          <t xml:space="preserve">  Valorisation des terres non pâturées (ha)</t>
        </is>
      </c>
      <c r="B97" s="5">
        <f>SUM(C97:L97)</f>
        <v/>
      </c>
      <c r="C97" s="5">
        <f>$B$65*$C$65*C84*C85*$B$40*(1-$E$65*$B$45)</f>
        <v/>
      </c>
      <c r="D97" s="5">
        <f>$B$65*$C$65*D84*D85*$B$40*(1-$E$65*$B$45)</f>
        <v/>
      </c>
      <c r="E97" s="5">
        <f>$B$65*$C$65*E84*E85*$B$40*(1-$E$65*$B$45)</f>
        <v/>
      </c>
      <c r="F97" s="5">
        <f>$B$65*$C$65*F84*F85*$B$40*(1-$E$65*$B$45)</f>
        <v/>
      </c>
      <c r="G97" s="5">
        <f>$B$65*$C$65*G84*G85*$B$40*(1-$E$65*$B$45)</f>
        <v/>
      </c>
      <c r="H97" s="5">
        <f>$B$65*$C$65*H84*H85*$B$40*(1-$E$65*$B$45)</f>
        <v/>
      </c>
      <c r="I97" s="5">
        <f>$B$65*$C$65*I84*I85*$B$40*(1-$E$65*$B$45)</f>
        <v/>
      </c>
      <c r="J97" s="5">
        <f>$B$65*$C$65*J84*J85*$B$40*(1-$E$65*$B$45)</f>
        <v/>
      </c>
      <c r="K97" s="5">
        <f>$B$65*$C$65*K84*K85*$B$40*(1-$E$65*$B$45)</f>
        <v/>
      </c>
      <c r="L97" s="5">
        <f>$B$65*$C$65*L84*L85*$B$40*(1-$E$65*$B$45)</f>
        <v/>
      </c>
    </row>
    <row r="98">
      <c r="A98" t="inlineStr">
        <is>
          <t xml:space="preserve">  Loyer de la partie privée payé par le fondateur</t>
        </is>
      </c>
      <c r="B98" s="5">
        <f>SUM(C98:L98)</f>
        <v/>
      </c>
      <c r="C98" s="5">
        <f>$B$66*$C$66*C84*C85*$B$40*(1-$E$66*$B$45)</f>
        <v/>
      </c>
      <c r="D98" s="5">
        <f>$B$66*$C$66*D84*D85*$B$40*(1-$E$66*$B$45)</f>
        <v/>
      </c>
      <c r="E98" s="5">
        <f>$B$66*$C$66*E84*E85*$B$40*(1-$E$66*$B$45)</f>
        <v/>
      </c>
      <c r="F98" s="5">
        <f>$B$66*$C$66*F84*F85*$B$40*(1-$E$66*$B$45)</f>
        <v/>
      </c>
      <c r="G98" s="5">
        <f>$B$66*$C$66*G84*G85*$B$40*(1-$E$66*$B$45)</f>
        <v/>
      </c>
      <c r="H98" s="5">
        <f>$B$66*$C$66*H84*H85*$B$40*(1-$E$66*$B$45)</f>
        <v/>
      </c>
      <c r="I98" s="5">
        <f>$B$66*$C$66*I84*I85*$B$40*(1-$E$66*$B$45)</f>
        <v/>
      </c>
      <c r="J98" s="5">
        <f>$B$66*$C$66*J84*J85*$B$40*(1-$E$66*$B$45)</f>
        <v/>
      </c>
      <c r="K98" s="5">
        <f>$B$66*$C$66*K84*K85*$B$40*(1-$E$66*$B$45)</f>
        <v/>
      </c>
      <c r="L98" s="5">
        <f>$B$66*$C$66*L84*L85*$B$40*(1-$E$66*$B$45)</f>
        <v/>
      </c>
    </row>
    <row r="99">
      <c r="A99" s="4" t="inlineStr">
        <is>
          <t>Chiffre d'affaires total</t>
        </is>
      </c>
      <c r="B99" s="17">
        <f>SUM(C99:L99)</f>
        <v/>
      </c>
      <c r="C99" s="17">
        <f>C90+C91+C92+C93+C94+C95+C96+C97+C98</f>
        <v/>
      </c>
      <c r="D99" s="17">
        <f>D90+D91+D92+D93+D94+D95+D96+D97+D98</f>
        <v/>
      </c>
      <c r="E99" s="17">
        <f>E90+E91+E92+E93+E94+E95+E96+E97+E98</f>
        <v/>
      </c>
      <c r="F99" s="17">
        <f>F90+F91+F92+F93+F94+F95+F96+F97+F98</f>
        <v/>
      </c>
      <c r="G99" s="17">
        <f>G90+G91+G92+G93+G94+G95+G96+G97+G98</f>
        <v/>
      </c>
      <c r="H99" s="17">
        <f>H90+H91+H92+H93+H94+H95+H96+H97+H98</f>
        <v/>
      </c>
      <c r="I99" s="17">
        <f>I90+I91+I92+I93+I94+I95+I96+I97+I98</f>
        <v/>
      </c>
      <c r="J99" s="17">
        <f>J90+J91+J92+J93+J94+J95+J96+J97+J98</f>
        <v/>
      </c>
      <c r="K99" s="17">
        <f>K90+K91+K92+K93+K94+K95+K96+K97+K98</f>
        <v/>
      </c>
      <c r="L99" s="17">
        <f>L90+L91+L92+L93+L94+L95+L96+L97+L98</f>
        <v/>
      </c>
    </row>
    <row r="100">
      <c r="A100" t="inlineStr">
        <is>
          <t xml:space="preserve">  dont équestre</t>
        </is>
      </c>
      <c r="B100" s="5">
        <f>SUM(C100:L100)</f>
        <v/>
      </c>
      <c r="C100" s="5">
        <f>C90*$F$58+C91*$F$59+C92*$F$60+C93*$F$61+C94*$F$62+C95*$F$63+C96*$F$64+C97*$F$65+C98*$F$66</f>
        <v/>
      </c>
      <c r="D100" s="5">
        <f>D90*$F$58+D91*$F$59+D92*$F$60+D93*$F$61+D94*$F$62+D95*$F$63+D96*$F$64+D97*$F$65+D98*$F$66</f>
        <v/>
      </c>
      <c r="E100" s="5">
        <f>E90*$F$58+E91*$F$59+E92*$F$60+E93*$F$61+E94*$F$62+E95*$F$63+E96*$F$64+E97*$F$65+E98*$F$66</f>
        <v/>
      </c>
      <c r="F100" s="5">
        <f>F90*$F$58+F91*$F$59+F92*$F$60+F93*$F$61+F94*$F$62+F95*$F$63+F96*$F$64+F97*$F$65+F98*$F$66</f>
        <v/>
      </c>
      <c r="G100" s="5">
        <f>G90*$F$58+G91*$F$59+G92*$F$60+G93*$F$61+G94*$F$62+G95*$F$63+G96*$F$64+G97*$F$65+G98*$F$66</f>
        <v/>
      </c>
      <c r="H100" s="5">
        <f>H90*$F$58+H91*$F$59+H92*$F$60+H93*$F$61+H94*$F$62+H95*$F$63+H96*$F$64+H97*$F$65+H98*$F$66</f>
        <v/>
      </c>
      <c r="I100" s="5">
        <f>I90*$F$58+I91*$F$59+I92*$F$60+I93*$F$61+I94*$F$62+I95*$F$63+I96*$F$64+I97*$F$65+I98*$F$66</f>
        <v/>
      </c>
      <c r="J100" s="5">
        <f>J90*$F$58+J91*$F$59+J92*$F$60+J93*$F$61+J94*$F$62+J95*$F$63+J96*$F$64+J97*$F$65+J98*$F$66</f>
        <v/>
      </c>
      <c r="K100" s="5">
        <f>K90*$F$58+K91*$F$59+K92*$F$60+K93*$F$61+K94*$F$62+K95*$F$63+K96*$F$64+K97*$F$65+K98*$F$66</f>
        <v/>
      </c>
      <c r="L100" s="5">
        <f>L90*$F$58+L91*$F$59+L92*$F$60+L93*$F$61+L94*$F$62+L95*$F$63+L96*$F$64+L97*$F$65+L98*$F$66</f>
        <v/>
      </c>
    </row>
    <row r="101">
      <c r="A101" t="inlineStr">
        <is>
          <t xml:space="preserve">  Part équestre du CA</t>
        </is>
      </c>
      <c r="C101" s="6">
        <f>IF(C99=0,0,C100/C99)</f>
        <v/>
      </c>
      <c r="D101" s="6">
        <f>IF(D99=0,0,D100/D99)</f>
        <v/>
      </c>
      <c r="E101" s="6">
        <f>IF(E99=0,0,E100/E99)</f>
        <v/>
      </c>
      <c r="F101" s="6">
        <f>IF(F99=0,0,F100/F99)</f>
        <v/>
      </c>
      <c r="G101" s="6">
        <f>IF(G99=0,0,G100/G99)</f>
        <v/>
      </c>
      <c r="H101" s="6">
        <f>IF(H99=0,0,H100/H99)</f>
        <v/>
      </c>
      <c r="I101" s="6">
        <f>IF(I99=0,0,I100/I99)</f>
        <v/>
      </c>
      <c r="J101" s="6">
        <f>IF(J99=0,0,J100/J99)</f>
        <v/>
      </c>
      <c r="K101" s="6">
        <f>IF(K99=0,0,K100/K99)</f>
        <v/>
      </c>
      <c r="L101" s="6">
        <f>IF(L99=0,0,L100/L99)</f>
        <v/>
      </c>
    </row>
    <row r="102">
      <c r="A102" t="inlineStr">
        <is>
          <t>Coûts variables</t>
        </is>
      </c>
      <c r="B102" s="5">
        <f>SUM(C102:L102)</f>
        <v/>
      </c>
      <c r="C102" s="5">
        <f>-(C90*$D$58+C91*$D$59+C92*$D$60+C93*$D$61+C94*$D$62+C95*$D$63+C96*$D$64+C97*$D$65+C98*$D$66)</f>
        <v/>
      </c>
      <c r="D102" s="5">
        <f>-(D90*$D$58+D91*$D$59+D92*$D$60+D93*$D$61+D94*$D$62+D95*$D$63+D96*$D$64+D97*$D$65+D98*$D$66)</f>
        <v/>
      </c>
      <c r="E102" s="5">
        <f>-(E90*$D$58+E91*$D$59+E92*$D$60+E93*$D$61+E94*$D$62+E95*$D$63+E96*$D$64+E97*$D$65+E98*$D$66)</f>
        <v/>
      </c>
      <c r="F102" s="5">
        <f>-(F90*$D$58+F91*$D$59+F92*$D$60+F93*$D$61+F94*$D$62+F95*$D$63+F96*$D$64+F97*$D$65+F98*$D$66)</f>
        <v/>
      </c>
      <c r="G102" s="5">
        <f>-(G90*$D$58+G91*$D$59+G92*$D$60+G93*$D$61+G94*$D$62+G95*$D$63+G96*$D$64+G97*$D$65+G98*$D$66)</f>
        <v/>
      </c>
      <c r="H102" s="5">
        <f>-(H90*$D$58+H91*$D$59+H92*$D$60+H93*$D$61+H94*$D$62+H95*$D$63+H96*$D$64+H97*$D$65+H98*$D$66)</f>
        <v/>
      </c>
      <c r="I102" s="5">
        <f>-(I90*$D$58+I91*$D$59+I92*$D$60+I93*$D$61+I94*$D$62+I95*$D$63+I96*$D$64+I97*$D$65+I98*$D$66)</f>
        <v/>
      </c>
      <c r="J102" s="5">
        <f>-(J90*$D$58+J91*$D$59+J92*$D$60+J93*$D$61+J94*$D$62+J95*$D$63+J96*$D$64+J97*$D$65+J98*$D$66)</f>
        <v/>
      </c>
      <c r="K102" s="5">
        <f>-(K90*$D$58+K91*$D$59+K92*$D$60+K93*$D$61+K94*$D$62+K95*$D$63+K96*$D$64+K97*$D$65+K98*$D$66)</f>
        <v/>
      </c>
      <c r="L102" s="5">
        <f>-(L90*$D$58+L91*$D$59+L92*$D$60+L93*$D$61+L94*$D$62+L95*$D$63+L96*$D$64+L97*$D$65+L98*$D$66)</f>
        <v/>
      </c>
    </row>
    <row r="103">
      <c r="A103" s="4" t="inlineStr">
        <is>
          <t>Marge sur coûts variables</t>
        </is>
      </c>
      <c r="B103" s="17">
        <f>SUM(C103:L103)</f>
        <v/>
      </c>
      <c r="C103" s="17">
        <f>C99+C102</f>
        <v/>
      </c>
      <c r="D103" s="17">
        <f>D99+D102</f>
        <v/>
      </c>
      <c r="E103" s="17">
        <f>E99+E102</f>
        <v/>
      </c>
      <c r="F103" s="17">
        <f>F99+F102</f>
        <v/>
      </c>
      <c r="G103" s="17">
        <f>G99+G102</f>
        <v/>
      </c>
      <c r="H103" s="17">
        <f>H99+H102</f>
        <v/>
      </c>
      <c r="I103" s="17">
        <f>I99+I102</f>
        <v/>
      </c>
      <c r="J103" s="17">
        <f>J99+J102</f>
        <v/>
      </c>
      <c r="K103" s="17">
        <f>K99+K102</f>
        <v/>
      </c>
      <c r="L103" s="17">
        <f>L99+L102</f>
        <v/>
      </c>
    </row>
    <row r="104">
      <c r="A104" t="inlineStr">
        <is>
          <t xml:space="preserve">  Énergie (chauffage partiel, électricité)</t>
        </is>
      </c>
      <c r="B104" s="5">
        <f>SUM(C104:L104)</f>
        <v/>
      </c>
      <c r="C104" s="5">
        <f>-$B$70*C86*IF($C$70=1,C87,IF(C83&gt;0,1,0))</f>
        <v/>
      </c>
      <c r="D104" s="5">
        <f>-$B$70*D86*IF($C$70=1,D87,IF(D83&gt;0,1,0))</f>
        <v/>
      </c>
      <c r="E104" s="5">
        <f>-$B$70*E86*IF($C$70=1,E87,IF(E83&gt;0,1,0))</f>
        <v/>
      </c>
      <c r="F104" s="5">
        <f>-$B$70*F86*IF($C$70=1,F87,IF(F83&gt;0,1,0))</f>
        <v/>
      </c>
      <c r="G104" s="5">
        <f>-$B$70*G86*IF($C$70=1,G87,IF(G83&gt;0,1,0))</f>
        <v/>
      </c>
      <c r="H104" s="5">
        <f>-$B$70*H86*IF($C$70=1,H87,IF(H83&gt;0,1,0))</f>
        <v/>
      </c>
      <c r="I104" s="5">
        <f>-$B$70*I86*IF($C$70=1,I87,IF(I83&gt;0,1,0))</f>
        <v/>
      </c>
      <c r="J104" s="5">
        <f>-$B$70*J86*IF($C$70=1,J87,IF(J83&gt;0,1,0))</f>
        <v/>
      </c>
      <c r="K104" s="5">
        <f>-$B$70*K86*IF($C$70=1,K87,IF(K83&gt;0,1,0))</f>
        <v/>
      </c>
      <c r="L104" s="5">
        <f>-$B$70*L86*IF($C$70=1,L87,IF(L83&gt;0,1,0))</f>
        <v/>
      </c>
    </row>
    <row r="105">
      <c r="A105" t="inlineStr">
        <is>
          <t xml:space="preserve">  Assurances bâtiment + RC activités</t>
        </is>
      </c>
      <c r="B105" s="5">
        <f>SUM(C105:L105)</f>
        <v/>
      </c>
      <c r="C105" s="5">
        <f>-$B$71*C86*IF($C$71=1,C87,IF(C83&gt;0,1,0))</f>
        <v/>
      </c>
      <c r="D105" s="5">
        <f>-$B$71*D86*IF($C$71=1,D87,IF(D83&gt;0,1,0))</f>
        <v/>
      </c>
      <c r="E105" s="5">
        <f>-$B$71*E86*IF($C$71=1,E87,IF(E83&gt;0,1,0))</f>
        <v/>
      </c>
      <c r="F105" s="5">
        <f>-$B$71*F86*IF($C$71=1,F87,IF(F83&gt;0,1,0))</f>
        <v/>
      </c>
      <c r="G105" s="5">
        <f>-$B$71*G86*IF($C$71=1,G87,IF(G83&gt;0,1,0))</f>
        <v/>
      </c>
      <c r="H105" s="5">
        <f>-$B$71*H86*IF($C$71=1,H87,IF(H83&gt;0,1,0))</f>
        <v/>
      </c>
      <c r="I105" s="5">
        <f>-$B$71*I86*IF($C$71=1,I87,IF(I83&gt;0,1,0))</f>
        <v/>
      </c>
      <c r="J105" s="5">
        <f>-$B$71*J86*IF($C$71=1,J87,IF(J83&gt;0,1,0))</f>
        <v/>
      </c>
      <c r="K105" s="5">
        <f>-$B$71*K86*IF($C$71=1,K87,IF(K83&gt;0,1,0))</f>
        <v/>
      </c>
      <c r="L105" s="5">
        <f>-$B$71*L86*IF($C$71=1,L87,IF(L83&gt;0,1,0))</f>
        <v/>
      </c>
    </row>
    <row r="106">
      <c r="A106" t="inlineStr">
        <is>
          <t xml:space="preserve">  Taxe foncière</t>
        </is>
      </c>
      <c r="B106" s="5">
        <f>SUM(C106:L106)</f>
        <v/>
      </c>
      <c r="C106" s="5">
        <f>-$B$72*C86*IF($C$72=1,C87,IF(C83&gt;0,1,0))</f>
        <v/>
      </c>
      <c r="D106" s="5">
        <f>-$B$72*D86*IF($C$72=1,D87,IF(D83&gt;0,1,0))</f>
        <v/>
      </c>
      <c r="E106" s="5">
        <f>-$B$72*E86*IF($C$72=1,E87,IF(E83&gt;0,1,0))</f>
        <v/>
      </c>
      <c r="F106" s="5">
        <f>-$B$72*F86*IF($C$72=1,F87,IF(F83&gt;0,1,0))</f>
        <v/>
      </c>
      <c r="G106" s="5">
        <f>-$B$72*G86*IF($C$72=1,G87,IF(G83&gt;0,1,0))</f>
        <v/>
      </c>
      <c r="H106" s="5">
        <f>-$B$72*H86*IF($C$72=1,H87,IF(H83&gt;0,1,0))</f>
        <v/>
      </c>
      <c r="I106" s="5">
        <f>-$B$72*I86*IF($C$72=1,I87,IF(I83&gt;0,1,0))</f>
        <v/>
      </c>
      <c r="J106" s="5">
        <f>-$B$72*J86*IF($C$72=1,J87,IF(J83&gt;0,1,0))</f>
        <v/>
      </c>
      <c r="K106" s="5">
        <f>-$B$72*K86*IF($C$72=1,K87,IF(K83&gt;0,1,0))</f>
        <v/>
      </c>
      <c r="L106" s="5">
        <f>-$B$72*L86*IF($C$72=1,L87,IF(L83&gt;0,1,0))</f>
        <v/>
      </c>
    </row>
    <row r="107">
      <c r="A107" t="inlineStr">
        <is>
          <t xml:space="preserve">  Jardinier mi-temps / prestataire</t>
        </is>
      </c>
      <c r="B107" s="5">
        <f>SUM(C107:L107)</f>
        <v/>
      </c>
      <c r="C107" s="5">
        <f>-$B$73*C86*IF($C$73=1,C87,IF(C83&gt;0,1,0))</f>
        <v/>
      </c>
      <c r="D107" s="5">
        <f>-$B$73*D86*IF($C$73=1,D87,IF(D83&gt;0,1,0))</f>
        <v/>
      </c>
      <c r="E107" s="5">
        <f>-$B$73*E86*IF($C$73=1,E87,IF(E83&gt;0,1,0))</f>
        <v/>
      </c>
      <c r="F107" s="5">
        <f>-$B$73*F86*IF($C$73=1,F87,IF(F83&gt;0,1,0))</f>
        <v/>
      </c>
      <c r="G107" s="5">
        <f>-$B$73*G86*IF($C$73=1,G87,IF(G83&gt;0,1,0))</f>
        <v/>
      </c>
      <c r="H107" s="5">
        <f>-$B$73*H86*IF($C$73=1,H87,IF(H83&gt;0,1,0))</f>
        <v/>
      </c>
      <c r="I107" s="5">
        <f>-$B$73*I86*IF($C$73=1,I87,IF(I83&gt;0,1,0))</f>
        <v/>
      </c>
      <c r="J107" s="5">
        <f>-$B$73*J86*IF($C$73=1,J87,IF(J83&gt;0,1,0))</f>
        <v/>
      </c>
      <c r="K107" s="5">
        <f>-$B$73*K86*IF($C$73=1,K87,IF(K83&gt;0,1,0))</f>
        <v/>
      </c>
      <c r="L107" s="5">
        <f>-$B$73*L86*IF($C$73=1,L87,IF(L83&gt;0,1,0))</f>
        <v/>
      </c>
    </row>
    <row r="108">
      <c r="A108" t="inlineStr">
        <is>
          <t xml:space="preserve">  Parc, haies, clôtures, petit entretien</t>
        </is>
      </c>
      <c r="B108" s="5">
        <f>SUM(C108:L108)</f>
        <v/>
      </c>
      <c r="C108" s="5">
        <f>-$B$74*C86*IF($C$74=1,C87,IF(C83&gt;0,1,0))</f>
        <v/>
      </c>
      <c r="D108" s="5">
        <f>-$B$74*D86*IF($C$74=1,D87,IF(D83&gt;0,1,0))</f>
        <v/>
      </c>
      <c r="E108" s="5">
        <f>-$B$74*E86*IF($C$74=1,E87,IF(E83&gt;0,1,0))</f>
        <v/>
      </c>
      <c r="F108" s="5">
        <f>-$B$74*F86*IF($C$74=1,F87,IF(F83&gt;0,1,0))</f>
        <v/>
      </c>
      <c r="G108" s="5">
        <f>-$B$74*G86*IF($C$74=1,G87,IF(G83&gt;0,1,0))</f>
        <v/>
      </c>
      <c r="H108" s="5">
        <f>-$B$74*H86*IF($C$74=1,H87,IF(H83&gt;0,1,0))</f>
        <v/>
      </c>
      <c r="I108" s="5">
        <f>-$B$74*I86*IF($C$74=1,I87,IF(I83&gt;0,1,0))</f>
        <v/>
      </c>
      <c r="J108" s="5">
        <f>-$B$74*J86*IF($C$74=1,J87,IF(J83&gt;0,1,0))</f>
        <v/>
      </c>
      <c r="K108" s="5">
        <f>-$B$74*K86*IF($C$74=1,K87,IF(K83&gt;0,1,0))</f>
        <v/>
      </c>
      <c r="L108" s="5">
        <f>-$B$74*L86*IF($C$74=1,L87,IF(L83&gt;0,1,0))</f>
        <v/>
      </c>
    </row>
    <row r="109">
      <c r="A109" t="inlineStr">
        <is>
          <t xml:space="preserve">  Soigneurs (1,5 ETP chargés)</t>
        </is>
      </c>
      <c r="B109" s="5">
        <f>SUM(C109:L109)</f>
        <v/>
      </c>
      <c r="C109" s="5">
        <f>-$B$75*C86*IF($C$75=1,C87,IF(C83&gt;0,1,0))</f>
        <v/>
      </c>
      <c r="D109" s="5">
        <f>-$B$75*D86*IF($C$75=1,D87,IF(D83&gt;0,1,0))</f>
        <v/>
      </c>
      <c r="E109" s="5">
        <f>-$B$75*E86*IF($C$75=1,E87,IF(E83&gt;0,1,0))</f>
        <v/>
      </c>
      <c r="F109" s="5">
        <f>-$B$75*F86*IF($C$75=1,F87,IF(F83&gt;0,1,0))</f>
        <v/>
      </c>
      <c r="G109" s="5">
        <f>-$B$75*G86*IF($C$75=1,G87,IF(G83&gt;0,1,0))</f>
        <v/>
      </c>
      <c r="H109" s="5">
        <f>-$B$75*H86*IF($C$75=1,H87,IF(H83&gt;0,1,0))</f>
        <v/>
      </c>
      <c r="I109" s="5">
        <f>-$B$75*I86*IF($C$75=1,I87,IF(I83&gt;0,1,0))</f>
        <v/>
      </c>
      <c r="J109" s="5">
        <f>-$B$75*J86*IF($C$75=1,J87,IF(J83&gt;0,1,0))</f>
        <v/>
      </c>
      <c r="K109" s="5">
        <f>-$B$75*K86*IF($C$75=1,K87,IF(K83&gt;0,1,0))</f>
        <v/>
      </c>
      <c r="L109" s="5">
        <f>-$B$75*L86*IF($C$75=1,L87,IF(L83&gt;0,1,0))</f>
        <v/>
      </c>
    </row>
    <row r="110">
      <c r="A110" t="inlineStr">
        <is>
          <t xml:space="preserve">  Commercial, marketing, site, salons</t>
        </is>
      </c>
      <c r="B110" s="5">
        <f>SUM(C110:L110)</f>
        <v/>
      </c>
      <c r="C110" s="5">
        <f>-$B$76*C86*IF($C$76=1,C87,IF(C83&gt;0,1,0))</f>
        <v/>
      </c>
      <c r="D110" s="5">
        <f>-$B$76*D86*IF($C$76=1,D87,IF(D83&gt;0,1,0))</f>
        <v/>
      </c>
      <c r="E110" s="5">
        <f>-$B$76*E86*IF($C$76=1,E87,IF(E83&gt;0,1,0))</f>
        <v/>
      </c>
      <c r="F110" s="5">
        <f>-$B$76*F86*IF($C$76=1,F87,IF(F83&gt;0,1,0))</f>
        <v/>
      </c>
      <c r="G110" s="5">
        <f>-$B$76*G86*IF($C$76=1,G87,IF(G83&gt;0,1,0))</f>
        <v/>
      </c>
      <c r="H110" s="5">
        <f>-$B$76*H86*IF($C$76=1,H87,IF(H83&gt;0,1,0))</f>
        <v/>
      </c>
      <c r="I110" s="5">
        <f>-$B$76*I86*IF($C$76=1,I87,IF(I83&gt;0,1,0))</f>
        <v/>
      </c>
      <c r="J110" s="5">
        <f>-$B$76*J86*IF($C$76=1,J87,IF(J83&gt;0,1,0))</f>
        <v/>
      </c>
      <c r="K110" s="5">
        <f>-$B$76*K86*IF($C$76=1,K87,IF(K83&gt;0,1,0))</f>
        <v/>
      </c>
      <c r="L110" s="5">
        <f>-$B$76*L86*IF($C$76=1,L87,IF(L83&gt;0,1,0))</f>
        <v/>
      </c>
    </row>
    <row r="111">
      <c r="A111" t="inlineStr">
        <is>
          <t xml:space="preserve">  Comptabilité, juridique, banque, logiciels</t>
        </is>
      </c>
      <c r="B111" s="5">
        <f>SUM(C111:L111)</f>
        <v/>
      </c>
      <c r="C111" s="5">
        <f>-$B$77*C86*IF($C$77=1,C87,IF(C83&gt;0,1,0))</f>
        <v/>
      </c>
      <c r="D111" s="5">
        <f>-$B$77*D86*IF($C$77=1,D87,IF(D83&gt;0,1,0))</f>
        <v/>
      </c>
      <c r="E111" s="5">
        <f>-$B$77*E86*IF($C$77=1,E87,IF(E83&gt;0,1,0))</f>
        <v/>
      </c>
      <c r="F111" s="5">
        <f>-$B$77*F86*IF($C$77=1,F87,IF(F83&gt;0,1,0))</f>
        <v/>
      </c>
      <c r="G111" s="5">
        <f>-$B$77*G86*IF($C$77=1,G87,IF(G83&gt;0,1,0))</f>
        <v/>
      </c>
      <c r="H111" s="5">
        <f>-$B$77*H86*IF($C$77=1,H87,IF(H83&gt;0,1,0))</f>
        <v/>
      </c>
      <c r="I111" s="5">
        <f>-$B$77*I86*IF($C$77=1,I87,IF(I83&gt;0,1,0))</f>
        <v/>
      </c>
      <c r="J111" s="5">
        <f>-$B$77*J86*IF($C$77=1,J87,IF(J83&gt;0,1,0))</f>
        <v/>
      </c>
      <c r="K111" s="5">
        <f>-$B$77*K86*IF($C$77=1,K87,IF(K83&gt;0,1,0))</f>
        <v/>
      </c>
      <c r="L111" s="5">
        <f>-$B$77*L86*IF($C$77=1,L87,IF(L83&gt;0,1,0))</f>
        <v/>
      </c>
    </row>
    <row r="112">
      <c r="A112" t="inlineStr">
        <is>
          <t xml:space="preserve">  Entretien installations équestres, matériel, véhicules</t>
        </is>
      </c>
      <c r="B112" s="5">
        <f>SUM(C112:L112)</f>
        <v/>
      </c>
      <c r="C112" s="5">
        <f>-$B$78*C86*IF($C$78=1,C87,IF(C83&gt;0,1,0))</f>
        <v/>
      </c>
      <c r="D112" s="5">
        <f>-$B$78*D86*IF($C$78=1,D87,IF(D83&gt;0,1,0))</f>
        <v/>
      </c>
      <c r="E112" s="5">
        <f>-$B$78*E86*IF($C$78=1,E87,IF(E83&gt;0,1,0))</f>
        <v/>
      </c>
      <c r="F112" s="5">
        <f>-$B$78*F86*IF($C$78=1,F87,IF(F83&gt;0,1,0))</f>
        <v/>
      </c>
      <c r="G112" s="5">
        <f>-$B$78*G86*IF($C$78=1,G87,IF(G83&gt;0,1,0))</f>
        <v/>
      </c>
      <c r="H112" s="5">
        <f>-$B$78*H86*IF($C$78=1,H87,IF(H83&gt;0,1,0))</f>
        <v/>
      </c>
      <c r="I112" s="5">
        <f>-$B$78*I86*IF($C$78=1,I87,IF(I83&gt;0,1,0))</f>
        <v/>
      </c>
      <c r="J112" s="5">
        <f>-$B$78*J86*IF($C$78=1,J87,IF(J83&gt;0,1,0))</f>
        <v/>
      </c>
      <c r="K112" s="5">
        <f>-$B$78*K86*IF($C$78=1,K87,IF(K83&gt;0,1,0))</f>
        <v/>
      </c>
      <c r="L112" s="5">
        <f>-$B$78*L86*IF($C$78=1,L87,IF(L83&gt;0,1,0))</f>
        <v/>
      </c>
    </row>
    <row r="113">
      <c r="A113" s="4" t="inlineStr">
        <is>
          <t>Charges fixes totales</t>
        </is>
      </c>
      <c r="B113" s="17">
        <f>SUM(C113:L113)</f>
        <v/>
      </c>
      <c r="C113" s="17">
        <f>C104+C105+C106+C107+C108+C109+C110+C111+C112</f>
        <v/>
      </c>
      <c r="D113" s="17">
        <f>D104+D105+D106+D107+D108+D109+D110+D111+D112</f>
        <v/>
      </c>
      <c r="E113" s="17">
        <f>E104+E105+E106+E107+E108+E109+E110+E111+E112</f>
        <v/>
      </c>
      <c r="F113" s="17">
        <f>F104+F105+F106+F107+F108+F109+F110+F111+F112</f>
        <v/>
      </c>
      <c r="G113" s="17">
        <f>G104+G105+G106+G107+G108+G109+G110+G111+G112</f>
        <v/>
      </c>
      <c r="H113" s="17">
        <f>H104+H105+H106+H107+H108+H109+H110+H111+H112</f>
        <v/>
      </c>
      <c r="I113" s="17">
        <f>I104+I105+I106+I107+I108+I109+I110+I111+I112</f>
        <v/>
      </c>
      <c r="J113" s="17">
        <f>J104+J105+J106+J107+J108+J109+J110+J111+J112</f>
        <v/>
      </c>
      <c r="K113" s="17">
        <f>K104+K105+K106+K107+K108+K109+K110+K111+K112</f>
        <v/>
      </c>
      <c r="L113" s="17">
        <f>L104+L105+L106+L107+L108+L109+L110+L111+L112</f>
        <v/>
      </c>
    </row>
    <row r="114">
      <c r="A114" t="inlineStr">
        <is>
          <t>Loyer des murs (avant acquisition)</t>
        </is>
      </c>
      <c r="B114" s="5">
        <f>SUM(C114:L114)</f>
        <v/>
      </c>
      <c r="C114" s="5">
        <f>-IF(C87=0,IF(C83&gt;0,$B$18*C86,0),0)</f>
        <v/>
      </c>
      <c r="D114" s="5">
        <f>-IF(D87=0,IF(D83&gt;0,$B$18*D86,0),0)</f>
        <v/>
      </c>
      <c r="E114" s="5">
        <f>-IF(E87=0,IF(E83&gt;0,$B$18*E86,0),0)</f>
        <v/>
      </c>
      <c r="F114" s="5">
        <f>-IF(F87=0,IF(F83&gt;0,$B$18*F86,0),0)</f>
        <v/>
      </c>
      <c r="G114" s="5">
        <f>-IF(G87=0,IF(G83&gt;0,$B$18*G86,0),0)</f>
        <v/>
      </c>
      <c r="H114" s="5">
        <f>-IF(H87=0,IF(H83&gt;0,$B$18*H86,0),0)</f>
        <v/>
      </c>
      <c r="I114" s="5">
        <f>-IF(I87=0,IF(I83&gt;0,$B$18*I86,0),0)</f>
        <v/>
      </c>
      <c r="J114" s="5">
        <f>-IF(J87=0,IF(J83&gt;0,$B$18*J86,0),0)</f>
        <v/>
      </c>
      <c r="K114" s="5">
        <f>-IF(K87=0,IF(K83&gt;0,$B$18*K86,0),0)</f>
        <v/>
      </c>
      <c r="L114" s="5">
        <f>-IF(L87=0,IF(L83&gt;0,$B$18*L86,0),0)</f>
        <v/>
      </c>
    </row>
    <row r="115">
      <c r="A115" s="4" t="inlineStr">
        <is>
          <t>EBITDA</t>
        </is>
      </c>
      <c r="B115" s="17">
        <f>SUM(C115:L115)</f>
        <v/>
      </c>
      <c r="C115" s="17">
        <f>C103+C113+C114</f>
        <v/>
      </c>
      <c r="D115" s="17">
        <f>D103+D113+D114</f>
        <v/>
      </c>
      <c r="E115" s="17">
        <f>E103+E113+E114</f>
        <v/>
      </c>
      <c r="F115" s="17">
        <f>F103+F113+F114</f>
        <v/>
      </c>
      <c r="G115" s="17">
        <f>G103+G113+G114</f>
        <v/>
      </c>
      <c r="H115" s="17">
        <f>H103+H113+H114</f>
        <v/>
      </c>
      <c r="I115" s="17">
        <f>I103+I113+I114</f>
        <v/>
      </c>
      <c r="J115" s="17">
        <f>J103+J113+J114</f>
        <v/>
      </c>
      <c r="K115" s="17">
        <f>K103+K113+K114</f>
        <v/>
      </c>
      <c r="L115" s="17">
        <f>L103+L113+L114</f>
        <v/>
      </c>
    </row>
    <row r="116">
      <c r="A116" t="inlineStr">
        <is>
          <t xml:space="preserve">  Marge d'EBITDA</t>
        </is>
      </c>
      <c r="C116" s="6">
        <f>IF(C99=0,0,C115/C99)</f>
        <v/>
      </c>
      <c r="D116" s="6">
        <f>IF(D99=0,0,D115/D99)</f>
        <v/>
      </c>
      <c r="E116" s="6">
        <f>IF(E99=0,0,E115/E99)</f>
        <v/>
      </c>
      <c r="F116" s="6">
        <f>IF(F99=0,0,F115/F99)</f>
        <v/>
      </c>
      <c r="G116" s="6">
        <f>IF(G99=0,0,G115/G99)</f>
        <v/>
      </c>
      <c r="H116" s="6">
        <f>IF(H99=0,0,H115/H99)</f>
        <v/>
      </c>
      <c r="I116" s="6">
        <f>IF(I99=0,0,I115/I99)</f>
        <v/>
      </c>
      <c r="J116" s="6">
        <f>IF(J99=0,0,J115/J99)</f>
        <v/>
      </c>
      <c r="K116" s="6">
        <f>IF(K99=0,0,K115/K99)</f>
        <v/>
      </c>
      <c r="L116" s="6">
        <f>IF(L99=0,0,L115/L99)</f>
        <v/>
      </c>
    </row>
    <row r="117">
      <c r="A117" t="inlineStr">
        <is>
          <t>Travaux et équipements initiaux</t>
        </is>
      </c>
      <c r="B117" s="5">
        <f>SUM(C117:L117)</f>
        <v/>
      </c>
      <c r="C117" s="5">
        <f>($B$10+$B$11+$B$12)*$B$41*IF(C$81=$B$5,$B$13,IF(C$81=$B$5+1,$B$14,IF(C$81=$B$5+2,$B$15,0)))*C86</f>
        <v/>
      </c>
      <c r="D117" s="5">
        <f>($B$10+$B$11+$B$12)*$B$41*IF(D$81=$B$5,$B$13,IF(D$81=$B$5+1,$B$14,IF(D$81=$B$5+2,$B$15,0)))*D86</f>
        <v/>
      </c>
      <c r="E117" s="5">
        <f>($B$10+$B$11+$B$12)*$B$41*IF(E$81=$B$5,$B$13,IF(E$81=$B$5+1,$B$14,IF(E$81=$B$5+2,$B$15,0)))*E86</f>
        <v/>
      </c>
      <c r="F117" s="5">
        <f>($B$10+$B$11+$B$12)*$B$41*IF(F$81=$B$5,$B$13,IF(F$81=$B$5+1,$B$14,IF(F$81=$B$5+2,$B$15,0)))*F86</f>
        <v/>
      </c>
      <c r="G117" s="5">
        <f>($B$10+$B$11+$B$12)*$B$41*IF(G$81=$B$5,$B$13,IF(G$81=$B$5+1,$B$14,IF(G$81=$B$5+2,$B$15,0)))*G86</f>
        <v/>
      </c>
      <c r="H117" s="5">
        <f>($B$10+$B$11+$B$12)*$B$41*IF(H$81=$B$5,$B$13,IF(H$81=$B$5+1,$B$14,IF(H$81=$B$5+2,$B$15,0)))*H86</f>
        <v/>
      </c>
      <c r="I117" s="5">
        <f>($B$10+$B$11+$B$12)*$B$41*IF(I$81=$B$5,$B$13,IF(I$81=$B$5+1,$B$14,IF(I$81=$B$5+2,$B$15,0)))*I86</f>
        <v/>
      </c>
      <c r="J117" s="5">
        <f>($B$10+$B$11+$B$12)*$B$41*IF(J$81=$B$5,$B$13,IF(J$81=$B$5+1,$B$14,IF(J$81=$B$5+2,$B$15,0)))*J86</f>
        <v/>
      </c>
      <c r="K117" s="5">
        <f>($B$10+$B$11+$B$12)*$B$41*IF(K$81=$B$5,$B$13,IF(K$81=$B$5+1,$B$14,IF(K$81=$B$5+2,$B$15,0)))*K86</f>
        <v/>
      </c>
      <c r="L117" s="5">
        <f>($B$10+$B$11+$B$12)*$B$41*IF(L$81=$B$5,$B$13,IF(L$81=$B$5+1,$B$14,IF(L$81=$B$5+2,$B$15,0)))*L86</f>
        <v/>
      </c>
    </row>
    <row r="118">
      <c r="A118" t="inlineStr">
        <is>
          <t>Acquisition (prix + frais)</t>
        </is>
      </c>
      <c r="B118" s="5">
        <f>SUM(C118:L118)</f>
        <v/>
      </c>
      <c r="C118" s="5">
        <f>IF(C$81=$B$5,$B$7*(1+$B$8),0)</f>
        <v/>
      </c>
      <c r="D118" s="5">
        <f>IF(D$81=$B$5,$B$7*(1+$B$8),0)</f>
        <v/>
      </c>
      <c r="E118" s="5">
        <f>IF(E$81=$B$5,$B$7*(1+$B$8),0)</f>
        <v/>
      </c>
      <c r="F118" s="5">
        <f>IF(F$81=$B$5,$B$7*(1+$B$8),0)</f>
        <v/>
      </c>
      <c r="G118" s="5">
        <f>IF(G$81=$B$5,$B$7*(1+$B$8),0)</f>
        <v/>
      </c>
      <c r="H118" s="5">
        <f>IF(H$81=$B$5,$B$7*(1+$B$8),0)</f>
        <v/>
      </c>
      <c r="I118" s="5">
        <f>IF(I$81=$B$5,$B$7*(1+$B$8),0)</f>
        <v/>
      </c>
      <c r="J118" s="5">
        <f>IF(J$81=$B$5,$B$7*(1+$B$8),0)</f>
        <v/>
      </c>
      <c r="K118" s="5">
        <f>IF(K$81=$B$5,$B$7*(1+$B$8),0)</f>
        <v/>
      </c>
      <c r="L118" s="5">
        <f>IF(L$81=$B$5,$B$7*(1+$B$8),0)</f>
        <v/>
      </c>
    </row>
    <row r="119">
      <c r="A119" t="inlineStr">
        <is>
          <t>Gros entretien patrimonial récurrent</t>
        </is>
      </c>
      <c r="B119" s="5">
        <f>SUM(C119:L119)</f>
        <v/>
      </c>
      <c r="C119" s="5">
        <f>IF(C$81&gt;=$B$5+3,$B$16*($B$7+($B$10+$B$11+$B$12)*$B$41)*C86,0)</f>
        <v/>
      </c>
      <c r="D119" s="5">
        <f>IF(D$81&gt;=$B$5+3,$B$16*($B$7+($B$10+$B$11+$B$12)*$B$41)*D86,0)</f>
        <v/>
      </c>
      <c r="E119" s="5">
        <f>IF(E$81&gt;=$B$5+3,$B$16*($B$7+($B$10+$B$11+$B$12)*$B$41)*E86,0)</f>
        <v/>
      </c>
      <c r="F119" s="5">
        <f>IF(F$81&gt;=$B$5+3,$B$16*($B$7+($B$10+$B$11+$B$12)*$B$41)*F86,0)</f>
        <v/>
      </c>
      <c r="G119" s="5">
        <f>IF(G$81&gt;=$B$5+3,$B$16*($B$7+($B$10+$B$11+$B$12)*$B$41)*G86,0)</f>
        <v/>
      </c>
      <c r="H119" s="5">
        <f>IF(H$81&gt;=$B$5+3,$B$16*($B$7+($B$10+$B$11+$B$12)*$B$41)*H86,0)</f>
        <v/>
      </c>
      <c r="I119" s="5">
        <f>IF(I$81&gt;=$B$5+3,$B$16*($B$7+($B$10+$B$11+$B$12)*$B$41)*I86,0)</f>
        <v/>
      </c>
      <c r="J119" s="5">
        <f>IF(J$81&gt;=$B$5+3,$B$16*($B$7+($B$10+$B$11+$B$12)*$B$41)*J86,0)</f>
        <v/>
      </c>
      <c r="K119" s="5">
        <f>IF(K$81&gt;=$B$5+3,$B$16*($B$7+($B$10+$B$11+$B$12)*$B$41)*K86,0)</f>
        <v/>
      </c>
      <c r="L119" s="5">
        <f>IF(L$81&gt;=$B$5+3,$B$16*($B$7+($B$10+$B$11+$B$12)*$B$41)*L86,0)</f>
        <v/>
      </c>
    </row>
    <row r="120">
      <c r="A120" t="inlineStr">
        <is>
          <t>Investissements amortissables cumulés</t>
        </is>
      </c>
      <c r="C120" s="5">
        <f>C117+C119</f>
        <v/>
      </c>
      <c r="D120" s="5">
        <f>C120+D117+D119</f>
        <v/>
      </c>
      <c r="E120" s="5">
        <f>D120+E117+E119</f>
        <v/>
      </c>
      <c r="F120" s="5">
        <f>E120+F117+F119</f>
        <v/>
      </c>
      <c r="G120" s="5">
        <f>F120+G117+G119</f>
        <v/>
      </c>
      <c r="H120" s="5">
        <f>G120+H117+H119</f>
        <v/>
      </c>
      <c r="I120" s="5">
        <f>H120+I117+I119</f>
        <v/>
      </c>
      <c r="J120" s="5">
        <f>I120+J117+J119</f>
        <v/>
      </c>
      <c r="K120" s="5">
        <f>J120+K117+K119</f>
        <v/>
      </c>
      <c r="L120" s="5">
        <f>K120+L117+L119</f>
        <v/>
      </c>
    </row>
    <row r="121">
      <c r="A121" t="inlineStr">
        <is>
          <t>Dotations aux amortissements (bâti 30 ans, travaux 15 ans)</t>
        </is>
      </c>
      <c r="B121" s="5">
        <f>SUM(C121:L121)</f>
        <v/>
      </c>
      <c r="C121" s="5">
        <f>-(C87*$B$7*(1+$B$8)*$B$9/30+C120/15)</f>
        <v/>
      </c>
      <c r="D121" s="5">
        <f>-(D87*$B$7*(1+$B$8)*$B$9/30+D120/15)</f>
        <v/>
      </c>
      <c r="E121" s="5">
        <f>-(E87*$B$7*(1+$B$8)*$B$9/30+E120/15)</f>
        <v/>
      </c>
      <c r="F121" s="5">
        <f>-(F87*$B$7*(1+$B$8)*$B$9/30+F120/15)</f>
        <v/>
      </c>
      <c r="G121" s="5">
        <f>-(G87*$B$7*(1+$B$8)*$B$9/30+G120/15)</f>
        <v/>
      </c>
      <c r="H121" s="5">
        <f>-(H87*$B$7*(1+$B$8)*$B$9/30+H120/15)</f>
        <v/>
      </c>
      <c r="I121" s="5">
        <f>-(I87*$B$7*(1+$B$8)*$B$9/30+I120/15)</f>
        <v/>
      </c>
      <c r="J121" s="5">
        <f>-(J87*$B$7*(1+$B$8)*$B$9/30+J120/15)</f>
        <v/>
      </c>
      <c r="K121" s="5">
        <f>-(K87*$B$7*(1+$B$8)*$B$9/30+K120/15)</f>
        <v/>
      </c>
      <c r="L121" s="5">
        <f>-(L87*$B$7*(1+$B$8)*$B$9/30+L120/15)</f>
        <v/>
      </c>
    </row>
    <row r="122">
      <c r="A122" s="4" t="inlineStr">
        <is>
          <t>Résultat d'exploitation</t>
        </is>
      </c>
      <c r="B122" s="17">
        <f>SUM(C122:L122)</f>
        <v/>
      </c>
      <c r="C122" s="17">
        <f>C115+C121</f>
        <v/>
      </c>
      <c r="D122" s="17">
        <f>D115+D121</f>
        <v/>
      </c>
      <c r="E122" s="17">
        <f>E115+E121</f>
        <v/>
      </c>
      <c r="F122" s="17">
        <f>F115+F121</f>
        <v/>
      </c>
      <c r="G122" s="17">
        <f>G115+G121</f>
        <v/>
      </c>
      <c r="H122" s="17">
        <f>H115+H121</f>
        <v/>
      </c>
      <c r="I122" s="17">
        <f>I115+I121</f>
        <v/>
      </c>
      <c r="J122" s="17">
        <f>J115+J121</f>
        <v/>
      </c>
      <c r="K122" s="17">
        <f>K115+K121</f>
        <v/>
      </c>
      <c r="L122" s="17">
        <f>L115+L121</f>
        <v/>
      </c>
    </row>
    <row r="124">
      <c r="A124" s="4" t="inlineStr">
        <is>
          <t>Échéancier des emprunts</t>
        </is>
      </c>
    </row>
    <row r="125">
      <c r="A125" t="inlineStr">
        <is>
          <t>Taux bancaire effectif</t>
        </is>
      </c>
      <c r="C125" s="6">
        <f>$B$26+$B$43</f>
        <v/>
      </c>
      <c r="D125" s="6">
        <f>$B$26+$B$43</f>
        <v/>
      </c>
      <c r="E125" s="6">
        <f>$B$26+$B$43</f>
        <v/>
      </c>
      <c r="F125" s="6">
        <f>$B$26+$B$43</f>
        <v/>
      </c>
      <c r="G125" s="6">
        <f>$B$26+$B$43</f>
        <v/>
      </c>
      <c r="H125" s="6">
        <f>$B$26+$B$43</f>
        <v/>
      </c>
      <c r="I125" s="6">
        <f>$B$26+$B$43</f>
        <v/>
      </c>
      <c r="J125" s="6">
        <f>$B$26+$B$43</f>
        <v/>
      </c>
      <c r="K125" s="6">
        <f>$B$26+$B$43</f>
        <v/>
      </c>
      <c r="L125" s="6">
        <f>$B$26+$B$43</f>
        <v/>
      </c>
    </row>
    <row r="126">
      <c r="A126" t="inlineStr">
        <is>
          <t>Rang de l'année d'emprunt</t>
        </is>
      </c>
      <c r="C126" s="8">
        <f>MAX(0,C$81-$B$5+1)</f>
        <v/>
      </c>
      <c r="D126" s="8">
        <f>MAX(0,D$81-$B$5+1)</f>
        <v/>
      </c>
      <c r="E126" s="8">
        <f>MAX(0,E$81-$B$5+1)</f>
        <v/>
      </c>
      <c r="F126" s="8">
        <f>MAX(0,F$81-$B$5+1)</f>
        <v/>
      </c>
      <c r="G126" s="8">
        <f>MAX(0,G$81-$B$5+1)</f>
        <v/>
      </c>
      <c r="H126" s="8">
        <f>MAX(0,H$81-$B$5+1)</f>
        <v/>
      </c>
      <c r="I126" s="8">
        <f>MAX(0,I$81-$B$5+1)</f>
        <v/>
      </c>
      <c r="J126" s="8">
        <f>MAX(0,J$81-$B$5+1)</f>
        <v/>
      </c>
      <c r="K126" s="8">
        <f>MAX(0,K$81-$B$5+1)</f>
        <v/>
      </c>
      <c r="L126" s="8">
        <f>MAX(0,L$81-$B$5+1)</f>
        <v/>
      </c>
    </row>
    <row r="127">
      <c r="A127" t="inlineStr">
        <is>
          <t>Dette bancaire — capital début</t>
        </is>
      </c>
      <c r="C127" s="5">
        <f>IF(C126=1,$B$25,0)</f>
        <v/>
      </c>
      <c r="D127" s="5">
        <f>IF(D126=1,$B$25,C130)</f>
        <v/>
      </c>
      <c r="E127" s="5">
        <f>IF(E126=1,$B$25,D130)</f>
        <v/>
      </c>
      <c r="F127" s="5">
        <f>IF(F126=1,$B$25,E130)</f>
        <v/>
      </c>
      <c r="G127" s="5">
        <f>IF(G126=1,$B$25,F130)</f>
        <v/>
      </c>
      <c r="H127" s="5">
        <f>IF(H126=1,$B$25,G130)</f>
        <v/>
      </c>
      <c r="I127" s="5">
        <f>IF(I126=1,$B$25,H130)</f>
        <v/>
      </c>
      <c r="J127" s="5">
        <f>IF(J126=1,$B$25,I130)</f>
        <v/>
      </c>
      <c r="K127" s="5">
        <f>IF(K126=1,$B$25,J130)</f>
        <v/>
      </c>
      <c r="L127" s="5">
        <f>IF(L126=1,$B$25,K130)</f>
        <v/>
      </c>
    </row>
    <row r="128">
      <c r="A128" t="inlineStr">
        <is>
          <t xml:space="preserve">  Intérêts</t>
        </is>
      </c>
      <c r="B128" s="5">
        <f>SUM(C128:L128)</f>
        <v/>
      </c>
      <c r="C128" s="5">
        <f>C127*C125</f>
        <v/>
      </c>
      <c r="D128" s="5">
        <f>D127*D125</f>
        <v/>
      </c>
      <c r="E128" s="5">
        <f>E127*E125</f>
        <v/>
      </c>
      <c r="F128" s="5">
        <f>F127*F125</f>
        <v/>
      </c>
      <c r="G128" s="5">
        <f>G127*G125</f>
        <v/>
      </c>
      <c r="H128" s="5">
        <f>H127*H125</f>
        <v/>
      </c>
      <c r="I128" s="5">
        <f>I127*I125</f>
        <v/>
      </c>
      <c r="J128" s="5">
        <f>J127*J125</f>
        <v/>
      </c>
      <c r="K128" s="5">
        <f>K127*K125</f>
        <v/>
      </c>
      <c r="L128" s="5">
        <f>L127*L125</f>
        <v/>
      </c>
    </row>
    <row r="129">
      <c r="A129" t="inlineStr">
        <is>
          <t xml:space="preserve">  Amortissement du capital</t>
        </is>
      </c>
      <c r="B129" s="5">
        <f>SUM(C129:L129)</f>
        <v/>
      </c>
      <c r="C129" s="5">
        <f>IF(OR(C126=0,C126&lt;=$B$28,C127&lt;=0),0,MIN(C127,PMT(C125,$B$27-$B$28,-$B$25)-C128))</f>
        <v/>
      </c>
      <c r="D129" s="5">
        <f>IF(OR(D126=0,D126&lt;=$B$28,D127&lt;=0),0,MIN(D127,PMT(D125,$B$27-$B$28,-$B$25)-D128))</f>
        <v/>
      </c>
      <c r="E129" s="5">
        <f>IF(OR(E126=0,E126&lt;=$B$28,E127&lt;=0),0,MIN(E127,PMT(E125,$B$27-$B$28,-$B$25)-E128))</f>
        <v/>
      </c>
      <c r="F129" s="5">
        <f>IF(OR(F126=0,F126&lt;=$B$28,F127&lt;=0),0,MIN(F127,PMT(F125,$B$27-$B$28,-$B$25)-F128))</f>
        <v/>
      </c>
      <c r="G129" s="5">
        <f>IF(OR(G126=0,G126&lt;=$B$28,G127&lt;=0),0,MIN(G127,PMT(G125,$B$27-$B$28,-$B$25)-G128))</f>
        <v/>
      </c>
      <c r="H129" s="5">
        <f>IF(OR(H126=0,H126&lt;=$B$28,H127&lt;=0),0,MIN(H127,PMT(H125,$B$27-$B$28,-$B$25)-H128))</f>
        <v/>
      </c>
      <c r="I129" s="5">
        <f>IF(OR(I126=0,I126&lt;=$B$28,I127&lt;=0),0,MIN(I127,PMT(I125,$B$27-$B$28,-$B$25)-I128))</f>
        <v/>
      </c>
      <c r="J129" s="5">
        <f>IF(OR(J126=0,J126&lt;=$B$28,J127&lt;=0),0,MIN(J127,PMT(J125,$B$27-$B$28,-$B$25)-J128))</f>
        <v/>
      </c>
      <c r="K129" s="5">
        <f>IF(OR(K126=0,K126&lt;=$B$28,K127&lt;=0),0,MIN(K127,PMT(K125,$B$27-$B$28,-$B$25)-K128))</f>
        <v/>
      </c>
      <c r="L129" s="5">
        <f>IF(OR(L126=0,L126&lt;=$B$28,L127&lt;=0),0,MIN(L127,PMT(L125,$B$27-$B$28,-$B$25)-L128))</f>
        <v/>
      </c>
    </row>
    <row r="130">
      <c r="A130" t="inlineStr">
        <is>
          <t>Dette bancaire — capital fin</t>
        </is>
      </c>
      <c r="C130" s="5">
        <f>C127-C129</f>
        <v/>
      </c>
      <c r="D130" s="5">
        <f>D127-D129</f>
        <v/>
      </c>
      <c r="E130" s="5">
        <f>E127-E129</f>
        <v/>
      </c>
      <c r="F130" s="5">
        <f>F127-F129</f>
        <v/>
      </c>
      <c r="G130" s="5">
        <f>G127-G129</f>
        <v/>
      </c>
      <c r="H130" s="5">
        <f>H127-H129</f>
        <v/>
      </c>
      <c r="I130" s="5">
        <f>I127-I129</f>
        <v/>
      </c>
      <c r="J130" s="5">
        <f>J127-J129</f>
        <v/>
      </c>
      <c r="K130" s="5">
        <f>K127-K129</f>
        <v/>
      </c>
      <c r="L130" s="5">
        <f>L127-L129</f>
        <v/>
      </c>
    </row>
    <row r="131">
      <c r="A131" t="inlineStr">
        <is>
          <t>Crédit-vendeur — capital début</t>
        </is>
      </c>
      <c r="C131" s="5">
        <f>IF(C126=1,$B$29,0)</f>
        <v/>
      </c>
      <c r="D131" s="5">
        <f>IF(D126=1,$B$29,C134)</f>
        <v/>
      </c>
      <c r="E131" s="5">
        <f>IF(E126=1,$B$29,D134)</f>
        <v/>
      </c>
      <c r="F131" s="5">
        <f>IF(F126=1,$B$29,E134)</f>
        <v/>
      </c>
      <c r="G131" s="5">
        <f>IF(G126=1,$B$29,F134)</f>
        <v/>
      </c>
      <c r="H131" s="5">
        <f>IF(H126=1,$B$29,G134)</f>
        <v/>
      </c>
      <c r="I131" s="5">
        <f>IF(I126=1,$B$29,H134)</f>
        <v/>
      </c>
      <c r="J131" s="5">
        <f>IF(J126=1,$B$29,I134)</f>
        <v/>
      </c>
      <c r="K131" s="5">
        <f>IF(K126=1,$B$29,J134)</f>
        <v/>
      </c>
      <c r="L131" s="5">
        <f>IF(L126=1,$B$29,K134)</f>
        <v/>
      </c>
    </row>
    <row r="132">
      <c r="A132" t="inlineStr">
        <is>
          <t xml:space="preserve">  Intérêts crédit-vendeur</t>
        </is>
      </c>
      <c r="B132" s="5">
        <f>SUM(C132:L132)</f>
        <v/>
      </c>
      <c r="C132" s="5">
        <f>C131*$B$30</f>
        <v/>
      </c>
      <c r="D132" s="5">
        <f>D131*$B$30</f>
        <v/>
      </c>
      <c r="E132" s="5">
        <f>E131*$B$30</f>
        <v/>
      </c>
      <c r="F132" s="5">
        <f>F131*$B$30</f>
        <v/>
      </c>
      <c r="G132" s="5">
        <f>G131*$B$30</f>
        <v/>
      </c>
      <c r="H132" s="5">
        <f>H131*$B$30</f>
        <v/>
      </c>
      <c r="I132" s="5">
        <f>I131*$B$30</f>
        <v/>
      </c>
      <c r="J132" s="5">
        <f>J131*$B$30</f>
        <v/>
      </c>
      <c r="K132" s="5">
        <f>K131*$B$30</f>
        <v/>
      </c>
      <c r="L132" s="5">
        <f>L131*$B$30</f>
        <v/>
      </c>
    </row>
    <row r="133">
      <c r="A133" t="inlineStr">
        <is>
          <t xml:space="preserve">  Amortissement crédit-vendeur</t>
        </is>
      </c>
      <c r="B133" s="5">
        <f>SUM(C133:L133)</f>
        <v/>
      </c>
      <c r="C133" s="5">
        <f>IF(OR(C126=0,C131&lt;=0),0,MIN(C131,IF($B$30=0,$B$29/$B$31,PMT($B$30,$B$31,-$B$29)-C132)))</f>
        <v/>
      </c>
      <c r="D133" s="5">
        <f>IF(OR(D126=0,D131&lt;=0),0,MIN(D131,IF($B$30=0,$B$29/$B$31,PMT($B$30,$B$31,-$B$29)-D132)))</f>
        <v/>
      </c>
      <c r="E133" s="5">
        <f>IF(OR(E126=0,E131&lt;=0),0,MIN(E131,IF($B$30=0,$B$29/$B$31,PMT($B$30,$B$31,-$B$29)-E132)))</f>
        <v/>
      </c>
      <c r="F133" s="5">
        <f>IF(OR(F126=0,F131&lt;=0),0,MIN(F131,IF($B$30=0,$B$29/$B$31,PMT($B$30,$B$31,-$B$29)-F132)))</f>
        <v/>
      </c>
      <c r="G133" s="5">
        <f>IF(OR(G126=0,G131&lt;=0),0,MIN(G131,IF($B$30=0,$B$29/$B$31,PMT($B$30,$B$31,-$B$29)-G132)))</f>
        <v/>
      </c>
      <c r="H133" s="5">
        <f>IF(OR(H126=0,H131&lt;=0),0,MIN(H131,IF($B$30=0,$B$29/$B$31,PMT($B$30,$B$31,-$B$29)-H132)))</f>
        <v/>
      </c>
      <c r="I133" s="5">
        <f>IF(OR(I126=0,I131&lt;=0),0,MIN(I131,IF($B$30=0,$B$29/$B$31,PMT($B$30,$B$31,-$B$29)-I132)))</f>
        <v/>
      </c>
      <c r="J133" s="5">
        <f>IF(OR(J126=0,J131&lt;=0),0,MIN(J131,IF($B$30=0,$B$29/$B$31,PMT($B$30,$B$31,-$B$29)-J132)))</f>
        <v/>
      </c>
      <c r="K133" s="5">
        <f>IF(OR(K126=0,K131&lt;=0),0,MIN(K131,IF($B$30=0,$B$29/$B$31,PMT($B$30,$B$31,-$B$29)-K132)))</f>
        <v/>
      </c>
      <c r="L133" s="5">
        <f>IF(OR(L126=0,L131&lt;=0),0,MIN(L131,IF($B$30=0,$B$29/$B$31,PMT($B$30,$B$31,-$B$29)-L132)))</f>
        <v/>
      </c>
    </row>
    <row r="134">
      <c r="A134" t="inlineStr">
        <is>
          <t>Crédit-vendeur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Obligations — encours</t>
        </is>
      </c>
      <c r="C135" s="5">
        <f>IF(AND(C$81&gt;=$B$5,C$81&lt;=$B$34),$B$32,0)</f>
        <v/>
      </c>
      <c r="D135" s="5">
        <f>IF(AND(D$81&gt;=$B$5,D$81&lt;=$B$34),$B$32,0)</f>
        <v/>
      </c>
      <c r="E135" s="5">
        <f>IF(AND(E$81&gt;=$B$5,E$81&lt;=$B$34),$B$32,0)</f>
        <v/>
      </c>
      <c r="F135" s="5">
        <f>IF(AND(F$81&gt;=$B$5,F$81&lt;=$B$34),$B$32,0)</f>
        <v/>
      </c>
      <c r="G135" s="5">
        <f>IF(AND(G$81&gt;=$B$5,G$81&lt;=$B$34),$B$32,0)</f>
        <v/>
      </c>
      <c r="H135" s="5">
        <f>IF(AND(H$81&gt;=$B$5,H$81&lt;=$B$34),$B$32,0)</f>
        <v/>
      </c>
      <c r="I135" s="5">
        <f>IF(AND(I$81&gt;=$B$5,I$81&lt;=$B$34),$B$32,0)</f>
        <v/>
      </c>
      <c r="J135" s="5">
        <f>IF(AND(J$81&gt;=$B$5,J$81&lt;=$B$34),$B$32,0)</f>
        <v/>
      </c>
      <c r="K135" s="5">
        <f>IF(AND(K$81&gt;=$B$5,K$81&lt;=$B$34),$B$32,0)</f>
        <v/>
      </c>
      <c r="L135" s="5">
        <f>IF(AND(L$81&gt;=$B$5,L$81&lt;=$B$34),$B$32,0)</f>
        <v/>
      </c>
    </row>
    <row r="136">
      <c r="A136" t="inlineStr">
        <is>
          <t xml:space="preserve">  Coupons obligataires</t>
        </is>
      </c>
      <c r="B136" s="5">
        <f>SUM(C136:L136)</f>
        <v/>
      </c>
      <c r="C136" s="5">
        <f>C135*$B$33</f>
        <v/>
      </c>
      <c r="D136" s="5">
        <f>D135*$B$33</f>
        <v/>
      </c>
      <c r="E136" s="5">
        <f>E135*$B$33</f>
        <v/>
      </c>
      <c r="F136" s="5">
        <f>F135*$B$33</f>
        <v/>
      </c>
      <c r="G136" s="5">
        <f>G135*$B$33</f>
        <v/>
      </c>
      <c r="H136" s="5">
        <f>H135*$B$33</f>
        <v/>
      </c>
      <c r="I136" s="5">
        <f>I135*$B$33</f>
        <v/>
      </c>
      <c r="J136" s="5">
        <f>J135*$B$33</f>
        <v/>
      </c>
      <c r="K136" s="5">
        <f>K135*$B$33</f>
        <v/>
      </c>
      <c r="L136" s="5">
        <f>L135*$B$33</f>
        <v/>
      </c>
    </row>
    <row r="137">
      <c r="A137" t="inlineStr">
        <is>
          <t xml:space="preserve">  Remboursement obligations</t>
        </is>
      </c>
      <c r="B137" s="5">
        <f>SUM(C137:L137)</f>
        <v/>
      </c>
      <c r="C137" s="5">
        <f>IF(C$81=$B$34,$B$32,0)</f>
        <v/>
      </c>
      <c r="D137" s="5">
        <f>IF(D$81=$B$34,$B$32,0)</f>
        <v/>
      </c>
      <c r="E137" s="5">
        <f>IF(E$81=$B$34,$B$32,0)</f>
        <v/>
      </c>
      <c r="F137" s="5">
        <f>IF(F$81=$B$34,$B$32,0)</f>
        <v/>
      </c>
      <c r="G137" s="5">
        <f>IF(G$81=$B$34,$B$32,0)</f>
        <v/>
      </c>
      <c r="H137" s="5">
        <f>IF(H$81=$B$34,$B$32,0)</f>
        <v/>
      </c>
      <c r="I137" s="5">
        <f>IF(I$81=$B$34,$B$32,0)</f>
        <v/>
      </c>
      <c r="J137" s="5">
        <f>IF(J$81=$B$34,$B$32,0)</f>
        <v/>
      </c>
      <c r="K137" s="5">
        <f>IF(K$81=$B$34,$B$32,0)</f>
        <v/>
      </c>
      <c r="L137" s="5">
        <f>IF(L$81=$B$34,$B$32,0)</f>
        <v/>
      </c>
    </row>
    <row r="139">
      <c r="A139" t="inlineStr">
        <is>
          <t>Charges financières</t>
        </is>
      </c>
      <c r="B139" s="5">
        <f>SUM(C139:L139)</f>
        <v/>
      </c>
      <c r="C139" s="5">
        <f>-(C128+C132+C136)</f>
        <v/>
      </c>
      <c r="D139" s="5">
        <f>-(D128+D132+D136)</f>
        <v/>
      </c>
      <c r="E139" s="5">
        <f>-(E128+E132+E136)</f>
        <v/>
      </c>
      <c r="F139" s="5">
        <f>-(F128+F132+F136)</f>
        <v/>
      </c>
      <c r="G139" s="5">
        <f>-(G128+G132+G136)</f>
        <v/>
      </c>
      <c r="H139" s="5">
        <f>-(H128+H132+H136)</f>
        <v/>
      </c>
      <c r="I139" s="5">
        <f>-(I128+I132+I136)</f>
        <v/>
      </c>
      <c r="J139" s="5">
        <f>-(J128+J132+J136)</f>
        <v/>
      </c>
      <c r="K139" s="5">
        <f>-(K128+K132+K136)</f>
        <v/>
      </c>
      <c r="L139" s="5">
        <f>-(L128+L132+L136)</f>
        <v/>
      </c>
    </row>
    <row r="140">
      <c r="A140" s="4" t="inlineStr">
        <is>
          <t>Résultat avant impôt</t>
        </is>
      </c>
      <c r="B140" s="17">
        <f>SUM(C140:L140)</f>
        <v/>
      </c>
      <c r="C140" s="17">
        <f>C122+C139</f>
        <v/>
      </c>
      <c r="D140" s="17">
        <f>D122+D139</f>
        <v/>
      </c>
      <c r="E140" s="17">
        <f>E122+E139</f>
        <v/>
      </c>
      <c r="F140" s="17">
        <f>F122+F139</f>
        <v/>
      </c>
      <c r="G140" s="17">
        <f>G122+G139</f>
        <v/>
      </c>
      <c r="H140" s="17">
        <f>H122+H139</f>
        <v/>
      </c>
      <c r="I140" s="17">
        <f>I122+I139</f>
        <v/>
      </c>
      <c r="J140" s="17">
        <f>J122+J139</f>
        <v/>
      </c>
      <c r="K140" s="17">
        <f>K122+K139</f>
        <v/>
      </c>
      <c r="L140" s="17">
        <f>L122+L139</f>
        <v/>
      </c>
    </row>
    <row r="141">
      <c r="A141" t="inlineStr">
        <is>
          <t>Stock de déficits reportables (fin d'année)</t>
        </is>
      </c>
      <c r="C141" s="5">
        <f>MAX(0,-C140)</f>
        <v/>
      </c>
      <c r="D141" s="5">
        <f>MAX(0,C141-D140)</f>
        <v/>
      </c>
      <c r="E141" s="5">
        <f>MAX(0,D141-E140)</f>
        <v/>
      </c>
      <c r="F141" s="5">
        <f>MAX(0,E141-F140)</f>
        <v/>
      </c>
      <c r="G141" s="5">
        <f>MAX(0,F141-G140)</f>
        <v/>
      </c>
      <c r="H141" s="5">
        <f>MAX(0,G141-H140)</f>
        <v/>
      </c>
      <c r="I141" s="5">
        <f>MAX(0,H141-I140)</f>
        <v/>
      </c>
      <c r="J141" s="5">
        <f>MAX(0,I141-J140)</f>
        <v/>
      </c>
      <c r="K141" s="5">
        <f>MAX(0,J141-K140)</f>
        <v/>
      </c>
      <c r="L141" s="5">
        <f>MAX(0,K141-L140)</f>
        <v/>
      </c>
    </row>
    <row r="142">
      <c r="A142" t="inlineStr">
        <is>
          <t>Impôt sur les sociétés</t>
        </is>
      </c>
      <c r="B142" s="5">
        <f>SUM(C142:L142)</f>
        <v/>
      </c>
      <c r="C142" s="5">
        <f>-MAX(0,C140)*$B$54</f>
        <v/>
      </c>
      <c r="D142" s="5">
        <f>-MAX(0,D140-C141)*$B$54</f>
        <v/>
      </c>
      <c r="E142" s="5">
        <f>-MAX(0,E140-D141)*$B$54</f>
        <v/>
      </c>
      <c r="F142" s="5">
        <f>-MAX(0,F140-E141)*$B$54</f>
        <v/>
      </c>
      <c r="G142" s="5">
        <f>-MAX(0,G140-F141)*$B$54</f>
        <v/>
      </c>
      <c r="H142" s="5">
        <f>-MAX(0,H140-G141)*$B$54</f>
        <v/>
      </c>
      <c r="I142" s="5">
        <f>-MAX(0,I140-H141)*$B$54</f>
        <v/>
      </c>
      <c r="J142" s="5">
        <f>-MAX(0,J140-I141)*$B$54</f>
        <v/>
      </c>
      <c r="K142" s="5">
        <f>-MAX(0,K140-J141)*$B$54</f>
        <v/>
      </c>
      <c r="L142" s="5">
        <f>-MAX(0,L140-K141)*$B$54</f>
        <v/>
      </c>
    </row>
    <row r="143">
      <c r="A143" s="4" t="inlineStr">
        <is>
          <t>Résultat net</t>
        </is>
      </c>
      <c r="B143" s="17">
        <f>SUM(C143:L143)</f>
        <v/>
      </c>
      <c r="C143" s="17">
        <f>C140+C142</f>
        <v/>
      </c>
      <c r="D143" s="17">
        <f>D140+D142</f>
        <v/>
      </c>
      <c r="E143" s="17">
        <f>E140+E142</f>
        <v/>
      </c>
      <c r="F143" s="17">
        <f>F140+F142</f>
        <v/>
      </c>
      <c r="G143" s="17">
        <f>G140+G142</f>
        <v/>
      </c>
      <c r="H143" s="17">
        <f>H140+H142</f>
        <v/>
      </c>
      <c r="I143" s="17">
        <f>I140+I142</f>
        <v/>
      </c>
      <c r="J143" s="17">
        <f>J140+J142</f>
        <v/>
      </c>
      <c r="K143" s="17">
        <f>K140+K142</f>
        <v/>
      </c>
      <c r="L143" s="17">
        <f>L140+L142</f>
        <v/>
      </c>
    </row>
    <row r="145">
      <c r="A145" s="4" t="inlineStr">
        <is>
          <t>Tableau des flux de trésorerie</t>
        </is>
      </c>
    </row>
    <row r="146">
      <c r="A146" t="inlineStr">
        <is>
          <t>BFR (niveau)</t>
        </is>
      </c>
      <c r="C146" s="5">
        <f>C99*$B$53</f>
        <v/>
      </c>
      <c r="D146" s="5">
        <f>D99*$B$53</f>
        <v/>
      </c>
      <c r="E146" s="5">
        <f>E99*$B$53</f>
        <v/>
      </c>
      <c r="F146" s="5">
        <f>F99*$B$53</f>
        <v/>
      </c>
      <c r="G146" s="5">
        <f>G99*$B$53</f>
        <v/>
      </c>
      <c r="H146" s="5">
        <f>H99*$B$53</f>
        <v/>
      </c>
      <c r="I146" s="5">
        <f>I99*$B$53</f>
        <v/>
      </c>
      <c r="J146" s="5">
        <f>J99*$B$53</f>
        <v/>
      </c>
      <c r="K146" s="5">
        <f>K99*$B$53</f>
        <v/>
      </c>
      <c r="L146" s="5">
        <f>L99*$B$53</f>
        <v/>
      </c>
    </row>
    <row r="147">
      <c r="A147" t="inlineStr">
        <is>
          <t>Variation du BFR</t>
        </is>
      </c>
      <c r="B147" s="5">
        <f>SUM(C147:L147)</f>
        <v/>
      </c>
      <c r="C147" s="5">
        <f>-C146</f>
        <v/>
      </c>
      <c r="D147" s="5">
        <f>-(D146-C146)</f>
        <v/>
      </c>
      <c r="E147" s="5">
        <f>-(E146-D146)</f>
        <v/>
      </c>
      <c r="F147" s="5">
        <f>-(F146-E146)</f>
        <v/>
      </c>
      <c r="G147" s="5">
        <f>-(G146-F146)</f>
        <v/>
      </c>
      <c r="H147" s="5">
        <f>-(H146-G146)</f>
        <v/>
      </c>
      <c r="I147" s="5">
        <f>-(I146-H146)</f>
        <v/>
      </c>
      <c r="J147" s="5">
        <f>-(J146-I146)</f>
        <v/>
      </c>
      <c r="K147" s="5">
        <f>-(K146-J146)</f>
        <v/>
      </c>
      <c r="L147" s="5">
        <f>-(L146-K146)</f>
        <v/>
      </c>
    </row>
    <row r="148">
      <c r="A148" s="4" t="inlineStr">
        <is>
          <t>Flux d'exploitation (EBITDA − IS − ΔBFR)</t>
        </is>
      </c>
      <c r="B148" s="17">
        <f>SUM(C148:L148)</f>
        <v/>
      </c>
      <c r="C148" s="17">
        <f>C115+C142+C147</f>
        <v/>
      </c>
      <c r="D148" s="17">
        <f>D115+D142+D147</f>
        <v/>
      </c>
      <c r="E148" s="17">
        <f>E115+E142+E147</f>
        <v/>
      </c>
      <c r="F148" s="17">
        <f>F115+F142+F147</f>
        <v/>
      </c>
      <c r="G148" s="17">
        <f>G115+G142+G147</f>
        <v/>
      </c>
      <c r="H148" s="17">
        <f>H115+H142+H147</f>
        <v/>
      </c>
      <c r="I148" s="17">
        <f>I115+I142+I147</f>
        <v/>
      </c>
      <c r="J148" s="17">
        <f>J115+J142+J147</f>
        <v/>
      </c>
      <c r="K148" s="17">
        <f>K115+K142+K147</f>
        <v/>
      </c>
      <c r="L148" s="17">
        <f>L115+L142+L147</f>
        <v/>
      </c>
    </row>
    <row r="149">
      <c r="A149" s="4" t="inlineStr">
        <is>
          <t>Flux d'investissement</t>
        </is>
      </c>
      <c r="B149" s="17">
        <f>SUM(C149:L149)</f>
        <v/>
      </c>
      <c r="C149" s="17">
        <f>-(C118+C117+C119)</f>
        <v/>
      </c>
      <c r="D149" s="17">
        <f>-(D118+D117+D119)</f>
        <v/>
      </c>
      <c r="E149" s="17">
        <f>-(E118+E117+E119)</f>
        <v/>
      </c>
      <c r="F149" s="17">
        <f>-(F118+F117+F119)</f>
        <v/>
      </c>
      <c r="G149" s="17">
        <f>-(G118+G117+G119)</f>
        <v/>
      </c>
      <c r="H149" s="17">
        <f>-(H118+H117+H119)</f>
        <v/>
      </c>
      <c r="I149" s="17">
        <f>-(I118+I117+I119)</f>
        <v/>
      </c>
      <c r="J149" s="17">
        <f>-(J118+J117+J119)</f>
        <v/>
      </c>
      <c r="K149" s="17">
        <f>-(K118+K117+K119)</f>
        <v/>
      </c>
      <c r="L149" s="17">
        <f>-(L118+L117+L119)</f>
        <v/>
      </c>
    </row>
    <row r="150">
      <c r="A150" t="inlineStr">
        <is>
          <t xml:space="preserve">  Apports en fonds propres + subventions</t>
        </is>
      </c>
      <c r="B150" s="5">
        <f>SUM(C150:L150)</f>
        <v/>
      </c>
      <c r="C150" s="5">
        <f>IF(C$81=1,$B$21,0)+IF(C$81=$B$5,$B$22*(1-$B$44)+$B$24,0)</f>
        <v/>
      </c>
      <c r="D150" s="5">
        <f>IF(D$81=1,$B$21,0)+IF(D$81=$B$5,$B$22*(1-$B$44)+$B$24,0)</f>
        <v/>
      </c>
      <c r="E150" s="5">
        <f>IF(E$81=1,$B$21,0)+IF(E$81=$B$5,$B$22*(1-$B$44)+$B$24,0)</f>
        <v/>
      </c>
      <c r="F150" s="5">
        <f>IF(F$81=1,$B$21,0)+IF(F$81=$B$5,$B$22*(1-$B$44)+$B$24,0)</f>
        <v/>
      </c>
      <c r="G150" s="5">
        <f>IF(G$81=1,$B$21,0)+IF(G$81=$B$5,$B$22*(1-$B$44)+$B$24,0)</f>
        <v/>
      </c>
      <c r="H150" s="5">
        <f>IF(H$81=1,$B$21,0)+IF(H$81=$B$5,$B$22*(1-$B$44)+$B$24,0)</f>
        <v/>
      </c>
      <c r="I150" s="5">
        <f>IF(I$81=1,$B$21,0)+IF(I$81=$B$5,$B$22*(1-$B$44)+$B$24,0)</f>
        <v/>
      </c>
      <c r="J150" s="5">
        <f>IF(J$81=1,$B$21,0)+IF(J$81=$B$5,$B$22*(1-$B$44)+$B$24,0)</f>
        <v/>
      </c>
      <c r="K150" s="5">
        <f>IF(K$81=1,$B$21,0)+IF(K$81=$B$5,$B$22*(1-$B$44)+$B$24,0)</f>
        <v/>
      </c>
      <c r="L150" s="5">
        <f>IF(L$81=1,$B$21,0)+IF(L$81=$B$5,$B$22*(1-$B$44)+$B$24,0)</f>
        <v/>
      </c>
    </row>
    <row r="151">
      <c r="A151" t="inlineStr">
        <is>
          <t xml:space="preserve">  Tirages dette + crédit-vendeur + obligations</t>
        </is>
      </c>
      <c r="B151" s="5">
        <f>SUM(C151:L151)</f>
        <v/>
      </c>
      <c r="C151" s="5">
        <f>IF(C$81=$B$5,$B$25+$B$29+$B$32,0)</f>
        <v/>
      </c>
      <c r="D151" s="5">
        <f>IF(D$81=$B$5,$B$25+$B$29+$B$32,0)</f>
        <v/>
      </c>
      <c r="E151" s="5">
        <f>IF(E$81=$B$5,$B$25+$B$29+$B$32,0)</f>
        <v/>
      </c>
      <c r="F151" s="5">
        <f>IF(F$81=$B$5,$B$25+$B$29+$B$32,0)</f>
        <v/>
      </c>
      <c r="G151" s="5">
        <f>IF(G$81=$B$5,$B$25+$B$29+$B$32,0)</f>
        <v/>
      </c>
      <c r="H151" s="5">
        <f>IF(H$81=$B$5,$B$25+$B$29+$B$32,0)</f>
        <v/>
      </c>
      <c r="I151" s="5">
        <f>IF(I$81=$B$5,$B$25+$B$29+$B$32,0)</f>
        <v/>
      </c>
      <c r="J151" s="5">
        <f>IF(J$81=$B$5,$B$25+$B$29+$B$32,0)</f>
        <v/>
      </c>
      <c r="K151" s="5">
        <f>IF(K$81=$B$5,$B$25+$B$29+$B$32,0)</f>
        <v/>
      </c>
      <c r="L151" s="5">
        <f>IF(L$81=$B$5,$B$25+$B$29+$B$32,0)</f>
        <v/>
      </c>
    </row>
    <row r="152">
      <c r="A152" t="inlineStr">
        <is>
          <t xml:space="preserve">  Service de la dette (intérêts + capital + coupons + rembt obligations)</t>
        </is>
      </c>
      <c r="B152" s="5">
        <f>SUM(C152:L152)</f>
        <v/>
      </c>
      <c r="C152" s="5">
        <f>-(C128+C129+C132+C133+C136+C137)</f>
        <v/>
      </c>
      <c r="D152" s="5">
        <f>-(D128+D129+D132+D133+D136+D137)</f>
        <v/>
      </c>
      <c r="E152" s="5">
        <f>-(E128+E129+E132+E133+E136+E137)</f>
        <v/>
      </c>
      <c r="F152" s="5">
        <f>-(F128+F129+F132+F133+F136+F137)</f>
        <v/>
      </c>
      <c r="G152" s="5">
        <f>-(G128+G129+G132+G133+G136+G137)</f>
        <v/>
      </c>
      <c r="H152" s="5">
        <f>-(H128+H129+H132+H133+H136+H137)</f>
        <v/>
      </c>
      <c r="I152" s="5">
        <f>-(I128+I129+I132+I133+I136+I137)</f>
        <v/>
      </c>
      <c r="J152" s="5">
        <f>-(J128+J129+J132+J133+J136+J137)</f>
        <v/>
      </c>
      <c r="K152" s="5">
        <f>-(K128+K129+K132+K133+K136+K137)</f>
        <v/>
      </c>
      <c r="L152" s="5">
        <f>-(L128+L129+L132+L133+L136+L137)</f>
        <v/>
      </c>
    </row>
    <row r="153">
      <c r="A153" s="4" t="inlineStr">
        <is>
          <t>Flux de financement</t>
        </is>
      </c>
      <c r="B153" s="17">
        <f>SUM(C153:L153)</f>
        <v/>
      </c>
      <c r="C153" s="17">
        <f>C150+C151+C152</f>
        <v/>
      </c>
      <c r="D153" s="17">
        <f>D150+D151+D152</f>
        <v/>
      </c>
      <c r="E153" s="17">
        <f>E150+E151+E152</f>
        <v/>
      </c>
      <c r="F153" s="17">
        <f>F150+F151+F152</f>
        <v/>
      </c>
      <c r="G153" s="17">
        <f>G150+G151+G152</f>
        <v/>
      </c>
      <c r="H153" s="17">
        <f>H150+H151+H152</f>
        <v/>
      </c>
      <c r="I153" s="17">
        <f>I150+I151+I152</f>
        <v/>
      </c>
      <c r="J153" s="17">
        <f>J150+J151+J152</f>
        <v/>
      </c>
      <c r="K153" s="17">
        <f>K150+K151+K152</f>
        <v/>
      </c>
      <c r="L153" s="17">
        <f>L150+L151+L152</f>
        <v/>
      </c>
    </row>
    <row r="154">
      <c r="A154" s="4" t="inlineStr">
        <is>
          <t>Variation de trésorerie</t>
        </is>
      </c>
      <c r="B154" s="17">
        <f>SUM(C154:L154)</f>
        <v/>
      </c>
      <c r="C154" s="17">
        <f>C148+C149+C153</f>
        <v/>
      </c>
      <c r="D154" s="17">
        <f>D148+D149+D153</f>
        <v/>
      </c>
      <c r="E154" s="17">
        <f>E148+E149+E153</f>
        <v/>
      </c>
      <c r="F154" s="17">
        <f>F148+F149+F153</f>
        <v/>
      </c>
      <c r="G154" s="17">
        <f>G148+G149+G153</f>
        <v/>
      </c>
      <c r="H154" s="17">
        <f>H148+H149+H153</f>
        <v/>
      </c>
      <c r="I154" s="17">
        <f>I148+I149+I153</f>
        <v/>
      </c>
      <c r="J154" s="17">
        <f>J148+J149+J153</f>
        <v/>
      </c>
      <c r="K154" s="17">
        <f>K148+K149+K153</f>
        <v/>
      </c>
      <c r="L154" s="17">
        <f>L148+L149+L153</f>
        <v/>
      </c>
    </row>
    <row r="155">
      <c r="A155" s="4" t="inlineStr">
        <is>
          <t>Trésorerie fin d'année</t>
        </is>
      </c>
      <c r="C155" s="17">
        <f>C154</f>
        <v/>
      </c>
      <c r="D155" s="17">
        <f>C155+D154</f>
        <v/>
      </c>
      <c r="E155" s="17">
        <f>D155+E154</f>
        <v/>
      </c>
      <c r="F155" s="17">
        <f>E155+F154</f>
        <v/>
      </c>
      <c r="G155" s="17">
        <f>F155+G154</f>
        <v/>
      </c>
      <c r="H155" s="17">
        <f>G155+H154</f>
        <v/>
      </c>
      <c r="I155" s="17">
        <f>H155+I154</f>
        <v/>
      </c>
      <c r="J155" s="17">
        <f>I155+J154</f>
        <v/>
      </c>
      <c r="K155" s="17">
        <f>J155+K154</f>
        <v/>
      </c>
      <c r="L155" s="17">
        <f>K155+L154</f>
        <v/>
      </c>
    </row>
    <row r="156">
      <c r="A156" t="inlineStr">
        <is>
          <t>Cash-flow libre d'exploitation (CFO − gros entretien − service dette hors obligations in fine)</t>
        </is>
      </c>
      <c r="B156" s="5">
        <f>SUM(C156:L156)</f>
        <v/>
      </c>
      <c r="C156" s="5">
        <f>C148-C119-(C128+C129+C132+C133+C136)</f>
        <v/>
      </c>
      <c r="D156" s="5">
        <f>D148-D119-(D128+D129+D132+D133+D136)</f>
        <v/>
      </c>
      <c r="E156" s="5">
        <f>E148-E119-(E128+E129+E132+E133+E136)</f>
        <v/>
      </c>
      <c r="F156" s="5">
        <f>F148-F119-(F128+F129+F132+F133+F136)</f>
        <v/>
      </c>
      <c r="G156" s="5">
        <f>G148-G119-(G128+G129+G132+G133+G136)</f>
        <v/>
      </c>
      <c r="H156" s="5">
        <f>H148-H119-(H128+H129+H132+H133+H136)</f>
        <v/>
      </c>
      <c r="I156" s="5">
        <f>I148-I119-(I128+I129+I132+I133+I136)</f>
        <v/>
      </c>
      <c r="J156" s="5">
        <f>J148-J119-(J128+J129+J132+J133+J136)</f>
        <v/>
      </c>
      <c r="K156" s="5">
        <f>K148-K119-(K128+K129+K132+K133+K136)</f>
        <v/>
      </c>
      <c r="L156" s="5">
        <f>L148-L119-(L128+L129+L132+L133+L136)</f>
        <v/>
      </c>
    </row>
    <row r="157">
      <c r="A157" t="inlineStr">
        <is>
          <t>DSCR ((EBITDA − IS) / service de la dette)</t>
        </is>
      </c>
      <c r="C157" s="7">
        <f>IF((C128+C129+C132+C133+C136)=0,"",(C115+C142)/(C128+C129+C132+C133+C136))</f>
        <v/>
      </c>
      <c r="D157" s="7">
        <f>IF((D128+D129+D132+D133+D136)=0,"",(D115+D142)/(D128+D129+D132+D133+D136))</f>
        <v/>
      </c>
      <c r="E157" s="7">
        <f>IF((E128+E129+E132+E133+E136)=0,"",(E115+E142)/(E128+E129+E132+E133+E136))</f>
        <v/>
      </c>
      <c r="F157" s="7">
        <f>IF((F128+F129+F132+F133+F136)=0,"",(F115+F142)/(F128+F129+F132+F133+F136))</f>
        <v/>
      </c>
      <c r="G157" s="7">
        <f>IF((G128+G129+G132+G133+G136)=0,"",(G115+G142)/(G128+G129+G132+G133+G136))</f>
        <v/>
      </c>
      <c r="H157" s="7">
        <f>IF((H128+H129+H132+H133+H136)=0,"",(H115+H142)/(H128+H129+H132+H133+H136))</f>
        <v/>
      </c>
      <c r="I157" s="7">
        <f>IF((I128+I129+I132+I133+I136)=0,"",(I115+I142)/(I128+I129+I132+I133+I136))</f>
        <v/>
      </c>
      <c r="J157" s="7">
        <f>IF((J128+J129+J132+J133+J136)=0,"",(J115+J142)/(J128+J129+J132+J133+J136))</f>
        <v/>
      </c>
      <c r="K157" s="7">
        <f>IF((K128+K129+K132+K133+K136)=0,"",(K115+K142)/(K128+K129+K132+K133+K136))</f>
        <v/>
      </c>
      <c r="L157" s="7">
        <f>IF((L128+L129+L132+L133+L136)=0,"",(L115+L142)/(L128+L129+L132+L133+L136))</f>
        <v/>
      </c>
    </row>
    <row r="159">
      <c r="A159" s="4" t="inlineStr">
        <is>
          <t>Rentabilité des investisseurs et contrôle</t>
        </is>
      </c>
    </row>
    <row r="160">
      <c r="A160" t="inlineStr">
        <is>
          <t>Dettes financières totales fin d'année</t>
        </is>
      </c>
      <c r="C160" s="5">
        <f>C130+C134+C135-C137</f>
        <v/>
      </c>
      <c r="D160" s="5">
        <f>D130+D134+D135-D137</f>
        <v/>
      </c>
      <c r="E160" s="5">
        <f>E130+E134+E135-E137</f>
        <v/>
      </c>
      <c r="F160" s="5">
        <f>F130+F134+F135-F137</f>
        <v/>
      </c>
      <c r="G160" s="5">
        <f>G130+G134+G135-G137</f>
        <v/>
      </c>
      <c r="H160" s="5">
        <f>H130+H134+H135-H137</f>
        <v/>
      </c>
      <c r="I160" s="5">
        <f>I130+I134+I135-I137</f>
        <v/>
      </c>
      <c r="J160" s="5">
        <f>J130+J134+J135-J137</f>
        <v/>
      </c>
      <c r="K160" s="5">
        <f>K130+K134+K135-K137</f>
        <v/>
      </c>
      <c r="L160" s="5">
        <f>L130+L134+L135-L137</f>
        <v/>
      </c>
    </row>
    <row r="161">
      <c r="A161" t="inlineStr">
        <is>
          <t>Valeur estimée de l'actif (si cédé cette année)</t>
        </is>
      </c>
      <c r="C161" s="5">
        <f>C87*($B$7+C120)*$B$17</f>
        <v/>
      </c>
      <c r="D161" s="5">
        <f>D87*($B$7+D120)*$B$17</f>
        <v/>
      </c>
      <c r="E161" s="5">
        <f>E87*($B$7+E120)*$B$17</f>
        <v/>
      </c>
      <c r="F161" s="5">
        <f>F87*($B$7+F120)*$B$17</f>
        <v/>
      </c>
      <c r="G161" s="5">
        <f>G87*($B$7+G120)*$B$17</f>
        <v/>
      </c>
      <c r="H161" s="5">
        <f>H87*($B$7+H120)*$B$17</f>
        <v/>
      </c>
      <c r="I161" s="5">
        <f>I87*($B$7+I120)*$B$17</f>
        <v/>
      </c>
      <c r="J161" s="5">
        <f>J87*($B$7+J120)*$B$17</f>
        <v/>
      </c>
      <c r="K161" s="5">
        <f>K87*($B$7+K120)*$B$17</f>
        <v/>
      </c>
      <c r="L161" s="5">
        <f>L87*($B$7+L120)*$B$17</f>
        <v/>
      </c>
    </row>
    <row r="162">
      <c r="A162" t="inlineStr">
        <is>
          <t>Valeur des fonds propres (actif + trésorerie − dettes)</t>
        </is>
      </c>
      <c r="C162" s="5">
        <f>C161+C155-C160</f>
        <v/>
      </c>
      <c r="D162" s="5">
        <f>D161+D155-D160</f>
        <v/>
      </c>
      <c r="E162" s="5">
        <f>E161+E155-E160</f>
        <v/>
      </c>
      <c r="F162" s="5">
        <f>F161+F155-F160</f>
        <v/>
      </c>
      <c r="G162" s="5">
        <f>G161+G155-G160</f>
        <v/>
      </c>
      <c r="H162" s="5">
        <f>H161+H155-H160</f>
        <v/>
      </c>
      <c r="I162" s="5">
        <f>I161+I155-I160</f>
        <v/>
      </c>
      <c r="J162" s="5">
        <f>J161+J155-J160</f>
        <v/>
      </c>
      <c r="K162" s="5">
        <f>K161+K155-K160</f>
        <v/>
      </c>
      <c r="L162" s="5">
        <f>L161+L155-L160</f>
        <v/>
      </c>
    </row>
    <row r="163">
      <c r="A163" t="inlineStr">
        <is>
          <t>Flux des investisseurs (entrée an d'acq., sortie an 10)</t>
        </is>
      </c>
      <c r="B163" s="5">
        <f>SUM(C163:L163)</f>
        <v/>
      </c>
      <c r="C163" s="5">
        <f>-IF(C$81=$B$5,$B$22*(1-$B$44)*(1-$B$23),0)</f>
        <v/>
      </c>
      <c r="D163" s="5">
        <f>-IF(D$81=$B$5,$B$22*(1-$B$44)*(1-$B$23),0)</f>
        <v/>
      </c>
      <c r="E163" s="5">
        <f>-IF(E$81=$B$5,$B$22*(1-$B$44)*(1-$B$23),0)</f>
        <v/>
      </c>
      <c r="F163" s="5">
        <f>-IF(F$81=$B$5,$B$22*(1-$B$44)*(1-$B$23),0)</f>
        <v/>
      </c>
      <c r="G163" s="5">
        <f>-IF(G$81=$B$5,$B$22*(1-$B$44)*(1-$B$23),0)</f>
        <v/>
      </c>
      <c r="H163" s="5">
        <f>-IF(H$81=$B$5,$B$22*(1-$B$44)*(1-$B$23),0)</f>
        <v/>
      </c>
      <c r="I163" s="5">
        <f>-IF(I$81=$B$5,$B$22*(1-$B$44)*(1-$B$23),0)</f>
        <v/>
      </c>
      <c r="J163" s="5">
        <f>-IF(J$81=$B$5,$B$22*(1-$B$44)*(1-$B$23),0)</f>
        <v/>
      </c>
      <c r="K163" s="5">
        <f>-IF(K$81=$B$5,$B$22*(1-$B$44)*(1-$B$23),0)</f>
        <v/>
      </c>
      <c r="L163" s="5">
        <f>-IF(L$81=$B$5,$B$22*(1-$B$44)*(1-$B$23),0)+MAX(0,L162)*(1-$B$35)</f>
        <v/>
      </c>
    </row>
    <row r="164">
      <c r="A164" t="inlineStr">
        <is>
          <t>Flux du fondateur et de sa holding (apports, sortie théorique an 10)</t>
        </is>
      </c>
      <c r="B164" s="5">
        <f>SUM(C164:L164)</f>
        <v/>
      </c>
      <c r="C164" s="5">
        <f>-IF(C$81=1,$B$21,0)-IF(C$81=$B$5,$B$22*(1-$B$44)*$B$23,0)</f>
        <v/>
      </c>
      <c r="D164" s="5">
        <f>-IF(D$81=1,$B$21,0)-IF(D$81=$B$5,$B$22*(1-$B$44)*$B$23,0)</f>
        <v/>
      </c>
      <c r="E164" s="5">
        <f>-IF(E$81=1,$B$21,0)-IF(E$81=$B$5,$B$22*(1-$B$44)*$B$23,0)</f>
        <v/>
      </c>
      <c r="F164" s="5">
        <f>-IF(F$81=1,$B$21,0)-IF(F$81=$B$5,$B$22*(1-$B$44)*$B$23,0)</f>
        <v/>
      </c>
      <c r="G164" s="5">
        <f>-IF(G$81=1,$B$21,0)-IF(G$81=$B$5,$B$22*(1-$B$44)*$B$23,0)</f>
        <v/>
      </c>
      <c r="H164" s="5">
        <f>-IF(H$81=1,$B$21,0)-IF(H$81=$B$5,$B$22*(1-$B$44)*$B$23,0)</f>
        <v/>
      </c>
      <c r="I164" s="5">
        <f>-IF(I$81=1,$B$21,0)-IF(I$81=$B$5,$B$22*(1-$B$44)*$B$23,0)</f>
        <v/>
      </c>
      <c r="J164" s="5">
        <f>-IF(J$81=1,$B$21,0)-IF(J$81=$B$5,$B$22*(1-$B$44)*$B$23,0)</f>
        <v/>
      </c>
      <c r="K164" s="5">
        <f>-IF(K$81=1,$B$21,0)-IF(K$81=$B$5,$B$22*(1-$B$44)*$B$23,0)</f>
        <v/>
      </c>
      <c r="L164" s="5">
        <f>-IF(L$81=1,$B$21,0)-IF(L$81=$B$5,$B$22*(1-$B$44)*$B$23,0)+MAX(0,L162)*$B$35</f>
        <v/>
      </c>
    </row>
    <row r="166">
      <c r="A166" s="10" t="inlineStr">
        <is>
          <t>8. Indicateurs clés</t>
        </is>
      </c>
      <c r="B166" s="11" t="n"/>
      <c r="C166" s="11" t="n"/>
      <c r="D166" s="11" t="n"/>
      <c r="E166" s="11" t="n"/>
      <c r="F166" s="11" t="n"/>
      <c r="G166" s="11" t="n"/>
      <c r="H166" s="11" t="n"/>
      <c r="I166" s="11" t="n"/>
      <c r="J166" s="11" t="n"/>
      <c r="K166" s="11" t="n"/>
      <c r="L166" s="11" t="n"/>
      <c r="M166" s="11" t="n"/>
    </row>
    <row r="167">
      <c r="A167" t="inlineStr">
        <is>
          <t>Emplois totaux (acq. + frais + travaux initiaux)</t>
        </is>
      </c>
      <c r="B167" s="17">
        <f>$B$7*(1+$B$8)+SUM(C117:L117)</f>
        <v/>
      </c>
    </row>
    <row r="168">
      <c r="A168" t="inlineStr">
        <is>
          <t>Ressources externes et apports prévus</t>
        </is>
      </c>
      <c r="B168" s="17">
        <f>$B$21+$B$22*(1-$B$44)+$B$24+$B$25+$B$29+$B$32</f>
        <v/>
      </c>
    </row>
    <row r="169">
      <c r="A169" t="inlineStr">
        <is>
          <t>CA année 5</t>
        </is>
      </c>
      <c r="B169" s="17">
        <f>G99</f>
        <v/>
      </c>
    </row>
    <row r="170">
      <c r="A170" t="inlineStr">
        <is>
          <t>EBITDA année 5</t>
        </is>
      </c>
      <c r="B170" s="17">
        <f>G115</f>
        <v/>
      </c>
    </row>
    <row r="171">
      <c r="A171" t="inlineStr">
        <is>
          <t>EBITDA année 10</t>
        </is>
      </c>
      <c r="B171" s="17">
        <f>L115</f>
        <v/>
      </c>
    </row>
    <row r="172">
      <c r="A172" t="inlineStr">
        <is>
          <t>Part équestre du CA année 5</t>
        </is>
      </c>
      <c r="B172" s="18">
        <f>G101</f>
        <v/>
      </c>
    </row>
    <row r="173">
      <c r="A173" t="inlineStr">
        <is>
          <t>Trésorerie minimale sur 10 ans</t>
        </is>
      </c>
      <c r="B173" s="17">
        <f>MIN(C155:L155)</f>
        <v/>
      </c>
    </row>
    <row r="174">
      <c r="A174" t="inlineStr">
        <is>
          <t>Trésorerie fin année 10</t>
        </is>
      </c>
      <c r="B174" s="17">
        <f>L155</f>
        <v/>
      </c>
    </row>
    <row r="175">
      <c r="A175" t="inlineStr">
        <is>
          <t>DSCR minimal (années 4 à 10)</t>
        </is>
      </c>
      <c r="B175" s="19">
        <f>IF(COUNT(F157:L157)=0,"n/a",MIN(F157:L157))</f>
        <v/>
      </c>
    </row>
    <row r="176">
      <c r="A176" t="inlineStr">
        <is>
          <t>Nb d'années à cash-flow libre d'exploitation négatif (an 4–10)</t>
        </is>
      </c>
      <c r="B176" s="20">
        <f>COUNTIF(F156:L156,"&lt;0")</f>
        <v/>
      </c>
    </row>
    <row r="177">
      <c r="A177" t="inlineStr">
        <is>
          <t>TRI investisseurs (sortie théorique an 10)</t>
        </is>
      </c>
      <c r="B177" s="18">
        <f>IFERROR(IRR(C163:L163,-0.05),"perte quasi totale (TRI non calculable)")</f>
        <v/>
      </c>
    </row>
    <row r="178">
      <c r="A178" t="inlineStr">
        <is>
          <t>TRI fondateur (sortie théorique an 10)</t>
        </is>
      </c>
      <c r="B178" s="18">
        <f>IFERROR(IRR(C164:L164,-0.05),"perte quasi totale (TRI non calculable)")</f>
        <v/>
      </c>
    </row>
    <row r="179">
      <c r="A179" t="inlineStr">
        <is>
          <t>Dette bancaire soutenable estimée (DSCR 1,2 sur (EBITDA − gros entretien) an 6, taux et durée du scénario)</t>
        </is>
      </c>
      <c r="B179" s="17">
        <f>MAX(0,PV($B$26,$B$27,-(H115-H119)/1.2))</f>
        <v/>
      </c>
    </row>
    <row r="180">
      <c r="A180" t="inlineStr">
        <is>
          <t>Fonds propres nécessaires (emplois + réserve − dette soutenable)</t>
        </is>
      </c>
      <c r="B180" s="17">
        <f>$B$7*(1+$B$8)+SUM(C117:L117)+$B$37-$B$179</f>
        <v/>
      </c>
    </row>
    <row r="181">
      <c r="A181" t="inlineStr">
        <is>
          <t>Part du capital du fondateur</t>
        </is>
      </c>
      <c r="B181" s="18">
        <f>$B$35</f>
        <v/>
      </c>
    </row>
    <row r="182">
      <c r="A182" t="inlineStr">
        <is>
          <t>Droits de vote du fondateur</t>
        </is>
      </c>
      <c r="B182" s="18">
        <f>$B$36</f>
        <v/>
      </c>
    </row>
    <row r="183">
      <c r="A183" s="4" t="inlineStr">
        <is>
          <t>Verdict (règle : trésorerie ≥ réserve cible, DSCR ≥ 1,2, cash-flow libre ≥ 0 an 4–10)</t>
        </is>
      </c>
      <c r="B183" s="4">
        <f>IF(AND($B$173&gt;=0,$B$174&gt;=$B$37,OR($B$175="n/a",$B$175&gt;=1.2),$B$176=0),"VIABLE sous hypothèses",IF($B$173&lt;0,"NON VIABLE (trésorerie négative)","FRAGILE"))</f>
        <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60" customWidth="1" min="1" max="1"/>
    <col width="100" customWidth="1" min="2" max="2"/>
  </cols>
  <sheetData>
    <row r="1">
      <c r="A1" s="4" t="inlineStr">
        <is>
          <t>Hypothèse</t>
        </is>
      </c>
      <c r="B1" s="4" t="inlineStr">
        <is>
          <t>Source / justification / statut</t>
        </is>
      </c>
    </row>
    <row r="2">
      <c r="A2" t="inlineStr">
        <is>
          <t>Prix d'acquisition 2,65 M€</t>
        </is>
      </c>
      <c r="B2" s="2" t="inlineStr">
        <is>
          <t>Ordre de grandeur de l'annonce Ygrande (03), château 1835, 40 ha, 24 boxes — vue en extrait de recherche (french-property / Safer), disponibilité non vérifiée. Voir 01_OPPORTUNITES.</t>
        </is>
      </c>
    </row>
    <row r="3">
      <c r="A3" t="inlineStr">
        <is>
          <t>Frais d'acquisition 7,5 %</t>
        </is>
      </c>
      <c r="B3" s="2" t="inlineStr">
        <is>
          <t>DMTO 6,32 % dans 88 départements (JeChange, décompte 01/06/2026, source secondaire) + émoluments/débours ≈ 1,2 % ESTIMATION.</t>
        </is>
      </c>
    </row>
    <row r="4">
      <c r="A4" t="inlineStr">
        <is>
          <t>Taux bancaire 4,5 % / 20 ans</t>
        </is>
      </c>
      <c r="B4" s="2" t="inlineStr">
        <is>
          <t>Banque de France : coût moyen des nouveaux crédits aux entreprises 3,75 % (07/2026) — extrait ; prime de risque projet atypique ESTIMATION (agent 2).</t>
        </is>
      </c>
    </row>
    <row r="5">
      <c r="A5" t="inlineStr">
        <is>
          <t>Pension box 550 €/mois</t>
        </is>
      </c>
      <c r="B5" s="2" t="inlineStr">
        <is>
          <t>Fourchette 430-700 €/mois (IFCE OESC, Écuries de Fondurane) ; 395-435 € en rural (La Gosnière 2024-25) — extraits. 550 € = valeur centrale ESTIMÉE.</t>
        </is>
      </c>
    </row>
    <row r="6">
      <c r="A6" t="inlineStr">
        <is>
          <t>Pension pré/retraite 280 €/mois</t>
        </is>
      </c>
      <c r="B6" s="2" t="inlineStr">
        <is>
          <t>Fourchette 120-400 € (INRAE 2012, pétition) — fiabilité faible.</t>
        </is>
      </c>
    </row>
    <row r="7">
      <c r="A7" t="inlineStr">
        <is>
          <t>Soigneur 25 k€ chargé</t>
        </is>
      </c>
      <c r="B7" s="2" t="inlineStr">
        <is>
          <t>Grille IDCC 7026 coefficient 103 : 1 810,94 € brut/mois au 12/2024 (Tripalio) ; charges ESTIMÉES.</t>
        </is>
      </c>
    </row>
    <row r="8">
      <c r="A8" t="inlineStr">
        <is>
          <t>Productivité 1 ETP / 15-19 équidés</t>
        </is>
      </c>
      <c r="B8" s="2" t="inlineStr">
        <is>
          <t>Synthèse nationale des écuries de pension — extrait.</t>
        </is>
      </c>
    </row>
    <row r="9">
      <c r="A9" t="inlineStr">
        <is>
          <t>Mariage 5 500 €/week-end</t>
        </is>
      </c>
      <c r="B9" s="2" t="inlineStr">
        <is>
          <t>10 tarifs publiés de châteaux (Normandie, Centre-Loire) 3 500-12 000 €, médiane ≈ 5 900 € — extraits (agent 4).</t>
        </is>
      </c>
    </row>
    <row r="10">
      <c r="A10" t="inlineStr">
        <is>
          <t>18 mariages/an</t>
        </is>
      </c>
      <c r="B10" s="2" t="inlineStr">
        <is>
          <t>ESTIMATION : plafond compatible avec une vie privée sur 22 samedis mai-sept. INSEE : 60 % des mariages juin-sept., 82 % le samedi.</t>
        </is>
      </c>
    </row>
    <row r="11">
      <c r="A11" t="inlineStr">
        <is>
          <t>Journée d'étude 2 500 €</t>
        </is>
      </c>
      <c r="B11" s="2" t="inlineStr">
        <is>
          <t>Minimum 2 000 € HT/jour observé (Château du Chesnay-Haguest) ; ESTIMATION.</t>
        </is>
      </c>
    </row>
    <row r="12">
      <c r="A12" t="inlineStr">
        <is>
          <t>Gîte 1 000 €/semaine × 20</t>
        </is>
      </c>
      <c r="B12" s="2" t="inlineStr">
        <is>
          <t>Gîtes de France : 16,9 semaines louées/an pour un gîte rural, 47 % d'occupation 2024 ; prix ESTIMATION.</t>
        </is>
      </c>
    </row>
    <row r="13">
      <c r="A13" t="inlineStr">
        <is>
          <t>Tournage 2 000 €/jour</t>
        </is>
      </c>
      <c r="B13" s="2" t="inlineStr">
        <is>
          <t>SeLoger (extrait) ; fréquence INCONNUE.</t>
        </is>
      </c>
    </row>
    <row r="14">
      <c r="A14" t="inlineStr">
        <is>
          <t>Charges du château (énergie, assurance, taxe foncière, jardinier, parc)</t>
        </is>
      </c>
      <c r="B14" s="2" t="inlineStr">
        <is>
          <t>ESTIMATIONS non sourcées (agent 4 §7) : total 80-175 k€/an. Vague 2 de vérification : voir 05_AUDIT/Verifications_vague2.md.</t>
        </is>
      </c>
    </row>
    <row r="15">
      <c r="A15" t="inlineStr">
        <is>
          <t>Gros entretien 1 %/an</t>
        </is>
      </c>
      <c r="B15" s="2" t="inlineStr">
        <is>
          <t>Règle empirique non sourcée ; à remplacer par un diagnostic d'architecte du patrimoine.</t>
        </is>
      </c>
    </row>
    <row r="16">
      <c r="A16" t="inlineStr">
        <is>
          <t>Travaux 600 k€ + équestre + événementiel</t>
        </is>
      </c>
      <c r="B16" s="2" t="inlineStr">
        <is>
          <t>ESTIMATIONS sans visite ; salle ERP 200-450 k€, gîte 120-250 k€, manège 85-300 k€ (sources commerciales, agents 3-4).</t>
        </is>
      </c>
    </row>
    <row r="17">
      <c r="A17" t="inlineStr">
        <is>
          <t>Loyer location domaine (C) 100 k€/an</t>
        </is>
      </c>
      <c r="B17" s="2" t="inlineStr">
        <is>
          <t>ESTIMATION ≈ 3,8 % de la valeur ; aucun loyer de domaine sourcé.</t>
        </is>
      </c>
    </row>
    <row r="18">
      <c r="A18" t="inlineStr">
        <is>
          <t>Valeur de sortie 80 %</t>
        </is>
      </c>
      <c r="B18" s="2" t="inlineStr">
        <is>
          <t>ESTIMATION ; contre-exemple Haras de Hus : 20 M€ → 12,9 M€ en un an (prix affichés).</t>
        </is>
      </c>
    </row>
    <row r="19">
      <c r="A19" t="inlineStr">
        <is>
          <t>Cas prudent</t>
        </is>
      </c>
      <c r="B19" s="2" t="inlineStr">
        <is>
          <t>Volumes × 0,8 ; prix × 0,92 ; charges fixes × 1,1 ; travaux × 1,2 ; montée en charge 40/60/80 %.</t>
        </is>
      </c>
    </row>
    <row r="20">
      <c r="A20" t="inlineStr">
        <is>
          <t>Cas optimiste</t>
        </is>
      </c>
      <c r="B20" s="2" t="inlineStr">
        <is>
          <t>Volumes × 1,15 ; prix × 1,08 ; charges fixes × 0,95 ; travaux inchangés ; montée en charge 60/85/100 %.</t>
        </is>
      </c>
    </row>
    <row r="21">
      <c r="A21" t="inlineStr">
        <is>
          <t>Fonds propres investisseurs / dette / crédit-vendeur / obligations</t>
        </is>
      </c>
      <c r="B21" s="2" t="inlineStr">
        <is>
          <t>AUCUN financement n'est acquis. Aucun investisseur n'a été contacté.</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2026-10-14T12:46:47Z</dcterms:created>
  <dcterms:modified xmlns:dcterms="http://purl.org/dc/terms/" xmlns:xsi="http://www.w3.org/2001/XMLSchema-instance" xsi:type="dcterms:W3CDTF">2026-10-14T12:46:47Z</dcterms:modified>
</cp:coreProperties>
</file>