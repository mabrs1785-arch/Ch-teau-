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A_central" sheetId="3" state="visible" r:id="rId3"/>
    <sheet xmlns:r="http://schemas.openxmlformats.org/officeDocument/2006/relationships" name="A_prudent" sheetId="4" state="visible" r:id="rId4"/>
    <sheet xmlns:r="http://schemas.openxmlformats.org/officeDocument/2006/relationships" name="A_optimiste" sheetId="5" state="visible" r:id="rId5"/>
    <sheet xmlns:r="http://schemas.openxmlformats.org/officeDocument/2006/relationships" name="B_central" sheetId="6" state="visible" r:id="rId6"/>
    <sheet xmlns:r="http://schemas.openxmlformats.org/officeDocument/2006/relationships" name="B_prudent" sheetId="7" state="visible" r:id="rId7"/>
    <sheet xmlns:r="http://schemas.openxmlformats.org/officeDocument/2006/relationships" name="B_optimiste" sheetId="8" state="visible" r:id="rId8"/>
    <sheet xmlns:r="http://schemas.openxmlformats.org/officeDocument/2006/relationships" name="B_club_deal" sheetId="9" state="visible" r:id="rId9"/>
    <sheet xmlns:r="http://schemas.openxmlformats.org/officeDocument/2006/relationships" name="B_credit_vendeur" sheetId="10" state="visible" r:id="rId10"/>
    <sheet xmlns:r="http://schemas.openxmlformats.org/officeDocument/2006/relationships" name="B_sans_dette" sheetId="11" state="visible" r:id="rId11"/>
    <sheet xmlns:r="http://schemas.openxmlformats.org/officeDocument/2006/relationships" name="B_frugal" sheetId="12" state="visible" r:id="rId12"/>
    <sheet xmlns:r="http://schemas.openxmlformats.org/officeDocument/2006/relationships" name="B_frugal_sans_dette" sheetId="13" state="visible" r:id="rId13"/>
    <sheet xmlns:r="http://schemas.openxmlformats.org/officeDocument/2006/relationships" name="A_frugal" sheetId="14" state="visible" r:id="rId14"/>
    <sheet xmlns:r="http://schemas.openxmlformats.org/officeDocument/2006/relationships" name="C_central" sheetId="15" state="visible" r:id="rId15"/>
    <sheet xmlns:r="http://schemas.openxmlformats.org/officeDocument/2006/relationships" name="C_prudent" sheetId="16" state="visible" r:id="rId16"/>
    <sheet xmlns:r="http://schemas.openxmlformats.org/officeDocument/2006/relationships" name="C_optimiste" sheetId="17" state="visible" r:id="rId17"/>
    <sheet xmlns:r="http://schemas.openxmlformats.org/officeDocument/2006/relationships" name="C_negocie" sheetId="18" state="visible" r:id="rId18"/>
    <sheet xmlns:r="http://schemas.openxmlformats.org/officeDocument/2006/relationships" name="E_bail_emphyteotique" sheetId="19" state="visible" r:id="rId19"/>
    <sheet xmlns:r="http://schemas.openxmlformats.org/officeDocument/2006/relationships" name="E_allege" sheetId="20" state="visible" r:id="rId20"/>
    <sheet xmlns:r="http://schemas.openxmlformats.org/officeDocument/2006/relationships" name="S_Cc_CA-30" sheetId="21" state="visible" r:id="rId21"/>
    <sheet xmlns:r="http://schemas.openxmlformats.org/officeDocument/2006/relationships" name="S_Cc_Travaux+30" sheetId="22" state="visible" r:id="rId22"/>
    <sheet xmlns:r="http://schemas.openxmlformats.org/officeDocument/2006/relationships" name="S_Cc_Retard12m" sheetId="23" state="visible" r:id="rId23"/>
    <sheet xmlns:r="http://schemas.openxmlformats.org/officeDocument/2006/relationships" name="S_Cc_Taux+2pts" sheetId="24" state="visible" r:id="rId24"/>
    <sheet xmlns:r="http://schemas.openxmlformats.org/officeDocument/2006/relationships" name="S_Cc_RetraitFP50" sheetId="25" state="visible" r:id="rId25"/>
    <sheet xmlns:r="http://schemas.openxmlformats.org/officeDocument/2006/relationships" name="S_Cc_Annul40evt" sheetId="26" state="visible" r:id="rId26"/>
    <sheet xmlns:r="http://schemas.openxmlformats.org/officeDocument/2006/relationships" name="S_Cc_Cumul" sheetId="27" state="visible" r:id="rId27"/>
    <sheet xmlns:r="http://schemas.openxmlformats.org/officeDocument/2006/relationships" name="S_Cn_CA-30" sheetId="28" state="visible" r:id="rId28"/>
    <sheet xmlns:r="http://schemas.openxmlformats.org/officeDocument/2006/relationships" name="S_Cn_Travaux+30" sheetId="29" state="visible" r:id="rId29"/>
    <sheet xmlns:r="http://schemas.openxmlformats.org/officeDocument/2006/relationships" name="S_Cn_Retard12m" sheetId="30" state="visible" r:id="rId30"/>
    <sheet xmlns:r="http://schemas.openxmlformats.org/officeDocument/2006/relationships" name="S_Cn_Taux+2pts" sheetId="31" state="visible" r:id="rId31"/>
    <sheet xmlns:r="http://schemas.openxmlformats.org/officeDocument/2006/relationships" name="S_Cn_RetraitFP50" sheetId="32" state="visible" r:id="rId32"/>
    <sheet xmlns:r="http://schemas.openxmlformats.org/officeDocument/2006/relationships" name="S_Cn_Annul40evt" sheetId="33" state="visible" r:id="rId33"/>
    <sheet xmlns:r="http://schemas.openxmlformats.org/officeDocument/2006/relationships" name="S_Cn_Cumul" sheetId="34" state="visible" r:id="rId34"/>
    <sheet xmlns:r="http://schemas.openxmlformats.org/officeDocument/2006/relationships" name="S_Bfsd_CA-30" sheetId="35" state="visible" r:id="rId35"/>
    <sheet xmlns:r="http://schemas.openxmlformats.org/officeDocument/2006/relationships" name="S_Bfsd_Travaux+30" sheetId="36" state="visible" r:id="rId36"/>
    <sheet xmlns:r="http://schemas.openxmlformats.org/officeDocument/2006/relationships" name="S_Bfsd_Retard12m" sheetId="37" state="visible" r:id="rId37"/>
    <sheet xmlns:r="http://schemas.openxmlformats.org/officeDocument/2006/relationships" name="S_Bfsd_Taux+2pts" sheetId="38" state="visible" r:id="rId38"/>
    <sheet xmlns:r="http://schemas.openxmlformats.org/officeDocument/2006/relationships" name="S_Bfsd_RetraitFP50" sheetId="39" state="visible" r:id="rId39"/>
    <sheet xmlns:r="http://schemas.openxmlformats.org/officeDocument/2006/relationships" name="S_Bfsd_Annul40evt" sheetId="40" state="visible" r:id="rId40"/>
    <sheet xmlns:r="http://schemas.openxmlformats.org/officeDocument/2006/relationships" name="S_Bfsd_Cumul" sheetId="41" state="visible" r:id="rId41"/>
    <sheet xmlns:r="http://schemas.openxmlformats.org/officeDocument/2006/relationships" name="Sources_hypothese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0.0%"/>
    <numFmt numFmtId="166" formatCode="0.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3"/>
    </font>
    <font>
      <i val="1"/>
    </font>
    <font>
      <b val="1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DDE7F0"/>
      </patternFill>
    </fill>
    <fill>
      <patternFill patternType="solid">
        <fgColor rgb="00FFF6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164" fontId="5" fillId="3" borderId="0" pivotButton="0" quotePrefix="0" xfId="0"/>
    <xf numFmtId="165" fontId="5" fillId="3" borderId="0" pivotButton="0" quotePrefix="0" xfId="0"/>
    <xf numFmtId="165" fontId="4" fillId="0" borderId="0" pivotButton="0" quotePrefix="0" xfId="0"/>
    <xf numFmtId="3" fontId="5" fillId="3" borderId="0" pivotButton="0" quotePrefix="0" xfId="0"/>
    <xf numFmtId="0" fontId="5" fillId="3" borderId="0" pivotButton="0" quotePrefix="0" xfId="0"/>
    <xf numFmtId="166" fontId="0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Opération Château v2 — Prévisionnels 10 ans</t>
        </is>
      </c>
    </row>
    <row r="2">
      <c r="A2" s="2" t="inlineStr">
        <is>
          <t>Généré le 2026-10-14 par build_model.py à partir de hypotheses.py. Toutes les cellules de calcul sont des formules : modifiez les cellules jaunes (texte bleu) pour recalculer.</t>
        </is>
      </c>
    </row>
    <row r="3">
      <c r="A3" s="2" t="inlineStr">
        <is>
          <t>Statuts des hypothèses (colonne D des blocs, colonne G des tableaux) : PL = page lue, EX = extrait de recherche, EST = estimation, INC = inconnu. Aucun financement, investisseur, vendeur ou subvention n'est acquis.</t>
        </is>
      </c>
    </row>
    <row r="4">
      <c r="A4" s="2" t="inlineStr">
        <is>
          <t>Bien de référence : château + ~40-50 ha + écuries existantes à 2,5 M€ = médiane de 19 annonces de châteaux ≥ 30 ha (agent 1, pages lues). Exemple réel le plus proche : Ygrande (03), 2,65 M€, 40,7 ha, 24 boxes, manège, 16 chambres (vente SAFER, page lue).</t>
        </is>
      </c>
    </row>
    <row r="5">
      <c r="A5" s="2" t="inlineStr">
        <is>
          <t>Scénario A — Château équestre « sport » : pension travail avec cavalier professionnel, valorisation et vente de jeunes chevaux, concours, pension premium. Financement bancaire classique (apport 1 M€).</t>
        </is>
      </c>
    </row>
    <row r="6">
      <c r="A6" s="2" t="inlineStr">
        <is>
          <t>Scénario B — Château multiactivité : pension premium + pré + retraite, mariages plafonnés, gîte, séminaires, tournages. Financement bancaire classique (apport 1 M€).</t>
        </is>
      </c>
    </row>
    <row r="7">
      <c r="A7" s="2" t="inlineStr">
        <is>
          <t>Variantes de financement de B : B_club_deal (apport 250 k€ + investisseurs majoritaires), B_credit_vendeur (apport 250 k€ + crédit-vendeur 1,5 M€), B_sans_dette (diagnostic de l'exploitation seule).</t>
        </is>
      </c>
    </row>
    <row r="8">
      <c r="A8" s="2" t="inlineStr">
        <is>
          <t>Scénario C — Le capital d'abord : holding de reprise de PME 2026-2030 (hors modèle), achat en année 5 (2031) presque sans dette, exploitation frugale. Les fonds propres viennent de la holding (NON acquis).</t>
        </is>
      </c>
    </row>
    <row r="9">
      <c r="A9" s="2" t="inlineStr">
        <is>
          <t>Scénario E — Bail emphytéotique : contrôle d'un domaine public pendant 50-99 ans sans propriété ; travaux à la charge du preneur ; redevance INCONNUE ; aucune valeur de sortie (améliorations au bailleur).</t>
        </is>
      </c>
    </row>
    <row r="10">
      <c r="A10" s="2" t="inlineStr">
        <is>
          <t>Cas prudent / optimiste : dérivés du central (volumes, prix, charges, travaux, montée en charge) — voir Sources_hypotheses. Stress tests (feuilles S_*) : appliqués aux configurations non déficitaires.</t>
        </is>
      </c>
    </row>
    <row r="11">
      <c r="A11" s="2" t="inlineStr">
        <is>
          <t>Simplifications : IS 25 % sans taux réduit ni plafonnement des déficits ; montants HT ; amortissements bâti 30 ans / travaux 15 ans ; pas de dividendes avant la sortie ; valeur de sortie = % du coût historique moins frais de cession ; loyer privé du fondateur hors CA d'exploitation.</t>
        </is>
      </c>
    </row>
    <row r="12">
      <c r="A12" s="2" t="inlineStr">
        <is>
          <t>Verdict : VIABLE si trésorerie jamais négative, trésorerie an 10 ≥ réserve, DSCR (après gros entretien) ≥ 1,2 sur les années 4-10, cash-flow libre ≥ 0 sur les années 4-10, TRI des investisseurs extérieurs ≥ 6 % et dirigeant payé. Sinon FRAGILE ou NON VIABLE.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3" t="inlineStr">
        <is>
          <t>Comparaison des scénarios et stress tests (valeurs liées aux feuilles)</t>
        </is>
      </c>
    </row>
    <row r="3">
      <c r="A3" s="4" t="inlineStr">
        <is>
          <t>Feuille</t>
        </is>
      </c>
      <c r="B3" s="4" t="inlineStr">
        <is>
          <t>Emplois totaux</t>
        </is>
      </c>
      <c r="C3" s="4" t="inlineStr">
        <is>
          <t>Ressources prévues</t>
        </is>
      </c>
      <c r="D3" s="4" t="inlineStr">
        <is>
          <t>CA an 5</t>
        </is>
      </c>
      <c r="E3" s="4" t="inlineStr">
        <is>
          <t>EBITDA an 5</t>
        </is>
      </c>
      <c r="F3" s="4" t="inlineStr">
        <is>
          <t>EBITDA an 10</t>
        </is>
      </c>
      <c r="G3" s="4" t="inlineStr">
        <is>
          <t>Part équestre CA an 5</t>
        </is>
      </c>
      <c r="H3" s="4" t="inlineStr">
        <is>
          <t>Trésorerie min.</t>
        </is>
      </c>
      <c r="I3" s="4" t="inlineStr">
        <is>
          <t>Trésorerie an 10</t>
        </is>
      </c>
      <c r="J3" s="4" t="inlineStr">
        <is>
          <t>DSCR min. (exploitation an 2+)</t>
        </is>
      </c>
      <c r="K3" s="4" t="inlineStr">
        <is>
          <t>Années FCF &lt; 0 (exploitation an 2+)</t>
        </is>
      </c>
      <c r="L3" s="4" t="inlineStr">
        <is>
          <t>Dette soutenable</t>
        </is>
      </c>
      <c r="M3" s="4" t="inlineStr">
        <is>
          <t>Fonds propres nécessaires</t>
        </is>
      </c>
      <c r="N3" s="4" t="inlineStr">
        <is>
          <t>TRI investisseurs</t>
        </is>
      </c>
      <c r="O3" s="4" t="inlineStr">
        <is>
          <t>TRI fondateur</t>
        </is>
      </c>
      <c r="P3" s="4" t="inlineStr">
        <is>
          <t>Capital fondateur</t>
        </is>
      </c>
      <c r="Q3" s="4" t="inlineStr">
        <is>
          <t>Votes fondateur</t>
        </is>
      </c>
      <c r="R3" s="4" t="inlineStr">
        <is>
          <t>Verdict</t>
        </is>
      </c>
    </row>
    <row r="4">
      <c r="A4" t="inlineStr">
        <is>
          <t>A_central</t>
        </is>
      </c>
      <c r="B4" s="5">
        <f>'A_central'!$B$181</f>
        <v/>
      </c>
      <c r="C4" s="5">
        <f>'A_central'!$B$182</f>
        <v/>
      </c>
      <c r="D4" s="5">
        <f>'A_central'!$B$183</f>
        <v/>
      </c>
      <c r="E4" s="5">
        <f>'A_central'!$B$184</f>
        <v/>
      </c>
      <c r="F4" s="5">
        <f>'A_central'!$B$185</f>
        <v/>
      </c>
      <c r="G4" s="6">
        <f>'A_central'!$B$186</f>
        <v/>
      </c>
      <c r="H4" s="5">
        <f>'A_central'!$B$187</f>
        <v/>
      </c>
      <c r="I4" s="5">
        <f>'A_central'!$B$188</f>
        <v/>
      </c>
      <c r="J4" s="7">
        <f>'A_central'!$B$189</f>
        <v/>
      </c>
      <c r="K4" s="8">
        <f>'A_central'!$B$190</f>
        <v/>
      </c>
      <c r="L4" s="5">
        <f>'A_central'!$B$193</f>
        <v/>
      </c>
      <c r="M4" s="5">
        <f>'A_central'!$B$194</f>
        <v/>
      </c>
      <c r="N4" s="6">
        <f>'A_central'!$B$191</f>
        <v/>
      </c>
      <c r="O4" s="6">
        <f>'A_central'!$B$192</f>
        <v/>
      </c>
      <c r="P4" s="6">
        <f>'A_central'!$B$195</f>
        <v/>
      </c>
      <c r="Q4" s="6">
        <f>'A_central'!$B$196</f>
        <v/>
      </c>
      <c r="R4">
        <f>'A_central'!$B$197</f>
        <v/>
      </c>
    </row>
    <row r="5">
      <c r="A5" t="inlineStr">
        <is>
          <t>A_prudent</t>
        </is>
      </c>
      <c r="B5" s="5">
        <f>'A_prudent'!$B$181</f>
        <v/>
      </c>
      <c r="C5" s="5">
        <f>'A_prudent'!$B$182</f>
        <v/>
      </c>
      <c r="D5" s="5">
        <f>'A_prudent'!$B$183</f>
        <v/>
      </c>
      <c r="E5" s="5">
        <f>'A_prudent'!$B$184</f>
        <v/>
      </c>
      <c r="F5" s="5">
        <f>'A_prudent'!$B$185</f>
        <v/>
      </c>
      <c r="G5" s="6">
        <f>'A_prudent'!$B$186</f>
        <v/>
      </c>
      <c r="H5" s="5">
        <f>'A_prudent'!$B$187</f>
        <v/>
      </c>
      <c r="I5" s="5">
        <f>'A_prudent'!$B$188</f>
        <v/>
      </c>
      <c r="J5" s="7">
        <f>'A_prudent'!$B$189</f>
        <v/>
      </c>
      <c r="K5" s="8">
        <f>'A_prudent'!$B$190</f>
        <v/>
      </c>
      <c r="L5" s="5">
        <f>'A_prudent'!$B$193</f>
        <v/>
      </c>
      <c r="M5" s="5">
        <f>'A_prudent'!$B$194</f>
        <v/>
      </c>
      <c r="N5" s="6">
        <f>'A_prudent'!$B$191</f>
        <v/>
      </c>
      <c r="O5" s="6">
        <f>'A_prudent'!$B$192</f>
        <v/>
      </c>
      <c r="P5" s="6">
        <f>'A_prudent'!$B$195</f>
        <v/>
      </c>
      <c r="Q5" s="6">
        <f>'A_prudent'!$B$196</f>
        <v/>
      </c>
      <c r="R5">
        <f>'A_prudent'!$B$197</f>
        <v/>
      </c>
    </row>
    <row r="6">
      <c r="A6" t="inlineStr">
        <is>
          <t>A_optimiste</t>
        </is>
      </c>
      <c r="B6" s="5">
        <f>'A_optimiste'!$B$181</f>
        <v/>
      </c>
      <c r="C6" s="5">
        <f>'A_optimiste'!$B$182</f>
        <v/>
      </c>
      <c r="D6" s="5">
        <f>'A_optimiste'!$B$183</f>
        <v/>
      </c>
      <c r="E6" s="5">
        <f>'A_optimiste'!$B$184</f>
        <v/>
      </c>
      <c r="F6" s="5">
        <f>'A_optimiste'!$B$185</f>
        <v/>
      </c>
      <c r="G6" s="6">
        <f>'A_optimiste'!$B$186</f>
        <v/>
      </c>
      <c r="H6" s="5">
        <f>'A_optimiste'!$B$187</f>
        <v/>
      </c>
      <c r="I6" s="5">
        <f>'A_optimiste'!$B$188</f>
        <v/>
      </c>
      <c r="J6" s="7">
        <f>'A_optimiste'!$B$189</f>
        <v/>
      </c>
      <c r="K6" s="8">
        <f>'A_optimiste'!$B$190</f>
        <v/>
      </c>
      <c r="L6" s="5">
        <f>'A_optimiste'!$B$193</f>
        <v/>
      </c>
      <c r="M6" s="5">
        <f>'A_optimiste'!$B$194</f>
        <v/>
      </c>
      <c r="N6" s="6">
        <f>'A_optimiste'!$B$191</f>
        <v/>
      </c>
      <c r="O6" s="6">
        <f>'A_optimiste'!$B$192</f>
        <v/>
      </c>
      <c r="P6" s="6">
        <f>'A_optimiste'!$B$195</f>
        <v/>
      </c>
      <c r="Q6" s="6">
        <f>'A_optimiste'!$B$196</f>
        <v/>
      </c>
      <c r="R6">
        <f>'A_optimiste'!$B$197</f>
        <v/>
      </c>
    </row>
    <row r="7">
      <c r="A7" t="inlineStr">
        <is>
          <t>B_central</t>
        </is>
      </c>
      <c r="B7" s="5">
        <f>'B_central'!$B$177</f>
        <v/>
      </c>
      <c r="C7" s="5">
        <f>'B_central'!$B$178</f>
        <v/>
      </c>
      <c r="D7" s="5">
        <f>'B_central'!$B$179</f>
        <v/>
      </c>
      <c r="E7" s="5">
        <f>'B_central'!$B$180</f>
        <v/>
      </c>
      <c r="F7" s="5">
        <f>'B_central'!$B$181</f>
        <v/>
      </c>
      <c r="G7" s="6">
        <f>'B_central'!$B$182</f>
        <v/>
      </c>
      <c r="H7" s="5">
        <f>'B_central'!$B$183</f>
        <v/>
      </c>
      <c r="I7" s="5">
        <f>'B_central'!$B$184</f>
        <v/>
      </c>
      <c r="J7" s="7">
        <f>'B_central'!$B$185</f>
        <v/>
      </c>
      <c r="K7" s="8">
        <f>'B_central'!$B$186</f>
        <v/>
      </c>
      <c r="L7" s="5">
        <f>'B_central'!$B$189</f>
        <v/>
      </c>
      <c r="M7" s="5">
        <f>'B_central'!$B$190</f>
        <v/>
      </c>
      <c r="N7" s="6">
        <f>'B_central'!$B$187</f>
        <v/>
      </c>
      <c r="O7" s="6">
        <f>'B_central'!$B$188</f>
        <v/>
      </c>
      <c r="P7" s="6">
        <f>'B_central'!$B$191</f>
        <v/>
      </c>
      <c r="Q7" s="6">
        <f>'B_central'!$B$192</f>
        <v/>
      </c>
      <c r="R7">
        <f>'B_central'!$B$193</f>
        <v/>
      </c>
    </row>
    <row r="8">
      <c r="A8" t="inlineStr">
        <is>
          <t>B_prudent</t>
        </is>
      </c>
      <c r="B8" s="5">
        <f>'B_prudent'!$B$177</f>
        <v/>
      </c>
      <c r="C8" s="5">
        <f>'B_prudent'!$B$178</f>
        <v/>
      </c>
      <c r="D8" s="5">
        <f>'B_prudent'!$B$179</f>
        <v/>
      </c>
      <c r="E8" s="5">
        <f>'B_prudent'!$B$180</f>
        <v/>
      </c>
      <c r="F8" s="5">
        <f>'B_prudent'!$B$181</f>
        <v/>
      </c>
      <c r="G8" s="6">
        <f>'B_prudent'!$B$182</f>
        <v/>
      </c>
      <c r="H8" s="5">
        <f>'B_prudent'!$B$183</f>
        <v/>
      </c>
      <c r="I8" s="5">
        <f>'B_prudent'!$B$184</f>
        <v/>
      </c>
      <c r="J8" s="7">
        <f>'B_prudent'!$B$185</f>
        <v/>
      </c>
      <c r="K8" s="8">
        <f>'B_prudent'!$B$186</f>
        <v/>
      </c>
      <c r="L8" s="5">
        <f>'B_prudent'!$B$189</f>
        <v/>
      </c>
      <c r="M8" s="5">
        <f>'B_prudent'!$B$190</f>
        <v/>
      </c>
      <c r="N8" s="6">
        <f>'B_prudent'!$B$187</f>
        <v/>
      </c>
      <c r="O8" s="6">
        <f>'B_prudent'!$B$188</f>
        <v/>
      </c>
      <c r="P8" s="6">
        <f>'B_prudent'!$B$191</f>
        <v/>
      </c>
      <c r="Q8" s="6">
        <f>'B_prudent'!$B$192</f>
        <v/>
      </c>
      <c r="R8">
        <f>'B_prudent'!$B$193</f>
        <v/>
      </c>
    </row>
    <row r="9">
      <c r="A9" t="inlineStr">
        <is>
          <t>B_optimiste</t>
        </is>
      </c>
      <c r="B9" s="5">
        <f>'B_optimiste'!$B$177</f>
        <v/>
      </c>
      <c r="C9" s="5">
        <f>'B_optimiste'!$B$178</f>
        <v/>
      </c>
      <c r="D9" s="5">
        <f>'B_optimiste'!$B$179</f>
        <v/>
      </c>
      <c r="E9" s="5">
        <f>'B_optimiste'!$B$180</f>
        <v/>
      </c>
      <c r="F9" s="5">
        <f>'B_optimiste'!$B$181</f>
        <v/>
      </c>
      <c r="G9" s="6">
        <f>'B_optimiste'!$B$182</f>
        <v/>
      </c>
      <c r="H9" s="5">
        <f>'B_optimiste'!$B$183</f>
        <v/>
      </c>
      <c r="I9" s="5">
        <f>'B_optimiste'!$B$184</f>
        <v/>
      </c>
      <c r="J9" s="7">
        <f>'B_optimiste'!$B$185</f>
        <v/>
      </c>
      <c r="K9" s="8">
        <f>'B_optimiste'!$B$186</f>
        <v/>
      </c>
      <c r="L9" s="5">
        <f>'B_optimiste'!$B$189</f>
        <v/>
      </c>
      <c r="M9" s="5">
        <f>'B_optimiste'!$B$190</f>
        <v/>
      </c>
      <c r="N9" s="6">
        <f>'B_optimiste'!$B$187</f>
        <v/>
      </c>
      <c r="O9" s="6">
        <f>'B_optimiste'!$B$188</f>
        <v/>
      </c>
      <c r="P9" s="6">
        <f>'B_optimiste'!$B$191</f>
        <v/>
      </c>
      <c r="Q9" s="6">
        <f>'B_optimiste'!$B$192</f>
        <v/>
      </c>
      <c r="R9">
        <f>'B_optimiste'!$B$193</f>
        <v/>
      </c>
    </row>
    <row r="10">
      <c r="A10" t="inlineStr">
        <is>
          <t>B_club_deal</t>
        </is>
      </c>
      <c r="B10" s="5">
        <f>'B_club_deal'!$B$177</f>
        <v/>
      </c>
      <c r="C10" s="5">
        <f>'B_club_deal'!$B$178</f>
        <v/>
      </c>
      <c r="D10" s="5">
        <f>'B_club_deal'!$B$179</f>
        <v/>
      </c>
      <c r="E10" s="5">
        <f>'B_club_deal'!$B$180</f>
        <v/>
      </c>
      <c r="F10" s="5">
        <f>'B_club_deal'!$B$181</f>
        <v/>
      </c>
      <c r="G10" s="6">
        <f>'B_club_deal'!$B$182</f>
        <v/>
      </c>
      <c r="H10" s="5">
        <f>'B_club_deal'!$B$183</f>
        <v/>
      </c>
      <c r="I10" s="5">
        <f>'B_club_deal'!$B$184</f>
        <v/>
      </c>
      <c r="J10" s="7">
        <f>'B_club_deal'!$B$185</f>
        <v/>
      </c>
      <c r="K10" s="8">
        <f>'B_club_deal'!$B$186</f>
        <v/>
      </c>
      <c r="L10" s="5">
        <f>'B_club_deal'!$B$189</f>
        <v/>
      </c>
      <c r="M10" s="5">
        <f>'B_club_deal'!$B$190</f>
        <v/>
      </c>
      <c r="N10" s="6">
        <f>'B_club_deal'!$B$187</f>
        <v/>
      </c>
      <c r="O10" s="6">
        <f>'B_club_deal'!$B$188</f>
        <v/>
      </c>
      <c r="P10" s="6">
        <f>'B_club_deal'!$B$191</f>
        <v/>
      </c>
      <c r="Q10" s="6">
        <f>'B_club_deal'!$B$192</f>
        <v/>
      </c>
      <c r="R10">
        <f>'B_club_deal'!$B$193</f>
        <v/>
      </c>
    </row>
    <row r="11">
      <c r="A11" t="inlineStr">
        <is>
          <t>B_credit_vendeur</t>
        </is>
      </c>
      <c r="B11" s="5">
        <f>'B_credit_vendeur'!$B$177</f>
        <v/>
      </c>
      <c r="C11" s="5">
        <f>'B_credit_vendeur'!$B$178</f>
        <v/>
      </c>
      <c r="D11" s="5">
        <f>'B_credit_vendeur'!$B$179</f>
        <v/>
      </c>
      <c r="E11" s="5">
        <f>'B_credit_vendeur'!$B$180</f>
        <v/>
      </c>
      <c r="F11" s="5">
        <f>'B_credit_vendeur'!$B$181</f>
        <v/>
      </c>
      <c r="G11" s="6">
        <f>'B_credit_vendeur'!$B$182</f>
        <v/>
      </c>
      <c r="H11" s="5">
        <f>'B_credit_vendeur'!$B$183</f>
        <v/>
      </c>
      <c r="I11" s="5">
        <f>'B_credit_vendeur'!$B$184</f>
        <v/>
      </c>
      <c r="J11" s="7">
        <f>'B_credit_vendeur'!$B$185</f>
        <v/>
      </c>
      <c r="K11" s="8">
        <f>'B_credit_vendeur'!$B$186</f>
        <v/>
      </c>
      <c r="L11" s="5">
        <f>'B_credit_vendeur'!$B$189</f>
        <v/>
      </c>
      <c r="M11" s="5">
        <f>'B_credit_vendeur'!$B$190</f>
        <v/>
      </c>
      <c r="N11" s="6">
        <f>'B_credit_vendeur'!$B$187</f>
        <v/>
      </c>
      <c r="O11" s="6">
        <f>'B_credit_vendeur'!$B$188</f>
        <v/>
      </c>
      <c r="P11" s="6">
        <f>'B_credit_vendeur'!$B$191</f>
        <v/>
      </c>
      <c r="Q11" s="6">
        <f>'B_credit_vendeur'!$B$192</f>
        <v/>
      </c>
      <c r="R11">
        <f>'B_credit_vendeur'!$B$193</f>
        <v/>
      </c>
    </row>
    <row r="12">
      <c r="A12" t="inlineStr">
        <is>
          <t>B_sans_dette</t>
        </is>
      </c>
      <c r="B12" s="5">
        <f>'B_sans_dette'!$B$177</f>
        <v/>
      </c>
      <c r="C12" s="5">
        <f>'B_sans_dette'!$B$178</f>
        <v/>
      </c>
      <c r="D12" s="5">
        <f>'B_sans_dette'!$B$179</f>
        <v/>
      </c>
      <c r="E12" s="5">
        <f>'B_sans_dette'!$B$180</f>
        <v/>
      </c>
      <c r="F12" s="5">
        <f>'B_sans_dette'!$B$181</f>
        <v/>
      </c>
      <c r="G12" s="6">
        <f>'B_sans_dette'!$B$182</f>
        <v/>
      </c>
      <c r="H12" s="5">
        <f>'B_sans_dette'!$B$183</f>
        <v/>
      </c>
      <c r="I12" s="5">
        <f>'B_sans_dette'!$B$184</f>
        <v/>
      </c>
      <c r="J12" s="7">
        <f>'B_sans_dette'!$B$185</f>
        <v/>
      </c>
      <c r="K12" s="8">
        <f>'B_sans_dette'!$B$186</f>
        <v/>
      </c>
      <c r="L12" s="5">
        <f>'B_sans_dette'!$B$189</f>
        <v/>
      </c>
      <c r="M12" s="5">
        <f>'B_sans_dette'!$B$190</f>
        <v/>
      </c>
      <c r="N12" s="6">
        <f>'B_sans_dette'!$B$187</f>
        <v/>
      </c>
      <c r="O12" s="6">
        <f>'B_sans_dette'!$B$188</f>
        <v/>
      </c>
      <c r="P12" s="6">
        <f>'B_sans_dette'!$B$191</f>
        <v/>
      </c>
      <c r="Q12" s="6">
        <f>'B_sans_dette'!$B$192</f>
        <v/>
      </c>
      <c r="R12">
        <f>'B_sans_dette'!$B$193</f>
        <v/>
      </c>
    </row>
    <row r="13">
      <c r="A13" t="inlineStr">
        <is>
          <t>B_frugal</t>
        </is>
      </c>
      <c r="B13" s="5">
        <f>'B_frugal'!$B$175</f>
        <v/>
      </c>
      <c r="C13" s="5">
        <f>'B_frugal'!$B$176</f>
        <v/>
      </c>
      <c r="D13" s="5">
        <f>'B_frugal'!$B$177</f>
        <v/>
      </c>
      <c r="E13" s="5">
        <f>'B_frugal'!$B$178</f>
        <v/>
      </c>
      <c r="F13" s="5">
        <f>'B_frugal'!$B$179</f>
        <v/>
      </c>
      <c r="G13" s="6">
        <f>'B_frugal'!$B$180</f>
        <v/>
      </c>
      <c r="H13" s="5">
        <f>'B_frugal'!$B$181</f>
        <v/>
      </c>
      <c r="I13" s="5">
        <f>'B_frugal'!$B$182</f>
        <v/>
      </c>
      <c r="J13" s="7">
        <f>'B_frugal'!$B$183</f>
        <v/>
      </c>
      <c r="K13" s="8">
        <f>'B_frugal'!$B$184</f>
        <v/>
      </c>
      <c r="L13" s="5">
        <f>'B_frugal'!$B$187</f>
        <v/>
      </c>
      <c r="M13" s="5">
        <f>'B_frugal'!$B$188</f>
        <v/>
      </c>
      <c r="N13" s="6">
        <f>'B_frugal'!$B$185</f>
        <v/>
      </c>
      <c r="O13" s="6">
        <f>'B_frugal'!$B$186</f>
        <v/>
      </c>
      <c r="P13" s="6">
        <f>'B_frugal'!$B$189</f>
        <v/>
      </c>
      <c r="Q13" s="6">
        <f>'B_frugal'!$B$190</f>
        <v/>
      </c>
      <c r="R13">
        <f>'B_frugal'!$B$191</f>
        <v/>
      </c>
    </row>
    <row r="14">
      <c r="A14" t="inlineStr">
        <is>
          <t>B_frugal_sans_dette</t>
        </is>
      </c>
      <c r="B14" s="5">
        <f>'B_frugal_sans_dette'!$B$175</f>
        <v/>
      </c>
      <c r="C14" s="5">
        <f>'B_frugal_sans_dette'!$B$176</f>
        <v/>
      </c>
      <c r="D14" s="5">
        <f>'B_frugal_sans_dette'!$B$177</f>
        <v/>
      </c>
      <c r="E14" s="5">
        <f>'B_frugal_sans_dette'!$B$178</f>
        <v/>
      </c>
      <c r="F14" s="5">
        <f>'B_frugal_sans_dette'!$B$179</f>
        <v/>
      </c>
      <c r="G14" s="6">
        <f>'B_frugal_sans_dette'!$B$180</f>
        <v/>
      </c>
      <c r="H14" s="5">
        <f>'B_frugal_sans_dette'!$B$181</f>
        <v/>
      </c>
      <c r="I14" s="5">
        <f>'B_frugal_sans_dette'!$B$182</f>
        <v/>
      </c>
      <c r="J14" s="7">
        <f>'B_frugal_sans_dette'!$B$183</f>
        <v/>
      </c>
      <c r="K14" s="8">
        <f>'B_frugal_sans_dette'!$B$184</f>
        <v/>
      </c>
      <c r="L14" s="5">
        <f>'B_frugal_sans_dette'!$B$187</f>
        <v/>
      </c>
      <c r="M14" s="5">
        <f>'B_frugal_sans_dette'!$B$188</f>
        <v/>
      </c>
      <c r="N14" s="6">
        <f>'B_frugal_sans_dette'!$B$185</f>
        <v/>
      </c>
      <c r="O14" s="6">
        <f>'B_frugal_sans_dette'!$B$186</f>
        <v/>
      </c>
      <c r="P14" s="6">
        <f>'B_frugal_sans_dette'!$B$189</f>
        <v/>
      </c>
      <c r="Q14" s="6">
        <f>'B_frugal_sans_dette'!$B$190</f>
        <v/>
      </c>
      <c r="R14">
        <f>'B_frugal_sans_dette'!$B$191</f>
        <v/>
      </c>
    </row>
    <row r="15">
      <c r="A15" t="inlineStr">
        <is>
          <t>A_frugal</t>
        </is>
      </c>
      <c r="B15" s="5">
        <f>'A_frugal'!$B$177</f>
        <v/>
      </c>
      <c r="C15" s="5">
        <f>'A_frugal'!$B$178</f>
        <v/>
      </c>
      <c r="D15" s="5">
        <f>'A_frugal'!$B$179</f>
        <v/>
      </c>
      <c r="E15" s="5">
        <f>'A_frugal'!$B$180</f>
        <v/>
      </c>
      <c r="F15" s="5">
        <f>'A_frugal'!$B$181</f>
        <v/>
      </c>
      <c r="G15" s="6">
        <f>'A_frugal'!$B$182</f>
        <v/>
      </c>
      <c r="H15" s="5">
        <f>'A_frugal'!$B$183</f>
        <v/>
      </c>
      <c r="I15" s="5">
        <f>'A_frugal'!$B$184</f>
        <v/>
      </c>
      <c r="J15" s="7">
        <f>'A_frugal'!$B$185</f>
        <v/>
      </c>
      <c r="K15" s="8">
        <f>'A_frugal'!$B$186</f>
        <v/>
      </c>
      <c r="L15" s="5">
        <f>'A_frugal'!$B$189</f>
        <v/>
      </c>
      <c r="M15" s="5">
        <f>'A_frugal'!$B$190</f>
        <v/>
      </c>
      <c r="N15" s="6">
        <f>'A_frugal'!$B$187</f>
        <v/>
      </c>
      <c r="O15" s="6">
        <f>'A_frugal'!$B$188</f>
        <v/>
      </c>
      <c r="P15" s="6">
        <f>'A_frugal'!$B$191</f>
        <v/>
      </c>
      <c r="Q15" s="6">
        <f>'A_frugal'!$B$192</f>
        <v/>
      </c>
      <c r="R15">
        <f>'A_frugal'!$B$193</f>
        <v/>
      </c>
    </row>
    <row r="16">
      <c r="A16" t="inlineStr">
        <is>
          <t>C_central</t>
        </is>
      </c>
      <c r="B16" s="5">
        <f>'C_central'!$B$175</f>
        <v/>
      </c>
      <c r="C16" s="5">
        <f>'C_central'!$B$176</f>
        <v/>
      </c>
      <c r="D16" s="5">
        <f>'C_central'!$B$177</f>
        <v/>
      </c>
      <c r="E16" s="5">
        <f>'C_central'!$B$178</f>
        <v/>
      </c>
      <c r="F16" s="5">
        <f>'C_central'!$B$179</f>
        <v/>
      </c>
      <c r="G16" s="6">
        <f>'C_central'!$B$180</f>
        <v/>
      </c>
      <c r="H16" s="5">
        <f>'C_central'!$B$181</f>
        <v/>
      </c>
      <c r="I16" s="5">
        <f>'C_central'!$B$182</f>
        <v/>
      </c>
      <c r="J16" s="7">
        <f>'C_central'!$B$183</f>
        <v/>
      </c>
      <c r="K16" s="8">
        <f>'C_central'!$B$184</f>
        <v/>
      </c>
      <c r="L16" s="5">
        <f>'C_central'!$B$187</f>
        <v/>
      </c>
      <c r="M16" s="5">
        <f>'C_central'!$B$188</f>
        <v/>
      </c>
      <c r="N16" s="6">
        <f>'C_central'!$B$185</f>
        <v/>
      </c>
      <c r="O16" s="6">
        <f>'C_central'!$B$186</f>
        <v/>
      </c>
      <c r="P16" s="6">
        <f>'C_central'!$B$189</f>
        <v/>
      </c>
      <c r="Q16" s="6">
        <f>'C_central'!$B$190</f>
        <v/>
      </c>
      <c r="R16">
        <f>'C_central'!$B$191</f>
        <v/>
      </c>
    </row>
    <row r="17">
      <c r="A17" t="inlineStr">
        <is>
          <t>C_prudent</t>
        </is>
      </c>
      <c r="B17" s="5">
        <f>'C_prudent'!$B$175</f>
        <v/>
      </c>
      <c r="C17" s="5">
        <f>'C_prudent'!$B$176</f>
        <v/>
      </c>
      <c r="D17" s="5">
        <f>'C_prudent'!$B$177</f>
        <v/>
      </c>
      <c r="E17" s="5">
        <f>'C_prudent'!$B$178</f>
        <v/>
      </c>
      <c r="F17" s="5">
        <f>'C_prudent'!$B$179</f>
        <v/>
      </c>
      <c r="G17" s="6">
        <f>'C_prudent'!$B$180</f>
        <v/>
      </c>
      <c r="H17" s="5">
        <f>'C_prudent'!$B$181</f>
        <v/>
      </c>
      <c r="I17" s="5">
        <f>'C_prudent'!$B$182</f>
        <v/>
      </c>
      <c r="J17" s="7">
        <f>'C_prudent'!$B$183</f>
        <v/>
      </c>
      <c r="K17" s="8">
        <f>'C_prudent'!$B$184</f>
        <v/>
      </c>
      <c r="L17" s="5">
        <f>'C_prudent'!$B$187</f>
        <v/>
      </c>
      <c r="M17" s="5">
        <f>'C_prudent'!$B$188</f>
        <v/>
      </c>
      <c r="N17" s="6">
        <f>'C_prudent'!$B$185</f>
        <v/>
      </c>
      <c r="O17" s="6">
        <f>'C_prudent'!$B$186</f>
        <v/>
      </c>
      <c r="P17" s="6">
        <f>'C_prudent'!$B$189</f>
        <v/>
      </c>
      <c r="Q17" s="6">
        <f>'C_prudent'!$B$190</f>
        <v/>
      </c>
      <c r="R17">
        <f>'C_prudent'!$B$191</f>
        <v/>
      </c>
    </row>
    <row r="18">
      <c r="A18" t="inlineStr">
        <is>
          <t>C_optimiste</t>
        </is>
      </c>
      <c r="B18" s="5">
        <f>'C_optimiste'!$B$175</f>
        <v/>
      </c>
      <c r="C18" s="5">
        <f>'C_optimiste'!$B$176</f>
        <v/>
      </c>
      <c r="D18" s="5">
        <f>'C_optimiste'!$B$177</f>
        <v/>
      </c>
      <c r="E18" s="5">
        <f>'C_optimiste'!$B$178</f>
        <v/>
      </c>
      <c r="F18" s="5">
        <f>'C_optimiste'!$B$179</f>
        <v/>
      </c>
      <c r="G18" s="6">
        <f>'C_optimiste'!$B$180</f>
        <v/>
      </c>
      <c r="H18" s="5">
        <f>'C_optimiste'!$B$181</f>
        <v/>
      </c>
      <c r="I18" s="5">
        <f>'C_optimiste'!$B$182</f>
        <v/>
      </c>
      <c r="J18" s="7">
        <f>'C_optimiste'!$B$183</f>
        <v/>
      </c>
      <c r="K18" s="8">
        <f>'C_optimiste'!$B$184</f>
        <v/>
      </c>
      <c r="L18" s="5">
        <f>'C_optimiste'!$B$187</f>
        <v/>
      </c>
      <c r="M18" s="5">
        <f>'C_optimiste'!$B$188</f>
        <v/>
      </c>
      <c r="N18" s="6">
        <f>'C_optimiste'!$B$185</f>
        <v/>
      </c>
      <c r="O18" s="6">
        <f>'C_optimiste'!$B$186</f>
        <v/>
      </c>
      <c r="P18" s="6">
        <f>'C_optimiste'!$B$189</f>
        <v/>
      </c>
      <c r="Q18" s="6">
        <f>'C_optimiste'!$B$190</f>
        <v/>
      </c>
      <c r="R18">
        <f>'C_optimiste'!$B$191</f>
        <v/>
      </c>
    </row>
    <row r="19">
      <c r="A19" t="inlineStr">
        <is>
          <t>C_negocie</t>
        </is>
      </c>
      <c r="B19" s="5">
        <f>'C_negocie'!$B$175</f>
        <v/>
      </c>
      <c r="C19" s="5">
        <f>'C_negocie'!$B$176</f>
        <v/>
      </c>
      <c r="D19" s="5">
        <f>'C_negocie'!$B$177</f>
        <v/>
      </c>
      <c r="E19" s="5">
        <f>'C_negocie'!$B$178</f>
        <v/>
      </c>
      <c r="F19" s="5">
        <f>'C_negocie'!$B$179</f>
        <v/>
      </c>
      <c r="G19" s="6">
        <f>'C_negocie'!$B$180</f>
        <v/>
      </c>
      <c r="H19" s="5">
        <f>'C_negocie'!$B$181</f>
        <v/>
      </c>
      <c r="I19" s="5">
        <f>'C_negocie'!$B$182</f>
        <v/>
      </c>
      <c r="J19" s="7">
        <f>'C_negocie'!$B$183</f>
        <v/>
      </c>
      <c r="K19" s="8">
        <f>'C_negocie'!$B$184</f>
        <v/>
      </c>
      <c r="L19" s="5">
        <f>'C_negocie'!$B$187</f>
        <v/>
      </c>
      <c r="M19" s="5">
        <f>'C_negocie'!$B$188</f>
        <v/>
      </c>
      <c r="N19" s="6">
        <f>'C_negocie'!$B$185</f>
        <v/>
      </c>
      <c r="O19" s="6">
        <f>'C_negocie'!$B$186</f>
        <v/>
      </c>
      <c r="P19" s="6">
        <f>'C_negocie'!$B$189</f>
        <v/>
      </c>
      <c r="Q19" s="6">
        <f>'C_negocie'!$B$190</f>
        <v/>
      </c>
      <c r="R19">
        <f>'C_negocie'!$B$191</f>
        <v/>
      </c>
    </row>
    <row r="20">
      <c r="A20" t="inlineStr">
        <is>
          <t>E_bail_emphyteotique</t>
        </is>
      </c>
      <c r="B20" s="5">
        <f>'E_bail_emphyteotique'!$B$177</f>
        <v/>
      </c>
      <c r="C20" s="5">
        <f>'E_bail_emphyteotique'!$B$178</f>
        <v/>
      </c>
      <c r="D20" s="5">
        <f>'E_bail_emphyteotique'!$B$179</f>
        <v/>
      </c>
      <c r="E20" s="5">
        <f>'E_bail_emphyteotique'!$B$180</f>
        <v/>
      </c>
      <c r="F20" s="5">
        <f>'E_bail_emphyteotique'!$B$181</f>
        <v/>
      </c>
      <c r="G20" s="6">
        <f>'E_bail_emphyteotique'!$B$182</f>
        <v/>
      </c>
      <c r="H20" s="5">
        <f>'E_bail_emphyteotique'!$B$183</f>
        <v/>
      </c>
      <c r="I20" s="5">
        <f>'E_bail_emphyteotique'!$B$184</f>
        <v/>
      </c>
      <c r="J20" s="7">
        <f>'E_bail_emphyteotique'!$B$185</f>
        <v/>
      </c>
      <c r="K20" s="8">
        <f>'E_bail_emphyteotique'!$B$186</f>
        <v/>
      </c>
      <c r="L20" s="5">
        <f>'E_bail_emphyteotique'!$B$189</f>
        <v/>
      </c>
      <c r="M20" s="5">
        <f>'E_bail_emphyteotique'!$B$190</f>
        <v/>
      </c>
      <c r="N20" s="6">
        <f>'E_bail_emphyteotique'!$B$187</f>
        <v/>
      </c>
      <c r="O20" s="6">
        <f>'E_bail_emphyteotique'!$B$188</f>
        <v/>
      </c>
      <c r="P20" s="6">
        <f>'E_bail_emphyteotique'!$B$191</f>
        <v/>
      </c>
      <c r="Q20" s="6">
        <f>'E_bail_emphyteotique'!$B$192</f>
        <v/>
      </c>
      <c r="R20">
        <f>'E_bail_emphyteotique'!$B$193</f>
        <v/>
      </c>
    </row>
    <row r="21">
      <c r="A21" t="inlineStr">
        <is>
          <t>E_allege</t>
        </is>
      </c>
      <c r="B21" s="5">
        <f>'E_allege'!$B$177</f>
        <v/>
      </c>
      <c r="C21" s="5">
        <f>'E_allege'!$B$178</f>
        <v/>
      </c>
      <c r="D21" s="5">
        <f>'E_allege'!$B$179</f>
        <v/>
      </c>
      <c r="E21" s="5">
        <f>'E_allege'!$B$180</f>
        <v/>
      </c>
      <c r="F21" s="5">
        <f>'E_allege'!$B$181</f>
        <v/>
      </c>
      <c r="G21" s="6">
        <f>'E_allege'!$B$182</f>
        <v/>
      </c>
      <c r="H21" s="5">
        <f>'E_allege'!$B$183</f>
        <v/>
      </c>
      <c r="I21" s="5">
        <f>'E_allege'!$B$184</f>
        <v/>
      </c>
      <c r="J21" s="7">
        <f>'E_allege'!$B$185</f>
        <v/>
      </c>
      <c r="K21" s="8">
        <f>'E_allege'!$B$186</f>
        <v/>
      </c>
      <c r="L21" s="5">
        <f>'E_allege'!$B$189</f>
        <v/>
      </c>
      <c r="M21" s="5">
        <f>'E_allege'!$B$190</f>
        <v/>
      </c>
      <c r="N21" s="6">
        <f>'E_allege'!$B$187</f>
        <v/>
      </c>
      <c r="O21" s="6">
        <f>'E_allege'!$B$188</f>
        <v/>
      </c>
      <c r="P21" s="6">
        <f>'E_allege'!$B$191</f>
        <v/>
      </c>
      <c r="Q21" s="6">
        <f>'E_allege'!$B$192</f>
        <v/>
      </c>
      <c r="R21">
        <f>'E_allege'!$B$193</f>
        <v/>
      </c>
    </row>
    <row r="22">
      <c r="A22" t="inlineStr">
        <is>
          <t>S_Cc_CA-30</t>
        </is>
      </c>
      <c r="B22" s="5">
        <f>'S_Cc_CA-30'!$B$175</f>
        <v/>
      </c>
      <c r="C22" s="5">
        <f>'S_Cc_CA-30'!$B$176</f>
        <v/>
      </c>
      <c r="D22" s="5">
        <f>'S_Cc_CA-30'!$B$177</f>
        <v/>
      </c>
      <c r="E22" s="5">
        <f>'S_Cc_CA-30'!$B$178</f>
        <v/>
      </c>
      <c r="F22" s="5">
        <f>'S_Cc_CA-30'!$B$179</f>
        <v/>
      </c>
      <c r="G22" s="6">
        <f>'S_Cc_CA-30'!$B$180</f>
        <v/>
      </c>
      <c r="H22" s="5">
        <f>'S_Cc_CA-30'!$B$181</f>
        <v/>
      </c>
      <c r="I22" s="5">
        <f>'S_Cc_CA-30'!$B$182</f>
        <v/>
      </c>
      <c r="J22" s="7">
        <f>'S_Cc_CA-30'!$B$183</f>
        <v/>
      </c>
      <c r="K22" s="8">
        <f>'S_Cc_CA-30'!$B$184</f>
        <v/>
      </c>
      <c r="L22" s="5">
        <f>'S_Cc_CA-30'!$B$187</f>
        <v/>
      </c>
      <c r="M22" s="5">
        <f>'S_Cc_CA-30'!$B$188</f>
        <v/>
      </c>
      <c r="N22" s="6">
        <f>'S_Cc_CA-30'!$B$185</f>
        <v/>
      </c>
      <c r="O22" s="6">
        <f>'S_Cc_CA-30'!$B$186</f>
        <v/>
      </c>
      <c r="P22" s="6">
        <f>'S_Cc_CA-30'!$B$189</f>
        <v/>
      </c>
      <c r="Q22" s="6">
        <f>'S_Cc_CA-30'!$B$190</f>
        <v/>
      </c>
      <c r="R22">
        <f>'S_Cc_CA-30'!$B$191</f>
        <v/>
      </c>
    </row>
    <row r="23">
      <c r="A23" t="inlineStr">
        <is>
          <t>S_Cc_Travaux+30</t>
        </is>
      </c>
      <c r="B23" s="5">
        <f>'S_Cc_Travaux+30'!$B$175</f>
        <v/>
      </c>
      <c r="C23" s="5">
        <f>'S_Cc_Travaux+30'!$B$176</f>
        <v/>
      </c>
      <c r="D23" s="5">
        <f>'S_Cc_Travaux+30'!$B$177</f>
        <v/>
      </c>
      <c r="E23" s="5">
        <f>'S_Cc_Travaux+30'!$B$178</f>
        <v/>
      </c>
      <c r="F23" s="5">
        <f>'S_Cc_Travaux+30'!$B$179</f>
        <v/>
      </c>
      <c r="G23" s="6">
        <f>'S_Cc_Travaux+30'!$B$180</f>
        <v/>
      </c>
      <c r="H23" s="5">
        <f>'S_Cc_Travaux+30'!$B$181</f>
        <v/>
      </c>
      <c r="I23" s="5">
        <f>'S_Cc_Travaux+30'!$B$182</f>
        <v/>
      </c>
      <c r="J23" s="7">
        <f>'S_Cc_Travaux+30'!$B$183</f>
        <v/>
      </c>
      <c r="K23" s="8">
        <f>'S_Cc_Travaux+30'!$B$184</f>
        <v/>
      </c>
      <c r="L23" s="5">
        <f>'S_Cc_Travaux+30'!$B$187</f>
        <v/>
      </c>
      <c r="M23" s="5">
        <f>'S_Cc_Travaux+30'!$B$188</f>
        <v/>
      </c>
      <c r="N23" s="6">
        <f>'S_Cc_Travaux+30'!$B$185</f>
        <v/>
      </c>
      <c r="O23" s="6">
        <f>'S_Cc_Travaux+30'!$B$186</f>
        <v/>
      </c>
      <c r="P23" s="6">
        <f>'S_Cc_Travaux+30'!$B$189</f>
        <v/>
      </c>
      <c r="Q23" s="6">
        <f>'S_Cc_Travaux+30'!$B$190</f>
        <v/>
      </c>
      <c r="R23">
        <f>'S_Cc_Travaux+30'!$B$191</f>
        <v/>
      </c>
    </row>
    <row r="24">
      <c r="A24" t="inlineStr">
        <is>
          <t>S_Cc_Retard12m</t>
        </is>
      </c>
      <c r="B24" s="5">
        <f>'S_Cc_Retard12m'!$B$175</f>
        <v/>
      </c>
      <c r="C24" s="5">
        <f>'S_Cc_Retard12m'!$B$176</f>
        <v/>
      </c>
      <c r="D24" s="5">
        <f>'S_Cc_Retard12m'!$B$177</f>
        <v/>
      </c>
      <c r="E24" s="5">
        <f>'S_Cc_Retard12m'!$B$178</f>
        <v/>
      </c>
      <c r="F24" s="5">
        <f>'S_Cc_Retard12m'!$B$179</f>
        <v/>
      </c>
      <c r="G24" s="6">
        <f>'S_Cc_Retard12m'!$B$180</f>
        <v/>
      </c>
      <c r="H24" s="5">
        <f>'S_Cc_Retard12m'!$B$181</f>
        <v/>
      </c>
      <c r="I24" s="5">
        <f>'S_Cc_Retard12m'!$B$182</f>
        <v/>
      </c>
      <c r="J24" s="7">
        <f>'S_Cc_Retard12m'!$B$183</f>
        <v/>
      </c>
      <c r="K24" s="8">
        <f>'S_Cc_Retard12m'!$B$184</f>
        <v/>
      </c>
      <c r="L24" s="5">
        <f>'S_Cc_Retard12m'!$B$187</f>
        <v/>
      </c>
      <c r="M24" s="5">
        <f>'S_Cc_Retard12m'!$B$188</f>
        <v/>
      </c>
      <c r="N24" s="6">
        <f>'S_Cc_Retard12m'!$B$185</f>
        <v/>
      </c>
      <c r="O24" s="6">
        <f>'S_Cc_Retard12m'!$B$186</f>
        <v/>
      </c>
      <c r="P24" s="6">
        <f>'S_Cc_Retard12m'!$B$189</f>
        <v/>
      </c>
      <c r="Q24" s="6">
        <f>'S_Cc_Retard12m'!$B$190</f>
        <v/>
      </c>
      <c r="R24">
        <f>'S_Cc_Retard12m'!$B$191</f>
        <v/>
      </c>
    </row>
    <row r="25">
      <c r="A25" t="inlineStr">
        <is>
          <t>S_Cc_Taux+2pts</t>
        </is>
      </c>
      <c r="B25" s="5">
        <f>'S_Cc_Taux+2pts'!$B$175</f>
        <v/>
      </c>
      <c r="C25" s="5">
        <f>'S_Cc_Taux+2pts'!$B$176</f>
        <v/>
      </c>
      <c r="D25" s="5">
        <f>'S_Cc_Taux+2pts'!$B$177</f>
        <v/>
      </c>
      <c r="E25" s="5">
        <f>'S_Cc_Taux+2pts'!$B$178</f>
        <v/>
      </c>
      <c r="F25" s="5">
        <f>'S_Cc_Taux+2pts'!$B$179</f>
        <v/>
      </c>
      <c r="G25" s="6">
        <f>'S_Cc_Taux+2pts'!$B$180</f>
        <v/>
      </c>
      <c r="H25" s="5">
        <f>'S_Cc_Taux+2pts'!$B$181</f>
        <v/>
      </c>
      <c r="I25" s="5">
        <f>'S_Cc_Taux+2pts'!$B$182</f>
        <v/>
      </c>
      <c r="J25" s="7">
        <f>'S_Cc_Taux+2pts'!$B$183</f>
        <v/>
      </c>
      <c r="K25" s="8">
        <f>'S_Cc_Taux+2pts'!$B$184</f>
        <v/>
      </c>
      <c r="L25" s="5">
        <f>'S_Cc_Taux+2pts'!$B$187</f>
        <v/>
      </c>
      <c r="M25" s="5">
        <f>'S_Cc_Taux+2pts'!$B$188</f>
        <v/>
      </c>
      <c r="N25" s="6">
        <f>'S_Cc_Taux+2pts'!$B$185</f>
        <v/>
      </c>
      <c r="O25" s="6">
        <f>'S_Cc_Taux+2pts'!$B$186</f>
        <v/>
      </c>
      <c r="P25" s="6">
        <f>'S_Cc_Taux+2pts'!$B$189</f>
        <v/>
      </c>
      <c r="Q25" s="6">
        <f>'S_Cc_Taux+2pts'!$B$190</f>
        <v/>
      </c>
      <c r="R25">
        <f>'S_Cc_Taux+2pts'!$B$191</f>
        <v/>
      </c>
    </row>
    <row r="26">
      <c r="A26" t="inlineStr">
        <is>
          <t>S_Cc_RetraitFP50</t>
        </is>
      </c>
      <c r="B26" s="5">
        <f>'S_Cc_RetraitFP50'!$B$175</f>
        <v/>
      </c>
      <c r="C26" s="5">
        <f>'S_Cc_RetraitFP50'!$B$176</f>
        <v/>
      </c>
      <c r="D26" s="5">
        <f>'S_Cc_RetraitFP50'!$B$177</f>
        <v/>
      </c>
      <c r="E26" s="5">
        <f>'S_Cc_RetraitFP50'!$B$178</f>
        <v/>
      </c>
      <c r="F26" s="5">
        <f>'S_Cc_RetraitFP50'!$B$179</f>
        <v/>
      </c>
      <c r="G26" s="6">
        <f>'S_Cc_RetraitFP50'!$B$180</f>
        <v/>
      </c>
      <c r="H26" s="5">
        <f>'S_Cc_RetraitFP50'!$B$181</f>
        <v/>
      </c>
      <c r="I26" s="5">
        <f>'S_Cc_RetraitFP50'!$B$182</f>
        <v/>
      </c>
      <c r="J26" s="7">
        <f>'S_Cc_RetraitFP50'!$B$183</f>
        <v/>
      </c>
      <c r="K26" s="8">
        <f>'S_Cc_RetraitFP50'!$B$184</f>
        <v/>
      </c>
      <c r="L26" s="5">
        <f>'S_Cc_RetraitFP50'!$B$187</f>
        <v/>
      </c>
      <c r="M26" s="5">
        <f>'S_Cc_RetraitFP50'!$B$188</f>
        <v/>
      </c>
      <c r="N26" s="6">
        <f>'S_Cc_RetraitFP50'!$B$185</f>
        <v/>
      </c>
      <c r="O26" s="6">
        <f>'S_Cc_RetraitFP50'!$B$186</f>
        <v/>
      </c>
      <c r="P26" s="6">
        <f>'S_Cc_RetraitFP50'!$B$189</f>
        <v/>
      </c>
      <c r="Q26" s="6">
        <f>'S_Cc_RetraitFP50'!$B$190</f>
        <v/>
      </c>
      <c r="R26">
        <f>'S_Cc_RetraitFP50'!$B$191</f>
        <v/>
      </c>
    </row>
    <row r="27">
      <c r="A27" t="inlineStr">
        <is>
          <t>S_Cc_Annul40evt</t>
        </is>
      </c>
      <c r="B27" s="5">
        <f>'S_Cc_Annul40evt'!$B$175</f>
        <v/>
      </c>
      <c r="C27" s="5">
        <f>'S_Cc_Annul40evt'!$B$176</f>
        <v/>
      </c>
      <c r="D27" s="5">
        <f>'S_Cc_Annul40evt'!$B$177</f>
        <v/>
      </c>
      <c r="E27" s="5">
        <f>'S_Cc_Annul40evt'!$B$178</f>
        <v/>
      </c>
      <c r="F27" s="5">
        <f>'S_Cc_Annul40evt'!$B$179</f>
        <v/>
      </c>
      <c r="G27" s="6">
        <f>'S_Cc_Annul40evt'!$B$180</f>
        <v/>
      </c>
      <c r="H27" s="5">
        <f>'S_Cc_Annul40evt'!$B$181</f>
        <v/>
      </c>
      <c r="I27" s="5">
        <f>'S_Cc_Annul40evt'!$B$182</f>
        <v/>
      </c>
      <c r="J27" s="7">
        <f>'S_Cc_Annul40evt'!$B$183</f>
        <v/>
      </c>
      <c r="K27" s="8">
        <f>'S_Cc_Annul40evt'!$B$184</f>
        <v/>
      </c>
      <c r="L27" s="5">
        <f>'S_Cc_Annul40evt'!$B$187</f>
        <v/>
      </c>
      <c r="M27" s="5">
        <f>'S_Cc_Annul40evt'!$B$188</f>
        <v/>
      </c>
      <c r="N27" s="6">
        <f>'S_Cc_Annul40evt'!$B$185</f>
        <v/>
      </c>
      <c r="O27" s="6">
        <f>'S_Cc_Annul40evt'!$B$186</f>
        <v/>
      </c>
      <c r="P27" s="6">
        <f>'S_Cc_Annul40evt'!$B$189</f>
        <v/>
      </c>
      <c r="Q27" s="6">
        <f>'S_Cc_Annul40evt'!$B$190</f>
        <v/>
      </c>
      <c r="R27">
        <f>'S_Cc_Annul40evt'!$B$191</f>
        <v/>
      </c>
    </row>
    <row r="28">
      <c r="A28" t="inlineStr">
        <is>
          <t>S_Cc_Cumul</t>
        </is>
      </c>
      <c r="B28" s="5">
        <f>'S_Cc_Cumul'!$B$175</f>
        <v/>
      </c>
      <c r="C28" s="5">
        <f>'S_Cc_Cumul'!$B$176</f>
        <v/>
      </c>
      <c r="D28" s="5">
        <f>'S_Cc_Cumul'!$B$177</f>
        <v/>
      </c>
      <c r="E28" s="5">
        <f>'S_Cc_Cumul'!$B$178</f>
        <v/>
      </c>
      <c r="F28" s="5">
        <f>'S_Cc_Cumul'!$B$179</f>
        <v/>
      </c>
      <c r="G28" s="6">
        <f>'S_Cc_Cumul'!$B$180</f>
        <v/>
      </c>
      <c r="H28" s="5">
        <f>'S_Cc_Cumul'!$B$181</f>
        <v/>
      </c>
      <c r="I28" s="5">
        <f>'S_Cc_Cumul'!$B$182</f>
        <v/>
      </c>
      <c r="J28" s="7">
        <f>'S_Cc_Cumul'!$B$183</f>
        <v/>
      </c>
      <c r="K28" s="8">
        <f>'S_Cc_Cumul'!$B$184</f>
        <v/>
      </c>
      <c r="L28" s="5">
        <f>'S_Cc_Cumul'!$B$187</f>
        <v/>
      </c>
      <c r="M28" s="5">
        <f>'S_Cc_Cumul'!$B$188</f>
        <v/>
      </c>
      <c r="N28" s="6">
        <f>'S_Cc_Cumul'!$B$185</f>
        <v/>
      </c>
      <c r="O28" s="6">
        <f>'S_Cc_Cumul'!$B$186</f>
        <v/>
      </c>
      <c r="P28" s="6">
        <f>'S_Cc_Cumul'!$B$189</f>
        <v/>
      </c>
      <c r="Q28" s="6">
        <f>'S_Cc_Cumul'!$B$190</f>
        <v/>
      </c>
      <c r="R28">
        <f>'S_Cc_Cumul'!$B$191</f>
        <v/>
      </c>
    </row>
    <row r="29">
      <c r="A29" t="inlineStr">
        <is>
          <t>S_Cn_CA-30</t>
        </is>
      </c>
      <c r="B29" s="5">
        <f>'S_Cn_CA-30'!$B$175</f>
        <v/>
      </c>
      <c r="C29" s="5">
        <f>'S_Cn_CA-30'!$B$176</f>
        <v/>
      </c>
      <c r="D29" s="5">
        <f>'S_Cn_CA-30'!$B$177</f>
        <v/>
      </c>
      <c r="E29" s="5">
        <f>'S_Cn_CA-30'!$B$178</f>
        <v/>
      </c>
      <c r="F29" s="5">
        <f>'S_Cn_CA-30'!$B$179</f>
        <v/>
      </c>
      <c r="G29" s="6">
        <f>'S_Cn_CA-30'!$B$180</f>
        <v/>
      </c>
      <c r="H29" s="5">
        <f>'S_Cn_CA-30'!$B$181</f>
        <v/>
      </c>
      <c r="I29" s="5">
        <f>'S_Cn_CA-30'!$B$182</f>
        <v/>
      </c>
      <c r="J29" s="7">
        <f>'S_Cn_CA-30'!$B$183</f>
        <v/>
      </c>
      <c r="K29" s="8">
        <f>'S_Cn_CA-30'!$B$184</f>
        <v/>
      </c>
      <c r="L29" s="5">
        <f>'S_Cn_CA-30'!$B$187</f>
        <v/>
      </c>
      <c r="M29" s="5">
        <f>'S_Cn_CA-30'!$B$188</f>
        <v/>
      </c>
      <c r="N29" s="6">
        <f>'S_Cn_CA-30'!$B$185</f>
        <v/>
      </c>
      <c r="O29" s="6">
        <f>'S_Cn_CA-30'!$B$186</f>
        <v/>
      </c>
      <c r="P29" s="6">
        <f>'S_Cn_CA-30'!$B$189</f>
        <v/>
      </c>
      <c r="Q29" s="6">
        <f>'S_Cn_CA-30'!$B$190</f>
        <v/>
      </c>
      <c r="R29">
        <f>'S_Cn_CA-30'!$B$191</f>
        <v/>
      </c>
    </row>
    <row r="30">
      <c r="A30" t="inlineStr">
        <is>
          <t>S_Cn_Travaux+30</t>
        </is>
      </c>
      <c r="B30" s="5">
        <f>'S_Cn_Travaux+30'!$B$175</f>
        <v/>
      </c>
      <c r="C30" s="5">
        <f>'S_Cn_Travaux+30'!$B$176</f>
        <v/>
      </c>
      <c r="D30" s="5">
        <f>'S_Cn_Travaux+30'!$B$177</f>
        <v/>
      </c>
      <c r="E30" s="5">
        <f>'S_Cn_Travaux+30'!$B$178</f>
        <v/>
      </c>
      <c r="F30" s="5">
        <f>'S_Cn_Travaux+30'!$B$179</f>
        <v/>
      </c>
      <c r="G30" s="6">
        <f>'S_Cn_Travaux+30'!$B$180</f>
        <v/>
      </c>
      <c r="H30" s="5">
        <f>'S_Cn_Travaux+30'!$B$181</f>
        <v/>
      </c>
      <c r="I30" s="5">
        <f>'S_Cn_Travaux+30'!$B$182</f>
        <v/>
      </c>
      <c r="J30" s="7">
        <f>'S_Cn_Travaux+30'!$B$183</f>
        <v/>
      </c>
      <c r="K30" s="8">
        <f>'S_Cn_Travaux+30'!$B$184</f>
        <v/>
      </c>
      <c r="L30" s="5">
        <f>'S_Cn_Travaux+30'!$B$187</f>
        <v/>
      </c>
      <c r="M30" s="5">
        <f>'S_Cn_Travaux+30'!$B$188</f>
        <v/>
      </c>
      <c r="N30" s="6">
        <f>'S_Cn_Travaux+30'!$B$185</f>
        <v/>
      </c>
      <c r="O30" s="6">
        <f>'S_Cn_Travaux+30'!$B$186</f>
        <v/>
      </c>
      <c r="P30" s="6">
        <f>'S_Cn_Travaux+30'!$B$189</f>
        <v/>
      </c>
      <c r="Q30" s="6">
        <f>'S_Cn_Travaux+30'!$B$190</f>
        <v/>
      </c>
      <c r="R30">
        <f>'S_Cn_Travaux+30'!$B$191</f>
        <v/>
      </c>
    </row>
    <row r="31">
      <c r="A31" t="inlineStr">
        <is>
          <t>S_Cn_Retard12m</t>
        </is>
      </c>
      <c r="B31" s="5">
        <f>'S_Cn_Retard12m'!$B$175</f>
        <v/>
      </c>
      <c r="C31" s="5">
        <f>'S_Cn_Retard12m'!$B$176</f>
        <v/>
      </c>
      <c r="D31" s="5">
        <f>'S_Cn_Retard12m'!$B$177</f>
        <v/>
      </c>
      <c r="E31" s="5">
        <f>'S_Cn_Retard12m'!$B$178</f>
        <v/>
      </c>
      <c r="F31" s="5">
        <f>'S_Cn_Retard12m'!$B$179</f>
        <v/>
      </c>
      <c r="G31" s="6">
        <f>'S_Cn_Retard12m'!$B$180</f>
        <v/>
      </c>
      <c r="H31" s="5">
        <f>'S_Cn_Retard12m'!$B$181</f>
        <v/>
      </c>
      <c r="I31" s="5">
        <f>'S_Cn_Retard12m'!$B$182</f>
        <v/>
      </c>
      <c r="J31" s="7">
        <f>'S_Cn_Retard12m'!$B$183</f>
        <v/>
      </c>
      <c r="K31" s="8">
        <f>'S_Cn_Retard12m'!$B$184</f>
        <v/>
      </c>
      <c r="L31" s="5">
        <f>'S_Cn_Retard12m'!$B$187</f>
        <v/>
      </c>
      <c r="M31" s="5">
        <f>'S_Cn_Retard12m'!$B$188</f>
        <v/>
      </c>
      <c r="N31" s="6">
        <f>'S_Cn_Retard12m'!$B$185</f>
        <v/>
      </c>
      <c r="O31" s="6">
        <f>'S_Cn_Retard12m'!$B$186</f>
        <v/>
      </c>
      <c r="P31" s="6">
        <f>'S_Cn_Retard12m'!$B$189</f>
        <v/>
      </c>
      <c r="Q31" s="6">
        <f>'S_Cn_Retard12m'!$B$190</f>
        <v/>
      </c>
      <c r="R31">
        <f>'S_Cn_Retard12m'!$B$191</f>
        <v/>
      </c>
    </row>
    <row r="32">
      <c r="A32" t="inlineStr">
        <is>
          <t>S_Cn_Taux+2pts</t>
        </is>
      </c>
      <c r="B32" s="5">
        <f>'S_Cn_Taux+2pts'!$B$175</f>
        <v/>
      </c>
      <c r="C32" s="5">
        <f>'S_Cn_Taux+2pts'!$B$176</f>
        <v/>
      </c>
      <c r="D32" s="5">
        <f>'S_Cn_Taux+2pts'!$B$177</f>
        <v/>
      </c>
      <c r="E32" s="5">
        <f>'S_Cn_Taux+2pts'!$B$178</f>
        <v/>
      </c>
      <c r="F32" s="5">
        <f>'S_Cn_Taux+2pts'!$B$179</f>
        <v/>
      </c>
      <c r="G32" s="6">
        <f>'S_Cn_Taux+2pts'!$B$180</f>
        <v/>
      </c>
      <c r="H32" s="5">
        <f>'S_Cn_Taux+2pts'!$B$181</f>
        <v/>
      </c>
      <c r="I32" s="5">
        <f>'S_Cn_Taux+2pts'!$B$182</f>
        <v/>
      </c>
      <c r="J32" s="7">
        <f>'S_Cn_Taux+2pts'!$B$183</f>
        <v/>
      </c>
      <c r="K32" s="8">
        <f>'S_Cn_Taux+2pts'!$B$184</f>
        <v/>
      </c>
      <c r="L32" s="5">
        <f>'S_Cn_Taux+2pts'!$B$187</f>
        <v/>
      </c>
      <c r="M32" s="5">
        <f>'S_Cn_Taux+2pts'!$B$188</f>
        <v/>
      </c>
      <c r="N32" s="6">
        <f>'S_Cn_Taux+2pts'!$B$185</f>
        <v/>
      </c>
      <c r="O32" s="6">
        <f>'S_Cn_Taux+2pts'!$B$186</f>
        <v/>
      </c>
      <c r="P32" s="6">
        <f>'S_Cn_Taux+2pts'!$B$189</f>
        <v/>
      </c>
      <c r="Q32" s="6">
        <f>'S_Cn_Taux+2pts'!$B$190</f>
        <v/>
      </c>
      <c r="R32">
        <f>'S_Cn_Taux+2pts'!$B$191</f>
        <v/>
      </c>
    </row>
    <row r="33">
      <c r="A33" t="inlineStr">
        <is>
          <t>S_Cn_RetraitFP50</t>
        </is>
      </c>
      <c r="B33" s="5">
        <f>'S_Cn_RetraitFP50'!$B$175</f>
        <v/>
      </c>
      <c r="C33" s="5">
        <f>'S_Cn_RetraitFP50'!$B$176</f>
        <v/>
      </c>
      <c r="D33" s="5">
        <f>'S_Cn_RetraitFP50'!$B$177</f>
        <v/>
      </c>
      <c r="E33" s="5">
        <f>'S_Cn_RetraitFP50'!$B$178</f>
        <v/>
      </c>
      <c r="F33" s="5">
        <f>'S_Cn_RetraitFP50'!$B$179</f>
        <v/>
      </c>
      <c r="G33" s="6">
        <f>'S_Cn_RetraitFP50'!$B$180</f>
        <v/>
      </c>
      <c r="H33" s="5">
        <f>'S_Cn_RetraitFP50'!$B$181</f>
        <v/>
      </c>
      <c r="I33" s="5">
        <f>'S_Cn_RetraitFP50'!$B$182</f>
        <v/>
      </c>
      <c r="J33" s="7">
        <f>'S_Cn_RetraitFP50'!$B$183</f>
        <v/>
      </c>
      <c r="K33" s="8">
        <f>'S_Cn_RetraitFP50'!$B$184</f>
        <v/>
      </c>
      <c r="L33" s="5">
        <f>'S_Cn_RetraitFP50'!$B$187</f>
        <v/>
      </c>
      <c r="M33" s="5">
        <f>'S_Cn_RetraitFP50'!$B$188</f>
        <v/>
      </c>
      <c r="N33" s="6">
        <f>'S_Cn_RetraitFP50'!$B$185</f>
        <v/>
      </c>
      <c r="O33" s="6">
        <f>'S_Cn_RetraitFP50'!$B$186</f>
        <v/>
      </c>
      <c r="P33" s="6">
        <f>'S_Cn_RetraitFP50'!$B$189</f>
        <v/>
      </c>
      <c r="Q33" s="6">
        <f>'S_Cn_RetraitFP50'!$B$190</f>
        <v/>
      </c>
      <c r="R33">
        <f>'S_Cn_RetraitFP50'!$B$191</f>
        <v/>
      </c>
    </row>
    <row r="34">
      <c r="A34" t="inlineStr">
        <is>
          <t>S_Cn_Annul40evt</t>
        </is>
      </c>
      <c r="B34" s="5">
        <f>'S_Cn_Annul40evt'!$B$175</f>
        <v/>
      </c>
      <c r="C34" s="5">
        <f>'S_Cn_Annul40evt'!$B$176</f>
        <v/>
      </c>
      <c r="D34" s="5">
        <f>'S_Cn_Annul40evt'!$B$177</f>
        <v/>
      </c>
      <c r="E34" s="5">
        <f>'S_Cn_Annul40evt'!$B$178</f>
        <v/>
      </c>
      <c r="F34" s="5">
        <f>'S_Cn_Annul40evt'!$B$179</f>
        <v/>
      </c>
      <c r="G34" s="6">
        <f>'S_Cn_Annul40evt'!$B$180</f>
        <v/>
      </c>
      <c r="H34" s="5">
        <f>'S_Cn_Annul40evt'!$B$181</f>
        <v/>
      </c>
      <c r="I34" s="5">
        <f>'S_Cn_Annul40evt'!$B$182</f>
        <v/>
      </c>
      <c r="J34" s="7">
        <f>'S_Cn_Annul40evt'!$B$183</f>
        <v/>
      </c>
      <c r="K34" s="8">
        <f>'S_Cn_Annul40evt'!$B$184</f>
        <v/>
      </c>
      <c r="L34" s="5">
        <f>'S_Cn_Annul40evt'!$B$187</f>
        <v/>
      </c>
      <c r="M34" s="5">
        <f>'S_Cn_Annul40evt'!$B$188</f>
        <v/>
      </c>
      <c r="N34" s="6">
        <f>'S_Cn_Annul40evt'!$B$185</f>
        <v/>
      </c>
      <c r="O34" s="6">
        <f>'S_Cn_Annul40evt'!$B$186</f>
        <v/>
      </c>
      <c r="P34" s="6">
        <f>'S_Cn_Annul40evt'!$B$189</f>
        <v/>
      </c>
      <c r="Q34" s="6">
        <f>'S_Cn_Annul40evt'!$B$190</f>
        <v/>
      </c>
      <c r="R34">
        <f>'S_Cn_Annul40evt'!$B$191</f>
        <v/>
      </c>
    </row>
    <row r="35">
      <c r="A35" t="inlineStr">
        <is>
          <t>S_Cn_Cumul</t>
        </is>
      </c>
      <c r="B35" s="5">
        <f>'S_Cn_Cumul'!$B$175</f>
        <v/>
      </c>
      <c r="C35" s="5">
        <f>'S_Cn_Cumul'!$B$176</f>
        <v/>
      </c>
      <c r="D35" s="5">
        <f>'S_Cn_Cumul'!$B$177</f>
        <v/>
      </c>
      <c r="E35" s="5">
        <f>'S_Cn_Cumul'!$B$178</f>
        <v/>
      </c>
      <c r="F35" s="5">
        <f>'S_Cn_Cumul'!$B$179</f>
        <v/>
      </c>
      <c r="G35" s="6">
        <f>'S_Cn_Cumul'!$B$180</f>
        <v/>
      </c>
      <c r="H35" s="5">
        <f>'S_Cn_Cumul'!$B$181</f>
        <v/>
      </c>
      <c r="I35" s="5">
        <f>'S_Cn_Cumul'!$B$182</f>
        <v/>
      </c>
      <c r="J35" s="7">
        <f>'S_Cn_Cumul'!$B$183</f>
        <v/>
      </c>
      <c r="K35" s="8">
        <f>'S_Cn_Cumul'!$B$184</f>
        <v/>
      </c>
      <c r="L35" s="5">
        <f>'S_Cn_Cumul'!$B$187</f>
        <v/>
      </c>
      <c r="M35" s="5">
        <f>'S_Cn_Cumul'!$B$188</f>
        <v/>
      </c>
      <c r="N35" s="6">
        <f>'S_Cn_Cumul'!$B$185</f>
        <v/>
      </c>
      <c r="O35" s="6">
        <f>'S_Cn_Cumul'!$B$186</f>
        <v/>
      </c>
      <c r="P35" s="6">
        <f>'S_Cn_Cumul'!$B$189</f>
        <v/>
      </c>
      <c r="Q35" s="6">
        <f>'S_Cn_Cumul'!$B$190</f>
        <v/>
      </c>
      <c r="R35">
        <f>'S_Cn_Cumul'!$B$191</f>
        <v/>
      </c>
    </row>
    <row r="36">
      <c r="A36" t="inlineStr">
        <is>
          <t>S_Bfsd_CA-30</t>
        </is>
      </c>
      <c r="B36" s="5">
        <f>'S_Bfsd_CA-30'!$B$175</f>
        <v/>
      </c>
      <c r="C36" s="5">
        <f>'S_Bfsd_CA-30'!$B$176</f>
        <v/>
      </c>
      <c r="D36" s="5">
        <f>'S_Bfsd_CA-30'!$B$177</f>
        <v/>
      </c>
      <c r="E36" s="5">
        <f>'S_Bfsd_CA-30'!$B$178</f>
        <v/>
      </c>
      <c r="F36" s="5">
        <f>'S_Bfsd_CA-30'!$B$179</f>
        <v/>
      </c>
      <c r="G36" s="6">
        <f>'S_Bfsd_CA-30'!$B$180</f>
        <v/>
      </c>
      <c r="H36" s="5">
        <f>'S_Bfsd_CA-30'!$B$181</f>
        <v/>
      </c>
      <c r="I36" s="5">
        <f>'S_Bfsd_CA-30'!$B$182</f>
        <v/>
      </c>
      <c r="J36" s="7">
        <f>'S_Bfsd_CA-30'!$B$183</f>
        <v/>
      </c>
      <c r="K36" s="8">
        <f>'S_Bfsd_CA-30'!$B$184</f>
        <v/>
      </c>
      <c r="L36" s="5">
        <f>'S_Bfsd_CA-30'!$B$187</f>
        <v/>
      </c>
      <c r="M36" s="5">
        <f>'S_Bfsd_CA-30'!$B$188</f>
        <v/>
      </c>
      <c r="N36" s="6">
        <f>'S_Bfsd_CA-30'!$B$185</f>
        <v/>
      </c>
      <c r="O36" s="6">
        <f>'S_Bfsd_CA-30'!$B$186</f>
        <v/>
      </c>
      <c r="P36" s="6">
        <f>'S_Bfsd_CA-30'!$B$189</f>
        <v/>
      </c>
      <c r="Q36" s="6">
        <f>'S_Bfsd_CA-30'!$B$190</f>
        <v/>
      </c>
      <c r="R36">
        <f>'S_Bfsd_CA-30'!$B$191</f>
        <v/>
      </c>
    </row>
    <row r="37">
      <c r="A37" t="inlineStr">
        <is>
          <t>S_Bfsd_Travaux+30</t>
        </is>
      </c>
      <c r="B37" s="5">
        <f>'S_Bfsd_Travaux+30'!$B$175</f>
        <v/>
      </c>
      <c r="C37" s="5">
        <f>'S_Bfsd_Travaux+30'!$B$176</f>
        <v/>
      </c>
      <c r="D37" s="5">
        <f>'S_Bfsd_Travaux+30'!$B$177</f>
        <v/>
      </c>
      <c r="E37" s="5">
        <f>'S_Bfsd_Travaux+30'!$B$178</f>
        <v/>
      </c>
      <c r="F37" s="5">
        <f>'S_Bfsd_Travaux+30'!$B$179</f>
        <v/>
      </c>
      <c r="G37" s="6">
        <f>'S_Bfsd_Travaux+30'!$B$180</f>
        <v/>
      </c>
      <c r="H37" s="5">
        <f>'S_Bfsd_Travaux+30'!$B$181</f>
        <v/>
      </c>
      <c r="I37" s="5">
        <f>'S_Bfsd_Travaux+30'!$B$182</f>
        <v/>
      </c>
      <c r="J37" s="7">
        <f>'S_Bfsd_Travaux+30'!$B$183</f>
        <v/>
      </c>
      <c r="K37" s="8">
        <f>'S_Bfsd_Travaux+30'!$B$184</f>
        <v/>
      </c>
      <c r="L37" s="5">
        <f>'S_Bfsd_Travaux+30'!$B$187</f>
        <v/>
      </c>
      <c r="M37" s="5">
        <f>'S_Bfsd_Travaux+30'!$B$188</f>
        <v/>
      </c>
      <c r="N37" s="6">
        <f>'S_Bfsd_Travaux+30'!$B$185</f>
        <v/>
      </c>
      <c r="O37" s="6">
        <f>'S_Bfsd_Travaux+30'!$B$186</f>
        <v/>
      </c>
      <c r="P37" s="6">
        <f>'S_Bfsd_Travaux+30'!$B$189</f>
        <v/>
      </c>
      <c r="Q37" s="6">
        <f>'S_Bfsd_Travaux+30'!$B$190</f>
        <v/>
      </c>
      <c r="R37">
        <f>'S_Bfsd_Travaux+30'!$B$191</f>
        <v/>
      </c>
    </row>
    <row r="38">
      <c r="A38" t="inlineStr">
        <is>
          <t>S_Bfsd_Retard12m</t>
        </is>
      </c>
      <c r="B38" s="5">
        <f>'S_Bfsd_Retard12m'!$B$175</f>
        <v/>
      </c>
      <c r="C38" s="5">
        <f>'S_Bfsd_Retard12m'!$B$176</f>
        <v/>
      </c>
      <c r="D38" s="5">
        <f>'S_Bfsd_Retard12m'!$B$177</f>
        <v/>
      </c>
      <c r="E38" s="5">
        <f>'S_Bfsd_Retard12m'!$B$178</f>
        <v/>
      </c>
      <c r="F38" s="5">
        <f>'S_Bfsd_Retard12m'!$B$179</f>
        <v/>
      </c>
      <c r="G38" s="6">
        <f>'S_Bfsd_Retard12m'!$B$180</f>
        <v/>
      </c>
      <c r="H38" s="5">
        <f>'S_Bfsd_Retard12m'!$B$181</f>
        <v/>
      </c>
      <c r="I38" s="5">
        <f>'S_Bfsd_Retard12m'!$B$182</f>
        <v/>
      </c>
      <c r="J38" s="7">
        <f>'S_Bfsd_Retard12m'!$B$183</f>
        <v/>
      </c>
      <c r="K38" s="8">
        <f>'S_Bfsd_Retard12m'!$B$184</f>
        <v/>
      </c>
      <c r="L38" s="5">
        <f>'S_Bfsd_Retard12m'!$B$187</f>
        <v/>
      </c>
      <c r="M38" s="5">
        <f>'S_Bfsd_Retard12m'!$B$188</f>
        <v/>
      </c>
      <c r="N38" s="6">
        <f>'S_Bfsd_Retard12m'!$B$185</f>
        <v/>
      </c>
      <c r="O38" s="6">
        <f>'S_Bfsd_Retard12m'!$B$186</f>
        <v/>
      </c>
      <c r="P38" s="6">
        <f>'S_Bfsd_Retard12m'!$B$189</f>
        <v/>
      </c>
      <c r="Q38" s="6">
        <f>'S_Bfsd_Retard12m'!$B$190</f>
        <v/>
      </c>
      <c r="R38">
        <f>'S_Bfsd_Retard12m'!$B$191</f>
        <v/>
      </c>
    </row>
    <row r="39">
      <c r="A39" t="inlineStr">
        <is>
          <t>S_Bfsd_Taux+2pts</t>
        </is>
      </c>
      <c r="B39" s="5">
        <f>'S_Bfsd_Taux+2pts'!$B$175</f>
        <v/>
      </c>
      <c r="C39" s="5">
        <f>'S_Bfsd_Taux+2pts'!$B$176</f>
        <v/>
      </c>
      <c r="D39" s="5">
        <f>'S_Bfsd_Taux+2pts'!$B$177</f>
        <v/>
      </c>
      <c r="E39" s="5">
        <f>'S_Bfsd_Taux+2pts'!$B$178</f>
        <v/>
      </c>
      <c r="F39" s="5">
        <f>'S_Bfsd_Taux+2pts'!$B$179</f>
        <v/>
      </c>
      <c r="G39" s="6">
        <f>'S_Bfsd_Taux+2pts'!$B$180</f>
        <v/>
      </c>
      <c r="H39" s="5">
        <f>'S_Bfsd_Taux+2pts'!$B$181</f>
        <v/>
      </c>
      <c r="I39" s="5">
        <f>'S_Bfsd_Taux+2pts'!$B$182</f>
        <v/>
      </c>
      <c r="J39" s="7">
        <f>'S_Bfsd_Taux+2pts'!$B$183</f>
        <v/>
      </c>
      <c r="K39" s="8">
        <f>'S_Bfsd_Taux+2pts'!$B$184</f>
        <v/>
      </c>
      <c r="L39" s="5">
        <f>'S_Bfsd_Taux+2pts'!$B$187</f>
        <v/>
      </c>
      <c r="M39" s="5">
        <f>'S_Bfsd_Taux+2pts'!$B$188</f>
        <v/>
      </c>
      <c r="N39" s="6">
        <f>'S_Bfsd_Taux+2pts'!$B$185</f>
        <v/>
      </c>
      <c r="O39" s="6">
        <f>'S_Bfsd_Taux+2pts'!$B$186</f>
        <v/>
      </c>
      <c r="P39" s="6">
        <f>'S_Bfsd_Taux+2pts'!$B$189</f>
        <v/>
      </c>
      <c r="Q39" s="6">
        <f>'S_Bfsd_Taux+2pts'!$B$190</f>
        <v/>
      </c>
      <c r="R39">
        <f>'S_Bfsd_Taux+2pts'!$B$191</f>
        <v/>
      </c>
    </row>
    <row r="40">
      <c r="A40" t="inlineStr">
        <is>
          <t>S_Bfsd_RetraitFP50</t>
        </is>
      </c>
      <c r="B40" s="5">
        <f>'S_Bfsd_RetraitFP50'!$B$175</f>
        <v/>
      </c>
      <c r="C40" s="5">
        <f>'S_Bfsd_RetraitFP50'!$B$176</f>
        <v/>
      </c>
      <c r="D40" s="5">
        <f>'S_Bfsd_RetraitFP50'!$B$177</f>
        <v/>
      </c>
      <c r="E40" s="5">
        <f>'S_Bfsd_RetraitFP50'!$B$178</f>
        <v/>
      </c>
      <c r="F40" s="5">
        <f>'S_Bfsd_RetraitFP50'!$B$179</f>
        <v/>
      </c>
      <c r="G40" s="6">
        <f>'S_Bfsd_RetraitFP50'!$B$180</f>
        <v/>
      </c>
      <c r="H40" s="5">
        <f>'S_Bfsd_RetraitFP50'!$B$181</f>
        <v/>
      </c>
      <c r="I40" s="5">
        <f>'S_Bfsd_RetraitFP50'!$B$182</f>
        <v/>
      </c>
      <c r="J40" s="7">
        <f>'S_Bfsd_RetraitFP50'!$B$183</f>
        <v/>
      </c>
      <c r="K40" s="8">
        <f>'S_Bfsd_RetraitFP50'!$B$184</f>
        <v/>
      </c>
      <c r="L40" s="5">
        <f>'S_Bfsd_RetraitFP50'!$B$187</f>
        <v/>
      </c>
      <c r="M40" s="5">
        <f>'S_Bfsd_RetraitFP50'!$B$188</f>
        <v/>
      </c>
      <c r="N40" s="6">
        <f>'S_Bfsd_RetraitFP50'!$B$185</f>
        <v/>
      </c>
      <c r="O40" s="6">
        <f>'S_Bfsd_RetraitFP50'!$B$186</f>
        <v/>
      </c>
      <c r="P40" s="6">
        <f>'S_Bfsd_RetraitFP50'!$B$189</f>
        <v/>
      </c>
      <c r="Q40" s="6">
        <f>'S_Bfsd_RetraitFP50'!$B$190</f>
        <v/>
      </c>
      <c r="R40">
        <f>'S_Bfsd_RetraitFP50'!$B$191</f>
        <v/>
      </c>
    </row>
    <row r="41">
      <c r="A41" t="inlineStr">
        <is>
          <t>S_Bfsd_Annul40evt</t>
        </is>
      </c>
      <c r="B41" s="5">
        <f>'S_Bfsd_Annul40evt'!$B$175</f>
        <v/>
      </c>
      <c r="C41" s="5">
        <f>'S_Bfsd_Annul40evt'!$B$176</f>
        <v/>
      </c>
      <c r="D41" s="5">
        <f>'S_Bfsd_Annul40evt'!$B$177</f>
        <v/>
      </c>
      <c r="E41" s="5">
        <f>'S_Bfsd_Annul40evt'!$B$178</f>
        <v/>
      </c>
      <c r="F41" s="5">
        <f>'S_Bfsd_Annul40evt'!$B$179</f>
        <v/>
      </c>
      <c r="G41" s="6">
        <f>'S_Bfsd_Annul40evt'!$B$180</f>
        <v/>
      </c>
      <c r="H41" s="5">
        <f>'S_Bfsd_Annul40evt'!$B$181</f>
        <v/>
      </c>
      <c r="I41" s="5">
        <f>'S_Bfsd_Annul40evt'!$B$182</f>
        <v/>
      </c>
      <c r="J41" s="7">
        <f>'S_Bfsd_Annul40evt'!$B$183</f>
        <v/>
      </c>
      <c r="K41" s="8">
        <f>'S_Bfsd_Annul40evt'!$B$184</f>
        <v/>
      </c>
      <c r="L41" s="5">
        <f>'S_Bfsd_Annul40evt'!$B$187</f>
        <v/>
      </c>
      <c r="M41" s="5">
        <f>'S_Bfsd_Annul40evt'!$B$188</f>
        <v/>
      </c>
      <c r="N41" s="6">
        <f>'S_Bfsd_Annul40evt'!$B$185</f>
        <v/>
      </c>
      <c r="O41" s="6">
        <f>'S_Bfsd_Annul40evt'!$B$186</f>
        <v/>
      </c>
      <c r="P41" s="6">
        <f>'S_Bfsd_Annul40evt'!$B$189</f>
        <v/>
      </c>
      <c r="Q41" s="6">
        <f>'S_Bfsd_Annul40evt'!$B$190</f>
        <v/>
      </c>
      <c r="R41">
        <f>'S_Bfsd_Annul40evt'!$B$191</f>
        <v/>
      </c>
    </row>
    <row r="42">
      <c r="A42" t="inlineStr">
        <is>
          <t>S_Bfsd_Cumul</t>
        </is>
      </c>
      <c r="B42" s="5">
        <f>'S_Bfsd_Cumul'!$B$175</f>
        <v/>
      </c>
      <c r="C42" s="5">
        <f>'S_Bfsd_Cumul'!$B$176</f>
        <v/>
      </c>
      <c r="D42" s="5">
        <f>'S_Bfsd_Cumul'!$B$177</f>
        <v/>
      </c>
      <c r="E42" s="5">
        <f>'S_Bfsd_Cumul'!$B$178</f>
        <v/>
      </c>
      <c r="F42" s="5">
        <f>'S_Bfsd_Cumul'!$B$179</f>
        <v/>
      </c>
      <c r="G42" s="6">
        <f>'S_Bfsd_Cumul'!$B$180</f>
        <v/>
      </c>
      <c r="H42" s="5">
        <f>'S_Bfsd_Cumul'!$B$181</f>
        <v/>
      </c>
      <c r="I42" s="5">
        <f>'S_Bfsd_Cumul'!$B$182</f>
        <v/>
      </c>
      <c r="J42" s="7">
        <f>'S_Bfsd_Cumul'!$B$183</f>
        <v/>
      </c>
      <c r="K42" s="8">
        <f>'S_Bfsd_Cumul'!$B$184</f>
        <v/>
      </c>
      <c r="L42" s="5">
        <f>'S_Bfsd_Cumul'!$B$187</f>
        <v/>
      </c>
      <c r="M42" s="5">
        <f>'S_Bfsd_Cumul'!$B$188</f>
        <v/>
      </c>
      <c r="N42" s="6">
        <f>'S_Bfsd_Cumul'!$B$185</f>
        <v/>
      </c>
      <c r="O42" s="6">
        <f>'S_Bfsd_Cumul'!$B$186</f>
        <v/>
      </c>
      <c r="P42" s="6">
        <f>'S_Bfsd_Cumul'!$B$189</f>
        <v/>
      </c>
      <c r="Q42" s="6">
        <f>'S_Bfsd_Cumul'!$B$190</f>
        <v/>
      </c>
      <c r="R42">
        <f>'S_Bfsd_Cumul'!$B$191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A — Château équestre « sport » — cas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350000</v>
      </c>
      <c r="C11" t="inlineStr">
        <is>
          <t>€</t>
        </is>
      </c>
      <c r="D11" t="inlineStr">
        <is>
          <t>EST : marcheur 35 k€, carrière 35 €/m², barn 200 €/m² (PL [A3 H19]) + 10 box supplémentaires</t>
        </is>
      </c>
    </row>
    <row r="12">
      <c r="A12" t="inlineStr">
        <is>
          <t>Investissements événementiel / hébergement</t>
        </is>
      </c>
      <c r="B12" s="12" t="n">
        <v>80000</v>
      </c>
      <c r="C12" t="inlineStr">
        <is>
          <t>€</t>
        </is>
      </c>
      <c r="D12" t="inlineStr">
        <is>
          <t>EST : salon de réception pour ventes privées, pas de salle ERP &gt; 50 pers.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travail (chevaux de sport, places occupées)</t>
        </is>
      </c>
      <c r="B63" s="15" t="n">
        <v>18</v>
      </c>
      <c r="C63" s="12" t="n">
        <v>6560</v>
      </c>
      <c r="D63" s="13" t="n">
        <v>0.26</v>
      </c>
      <c r="E63" s="16" t="n">
        <v>0</v>
      </c>
      <c r="F63" s="16" t="n">
        <v>1</v>
      </c>
      <c r="G63" t="inlineStr">
        <is>
          <t>PL : 656 € TTC/mois (cas-type CSO 2025) → 547 € HT à TVA 20 % (entraînement/valorisation, BOFiP) [A3 H5, H9] ; 20 places × 90 % ; coûts op. 1 729 €/an [A3 §4]</t>
        </is>
      </c>
    </row>
    <row r="64">
      <c r="A64" t="inlineStr">
        <is>
          <t>Pension box premium (places occupées)</t>
        </is>
      </c>
      <c r="B64" s="15" t="n">
        <v>9</v>
      </c>
      <c r="C64" s="12" t="n">
        <v>5915</v>
      </c>
      <c r="D64" s="13" t="n">
        <v>0.2</v>
      </c>
      <c r="E64" s="16" t="n">
        <v>0</v>
      </c>
      <c r="F64" s="16" t="n">
        <v>1</v>
      </c>
      <c r="G64" t="inlineStr">
        <is>
          <t>Cf. B ; 10 places × 90 %</t>
        </is>
      </c>
    </row>
    <row r="65">
      <c r="A65" t="inlineStr">
        <is>
          <t>Pension au pré (places occupées)</t>
        </is>
      </c>
      <c r="B65" s="15" t="n">
        <v>14</v>
      </c>
      <c r="C65" s="12" t="n">
        <v>2616</v>
      </c>
      <c r="D65" s="13" t="n">
        <v>0.23</v>
      </c>
      <c r="E65" s="16" t="n">
        <v>0</v>
      </c>
      <c r="F65" s="16" t="n">
        <v>1</v>
      </c>
      <c r="G65" t="inlineStr">
        <is>
          <t>Cf. B ; 15 places × 92 %</t>
        </is>
      </c>
    </row>
    <row r="66">
      <c r="A66" t="inlineStr">
        <is>
          <t>Valorisation et vente de jeunes chevaux (marge nette par cheval vendu)</t>
        </is>
      </c>
      <c r="B66" s="15" t="n">
        <v>3</v>
      </c>
      <c r="C66" s="12" t="n">
        <v>9975</v>
      </c>
      <c r="D66" s="13" t="n">
        <v>0.1</v>
      </c>
      <c r="E66" s="16" t="n">
        <v>0</v>
      </c>
      <c r="F66" s="16" t="n">
        <v>1</v>
      </c>
      <c r="G66" t="inlineStr">
        <is>
          <t>PL : cas-type 2 chevaux/an, 36,75 k€ vendus − 16,8 k€ achetés [A3 §8] ; 3/an EST ; risque élevé</t>
        </is>
      </c>
    </row>
    <row r="67">
      <c r="A67" t="inlineStr">
        <is>
          <t>Organisation de concours (produit annuel)</t>
        </is>
      </c>
      <c r="B67" s="15" t="n">
        <v>1</v>
      </c>
      <c r="C67" s="12" t="n">
        <v>16076</v>
      </c>
      <c r="D67" s="13" t="n">
        <v>0.5</v>
      </c>
      <c r="E67" s="16" t="n">
        <v>1</v>
      </c>
      <c r="F67" s="16" t="n">
        <v>1</v>
      </c>
      <c r="G67" t="inlineStr">
        <is>
          <t>PL : produit moyen « organisation de concours » d'une pension travail 16 076 €/an [A3 §4] ; marge EST</t>
        </is>
      </c>
    </row>
    <row r="68">
      <c r="A68" t="inlineStr">
        <is>
          <t>Ventes privées / showcases B2B (soirées)</t>
        </is>
      </c>
      <c r="B68" s="15" t="n">
        <v>3</v>
      </c>
      <c r="C68" s="12" t="n">
        <v>3000</v>
      </c>
      <c r="D68" s="13" t="n">
        <v>0.4</v>
      </c>
      <c r="E68" s="16" t="n">
        <v>1</v>
      </c>
      <c r="F68" s="16" t="n">
        <v>1</v>
      </c>
      <c r="G68" t="inlineStr">
        <is>
          <t>INC : aucun tarif de location publié [A3 §8 n°10] ; EST</t>
        </is>
      </c>
    </row>
    <row r="69">
      <c r="A69" t="inlineStr">
        <is>
          <t>Gains de compétition</t>
        </is>
      </c>
      <c r="B69" s="15" t="n">
        <v>1</v>
      </c>
      <c r="C69" s="12" t="n">
        <v>12250</v>
      </c>
      <c r="D69" s="13" t="n">
        <v>0</v>
      </c>
      <c r="E69" s="16" t="n">
        <v>1</v>
      </c>
      <c r="F69" s="16" t="n">
        <v>1</v>
      </c>
      <c r="G69" t="inlineStr">
        <is>
          <t>PL : cas-type CSO 2025 12 250 € [A3 §4]</t>
        </is>
      </c>
    </row>
    <row r="70">
      <c r="A70" t="inlineStr">
        <is>
          <t>Gîte 15 couchages hors mariages (nuits)</t>
        </is>
      </c>
      <c r="B70" s="15" t="n">
        <v>92</v>
      </c>
      <c r="C70" s="12" t="n">
        <v>450</v>
      </c>
      <c r="D70" s="13" t="n">
        <v>0.45</v>
      </c>
      <c r="E70" s="16" t="n">
        <v>0</v>
      </c>
      <c r="F70" s="16" t="n">
        <v>0</v>
      </c>
      <c r="G70" t="inlineStr">
        <is>
          <t>PL : fourchettes de prix [A4 §4.2] ; 92 nuits EST (occupation annuelle ≈ 33 % observée en Normandie hors saison) [A4 §4.3]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7000</v>
      </c>
      <c r="C77" s="16" t="n">
        <v>1</v>
      </c>
      <c r="G77" t="inlineStr">
        <is>
          <t>PL : « rarement &lt; 2 500 € », hausse 2026 de 7,5-8 % [A4 §11] ; EST 5-10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/ agent d'entretien (1 ETP au Smic chargé)</t>
        </is>
      </c>
      <c r="B79" s="12" t="n">
        <v>27000</v>
      </c>
      <c r="C79" s="16" t="n">
        <v>1</v>
      </c>
      <c r="G79" t="inlineStr">
        <is>
          <t>PL : Smic 2026 22 404 € brut/an [A4 §11] ; EST charges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Cavalier professionnel / responsable d'écurie (chargé)</t>
        </is>
      </c>
      <c r="B81" s="12" t="n">
        <v>45000</v>
      </c>
      <c r="C81" s="16" t="n">
        <v>0</v>
      </c>
      <c r="G81" t="inlineStr">
        <is>
          <t>PL : grille 2 108-2 678 € brut (coef. 130-167) [A3 H15] ; EST charges</t>
        </is>
      </c>
    </row>
    <row r="82">
      <c r="A82" t="inlineStr">
        <is>
          <t>Soigneurs (2 ETP au Smic chargés)</t>
        </is>
      </c>
      <c r="B82" s="12" t="n">
        <v>60000</v>
      </c>
      <c r="C82" s="16" t="n">
        <v>0</v>
      </c>
      <c r="G82" t="inlineStr">
        <is>
          <t>PL [A3 H13-H14] ; 10 chevaux au travail / ETP</t>
        </is>
      </c>
    </row>
    <row r="83">
      <c r="A83" t="inlineStr">
        <is>
          <t>Autres charges de structure équestres</t>
        </is>
      </c>
      <c r="B83" s="12" t="n">
        <v>35000</v>
      </c>
      <c r="C83" s="16" t="n">
        <v>0</v>
      </c>
      <c r="G83" t="inlineStr">
        <is>
          <t>EST : réf. structure pension travail 2 471 €/équidé [A3 §4] (salaires inclus) → calibrage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7">
      <c r="A87" t="inlineStr">
        <is>
          <t>Rémunération du dirigeant (chargée)</t>
        </is>
      </c>
      <c r="B87" s="12" t="n">
        <v>35000</v>
      </c>
      <c r="C87" s="16" t="n">
        <v>0</v>
      </c>
      <c r="G87" t="inlineStr">
        <is>
          <t>EST : minimum ; le dirigeant paie en plus 18 k€ de loyer privé</t>
        </is>
      </c>
    </row>
    <row r="89">
      <c r="A89" s="10" t="inlineStr">
        <is>
          <t>7. Calcul sur 10 ans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4" t="inlineStr">
        <is>
          <t>Année</t>
        </is>
      </c>
      <c r="B90" s="4" t="inlineStr">
        <is>
          <t>Total / réf.</t>
        </is>
      </c>
      <c r="C90" s="4" t="n">
        <v>1</v>
      </c>
      <c r="D90" s="4" t="n">
        <v>2</v>
      </c>
      <c r="E90" s="4" t="n">
        <v>3</v>
      </c>
      <c r="F90" s="4" t="n">
        <v>4</v>
      </c>
      <c r="G90" s="4" t="n">
        <v>5</v>
      </c>
      <c r="H90" s="4" t="n">
        <v>6</v>
      </c>
      <c r="I90" s="4" t="n">
        <v>7</v>
      </c>
      <c r="J90" s="4" t="n">
        <v>8</v>
      </c>
      <c r="K90" s="4" t="n">
        <v>9</v>
      </c>
      <c r="L90" s="4" t="n">
        <v>10</v>
      </c>
    </row>
    <row r="91">
      <c r="A91" t="inlineStr">
        <is>
          <t>Année d'ouverture effective</t>
        </is>
      </c>
      <c r="C91" s="8">
        <f>$B$6+$B$47</f>
        <v/>
      </c>
      <c r="D91" s="8">
        <f>$B$6+$B$47</f>
        <v/>
      </c>
      <c r="E91" s="8">
        <f>$B$6+$B$47</f>
        <v/>
      </c>
      <c r="F91" s="8">
        <f>$B$6+$B$47</f>
        <v/>
      </c>
      <c r="G91" s="8">
        <f>$B$6+$B$47</f>
        <v/>
      </c>
      <c r="H91" s="8">
        <f>$B$6+$B$47</f>
        <v/>
      </c>
      <c r="I91" s="8">
        <f>$B$6+$B$47</f>
        <v/>
      </c>
      <c r="J91" s="8">
        <f>$B$6+$B$47</f>
        <v/>
      </c>
      <c r="K91" s="8">
        <f>$B$6+$B$47</f>
        <v/>
      </c>
      <c r="L91" s="8">
        <f>$B$6+$B$47</f>
        <v/>
      </c>
    </row>
    <row r="92">
      <c r="A92" t="inlineStr">
        <is>
          <t>Rang de l'année d'exploitation</t>
        </is>
      </c>
      <c r="C92" s="8">
        <f>MAX(0,C$90-C91+1)</f>
        <v/>
      </c>
      <c r="D92" s="8">
        <f>MAX(0,D$90-D91+1)</f>
        <v/>
      </c>
      <c r="E92" s="8">
        <f>MAX(0,E$90-E91+1)</f>
        <v/>
      </c>
      <c r="F92" s="8">
        <f>MAX(0,F$90-F91+1)</f>
        <v/>
      </c>
      <c r="G92" s="8">
        <f>MAX(0,G$90-G91+1)</f>
        <v/>
      </c>
      <c r="H92" s="8">
        <f>MAX(0,H$90-H91+1)</f>
        <v/>
      </c>
      <c r="I92" s="8">
        <f>MAX(0,I$90-I91+1)</f>
        <v/>
      </c>
      <c r="J92" s="8">
        <f>MAX(0,J$90-J91+1)</f>
        <v/>
      </c>
      <c r="K92" s="8">
        <f>MAX(0,K$90-K91+1)</f>
        <v/>
      </c>
      <c r="L92" s="8">
        <f>MAX(0,L$90-L91+1)</f>
        <v/>
      </c>
    </row>
    <row r="93">
      <c r="A93" t="inlineStr">
        <is>
          <t>Coefficient de montée en charge</t>
        </is>
      </c>
      <c r="C93" s="6">
        <f>IF(C92=0,0,IF(C92=1,$B$53,IF(C92=2,$B$54,IF(C92=3,$B$55,1))))</f>
        <v/>
      </c>
      <c r="D93" s="6">
        <f>IF(D92=0,0,IF(D92=1,$B$53,IF(D92=2,$B$54,IF(D92=3,$B$55,1))))</f>
        <v/>
      </c>
      <c r="E93" s="6">
        <f>IF(E92=0,0,IF(E92=1,$B$53,IF(E92=2,$B$54,IF(E92=3,$B$55,1))))</f>
        <v/>
      </c>
      <c r="F93" s="6">
        <f>IF(F92=0,0,IF(F92=1,$B$53,IF(F92=2,$B$54,IF(F92=3,$B$55,1))))</f>
        <v/>
      </c>
      <c r="G93" s="6">
        <f>IF(G92=0,0,IF(G92=1,$B$53,IF(G92=2,$B$54,IF(G92=3,$B$55,1))))</f>
        <v/>
      </c>
      <c r="H93" s="6">
        <f>IF(H92=0,0,IF(H92=1,$B$53,IF(H92=2,$B$54,IF(H92=3,$B$55,1))))</f>
        <v/>
      </c>
      <c r="I93" s="6">
        <f>IF(I92=0,0,IF(I92=1,$B$53,IF(I92=2,$B$54,IF(I92=3,$B$55,1))))</f>
        <v/>
      </c>
      <c r="J93" s="6">
        <f>IF(J92=0,0,IF(J92=1,$B$53,IF(J92=2,$B$54,IF(J92=3,$B$55,1))))</f>
        <v/>
      </c>
      <c r="K93" s="6">
        <f>IF(K92=0,0,IF(K92=1,$B$53,IF(K92=2,$B$54,IF(K92=3,$B$55,1))))</f>
        <v/>
      </c>
      <c r="L93" s="6">
        <f>IF(L92=0,0,IF(L92=1,$B$53,IF(L92=2,$B$54,IF(L92=3,$B$55,1))))</f>
        <v/>
      </c>
    </row>
    <row r="94">
      <c r="A94" t="inlineStr">
        <is>
          <t>Indice prix</t>
        </is>
      </c>
      <c r="C94" s="17">
        <f>(1+$B$56)^(C$90-1)</f>
        <v/>
      </c>
      <c r="D94" s="17">
        <f>(1+$B$56)^(D$90-1)</f>
        <v/>
      </c>
      <c r="E94" s="17">
        <f>(1+$B$56)^(E$90-1)</f>
        <v/>
      </c>
      <c r="F94" s="17">
        <f>(1+$B$56)^(F$90-1)</f>
        <v/>
      </c>
      <c r="G94" s="17">
        <f>(1+$B$56)^(G$90-1)</f>
        <v/>
      </c>
      <c r="H94" s="17">
        <f>(1+$B$56)^(H$90-1)</f>
        <v/>
      </c>
      <c r="I94" s="17">
        <f>(1+$B$56)^(I$90-1)</f>
        <v/>
      </c>
      <c r="J94" s="17">
        <f>(1+$B$56)^(J$90-1)</f>
        <v/>
      </c>
      <c r="K94" s="17">
        <f>(1+$B$56)^(K$90-1)</f>
        <v/>
      </c>
      <c r="L94" s="17">
        <f>(1+$B$56)^(L$90-1)</f>
        <v/>
      </c>
    </row>
    <row r="95">
      <c r="A95" t="inlineStr">
        <is>
          <t>Indice charges</t>
        </is>
      </c>
      <c r="C95" s="17">
        <f>(1+$B$57)^(C$90-1)</f>
        <v/>
      </c>
      <c r="D95" s="17">
        <f>(1+$B$57)^(D$90-1)</f>
        <v/>
      </c>
      <c r="E95" s="17">
        <f>(1+$B$57)^(E$90-1)</f>
        <v/>
      </c>
      <c r="F95" s="17">
        <f>(1+$B$57)^(F$90-1)</f>
        <v/>
      </c>
      <c r="G95" s="17">
        <f>(1+$B$57)^(G$90-1)</f>
        <v/>
      </c>
      <c r="H95" s="17">
        <f>(1+$B$57)^(H$90-1)</f>
        <v/>
      </c>
      <c r="I95" s="17">
        <f>(1+$B$57)^(I$90-1)</f>
        <v/>
      </c>
      <c r="J95" s="17">
        <f>(1+$B$57)^(J$90-1)</f>
        <v/>
      </c>
      <c r="K95" s="17">
        <f>(1+$B$57)^(K$90-1)</f>
        <v/>
      </c>
      <c r="L95" s="17">
        <f>(1+$B$57)^(L$90-1)</f>
        <v/>
      </c>
    </row>
    <row r="96">
      <c r="A96" t="inlineStr">
        <is>
          <t>Murs détenus (1/0)</t>
        </is>
      </c>
      <c r="C96" s="8">
        <f>IF(C$90&gt;=$B$5,1,0)</f>
        <v/>
      </c>
      <c r="D96" s="8">
        <f>IF(D$90&gt;=$B$5,1,0)</f>
        <v/>
      </c>
      <c r="E96" s="8">
        <f>IF(E$90&gt;=$B$5,1,0)</f>
        <v/>
      </c>
      <c r="F96" s="8">
        <f>IF(F$90&gt;=$B$5,1,0)</f>
        <v/>
      </c>
      <c r="G96" s="8">
        <f>IF(G$90&gt;=$B$5,1,0)</f>
        <v/>
      </c>
      <c r="H96" s="8">
        <f>IF(H$90&gt;=$B$5,1,0)</f>
        <v/>
      </c>
      <c r="I96" s="8">
        <f>IF(I$90&gt;=$B$5,1,0)</f>
        <v/>
      </c>
      <c r="J96" s="8">
        <f>IF(J$90&gt;=$B$5,1,0)</f>
        <v/>
      </c>
      <c r="K96" s="8">
        <f>IF(K$90&gt;=$B$5,1,0)</f>
        <v/>
      </c>
      <c r="L96" s="8">
        <f>IF(L$90&gt;=$B$5,1,0)</f>
        <v/>
      </c>
    </row>
    <row r="98">
      <c r="A98" s="4" t="inlineStr">
        <is>
          <t>Compte de résultat</t>
        </is>
      </c>
    </row>
    <row r="99">
      <c r="A99" t="inlineStr">
        <is>
          <t xml:space="preserve">  Pension travail (chevaux de sport, places occupées)</t>
        </is>
      </c>
      <c r="B99" s="5">
        <f>SUM(C99:L99)</f>
        <v/>
      </c>
      <c r="C99" s="5">
        <f>$B$63*$C$63*C93*C94*$B$45*(1-$E$63*$B$50)</f>
        <v/>
      </c>
      <c r="D99" s="5">
        <f>$B$63*$C$63*D93*D94*$B$45*(1-$E$63*$B$50)</f>
        <v/>
      </c>
      <c r="E99" s="5">
        <f>$B$63*$C$63*E93*E94*$B$45*(1-$E$63*$B$50)</f>
        <v/>
      </c>
      <c r="F99" s="5">
        <f>$B$63*$C$63*F93*F94*$B$45*(1-$E$63*$B$50)</f>
        <v/>
      </c>
      <c r="G99" s="5">
        <f>$B$63*$C$63*G93*G94*$B$45*(1-$E$63*$B$50)</f>
        <v/>
      </c>
      <c r="H99" s="5">
        <f>$B$63*$C$63*H93*H94*$B$45*(1-$E$63*$B$50)</f>
        <v/>
      </c>
      <c r="I99" s="5">
        <f>$B$63*$C$63*I93*I94*$B$45*(1-$E$63*$B$50)</f>
        <v/>
      </c>
      <c r="J99" s="5">
        <f>$B$63*$C$63*J93*J94*$B$45*(1-$E$63*$B$50)</f>
        <v/>
      </c>
      <c r="K99" s="5">
        <f>$B$63*$C$63*K93*K94*$B$45*(1-$E$63*$B$50)</f>
        <v/>
      </c>
      <c r="L99" s="5">
        <f>$B$63*$C$63*L93*L94*$B$45*(1-$E$63*$B$50)</f>
        <v/>
      </c>
    </row>
    <row r="100">
      <c r="A100" t="inlineStr">
        <is>
          <t xml:space="preserve">  Pension box premium (places occupées)</t>
        </is>
      </c>
      <c r="B100" s="5">
        <f>SUM(C100:L100)</f>
        <v/>
      </c>
      <c r="C100" s="5">
        <f>$B$64*$C$64*C93*C94*$B$45*(1-$E$64*$B$50)</f>
        <v/>
      </c>
      <c r="D100" s="5">
        <f>$B$64*$C$64*D93*D94*$B$45*(1-$E$64*$B$50)</f>
        <v/>
      </c>
      <c r="E100" s="5">
        <f>$B$64*$C$64*E93*E94*$B$45*(1-$E$64*$B$50)</f>
        <v/>
      </c>
      <c r="F100" s="5">
        <f>$B$64*$C$64*F93*F94*$B$45*(1-$E$64*$B$50)</f>
        <v/>
      </c>
      <c r="G100" s="5">
        <f>$B$64*$C$64*G93*G94*$B$45*(1-$E$64*$B$50)</f>
        <v/>
      </c>
      <c r="H100" s="5">
        <f>$B$64*$C$64*H93*H94*$B$45*(1-$E$64*$B$50)</f>
        <v/>
      </c>
      <c r="I100" s="5">
        <f>$B$64*$C$64*I93*I94*$B$45*(1-$E$64*$B$50)</f>
        <v/>
      </c>
      <c r="J100" s="5">
        <f>$B$64*$C$64*J93*J94*$B$45*(1-$E$64*$B$50)</f>
        <v/>
      </c>
      <c r="K100" s="5">
        <f>$B$64*$C$64*K93*K94*$B$45*(1-$E$64*$B$50)</f>
        <v/>
      </c>
      <c r="L100" s="5">
        <f>$B$64*$C$64*L93*L94*$B$45*(1-$E$64*$B$50)</f>
        <v/>
      </c>
    </row>
    <row r="101">
      <c r="A101" t="inlineStr">
        <is>
          <t xml:space="preserve">  Pension au pré (places occupées)</t>
        </is>
      </c>
      <c r="B101" s="5">
        <f>SUM(C101:L101)</f>
        <v/>
      </c>
      <c r="C101" s="5">
        <f>$B$65*$C$65*C93*C94*$B$45*(1-$E$65*$B$50)</f>
        <v/>
      </c>
      <c r="D101" s="5">
        <f>$B$65*$C$65*D93*D94*$B$45*(1-$E$65*$B$50)</f>
        <v/>
      </c>
      <c r="E101" s="5">
        <f>$B$65*$C$65*E93*E94*$B$45*(1-$E$65*$B$50)</f>
        <v/>
      </c>
      <c r="F101" s="5">
        <f>$B$65*$C$65*F93*F94*$B$45*(1-$E$65*$B$50)</f>
        <v/>
      </c>
      <c r="G101" s="5">
        <f>$B$65*$C$65*G93*G94*$B$45*(1-$E$65*$B$50)</f>
        <v/>
      </c>
      <c r="H101" s="5">
        <f>$B$65*$C$65*H93*H94*$B$45*(1-$E$65*$B$50)</f>
        <v/>
      </c>
      <c r="I101" s="5">
        <f>$B$65*$C$65*I93*I94*$B$45*(1-$E$65*$B$50)</f>
        <v/>
      </c>
      <c r="J101" s="5">
        <f>$B$65*$C$65*J93*J94*$B$45*(1-$E$65*$B$50)</f>
        <v/>
      </c>
      <c r="K101" s="5">
        <f>$B$65*$C$65*K93*K94*$B$45*(1-$E$65*$B$50)</f>
        <v/>
      </c>
      <c r="L101" s="5">
        <f>$B$65*$C$65*L93*L94*$B$45*(1-$E$65*$B$50)</f>
        <v/>
      </c>
    </row>
    <row r="102">
      <c r="A102" t="inlineStr">
        <is>
          <t xml:space="preserve">  Valorisation et vente de jeunes chevaux (marge nette par cheval vendu)</t>
        </is>
      </c>
      <c r="B102" s="5">
        <f>SUM(C102:L102)</f>
        <v/>
      </c>
      <c r="C102" s="5">
        <f>$B$66*$C$66*C93*C94*$B$45*(1-$E$66*$B$50)</f>
        <v/>
      </c>
      <c r="D102" s="5">
        <f>$B$66*$C$66*D93*D94*$B$45*(1-$E$66*$B$50)</f>
        <v/>
      </c>
      <c r="E102" s="5">
        <f>$B$66*$C$66*E93*E94*$B$45*(1-$E$66*$B$50)</f>
        <v/>
      </c>
      <c r="F102" s="5">
        <f>$B$66*$C$66*F93*F94*$B$45*(1-$E$66*$B$50)</f>
        <v/>
      </c>
      <c r="G102" s="5">
        <f>$B$66*$C$66*G93*G94*$B$45*(1-$E$66*$B$50)</f>
        <v/>
      </c>
      <c r="H102" s="5">
        <f>$B$66*$C$66*H93*H94*$B$45*(1-$E$66*$B$50)</f>
        <v/>
      </c>
      <c r="I102" s="5">
        <f>$B$66*$C$66*I93*I94*$B$45*(1-$E$66*$B$50)</f>
        <v/>
      </c>
      <c r="J102" s="5">
        <f>$B$66*$C$66*J93*J94*$B$45*(1-$E$66*$B$50)</f>
        <v/>
      </c>
      <c r="K102" s="5">
        <f>$B$66*$C$66*K93*K94*$B$45*(1-$E$66*$B$50)</f>
        <v/>
      </c>
      <c r="L102" s="5">
        <f>$B$66*$C$66*L93*L94*$B$45*(1-$E$66*$B$50)</f>
        <v/>
      </c>
    </row>
    <row r="103">
      <c r="A103" t="inlineStr">
        <is>
          <t xml:space="preserve">  Organisation de concours (produit annuel)</t>
        </is>
      </c>
      <c r="B103" s="5">
        <f>SUM(C103:L103)</f>
        <v/>
      </c>
      <c r="C103" s="5">
        <f>$B$67*$C$67*C93*C94*$B$45*(1-$E$67*$B$50)</f>
        <v/>
      </c>
      <c r="D103" s="5">
        <f>$B$67*$C$67*D93*D94*$B$45*(1-$E$67*$B$50)</f>
        <v/>
      </c>
      <c r="E103" s="5">
        <f>$B$67*$C$67*E93*E94*$B$45*(1-$E$67*$B$50)</f>
        <v/>
      </c>
      <c r="F103" s="5">
        <f>$B$67*$C$67*F93*F94*$B$45*(1-$E$67*$B$50)</f>
        <v/>
      </c>
      <c r="G103" s="5">
        <f>$B$67*$C$67*G93*G94*$B$45*(1-$E$67*$B$50)</f>
        <v/>
      </c>
      <c r="H103" s="5">
        <f>$B$67*$C$67*H93*H94*$B$45*(1-$E$67*$B$50)</f>
        <v/>
      </c>
      <c r="I103" s="5">
        <f>$B$67*$C$67*I93*I94*$B$45*(1-$E$67*$B$50)</f>
        <v/>
      </c>
      <c r="J103" s="5">
        <f>$B$67*$C$67*J93*J94*$B$45*(1-$E$67*$B$50)</f>
        <v/>
      </c>
      <c r="K103" s="5">
        <f>$B$67*$C$67*K93*K94*$B$45*(1-$E$67*$B$50)</f>
        <v/>
      </c>
      <c r="L103" s="5">
        <f>$B$67*$C$67*L93*L94*$B$45*(1-$E$67*$B$50)</f>
        <v/>
      </c>
    </row>
    <row r="104">
      <c r="A104" t="inlineStr">
        <is>
          <t xml:space="preserve">  Ventes privées / showcases B2B (soirées)</t>
        </is>
      </c>
      <c r="B104" s="5">
        <f>SUM(C104:L104)</f>
        <v/>
      </c>
      <c r="C104" s="5">
        <f>$B$68*$C$68*C93*C94*$B$45*(1-$E$68*$B$50)</f>
        <v/>
      </c>
      <c r="D104" s="5">
        <f>$B$68*$C$68*D93*D94*$B$45*(1-$E$68*$B$50)</f>
        <v/>
      </c>
      <c r="E104" s="5">
        <f>$B$68*$C$68*E93*E94*$B$45*(1-$E$68*$B$50)</f>
        <v/>
      </c>
      <c r="F104" s="5">
        <f>$B$68*$C$68*F93*F94*$B$45*(1-$E$68*$B$50)</f>
        <v/>
      </c>
      <c r="G104" s="5">
        <f>$B$68*$C$68*G93*G94*$B$45*(1-$E$68*$B$50)</f>
        <v/>
      </c>
      <c r="H104" s="5">
        <f>$B$68*$C$68*H93*H94*$B$45*(1-$E$68*$B$50)</f>
        <v/>
      </c>
      <c r="I104" s="5">
        <f>$B$68*$C$68*I93*I94*$B$45*(1-$E$68*$B$50)</f>
        <v/>
      </c>
      <c r="J104" s="5">
        <f>$B$68*$C$68*J93*J94*$B$45*(1-$E$68*$B$50)</f>
        <v/>
      </c>
      <c r="K104" s="5">
        <f>$B$68*$C$68*K93*K94*$B$45*(1-$E$68*$B$50)</f>
        <v/>
      </c>
      <c r="L104" s="5">
        <f>$B$68*$C$68*L93*L94*$B$45*(1-$E$68*$B$50)</f>
        <v/>
      </c>
    </row>
    <row r="105">
      <c r="A105" t="inlineStr">
        <is>
          <t xml:space="preserve">  Gains de compétition</t>
        </is>
      </c>
      <c r="B105" s="5">
        <f>SUM(C105:L105)</f>
        <v/>
      </c>
      <c r="C105" s="5">
        <f>$B$69*$C$69*C93*C94*$B$45*(1-$E$69*$B$50)</f>
        <v/>
      </c>
      <c r="D105" s="5">
        <f>$B$69*$C$69*D93*D94*$B$45*(1-$E$69*$B$50)</f>
        <v/>
      </c>
      <c r="E105" s="5">
        <f>$B$69*$C$69*E93*E94*$B$45*(1-$E$69*$B$50)</f>
        <v/>
      </c>
      <c r="F105" s="5">
        <f>$B$69*$C$69*F93*F94*$B$45*(1-$E$69*$B$50)</f>
        <v/>
      </c>
      <c r="G105" s="5">
        <f>$B$69*$C$69*G93*G94*$B$45*(1-$E$69*$B$50)</f>
        <v/>
      </c>
      <c r="H105" s="5">
        <f>$B$69*$C$69*H93*H94*$B$45*(1-$E$69*$B$50)</f>
        <v/>
      </c>
      <c r="I105" s="5">
        <f>$B$69*$C$69*I93*I94*$B$45*(1-$E$69*$B$50)</f>
        <v/>
      </c>
      <c r="J105" s="5">
        <f>$B$69*$C$69*J93*J94*$B$45*(1-$E$69*$B$50)</f>
        <v/>
      </c>
      <c r="K105" s="5">
        <f>$B$69*$C$69*K93*K94*$B$45*(1-$E$69*$B$50)</f>
        <v/>
      </c>
      <c r="L105" s="5">
        <f>$B$69*$C$69*L93*L94*$B$45*(1-$E$69*$B$50)</f>
        <v/>
      </c>
    </row>
    <row r="106">
      <c r="A106" t="inlineStr">
        <is>
          <t xml:space="preserve">  Gîte 15 couchages hors mariages (nuits)</t>
        </is>
      </c>
      <c r="B106" s="5">
        <f>SUM(C106:L106)</f>
        <v/>
      </c>
      <c r="C106" s="5">
        <f>$B$70*$C$70*C93*C94*$B$45*(1-$E$70*$B$50)</f>
        <v/>
      </c>
      <c r="D106" s="5">
        <f>$B$70*$C$70*D93*D94*$B$45*(1-$E$70*$B$50)</f>
        <v/>
      </c>
      <c r="E106" s="5">
        <f>$B$70*$C$70*E93*E94*$B$45*(1-$E$70*$B$50)</f>
        <v/>
      </c>
      <c r="F106" s="5">
        <f>$B$70*$C$70*F93*F94*$B$45*(1-$E$70*$B$50)</f>
        <v/>
      </c>
      <c r="G106" s="5">
        <f>$B$70*$C$70*G93*G94*$B$45*(1-$E$70*$B$50)</f>
        <v/>
      </c>
      <c r="H106" s="5">
        <f>$B$70*$C$70*H93*H94*$B$45*(1-$E$70*$B$50)</f>
        <v/>
      </c>
      <c r="I106" s="5">
        <f>$B$70*$C$70*I93*I94*$B$45*(1-$E$70*$B$50)</f>
        <v/>
      </c>
      <c r="J106" s="5">
        <f>$B$70*$C$70*J93*J94*$B$45*(1-$E$70*$B$50)</f>
        <v/>
      </c>
      <c r="K106" s="5">
        <f>$B$70*$C$70*K93*K94*$B$45*(1-$E$70*$B$50)</f>
        <v/>
      </c>
      <c r="L106" s="5">
        <f>$B$70*$C$70*L93*L94*$B$45*(1-$E$70*$B$50)</f>
        <v/>
      </c>
    </row>
    <row r="107">
      <c r="A107" t="inlineStr">
        <is>
          <t xml:space="preserve">  Tournages / shootings (jours)</t>
        </is>
      </c>
      <c r="B107" s="5">
        <f>SUM(C107:L107)</f>
        <v/>
      </c>
      <c r="C107" s="5">
        <f>$B$71*$C$71*C93*C94*$B$45*(1-$E$71*$B$50)</f>
        <v/>
      </c>
      <c r="D107" s="5">
        <f>$B$71*$C$71*D93*D94*$B$45*(1-$E$71*$B$50)</f>
        <v/>
      </c>
      <c r="E107" s="5">
        <f>$B$71*$C$71*E93*E94*$B$45*(1-$E$71*$B$50)</f>
        <v/>
      </c>
      <c r="F107" s="5">
        <f>$B$71*$C$71*F93*F94*$B$45*(1-$E$71*$B$50)</f>
        <v/>
      </c>
      <c r="G107" s="5">
        <f>$B$71*$C$71*G93*G94*$B$45*(1-$E$71*$B$50)</f>
        <v/>
      </c>
      <c r="H107" s="5">
        <f>$B$71*$C$71*H93*H94*$B$45*(1-$E$71*$B$50)</f>
        <v/>
      </c>
      <c r="I107" s="5">
        <f>$B$71*$C$71*I93*I94*$B$45*(1-$E$71*$B$50)</f>
        <v/>
      </c>
      <c r="J107" s="5">
        <f>$B$71*$C$71*J93*J94*$B$45*(1-$E$71*$B$50)</f>
        <v/>
      </c>
      <c r="K107" s="5">
        <f>$B$71*$C$71*K93*K94*$B$45*(1-$E$71*$B$50)</f>
        <v/>
      </c>
      <c r="L107" s="5">
        <f>$B$71*$C$71*L93*L94*$B$45*(1-$E$71*$B$50)</f>
        <v/>
      </c>
    </row>
    <row r="108">
      <c r="A108" t="inlineStr">
        <is>
          <t xml:space="preserve">  Fermage / vente d'herbe (ha)</t>
        </is>
      </c>
      <c r="B108" s="5">
        <f>SUM(C108:L108)</f>
        <v/>
      </c>
      <c r="C108" s="5">
        <f>$B$72*$C$72*C93*C94*$B$45*(1-$E$72*$B$50)</f>
        <v/>
      </c>
      <c r="D108" s="5">
        <f>$B$72*$C$72*D93*D94*$B$45*(1-$E$72*$B$50)</f>
        <v/>
      </c>
      <c r="E108" s="5">
        <f>$B$72*$C$72*E93*E94*$B$45*(1-$E$72*$B$50)</f>
        <v/>
      </c>
      <c r="F108" s="5">
        <f>$B$72*$C$72*F93*F94*$B$45*(1-$E$72*$B$50)</f>
        <v/>
      </c>
      <c r="G108" s="5">
        <f>$B$72*$C$72*G93*G94*$B$45*(1-$E$72*$B$50)</f>
        <v/>
      </c>
      <c r="H108" s="5">
        <f>$B$72*$C$72*H93*H94*$B$45*(1-$E$72*$B$50)</f>
        <v/>
      </c>
      <c r="I108" s="5">
        <f>$B$72*$C$72*I93*I94*$B$45*(1-$E$72*$B$50)</f>
        <v/>
      </c>
      <c r="J108" s="5">
        <f>$B$72*$C$72*J93*J94*$B$45*(1-$E$72*$B$50)</f>
        <v/>
      </c>
      <c r="K108" s="5">
        <f>$B$72*$C$72*K93*K94*$B$45*(1-$E$72*$B$50)</f>
        <v/>
      </c>
      <c r="L108" s="5">
        <f>$B$72*$C$72*L93*L94*$B$45*(1-$E$72*$B$50)</f>
        <v/>
      </c>
    </row>
    <row r="109">
      <c r="A109" s="4" t="inlineStr">
        <is>
          <t>Chiffre d'affaires total</t>
        </is>
      </c>
      <c r="B109" s="18">
        <f>SUM(C109:L109)</f>
        <v/>
      </c>
      <c r="C109" s="18">
        <f>C99+C100+C101+C102+C103+C104+C105+C106+C107+C108</f>
        <v/>
      </c>
      <c r="D109" s="18">
        <f>D99+D100+D101+D102+D103+D104+D105+D106+D107+D108</f>
        <v/>
      </c>
      <c r="E109" s="18">
        <f>E99+E100+E101+E102+E103+E104+E105+E106+E107+E108</f>
        <v/>
      </c>
      <c r="F109" s="18">
        <f>F99+F100+F101+F102+F103+F104+F105+F106+F107+F108</f>
        <v/>
      </c>
      <c r="G109" s="18">
        <f>G99+G100+G101+G102+G103+G104+G105+G106+G107+G108</f>
        <v/>
      </c>
      <c r="H109" s="18">
        <f>H99+H100+H101+H102+H103+H104+H105+H106+H107+H108</f>
        <v/>
      </c>
      <c r="I109" s="18">
        <f>I99+I100+I101+I102+I103+I104+I105+I106+I107+I108</f>
        <v/>
      </c>
      <c r="J109" s="18">
        <f>J99+J100+J101+J102+J103+J104+J105+J106+J107+J108</f>
        <v/>
      </c>
      <c r="K109" s="18">
        <f>K99+K100+K101+K102+K103+K104+K105+K106+K107+K108</f>
        <v/>
      </c>
      <c r="L109" s="18">
        <f>L99+L100+L101+L102+L103+L104+L105+L106+L107+L108</f>
        <v/>
      </c>
    </row>
    <row r="110">
      <c r="A110" t="inlineStr">
        <is>
          <t xml:space="preserve">  dont équestre</t>
        </is>
      </c>
      <c r="B110" s="5">
        <f>SUM(C110:L110)</f>
        <v/>
      </c>
      <c r="C110" s="5">
        <f>C99*$F$63+C100*$F$64+C101*$F$65+C102*$F$66+C103*$F$67+C104*$F$68+C105*$F$69+C106*$F$70+C107*$F$71+C108*$F$72</f>
        <v/>
      </c>
      <c r="D110" s="5">
        <f>D99*$F$63+D100*$F$64+D101*$F$65+D102*$F$66+D103*$F$67+D104*$F$68+D105*$F$69+D106*$F$70+D107*$F$71+D108*$F$72</f>
        <v/>
      </c>
      <c r="E110" s="5">
        <f>E99*$F$63+E100*$F$64+E101*$F$65+E102*$F$66+E103*$F$67+E104*$F$68+E105*$F$69+E106*$F$70+E107*$F$71+E108*$F$72</f>
        <v/>
      </c>
      <c r="F110" s="5">
        <f>F99*$F$63+F100*$F$64+F101*$F$65+F102*$F$66+F103*$F$67+F104*$F$68+F105*$F$69+F106*$F$70+F107*$F$71+F108*$F$72</f>
        <v/>
      </c>
      <c r="G110" s="5">
        <f>G99*$F$63+G100*$F$64+G101*$F$65+G102*$F$66+G103*$F$67+G104*$F$68+G105*$F$69+G106*$F$70+G107*$F$71+G108*$F$72</f>
        <v/>
      </c>
      <c r="H110" s="5">
        <f>H99*$F$63+H100*$F$64+H101*$F$65+H102*$F$66+H103*$F$67+H104*$F$68+H105*$F$69+H106*$F$70+H107*$F$71+H108*$F$72</f>
        <v/>
      </c>
      <c r="I110" s="5">
        <f>I99*$F$63+I100*$F$64+I101*$F$65+I102*$F$66+I103*$F$67+I104*$F$68+I105*$F$69+I106*$F$70+I107*$F$71+I108*$F$72</f>
        <v/>
      </c>
      <c r="J110" s="5">
        <f>J99*$F$63+J100*$F$64+J101*$F$65+J102*$F$66+J103*$F$67+J104*$F$68+J105*$F$69+J106*$F$70+J107*$F$71+J108*$F$72</f>
        <v/>
      </c>
      <c r="K110" s="5">
        <f>K99*$F$63+K100*$F$64+K101*$F$65+K102*$F$66+K103*$F$67+K104*$F$68+K105*$F$69+K106*$F$70+K107*$F$71+K108*$F$72</f>
        <v/>
      </c>
      <c r="L110" s="5">
        <f>L99*$F$63+L100*$F$64+L101*$F$65+L102*$F$66+L103*$F$67+L104*$F$68+L105*$F$69+L106*$F$70+L107*$F$71+L108*$F$72</f>
        <v/>
      </c>
    </row>
    <row r="111">
      <c r="A111" t="inlineStr">
        <is>
          <t xml:space="preserve">  Part équestre du CA</t>
        </is>
      </c>
      <c r="C111" s="6">
        <f>IF(C109=0,0,C110/C109)</f>
        <v/>
      </c>
      <c r="D111" s="6">
        <f>IF(D109=0,0,D110/D109)</f>
        <v/>
      </c>
      <c r="E111" s="6">
        <f>IF(E109=0,0,E110/E109)</f>
        <v/>
      </c>
      <c r="F111" s="6">
        <f>IF(F109=0,0,F110/F109)</f>
        <v/>
      </c>
      <c r="G111" s="6">
        <f>IF(G109=0,0,G110/G109)</f>
        <v/>
      </c>
      <c r="H111" s="6">
        <f>IF(H109=0,0,H110/H109)</f>
        <v/>
      </c>
      <c r="I111" s="6">
        <f>IF(I109=0,0,I110/I109)</f>
        <v/>
      </c>
      <c r="J111" s="6">
        <f>IF(J109=0,0,J110/J109)</f>
        <v/>
      </c>
      <c r="K111" s="6">
        <f>IF(K109=0,0,K110/K109)</f>
        <v/>
      </c>
      <c r="L111" s="6">
        <f>IF(L109=0,0,L110/L109)</f>
        <v/>
      </c>
    </row>
    <row r="112">
      <c r="A112" t="inlineStr">
        <is>
          <t>Coûts variables</t>
        </is>
      </c>
      <c r="B112" s="5">
        <f>SUM(C112:L112)</f>
        <v/>
      </c>
      <c r="C112" s="5">
        <f>-(C99*$D$63+C100*$D$64+C101*$D$65+C102*$D$66+C103*$D$67+C104*$D$68+C105*$D$69+C106*$D$70+C107*$D$71+C108*$D$72)</f>
        <v/>
      </c>
      <c r="D112" s="5">
        <f>-(D99*$D$63+D100*$D$64+D101*$D$65+D102*$D$66+D103*$D$67+D104*$D$68+D105*$D$69+D106*$D$70+D107*$D$71+D108*$D$72)</f>
        <v/>
      </c>
      <c r="E112" s="5">
        <f>-(E99*$D$63+E100*$D$64+E101*$D$65+E102*$D$66+E103*$D$67+E104*$D$68+E105*$D$69+E106*$D$70+E107*$D$71+E108*$D$72)</f>
        <v/>
      </c>
      <c r="F112" s="5">
        <f>-(F99*$D$63+F100*$D$64+F101*$D$65+F102*$D$66+F103*$D$67+F104*$D$68+F105*$D$69+F106*$D$70+F107*$D$71+F108*$D$72)</f>
        <v/>
      </c>
      <c r="G112" s="5">
        <f>-(G99*$D$63+G100*$D$64+G101*$D$65+G102*$D$66+G103*$D$67+G104*$D$68+G105*$D$69+G106*$D$70+G107*$D$71+G108*$D$72)</f>
        <v/>
      </c>
      <c r="H112" s="5">
        <f>-(H99*$D$63+H100*$D$64+H101*$D$65+H102*$D$66+H103*$D$67+H104*$D$68+H105*$D$69+H106*$D$70+H107*$D$71+H108*$D$72)</f>
        <v/>
      </c>
      <c r="I112" s="5">
        <f>-(I99*$D$63+I100*$D$64+I101*$D$65+I102*$D$66+I103*$D$67+I104*$D$68+I105*$D$69+I106*$D$70+I107*$D$71+I108*$D$72)</f>
        <v/>
      </c>
      <c r="J112" s="5">
        <f>-(J99*$D$63+J100*$D$64+J101*$D$65+J102*$D$66+J103*$D$67+J104*$D$68+J105*$D$69+J106*$D$70+J107*$D$71+J108*$D$72)</f>
        <v/>
      </c>
      <c r="K112" s="5">
        <f>-(K99*$D$63+K100*$D$64+K101*$D$65+K102*$D$66+K103*$D$67+K104*$D$68+K105*$D$69+K106*$D$70+K107*$D$71+K108*$D$72)</f>
        <v/>
      </c>
      <c r="L112" s="5">
        <f>-(L99*$D$63+L100*$D$64+L101*$D$65+L102*$D$66+L103*$D$67+L104*$D$68+L105*$D$69+L106*$D$70+L107*$D$71+L108*$D$72)</f>
        <v/>
      </c>
    </row>
    <row r="113">
      <c r="A113" s="4" t="inlineStr">
        <is>
          <t>Marge sur coûts variables</t>
        </is>
      </c>
      <c r="B113" s="18">
        <f>SUM(C113:L113)</f>
        <v/>
      </c>
      <c r="C113" s="18">
        <f>C109+C112</f>
        <v/>
      </c>
      <c r="D113" s="18">
        <f>D109+D112</f>
        <v/>
      </c>
      <c r="E113" s="18">
        <f>E109+E112</f>
        <v/>
      </c>
      <c r="F113" s="18">
        <f>F109+F112</f>
        <v/>
      </c>
      <c r="G113" s="18">
        <f>G109+G112</f>
        <v/>
      </c>
      <c r="H113" s="18">
        <f>H109+H112</f>
        <v/>
      </c>
      <c r="I113" s="18">
        <f>I109+I112</f>
        <v/>
      </c>
      <c r="J113" s="18">
        <f>J109+J112</f>
        <v/>
      </c>
      <c r="K113" s="18">
        <f>K109+K112</f>
        <v/>
      </c>
      <c r="L113" s="18">
        <f>L109+L112</f>
        <v/>
      </c>
    </row>
    <row r="114">
      <c r="A114" t="inlineStr">
        <is>
          <t xml:space="preserve">  Taxe foncière</t>
        </is>
      </c>
      <c r="B114" s="5">
        <f>SUM(C114:L114)</f>
        <v/>
      </c>
      <c r="C114" s="5">
        <f>-$B$76*C95*IF($C$76=1,C96,IF(C92&gt;0,1,0))</f>
        <v/>
      </c>
      <c r="D114" s="5">
        <f>-$B$76*D95*IF($C$76=1,D96,IF(D92&gt;0,1,0))</f>
        <v/>
      </c>
      <c r="E114" s="5">
        <f>-$B$76*E95*IF($C$76=1,E96,IF(E92&gt;0,1,0))</f>
        <v/>
      </c>
      <c r="F114" s="5">
        <f>-$B$76*F95*IF($C$76=1,F96,IF(F92&gt;0,1,0))</f>
        <v/>
      </c>
      <c r="G114" s="5">
        <f>-$B$76*G95*IF($C$76=1,G96,IF(G92&gt;0,1,0))</f>
        <v/>
      </c>
      <c r="H114" s="5">
        <f>-$B$76*H95*IF($C$76=1,H96,IF(H92&gt;0,1,0))</f>
        <v/>
      </c>
      <c r="I114" s="5">
        <f>-$B$76*I95*IF($C$76=1,I96,IF(I92&gt;0,1,0))</f>
        <v/>
      </c>
      <c r="J114" s="5">
        <f>-$B$76*J95*IF($C$76=1,J96,IF(J92&gt;0,1,0))</f>
        <v/>
      </c>
      <c r="K114" s="5">
        <f>-$B$76*K95*IF($C$76=1,K96,IF(K92&gt;0,1,0))</f>
        <v/>
      </c>
      <c r="L114" s="5">
        <f>-$B$76*L95*IF($C$76=1,L96,IF(L92&gt;0,1,0))</f>
        <v/>
      </c>
    </row>
    <row r="115">
      <c r="A115" t="inlineStr">
        <is>
          <t xml:space="preserve">  Assurance multirisque château</t>
        </is>
      </c>
      <c r="B115" s="5">
        <f>SUM(C115:L115)</f>
        <v/>
      </c>
      <c r="C115" s="5">
        <f>-$B$77*C95*IF($C$77=1,C96,IF(C92&gt;0,1,0))</f>
        <v/>
      </c>
      <c r="D115" s="5">
        <f>-$B$77*D95*IF($C$77=1,D96,IF(D92&gt;0,1,0))</f>
        <v/>
      </c>
      <c r="E115" s="5">
        <f>-$B$77*E95*IF($C$77=1,E96,IF(E92&gt;0,1,0))</f>
        <v/>
      </c>
      <c r="F115" s="5">
        <f>-$B$77*F95*IF($C$77=1,F96,IF(F92&gt;0,1,0))</f>
        <v/>
      </c>
      <c r="G115" s="5">
        <f>-$B$77*G95*IF($C$77=1,G96,IF(G92&gt;0,1,0))</f>
        <v/>
      </c>
      <c r="H115" s="5">
        <f>-$B$77*H95*IF($C$77=1,H96,IF(H92&gt;0,1,0))</f>
        <v/>
      </c>
      <c r="I115" s="5">
        <f>-$B$77*I95*IF($C$77=1,I96,IF(I92&gt;0,1,0))</f>
        <v/>
      </c>
      <c r="J115" s="5">
        <f>-$B$77*J95*IF($C$77=1,J96,IF(J92&gt;0,1,0))</f>
        <v/>
      </c>
      <c r="K115" s="5">
        <f>-$B$77*K95*IF($C$77=1,K96,IF(K92&gt;0,1,0))</f>
        <v/>
      </c>
      <c r="L115" s="5">
        <f>-$B$77*L95*IF($C$77=1,L96,IF(L92&gt;0,1,0))</f>
        <v/>
      </c>
    </row>
    <row r="116">
      <c r="A116" t="inlineStr">
        <is>
          <t xml:space="preserve">  Énergie (chauffage partiel, électricité, eau)</t>
        </is>
      </c>
      <c r="B116" s="5">
        <f>SUM(C116:L116)</f>
        <v/>
      </c>
      <c r="C116" s="5">
        <f>-$B$78*C95*IF($C$78=1,C96,IF(C92&gt;0,1,0))</f>
        <v/>
      </c>
      <c r="D116" s="5">
        <f>-$B$78*D95*IF($C$78=1,D96,IF(D92&gt;0,1,0))</f>
        <v/>
      </c>
      <c r="E116" s="5">
        <f>-$B$78*E95*IF($C$78=1,E96,IF(E92&gt;0,1,0))</f>
        <v/>
      </c>
      <c r="F116" s="5">
        <f>-$B$78*F95*IF($C$78=1,F96,IF(F92&gt;0,1,0))</f>
        <v/>
      </c>
      <c r="G116" s="5">
        <f>-$B$78*G95*IF($C$78=1,G96,IF(G92&gt;0,1,0))</f>
        <v/>
      </c>
      <c r="H116" s="5">
        <f>-$B$78*H95*IF($C$78=1,H96,IF(H92&gt;0,1,0))</f>
        <v/>
      </c>
      <c r="I116" s="5">
        <f>-$B$78*I95*IF($C$78=1,I96,IF(I92&gt;0,1,0))</f>
        <v/>
      </c>
      <c r="J116" s="5">
        <f>-$B$78*J95*IF($C$78=1,J96,IF(J92&gt;0,1,0))</f>
        <v/>
      </c>
      <c r="K116" s="5">
        <f>-$B$78*K95*IF($C$78=1,K96,IF(K92&gt;0,1,0))</f>
        <v/>
      </c>
      <c r="L116" s="5">
        <f>-$B$78*L95*IF($C$78=1,L96,IF(L92&gt;0,1,0))</f>
        <v/>
      </c>
    </row>
    <row r="117">
      <c r="A117" t="inlineStr">
        <is>
          <t xml:space="preserve">  Jardinier / agent d'entretien (1 ETP au Smic chargé)</t>
        </is>
      </c>
      <c r="B117" s="5">
        <f>SUM(C117:L117)</f>
        <v/>
      </c>
      <c r="C117" s="5">
        <f>-$B$79*C95*IF($C$79=1,C96,IF(C92&gt;0,1,0))</f>
        <v/>
      </c>
      <c r="D117" s="5">
        <f>-$B$79*D95*IF($C$79=1,D96,IF(D92&gt;0,1,0))</f>
        <v/>
      </c>
      <c r="E117" s="5">
        <f>-$B$79*E95*IF($C$79=1,E96,IF(E92&gt;0,1,0))</f>
        <v/>
      </c>
      <c r="F117" s="5">
        <f>-$B$79*F95*IF($C$79=1,F96,IF(F92&gt;0,1,0))</f>
        <v/>
      </c>
      <c r="G117" s="5">
        <f>-$B$79*G95*IF($C$79=1,G96,IF(G92&gt;0,1,0))</f>
        <v/>
      </c>
      <c r="H117" s="5">
        <f>-$B$79*H95*IF($C$79=1,H96,IF(H92&gt;0,1,0))</f>
        <v/>
      </c>
      <c r="I117" s="5">
        <f>-$B$79*I95*IF($C$79=1,I96,IF(I92&gt;0,1,0))</f>
        <v/>
      </c>
      <c r="J117" s="5">
        <f>-$B$79*J95*IF($C$79=1,J96,IF(J92&gt;0,1,0))</f>
        <v/>
      </c>
      <c r="K117" s="5">
        <f>-$B$79*K95*IF($C$79=1,K96,IF(K92&gt;0,1,0))</f>
        <v/>
      </c>
      <c r="L117" s="5">
        <f>-$B$79*L95*IF($C$79=1,L96,IF(L92&gt;0,1,0))</f>
        <v/>
      </c>
    </row>
    <row r="118">
      <c r="A118" t="inlineStr">
        <is>
          <t xml:space="preserve">  Divers (abonnements, petit matériel, véhicule, honoraires)</t>
        </is>
      </c>
      <c r="B118" s="5">
        <f>SUM(C118:L118)</f>
        <v/>
      </c>
      <c r="C118" s="5">
        <f>-$B$80*C95*IF($C$80=1,C96,IF(C92&gt;0,1,0))</f>
        <v/>
      </c>
      <c r="D118" s="5">
        <f>-$B$80*D95*IF($C$80=1,D96,IF(D92&gt;0,1,0))</f>
        <v/>
      </c>
      <c r="E118" s="5">
        <f>-$B$80*E95*IF($C$80=1,E96,IF(E92&gt;0,1,0))</f>
        <v/>
      </c>
      <c r="F118" s="5">
        <f>-$B$80*F95*IF($C$80=1,F96,IF(F92&gt;0,1,0))</f>
        <v/>
      </c>
      <c r="G118" s="5">
        <f>-$B$80*G95*IF($C$80=1,G96,IF(G92&gt;0,1,0))</f>
        <v/>
      </c>
      <c r="H118" s="5">
        <f>-$B$80*H95*IF($C$80=1,H96,IF(H92&gt;0,1,0))</f>
        <v/>
      </c>
      <c r="I118" s="5">
        <f>-$B$80*I95*IF($C$80=1,I96,IF(I92&gt;0,1,0))</f>
        <v/>
      </c>
      <c r="J118" s="5">
        <f>-$B$80*J95*IF($C$80=1,J96,IF(J92&gt;0,1,0))</f>
        <v/>
      </c>
      <c r="K118" s="5">
        <f>-$B$80*K95*IF($C$80=1,K96,IF(K92&gt;0,1,0))</f>
        <v/>
      </c>
      <c r="L118" s="5">
        <f>-$B$80*L95*IF($C$80=1,L96,IF(L92&gt;0,1,0))</f>
        <v/>
      </c>
    </row>
    <row r="119">
      <c r="A119" t="inlineStr">
        <is>
          <t xml:space="preserve">  Cavalier professionnel / responsable d'écurie (chargé)</t>
        </is>
      </c>
      <c r="B119" s="5">
        <f>SUM(C119:L119)</f>
        <v/>
      </c>
      <c r="C119" s="5">
        <f>-$B$81*C95*IF($C$81=1,C96,IF(C92&gt;0,1,0))</f>
        <v/>
      </c>
      <c r="D119" s="5">
        <f>-$B$81*D95*IF($C$81=1,D96,IF(D92&gt;0,1,0))</f>
        <v/>
      </c>
      <c r="E119" s="5">
        <f>-$B$81*E95*IF($C$81=1,E96,IF(E92&gt;0,1,0))</f>
        <v/>
      </c>
      <c r="F119" s="5">
        <f>-$B$81*F95*IF($C$81=1,F96,IF(F92&gt;0,1,0))</f>
        <v/>
      </c>
      <c r="G119" s="5">
        <f>-$B$81*G95*IF($C$81=1,G96,IF(G92&gt;0,1,0))</f>
        <v/>
      </c>
      <c r="H119" s="5">
        <f>-$B$81*H95*IF($C$81=1,H96,IF(H92&gt;0,1,0))</f>
        <v/>
      </c>
      <c r="I119" s="5">
        <f>-$B$81*I95*IF($C$81=1,I96,IF(I92&gt;0,1,0))</f>
        <v/>
      </c>
      <c r="J119" s="5">
        <f>-$B$81*J95*IF($C$81=1,J96,IF(J92&gt;0,1,0))</f>
        <v/>
      </c>
      <c r="K119" s="5">
        <f>-$B$81*K95*IF($C$81=1,K96,IF(K92&gt;0,1,0))</f>
        <v/>
      </c>
      <c r="L119" s="5">
        <f>-$B$81*L95*IF($C$81=1,L96,IF(L92&gt;0,1,0))</f>
        <v/>
      </c>
    </row>
    <row r="120">
      <c r="A120" t="inlineStr">
        <is>
          <t xml:space="preserve">  Soigneurs (2 ETP au Smic chargés)</t>
        </is>
      </c>
      <c r="B120" s="5">
        <f>SUM(C120:L120)</f>
        <v/>
      </c>
      <c r="C120" s="5">
        <f>-$B$82*C95*IF($C$82=1,C96,IF(C92&gt;0,1,0))</f>
        <v/>
      </c>
      <c r="D120" s="5">
        <f>-$B$82*D95*IF($C$82=1,D96,IF(D92&gt;0,1,0))</f>
        <v/>
      </c>
      <c r="E120" s="5">
        <f>-$B$82*E95*IF($C$82=1,E96,IF(E92&gt;0,1,0))</f>
        <v/>
      </c>
      <c r="F120" s="5">
        <f>-$B$82*F95*IF($C$82=1,F96,IF(F92&gt;0,1,0))</f>
        <v/>
      </c>
      <c r="G120" s="5">
        <f>-$B$82*G95*IF($C$82=1,G96,IF(G92&gt;0,1,0))</f>
        <v/>
      </c>
      <c r="H120" s="5">
        <f>-$B$82*H95*IF($C$82=1,H96,IF(H92&gt;0,1,0))</f>
        <v/>
      </c>
      <c r="I120" s="5">
        <f>-$B$82*I95*IF($C$82=1,I96,IF(I92&gt;0,1,0))</f>
        <v/>
      </c>
      <c r="J120" s="5">
        <f>-$B$82*J95*IF($C$82=1,J96,IF(J92&gt;0,1,0))</f>
        <v/>
      </c>
      <c r="K120" s="5">
        <f>-$B$82*K95*IF($C$82=1,K96,IF(K92&gt;0,1,0))</f>
        <v/>
      </c>
      <c r="L120" s="5">
        <f>-$B$82*L95*IF($C$82=1,L96,IF(L92&gt;0,1,0))</f>
        <v/>
      </c>
    </row>
    <row r="121">
      <c r="A121" t="inlineStr">
        <is>
          <t xml:space="preserve">  Autres charges de structure équestres</t>
        </is>
      </c>
      <c r="B121" s="5">
        <f>SUM(C121:L121)</f>
        <v/>
      </c>
      <c r="C121" s="5">
        <f>-$B$83*C95*IF($C$83=1,C96,IF(C92&gt;0,1,0))</f>
        <v/>
      </c>
      <c r="D121" s="5">
        <f>-$B$83*D95*IF($C$83=1,D96,IF(D92&gt;0,1,0))</f>
        <v/>
      </c>
      <c r="E121" s="5">
        <f>-$B$83*E95*IF($C$83=1,E96,IF(E92&gt;0,1,0))</f>
        <v/>
      </c>
      <c r="F121" s="5">
        <f>-$B$83*F95*IF($C$83=1,F96,IF(F92&gt;0,1,0))</f>
        <v/>
      </c>
      <c r="G121" s="5">
        <f>-$B$83*G95*IF($C$83=1,G96,IF(G92&gt;0,1,0))</f>
        <v/>
      </c>
      <c r="H121" s="5">
        <f>-$B$83*H95*IF($C$83=1,H96,IF(H92&gt;0,1,0))</f>
        <v/>
      </c>
      <c r="I121" s="5">
        <f>-$B$83*I95*IF($C$83=1,I96,IF(I92&gt;0,1,0))</f>
        <v/>
      </c>
      <c r="J121" s="5">
        <f>-$B$83*J95*IF($C$83=1,J96,IF(J92&gt;0,1,0))</f>
        <v/>
      </c>
      <c r="K121" s="5">
        <f>-$B$83*K95*IF($C$83=1,K96,IF(K92&gt;0,1,0))</f>
        <v/>
      </c>
      <c r="L121" s="5">
        <f>-$B$83*L95*IF($C$83=1,L96,IF(L92&gt;0,1,0))</f>
        <v/>
      </c>
    </row>
    <row r="122">
      <c r="A122" t="inlineStr">
        <is>
          <t xml:space="preserve">  Coûts fixes du gîte</t>
        </is>
      </c>
      <c r="B122" s="5">
        <f>SUM(C122:L122)</f>
        <v/>
      </c>
      <c r="C122" s="5">
        <f>-$B$84*C95*IF($C$84=1,C96,IF(C92&gt;0,1,0))</f>
        <v/>
      </c>
      <c r="D122" s="5">
        <f>-$B$84*D95*IF($C$84=1,D96,IF(D92&gt;0,1,0))</f>
        <v/>
      </c>
      <c r="E122" s="5">
        <f>-$B$84*E95*IF($C$84=1,E96,IF(E92&gt;0,1,0))</f>
        <v/>
      </c>
      <c r="F122" s="5">
        <f>-$B$84*F95*IF($C$84=1,F96,IF(F92&gt;0,1,0))</f>
        <v/>
      </c>
      <c r="G122" s="5">
        <f>-$B$84*G95*IF($C$84=1,G96,IF(G92&gt;0,1,0))</f>
        <v/>
      </c>
      <c r="H122" s="5">
        <f>-$B$84*H95*IF($C$84=1,H96,IF(H92&gt;0,1,0))</f>
        <v/>
      </c>
      <c r="I122" s="5">
        <f>-$B$84*I95*IF($C$84=1,I96,IF(I92&gt;0,1,0))</f>
        <v/>
      </c>
      <c r="J122" s="5">
        <f>-$B$84*J95*IF($C$84=1,J96,IF(J92&gt;0,1,0))</f>
        <v/>
      </c>
      <c r="K122" s="5">
        <f>-$B$84*K95*IF($C$84=1,K96,IF(K92&gt;0,1,0))</f>
        <v/>
      </c>
      <c r="L122" s="5">
        <f>-$B$84*L95*IF($C$84=1,L96,IF(L92&gt;0,1,0))</f>
        <v/>
      </c>
    </row>
    <row r="123">
      <c r="A123" t="inlineStr">
        <is>
          <t xml:space="preserve">  Commercial, site, salons</t>
        </is>
      </c>
      <c r="B123" s="5">
        <f>SUM(C123:L123)</f>
        <v/>
      </c>
      <c r="C123" s="5">
        <f>-$B$85*C95*IF($C$85=1,C96,IF(C92&gt;0,1,0))</f>
        <v/>
      </c>
      <c r="D123" s="5">
        <f>-$B$85*D95*IF($C$85=1,D96,IF(D92&gt;0,1,0))</f>
        <v/>
      </c>
      <c r="E123" s="5">
        <f>-$B$85*E95*IF($C$85=1,E96,IF(E92&gt;0,1,0))</f>
        <v/>
      </c>
      <c r="F123" s="5">
        <f>-$B$85*F95*IF($C$85=1,F96,IF(F92&gt;0,1,0))</f>
        <v/>
      </c>
      <c r="G123" s="5">
        <f>-$B$85*G95*IF($C$85=1,G96,IF(G92&gt;0,1,0))</f>
        <v/>
      </c>
      <c r="H123" s="5">
        <f>-$B$85*H95*IF($C$85=1,H96,IF(H92&gt;0,1,0))</f>
        <v/>
      </c>
      <c r="I123" s="5">
        <f>-$B$85*I95*IF($C$85=1,I96,IF(I92&gt;0,1,0))</f>
        <v/>
      </c>
      <c r="J123" s="5">
        <f>-$B$85*J95*IF($C$85=1,J96,IF(J92&gt;0,1,0))</f>
        <v/>
      </c>
      <c r="K123" s="5">
        <f>-$B$85*K95*IF($C$85=1,K96,IF(K92&gt;0,1,0))</f>
        <v/>
      </c>
      <c r="L123" s="5">
        <f>-$B$85*L95*IF($C$85=1,L96,IF(L92&gt;0,1,0))</f>
        <v/>
      </c>
    </row>
    <row r="124">
      <c r="A124" t="inlineStr">
        <is>
          <t xml:space="preserve">  Comptabilité, juridique, banque, logiciels</t>
        </is>
      </c>
      <c r="B124" s="5">
        <f>SUM(C124:L124)</f>
        <v/>
      </c>
      <c r="C124" s="5">
        <f>-$B$86*C95*IF($C$86=1,C96,IF(C92&gt;0,1,0))</f>
        <v/>
      </c>
      <c r="D124" s="5">
        <f>-$B$86*D95*IF($C$86=1,D96,IF(D92&gt;0,1,0))</f>
        <v/>
      </c>
      <c r="E124" s="5">
        <f>-$B$86*E95*IF($C$86=1,E96,IF(E92&gt;0,1,0))</f>
        <v/>
      </c>
      <c r="F124" s="5">
        <f>-$B$86*F95*IF($C$86=1,F96,IF(F92&gt;0,1,0))</f>
        <v/>
      </c>
      <c r="G124" s="5">
        <f>-$B$86*G95*IF($C$86=1,G96,IF(G92&gt;0,1,0))</f>
        <v/>
      </c>
      <c r="H124" s="5">
        <f>-$B$86*H95*IF($C$86=1,H96,IF(H92&gt;0,1,0))</f>
        <v/>
      </c>
      <c r="I124" s="5">
        <f>-$B$86*I95*IF($C$86=1,I96,IF(I92&gt;0,1,0))</f>
        <v/>
      </c>
      <c r="J124" s="5">
        <f>-$B$86*J95*IF($C$86=1,J96,IF(J92&gt;0,1,0))</f>
        <v/>
      </c>
      <c r="K124" s="5">
        <f>-$B$86*K95*IF($C$86=1,K96,IF(K92&gt;0,1,0))</f>
        <v/>
      </c>
      <c r="L124" s="5">
        <f>-$B$86*L95*IF($C$86=1,L96,IF(L92&gt;0,1,0))</f>
        <v/>
      </c>
    </row>
    <row r="125">
      <c r="A125" t="inlineStr">
        <is>
          <t xml:space="preserve">  Rémunération du dirigeant (chargée)</t>
        </is>
      </c>
      <c r="B125" s="5">
        <f>SUM(C125:L125)</f>
        <v/>
      </c>
      <c r="C125" s="5">
        <f>-$B$87*C95*IF($C$87=1,C96,IF(C92&gt;0,1,0))</f>
        <v/>
      </c>
      <c r="D125" s="5">
        <f>-$B$87*D95*IF($C$87=1,D96,IF(D92&gt;0,1,0))</f>
        <v/>
      </c>
      <c r="E125" s="5">
        <f>-$B$87*E95*IF($C$87=1,E96,IF(E92&gt;0,1,0))</f>
        <v/>
      </c>
      <c r="F125" s="5">
        <f>-$B$87*F95*IF($C$87=1,F96,IF(F92&gt;0,1,0))</f>
        <v/>
      </c>
      <c r="G125" s="5">
        <f>-$B$87*G95*IF($C$87=1,G96,IF(G92&gt;0,1,0))</f>
        <v/>
      </c>
      <c r="H125" s="5">
        <f>-$B$87*H95*IF($C$87=1,H96,IF(H92&gt;0,1,0))</f>
        <v/>
      </c>
      <c r="I125" s="5">
        <f>-$B$87*I95*IF($C$87=1,I96,IF(I92&gt;0,1,0))</f>
        <v/>
      </c>
      <c r="J125" s="5">
        <f>-$B$87*J95*IF($C$87=1,J96,IF(J92&gt;0,1,0))</f>
        <v/>
      </c>
      <c r="K125" s="5">
        <f>-$B$87*K95*IF($C$87=1,K96,IF(K92&gt;0,1,0))</f>
        <v/>
      </c>
      <c r="L125" s="5">
        <f>-$B$87*L95*IF($C$87=1,L96,IF(L92&gt;0,1,0))</f>
        <v/>
      </c>
    </row>
    <row r="126">
      <c r="A126" s="4" t="inlineStr">
        <is>
          <t>Charges fixes totales</t>
        </is>
      </c>
      <c r="B126" s="18">
        <f>SUM(C126:L126)</f>
        <v/>
      </c>
      <c r="C126" s="18">
        <f>C114+C115+C116+C117+C118+C119+C120+C121+C122+C123+C124+C125</f>
        <v/>
      </c>
      <c r="D126" s="18">
        <f>D114+D115+D116+D117+D118+D119+D120+D121+D122+D123+D124+D125</f>
        <v/>
      </c>
      <c r="E126" s="18">
        <f>E114+E115+E116+E117+E118+E119+E120+E121+E122+E123+E124+E125</f>
        <v/>
      </c>
      <c r="F126" s="18">
        <f>F114+F115+F116+F117+F118+F119+F120+F121+F122+F123+F124+F125</f>
        <v/>
      </c>
      <c r="G126" s="18">
        <f>G114+G115+G116+G117+G118+G119+G120+G121+G122+G123+G124+G125</f>
        <v/>
      </c>
      <c r="H126" s="18">
        <f>H114+H115+H116+H117+H118+H119+H120+H121+H122+H123+H124+H125</f>
        <v/>
      </c>
      <c r="I126" s="18">
        <f>I114+I115+I116+I117+I118+I119+I120+I121+I122+I123+I124+I125</f>
        <v/>
      </c>
      <c r="J126" s="18">
        <f>J114+J115+J116+J117+J118+J119+J120+J121+J122+J123+J124+J125</f>
        <v/>
      </c>
      <c r="K126" s="18">
        <f>K114+K115+K116+K117+K118+K119+K120+K121+K122+K123+K124+K125</f>
        <v/>
      </c>
      <c r="L126" s="18">
        <f>L114+L115+L116+L117+L118+L119+L120+L121+L122+L123+L124+L125</f>
        <v/>
      </c>
    </row>
    <row r="127">
      <c r="A127" t="inlineStr">
        <is>
          <t>Loyer des murs (avant acquisition)</t>
        </is>
      </c>
      <c r="B127" s="5">
        <f>SUM(C127:L127)</f>
        <v/>
      </c>
      <c r="C127" s="5">
        <f>-IF(C96=0,IF(C$90&gt;=$B$6,$B$18*C95,0),0)</f>
        <v/>
      </c>
      <c r="D127" s="5">
        <f>-IF(D96=0,IF(D$90&gt;=$B$6,$B$18*D95,0),0)</f>
        <v/>
      </c>
      <c r="E127" s="5">
        <f>-IF(E96=0,IF(E$90&gt;=$B$6,$B$18*E95,0),0)</f>
        <v/>
      </c>
      <c r="F127" s="5">
        <f>-IF(F96=0,IF(F$90&gt;=$B$6,$B$18*F95,0),0)</f>
        <v/>
      </c>
      <c r="G127" s="5">
        <f>-IF(G96=0,IF(G$90&gt;=$B$6,$B$18*G95,0),0)</f>
        <v/>
      </c>
      <c r="H127" s="5">
        <f>-IF(H96=0,IF(H$90&gt;=$B$6,$B$18*H95,0),0)</f>
        <v/>
      </c>
      <c r="I127" s="5">
        <f>-IF(I96=0,IF(I$90&gt;=$B$6,$B$18*I95,0),0)</f>
        <v/>
      </c>
      <c r="J127" s="5">
        <f>-IF(J96=0,IF(J$90&gt;=$B$6,$B$18*J95,0),0)</f>
        <v/>
      </c>
      <c r="K127" s="5">
        <f>-IF(K96=0,IF(K$90&gt;=$B$6,$B$18*K95,0),0)</f>
        <v/>
      </c>
      <c r="L127" s="5">
        <f>-IF(L96=0,IF(L$90&gt;=$B$6,$B$18*L95,0),0)</f>
        <v/>
      </c>
    </row>
    <row r="128">
      <c r="A128" s="4" t="inlineStr">
        <is>
          <t>EBITDA</t>
        </is>
      </c>
      <c r="B128" s="18">
        <f>SUM(C128:L128)</f>
        <v/>
      </c>
      <c r="C128" s="18">
        <f>C113+C126+C127</f>
        <v/>
      </c>
      <c r="D128" s="18">
        <f>D113+D126+D127</f>
        <v/>
      </c>
      <c r="E128" s="18">
        <f>E113+E126+E127</f>
        <v/>
      </c>
      <c r="F128" s="18">
        <f>F113+F126+F127</f>
        <v/>
      </c>
      <c r="G128" s="18">
        <f>G113+G126+G127</f>
        <v/>
      </c>
      <c r="H128" s="18">
        <f>H113+H126+H127</f>
        <v/>
      </c>
      <c r="I128" s="18">
        <f>I113+I126+I127</f>
        <v/>
      </c>
      <c r="J128" s="18">
        <f>J113+J126+J127</f>
        <v/>
      </c>
      <c r="K128" s="18">
        <f>K113+K126+K127</f>
        <v/>
      </c>
      <c r="L128" s="18">
        <f>L113+L126+L127</f>
        <v/>
      </c>
    </row>
    <row r="129">
      <c r="A129" t="inlineStr">
        <is>
          <t>Loyer de la partie privée (payé par le fondateur, dès qu'il occupe les murs)</t>
        </is>
      </c>
      <c r="B129" s="5">
        <f>SUM(C129:L129)</f>
        <v/>
      </c>
      <c r="C129" s="5">
        <f>C96*$B$20*C95</f>
        <v/>
      </c>
      <c r="D129" s="5">
        <f>D96*$B$20*D95</f>
        <v/>
      </c>
      <c r="E129" s="5">
        <f>E96*$B$20*E95</f>
        <v/>
      </c>
      <c r="F129" s="5">
        <f>F96*$B$20*F95</f>
        <v/>
      </c>
      <c r="G129" s="5">
        <f>G96*$B$20*G95</f>
        <v/>
      </c>
      <c r="H129" s="5">
        <f>H96*$B$20*H95</f>
        <v/>
      </c>
      <c r="I129" s="5">
        <f>I96*$B$20*I95</f>
        <v/>
      </c>
      <c r="J129" s="5">
        <f>J96*$B$20*J95</f>
        <v/>
      </c>
      <c r="K129" s="5">
        <f>K96*$B$20*K95</f>
        <v/>
      </c>
      <c r="L129" s="5">
        <f>L96*$B$20*L95</f>
        <v/>
      </c>
    </row>
    <row r="130">
      <c r="A130" t="inlineStr">
        <is>
          <t xml:space="preserve">  Marge d'EBITDA</t>
        </is>
      </c>
      <c r="C130" s="6">
        <f>IF(C109=0,0,C128/C109)</f>
        <v/>
      </c>
      <c r="D130" s="6">
        <f>IF(D109=0,0,D128/D109)</f>
        <v/>
      </c>
      <c r="E130" s="6">
        <f>IF(E109=0,0,E128/E109)</f>
        <v/>
      </c>
      <c r="F130" s="6">
        <f>IF(F109=0,0,F128/F109)</f>
        <v/>
      </c>
      <c r="G130" s="6">
        <f>IF(G109=0,0,G128/G109)</f>
        <v/>
      </c>
      <c r="H130" s="6">
        <f>IF(H109=0,0,H128/H109)</f>
        <v/>
      </c>
      <c r="I130" s="6">
        <f>IF(I109=0,0,I128/I109)</f>
        <v/>
      </c>
      <c r="J130" s="6">
        <f>IF(J109=0,0,J128/J109)</f>
        <v/>
      </c>
      <c r="K130" s="6">
        <f>IF(K109=0,0,K128/K109)</f>
        <v/>
      </c>
      <c r="L130" s="6">
        <f>IF(L109=0,0,L128/L109)</f>
        <v/>
      </c>
    </row>
    <row r="131">
      <c r="A131" t="inlineStr">
        <is>
          <t>Travaux et équipements initiaux</t>
        </is>
      </c>
      <c r="B131" s="5">
        <f>SUM(C131:L131)</f>
        <v/>
      </c>
      <c r="C131" s="5">
        <f>($B$10+$B$11+$B$12)*$B$46*IF(C$90=$B$5,$B$13,IF(C$90=$B$5+1,$B$14,IF(C$90=$B$5+2,$B$15,0)))*C95</f>
        <v/>
      </c>
      <c r="D131" s="5">
        <f>($B$10+$B$11+$B$12)*$B$46*IF(D$90=$B$5,$B$13,IF(D$90=$B$5+1,$B$14,IF(D$90=$B$5+2,$B$15,0)))*D95</f>
        <v/>
      </c>
      <c r="E131" s="5">
        <f>($B$10+$B$11+$B$12)*$B$46*IF(E$90=$B$5,$B$13,IF(E$90=$B$5+1,$B$14,IF(E$90=$B$5+2,$B$15,0)))*E95</f>
        <v/>
      </c>
      <c r="F131" s="5">
        <f>($B$10+$B$11+$B$12)*$B$46*IF(F$90=$B$5,$B$13,IF(F$90=$B$5+1,$B$14,IF(F$90=$B$5+2,$B$15,0)))*F95</f>
        <v/>
      </c>
      <c r="G131" s="5">
        <f>($B$10+$B$11+$B$12)*$B$46*IF(G$90=$B$5,$B$13,IF(G$90=$B$5+1,$B$14,IF(G$90=$B$5+2,$B$15,0)))*G95</f>
        <v/>
      </c>
      <c r="H131" s="5">
        <f>($B$10+$B$11+$B$12)*$B$46*IF(H$90=$B$5,$B$13,IF(H$90=$B$5+1,$B$14,IF(H$90=$B$5+2,$B$15,0)))*H95</f>
        <v/>
      </c>
      <c r="I131" s="5">
        <f>($B$10+$B$11+$B$12)*$B$46*IF(I$90=$B$5,$B$13,IF(I$90=$B$5+1,$B$14,IF(I$90=$B$5+2,$B$15,0)))*I95</f>
        <v/>
      </c>
      <c r="J131" s="5">
        <f>($B$10+$B$11+$B$12)*$B$46*IF(J$90=$B$5,$B$13,IF(J$90=$B$5+1,$B$14,IF(J$90=$B$5+2,$B$15,0)))*J95</f>
        <v/>
      </c>
      <c r="K131" s="5">
        <f>($B$10+$B$11+$B$12)*$B$46*IF(K$90=$B$5,$B$13,IF(K$90=$B$5+1,$B$14,IF(K$90=$B$5+2,$B$15,0)))*K95</f>
        <v/>
      </c>
      <c r="L131" s="5">
        <f>($B$10+$B$11+$B$12)*$B$46*IF(L$90=$B$5,$B$13,IF(L$90=$B$5+1,$B$14,IF(L$90=$B$5+2,$B$15,0)))*L95</f>
        <v/>
      </c>
    </row>
    <row r="132">
      <c r="A132" t="inlineStr">
        <is>
          <t>Acquisition (prix + frais)</t>
        </is>
      </c>
      <c r="B132" s="5">
        <f>SUM(C132:L132)</f>
        <v/>
      </c>
      <c r="C132" s="5">
        <f>IF(C$90=$B$5,$B$7*(1+$B$8),0)</f>
        <v/>
      </c>
      <c r="D132" s="5">
        <f>IF(D$90=$B$5,$B$7*(1+$B$8),0)</f>
        <v/>
      </c>
      <c r="E132" s="5">
        <f>IF(E$90=$B$5,$B$7*(1+$B$8),0)</f>
        <v/>
      </c>
      <c r="F132" s="5">
        <f>IF(F$90=$B$5,$B$7*(1+$B$8),0)</f>
        <v/>
      </c>
      <c r="G132" s="5">
        <f>IF(G$90=$B$5,$B$7*(1+$B$8),0)</f>
        <v/>
      </c>
      <c r="H132" s="5">
        <f>IF(H$90=$B$5,$B$7*(1+$B$8),0)</f>
        <v/>
      </c>
      <c r="I132" s="5">
        <f>IF(I$90=$B$5,$B$7*(1+$B$8),0)</f>
        <v/>
      </c>
      <c r="J132" s="5">
        <f>IF(J$90=$B$5,$B$7*(1+$B$8),0)</f>
        <v/>
      </c>
      <c r="K132" s="5">
        <f>IF(K$90=$B$5,$B$7*(1+$B$8),0)</f>
        <v/>
      </c>
      <c r="L132" s="5">
        <f>IF(L$90=$B$5,$B$7*(1+$B$8),0)</f>
        <v/>
      </c>
    </row>
    <row r="133">
      <c r="A133" t="inlineStr">
        <is>
          <t>Gros entretien patrimonial récurrent</t>
        </is>
      </c>
      <c r="B133" s="5">
        <f>SUM(C133:L133)</f>
        <v/>
      </c>
      <c r="C133" s="5">
        <f>IF(C$90&gt;=$B$5+3,$B$16*($B$7+($B$10+$B$11+$B$12)*$B$46)*C95,0)</f>
        <v/>
      </c>
      <c r="D133" s="5">
        <f>IF(D$90&gt;=$B$5+3,$B$16*($B$7+($B$10+$B$11+$B$12)*$B$46)*D95,0)</f>
        <v/>
      </c>
      <c r="E133" s="5">
        <f>IF(E$90&gt;=$B$5+3,$B$16*($B$7+($B$10+$B$11+$B$12)*$B$46)*E95,0)</f>
        <v/>
      </c>
      <c r="F133" s="5">
        <f>IF(F$90&gt;=$B$5+3,$B$16*($B$7+($B$10+$B$11+$B$12)*$B$46)*F95,0)</f>
        <v/>
      </c>
      <c r="G133" s="5">
        <f>IF(G$90&gt;=$B$5+3,$B$16*($B$7+($B$10+$B$11+$B$12)*$B$46)*G95,0)</f>
        <v/>
      </c>
      <c r="H133" s="5">
        <f>IF(H$90&gt;=$B$5+3,$B$16*($B$7+($B$10+$B$11+$B$12)*$B$46)*H95,0)</f>
        <v/>
      </c>
      <c r="I133" s="5">
        <f>IF(I$90&gt;=$B$5+3,$B$16*($B$7+($B$10+$B$11+$B$12)*$B$46)*I95,0)</f>
        <v/>
      </c>
      <c r="J133" s="5">
        <f>IF(J$90&gt;=$B$5+3,$B$16*($B$7+($B$10+$B$11+$B$12)*$B$46)*J95,0)</f>
        <v/>
      </c>
      <c r="K133" s="5">
        <f>IF(K$90&gt;=$B$5+3,$B$16*($B$7+($B$10+$B$11+$B$12)*$B$46)*K95,0)</f>
        <v/>
      </c>
      <c r="L133" s="5">
        <f>IF(L$90&gt;=$B$5+3,$B$16*($B$7+($B$10+$B$11+$B$12)*$B$46)*L95,0)</f>
        <v/>
      </c>
    </row>
    <row r="134">
      <c r="A134" t="inlineStr">
        <is>
          <t>Investissements amortissables cumulés</t>
        </is>
      </c>
      <c r="C134" s="5">
        <f>C131+C133</f>
        <v/>
      </c>
      <c r="D134" s="5">
        <f>C134+D131+D133</f>
        <v/>
      </c>
      <c r="E134" s="5">
        <f>D134+E131+E133</f>
        <v/>
      </c>
      <c r="F134" s="5">
        <f>E134+F131+F133</f>
        <v/>
      </c>
      <c r="G134" s="5">
        <f>F134+G131+G133</f>
        <v/>
      </c>
      <c r="H134" s="5">
        <f>G134+H131+H133</f>
        <v/>
      </c>
      <c r="I134" s="5">
        <f>H134+I131+I133</f>
        <v/>
      </c>
      <c r="J134" s="5">
        <f>I134+J131+J133</f>
        <v/>
      </c>
      <c r="K134" s="5">
        <f>J134+K131+K133</f>
        <v/>
      </c>
      <c r="L134" s="5">
        <f>K134+L131+L133</f>
        <v/>
      </c>
    </row>
    <row r="135">
      <c r="A135" t="inlineStr">
        <is>
          <t>Dotations aux amortissements (bâti 30 ans, travaux 15 ans)</t>
        </is>
      </c>
      <c r="B135" s="5">
        <f>SUM(C135:L135)</f>
        <v/>
      </c>
      <c r="C135" s="5">
        <f>-(C96*$B$7*(1+$B$8)*$B$9/30+C134/15)</f>
        <v/>
      </c>
      <c r="D135" s="5">
        <f>-(D96*$B$7*(1+$B$8)*$B$9/30+D134/15)</f>
        <v/>
      </c>
      <c r="E135" s="5">
        <f>-(E96*$B$7*(1+$B$8)*$B$9/30+E134/15)</f>
        <v/>
      </c>
      <c r="F135" s="5">
        <f>-(F96*$B$7*(1+$B$8)*$B$9/30+F134/15)</f>
        <v/>
      </c>
      <c r="G135" s="5">
        <f>-(G96*$B$7*(1+$B$8)*$B$9/30+G134/15)</f>
        <v/>
      </c>
      <c r="H135" s="5">
        <f>-(H96*$B$7*(1+$B$8)*$B$9/30+H134/15)</f>
        <v/>
      </c>
      <c r="I135" s="5">
        <f>-(I96*$B$7*(1+$B$8)*$B$9/30+I134/15)</f>
        <v/>
      </c>
      <c r="J135" s="5">
        <f>-(J96*$B$7*(1+$B$8)*$B$9/30+J134/15)</f>
        <v/>
      </c>
      <c r="K135" s="5">
        <f>-(K96*$B$7*(1+$B$8)*$B$9/30+K134/15)</f>
        <v/>
      </c>
      <c r="L135" s="5">
        <f>-(L96*$B$7*(1+$B$8)*$B$9/30+L134/15)</f>
        <v/>
      </c>
    </row>
    <row r="136">
      <c r="A136" s="4" t="inlineStr">
        <is>
          <t>Résultat d'exploitation</t>
        </is>
      </c>
      <c r="B136" s="18">
        <f>SUM(C136:L136)</f>
        <v/>
      </c>
      <c r="C136" s="18">
        <f>C128+C135</f>
        <v/>
      </c>
      <c r="D136" s="18">
        <f>D128+D135</f>
        <v/>
      </c>
      <c r="E136" s="18">
        <f>E128+E135</f>
        <v/>
      </c>
      <c r="F136" s="18">
        <f>F128+F135</f>
        <v/>
      </c>
      <c r="G136" s="18">
        <f>G128+G135</f>
        <v/>
      </c>
      <c r="H136" s="18">
        <f>H128+H135</f>
        <v/>
      </c>
      <c r="I136" s="18">
        <f>I128+I135</f>
        <v/>
      </c>
      <c r="J136" s="18">
        <f>J128+J135</f>
        <v/>
      </c>
      <c r="K136" s="18">
        <f>K128+K135</f>
        <v/>
      </c>
      <c r="L136" s="18">
        <f>L128+L135</f>
        <v/>
      </c>
    </row>
    <row r="138">
      <c r="A138" s="4" t="inlineStr">
        <is>
          <t>Échéancier des emprunts</t>
        </is>
      </c>
    </row>
    <row r="139">
      <c r="A139" t="inlineStr">
        <is>
          <t>Taux bancaire effectif</t>
        </is>
      </c>
      <c r="C139" s="6">
        <f>$B$28+$B$48</f>
        <v/>
      </c>
      <c r="D139" s="6">
        <f>$B$28+$B$48</f>
        <v/>
      </c>
      <c r="E139" s="6">
        <f>$B$28+$B$48</f>
        <v/>
      </c>
      <c r="F139" s="6">
        <f>$B$28+$B$48</f>
        <v/>
      </c>
      <c r="G139" s="6">
        <f>$B$28+$B$48</f>
        <v/>
      </c>
      <c r="H139" s="6">
        <f>$B$28+$B$48</f>
        <v/>
      </c>
      <c r="I139" s="6">
        <f>$B$28+$B$48</f>
        <v/>
      </c>
      <c r="J139" s="6">
        <f>$B$28+$B$48</f>
        <v/>
      </c>
      <c r="K139" s="6">
        <f>$B$28+$B$48</f>
        <v/>
      </c>
      <c r="L139" s="6">
        <f>$B$28+$B$48</f>
        <v/>
      </c>
    </row>
    <row r="140">
      <c r="A140" t="inlineStr">
        <is>
          <t>Rang de l'année d'emprunt</t>
        </is>
      </c>
      <c r="C140" s="8">
        <f>MAX(0,C$90-$B$5+1)</f>
        <v/>
      </c>
      <c r="D140" s="8">
        <f>MAX(0,D$90-$B$5+1)</f>
        <v/>
      </c>
      <c r="E140" s="8">
        <f>MAX(0,E$90-$B$5+1)</f>
        <v/>
      </c>
      <c r="F140" s="8">
        <f>MAX(0,F$90-$B$5+1)</f>
        <v/>
      </c>
      <c r="G140" s="8">
        <f>MAX(0,G$90-$B$5+1)</f>
        <v/>
      </c>
      <c r="H140" s="8">
        <f>MAX(0,H$90-$B$5+1)</f>
        <v/>
      </c>
      <c r="I140" s="8">
        <f>MAX(0,I$90-$B$5+1)</f>
        <v/>
      </c>
      <c r="J140" s="8">
        <f>MAX(0,J$90-$B$5+1)</f>
        <v/>
      </c>
      <c r="K140" s="8">
        <f>MAX(0,K$90-$B$5+1)</f>
        <v/>
      </c>
      <c r="L140" s="8">
        <f>MAX(0,L$90-$B$5+1)</f>
        <v/>
      </c>
    </row>
    <row r="141">
      <c r="A141" t="inlineStr">
        <is>
          <t>Dette bancaire — capital début</t>
        </is>
      </c>
      <c r="C141" s="5">
        <f>IF(C140=1,$B$27,0)</f>
        <v/>
      </c>
      <c r="D141" s="5">
        <f>IF(D140=1,$B$27,C144)</f>
        <v/>
      </c>
      <c r="E141" s="5">
        <f>IF(E140=1,$B$27,D144)</f>
        <v/>
      </c>
      <c r="F141" s="5">
        <f>IF(F140=1,$B$27,E144)</f>
        <v/>
      </c>
      <c r="G141" s="5">
        <f>IF(G140=1,$B$27,F144)</f>
        <v/>
      </c>
      <c r="H141" s="5">
        <f>IF(H140=1,$B$27,G144)</f>
        <v/>
      </c>
      <c r="I141" s="5">
        <f>IF(I140=1,$B$27,H144)</f>
        <v/>
      </c>
      <c r="J141" s="5">
        <f>IF(J140=1,$B$27,I144)</f>
        <v/>
      </c>
      <c r="K141" s="5">
        <f>IF(K140=1,$B$27,J144)</f>
        <v/>
      </c>
      <c r="L141" s="5">
        <f>IF(L140=1,$B$27,K144)</f>
        <v/>
      </c>
    </row>
    <row r="142">
      <c r="A142" t="inlineStr">
        <is>
          <t xml:space="preserve">  Intérêts</t>
        </is>
      </c>
      <c r="B142" s="5">
        <f>SUM(C142:L142)</f>
        <v/>
      </c>
      <c r="C142" s="5">
        <f>C141*C139</f>
        <v/>
      </c>
      <c r="D142" s="5">
        <f>D141*D139</f>
        <v/>
      </c>
      <c r="E142" s="5">
        <f>E141*E139</f>
        <v/>
      </c>
      <c r="F142" s="5">
        <f>F141*F139</f>
        <v/>
      </c>
      <c r="G142" s="5">
        <f>G141*G139</f>
        <v/>
      </c>
      <c r="H142" s="5">
        <f>H141*H139</f>
        <v/>
      </c>
      <c r="I142" s="5">
        <f>I141*I139</f>
        <v/>
      </c>
      <c r="J142" s="5">
        <f>J141*J139</f>
        <v/>
      </c>
      <c r="K142" s="5">
        <f>K141*K139</f>
        <v/>
      </c>
      <c r="L142" s="5">
        <f>L141*L139</f>
        <v/>
      </c>
    </row>
    <row r="143">
      <c r="A143" t="inlineStr">
        <is>
          <t xml:space="preserve">  Amortissement du capital</t>
        </is>
      </c>
      <c r="B143" s="5">
        <f>SUM(C143:L143)</f>
        <v/>
      </c>
      <c r="C143" s="5">
        <f>IF(OR(C140=0,C140&lt;=$B$30,C141&lt;=0),0,MIN(C141,PMT(C139,$B$29-$B$30,-$B$27)-C142))</f>
        <v/>
      </c>
      <c r="D143" s="5">
        <f>IF(OR(D140=0,D140&lt;=$B$30,D141&lt;=0),0,MIN(D141,PMT(D139,$B$29-$B$30,-$B$27)-D142))</f>
        <v/>
      </c>
      <c r="E143" s="5">
        <f>IF(OR(E140=0,E140&lt;=$B$30,E141&lt;=0),0,MIN(E141,PMT(E139,$B$29-$B$30,-$B$27)-E142))</f>
        <v/>
      </c>
      <c r="F143" s="5">
        <f>IF(OR(F140=0,F140&lt;=$B$30,F141&lt;=0),0,MIN(F141,PMT(F139,$B$29-$B$30,-$B$27)-F142))</f>
        <v/>
      </c>
      <c r="G143" s="5">
        <f>IF(OR(G140=0,G140&lt;=$B$30,G141&lt;=0),0,MIN(G141,PMT(G139,$B$29-$B$30,-$B$27)-G142))</f>
        <v/>
      </c>
      <c r="H143" s="5">
        <f>IF(OR(H140=0,H140&lt;=$B$30,H141&lt;=0),0,MIN(H141,PMT(H139,$B$29-$B$30,-$B$27)-H142))</f>
        <v/>
      </c>
      <c r="I143" s="5">
        <f>IF(OR(I140=0,I140&lt;=$B$30,I141&lt;=0),0,MIN(I141,PMT(I139,$B$29-$B$30,-$B$27)-I142))</f>
        <v/>
      </c>
      <c r="J143" s="5">
        <f>IF(OR(J140=0,J140&lt;=$B$30,J141&lt;=0),0,MIN(J141,PMT(J139,$B$29-$B$30,-$B$27)-J142))</f>
        <v/>
      </c>
      <c r="K143" s="5">
        <f>IF(OR(K140=0,K140&lt;=$B$30,K141&lt;=0),0,MIN(K141,PMT(K139,$B$29-$B$30,-$B$27)-K142))</f>
        <v/>
      </c>
      <c r="L143" s="5">
        <f>IF(OR(L140=0,L140&lt;=$B$30,L141&lt;=0),0,MIN(L141,PMT(L139,$B$29-$B$30,-$B$27)-L142))</f>
        <v/>
      </c>
    </row>
    <row r="144">
      <c r="A144" t="inlineStr">
        <is>
          <t>Dette bancaire — capital fin</t>
        </is>
      </c>
      <c r="C144" s="5">
        <f>C141-C143</f>
        <v/>
      </c>
      <c r="D144" s="5">
        <f>D141-D143</f>
        <v/>
      </c>
      <c r="E144" s="5">
        <f>E141-E143</f>
        <v/>
      </c>
      <c r="F144" s="5">
        <f>F141-F143</f>
        <v/>
      </c>
      <c r="G144" s="5">
        <f>G141-G143</f>
        <v/>
      </c>
      <c r="H144" s="5">
        <f>H141-H143</f>
        <v/>
      </c>
      <c r="I144" s="5">
        <f>I141-I143</f>
        <v/>
      </c>
      <c r="J144" s="5">
        <f>J141-J143</f>
        <v/>
      </c>
      <c r="K144" s="5">
        <f>K141-K143</f>
        <v/>
      </c>
      <c r="L144" s="5">
        <f>L141-L143</f>
        <v/>
      </c>
    </row>
    <row r="145">
      <c r="A145" t="inlineStr">
        <is>
          <t>Crédit-vendeur — capital début</t>
        </is>
      </c>
      <c r="C145" s="5">
        <f>IF(C140=1,$B$31,0)</f>
        <v/>
      </c>
      <c r="D145" s="5">
        <f>IF(D140=1,$B$31,C148)</f>
        <v/>
      </c>
      <c r="E145" s="5">
        <f>IF(E140=1,$B$31,D148)</f>
        <v/>
      </c>
      <c r="F145" s="5">
        <f>IF(F140=1,$B$31,E148)</f>
        <v/>
      </c>
      <c r="G145" s="5">
        <f>IF(G140=1,$B$31,F148)</f>
        <v/>
      </c>
      <c r="H145" s="5">
        <f>IF(H140=1,$B$31,G148)</f>
        <v/>
      </c>
      <c r="I145" s="5">
        <f>IF(I140=1,$B$31,H148)</f>
        <v/>
      </c>
      <c r="J145" s="5">
        <f>IF(J140=1,$B$31,I148)</f>
        <v/>
      </c>
      <c r="K145" s="5">
        <f>IF(K140=1,$B$31,J148)</f>
        <v/>
      </c>
      <c r="L145" s="5">
        <f>IF(L140=1,$B$31,K148)</f>
        <v/>
      </c>
    </row>
    <row r="146">
      <c r="A146" t="inlineStr">
        <is>
          <t xml:space="preserve">  Intérêts crédit-vendeur</t>
        </is>
      </c>
      <c r="B146" s="5">
        <f>SUM(C146:L146)</f>
        <v/>
      </c>
      <c r="C146" s="5">
        <f>C145*$B$32</f>
        <v/>
      </c>
      <c r="D146" s="5">
        <f>D145*$B$32</f>
        <v/>
      </c>
      <c r="E146" s="5">
        <f>E145*$B$32</f>
        <v/>
      </c>
      <c r="F146" s="5">
        <f>F145*$B$32</f>
        <v/>
      </c>
      <c r="G146" s="5">
        <f>G145*$B$32</f>
        <v/>
      </c>
      <c r="H146" s="5">
        <f>H145*$B$32</f>
        <v/>
      </c>
      <c r="I146" s="5">
        <f>I145*$B$32</f>
        <v/>
      </c>
      <c r="J146" s="5">
        <f>J145*$B$32</f>
        <v/>
      </c>
      <c r="K146" s="5">
        <f>K145*$B$32</f>
        <v/>
      </c>
      <c r="L146" s="5">
        <f>L145*$B$32</f>
        <v/>
      </c>
    </row>
    <row r="147">
      <c r="A147" t="inlineStr">
        <is>
          <t xml:space="preserve">  Amortissement crédit-vendeur</t>
        </is>
      </c>
      <c r="B147" s="5">
        <f>SUM(C147:L147)</f>
        <v/>
      </c>
      <c r="C147" s="5">
        <f>IF(OR(C140=0,C145&lt;=0),0,MIN(C145,IF($B$32=0,$B$31/$B$33,PMT($B$32,$B$33,-$B$31)-C146)))</f>
        <v/>
      </c>
      <c r="D147" s="5">
        <f>IF(OR(D140=0,D145&lt;=0),0,MIN(D145,IF($B$32=0,$B$31/$B$33,PMT($B$32,$B$33,-$B$31)-D146)))</f>
        <v/>
      </c>
      <c r="E147" s="5">
        <f>IF(OR(E140=0,E145&lt;=0),0,MIN(E145,IF($B$32=0,$B$31/$B$33,PMT($B$32,$B$33,-$B$31)-E146)))</f>
        <v/>
      </c>
      <c r="F147" s="5">
        <f>IF(OR(F140=0,F145&lt;=0),0,MIN(F145,IF($B$32=0,$B$31/$B$33,PMT($B$32,$B$33,-$B$31)-F146)))</f>
        <v/>
      </c>
      <c r="G147" s="5">
        <f>IF(OR(G140=0,G145&lt;=0),0,MIN(G145,IF($B$32=0,$B$31/$B$33,PMT($B$32,$B$33,-$B$31)-G146)))</f>
        <v/>
      </c>
      <c r="H147" s="5">
        <f>IF(OR(H140=0,H145&lt;=0),0,MIN(H145,IF($B$32=0,$B$31/$B$33,PMT($B$32,$B$33,-$B$31)-H146)))</f>
        <v/>
      </c>
      <c r="I147" s="5">
        <f>IF(OR(I140=0,I145&lt;=0),0,MIN(I145,IF($B$32=0,$B$31/$B$33,PMT($B$32,$B$33,-$B$31)-I146)))</f>
        <v/>
      </c>
      <c r="J147" s="5">
        <f>IF(OR(J140=0,J145&lt;=0),0,MIN(J145,IF($B$32=0,$B$31/$B$33,PMT($B$32,$B$33,-$B$31)-J146)))</f>
        <v/>
      </c>
      <c r="K147" s="5">
        <f>IF(OR(K140=0,K145&lt;=0),0,MIN(K145,IF($B$32=0,$B$31/$B$33,PMT($B$32,$B$33,-$B$31)-K146)))</f>
        <v/>
      </c>
      <c r="L147" s="5">
        <f>IF(OR(L140=0,L145&lt;=0),0,MIN(L145,IF($B$32=0,$B$31/$B$33,PMT($B$32,$B$33,-$B$31)-L146)))</f>
        <v/>
      </c>
    </row>
    <row r="148">
      <c r="A148" t="inlineStr">
        <is>
          <t>Crédit-vendeur — capital fin</t>
        </is>
      </c>
      <c r="C148" s="5">
        <f>C145-C147</f>
        <v/>
      </c>
      <c r="D148" s="5">
        <f>D145-D147</f>
        <v/>
      </c>
      <c r="E148" s="5">
        <f>E145-E147</f>
        <v/>
      </c>
      <c r="F148" s="5">
        <f>F145-F147</f>
        <v/>
      </c>
      <c r="G148" s="5">
        <f>G145-G147</f>
        <v/>
      </c>
      <c r="H148" s="5">
        <f>H145-H147</f>
        <v/>
      </c>
      <c r="I148" s="5">
        <f>I145-I147</f>
        <v/>
      </c>
      <c r="J148" s="5">
        <f>J145-J147</f>
        <v/>
      </c>
      <c r="K148" s="5">
        <f>K145-K147</f>
        <v/>
      </c>
      <c r="L148" s="5">
        <f>L145-L147</f>
        <v/>
      </c>
    </row>
    <row r="149">
      <c r="A149" t="inlineStr">
        <is>
          <t>Obligations — encours</t>
        </is>
      </c>
      <c r="C149" s="5">
        <f>IF(AND(C$90&gt;=$B$5,C$90&lt;=$B$36),$B$34,0)</f>
        <v/>
      </c>
      <c r="D149" s="5">
        <f>IF(AND(D$90&gt;=$B$5,D$90&lt;=$B$36),$B$34,0)</f>
        <v/>
      </c>
      <c r="E149" s="5">
        <f>IF(AND(E$90&gt;=$B$5,E$90&lt;=$B$36),$B$34,0)</f>
        <v/>
      </c>
      <c r="F149" s="5">
        <f>IF(AND(F$90&gt;=$B$5,F$90&lt;=$B$36),$B$34,0)</f>
        <v/>
      </c>
      <c r="G149" s="5">
        <f>IF(AND(G$90&gt;=$B$5,G$90&lt;=$B$36),$B$34,0)</f>
        <v/>
      </c>
      <c r="H149" s="5">
        <f>IF(AND(H$90&gt;=$B$5,H$90&lt;=$B$36),$B$34,0)</f>
        <v/>
      </c>
      <c r="I149" s="5">
        <f>IF(AND(I$90&gt;=$B$5,I$90&lt;=$B$36),$B$34,0)</f>
        <v/>
      </c>
      <c r="J149" s="5">
        <f>IF(AND(J$90&gt;=$B$5,J$90&lt;=$B$36),$B$34,0)</f>
        <v/>
      </c>
      <c r="K149" s="5">
        <f>IF(AND(K$90&gt;=$B$5,K$90&lt;=$B$36),$B$34,0)</f>
        <v/>
      </c>
      <c r="L149" s="5">
        <f>IF(AND(L$90&gt;=$B$5,L$90&lt;=$B$36),$B$34,0)</f>
        <v/>
      </c>
    </row>
    <row r="150">
      <c r="A150" t="inlineStr">
        <is>
          <t xml:space="preserve">  Coupons obligataires</t>
        </is>
      </c>
      <c r="B150" s="5">
        <f>SUM(C150:L150)</f>
        <v/>
      </c>
      <c r="C150" s="5">
        <f>C149*$B$35</f>
        <v/>
      </c>
      <c r="D150" s="5">
        <f>D149*$B$35</f>
        <v/>
      </c>
      <c r="E150" s="5">
        <f>E149*$B$35</f>
        <v/>
      </c>
      <c r="F150" s="5">
        <f>F149*$B$35</f>
        <v/>
      </c>
      <c r="G150" s="5">
        <f>G149*$B$35</f>
        <v/>
      </c>
      <c r="H150" s="5">
        <f>H149*$B$35</f>
        <v/>
      </c>
      <c r="I150" s="5">
        <f>I149*$B$35</f>
        <v/>
      </c>
      <c r="J150" s="5">
        <f>J149*$B$35</f>
        <v/>
      </c>
      <c r="K150" s="5">
        <f>K149*$B$35</f>
        <v/>
      </c>
      <c r="L150" s="5">
        <f>L149*$B$35</f>
        <v/>
      </c>
    </row>
    <row r="151">
      <c r="A151" t="inlineStr">
        <is>
          <t xml:space="preserve">  Remboursement obligations</t>
        </is>
      </c>
      <c r="B151" s="5">
        <f>SUM(C151:L151)</f>
        <v/>
      </c>
      <c r="C151" s="5">
        <f>IF(C$90=$B$36,$B$34,0)</f>
        <v/>
      </c>
      <c r="D151" s="5">
        <f>IF(D$90=$B$36,$B$34,0)</f>
        <v/>
      </c>
      <c r="E151" s="5">
        <f>IF(E$90=$B$36,$B$34,0)</f>
        <v/>
      </c>
      <c r="F151" s="5">
        <f>IF(F$90=$B$36,$B$34,0)</f>
        <v/>
      </c>
      <c r="G151" s="5">
        <f>IF(G$90=$B$36,$B$34,0)</f>
        <v/>
      </c>
      <c r="H151" s="5">
        <f>IF(H$90=$B$36,$B$34,0)</f>
        <v/>
      </c>
      <c r="I151" s="5">
        <f>IF(I$90=$B$36,$B$34,0)</f>
        <v/>
      </c>
      <c r="J151" s="5">
        <f>IF(J$90=$B$36,$B$34,0)</f>
        <v/>
      </c>
      <c r="K151" s="5">
        <f>IF(K$90=$B$36,$B$34,0)</f>
        <v/>
      </c>
      <c r="L151" s="5">
        <f>IF(L$90=$B$36,$B$34,0)</f>
        <v/>
      </c>
    </row>
    <row r="153">
      <c r="A153" t="inlineStr">
        <is>
          <t>Charges financières</t>
        </is>
      </c>
      <c r="B153" s="5">
        <f>SUM(C153:L153)</f>
        <v/>
      </c>
      <c r="C153" s="5">
        <f>-(C142+C146+C150)</f>
        <v/>
      </c>
      <c r="D153" s="5">
        <f>-(D142+D146+D150)</f>
        <v/>
      </c>
      <c r="E153" s="5">
        <f>-(E142+E146+E150)</f>
        <v/>
      </c>
      <c r="F153" s="5">
        <f>-(F142+F146+F150)</f>
        <v/>
      </c>
      <c r="G153" s="5">
        <f>-(G142+G146+G150)</f>
        <v/>
      </c>
      <c r="H153" s="5">
        <f>-(H142+H146+H150)</f>
        <v/>
      </c>
      <c r="I153" s="5">
        <f>-(I142+I146+I150)</f>
        <v/>
      </c>
      <c r="J153" s="5">
        <f>-(J142+J146+J150)</f>
        <v/>
      </c>
      <c r="K153" s="5">
        <f>-(K142+K146+K150)</f>
        <v/>
      </c>
      <c r="L153" s="5">
        <f>-(L142+L146+L150)</f>
        <v/>
      </c>
    </row>
    <row r="154">
      <c r="A154" s="4" t="inlineStr">
        <is>
          <t>Résultat avant impôt</t>
        </is>
      </c>
      <c r="B154" s="18">
        <f>SUM(C154:L154)</f>
        <v/>
      </c>
      <c r="C154" s="18">
        <f>C136+C153+C129</f>
        <v/>
      </c>
      <c r="D154" s="18">
        <f>D136+D153+D129</f>
        <v/>
      </c>
      <c r="E154" s="18">
        <f>E136+E153+E129</f>
        <v/>
      </c>
      <c r="F154" s="18">
        <f>F136+F153+F129</f>
        <v/>
      </c>
      <c r="G154" s="18">
        <f>G136+G153+G129</f>
        <v/>
      </c>
      <c r="H154" s="18">
        <f>H136+H153+H129</f>
        <v/>
      </c>
      <c r="I154" s="18">
        <f>I136+I153+I129</f>
        <v/>
      </c>
      <c r="J154" s="18">
        <f>J136+J153+J129</f>
        <v/>
      </c>
      <c r="K154" s="18">
        <f>K136+K153+K129</f>
        <v/>
      </c>
      <c r="L154" s="18">
        <f>L136+L153+L129</f>
        <v/>
      </c>
    </row>
    <row r="155">
      <c r="A155" t="inlineStr">
        <is>
          <t>Stock de déficits reportables (fin d'année)</t>
        </is>
      </c>
      <c r="C155" s="5">
        <f>MAX(0,-C154)</f>
        <v/>
      </c>
      <c r="D155" s="5">
        <f>MAX(0,C155-D154)</f>
        <v/>
      </c>
      <c r="E155" s="5">
        <f>MAX(0,D155-E154)</f>
        <v/>
      </c>
      <c r="F155" s="5">
        <f>MAX(0,E155-F154)</f>
        <v/>
      </c>
      <c r="G155" s="5">
        <f>MAX(0,F155-G154)</f>
        <v/>
      </c>
      <c r="H155" s="5">
        <f>MAX(0,G155-H154)</f>
        <v/>
      </c>
      <c r="I155" s="5">
        <f>MAX(0,H155-I154)</f>
        <v/>
      </c>
      <c r="J155" s="5">
        <f>MAX(0,I155-J154)</f>
        <v/>
      </c>
      <c r="K155" s="5">
        <f>MAX(0,J155-K154)</f>
        <v/>
      </c>
      <c r="L155" s="5">
        <f>MAX(0,K155-L154)</f>
        <v/>
      </c>
    </row>
    <row r="156">
      <c r="A156" t="inlineStr">
        <is>
          <t>Impôt sur les sociétés</t>
        </is>
      </c>
      <c r="B156" s="5">
        <f>SUM(C156:L156)</f>
        <v/>
      </c>
      <c r="C156" s="5">
        <f>-MAX(0,C154)*$B$59</f>
        <v/>
      </c>
      <c r="D156" s="5">
        <f>-MAX(0,D154-C155)*$B$59</f>
        <v/>
      </c>
      <c r="E156" s="5">
        <f>-MAX(0,E154-D155)*$B$59</f>
        <v/>
      </c>
      <c r="F156" s="5">
        <f>-MAX(0,F154-E155)*$B$59</f>
        <v/>
      </c>
      <c r="G156" s="5">
        <f>-MAX(0,G154-F155)*$B$59</f>
        <v/>
      </c>
      <c r="H156" s="5">
        <f>-MAX(0,H154-G155)*$B$59</f>
        <v/>
      </c>
      <c r="I156" s="5">
        <f>-MAX(0,I154-H155)*$B$59</f>
        <v/>
      </c>
      <c r="J156" s="5">
        <f>-MAX(0,J154-I155)*$B$59</f>
        <v/>
      </c>
      <c r="K156" s="5">
        <f>-MAX(0,K154-J155)*$B$59</f>
        <v/>
      </c>
      <c r="L156" s="5">
        <f>-MAX(0,L154-K155)*$B$59</f>
        <v/>
      </c>
    </row>
    <row r="157">
      <c r="A157" s="4" t="inlineStr">
        <is>
          <t>Résultat net</t>
        </is>
      </c>
      <c r="B157" s="18">
        <f>SUM(C157:L157)</f>
        <v/>
      </c>
      <c r="C157" s="18">
        <f>C154+C156</f>
        <v/>
      </c>
      <c r="D157" s="18">
        <f>D154+D156</f>
        <v/>
      </c>
      <c r="E157" s="18">
        <f>E154+E156</f>
        <v/>
      </c>
      <c r="F157" s="18">
        <f>F154+F156</f>
        <v/>
      </c>
      <c r="G157" s="18">
        <f>G154+G156</f>
        <v/>
      </c>
      <c r="H157" s="18">
        <f>H154+H156</f>
        <v/>
      </c>
      <c r="I157" s="18">
        <f>I154+I156</f>
        <v/>
      </c>
      <c r="J157" s="18">
        <f>J154+J156</f>
        <v/>
      </c>
      <c r="K157" s="18">
        <f>K154+K156</f>
        <v/>
      </c>
      <c r="L157" s="18">
        <f>L154+L156</f>
        <v/>
      </c>
    </row>
    <row r="159">
      <c r="A159" s="4" t="inlineStr">
        <is>
          <t>Tableau des flux de trésorerie</t>
        </is>
      </c>
    </row>
    <row r="160">
      <c r="A160" t="inlineStr">
        <is>
          <t>BFR (niveau)</t>
        </is>
      </c>
      <c r="C160" s="5">
        <f>C109*$B$58</f>
        <v/>
      </c>
      <c r="D160" s="5">
        <f>D109*$B$58</f>
        <v/>
      </c>
      <c r="E160" s="5">
        <f>E109*$B$58</f>
        <v/>
      </c>
      <c r="F160" s="5">
        <f>F109*$B$58</f>
        <v/>
      </c>
      <c r="G160" s="5">
        <f>G109*$B$58</f>
        <v/>
      </c>
      <c r="H160" s="5">
        <f>H109*$B$58</f>
        <v/>
      </c>
      <c r="I160" s="5">
        <f>I109*$B$58</f>
        <v/>
      </c>
      <c r="J160" s="5">
        <f>J109*$B$58</f>
        <v/>
      </c>
      <c r="K160" s="5">
        <f>K109*$B$58</f>
        <v/>
      </c>
      <c r="L160" s="5">
        <f>L109*$B$58</f>
        <v/>
      </c>
    </row>
    <row r="161">
      <c r="A161" t="inlineStr">
        <is>
          <t>Variation du BFR</t>
        </is>
      </c>
      <c r="B161" s="5">
        <f>SUM(C161:L161)</f>
        <v/>
      </c>
      <c r="C161" s="5">
        <f>-C160</f>
        <v/>
      </c>
      <c r="D161" s="5">
        <f>-(D160-C160)</f>
        <v/>
      </c>
      <c r="E161" s="5">
        <f>-(E160-D160)</f>
        <v/>
      </c>
      <c r="F161" s="5">
        <f>-(F160-E160)</f>
        <v/>
      </c>
      <c r="G161" s="5">
        <f>-(G160-F160)</f>
        <v/>
      </c>
      <c r="H161" s="5">
        <f>-(H160-G160)</f>
        <v/>
      </c>
      <c r="I161" s="5">
        <f>-(I160-H160)</f>
        <v/>
      </c>
      <c r="J161" s="5">
        <f>-(J160-I160)</f>
        <v/>
      </c>
      <c r="K161" s="5">
        <f>-(K160-J160)</f>
        <v/>
      </c>
      <c r="L161" s="5">
        <f>-(L160-K160)</f>
        <v/>
      </c>
    </row>
    <row r="162">
      <c r="A162" s="4" t="inlineStr">
        <is>
          <t>Flux d'exploitation (EBITDA + loyer privé − IS − ΔBFR)</t>
        </is>
      </c>
      <c r="B162" s="18">
        <f>SUM(C162:L162)</f>
        <v/>
      </c>
      <c r="C162" s="18">
        <f>C128+C129+C156+C161</f>
        <v/>
      </c>
      <c r="D162" s="18">
        <f>D128+D129+D156+D161</f>
        <v/>
      </c>
      <c r="E162" s="18">
        <f>E128+E129+E156+E161</f>
        <v/>
      </c>
      <c r="F162" s="18">
        <f>F128+F129+F156+F161</f>
        <v/>
      </c>
      <c r="G162" s="18">
        <f>G128+G129+G156+G161</f>
        <v/>
      </c>
      <c r="H162" s="18">
        <f>H128+H129+H156+H161</f>
        <v/>
      </c>
      <c r="I162" s="18">
        <f>I128+I129+I156+I161</f>
        <v/>
      </c>
      <c r="J162" s="18">
        <f>J128+J129+J156+J161</f>
        <v/>
      </c>
      <c r="K162" s="18">
        <f>K128+K129+K156+K161</f>
        <v/>
      </c>
      <c r="L162" s="18">
        <f>L128+L129+L156+L161</f>
        <v/>
      </c>
    </row>
    <row r="163">
      <c r="A163" s="4" t="inlineStr">
        <is>
          <t>Flux d'investissement</t>
        </is>
      </c>
      <c r="B163" s="18">
        <f>SUM(C163:L163)</f>
        <v/>
      </c>
      <c r="C163" s="18">
        <f>-(C132+C131+C133)</f>
        <v/>
      </c>
      <c r="D163" s="18">
        <f>-(D132+D131+D133)</f>
        <v/>
      </c>
      <c r="E163" s="18">
        <f>-(E132+E131+E133)</f>
        <v/>
      </c>
      <c r="F163" s="18">
        <f>-(F132+F131+F133)</f>
        <v/>
      </c>
      <c r="G163" s="18">
        <f>-(G132+G131+G133)</f>
        <v/>
      </c>
      <c r="H163" s="18">
        <f>-(H132+H131+H133)</f>
        <v/>
      </c>
      <c r="I163" s="18">
        <f>-(I132+I131+I133)</f>
        <v/>
      </c>
      <c r="J163" s="18">
        <f>-(J132+J131+J133)</f>
        <v/>
      </c>
      <c r="K163" s="18">
        <f>-(K132+K131+K133)</f>
        <v/>
      </c>
      <c r="L163" s="18">
        <f>-(L132+L131+L133)</f>
        <v/>
      </c>
    </row>
    <row r="164">
      <c r="A164" t="inlineStr">
        <is>
          <t xml:space="preserve">  Apports en fonds propres + subventions</t>
        </is>
      </c>
      <c r="B164" s="5">
        <f>SUM(C164:L164)</f>
        <v/>
      </c>
      <c r="C164" s="5">
        <f>IF(C$90=1,$B$23,0)+IF(C$90=$B$5,$B$24*(1-$B$49)+$B$26,0)</f>
        <v/>
      </c>
      <c r="D164" s="5">
        <f>IF(D$90=1,$B$23,0)+IF(D$90=$B$5,$B$24*(1-$B$49)+$B$26,0)</f>
        <v/>
      </c>
      <c r="E164" s="5">
        <f>IF(E$90=1,$B$23,0)+IF(E$90=$B$5,$B$24*(1-$B$49)+$B$26,0)</f>
        <v/>
      </c>
      <c r="F164" s="5">
        <f>IF(F$90=1,$B$23,0)+IF(F$90=$B$5,$B$24*(1-$B$49)+$B$26,0)</f>
        <v/>
      </c>
      <c r="G164" s="5">
        <f>IF(G$90=1,$B$23,0)+IF(G$90=$B$5,$B$24*(1-$B$49)+$B$26,0)</f>
        <v/>
      </c>
      <c r="H164" s="5">
        <f>IF(H$90=1,$B$23,0)+IF(H$90=$B$5,$B$24*(1-$B$49)+$B$26,0)</f>
        <v/>
      </c>
      <c r="I164" s="5">
        <f>IF(I$90=1,$B$23,0)+IF(I$90=$B$5,$B$24*(1-$B$49)+$B$26,0)</f>
        <v/>
      </c>
      <c r="J164" s="5">
        <f>IF(J$90=1,$B$23,0)+IF(J$90=$B$5,$B$24*(1-$B$49)+$B$26,0)</f>
        <v/>
      </c>
      <c r="K164" s="5">
        <f>IF(K$90=1,$B$23,0)+IF(K$90=$B$5,$B$24*(1-$B$49)+$B$26,0)</f>
        <v/>
      </c>
      <c r="L164" s="5">
        <f>IF(L$90=1,$B$23,0)+IF(L$90=$B$5,$B$24*(1-$B$49)+$B$26,0)</f>
        <v/>
      </c>
    </row>
    <row r="165">
      <c r="A165" t="inlineStr">
        <is>
          <t xml:space="preserve">  Tirages dette + crédit-vendeur + obligations</t>
        </is>
      </c>
      <c r="B165" s="5">
        <f>SUM(C165:L165)</f>
        <v/>
      </c>
      <c r="C165" s="5">
        <f>IF(C$90=$B$5,$B$27+$B$31+$B$34,0)</f>
        <v/>
      </c>
      <c r="D165" s="5">
        <f>IF(D$90=$B$5,$B$27+$B$31+$B$34,0)</f>
        <v/>
      </c>
      <c r="E165" s="5">
        <f>IF(E$90=$B$5,$B$27+$B$31+$B$34,0)</f>
        <v/>
      </c>
      <c r="F165" s="5">
        <f>IF(F$90=$B$5,$B$27+$B$31+$B$34,0)</f>
        <v/>
      </c>
      <c r="G165" s="5">
        <f>IF(G$90=$B$5,$B$27+$B$31+$B$34,0)</f>
        <v/>
      </c>
      <c r="H165" s="5">
        <f>IF(H$90=$B$5,$B$27+$B$31+$B$34,0)</f>
        <v/>
      </c>
      <c r="I165" s="5">
        <f>IF(I$90=$B$5,$B$27+$B$31+$B$34,0)</f>
        <v/>
      </c>
      <c r="J165" s="5">
        <f>IF(J$90=$B$5,$B$27+$B$31+$B$34,0)</f>
        <v/>
      </c>
      <c r="K165" s="5">
        <f>IF(K$90=$B$5,$B$27+$B$31+$B$34,0)</f>
        <v/>
      </c>
      <c r="L165" s="5">
        <f>IF(L$90=$B$5,$B$27+$B$31+$B$34,0)</f>
        <v/>
      </c>
    </row>
    <row r="166">
      <c r="A166" t="inlineStr">
        <is>
          <t xml:space="preserve">  Service de la dette (intérêts + capital + coupons + rembt obligations)</t>
        </is>
      </c>
      <c r="B166" s="5">
        <f>SUM(C166:L166)</f>
        <v/>
      </c>
      <c r="C166" s="5">
        <f>-(C142+C143+C146+C147+C150+C151)</f>
        <v/>
      </c>
      <c r="D166" s="5">
        <f>-(D142+D143+D146+D147+D150+D151)</f>
        <v/>
      </c>
      <c r="E166" s="5">
        <f>-(E142+E143+E146+E147+E150+E151)</f>
        <v/>
      </c>
      <c r="F166" s="5">
        <f>-(F142+F143+F146+F147+F150+F151)</f>
        <v/>
      </c>
      <c r="G166" s="5">
        <f>-(G142+G143+G146+G147+G150+G151)</f>
        <v/>
      </c>
      <c r="H166" s="5">
        <f>-(H142+H143+H146+H147+H150+H151)</f>
        <v/>
      </c>
      <c r="I166" s="5">
        <f>-(I142+I143+I146+I147+I150+I151)</f>
        <v/>
      </c>
      <c r="J166" s="5">
        <f>-(J142+J143+J146+J147+J150+J151)</f>
        <v/>
      </c>
      <c r="K166" s="5">
        <f>-(K142+K143+K146+K147+K150+K151)</f>
        <v/>
      </c>
      <c r="L166" s="5">
        <f>-(L142+L143+L146+L147+L150+L151)</f>
        <v/>
      </c>
    </row>
    <row r="167">
      <c r="A167" s="4" t="inlineStr">
        <is>
          <t>Flux de financement</t>
        </is>
      </c>
      <c r="B167" s="18">
        <f>SUM(C167:L167)</f>
        <v/>
      </c>
      <c r="C167" s="18">
        <f>C164+C165+C166</f>
        <v/>
      </c>
      <c r="D167" s="18">
        <f>D164+D165+D166</f>
        <v/>
      </c>
      <c r="E167" s="18">
        <f>E164+E165+E166</f>
        <v/>
      </c>
      <c r="F167" s="18">
        <f>F164+F165+F166</f>
        <v/>
      </c>
      <c r="G167" s="18">
        <f>G164+G165+G166</f>
        <v/>
      </c>
      <c r="H167" s="18">
        <f>H164+H165+H166</f>
        <v/>
      </c>
      <c r="I167" s="18">
        <f>I164+I165+I166</f>
        <v/>
      </c>
      <c r="J167" s="18">
        <f>J164+J165+J166</f>
        <v/>
      </c>
      <c r="K167" s="18">
        <f>K164+K165+K166</f>
        <v/>
      </c>
      <c r="L167" s="18">
        <f>L164+L165+L166</f>
        <v/>
      </c>
    </row>
    <row r="168">
      <c r="A168" s="4" t="inlineStr">
        <is>
          <t>Variation de trésorerie</t>
        </is>
      </c>
      <c r="B168" s="18">
        <f>SUM(C168:L168)</f>
        <v/>
      </c>
      <c r="C168" s="18">
        <f>C162+C163+C167</f>
        <v/>
      </c>
      <c r="D168" s="18">
        <f>D162+D163+D167</f>
        <v/>
      </c>
      <c r="E168" s="18">
        <f>E162+E163+E167</f>
        <v/>
      </c>
      <c r="F168" s="18">
        <f>F162+F163+F167</f>
        <v/>
      </c>
      <c r="G168" s="18">
        <f>G162+G163+G167</f>
        <v/>
      </c>
      <c r="H168" s="18">
        <f>H162+H163+H167</f>
        <v/>
      </c>
      <c r="I168" s="18">
        <f>I162+I163+I167</f>
        <v/>
      </c>
      <c r="J168" s="18">
        <f>J162+J163+J167</f>
        <v/>
      </c>
      <c r="K168" s="18">
        <f>K162+K163+K167</f>
        <v/>
      </c>
      <c r="L168" s="18">
        <f>L162+L163+L167</f>
        <v/>
      </c>
    </row>
    <row r="169">
      <c r="A169" s="4" t="inlineStr">
        <is>
          <t>Trésorerie fin d'année</t>
        </is>
      </c>
      <c r="C169" s="18">
        <f>C168</f>
        <v/>
      </c>
      <c r="D169" s="18">
        <f>C169+D168</f>
        <v/>
      </c>
      <c r="E169" s="18">
        <f>D169+E168</f>
        <v/>
      </c>
      <c r="F169" s="18">
        <f>E169+F168</f>
        <v/>
      </c>
      <c r="G169" s="18">
        <f>F169+G168</f>
        <v/>
      </c>
      <c r="H169" s="18">
        <f>G169+H168</f>
        <v/>
      </c>
      <c r="I169" s="18">
        <f>H169+I168</f>
        <v/>
      </c>
      <c r="J169" s="18">
        <f>I169+J168</f>
        <v/>
      </c>
      <c r="K169" s="18">
        <f>J169+K168</f>
        <v/>
      </c>
      <c r="L169" s="18">
        <f>K169+L168</f>
        <v/>
      </c>
    </row>
    <row r="170">
      <c r="A170" t="inlineStr">
        <is>
          <t>Cash-flow libre d'exploitation (CFO − gros entretien − service dette hors obligations in fine)</t>
        </is>
      </c>
      <c r="B170" s="5">
        <f>SUM(C170:L170)</f>
        <v/>
      </c>
      <c r="C170" s="5">
        <f>C162-C133-(C142+C143+C146+C147+C150)</f>
        <v/>
      </c>
      <c r="D170" s="5">
        <f>D162-D133-(D142+D143+D146+D147+D150)</f>
        <v/>
      </c>
      <c r="E170" s="5">
        <f>E162-E133-(E142+E143+E146+E147+E150)</f>
        <v/>
      </c>
      <c r="F170" s="5">
        <f>F162-F133-(F142+F143+F146+F147+F150)</f>
        <v/>
      </c>
      <c r="G170" s="5">
        <f>G162-G133-(G142+G143+G146+G147+G150)</f>
        <v/>
      </c>
      <c r="H170" s="5">
        <f>H162-H133-(H142+H143+H146+H147+H150)</f>
        <v/>
      </c>
      <c r="I170" s="5">
        <f>I162-I133-(I142+I143+I146+I147+I150)</f>
        <v/>
      </c>
      <c r="J170" s="5">
        <f>J162-J133-(J142+J143+J146+J147+J150)</f>
        <v/>
      </c>
      <c r="K170" s="5">
        <f>K162-K133-(K142+K143+K146+K147+K150)</f>
        <v/>
      </c>
      <c r="L170" s="5">
        <f>L162-L133-(L142+L143+L146+L147+L150)</f>
        <v/>
      </c>
    </row>
    <row r="171">
      <c r="A171" t="inlineStr">
        <is>
          <t>DSCR ((EBITDA + loyer privé − IS − gros entretien) / service de la dette)</t>
        </is>
      </c>
      <c r="C171" s="7">
        <f>IF((C142+C143+C146+C147+C150)=0,"",(C128+C129+C156-C133)/(C142+C143+C146+C147+C150))</f>
        <v/>
      </c>
      <c r="D171" s="7">
        <f>IF((D142+D143+D146+D147+D150)=0,"",(D128+D129+D156-D133)/(D142+D143+D146+D147+D150))</f>
        <v/>
      </c>
      <c r="E171" s="7">
        <f>IF((E142+E143+E146+E147+E150)=0,"",(E128+E129+E156-E133)/(E142+E143+E146+E147+E150))</f>
        <v/>
      </c>
      <c r="F171" s="7">
        <f>IF((F142+F143+F146+F147+F150)=0,"",(F128+F129+F156-F133)/(F142+F143+F146+F147+F150))</f>
        <v/>
      </c>
      <c r="G171" s="7">
        <f>IF((G142+G143+G146+G147+G150)=0,"",(G128+G129+G156-G133)/(G142+G143+G146+G147+G150))</f>
        <v/>
      </c>
      <c r="H171" s="7">
        <f>IF((H142+H143+H146+H147+H150)=0,"",(H128+H129+H156-H133)/(H142+H143+H146+H147+H150))</f>
        <v/>
      </c>
      <c r="I171" s="7">
        <f>IF((I142+I143+I146+I147+I150)=0,"",(I128+I129+I156-I133)/(I142+I143+I146+I147+I150))</f>
        <v/>
      </c>
      <c r="J171" s="7">
        <f>IF((J142+J143+J146+J147+J150)=0,"",(J128+J129+J156-J133)/(J142+J143+J146+J147+J150))</f>
        <v/>
      </c>
      <c r="K171" s="7">
        <f>IF((K142+K143+K146+K147+K150)=0,"",(K128+K129+K156-K133)/(K142+K143+K146+K147+K150))</f>
        <v/>
      </c>
      <c r="L171" s="7">
        <f>IF((L142+L143+L146+L147+L150)=0,"",(L128+L129+L156-L133)/(L142+L143+L146+L147+L150))</f>
        <v/>
      </c>
    </row>
    <row r="173">
      <c r="A173" s="4" t="inlineStr">
        <is>
          <t>Rentabilité des investisseurs et contrôle</t>
        </is>
      </c>
    </row>
    <row r="174">
      <c r="A174" t="inlineStr">
        <is>
          <t>Dettes financières totales fin d'année</t>
        </is>
      </c>
      <c r="C174" s="5">
        <f>C144+C148+C149-C151</f>
        <v/>
      </c>
      <c r="D174" s="5">
        <f>D144+D148+D149-D151</f>
        <v/>
      </c>
      <c r="E174" s="5">
        <f>E144+E148+E149-E151</f>
        <v/>
      </c>
      <c r="F174" s="5">
        <f>F144+F148+F149-F151</f>
        <v/>
      </c>
      <c r="G174" s="5">
        <f>G144+G148+G149-G151</f>
        <v/>
      </c>
      <c r="H174" s="5">
        <f>H144+H148+H149-H151</f>
        <v/>
      </c>
      <c r="I174" s="5">
        <f>I144+I148+I149-I151</f>
        <v/>
      </c>
      <c r="J174" s="5">
        <f>J144+J148+J149-J151</f>
        <v/>
      </c>
      <c r="K174" s="5">
        <f>K144+K148+K149-K151</f>
        <v/>
      </c>
      <c r="L174" s="5">
        <f>L144+L148+L149-L151</f>
        <v/>
      </c>
    </row>
    <row r="175">
      <c r="A175" t="inlineStr">
        <is>
          <t>Valeur estimée de l'actif (si cédé cette année)</t>
        </is>
      </c>
      <c r="C175" s="5">
        <f>C96*($B$7+C134)*$B$17*(1-$B$19)</f>
        <v/>
      </c>
      <c r="D175" s="5">
        <f>D96*($B$7+D134)*$B$17*(1-$B$19)</f>
        <v/>
      </c>
      <c r="E175" s="5">
        <f>E96*($B$7+E134)*$B$17*(1-$B$19)</f>
        <v/>
      </c>
      <c r="F175" s="5">
        <f>F96*($B$7+F134)*$B$17*(1-$B$19)</f>
        <v/>
      </c>
      <c r="G175" s="5">
        <f>G96*($B$7+G134)*$B$17*(1-$B$19)</f>
        <v/>
      </c>
      <c r="H175" s="5">
        <f>H96*($B$7+H134)*$B$17*(1-$B$19)</f>
        <v/>
      </c>
      <c r="I175" s="5">
        <f>I96*($B$7+I134)*$B$17*(1-$B$19)</f>
        <v/>
      </c>
      <c r="J175" s="5">
        <f>J96*($B$7+J134)*$B$17*(1-$B$19)</f>
        <v/>
      </c>
      <c r="K175" s="5">
        <f>K96*($B$7+K134)*$B$17*(1-$B$19)</f>
        <v/>
      </c>
      <c r="L175" s="5">
        <f>L96*($B$7+L134)*$B$17*(1-$B$19)</f>
        <v/>
      </c>
    </row>
    <row r="176">
      <c r="A176" t="inlineStr">
        <is>
          <t>Valeur des fonds propres (actif + trésorerie − dettes)</t>
        </is>
      </c>
      <c r="C176" s="5">
        <f>C175+C169-C174</f>
        <v/>
      </c>
      <c r="D176" s="5">
        <f>D175+D169-D174</f>
        <v/>
      </c>
      <c r="E176" s="5">
        <f>E175+E169-E174</f>
        <v/>
      </c>
      <c r="F176" s="5">
        <f>F175+F169-F174</f>
        <v/>
      </c>
      <c r="G176" s="5">
        <f>G175+G169-G174</f>
        <v/>
      </c>
      <c r="H176" s="5">
        <f>H175+H169-H174</f>
        <v/>
      </c>
      <c r="I176" s="5">
        <f>I175+I169-I174</f>
        <v/>
      </c>
      <c r="J176" s="5">
        <f>J175+J169-J174</f>
        <v/>
      </c>
      <c r="K176" s="5">
        <f>K175+K169-K174</f>
        <v/>
      </c>
      <c r="L176" s="5">
        <f>L175+L169-L174</f>
        <v/>
      </c>
    </row>
    <row r="177">
      <c r="A177" t="inlineStr">
        <is>
          <t>Flux des investisseurs (entrée an d'acq., sortie an 10)</t>
        </is>
      </c>
      <c r="B177" s="5">
        <f>SUM(C177:L177)</f>
        <v/>
      </c>
      <c r="C177" s="5">
        <f>-IF(C$90=$B$5,$B$24*(1-$B$49)*(1-$B$25),0)</f>
        <v/>
      </c>
      <c r="D177" s="5">
        <f>-IF(D$90=$B$5,$B$24*(1-$B$49)*(1-$B$25),0)</f>
        <v/>
      </c>
      <c r="E177" s="5">
        <f>-IF(E$90=$B$5,$B$24*(1-$B$49)*(1-$B$25),0)</f>
        <v/>
      </c>
      <c r="F177" s="5">
        <f>-IF(F$90=$B$5,$B$24*(1-$B$49)*(1-$B$25),0)</f>
        <v/>
      </c>
      <c r="G177" s="5">
        <f>-IF(G$90=$B$5,$B$24*(1-$B$49)*(1-$B$25),0)</f>
        <v/>
      </c>
      <c r="H177" s="5">
        <f>-IF(H$90=$B$5,$B$24*(1-$B$49)*(1-$B$25),0)</f>
        <v/>
      </c>
      <c r="I177" s="5">
        <f>-IF(I$90=$B$5,$B$24*(1-$B$49)*(1-$B$25),0)</f>
        <v/>
      </c>
      <c r="J177" s="5">
        <f>-IF(J$90=$B$5,$B$24*(1-$B$49)*(1-$B$25),0)</f>
        <v/>
      </c>
      <c r="K177" s="5">
        <f>-IF(K$90=$B$5,$B$24*(1-$B$49)*(1-$B$25),0)</f>
        <v/>
      </c>
      <c r="L177" s="5">
        <f>-IF(L$90=$B$5,$B$24*(1-$B$49)*(1-$B$25),0)+MAX(0,L176)*(1-$B$42)</f>
        <v/>
      </c>
    </row>
    <row r="178">
      <c r="A178" t="inlineStr">
        <is>
          <t>Flux du fondateur et de sa holding (apports, sortie théorique an 10)</t>
        </is>
      </c>
      <c r="B178" s="5">
        <f>SUM(C178:L178)</f>
        <v/>
      </c>
      <c r="C178" s="5">
        <f>-IF(C$90=1,$B$23,0)-IF(C$90=$B$5,$B$24*(1-$B$49)*$B$25,0)</f>
        <v/>
      </c>
      <c r="D178" s="5">
        <f>-IF(D$90=1,$B$23,0)-IF(D$90=$B$5,$B$24*(1-$B$49)*$B$25,0)</f>
        <v/>
      </c>
      <c r="E178" s="5">
        <f>-IF(E$90=1,$B$23,0)-IF(E$90=$B$5,$B$24*(1-$B$49)*$B$25,0)</f>
        <v/>
      </c>
      <c r="F178" s="5">
        <f>-IF(F$90=1,$B$23,0)-IF(F$90=$B$5,$B$24*(1-$B$49)*$B$25,0)</f>
        <v/>
      </c>
      <c r="G178" s="5">
        <f>-IF(G$90=1,$B$23,0)-IF(G$90=$B$5,$B$24*(1-$B$49)*$B$25,0)</f>
        <v/>
      </c>
      <c r="H178" s="5">
        <f>-IF(H$90=1,$B$23,0)-IF(H$90=$B$5,$B$24*(1-$B$49)*$B$25,0)</f>
        <v/>
      </c>
      <c r="I178" s="5">
        <f>-IF(I$90=1,$B$23,0)-IF(I$90=$B$5,$B$24*(1-$B$49)*$B$25,0)</f>
        <v/>
      </c>
      <c r="J178" s="5">
        <f>-IF(J$90=1,$B$23,0)-IF(J$90=$B$5,$B$24*(1-$B$49)*$B$25,0)</f>
        <v/>
      </c>
      <c r="K178" s="5">
        <f>-IF(K$90=1,$B$23,0)-IF(K$90=$B$5,$B$24*(1-$B$49)*$B$25,0)</f>
        <v/>
      </c>
      <c r="L178" s="5">
        <f>-IF(L$90=1,$B$23,0)-IF(L$90=$B$5,$B$24*(1-$B$49)*$B$25,0)+MAX(0,L176)*$B$42</f>
        <v/>
      </c>
    </row>
    <row r="180">
      <c r="A180" s="10" t="inlineStr">
        <is>
          <t>8. Indicateurs clés</t>
        </is>
      </c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</row>
    <row r="181">
      <c r="A181" t="inlineStr">
        <is>
          <t>Emplois totaux (acq. + frais + travaux initiaux)</t>
        </is>
      </c>
      <c r="B181" s="18">
        <f>$B$7*(1+$B$8)+SUM(C131:L131)</f>
        <v/>
      </c>
    </row>
    <row r="182">
      <c r="A182" t="inlineStr">
        <is>
          <t>Ressources externes et apports prévus</t>
        </is>
      </c>
      <c r="B182" s="18">
        <f>$B$23+$B$24*(1-$B$49)+$B$26+$B$27+$B$31+$B$34</f>
        <v/>
      </c>
    </row>
    <row r="183">
      <c r="A183" t="inlineStr">
        <is>
          <t>CA année 5</t>
        </is>
      </c>
      <c r="B183" s="18">
        <f>G109</f>
        <v/>
      </c>
    </row>
    <row r="184">
      <c r="A184" t="inlineStr">
        <is>
          <t>EBITDA année 5</t>
        </is>
      </c>
      <c r="B184" s="18">
        <f>G128</f>
        <v/>
      </c>
    </row>
    <row r="185">
      <c r="A185" t="inlineStr">
        <is>
          <t>EBITDA année 10</t>
        </is>
      </c>
      <c r="B185" s="18">
        <f>L128</f>
        <v/>
      </c>
    </row>
    <row r="186">
      <c r="A186" t="inlineStr">
        <is>
          <t>Part équestre du CA année 5</t>
        </is>
      </c>
      <c r="B186" s="14">
        <f>G111</f>
        <v/>
      </c>
    </row>
    <row r="187">
      <c r="A187" t="inlineStr">
        <is>
          <t>Trésorerie minimale sur 10 ans</t>
        </is>
      </c>
      <c r="B187" s="18">
        <f>MIN(C169:L169)</f>
        <v/>
      </c>
    </row>
    <row r="188">
      <c r="A188" t="inlineStr">
        <is>
          <t>Trésorerie fin année 10</t>
        </is>
      </c>
      <c r="B188" s="18">
        <f>L169</f>
        <v/>
      </c>
    </row>
    <row r="189">
      <c r="A189" t="inlineStr">
        <is>
          <t>DSCR minimal (à partir de la 2e année d'exploitation)</t>
        </is>
      </c>
      <c r="B189" s="19">
        <f>IF(COUNTIFS(C171:L171,"&gt;-1E+300",C92:L92,"&gt;=2")=0,"n/a",_xlfn.MINIFS(C171:L171,C92:L92,"&gt;=2"))</f>
        <v/>
      </c>
    </row>
    <row r="190">
      <c r="A190" t="inlineStr">
        <is>
          <t>Nb d'années à cash-flow libre d'exploitation négatif (à partir de la 2e année d'exploitation)</t>
        </is>
      </c>
      <c r="B190" s="20">
        <f>COUNTIFS(C170:L170,"&lt;0",C92:L92,"&gt;=2")</f>
        <v/>
      </c>
    </row>
    <row r="191">
      <c r="A191" t="inlineStr">
        <is>
          <t>TRI investisseurs (sortie théorique an 10)</t>
        </is>
      </c>
      <c r="B191" s="14">
        <f>IF($B$24*(1-$B$25)=0,"sans objet",IFERROR(IRR(C177:L177,-0.05),"perte quasi totale (TRI non calculable)"))</f>
        <v/>
      </c>
    </row>
    <row r="192">
      <c r="A192" t="inlineStr">
        <is>
          <t>TRI fondateur (sortie théorique an 10)</t>
        </is>
      </c>
      <c r="B192" s="14">
        <f>IFERROR(IRR(C178:L178,-0.05),"perte quasi totale (TRI non calculable)")</f>
        <v/>
      </c>
    </row>
    <row r="193">
      <c r="A193" t="inlineStr">
        <is>
          <t>Dette bancaire soutenable estimée (DSCR 1,2 sur (EBITDA − gros entretien) an 10, taux et durée du scénario)</t>
        </is>
      </c>
      <c r="B193" s="18">
        <f>MAX(0,PV($B$28,$B$29,-(L128+L129-L133)/1.2))</f>
        <v/>
      </c>
    </row>
    <row r="194">
      <c r="A194" t="inlineStr">
        <is>
          <t>Fonds propres nécessaires (emplois + réserve + pertes d'exploitation cumulées − dette soutenable)</t>
        </is>
      </c>
      <c r="B194" s="18">
        <f>$B$7*(1+$B$8)+SUM(C131:L131)+$B$39-SUMIF(C162:L162,"&lt;0")-$B$193</f>
        <v/>
      </c>
    </row>
    <row r="195">
      <c r="A195" t="inlineStr">
        <is>
          <t>Part du capital du fondateur</t>
        </is>
      </c>
      <c r="B195" s="14">
        <f>$B$42</f>
        <v/>
      </c>
    </row>
    <row r="196">
      <c r="A196" t="inlineStr">
        <is>
          <t>Droits de vote du fondateur</t>
        </is>
      </c>
      <c r="B196" s="14">
        <f>$B$38</f>
        <v/>
      </c>
    </row>
    <row r="197">
      <c r="A197" s="4" t="inlineStr">
        <is>
          <t>Verdict (trésorerie ≥ 0 et ≥ réserve an 10, DSCR ≥ 1,2, cash-flow libre ≥ 0 dès la 2e année d'exploitation, TRI investisseurs extérieurs ≥ cible, dirigeant payé)</t>
        </is>
      </c>
      <c r="B197" s="4">
        <f>IF($B$187&lt;0,"NON VIABLE (trésorerie négative)",IF(AND($B$188&gt;=$B$39,OR($B$189="n/a",$B$189&gt;=1.2),$B$190=0),IF(NOT(OR($B$191="sans objet",AND(ISNUMBER($B$191),N($B$191)&gt;=$B$40))),"FRAGILE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A — Château équestre « sport » — cas prudent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625000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437500</v>
      </c>
      <c r="C11" t="inlineStr">
        <is>
          <t>€</t>
        </is>
      </c>
      <c r="D11" t="inlineStr">
        <is>
          <t>EST : marcheur 35 k€, carrière 35 €/m², barn 200 €/m² (PL [A3 H19]) + 10 box supplémentaires</t>
        </is>
      </c>
    </row>
    <row r="12">
      <c r="A12" t="inlineStr">
        <is>
          <t>Investissements événementiel / hébergement</t>
        </is>
      </c>
      <c r="B12" s="12" t="n">
        <v>100000</v>
      </c>
      <c r="C12" t="inlineStr">
        <is>
          <t>€</t>
        </is>
      </c>
      <c r="D12" t="inlineStr">
        <is>
          <t>EST : salon de réception pour ventes privées, pas de salle ERP &gt; 50 pers.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0.4</v>
      </c>
      <c r="C53" t="inlineStr">
        <is>
          <t>%</t>
        </is>
      </c>
      <c r="D53" t="inlineStr">
        <is>
          <t>Cas prudent</t>
        </is>
      </c>
    </row>
    <row r="54">
      <c r="A54" t="inlineStr">
        <is>
          <t>Montée en charge : 2e année</t>
        </is>
      </c>
      <c r="B54" s="13" t="n">
        <v>0.65</v>
      </c>
      <c r="C54" t="inlineStr">
        <is>
          <t>%</t>
        </is>
      </c>
      <c r="D54" t="inlineStr">
        <is>
          <t>Cas prudent</t>
        </is>
      </c>
    </row>
    <row r="55">
      <c r="A55" t="inlineStr">
        <is>
          <t>Montée en charge : 3e année</t>
        </is>
      </c>
      <c r="B55" s="13" t="n">
        <v>0.85</v>
      </c>
      <c r="C55" t="inlineStr">
        <is>
          <t>%</t>
        </is>
      </c>
      <c r="D55" t="inlineStr">
        <is>
          <t>Cas prudent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travail (chevaux de sport, places occupées)</t>
        </is>
      </c>
      <c r="B63" s="15" t="n">
        <v>14.4</v>
      </c>
      <c r="C63" s="12" t="n">
        <v>6035</v>
      </c>
      <c r="D63" s="13" t="n">
        <v>0.26</v>
      </c>
      <c r="E63" s="16" t="n">
        <v>0</v>
      </c>
      <c r="F63" s="16" t="n">
        <v>1</v>
      </c>
      <c r="G63" t="inlineStr">
        <is>
          <t>PL : 656 € TTC/mois (cas-type CSO 2025) → 547 € HT à TVA 20 % (entraînement/valorisation, BOFiP) [A3 H5, H9] ; 20 places × 90 % ; coûts op. 1 729 €/an [A3 §4]</t>
        </is>
      </c>
    </row>
    <row r="64">
      <c r="A64" t="inlineStr">
        <is>
          <t>Pension box premium (places occupées)</t>
        </is>
      </c>
      <c r="B64" s="15" t="n">
        <v>7.2</v>
      </c>
      <c r="C64" s="12" t="n">
        <v>5442</v>
      </c>
      <c r="D64" s="13" t="n">
        <v>0.2</v>
      </c>
      <c r="E64" s="16" t="n">
        <v>0</v>
      </c>
      <c r="F64" s="16" t="n">
        <v>1</v>
      </c>
      <c r="G64" t="inlineStr">
        <is>
          <t>Cf. B ; 10 places × 90 %</t>
        </is>
      </c>
    </row>
    <row r="65">
      <c r="A65" t="inlineStr">
        <is>
          <t>Pension au pré (places occupées)</t>
        </is>
      </c>
      <c r="B65" s="15" t="n">
        <v>11.2</v>
      </c>
      <c r="C65" s="12" t="n">
        <v>2407</v>
      </c>
      <c r="D65" s="13" t="n">
        <v>0.23</v>
      </c>
      <c r="E65" s="16" t="n">
        <v>0</v>
      </c>
      <c r="F65" s="16" t="n">
        <v>1</v>
      </c>
      <c r="G65" t="inlineStr">
        <is>
          <t>Cf. B ; 15 places × 92 %</t>
        </is>
      </c>
    </row>
    <row r="66">
      <c r="A66" t="inlineStr">
        <is>
          <t>Valorisation et vente de jeunes chevaux (marge nette par cheval vendu)</t>
        </is>
      </c>
      <c r="B66" s="15" t="n">
        <v>2.4</v>
      </c>
      <c r="C66" s="12" t="n">
        <v>9177</v>
      </c>
      <c r="D66" s="13" t="n">
        <v>0.1</v>
      </c>
      <c r="E66" s="16" t="n">
        <v>0</v>
      </c>
      <c r="F66" s="16" t="n">
        <v>1</v>
      </c>
      <c r="G66" t="inlineStr">
        <is>
          <t>PL : cas-type 2 chevaux/an, 36,75 k€ vendus − 16,8 k€ achetés [A3 §8] ; 3/an EST ; risque élevé</t>
        </is>
      </c>
    </row>
    <row r="67">
      <c r="A67" t="inlineStr">
        <is>
          <t>Organisation de concours (produit annuel)</t>
        </is>
      </c>
      <c r="B67" s="15" t="n">
        <v>0.8</v>
      </c>
      <c r="C67" s="12" t="n">
        <v>14790</v>
      </c>
      <c r="D67" s="13" t="n">
        <v>0.5</v>
      </c>
      <c r="E67" s="16" t="n">
        <v>1</v>
      </c>
      <c r="F67" s="16" t="n">
        <v>1</v>
      </c>
      <c r="G67" t="inlineStr">
        <is>
          <t>PL : produit moyen « organisation de concours » d'une pension travail 16 076 €/an [A3 §4] ; marge EST</t>
        </is>
      </c>
    </row>
    <row r="68">
      <c r="A68" t="inlineStr">
        <is>
          <t>Ventes privées / showcases B2B (soirées)</t>
        </is>
      </c>
      <c r="B68" s="15" t="n">
        <v>2.4</v>
      </c>
      <c r="C68" s="12" t="n">
        <v>2760</v>
      </c>
      <c r="D68" s="13" t="n">
        <v>0.4</v>
      </c>
      <c r="E68" s="16" t="n">
        <v>1</v>
      </c>
      <c r="F68" s="16" t="n">
        <v>1</v>
      </c>
      <c r="G68" t="inlineStr">
        <is>
          <t>INC : aucun tarif de location publié [A3 §8 n°10] ; EST</t>
        </is>
      </c>
    </row>
    <row r="69">
      <c r="A69" t="inlineStr">
        <is>
          <t>Gains de compétition</t>
        </is>
      </c>
      <c r="B69" s="15" t="n">
        <v>0.8</v>
      </c>
      <c r="C69" s="12" t="n">
        <v>11270</v>
      </c>
      <c r="D69" s="13" t="n">
        <v>0</v>
      </c>
      <c r="E69" s="16" t="n">
        <v>1</v>
      </c>
      <c r="F69" s="16" t="n">
        <v>1</v>
      </c>
      <c r="G69" t="inlineStr">
        <is>
          <t>PL : cas-type CSO 2025 12 250 € [A3 §4]</t>
        </is>
      </c>
    </row>
    <row r="70">
      <c r="A70" t="inlineStr">
        <is>
          <t>Gîte 15 couchages hors mariages (nuits)</t>
        </is>
      </c>
      <c r="B70" s="15" t="n">
        <v>73.59999999999999</v>
      </c>
      <c r="C70" s="12" t="n">
        <v>414</v>
      </c>
      <c r="D70" s="13" t="n">
        <v>0.45</v>
      </c>
      <c r="E70" s="16" t="n">
        <v>0</v>
      </c>
      <c r="F70" s="16" t="n">
        <v>0</v>
      </c>
      <c r="G70" t="inlineStr">
        <is>
          <t>PL : fourchettes de prix [A4 §4.2] ; 92 nuits EST (occupation annuelle ≈ 33 % observée en Normandie hors saison) [A4 §4.3]</t>
        </is>
      </c>
    </row>
    <row r="71">
      <c r="A71" t="inlineStr">
        <is>
          <t>Tournages / shootings (jours)</t>
        </is>
      </c>
      <c r="B71" s="15" t="n">
        <v>2.4</v>
      </c>
      <c r="C71" s="12" t="n">
        <v>1840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8</v>
      </c>
      <c r="C72" s="12" t="n">
        <v>138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6600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7700</v>
      </c>
      <c r="C77" s="16" t="n">
        <v>1</v>
      </c>
      <c r="G77" t="inlineStr">
        <is>
          <t>PL : « rarement &lt; 2 500 € », hausse 2026 de 7,5-8 % [A4 §11] ; EST 5-10 k€</t>
        </is>
      </c>
    </row>
    <row r="78">
      <c r="A78" t="inlineStr">
        <is>
          <t>Énergie (chauffage partiel, électricité, eau)</t>
        </is>
      </c>
      <c r="B78" s="12" t="n">
        <v>22000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/ agent d'entretien (1 ETP au Smic chargé)</t>
        </is>
      </c>
      <c r="B79" s="12" t="n">
        <v>29700</v>
      </c>
      <c r="C79" s="16" t="n">
        <v>1</v>
      </c>
      <c r="G79" t="inlineStr">
        <is>
          <t>PL : Smic 2026 22 404 € brut/an [A4 §11] ; EST charges</t>
        </is>
      </c>
    </row>
    <row r="80">
      <c r="A80" t="inlineStr">
        <is>
          <t>Divers (abonnements, petit matériel, véhicule, honoraires)</t>
        </is>
      </c>
      <c r="B80" s="12" t="n">
        <v>8800</v>
      </c>
      <c r="C80" s="16" t="n">
        <v>1</v>
      </c>
      <c r="G80" t="inlineStr">
        <is>
          <t>EST</t>
        </is>
      </c>
    </row>
    <row r="81">
      <c r="A81" t="inlineStr">
        <is>
          <t>Cavalier professionnel / responsable d'écurie (chargé)</t>
        </is>
      </c>
      <c r="B81" s="12" t="n">
        <v>49500</v>
      </c>
      <c r="C81" s="16" t="n">
        <v>0</v>
      </c>
      <c r="G81" t="inlineStr">
        <is>
          <t>PL : grille 2 108-2 678 € brut (coef. 130-167) [A3 H15] ; EST charges</t>
        </is>
      </c>
    </row>
    <row r="82">
      <c r="A82" t="inlineStr">
        <is>
          <t>Soigneurs (2 ETP au Smic chargés)</t>
        </is>
      </c>
      <c r="B82" s="12" t="n">
        <v>66000</v>
      </c>
      <c r="C82" s="16" t="n">
        <v>0</v>
      </c>
      <c r="G82" t="inlineStr">
        <is>
          <t>PL [A3 H13-H14] ; 10 chevaux au travail / ETP</t>
        </is>
      </c>
    </row>
    <row r="83">
      <c r="A83" t="inlineStr">
        <is>
          <t>Autres charges de structure équestres</t>
        </is>
      </c>
      <c r="B83" s="12" t="n">
        <v>38500</v>
      </c>
      <c r="C83" s="16" t="n">
        <v>0</v>
      </c>
      <c r="G83" t="inlineStr">
        <is>
          <t>EST : réf. structure pension travail 2 471 €/équidé [A3 §4] (salaires inclus) → calibrage</t>
        </is>
      </c>
    </row>
    <row r="84">
      <c r="A84" t="inlineStr">
        <is>
          <t>Coûts fixes du gîte</t>
        </is>
      </c>
      <c r="B84" s="12" t="n">
        <v>4840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13200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13200</v>
      </c>
      <c r="C86" s="16" t="n">
        <v>0</v>
      </c>
      <c r="G86" t="inlineStr">
        <is>
          <t>EST</t>
        </is>
      </c>
    </row>
    <row r="87">
      <c r="A87" t="inlineStr">
        <is>
          <t>Rémunération du dirigeant (chargée)</t>
        </is>
      </c>
      <c r="B87" s="12" t="n">
        <v>38500</v>
      </c>
      <c r="C87" s="16" t="n">
        <v>0</v>
      </c>
      <c r="G87" t="inlineStr">
        <is>
          <t>EST : minimum ; le dirigeant paie en plus 18 k€ de loyer privé</t>
        </is>
      </c>
    </row>
    <row r="89">
      <c r="A89" s="10" t="inlineStr">
        <is>
          <t>7. Calcul sur 10 ans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4" t="inlineStr">
        <is>
          <t>Année</t>
        </is>
      </c>
      <c r="B90" s="4" t="inlineStr">
        <is>
          <t>Total / réf.</t>
        </is>
      </c>
      <c r="C90" s="4" t="n">
        <v>1</v>
      </c>
      <c r="D90" s="4" t="n">
        <v>2</v>
      </c>
      <c r="E90" s="4" t="n">
        <v>3</v>
      </c>
      <c r="F90" s="4" t="n">
        <v>4</v>
      </c>
      <c r="G90" s="4" t="n">
        <v>5</v>
      </c>
      <c r="H90" s="4" t="n">
        <v>6</v>
      </c>
      <c r="I90" s="4" t="n">
        <v>7</v>
      </c>
      <c r="J90" s="4" t="n">
        <v>8</v>
      </c>
      <c r="K90" s="4" t="n">
        <v>9</v>
      </c>
      <c r="L90" s="4" t="n">
        <v>10</v>
      </c>
    </row>
    <row r="91">
      <c r="A91" t="inlineStr">
        <is>
          <t>Année d'ouverture effective</t>
        </is>
      </c>
      <c r="C91" s="8">
        <f>$B$6+$B$47</f>
        <v/>
      </c>
      <c r="D91" s="8">
        <f>$B$6+$B$47</f>
        <v/>
      </c>
      <c r="E91" s="8">
        <f>$B$6+$B$47</f>
        <v/>
      </c>
      <c r="F91" s="8">
        <f>$B$6+$B$47</f>
        <v/>
      </c>
      <c r="G91" s="8">
        <f>$B$6+$B$47</f>
        <v/>
      </c>
      <c r="H91" s="8">
        <f>$B$6+$B$47</f>
        <v/>
      </c>
      <c r="I91" s="8">
        <f>$B$6+$B$47</f>
        <v/>
      </c>
      <c r="J91" s="8">
        <f>$B$6+$B$47</f>
        <v/>
      </c>
      <c r="K91" s="8">
        <f>$B$6+$B$47</f>
        <v/>
      </c>
      <c r="L91" s="8">
        <f>$B$6+$B$47</f>
        <v/>
      </c>
    </row>
    <row r="92">
      <c r="A92" t="inlineStr">
        <is>
          <t>Rang de l'année d'exploitation</t>
        </is>
      </c>
      <c r="C92" s="8">
        <f>MAX(0,C$90-C91+1)</f>
        <v/>
      </c>
      <c r="D92" s="8">
        <f>MAX(0,D$90-D91+1)</f>
        <v/>
      </c>
      <c r="E92" s="8">
        <f>MAX(0,E$90-E91+1)</f>
        <v/>
      </c>
      <c r="F92" s="8">
        <f>MAX(0,F$90-F91+1)</f>
        <v/>
      </c>
      <c r="G92" s="8">
        <f>MAX(0,G$90-G91+1)</f>
        <v/>
      </c>
      <c r="H92" s="8">
        <f>MAX(0,H$90-H91+1)</f>
        <v/>
      </c>
      <c r="I92" s="8">
        <f>MAX(0,I$90-I91+1)</f>
        <v/>
      </c>
      <c r="J92" s="8">
        <f>MAX(0,J$90-J91+1)</f>
        <v/>
      </c>
      <c r="K92" s="8">
        <f>MAX(0,K$90-K91+1)</f>
        <v/>
      </c>
      <c r="L92" s="8">
        <f>MAX(0,L$90-L91+1)</f>
        <v/>
      </c>
    </row>
    <row r="93">
      <c r="A93" t="inlineStr">
        <is>
          <t>Coefficient de montée en charge</t>
        </is>
      </c>
      <c r="C93" s="6">
        <f>IF(C92=0,0,IF(C92=1,$B$53,IF(C92=2,$B$54,IF(C92=3,$B$55,1))))</f>
        <v/>
      </c>
      <c r="D93" s="6">
        <f>IF(D92=0,0,IF(D92=1,$B$53,IF(D92=2,$B$54,IF(D92=3,$B$55,1))))</f>
        <v/>
      </c>
      <c r="E93" s="6">
        <f>IF(E92=0,0,IF(E92=1,$B$53,IF(E92=2,$B$54,IF(E92=3,$B$55,1))))</f>
        <v/>
      </c>
      <c r="F93" s="6">
        <f>IF(F92=0,0,IF(F92=1,$B$53,IF(F92=2,$B$54,IF(F92=3,$B$55,1))))</f>
        <v/>
      </c>
      <c r="G93" s="6">
        <f>IF(G92=0,0,IF(G92=1,$B$53,IF(G92=2,$B$54,IF(G92=3,$B$55,1))))</f>
        <v/>
      </c>
      <c r="H93" s="6">
        <f>IF(H92=0,0,IF(H92=1,$B$53,IF(H92=2,$B$54,IF(H92=3,$B$55,1))))</f>
        <v/>
      </c>
      <c r="I93" s="6">
        <f>IF(I92=0,0,IF(I92=1,$B$53,IF(I92=2,$B$54,IF(I92=3,$B$55,1))))</f>
        <v/>
      </c>
      <c r="J93" s="6">
        <f>IF(J92=0,0,IF(J92=1,$B$53,IF(J92=2,$B$54,IF(J92=3,$B$55,1))))</f>
        <v/>
      </c>
      <c r="K93" s="6">
        <f>IF(K92=0,0,IF(K92=1,$B$53,IF(K92=2,$B$54,IF(K92=3,$B$55,1))))</f>
        <v/>
      </c>
      <c r="L93" s="6">
        <f>IF(L92=0,0,IF(L92=1,$B$53,IF(L92=2,$B$54,IF(L92=3,$B$55,1))))</f>
        <v/>
      </c>
    </row>
    <row r="94">
      <c r="A94" t="inlineStr">
        <is>
          <t>Indice prix</t>
        </is>
      </c>
      <c r="C94" s="17">
        <f>(1+$B$56)^(C$90-1)</f>
        <v/>
      </c>
      <c r="D94" s="17">
        <f>(1+$B$56)^(D$90-1)</f>
        <v/>
      </c>
      <c r="E94" s="17">
        <f>(1+$B$56)^(E$90-1)</f>
        <v/>
      </c>
      <c r="F94" s="17">
        <f>(1+$B$56)^(F$90-1)</f>
        <v/>
      </c>
      <c r="G94" s="17">
        <f>(1+$B$56)^(G$90-1)</f>
        <v/>
      </c>
      <c r="H94" s="17">
        <f>(1+$B$56)^(H$90-1)</f>
        <v/>
      </c>
      <c r="I94" s="17">
        <f>(1+$B$56)^(I$90-1)</f>
        <v/>
      </c>
      <c r="J94" s="17">
        <f>(1+$B$56)^(J$90-1)</f>
        <v/>
      </c>
      <c r="K94" s="17">
        <f>(1+$B$56)^(K$90-1)</f>
        <v/>
      </c>
      <c r="L94" s="17">
        <f>(1+$B$56)^(L$90-1)</f>
        <v/>
      </c>
    </row>
    <row r="95">
      <c r="A95" t="inlineStr">
        <is>
          <t>Indice charges</t>
        </is>
      </c>
      <c r="C95" s="17">
        <f>(1+$B$57)^(C$90-1)</f>
        <v/>
      </c>
      <c r="D95" s="17">
        <f>(1+$B$57)^(D$90-1)</f>
        <v/>
      </c>
      <c r="E95" s="17">
        <f>(1+$B$57)^(E$90-1)</f>
        <v/>
      </c>
      <c r="F95" s="17">
        <f>(1+$B$57)^(F$90-1)</f>
        <v/>
      </c>
      <c r="G95" s="17">
        <f>(1+$B$57)^(G$90-1)</f>
        <v/>
      </c>
      <c r="H95" s="17">
        <f>(1+$B$57)^(H$90-1)</f>
        <v/>
      </c>
      <c r="I95" s="17">
        <f>(1+$B$57)^(I$90-1)</f>
        <v/>
      </c>
      <c r="J95" s="17">
        <f>(1+$B$57)^(J$90-1)</f>
        <v/>
      </c>
      <c r="K95" s="17">
        <f>(1+$B$57)^(K$90-1)</f>
        <v/>
      </c>
      <c r="L95" s="17">
        <f>(1+$B$57)^(L$90-1)</f>
        <v/>
      </c>
    </row>
    <row r="96">
      <c r="A96" t="inlineStr">
        <is>
          <t>Murs détenus (1/0)</t>
        </is>
      </c>
      <c r="C96" s="8">
        <f>IF(C$90&gt;=$B$5,1,0)</f>
        <v/>
      </c>
      <c r="D96" s="8">
        <f>IF(D$90&gt;=$B$5,1,0)</f>
        <v/>
      </c>
      <c r="E96" s="8">
        <f>IF(E$90&gt;=$B$5,1,0)</f>
        <v/>
      </c>
      <c r="F96" s="8">
        <f>IF(F$90&gt;=$B$5,1,0)</f>
        <v/>
      </c>
      <c r="G96" s="8">
        <f>IF(G$90&gt;=$B$5,1,0)</f>
        <v/>
      </c>
      <c r="H96" s="8">
        <f>IF(H$90&gt;=$B$5,1,0)</f>
        <v/>
      </c>
      <c r="I96" s="8">
        <f>IF(I$90&gt;=$B$5,1,0)</f>
        <v/>
      </c>
      <c r="J96" s="8">
        <f>IF(J$90&gt;=$B$5,1,0)</f>
        <v/>
      </c>
      <c r="K96" s="8">
        <f>IF(K$90&gt;=$B$5,1,0)</f>
        <v/>
      </c>
      <c r="L96" s="8">
        <f>IF(L$90&gt;=$B$5,1,0)</f>
        <v/>
      </c>
    </row>
    <row r="98">
      <c r="A98" s="4" t="inlineStr">
        <is>
          <t>Compte de résultat</t>
        </is>
      </c>
    </row>
    <row r="99">
      <c r="A99" t="inlineStr">
        <is>
          <t xml:space="preserve">  Pension travail (chevaux de sport, places occupées)</t>
        </is>
      </c>
      <c r="B99" s="5">
        <f>SUM(C99:L99)</f>
        <v/>
      </c>
      <c r="C99" s="5">
        <f>$B$63*$C$63*C93*C94*$B$45*(1-$E$63*$B$50)</f>
        <v/>
      </c>
      <c r="D99" s="5">
        <f>$B$63*$C$63*D93*D94*$B$45*(1-$E$63*$B$50)</f>
        <v/>
      </c>
      <c r="E99" s="5">
        <f>$B$63*$C$63*E93*E94*$B$45*(1-$E$63*$B$50)</f>
        <v/>
      </c>
      <c r="F99" s="5">
        <f>$B$63*$C$63*F93*F94*$B$45*(1-$E$63*$B$50)</f>
        <v/>
      </c>
      <c r="G99" s="5">
        <f>$B$63*$C$63*G93*G94*$B$45*(1-$E$63*$B$50)</f>
        <v/>
      </c>
      <c r="H99" s="5">
        <f>$B$63*$C$63*H93*H94*$B$45*(1-$E$63*$B$50)</f>
        <v/>
      </c>
      <c r="I99" s="5">
        <f>$B$63*$C$63*I93*I94*$B$45*(1-$E$63*$B$50)</f>
        <v/>
      </c>
      <c r="J99" s="5">
        <f>$B$63*$C$63*J93*J94*$B$45*(1-$E$63*$B$50)</f>
        <v/>
      </c>
      <c r="K99" s="5">
        <f>$B$63*$C$63*K93*K94*$B$45*(1-$E$63*$B$50)</f>
        <v/>
      </c>
      <c r="L99" s="5">
        <f>$B$63*$C$63*L93*L94*$B$45*(1-$E$63*$B$50)</f>
        <v/>
      </c>
    </row>
    <row r="100">
      <c r="A100" t="inlineStr">
        <is>
          <t xml:space="preserve">  Pension box premium (places occupées)</t>
        </is>
      </c>
      <c r="B100" s="5">
        <f>SUM(C100:L100)</f>
        <v/>
      </c>
      <c r="C100" s="5">
        <f>$B$64*$C$64*C93*C94*$B$45*(1-$E$64*$B$50)</f>
        <v/>
      </c>
      <c r="D100" s="5">
        <f>$B$64*$C$64*D93*D94*$B$45*(1-$E$64*$B$50)</f>
        <v/>
      </c>
      <c r="E100" s="5">
        <f>$B$64*$C$64*E93*E94*$B$45*(1-$E$64*$B$50)</f>
        <v/>
      </c>
      <c r="F100" s="5">
        <f>$B$64*$C$64*F93*F94*$B$45*(1-$E$64*$B$50)</f>
        <v/>
      </c>
      <c r="G100" s="5">
        <f>$B$64*$C$64*G93*G94*$B$45*(1-$E$64*$B$50)</f>
        <v/>
      </c>
      <c r="H100" s="5">
        <f>$B$64*$C$64*H93*H94*$B$45*(1-$E$64*$B$50)</f>
        <v/>
      </c>
      <c r="I100" s="5">
        <f>$B$64*$C$64*I93*I94*$B$45*(1-$E$64*$B$50)</f>
        <v/>
      </c>
      <c r="J100" s="5">
        <f>$B$64*$C$64*J93*J94*$B$45*(1-$E$64*$B$50)</f>
        <v/>
      </c>
      <c r="K100" s="5">
        <f>$B$64*$C$64*K93*K94*$B$45*(1-$E$64*$B$50)</f>
        <v/>
      </c>
      <c r="L100" s="5">
        <f>$B$64*$C$64*L93*L94*$B$45*(1-$E$64*$B$50)</f>
        <v/>
      </c>
    </row>
    <row r="101">
      <c r="A101" t="inlineStr">
        <is>
          <t xml:space="preserve">  Pension au pré (places occupées)</t>
        </is>
      </c>
      <c r="B101" s="5">
        <f>SUM(C101:L101)</f>
        <v/>
      </c>
      <c r="C101" s="5">
        <f>$B$65*$C$65*C93*C94*$B$45*(1-$E$65*$B$50)</f>
        <v/>
      </c>
      <c r="D101" s="5">
        <f>$B$65*$C$65*D93*D94*$B$45*(1-$E$65*$B$50)</f>
        <v/>
      </c>
      <c r="E101" s="5">
        <f>$B$65*$C$65*E93*E94*$B$45*(1-$E$65*$B$50)</f>
        <v/>
      </c>
      <c r="F101" s="5">
        <f>$B$65*$C$65*F93*F94*$B$45*(1-$E$65*$B$50)</f>
        <v/>
      </c>
      <c r="G101" s="5">
        <f>$B$65*$C$65*G93*G94*$B$45*(1-$E$65*$B$50)</f>
        <v/>
      </c>
      <c r="H101" s="5">
        <f>$B$65*$C$65*H93*H94*$B$45*(1-$E$65*$B$50)</f>
        <v/>
      </c>
      <c r="I101" s="5">
        <f>$B$65*$C$65*I93*I94*$B$45*(1-$E$65*$B$50)</f>
        <v/>
      </c>
      <c r="J101" s="5">
        <f>$B$65*$C$65*J93*J94*$B$45*(1-$E$65*$B$50)</f>
        <v/>
      </c>
      <c r="K101" s="5">
        <f>$B$65*$C$65*K93*K94*$B$45*(1-$E$65*$B$50)</f>
        <v/>
      </c>
      <c r="L101" s="5">
        <f>$B$65*$C$65*L93*L94*$B$45*(1-$E$65*$B$50)</f>
        <v/>
      </c>
    </row>
    <row r="102">
      <c r="A102" t="inlineStr">
        <is>
          <t xml:space="preserve">  Valorisation et vente de jeunes chevaux (marge nette par cheval vendu)</t>
        </is>
      </c>
      <c r="B102" s="5">
        <f>SUM(C102:L102)</f>
        <v/>
      </c>
      <c r="C102" s="5">
        <f>$B$66*$C$66*C93*C94*$B$45*(1-$E$66*$B$50)</f>
        <v/>
      </c>
      <c r="D102" s="5">
        <f>$B$66*$C$66*D93*D94*$B$45*(1-$E$66*$B$50)</f>
        <v/>
      </c>
      <c r="E102" s="5">
        <f>$B$66*$C$66*E93*E94*$B$45*(1-$E$66*$B$50)</f>
        <v/>
      </c>
      <c r="F102" s="5">
        <f>$B$66*$C$66*F93*F94*$B$45*(1-$E$66*$B$50)</f>
        <v/>
      </c>
      <c r="G102" s="5">
        <f>$B$66*$C$66*G93*G94*$B$45*(1-$E$66*$B$50)</f>
        <v/>
      </c>
      <c r="H102" s="5">
        <f>$B$66*$C$66*H93*H94*$B$45*(1-$E$66*$B$50)</f>
        <v/>
      </c>
      <c r="I102" s="5">
        <f>$B$66*$C$66*I93*I94*$B$45*(1-$E$66*$B$50)</f>
        <v/>
      </c>
      <c r="J102" s="5">
        <f>$B$66*$C$66*J93*J94*$B$45*(1-$E$66*$B$50)</f>
        <v/>
      </c>
      <c r="K102" s="5">
        <f>$B$66*$C$66*K93*K94*$B$45*(1-$E$66*$B$50)</f>
        <v/>
      </c>
      <c r="L102" s="5">
        <f>$B$66*$C$66*L93*L94*$B$45*(1-$E$66*$B$50)</f>
        <v/>
      </c>
    </row>
    <row r="103">
      <c r="A103" t="inlineStr">
        <is>
          <t xml:space="preserve">  Organisation de concours (produit annuel)</t>
        </is>
      </c>
      <c r="B103" s="5">
        <f>SUM(C103:L103)</f>
        <v/>
      </c>
      <c r="C103" s="5">
        <f>$B$67*$C$67*C93*C94*$B$45*(1-$E$67*$B$50)</f>
        <v/>
      </c>
      <c r="D103" s="5">
        <f>$B$67*$C$67*D93*D94*$B$45*(1-$E$67*$B$50)</f>
        <v/>
      </c>
      <c r="E103" s="5">
        <f>$B$67*$C$67*E93*E94*$B$45*(1-$E$67*$B$50)</f>
        <v/>
      </c>
      <c r="F103" s="5">
        <f>$B$67*$C$67*F93*F94*$B$45*(1-$E$67*$B$50)</f>
        <v/>
      </c>
      <c r="G103" s="5">
        <f>$B$67*$C$67*G93*G94*$B$45*(1-$E$67*$B$50)</f>
        <v/>
      </c>
      <c r="H103" s="5">
        <f>$B$67*$C$67*H93*H94*$B$45*(1-$E$67*$B$50)</f>
        <v/>
      </c>
      <c r="I103" s="5">
        <f>$B$67*$C$67*I93*I94*$B$45*(1-$E$67*$B$50)</f>
        <v/>
      </c>
      <c r="J103" s="5">
        <f>$B$67*$C$67*J93*J94*$B$45*(1-$E$67*$B$50)</f>
        <v/>
      </c>
      <c r="K103" s="5">
        <f>$B$67*$C$67*K93*K94*$B$45*(1-$E$67*$B$50)</f>
        <v/>
      </c>
      <c r="L103" s="5">
        <f>$B$67*$C$67*L93*L94*$B$45*(1-$E$67*$B$50)</f>
        <v/>
      </c>
    </row>
    <row r="104">
      <c r="A104" t="inlineStr">
        <is>
          <t xml:space="preserve">  Ventes privées / showcases B2B (soirées)</t>
        </is>
      </c>
      <c r="B104" s="5">
        <f>SUM(C104:L104)</f>
        <v/>
      </c>
      <c r="C104" s="5">
        <f>$B$68*$C$68*C93*C94*$B$45*(1-$E$68*$B$50)</f>
        <v/>
      </c>
      <c r="D104" s="5">
        <f>$B$68*$C$68*D93*D94*$B$45*(1-$E$68*$B$50)</f>
        <v/>
      </c>
      <c r="E104" s="5">
        <f>$B$68*$C$68*E93*E94*$B$45*(1-$E$68*$B$50)</f>
        <v/>
      </c>
      <c r="F104" s="5">
        <f>$B$68*$C$68*F93*F94*$B$45*(1-$E$68*$B$50)</f>
        <v/>
      </c>
      <c r="G104" s="5">
        <f>$B$68*$C$68*G93*G94*$B$45*(1-$E$68*$B$50)</f>
        <v/>
      </c>
      <c r="H104" s="5">
        <f>$B$68*$C$68*H93*H94*$B$45*(1-$E$68*$B$50)</f>
        <v/>
      </c>
      <c r="I104" s="5">
        <f>$B$68*$C$68*I93*I94*$B$45*(1-$E$68*$B$50)</f>
        <v/>
      </c>
      <c r="J104" s="5">
        <f>$B$68*$C$68*J93*J94*$B$45*(1-$E$68*$B$50)</f>
        <v/>
      </c>
      <c r="K104" s="5">
        <f>$B$68*$C$68*K93*K94*$B$45*(1-$E$68*$B$50)</f>
        <v/>
      </c>
      <c r="L104" s="5">
        <f>$B$68*$C$68*L93*L94*$B$45*(1-$E$68*$B$50)</f>
        <v/>
      </c>
    </row>
    <row r="105">
      <c r="A105" t="inlineStr">
        <is>
          <t xml:space="preserve">  Gains de compétition</t>
        </is>
      </c>
      <c r="B105" s="5">
        <f>SUM(C105:L105)</f>
        <v/>
      </c>
      <c r="C105" s="5">
        <f>$B$69*$C$69*C93*C94*$B$45*(1-$E$69*$B$50)</f>
        <v/>
      </c>
      <c r="D105" s="5">
        <f>$B$69*$C$69*D93*D94*$B$45*(1-$E$69*$B$50)</f>
        <v/>
      </c>
      <c r="E105" s="5">
        <f>$B$69*$C$69*E93*E94*$B$45*(1-$E$69*$B$50)</f>
        <v/>
      </c>
      <c r="F105" s="5">
        <f>$B$69*$C$69*F93*F94*$B$45*(1-$E$69*$B$50)</f>
        <v/>
      </c>
      <c r="G105" s="5">
        <f>$B$69*$C$69*G93*G94*$B$45*(1-$E$69*$B$50)</f>
        <v/>
      </c>
      <c r="H105" s="5">
        <f>$B$69*$C$69*H93*H94*$B$45*(1-$E$69*$B$50)</f>
        <v/>
      </c>
      <c r="I105" s="5">
        <f>$B$69*$C$69*I93*I94*$B$45*(1-$E$69*$B$50)</f>
        <v/>
      </c>
      <c r="J105" s="5">
        <f>$B$69*$C$69*J93*J94*$B$45*(1-$E$69*$B$50)</f>
        <v/>
      </c>
      <c r="K105" s="5">
        <f>$B$69*$C$69*K93*K94*$B$45*(1-$E$69*$B$50)</f>
        <v/>
      </c>
      <c r="L105" s="5">
        <f>$B$69*$C$69*L93*L94*$B$45*(1-$E$69*$B$50)</f>
        <v/>
      </c>
    </row>
    <row r="106">
      <c r="A106" t="inlineStr">
        <is>
          <t xml:space="preserve">  Gîte 15 couchages hors mariages (nuits)</t>
        </is>
      </c>
      <c r="B106" s="5">
        <f>SUM(C106:L106)</f>
        <v/>
      </c>
      <c r="C106" s="5">
        <f>$B$70*$C$70*C93*C94*$B$45*(1-$E$70*$B$50)</f>
        <v/>
      </c>
      <c r="D106" s="5">
        <f>$B$70*$C$70*D93*D94*$B$45*(1-$E$70*$B$50)</f>
        <v/>
      </c>
      <c r="E106" s="5">
        <f>$B$70*$C$70*E93*E94*$B$45*(1-$E$70*$B$50)</f>
        <v/>
      </c>
      <c r="F106" s="5">
        <f>$B$70*$C$70*F93*F94*$B$45*(1-$E$70*$B$50)</f>
        <v/>
      </c>
      <c r="G106" s="5">
        <f>$B$70*$C$70*G93*G94*$B$45*(1-$E$70*$B$50)</f>
        <v/>
      </c>
      <c r="H106" s="5">
        <f>$B$70*$C$70*H93*H94*$B$45*(1-$E$70*$B$50)</f>
        <v/>
      </c>
      <c r="I106" s="5">
        <f>$B$70*$C$70*I93*I94*$B$45*(1-$E$70*$B$50)</f>
        <v/>
      </c>
      <c r="J106" s="5">
        <f>$B$70*$C$70*J93*J94*$B$45*(1-$E$70*$B$50)</f>
        <v/>
      </c>
      <c r="K106" s="5">
        <f>$B$70*$C$70*K93*K94*$B$45*(1-$E$70*$B$50)</f>
        <v/>
      </c>
      <c r="L106" s="5">
        <f>$B$70*$C$70*L93*L94*$B$45*(1-$E$70*$B$50)</f>
        <v/>
      </c>
    </row>
    <row r="107">
      <c r="A107" t="inlineStr">
        <is>
          <t xml:space="preserve">  Tournages / shootings (jours)</t>
        </is>
      </c>
      <c r="B107" s="5">
        <f>SUM(C107:L107)</f>
        <v/>
      </c>
      <c r="C107" s="5">
        <f>$B$71*$C$71*C93*C94*$B$45*(1-$E$71*$B$50)</f>
        <v/>
      </c>
      <c r="D107" s="5">
        <f>$B$71*$C$71*D93*D94*$B$45*(1-$E$71*$B$50)</f>
        <v/>
      </c>
      <c r="E107" s="5">
        <f>$B$71*$C$71*E93*E94*$B$45*(1-$E$71*$B$50)</f>
        <v/>
      </c>
      <c r="F107" s="5">
        <f>$B$71*$C$71*F93*F94*$B$45*(1-$E$71*$B$50)</f>
        <v/>
      </c>
      <c r="G107" s="5">
        <f>$B$71*$C$71*G93*G94*$B$45*(1-$E$71*$B$50)</f>
        <v/>
      </c>
      <c r="H107" s="5">
        <f>$B$71*$C$71*H93*H94*$B$45*(1-$E$71*$B$50)</f>
        <v/>
      </c>
      <c r="I107" s="5">
        <f>$B$71*$C$71*I93*I94*$B$45*(1-$E$71*$B$50)</f>
        <v/>
      </c>
      <c r="J107" s="5">
        <f>$B$71*$C$71*J93*J94*$B$45*(1-$E$71*$B$50)</f>
        <v/>
      </c>
      <c r="K107" s="5">
        <f>$B$71*$C$71*K93*K94*$B$45*(1-$E$71*$B$50)</f>
        <v/>
      </c>
      <c r="L107" s="5">
        <f>$B$71*$C$71*L93*L94*$B$45*(1-$E$71*$B$50)</f>
        <v/>
      </c>
    </row>
    <row r="108">
      <c r="A108" t="inlineStr">
        <is>
          <t xml:space="preserve">  Fermage / vente d'herbe (ha)</t>
        </is>
      </c>
      <c r="B108" s="5">
        <f>SUM(C108:L108)</f>
        <v/>
      </c>
      <c r="C108" s="5">
        <f>$B$72*$C$72*C93*C94*$B$45*(1-$E$72*$B$50)</f>
        <v/>
      </c>
      <c r="D108" s="5">
        <f>$B$72*$C$72*D93*D94*$B$45*(1-$E$72*$B$50)</f>
        <v/>
      </c>
      <c r="E108" s="5">
        <f>$B$72*$C$72*E93*E94*$B$45*(1-$E$72*$B$50)</f>
        <v/>
      </c>
      <c r="F108" s="5">
        <f>$B$72*$C$72*F93*F94*$B$45*(1-$E$72*$B$50)</f>
        <v/>
      </c>
      <c r="G108" s="5">
        <f>$B$72*$C$72*G93*G94*$B$45*(1-$E$72*$B$50)</f>
        <v/>
      </c>
      <c r="H108" s="5">
        <f>$B$72*$C$72*H93*H94*$B$45*(1-$E$72*$B$50)</f>
        <v/>
      </c>
      <c r="I108" s="5">
        <f>$B$72*$C$72*I93*I94*$B$45*(1-$E$72*$B$50)</f>
        <v/>
      </c>
      <c r="J108" s="5">
        <f>$B$72*$C$72*J93*J94*$B$45*(1-$E$72*$B$50)</f>
        <v/>
      </c>
      <c r="K108" s="5">
        <f>$B$72*$C$72*K93*K94*$B$45*(1-$E$72*$B$50)</f>
        <v/>
      </c>
      <c r="L108" s="5">
        <f>$B$72*$C$72*L93*L94*$B$45*(1-$E$72*$B$50)</f>
        <v/>
      </c>
    </row>
    <row r="109">
      <c r="A109" s="4" t="inlineStr">
        <is>
          <t>Chiffre d'affaires total</t>
        </is>
      </c>
      <c r="B109" s="18">
        <f>SUM(C109:L109)</f>
        <v/>
      </c>
      <c r="C109" s="18">
        <f>C99+C100+C101+C102+C103+C104+C105+C106+C107+C108</f>
        <v/>
      </c>
      <c r="D109" s="18">
        <f>D99+D100+D101+D102+D103+D104+D105+D106+D107+D108</f>
        <v/>
      </c>
      <c r="E109" s="18">
        <f>E99+E100+E101+E102+E103+E104+E105+E106+E107+E108</f>
        <v/>
      </c>
      <c r="F109" s="18">
        <f>F99+F100+F101+F102+F103+F104+F105+F106+F107+F108</f>
        <v/>
      </c>
      <c r="G109" s="18">
        <f>G99+G100+G101+G102+G103+G104+G105+G106+G107+G108</f>
        <v/>
      </c>
      <c r="H109" s="18">
        <f>H99+H100+H101+H102+H103+H104+H105+H106+H107+H108</f>
        <v/>
      </c>
      <c r="I109" s="18">
        <f>I99+I100+I101+I102+I103+I104+I105+I106+I107+I108</f>
        <v/>
      </c>
      <c r="J109" s="18">
        <f>J99+J100+J101+J102+J103+J104+J105+J106+J107+J108</f>
        <v/>
      </c>
      <c r="K109" s="18">
        <f>K99+K100+K101+K102+K103+K104+K105+K106+K107+K108</f>
        <v/>
      </c>
      <c r="L109" s="18">
        <f>L99+L100+L101+L102+L103+L104+L105+L106+L107+L108</f>
        <v/>
      </c>
    </row>
    <row r="110">
      <c r="A110" t="inlineStr">
        <is>
          <t xml:space="preserve">  dont équestre</t>
        </is>
      </c>
      <c r="B110" s="5">
        <f>SUM(C110:L110)</f>
        <v/>
      </c>
      <c r="C110" s="5">
        <f>C99*$F$63+C100*$F$64+C101*$F$65+C102*$F$66+C103*$F$67+C104*$F$68+C105*$F$69+C106*$F$70+C107*$F$71+C108*$F$72</f>
        <v/>
      </c>
      <c r="D110" s="5">
        <f>D99*$F$63+D100*$F$64+D101*$F$65+D102*$F$66+D103*$F$67+D104*$F$68+D105*$F$69+D106*$F$70+D107*$F$71+D108*$F$72</f>
        <v/>
      </c>
      <c r="E110" s="5">
        <f>E99*$F$63+E100*$F$64+E101*$F$65+E102*$F$66+E103*$F$67+E104*$F$68+E105*$F$69+E106*$F$70+E107*$F$71+E108*$F$72</f>
        <v/>
      </c>
      <c r="F110" s="5">
        <f>F99*$F$63+F100*$F$64+F101*$F$65+F102*$F$66+F103*$F$67+F104*$F$68+F105*$F$69+F106*$F$70+F107*$F$71+F108*$F$72</f>
        <v/>
      </c>
      <c r="G110" s="5">
        <f>G99*$F$63+G100*$F$64+G101*$F$65+G102*$F$66+G103*$F$67+G104*$F$68+G105*$F$69+G106*$F$70+G107*$F$71+G108*$F$72</f>
        <v/>
      </c>
      <c r="H110" s="5">
        <f>H99*$F$63+H100*$F$64+H101*$F$65+H102*$F$66+H103*$F$67+H104*$F$68+H105*$F$69+H106*$F$70+H107*$F$71+H108*$F$72</f>
        <v/>
      </c>
      <c r="I110" s="5">
        <f>I99*$F$63+I100*$F$64+I101*$F$65+I102*$F$66+I103*$F$67+I104*$F$68+I105*$F$69+I106*$F$70+I107*$F$71+I108*$F$72</f>
        <v/>
      </c>
      <c r="J110" s="5">
        <f>J99*$F$63+J100*$F$64+J101*$F$65+J102*$F$66+J103*$F$67+J104*$F$68+J105*$F$69+J106*$F$70+J107*$F$71+J108*$F$72</f>
        <v/>
      </c>
      <c r="K110" s="5">
        <f>K99*$F$63+K100*$F$64+K101*$F$65+K102*$F$66+K103*$F$67+K104*$F$68+K105*$F$69+K106*$F$70+K107*$F$71+K108*$F$72</f>
        <v/>
      </c>
      <c r="L110" s="5">
        <f>L99*$F$63+L100*$F$64+L101*$F$65+L102*$F$66+L103*$F$67+L104*$F$68+L105*$F$69+L106*$F$70+L107*$F$71+L108*$F$72</f>
        <v/>
      </c>
    </row>
    <row r="111">
      <c r="A111" t="inlineStr">
        <is>
          <t xml:space="preserve">  Part équestre du CA</t>
        </is>
      </c>
      <c r="C111" s="6">
        <f>IF(C109=0,0,C110/C109)</f>
        <v/>
      </c>
      <c r="D111" s="6">
        <f>IF(D109=0,0,D110/D109)</f>
        <v/>
      </c>
      <c r="E111" s="6">
        <f>IF(E109=0,0,E110/E109)</f>
        <v/>
      </c>
      <c r="F111" s="6">
        <f>IF(F109=0,0,F110/F109)</f>
        <v/>
      </c>
      <c r="G111" s="6">
        <f>IF(G109=0,0,G110/G109)</f>
        <v/>
      </c>
      <c r="H111" s="6">
        <f>IF(H109=0,0,H110/H109)</f>
        <v/>
      </c>
      <c r="I111" s="6">
        <f>IF(I109=0,0,I110/I109)</f>
        <v/>
      </c>
      <c r="J111" s="6">
        <f>IF(J109=0,0,J110/J109)</f>
        <v/>
      </c>
      <c r="K111" s="6">
        <f>IF(K109=0,0,K110/K109)</f>
        <v/>
      </c>
      <c r="L111" s="6">
        <f>IF(L109=0,0,L110/L109)</f>
        <v/>
      </c>
    </row>
    <row r="112">
      <c r="A112" t="inlineStr">
        <is>
          <t>Coûts variables</t>
        </is>
      </c>
      <c r="B112" s="5">
        <f>SUM(C112:L112)</f>
        <v/>
      </c>
      <c r="C112" s="5">
        <f>-(C99*$D$63+C100*$D$64+C101*$D$65+C102*$D$66+C103*$D$67+C104*$D$68+C105*$D$69+C106*$D$70+C107*$D$71+C108*$D$72)</f>
        <v/>
      </c>
      <c r="D112" s="5">
        <f>-(D99*$D$63+D100*$D$64+D101*$D$65+D102*$D$66+D103*$D$67+D104*$D$68+D105*$D$69+D106*$D$70+D107*$D$71+D108*$D$72)</f>
        <v/>
      </c>
      <c r="E112" s="5">
        <f>-(E99*$D$63+E100*$D$64+E101*$D$65+E102*$D$66+E103*$D$67+E104*$D$68+E105*$D$69+E106*$D$70+E107*$D$71+E108*$D$72)</f>
        <v/>
      </c>
      <c r="F112" s="5">
        <f>-(F99*$D$63+F100*$D$64+F101*$D$65+F102*$D$66+F103*$D$67+F104*$D$68+F105*$D$69+F106*$D$70+F107*$D$71+F108*$D$72)</f>
        <v/>
      </c>
      <c r="G112" s="5">
        <f>-(G99*$D$63+G100*$D$64+G101*$D$65+G102*$D$66+G103*$D$67+G104*$D$68+G105*$D$69+G106*$D$70+G107*$D$71+G108*$D$72)</f>
        <v/>
      </c>
      <c r="H112" s="5">
        <f>-(H99*$D$63+H100*$D$64+H101*$D$65+H102*$D$66+H103*$D$67+H104*$D$68+H105*$D$69+H106*$D$70+H107*$D$71+H108*$D$72)</f>
        <v/>
      </c>
      <c r="I112" s="5">
        <f>-(I99*$D$63+I100*$D$64+I101*$D$65+I102*$D$66+I103*$D$67+I104*$D$68+I105*$D$69+I106*$D$70+I107*$D$71+I108*$D$72)</f>
        <v/>
      </c>
      <c r="J112" s="5">
        <f>-(J99*$D$63+J100*$D$64+J101*$D$65+J102*$D$66+J103*$D$67+J104*$D$68+J105*$D$69+J106*$D$70+J107*$D$71+J108*$D$72)</f>
        <v/>
      </c>
      <c r="K112" s="5">
        <f>-(K99*$D$63+K100*$D$64+K101*$D$65+K102*$D$66+K103*$D$67+K104*$D$68+K105*$D$69+K106*$D$70+K107*$D$71+K108*$D$72)</f>
        <v/>
      </c>
      <c r="L112" s="5">
        <f>-(L99*$D$63+L100*$D$64+L101*$D$65+L102*$D$66+L103*$D$67+L104*$D$68+L105*$D$69+L106*$D$70+L107*$D$71+L108*$D$72)</f>
        <v/>
      </c>
    </row>
    <row r="113">
      <c r="A113" s="4" t="inlineStr">
        <is>
          <t>Marge sur coûts variables</t>
        </is>
      </c>
      <c r="B113" s="18">
        <f>SUM(C113:L113)</f>
        <v/>
      </c>
      <c r="C113" s="18">
        <f>C109+C112</f>
        <v/>
      </c>
      <c r="D113" s="18">
        <f>D109+D112</f>
        <v/>
      </c>
      <c r="E113" s="18">
        <f>E109+E112</f>
        <v/>
      </c>
      <c r="F113" s="18">
        <f>F109+F112</f>
        <v/>
      </c>
      <c r="G113" s="18">
        <f>G109+G112</f>
        <v/>
      </c>
      <c r="H113" s="18">
        <f>H109+H112</f>
        <v/>
      </c>
      <c r="I113" s="18">
        <f>I109+I112</f>
        <v/>
      </c>
      <c r="J113" s="18">
        <f>J109+J112</f>
        <v/>
      </c>
      <c r="K113" s="18">
        <f>K109+K112</f>
        <v/>
      </c>
      <c r="L113" s="18">
        <f>L109+L112</f>
        <v/>
      </c>
    </row>
    <row r="114">
      <c r="A114" t="inlineStr">
        <is>
          <t xml:space="preserve">  Taxe foncière</t>
        </is>
      </c>
      <c r="B114" s="5">
        <f>SUM(C114:L114)</f>
        <v/>
      </c>
      <c r="C114" s="5">
        <f>-$B$76*C95*IF($C$76=1,C96,IF(C92&gt;0,1,0))</f>
        <v/>
      </c>
      <c r="D114" s="5">
        <f>-$B$76*D95*IF($C$76=1,D96,IF(D92&gt;0,1,0))</f>
        <v/>
      </c>
      <c r="E114" s="5">
        <f>-$B$76*E95*IF($C$76=1,E96,IF(E92&gt;0,1,0))</f>
        <v/>
      </c>
      <c r="F114" s="5">
        <f>-$B$76*F95*IF($C$76=1,F96,IF(F92&gt;0,1,0))</f>
        <v/>
      </c>
      <c r="G114" s="5">
        <f>-$B$76*G95*IF($C$76=1,G96,IF(G92&gt;0,1,0))</f>
        <v/>
      </c>
      <c r="H114" s="5">
        <f>-$B$76*H95*IF($C$76=1,H96,IF(H92&gt;0,1,0))</f>
        <v/>
      </c>
      <c r="I114" s="5">
        <f>-$B$76*I95*IF($C$76=1,I96,IF(I92&gt;0,1,0))</f>
        <v/>
      </c>
      <c r="J114" s="5">
        <f>-$B$76*J95*IF($C$76=1,J96,IF(J92&gt;0,1,0))</f>
        <v/>
      </c>
      <c r="K114" s="5">
        <f>-$B$76*K95*IF($C$76=1,K96,IF(K92&gt;0,1,0))</f>
        <v/>
      </c>
      <c r="L114" s="5">
        <f>-$B$76*L95*IF($C$76=1,L96,IF(L92&gt;0,1,0))</f>
        <v/>
      </c>
    </row>
    <row r="115">
      <c r="A115" t="inlineStr">
        <is>
          <t xml:space="preserve">  Assurance multirisque château</t>
        </is>
      </c>
      <c r="B115" s="5">
        <f>SUM(C115:L115)</f>
        <v/>
      </c>
      <c r="C115" s="5">
        <f>-$B$77*C95*IF($C$77=1,C96,IF(C92&gt;0,1,0))</f>
        <v/>
      </c>
      <c r="D115" s="5">
        <f>-$B$77*D95*IF($C$77=1,D96,IF(D92&gt;0,1,0))</f>
        <v/>
      </c>
      <c r="E115" s="5">
        <f>-$B$77*E95*IF($C$77=1,E96,IF(E92&gt;0,1,0))</f>
        <v/>
      </c>
      <c r="F115" s="5">
        <f>-$B$77*F95*IF($C$77=1,F96,IF(F92&gt;0,1,0))</f>
        <v/>
      </c>
      <c r="G115" s="5">
        <f>-$B$77*G95*IF($C$77=1,G96,IF(G92&gt;0,1,0))</f>
        <v/>
      </c>
      <c r="H115" s="5">
        <f>-$B$77*H95*IF($C$77=1,H96,IF(H92&gt;0,1,0))</f>
        <v/>
      </c>
      <c r="I115" s="5">
        <f>-$B$77*I95*IF($C$77=1,I96,IF(I92&gt;0,1,0))</f>
        <v/>
      </c>
      <c r="J115" s="5">
        <f>-$B$77*J95*IF($C$77=1,J96,IF(J92&gt;0,1,0))</f>
        <v/>
      </c>
      <c r="K115" s="5">
        <f>-$B$77*K95*IF($C$77=1,K96,IF(K92&gt;0,1,0))</f>
        <v/>
      </c>
      <c r="L115" s="5">
        <f>-$B$77*L95*IF($C$77=1,L96,IF(L92&gt;0,1,0))</f>
        <v/>
      </c>
    </row>
    <row r="116">
      <c r="A116" t="inlineStr">
        <is>
          <t xml:space="preserve">  Énergie (chauffage partiel, électricité, eau)</t>
        </is>
      </c>
      <c r="B116" s="5">
        <f>SUM(C116:L116)</f>
        <v/>
      </c>
      <c r="C116" s="5">
        <f>-$B$78*C95*IF($C$78=1,C96,IF(C92&gt;0,1,0))</f>
        <v/>
      </c>
      <c r="D116" s="5">
        <f>-$B$78*D95*IF($C$78=1,D96,IF(D92&gt;0,1,0))</f>
        <v/>
      </c>
      <c r="E116" s="5">
        <f>-$B$78*E95*IF($C$78=1,E96,IF(E92&gt;0,1,0))</f>
        <v/>
      </c>
      <c r="F116" s="5">
        <f>-$B$78*F95*IF($C$78=1,F96,IF(F92&gt;0,1,0))</f>
        <v/>
      </c>
      <c r="G116" s="5">
        <f>-$B$78*G95*IF($C$78=1,G96,IF(G92&gt;0,1,0))</f>
        <v/>
      </c>
      <c r="H116" s="5">
        <f>-$B$78*H95*IF($C$78=1,H96,IF(H92&gt;0,1,0))</f>
        <v/>
      </c>
      <c r="I116" s="5">
        <f>-$B$78*I95*IF($C$78=1,I96,IF(I92&gt;0,1,0))</f>
        <v/>
      </c>
      <c r="J116" s="5">
        <f>-$B$78*J95*IF($C$78=1,J96,IF(J92&gt;0,1,0))</f>
        <v/>
      </c>
      <c r="K116" s="5">
        <f>-$B$78*K95*IF($C$78=1,K96,IF(K92&gt;0,1,0))</f>
        <v/>
      </c>
      <c r="L116" s="5">
        <f>-$B$78*L95*IF($C$78=1,L96,IF(L92&gt;0,1,0))</f>
        <v/>
      </c>
    </row>
    <row r="117">
      <c r="A117" t="inlineStr">
        <is>
          <t xml:space="preserve">  Jardinier / agent d'entretien (1 ETP au Smic chargé)</t>
        </is>
      </c>
      <c r="B117" s="5">
        <f>SUM(C117:L117)</f>
        <v/>
      </c>
      <c r="C117" s="5">
        <f>-$B$79*C95*IF($C$79=1,C96,IF(C92&gt;0,1,0))</f>
        <v/>
      </c>
      <c r="D117" s="5">
        <f>-$B$79*D95*IF($C$79=1,D96,IF(D92&gt;0,1,0))</f>
        <v/>
      </c>
      <c r="E117" s="5">
        <f>-$B$79*E95*IF($C$79=1,E96,IF(E92&gt;0,1,0))</f>
        <v/>
      </c>
      <c r="F117" s="5">
        <f>-$B$79*F95*IF($C$79=1,F96,IF(F92&gt;0,1,0))</f>
        <v/>
      </c>
      <c r="G117" s="5">
        <f>-$B$79*G95*IF($C$79=1,G96,IF(G92&gt;0,1,0))</f>
        <v/>
      </c>
      <c r="H117" s="5">
        <f>-$B$79*H95*IF($C$79=1,H96,IF(H92&gt;0,1,0))</f>
        <v/>
      </c>
      <c r="I117" s="5">
        <f>-$B$79*I95*IF($C$79=1,I96,IF(I92&gt;0,1,0))</f>
        <v/>
      </c>
      <c r="J117" s="5">
        <f>-$B$79*J95*IF($C$79=1,J96,IF(J92&gt;0,1,0))</f>
        <v/>
      </c>
      <c r="K117" s="5">
        <f>-$B$79*K95*IF($C$79=1,K96,IF(K92&gt;0,1,0))</f>
        <v/>
      </c>
      <c r="L117" s="5">
        <f>-$B$79*L95*IF($C$79=1,L96,IF(L92&gt;0,1,0))</f>
        <v/>
      </c>
    </row>
    <row r="118">
      <c r="A118" t="inlineStr">
        <is>
          <t xml:space="preserve">  Divers (abonnements, petit matériel, véhicule, honoraires)</t>
        </is>
      </c>
      <c r="B118" s="5">
        <f>SUM(C118:L118)</f>
        <v/>
      </c>
      <c r="C118" s="5">
        <f>-$B$80*C95*IF($C$80=1,C96,IF(C92&gt;0,1,0))</f>
        <v/>
      </c>
      <c r="D118" s="5">
        <f>-$B$80*D95*IF($C$80=1,D96,IF(D92&gt;0,1,0))</f>
        <v/>
      </c>
      <c r="E118" s="5">
        <f>-$B$80*E95*IF($C$80=1,E96,IF(E92&gt;0,1,0))</f>
        <v/>
      </c>
      <c r="F118" s="5">
        <f>-$B$80*F95*IF($C$80=1,F96,IF(F92&gt;0,1,0))</f>
        <v/>
      </c>
      <c r="G118" s="5">
        <f>-$B$80*G95*IF($C$80=1,G96,IF(G92&gt;0,1,0))</f>
        <v/>
      </c>
      <c r="H118" s="5">
        <f>-$B$80*H95*IF($C$80=1,H96,IF(H92&gt;0,1,0))</f>
        <v/>
      </c>
      <c r="I118" s="5">
        <f>-$B$80*I95*IF($C$80=1,I96,IF(I92&gt;0,1,0))</f>
        <v/>
      </c>
      <c r="J118" s="5">
        <f>-$B$80*J95*IF($C$80=1,J96,IF(J92&gt;0,1,0))</f>
        <v/>
      </c>
      <c r="K118" s="5">
        <f>-$B$80*K95*IF($C$80=1,K96,IF(K92&gt;0,1,0))</f>
        <v/>
      </c>
      <c r="L118" s="5">
        <f>-$B$80*L95*IF($C$80=1,L96,IF(L92&gt;0,1,0))</f>
        <v/>
      </c>
    </row>
    <row r="119">
      <c r="A119" t="inlineStr">
        <is>
          <t xml:space="preserve">  Cavalier professionnel / responsable d'écurie (chargé)</t>
        </is>
      </c>
      <c r="B119" s="5">
        <f>SUM(C119:L119)</f>
        <v/>
      </c>
      <c r="C119" s="5">
        <f>-$B$81*C95*IF($C$81=1,C96,IF(C92&gt;0,1,0))</f>
        <v/>
      </c>
      <c r="D119" s="5">
        <f>-$B$81*D95*IF($C$81=1,D96,IF(D92&gt;0,1,0))</f>
        <v/>
      </c>
      <c r="E119" s="5">
        <f>-$B$81*E95*IF($C$81=1,E96,IF(E92&gt;0,1,0))</f>
        <v/>
      </c>
      <c r="F119" s="5">
        <f>-$B$81*F95*IF($C$81=1,F96,IF(F92&gt;0,1,0))</f>
        <v/>
      </c>
      <c r="G119" s="5">
        <f>-$B$81*G95*IF($C$81=1,G96,IF(G92&gt;0,1,0))</f>
        <v/>
      </c>
      <c r="H119" s="5">
        <f>-$B$81*H95*IF($C$81=1,H96,IF(H92&gt;0,1,0))</f>
        <v/>
      </c>
      <c r="I119" s="5">
        <f>-$B$81*I95*IF($C$81=1,I96,IF(I92&gt;0,1,0))</f>
        <v/>
      </c>
      <c r="J119" s="5">
        <f>-$B$81*J95*IF($C$81=1,J96,IF(J92&gt;0,1,0))</f>
        <v/>
      </c>
      <c r="K119" s="5">
        <f>-$B$81*K95*IF($C$81=1,K96,IF(K92&gt;0,1,0))</f>
        <v/>
      </c>
      <c r="L119" s="5">
        <f>-$B$81*L95*IF($C$81=1,L96,IF(L92&gt;0,1,0))</f>
        <v/>
      </c>
    </row>
    <row r="120">
      <c r="A120" t="inlineStr">
        <is>
          <t xml:space="preserve">  Soigneurs (2 ETP au Smic chargés)</t>
        </is>
      </c>
      <c r="B120" s="5">
        <f>SUM(C120:L120)</f>
        <v/>
      </c>
      <c r="C120" s="5">
        <f>-$B$82*C95*IF($C$82=1,C96,IF(C92&gt;0,1,0))</f>
        <v/>
      </c>
      <c r="D120" s="5">
        <f>-$B$82*D95*IF($C$82=1,D96,IF(D92&gt;0,1,0))</f>
        <v/>
      </c>
      <c r="E120" s="5">
        <f>-$B$82*E95*IF($C$82=1,E96,IF(E92&gt;0,1,0))</f>
        <v/>
      </c>
      <c r="F120" s="5">
        <f>-$B$82*F95*IF($C$82=1,F96,IF(F92&gt;0,1,0))</f>
        <v/>
      </c>
      <c r="G120" s="5">
        <f>-$B$82*G95*IF($C$82=1,G96,IF(G92&gt;0,1,0))</f>
        <v/>
      </c>
      <c r="H120" s="5">
        <f>-$B$82*H95*IF($C$82=1,H96,IF(H92&gt;0,1,0))</f>
        <v/>
      </c>
      <c r="I120" s="5">
        <f>-$B$82*I95*IF($C$82=1,I96,IF(I92&gt;0,1,0))</f>
        <v/>
      </c>
      <c r="J120" s="5">
        <f>-$B$82*J95*IF($C$82=1,J96,IF(J92&gt;0,1,0))</f>
        <v/>
      </c>
      <c r="K120" s="5">
        <f>-$B$82*K95*IF($C$82=1,K96,IF(K92&gt;0,1,0))</f>
        <v/>
      </c>
      <c r="L120" s="5">
        <f>-$B$82*L95*IF($C$82=1,L96,IF(L92&gt;0,1,0))</f>
        <v/>
      </c>
    </row>
    <row r="121">
      <c r="A121" t="inlineStr">
        <is>
          <t xml:space="preserve">  Autres charges de structure équestres</t>
        </is>
      </c>
      <c r="B121" s="5">
        <f>SUM(C121:L121)</f>
        <v/>
      </c>
      <c r="C121" s="5">
        <f>-$B$83*C95*IF($C$83=1,C96,IF(C92&gt;0,1,0))</f>
        <v/>
      </c>
      <c r="D121" s="5">
        <f>-$B$83*D95*IF($C$83=1,D96,IF(D92&gt;0,1,0))</f>
        <v/>
      </c>
      <c r="E121" s="5">
        <f>-$B$83*E95*IF($C$83=1,E96,IF(E92&gt;0,1,0))</f>
        <v/>
      </c>
      <c r="F121" s="5">
        <f>-$B$83*F95*IF($C$83=1,F96,IF(F92&gt;0,1,0))</f>
        <v/>
      </c>
      <c r="G121" s="5">
        <f>-$B$83*G95*IF($C$83=1,G96,IF(G92&gt;0,1,0))</f>
        <v/>
      </c>
      <c r="H121" s="5">
        <f>-$B$83*H95*IF($C$83=1,H96,IF(H92&gt;0,1,0))</f>
        <v/>
      </c>
      <c r="I121" s="5">
        <f>-$B$83*I95*IF($C$83=1,I96,IF(I92&gt;0,1,0))</f>
        <v/>
      </c>
      <c r="J121" s="5">
        <f>-$B$83*J95*IF($C$83=1,J96,IF(J92&gt;0,1,0))</f>
        <v/>
      </c>
      <c r="K121" s="5">
        <f>-$B$83*K95*IF($C$83=1,K96,IF(K92&gt;0,1,0))</f>
        <v/>
      </c>
      <c r="L121" s="5">
        <f>-$B$83*L95*IF($C$83=1,L96,IF(L92&gt;0,1,0))</f>
        <v/>
      </c>
    </row>
    <row r="122">
      <c r="A122" t="inlineStr">
        <is>
          <t xml:space="preserve">  Coûts fixes du gîte</t>
        </is>
      </c>
      <c r="B122" s="5">
        <f>SUM(C122:L122)</f>
        <v/>
      </c>
      <c r="C122" s="5">
        <f>-$B$84*C95*IF($C$84=1,C96,IF(C92&gt;0,1,0))</f>
        <v/>
      </c>
      <c r="D122" s="5">
        <f>-$B$84*D95*IF($C$84=1,D96,IF(D92&gt;0,1,0))</f>
        <v/>
      </c>
      <c r="E122" s="5">
        <f>-$B$84*E95*IF($C$84=1,E96,IF(E92&gt;0,1,0))</f>
        <v/>
      </c>
      <c r="F122" s="5">
        <f>-$B$84*F95*IF($C$84=1,F96,IF(F92&gt;0,1,0))</f>
        <v/>
      </c>
      <c r="G122" s="5">
        <f>-$B$84*G95*IF($C$84=1,G96,IF(G92&gt;0,1,0))</f>
        <v/>
      </c>
      <c r="H122" s="5">
        <f>-$B$84*H95*IF($C$84=1,H96,IF(H92&gt;0,1,0))</f>
        <v/>
      </c>
      <c r="I122" s="5">
        <f>-$B$84*I95*IF($C$84=1,I96,IF(I92&gt;0,1,0))</f>
        <v/>
      </c>
      <c r="J122" s="5">
        <f>-$B$84*J95*IF($C$84=1,J96,IF(J92&gt;0,1,0))</f>
        <v/>
      </c>
      <c r="K122" s="5">
        <f>-$B$84*K95*IF($C$84=1,K96,IF(K92&gt;0,1,0))</f>
        <v/>
      </c>
      <c r="L122" s="5">
        <f>-$B$84*L95*IF($C$84=1,L96,IF(L92&gt;0,1,0))</f>
        <v/>
      </c>
    </row>
    <row r="123">
      <c r="A123" t="inlineStr">
        <is>
          <t xml:space="preserve">  Commercial, site, salons</t>
        </is>
      </c>
      <c r="B123" s="5">
        <f>SUM(C123:L123)</f>
        <v/>
      </c>
      <c r="C123" s="5">
        <f>-$B$85*C95*IF($C$85=1,C96,IF(C92&gt;0,1,0))</f>
        <v/>
      </c>
      <c r="D123" s="5">
        <f>-$B$85*D95*IF($C$85=1,D96,IF(D92&gt;0,1,0))</f>
        <v/>
      </c>
      <c r="E123" s="5">
        <f>-$B$85*E95*IF($C$85=1,E96,IF(E92&gt;0,1,0))</f>
        <v/>
      </c>
      <c r="F123" s="5">
        <f>-$B$85*F95*IF($C$85=1,F96,IF(F92&gt;0,1,0))</f>
        <v/>
      </c>
      <c r="G123" s="5">
        <f>-$B$85*G95*IF($C$85=1,G96,IF(G92&gt;0,1,0))</f>
        <v/>
      </c>
      <c r="H123" s="5">
        <f>-$B$85*H95*IF($C$85=1,H96,IF(H92&gt;0,1,0))</f>
        <v/>
      </c>
      <c r="I123" s="5">
        <f>-$B$85*I95*IF($C$85=1,I96,IF(I92&gt;0,1,0))</f>
        <v/>
      </c>
      <c r="J123" s="5">
        <f>-$B$85*J95*IF($C$85=1,J96,IF(J92&gt;0,1,0))</f>
        <v/>
      </c>
      <c r="K123" s="5">
        <f>-$B$85*K95*IF($C$85=1,K96,IF(K92&gt;0,1,0))</f>
        <v/>
      </c>
      <c r="L123" s="5">
        <f>-$B$85*L95*IF($C$85=1,L96,IF(L92&gt;0,1,0))</f>
        <v/>
      </c>
    </row>
    <row r="124">
      <c r="A124" t="inlineStr">
        <is>
          <t xml:space="preserve">  Comptabilité, juridique, banque, logiciels</t>
        </is>
      </c>
      <c r="B124" s="5">
        <f>SUM(C124:L124)</f>
        <v/>
      </c>
      <c r="C124" s="5">
        <f>-$B$86*C95*IF($C$86=1,C96,IF(C92&gt;0,1,0))</f>
        <v/>
      </c>
      <c r="D124" s="5">
        <f>-$B$86*D95*IF($C$86=1,D96,IF(D92&gt;0,1,0))</f>
        <v/>
      </c>
      <c r="E124" s="5">
        <f>-$B$86*E95*IF($C$86=1,E96,IF(E92&gt;0,1,0))</f>
        <v/>
      </c>
      <c r="F124" s="5">
        <f>-$B$86*F95*IF($C$86=1,F96,IF(F92&gt;0,1,0))</f>
        <v/>
      </c>
      <c r="G124" s="5">
        <f>-$B$86*G95*IF($C$86=1,G96,IF(G92&gt;0,1,0))</f>
        <v/>
      </c>
      <c r="H124" s="5">
        <f>-$B$86*H95*IF($C$86=1,H96,IF(H92&gt;0,1,0))</f>
        <v/>
      </c>
      <c r="I124" s="5">
        <f>-$B$86*I95*IF($C$86=1,I96,IF(I92&gt;0,1,0))</f>
        <v/>
      </c>
      <c r="J124" s="5">
        <f>-$B$86*J95*IF($C$86=1,J96,IF(J92&gt;0,1,0))</f>
        <v/>
      </c>
      <c r="K124" s="5">
        <f>-$B$86*K95*IF($C$86=1,K96,IF(K92&gt;0,1,0))</f>
        <v/>
      </c>
      <c r="L124" s="5">
        <f>-$B$86*L95*IF($C$86=1,L96,IF(L92&gt;0,1,0))</f>
        <v/>
      </c>
    </row>
    <row r="125">
      <c r="A125" t="inlineStr">
        <is>
          <t xml:space="preserve">  Rémunération du dirigeant (chargée)</t>
        </is>
      </c>
      <c r="B125" s="5">
        <f>SUM(C125:L125)</f>
        <v/>
      </c>
      <c r="C125" s="5">
        <f>-$B$87*C95*IF($C$87=1,C96,IF(C92&gt;0,1,0))</f>
        <v/>
      </c>
      <c r="D125" s="5">
        <f>-$B$87*D95*IF($C$87=1,D96,IF(D92&gt;0,1,0))</f>
        <v/>
      </c>
      <c r="E125" s="5">
        <f>-$B$87*E95*IF($C$87=1,E96,IF(E92&gt;0,1,0))</f>
        <v/>
      </c>
      <c r="F125" s="5">
        <f>-$B$87*F95*IF($C$87=1,F96,IF(F92&gt;0,1,0))</f>
        <v/>
      </c>
      <c r="G125" s="5">
        <f>-$B$87*G95*IF($C$87=1,G96,IF(G92&gt;0,1,0))</f>
        <v/>
      </c>
      <c r="H125" s="5">
        <f>-$B$87*H95*IF($C$87=1,H96,IF(H92&gt;0,1,0))</f>
        <v/>
      </c>
      <c r="I125" s="5">
        <f>-$B$87*I95*IF($C$87=1,I96,IF(I92&gt;0,1,0))</f>
        <v/>
      </c>
      <c r="J125" s="5">
        <f>-$B$87*J95*IF($C$87=1,J96,IF(J92&gt;0,1,0))</f>
        <v/>
      </c>
      <c r="K125" s="5">
        <f>-$B$87*K95*IF($C$87=1,K96,IF(K92&gt;0,1,0))</f>
        <v/>
      </c>
      <c r="L125" s="5">
        <f>-$B$87*L95*IF($C$87=1,L96,IF(L92&gt;0,1,0))</f>
        <v/>
      </c>
    </row>
    <row r="126">
      <c r="A126" s="4" t="inlineStr">
        <is>
          <t>Charges fixes totales</t>
        </is>
      </c>
      <c r="B126" s="18">
        <f>SUM(C126:L126)</f>
        <v/>
      </c>
      <c r="C126" s="18">
        <f>C114+C115+C116+C117+C118+C119+C120+C121+C122+C123+C124+C125</f>
        <v/>
      </c>
      <c r="D126" s="18">
        <f>D114+D115+D116+D117+D118+D119+D120+D121+D122+D123+D124+D125</f>
        <v/>
      </c>
      <c r="E126" s="18">
        <f>E114+E115+E116+E117+E118+E119+E120+E121+E122+E123+E124+E125</f>
        <v/>
      </c>
      <c r="F126" s="18">
        <f>F114+F115+F116+F117+F118+F119+F120+F121+F122+F123+F124+F125</f>
        <v/>
      </c>
      <c r="G126" s="18">
        <f>G114+G115+G116+G117+G118+G119+G120+G121+G122+G123+G124+G125</f>
        <v/>
      </c>
      <c r="H126" s="18">
        <f>H114+H115+H116+H117+H118+H119+H120+H121+H122+H123+H124+H125</f>
        <v/>
      </c>
      <c r="I126" s="18">
        <f>I114+I115+I116+I117+I118+I119+I120+I121+I122+I123+I124+I125</f>
        <v/>
      </c>
      <c r="J126" s="18">
        <f>J114+J115+J116+J117+J118+J119+J120+J121+J122+J123+J124+J125</f>
        <v/>
      </c>
      <c r="K126" s="18">
        <f>K114+K115+K116+K117+K118+K119+K120+K121+K122+K123+K124+K125</f>
        <v/>
      </c>
      <c r="L126" s="18">
        <f>L114+L115+L116+L117+L118+L119+L120+L121+L122+L123+L124+L125</f>
        <v/>
      </c>
    </row>
    <row r="127">
      <c r="A127" t="inlineStr">
        <is>
          <t>Loyer des murs (avant acquisition)</t>
        </is>
      </c>
      <c r="B127" s="5">
        <f>SUM(C127:L127)</f>
        <v/>
      </c>
      <c r="C127" s="5">
        <f>-IF(C96=0,IF(C$90&gt;=$B$6,$B$18*C95,0),0)</f>
        <v/>
      </c>
      <c r="D127" s="5">
        <f>-IF(D96=0,IF(D$90&gt;=$B$6,$B$18*D95,0),0)</f>
        <v/>
      </c>
      <c r="E127" s="5">
        <f>-IF(E96=0,IF(E$90&gt;=$B$6,$B$18*E95,0),0)</f>
        <v/>
      </c>
      <c r="F127" s="5">
        <f>-IF(F96=0,IF(F$90&gt;=$B$6,$B$18*F95,0),0)</f>
        <v/>
      </c>
      <c r="G127" s="5">
        <f>-IF(G96=0,IF(G$90&gt;=$B$6,$B$18*G95,0),0)</f>
        <v/>
      </c>
      <c r="H127" s="5">
        <f>-IF(H96=0,IF(H$90&gt;=$B$6,$B$18*H95,0),0)</f>
        <v/>
      </c>
      <c r="I127" s="5">
        <f>-IF(I96=0,IF(I$90&gt;=$B$6,$B$18*I95,0),0)</f>
        <v/>
      </c>
      <c r="J127" s="5">
        <f>-IF(J96=0,IF(J$90&gt;=$B$6,$B$18*J95,0),0)</f>
        <v/>
      </c>
      <c r="K127" s="5">
        <f>-IF(K96=0,IF(K$90&gt;=$B$6,$B$18*K95,0),0)</f>
        <v/>
      </c>
      <c r="L127" s="5">
        <f>-IF(L96=0,IF(L$90&gt;=$B$6,$B$18*L95,0),0)</f>
        <v/>
      </c>
    </row>
    <row r="128">
      <c r="A128" s="4" t="inlineStr">
        <is>
          <t>EBITDA</t>
        </is>
      </c>
      <c r="B128" s="18">
        <f>SUM(C128:L128)</f>
        <v/>
      </c>
      <c r="C128" s="18">
        <f>C113+C126+C127</f>
        <v/>
      </c>
      <c r="D128" s="18">
        <f>D113+D126+D127</f>
        <v/>
      </c>
      <c r="E128" s="18">
        <f>E113+E126+E127</f>
        <v/>
      </c>
      <c r="F128" s="18">
        <f>F113+F126+F127</f>
        <v/>
      </c>
      <c r="G128" s="18">
        <f>G113+G126+G127</f>
        <v/>
      </c>
      <c r="H128" s="18">
        <f>H113+H126+H127</f>
        <v/>
      </c>
      <c r="I128" s="18">
        <f>I113+I126+I127</f>
        <v/>
      </c>
      <c r="J128" s="18">
        <f>J113+J126+J127</f>
        <v/>
      </c>
      <c r="K128" s="18">
        <f>K113+K126+K127</f>
        <v/>
      </c>
      <c r="L128" s="18">
        <f>L113+L126+L127</f>
        <v/>
      </c>
    </row>
    <row r="129">
      <c r="A129" t="inlineStr">
        <is>
          <t>Loyer de la partie privée (payé par le fondateur, dès qu'il occupe les murs)</t>
        </is>
      </c>
      <c r="B129" s="5">
        <f>SUM(C129:L129)</f>
        <v/>
      </c>
      <c r="C129" s="5">
        <f>C96*$B$20*C95</f>
        <v/>
      </c>
      <c r="D129" s="5">
        <f>D96*$B$20*D95</f>
        <v/>
      </c>
      <c r="E129" s="5">
        <f>E96*$B$20*E95</f>
        <v/>
      </c>
      <c r="F129" s="5">
        <f>F96*$B$20*F95</f>
        <v/>
      </c>
      <c r="G129" s="5">
        <f>G96*$B$20*G95</f>
        <v/>
      </c>
      <c r="H129" s="5">
        <f>H96*$B$20*H95</f>
        <v/>
      </c>
      <c r="I129" s="5">
        <f>I96*$B$20*I95</f>
        <v/>
      </c>
      <c r="J129" s="5">
        <f>J96*$B$20*J95</f>
        <v/>
      </c>
      <c r="K129" s="5">
        <f>K96*$B$20*K95</f>
        <v/>
      </c>
      <c r="L129" s="5">
        <f>L96*$B$20*L95</f>
        <v/>
      </c>
    </row>
    <row r="130">
      <c r="A130" t="inlineStr">
        <is>
          <t xml:space="preserve">  Marge d'EBITDA</t>
        </is>
      </c>
      <c r="C130" s="6">
        <f>IF(C109=0,0,C128/C109)</f>
        <v/>
      </c>
      <c r="D130" s="6">
        <f>IF(D109=0,0,D128/D109)</f>
        <v/>
      </c>
      <c r="E130" s="6">
        <f>IF(E109=0,0,E128/E109)</f>
        <v/>
      </c>
      <c r="F130" s="6">
        <f>IF(F109=0,0,F128/F109)</f>
        <v/>
      </c>
      <c r="G130" s="6">
        <f>IF(G109=0,0,G128/G109)</f>
        <v/>
      </c>
      <c r="H130" s="6">
        <f>IF(H109=0,0,H128/H109)</f>
        <v/>
      </c>
      <c r="I130" s="6">
        <f>IF(I109=0,0,I128/I109)</f>
        <v/>
      </c>
      <c r="J130" s="6">
        <f>IF(J109=0,0,J128/J109)</f>
        <v/>
      </c>
      <c r="K130" s="6">
        <f>IF(K109=0,0,K128/K109)</f>
        <v/>
      </c>
      <c r="L130" s="6">
        <f>IF(L109=0,0,L128/L109)</f>
        <v/>
      </c>
    </row>
    <row r="131">
      <c r="A131" t="inlineStr">
        <is>
          <t>Travaux et équipements initiaux</t>
        </is>
      </c>
      <c r="B131" s="5">
        <f>SUM(C131:L131)</f>
        <v/>
      </c>
      <c r="C131" s="5">
        <f>($B$10+$B$11+$B$12)*$B$46*IF(C$90=$B$5,$B$13,IF(C$90=$B$5+1,$B$14,IF(C$90=$B$5+2,$B$15,0)))*C95</f>
        <v/>
      </c>
      <c r="D131" s="5">
        <f>($B$10+$B$11+$B$12)*$B$46*IF(D$90=$B$5,$B$13,IF(D$90=$B$5+1,$B$14,IF(D$90=$B$5+2,$B$15,0)))*D95</f>
        <v/>
      </c>
      <c r="E131" s="5">
        <f>($B$10+$B$11+$B$12)*$B$46*IF(E$90=$B$5,$B$13,IF(E$90=$B$5+1,$B$14,IF(E$90=$B$5+2,$B$15,0)))*E95</f>
        <v/>
      </c>
      <c r="F131" s="5">
        <f>($B$10+$B$11+$B$12)*$B$46*IF(F$90=$B$5,$B$13,IF(F$90=$B$5+1,$B$14,IF(F$90=$B$5+2,$B$15,0)))*F95</f>
        <v/>
      </c>
      <c r="G131" s="5">
        <f>($B$10+$B$11+$B$12)*$B$46*IF(G$90=$B$5,$B$13,IF(G$90=$B$5+1,$B$14,IF(G$90=$B$5+2,$B$15,0)))*G95</f>
        <v/>
      </c>
      <c r="H131" s="5">
        <f>($B$10+$B$11+$B$12)*$B$46*IF(H$90=$B$5,$B$13,IF(H$90=$B$5+1,$B$14,IF(H$90=$B$5+2,$B$15,0)))*H95</f>
        <v/>
      </c>
      <c r="I131" s="5">
        <f>($B$10+$B$11+$B$12)*$B$46*IF(I$90=$B$5,$B$13,IF(I$90=$B$5+1,$B$14,IF(I$90=$B$5+2,$B$15,0)))*I95</f>
        <v/>
      </c>
      <c r="J131" s="5">
        <f>($B$10+$B$11+$B$12)*$B$46*IF(J$90=$B$5,$B$13,IF(J$90=$B$5+1,$B$14,IF(J$90=$B$5+2,$B$15,0)))*J95</f>
        <v/>
      </c>
      <c r="K131" s="5">
        <f>($B$10+$B$11+$B$12)*$B$46*IF(K$90=$B$5,$B$13,IF(K$90=$B$5+1,$B$14,IF(K$90=$B$5+2,$B$15,0)))*K95</f>
        <v/>
      </c>
      <c r="L131" s="5">
        <f>($B$10+$B$11+$B$12)*$B$46*IF(L$90=$B$5,$B$13,IF(L$90=$B$5+1,$B$14,IF(L$90=$B$5+2,$B$15,0)))*L95</f>
        <v/>
      </c>
    </row>
    <row r="132">
      <c r="A132" t="inlineStr">
        <is>
          <t>Acquisition (prix + frais)</t>
        </is>
      </c>
      <c r="B132" s="5">
        <f>SUM(C132:L132)</f>
        <v/>
      </c>
      <c r="C132" s="5">
        <f>IF(C$90=$B$5,$B$7*(1+$B$8),0)</f>
        <v/>
      </c>
      <c r="D132" s="5">
        <f>IF(D$90=$B$5,$B$7*(1+$B$8),0)</f>
        <v/>
      </c>
      <c r="E132" s="5">
        <f>IF(E$90=$B$5,$B$7*(1+$B$8),0)</f>
        <v/>
      </c>
      <c r="F132" s="5">
        <f>IF(F$90=$B$5,$B$7*(1+$B$8),0)</f>
        <v/>
      </c>
      <c r="G132" s="5">
        <f>IF(G$90=$B$5,$B$7*(1+$B$8),0)</f>
        <v/>
      </c>
      <c r="H132" s="5">
        <f>IF(H$90=$B$5,$B$7*(1+$B$8),0)</f>
        <v/>
      </c>
      <c r="I132" s="5">
        <f>IF(I$90=$B$5,$B$7*(1+$B$8),0)</f>
        <v/>
      </c>
      <c r="J132" s="5">
        <f>IF(J$90=$B$5,$B$7*(1+$B$8),0)</f>
        <v/>
      </c>
      <c r="K132" s="5">
        <f>IF(K$90=$B$5,$B$7*(1+$B$8),0)</f>
        <v/>
      </c>
      <c r="L132" s="5">
        <f>IF(L$90=$B$5,$B$7*(1+$B$8),0)</f>
        <v/>
      </c>
    </row>
    <row r="133">
      <c r="A133" t="inlineStr">
        <is>
          <t>Gros entretien patrimonial récurrent</t>
        </is>
      </c>
      <c r="B133" s="5">
        <f>SUM(C133:L133)</f>
        <v/>
      </c>
      <c r="C133" s="5">
        <f>IF(C$90&gt;=$B$5+3,$B$16*($B$7+($B$10+$B$11+$B$12)*$B$46)*C95,0)</f>
        <v/>
      </c>
      <c r="D133" s="5">
        <f>IF(D$90&gt;=$B$5+3,$B$16*($B$7+($B$10+$B$11+$B$12)*$B$46)*D95,0)</f>
        <v/>
      </c>
      <c r="E133" s="5">
        <f>IF(E$90&gt;=$B$5+3,$B$16*($B$7+($B$10+$B$11+$B$12)*$B$46)*E95,0)</f>
        <v/>
      </c>
      <c r="F133" s="5">
        <f>IF(F$90&gt;=$B$5+3,$B$16*($B$7+($B$10+$B$11+$B$12)*$B$46)*F95,0)</f>
        <v/>
      </c>
      <c r="G133" s="5">
        <f>IF(G$90&gt;=$B$5+3,$B$16*($B$7+($B$10+$B$11+$B$12)*$B$46)*G95,0)</f>
        <v/>
      </c>
      <c r="H133" s="5">
        <f>IF(H$90&gt;=$B$5+3,$B$16*($B$7+($B$10+$B$11+$B$12)*$B$46)*H95,0)</f>
        <v/>
      </c>
      <c r="I133" s="5">
        <f>IF(I$90&gt;=$B$5+3,$B$16*($B$7+($B$10+$B$11+$B$12)*$B$46)*I95,0)</f>
        <v/>
      </c>
      <c r="J133" s="5">
        <f>IF(J$90&gt;=$B$5+3,$B$16*($B$7+($B$10+$B$11+$B$12)*$B$46)*J95,0)</f>
        <v/>
      </c>
      <c r="K133" s="5">
        <f>IF(K$90&gt;=$B$5+3,$B$16*($B$7+($B$10+$B$11+$B$12)*$B$46)*K95,0)</f>
        <v/>
      </c>
      <c r="L133" s="5">
        <f>IF(L$90&gt;=$B$5+3,$B$16*($B$7+($B$10+$B$11+$B$12)*$B$46)*L95,0)</f>
        <v/>
      </c>
    </row>
    <row r="134">
      <c r="A134" t="inlineStr">
        <is>
          <t>Investissements amortissables cumulés</t>
        </is>
      </c>
      <c r="C134" s="5">
        <f>C131+C133</f>
        <v/>
      </c>
      <c r="D134" s="5">
        <f>C134+D131+D133</f>
        <v/>
      </c>
      <c r="E134" s="5">
        <f>D134+E131+E133</f>
        <v/>
      </c>
      <c r="F134" s="5">
        <f>E134+F131+F133</f>
        <v/>
      </c>
      <c r="G134" s="5">
        <f>F134+G131+G133</f>
        <v/>
      </c>
      <c r="H134" s="5">
        <f>G134+H131+H133</f>
        <v/>
      </c>
      <c r="I134" s="5">
        <f>H134+I131+I133</f>
        <v/>
      </c>
      <c r="J134" s="5">
        <f>I134+J131+J133</f>
        <v/>
      </c>
      <c r="K134" s="5">
        <f>J134+K131+K133</f>
        <v/>
      </c>
      <c r="L134" s="5">
        <f>K134+L131+L133</f>
        <v/>
      </c>
    </row>
    <row r="135">
      <c r="A135" t="inlineStr">
        <is>
          <t>Dotations aux amortissements (bâti 30 ans, travaux 15 ans)</t>
        </is>
      </c>
      <c r="B135" s="5">
        <f>SUM(C135:L135)</f>
        <v/>
      </c>
      <c r="C135" s="5">
        <f>-(C96*$B$7*(1+$B$8)*$B$9/30+C134/15)</f>
        <v/>
      </c>
      <c r="D135" s="5">
        <f>-(D96*$B$7*(1+$B$8)*$B$9/30+D134/15)</f>
        <v/>
      </c>
      <c r="E135" s="5">
        <f>-(E96*$B$7*(1+$B$8)*$B$9/30+E134/15)</f>
        <v/>
      </c>
      <c r="F135" s="5">
        <f>-(F96*$B$7*(1+$B$8)*$B$9/30+F134/15)</f>
        <v/>
      </c>
      <c r="G135" s="5">
        <f>-(G96*$B$7*(1+$B$8)*$B$9/30+G134/15)</f>
        <v/>
      </c>
      <c r="H135" s="5">
        <f>-(H96*$B$7*(1+$B$8)*$B$9/30+H134/15)</f>
        <v/>
      </c>
      <c r="I135" s="5">
        <f>-(I96*$B$7*(1+$B$8)*$B$9/30+I134/15)</f>
        <v/>
      </c>
      <c r="J135" s="5">
        <f>-(J96*$B$7*(1+$B$8)*$B$9/30+J134/15)</f>
        <v/>
      </c>
      <c r="K135" s="5">
        <f>-(K96*$B$7*(1+$B$8)*$B$9/30+K134/15)</f>
        <v/>
      </c>
      <c r="L135" s="5">
        <f>-(L96*$B$7*(1+$B$8)*$B$9/30+L134/15)</f>
        <v/>
      </c>
    </row>
    <row r="136">
      <c r="A136" s="4" t="inlineStr">
        <is>
          <t>Résultat d'exploitation</t>
        </is>
      </c>
      <c r="B136" s="18">
        <f>SUM(C136:L136)</f>
        <v/>
      </c>
      <c r="C136" s="18">
        <f>C128+C135</f>
        <v/>
      </c>
      <c r="D136" s="18">
        <f>D128+D135</f>
        <v/>
      </c>
      <c r="E136" s="18">
        <f>E128+E135</f>
        <v/>
      </c>
      <c r="F136" s="18">
        <f>F128+F135</f>
        <v/>
      </c>
      <c r="G136" s="18">
        <f>G128+G135</f>
        <v/>
      </c>
      <c r="H136" s="18">
        <f>H128+H135</f>
        <v/>
      </c>
      <c r="I136" s="18">
        <f>I128+I135</f>
        <v/>
      </c>
      <c r="J136" s="18">
        <f>J128+J135</f>
        <v/>
      </c>
      <c r="K136" s="18">
        <f>K128+K135</f>
        <v/>
      </c>
      <c r="L136" s="18">
        <f>L128+L135</f>
        <v/>
      </c>
    </row>
    <row r="138">
      <c r="A138" s="4" t="inlineStr">
        <is>
          <t>Échéancier des emprunts</t>
        </is>
      </c>
    </row>
    <row r="139">
      <c r="A139" t="inlineStr">
        <is>
          <t>Taux bancaire effectif</t>
        </is>
      </c>
      <c r="C139" s="6">
        <f>$B$28+$B$48</f>
        <v/>
      </c>
      <c r="D139" s="6">
        <f>$B$28+$B$48</f>
        <v/>
      </c>
      <c r="E139" s="6">
        <f>$B$28+$B$48</f>
        <v/>
      </c>
      <c r="F139" s="6">
        <f>$B$28+$B$48</f>
        <v/>
      </c>
      <c r="G139" s="6">
        <f>$B$28+$B$48</f>
        <v/>
      </c>
      <c r="H139" s="6">
        <f>$B$28+$B$48</f>
        <v/>
      </c>
      <c r="I139" s="6">
        <f>$B$28+$B$48</f>
        <v/>
      </c>
      <c r="J139" s="6">
        <f>$B$28+$B$48</f>
        <v/>
      </c>
      <c r="K139" s="6">
        <f>$B$28+$B$48</f>
        <v/>
      </c>
      <c r="L139" s="6">
        <f>$B$28+$B$48</f>
        <v/>
      </c>
    </row>
    <row r="140">
      <c r="A140" t="inlineStr">
        <is>
          <t>Rang de l'année d'emprunt</t>
        </is>
      </c>
      <c r="C140" s="8">
        <f>MAX(0,C$90-$B$5+1)</f>
        <v/>
      </c>
      <c r="D140" s="8">
        <f>MAX(0,D$90-$B$5+1)</f>
        <v/>
      </c>
      <c r="E140" s="8">
        <f>MAX(0,E$90-$B$5+1)</f>
        <v/>
      </c>
      <c r="F140" s="8">
        <f>MAX(0,F$90-$B$5+1)</f>
        <v/>
      </c>
      <c r="G140" s="8">
        <f>MAX(0,G$90-$B$5+1)</f>
        <v/>
      </c>
      <c r="H140" s="8">
        <f>MAX(0,H$90-$B$5+1)</f>
        <v/>
      </c>
      <c r="I140" s="8">
        <f>MAX(0,I$90-$B$5+1)</f>
        <v/>
      </c>
      <c r="J140" s="8">
        <f>MAX(0,J$90-$B$5+1)</f>
        <v/>
      </c>
      <c r="K140" s="8">
        <f>MAX(0,K$90-$B$5+1)</f>
        <v/>
      </c>
      <c r="L140" s="8">
        <f>MAX(0,L$90-$B$5+1)</f>
        <v/>
      </c>
    </row>
    <row r="141">
      <c r="A141" t="inlineStr">
        <is>
          <t>Dette bancaire — capital début</t>
        </is>
      </c>
      <c r="C141" s="5">
        <f>IF(C140=1,$B$27,0)</f>
        <v/>
      </c>
      <c r="D141" s="5">
        <f>IF(D140=1,$B$27,C144)</f>
        <v/>
      </c>
      <c r="E141" s="5">
        <f>IF(E140=1,$B$27,D144)</f>
        <v/>
      </c>
      <c r="F141" s="5">
        <f>IF(F140=1,$B$27,E144)</f>
        <v/>
      </c>
      <c r="G141" s="5">
        <f>IF(G140=1,$B$27,F144)</f>
        <v/>
      </c>
      <c r="H141" s="5">
        <f>IF(H140=1,$B$27,G144)</f>
        <v/>
      </c>
      <c r="I141" s="5">
        <f>IF(I140=1,$B$27,H144)</f>
        <v/>
      </c>
      <c r="J141" s="5">
        <f>IF(J140=1,$B$27,I144)</f>
        <v/>
      </c>
      <c r="K141" s="5">
        <f>IF(K140=1,$B$27,J144)</f>
        <v/>
      </c>
      <c r="L141" s="5">
        <f>IF(L140=1,$B$27,K144)</f>
        <v/>
      </c>
    </row>
    <row r="142">
      <c r="A142" t="inlineStr">
        <is>
          <t xml:space="preserve">  Intérêts</t>
        </is>
      </c>
      <c r="B142" s="5">
        <f>SUM(C142:L142)</f>
        <v/>
      </c>
      <c r="C142" s="5">
        <f>C141*C139</f>
        <v/>
      </c>
      <c r="D142" s="5">
        <f>D141*D139</f>
        <v/>
      </c>
      <c r="E142" s="5">
        <f>E141*E139</f>
        <v/>
      </c>
      <c r="F142" s="5">
        <f>F141*F139</f>
        <v/>
      </c>
      <c r="G142" s="5">
        <f>G141*G139</f>
        <v/>
      </c>
      <c r="H142" s="5">
        <f>H141*H139</f>
        <v/>
      </c>
      <c r="I142" s="5">
        <f>I141*I139</f>
        <v/>
      </c>
      <c r="J142" s="5">
        <f>J141*J139</f>
        <v/>
      </c>
      <c r="K142" s="5">
        <f>K141*K139</f>
        <v/>
      </c>
      <c r="L142" s="5">
        <f>L141*L139</f>
        <v/>
      </c>
    </row>
    <row r="143">
      <c r="A143" t="inlineStr">
        <is>
          <t xml:space="preserve">  Amortissement du capital</t>
        </is>
      </c>
      <c r="B143" s="5">
        <f>SUM(C143:L143)</f>
        <v/>
      </c>
      <c r="C143" s="5">
        <f>IF(OR(C140=0,C140&lt;=$B$30,C141&lt;=0),0,MIN(C141,PMT(C139,$B$29-$B$30,-$B$27)-C142))</f>
        <v/>
      </c>
      <c r="D143" s="5">
        <f>IF(OR(D140=0,D140&lt;=$B$30,D141&lt;=0),0,MIN(D141,PMT(D139,$B$29-$B$30,-$B$27)-D142))</f>
        <v/>
      </c>
      <c r="E143" s="5">
        <f>IF(OR(E140=0,E140&lt;=$B$30,E141&lt;=0),0,MIN(E141,PMT(E139,$B$29-$B$30,-$B$27)-E142))</f>
        <v/>
      </c>
      <c r="F143" s="5">
        <f>IF(OR(F140=0,F140&lt;=$B$30,F141&lt;=0),0,MIN(F141,PMT(F139,$B$29-$B$30,-$B$27)-F142))</f>
        <v/>
      </c>
      <c r="G143" s="5">
        <f>IF(OR(G140=0,G140&lt;=$B$30,G141&lt;=0),0,MIN(G141,PMT(G139,$B$29-$B$30,-$B$27)-G142))</f>
        <v/>
      </c>
      <c r="H143" s="5">
        <f>IF(OR(H140=0,H140&lt;=$B$30,H141&lt;=0),0,MIN(H141,PMT(H139,$B$29-$B$30,-$B$27)-H142))</f>
        <v/>
      </c>
      <c r="I143" s="5">
        <f>IF(OR(I140=0,I140&lt;=$B$30,I141&lt;=0),0,MIN(I141,PMT(I139,$B$29-$B$30,-$B$27)-I142))</f>
        <v/>
      </c>
      <c r="J143" s="5">
        <f>IF(OR(J140=0,J140&lt;=$B$30,J141&lt;=0),0,MIN(J141,PMT(J139,$B$29-$B$30,-$B$27)-J142))</f>
        <v/>
      </c>
      <c r="K143" s="5">
        <f>IF(OR(K140=0,K140&lt;=$B$30,K141&lt;=0),0,MIN(K141,PMT(K139,$B$29-$B$30,-$B$27)-K142))</f>
        <v/>
      </c>
      <c r="L143" s="5">
        <f>IF(OR(L140=0,L140&lt;=$B$30,L141&lt;=0),0,MIN(L141,PMT(L139,$B$29-$B$30,-$B$27)-L142))</f>
        <v/>
      </c>
    </row>
    <row r="144">
      <c r="A144" t="inlineStr">
        <is>
          <t>Dette bancaire — capital fin</t>
        </is>
      </c>
      <c r="C144" s="5">
        <f>C141-C143</f>
        <v/>
      </c>
      <c r="D144" s="5">
        <f>D141-D143</f>
        <v/>
      </c>
      <c r="E144" s="5">
        <f>E141-E143</f>
        <v/>
      </c>
      <c r="F144" s="5">
        <f>F141-F143</f>
        <v/>
      </c>
      <c r="G144" s="5">
        <f>G141-G143</f>
        <v/>
      </c>
      <c r="H144" s="5">
        <f>H141-H143</f>
        <v/>
      </c>
      <c r="I144" s="5">
        <f>I141-I143</f>
        <v/>
      </c>
      <c r="J144" s="5">
        <f>J141-J143</f>
        <v/>
      </c>
      <c r="K144" s="5">
        <f>K141-K143</f>
        <v/>
      </c>
      <c r="L144" s="5">
        <f>L141-L143</f>
        <v/>
      </c>
    </row>
    <row r="145">
      <c r="A145" t="inlineStr">
        <is>
          <t>Crédit-vendeur — capital début</t>
        </is>
      </c>
      <c r="C145" s="5">
        <f>IF(C140=1,$B$31,0)</f>
        <v/>
      </c>
      <c r="D145" s="5">
        <f>IF(D140=1,$B$31,C148)</f>
        <v/>
      </c>
      <c r="E145" s="5">
        <f>IF(E140=1,$B$31,D148)</f>
        <v/>
      </c>
      <c r="F145" s="5">
        <f>IF(F140=1,$B$31,E148)</f>
        <v/>
      </c>
      <c r="G145" s="5">
        <f>IF(G140=1,$B$31,F148)</f>
        <v/>
      </c>
      <c r="H145" s="5">
        <f>IF(H140=1,$B$31,G148)</f>
        <v/>
      </c>
      <c r="I145" s="5">
        <f>IF(I140=1,$B$31,H148)</f>
        <v/>
      </c>
      <c r="J145" s="5">
        <f>IF(J140=1,$B$31,I148)</f>
        <v/>
      </c>
      <c r="K145" s="5">
        <f>IF(K140=1,$B$31,J148)</f>
        <v/>
      </c>
      <c r="L145" s="5">
        <f>IF(L140=1,$B$31,K148)</f>
        <v/>
      </c>
    </row>
    <row r="146">
      <c r="A146" t="inlineStr">
        <is>
          <t xml:space="preserve">  Intérêts crédit-vendeur</t>
        </is>
      </c>
      <c r="B146" s="5">
        <f>SUM(C146:L146)</f>
        <v/>
      </c>
      <c r="C146" s="5">
        <f>C145*$B$32</f>
        <v/>
      </c>
      <c r="D146" s="5">
        <f>D145*$B$32</f>
        <v/>
      </c>
      <c r="E146" s="5">
        <f>E145*$B$32</f>
        <v/>
      </c>
      <c r="F146" s="5">
        <f>F145*$B$32</f>
        <v/>
      </c>
      <c r="G146" s="5">
        <f>G145*$B$32</f>
        <v/>
      </c>
      <c r="H146" s="5">
        <f>H145*$B$32</f>
        <v/>
      </c>
      <c r="I146" s="5">
        <f>I145*$B$32</f>
        <v/>
      </c>
      <c r="J146" s="5">
        <f>J145*$B$32</f>
        <v/>
      </c>
      <c r="K146" s="5">
        <f>K145*$B$32</f>
        <v/>
      </c>
      <c r="L146" s="5">
        <f>L145*$B$32</f>
        <v/>
      </c>
    </row>
    <row r="147">
      <c r="A147" t="inlineStr">
        <is>
          <t xml:space="preserve">  Amortissement crédit-vendeur</t>
        </is>
      </c>
      <c r="B147" s="5">
        <f>SUM(C147:L147)</f>
        <v/>
      </c>
      <c r="C147" s="5">
        <f>IF(OR(C140=0,C145&lt;=0),0,MIN(C145,IF($B$32=0,$B$31/$B$33,PMT($B$32,$B$33,-$B$31)-C146)))</f>
        <v/>
      </c>
      <c r="D147" s="5">
        <f>IF(OR(D140=0,D145&lt;=0),0,MIN(D145,IF($B$32=0,$B$31/$B$33,PMT($B$32,$B$33,-$B$31)-D146)))</f>
        <v/>
      </c>
      <c r="E147" s="5">
        <f>IF(OR(E140=0,E145&lt;=0),0,MIN(E145,IF($B$32=0,$B$31/$B$33,PMT($B$32,$B$33,-$B$31)-E146)))</f>
        <v/>
      </c>
      <c r="F147" s="5">
        <f>IF(OR(F140=0,F145&lt;=0),0,MIN(F145,IF($B$32=0,$B$31/$B$33,PMT($B$32,$B$33,-$B$31)-F146)))</f>
        <v/>
      </c>
      <c r="G147" s="5">
        <f>IF(OR(G140=0,G145&lt;=0),0,MIN(G145,IF($B$32=0,$B$31/$B$33,PMT($B$32,$B$33,-$B$31)-G146)))</f>
        <v/>
      </c>
      <c r="H147" s="5">
        <f>IF(OR(H140=0,H145&lt;=0),0,MIN(H145,IF($B$32=0,$B$31/$B$33,PMT($B$32,$B$33,-$B$31)-H146)))</f>
        <v/>
      </c>
      <c r="I147" s="5">
        <f>IF(OR(I140=0,I145&lt;=0),0,MIN(I145,IF($B$32=0,$B$31/$B$33,PMT($B$32,$B$33,-$B$31)-I146)))</f>
        <v/>
      </c>
      <c r="J147" s="5">
        <f>IF(OR(J140=0,J145&lt;=0),0,MIN(J145,IF($B$32=0,$B$31/$B$33,PMT($B$32,$B$33,-$B$31)-J146)))</f>
        <v/>
      </c>
      <c r="K147" s="5">
        <f>IF(OR(K140=0,K145&lt;=0),0,MIN(K145,IF($B$32=0,$B$31/$B$33,PMT($B$32,$B$33,-$B$31)-K146)))</f>
        <v/>
      </c>
      <c r="L147" s="5">
        <f>IF(OR(L140=0,L145&lt;=0),0,MIN(L145,IF($B$32=0,$B$31/$B$33,PMT($B$32,$B$33,-$B$31)-L146)))</f>
        <v/>
      </c>
    </row>
    <row r="148">
      <c r="A148" t="inlineStr">
        <is>
          <t>Crédit-vendeur — capital fin</t>
        </is>
      </c>
      <c r="C148" s="5">
        <f>C145-C147</f>
        <v/>
      </c>
      <c r="D148" s="5">
        <f>D145-D147</f>
        <v/>
      </c>
      <c r="E148" s="5">
        <f>E145-E147</f>
        <v/>
      </c>
      <c r="F148" s="5">
        <f>F145-F147</f>
        <v/>
      </c>
      <c r="G148" s="5">
        <f>G145-G147</f>
        <v/>
      </c>
      <c r="H148" s="5">
        <f>H145-H147</f>
        <v/>
      </c>
      <c r="I148" s="5">
        <f>I145-I147</f>
        <v/>
      </c>
      <c r="J148" s="5">
        <f>J145-J147</f>
        <v/>
      </c>
      <c r="K148" s="5">
        <f>K145-K147</f>
        <v/>
      </c>
      <c r="L148" s="5">
        <f>L145-L147</f>
        <v/>
      </c>
    </row>
    <row r="149">
      <c r="A149" t="inlineStr">
        <is>
          <t>Obligations — encours</t>
        </is>
      </c>
      <c r="C149" s="5">
        <f>IF(AND(C$90&gt;=$B$5,C$90&lt;=$B$36),$B$34,0)</f>
        <v/>
      </c>
      <c r="D149" s="5">
        <f>IF(AND(D$90&gt;=$B$5,D$90&lt;=$B$36),$B$34,0)</f>
        <v/>
      </c>
      <c r="E149" s="5">
        <f>IF(AND(E$90&gt;=$B$5,E$90&lt;=$B$36),$B$34,0)</f>
        <v/>
      </c>
      <c r="F149" s="5">
        <f>IF(AND(F$90&gt;=$B$5,F$90&lt;=$B$36),$B$34,0)</f>
        <v/>
      </c>
      <c r="G149" s="5">
        <f>IF(AND(G$90&gt;=$B$5,G$90&lt;=$B$36),$B$34,0)</f>
        <v/>
      </c>
      <c r="H149" s="5">
        <f>IF(AND(H$90&gt;=$B$5,H$90&lt;=$B$36),$B$34,0)</f>
        <v/>
      </c>
      <c r="I149" s="5">
        <f>IF(AND(I$90&gt;=$B$5,I$90&lt;=$B$36),$B$34,0)</f>
        <v/>
      </c>
      <c r="J149" s="5">
        <f>IF(AND(J$90&gt;=$B$5,J$90&lt;=$B$36),$B$34,0)</f>
        <v/>
      </c>
      <c r="K149" s="5">
        <f>IF(AND(K$90&gt;=$B$5,K$90&lt;=$B$36),$B$34,0)</f>
        <v/>
      </c>
      <c r="L149" s="5">
        <f>IF(AND(L$90&gt;=$B$5,L$90&lt;=$B$36),$B$34,0)</f>
        <v/>
      </c>
    </row>
    <row r="150">
      <c r="A150" t="inlineStr">
        <is>
          <t xml:space="preserve">  Coupons obligataires</t>
        </is>
      </c>
      <c r="B150" s="5">
        <f>SUM(C150:L150)</f>
        <v/>
      </c>
      <c r="C150" s="5">
        <f>C149*$B$35</f>
        <v/>
      </c>
      <c r="D150" s="5">
        <f>D149*$B$35</f>
        <v/>
      </c>
      <c r="E150" s="5">
        <f>E149*$B$35</f>
        <v/>
      </c>
      <c r="F150" s="5">
        <f>F149*$B$35</f>
        <v/>
      </c>
      <c r="G150" s="5">
        <f>G149*$B$35</f>
        <v/>
      </c>
      <c r="H150" s="5">
        <f>H149*$B$35</f>
        <v/>
      </c>
      <c r="I150" s="5">
        <f>I149*$B$35</f>
        <v/>
      </c>
      <c r="J150" s="5">
        <f>J149*$B$35</f>
        <v/>
      </c>
      <c r="K150" s="5">
        <f>K149*$B$35</f>
        <v/>
      </c>
      <c r="L150" s="5">
        <f>L149*$B$35</f>
        <v/>
      </c>
    </row>
    <row r="151">
      <c r="A151" t="inlineStr">
        <is>
          <t xml:space="preserve">  Remboursement obligations</t>
        </is>
      </c>
      <c r="B151" s="5">
        <f>SUM(C151:L151)</f>
        <v/>
      </c>
      <c r="C151" s="5">
        <f>IF(C$90=$B$36,$B$34,0)</f>
        <v/>
      </c>
      <c r="D151" s="5">
        <f>IF(D$90=$B$36,$B$34,0)</f>
        <v/>
      </c>
      <c r="E151" s="5">
        <f>IF(E$90=$B$36,$B$34,0)</f>
        <v/>
      </c>
      <c r="F151" s="5">
        <f>IF(F$90=$B$36,$B$34,0)</f>
        <v/>
      </c>
      <c r="G151" s="5">
        <f>IF(G$90=$B$36,$B$34,0)</f>
        <v/>
      </c>
      <c r="H151" s="5">
        <f>IF(H$90=$B$36,$B$34,0)</f>
        <v/>
      </c>
      <c r="I151" s="5">
        <f>IF(I$90=$B$36,$B$34,0)</f>
        <v/>
      </c>
      <c r="J151" s="5">
        <f>IF(J$90=$B$36,$B$34,0)</f>
        <v/>
      </c>
      <c r="K151" s="5">
        <f>IF(K$90=$B$36,$B$34,0)</f>
        <v/>
      </c>
      <c r="L151" s="5">
        <f>IF(L$90=$B$36,$B$34,0)</f>
        <v/>
      </c>
    </row>
    <row r="153">
      <c r="A153" t="inlineStr">
        <is>
          <t>Charges financières</t>
        </is>
      </c>
      <c r="B153" s="5">
        <f>SUM(C153:L153)</f>
        <v/>
      </c>
      <c r="C153" s="5">
        <f>-(C142+C146+C150)</f>
        <v/>
      </c>
      <c r="D153" s="5">
        <f>-(D142+D146+D150)</f>
        <v/>
      </c>
      <c r="E153" s="5">
        <f>-(E142+E146+E150)</f>
        <v/>
      </c>
      <c r="F153" s="5">
        <f>-(F142+F146+F150)</f>
        <v/>
      </c>
      <c r="G153" s="5">
        <f>-(G142+G146+G150)</f>
        <v/>
      </c>
      <c r="H153" s="5">
        <f>-(H142+H146+H150)</f>
        <v/>
      </c>
      <c r="I153" s="5">
        <f>-(I142+I146+I150)</f>
        <v/>
      </c>
      <c r="J153" s="5">
        <f>-(J142+J146+J150)</f>
        <v/>
      </c>
      <c r="K153" s="5">
        <f>-(K142+K146+K150)</f>
        <v/>
      </c>
      <c r="L153" s="5">
        <f>-(L142+L146+L150)</f>
        <v/>
      </c>
    </row>
    <row r="154">
      <c r="A154" s="4" t="inlineStr">
        <is>
          <t>Résultat avant impôt</t>
        </is>
      </c>
      <c r="B154" s="18">
        <f>SUM(C154:L154)</f>
        <v/>
      </c>
      <c r="C154" s="18">
        <f>C136+C153+C129</f>
        <v/>
      </c>
      <c r="D154" s="18">
        <f>D136+D153+D129</f>
        <v/>
      </c>
      <c r="E154" s="18">
        <f>E136+E153+E129</f>
        <v/>
      </c>
      <c r="F154" s="18">
        <f>F136+F153+F129</f>
        <v/>
      </c>
      <c r="G154" s="18">
        <f>G136+G153+G129</f>
        <v/>
      </c>
      <c r="H154" s="18">
        <f>H136+H153+H129</f>
        <v/>
      </c>
      <c r="I154" s="18">
        <f>I136+I153+I129</f>
        <v/>
      </c>
      <c r="J154" s="18">
        <f>J136+J153+J129</f>
        <v/>
      </c>
      <c r="K154" s="18">
        <f>K136+K153+K129</f>
        <v/>
      </c>
      <c r="L154" s="18">
        <f>L136+L153+L129</f>
        <v/>
      </c>
    </row>
    <row r="155">
      <c r="A155" t="inlineStr">
        <is>
          <t>Stock de déficits reportables (fin d'année)</t>
        </is>
      </c>
      <c r="C155" s="5">
        <f>MAX(0,-C154)</f>
        <v/>
      </c>
      <c r="D155" s="5">
        <f>MAX(0,C155-D154)</f>
        <v/>
      </c>
      <c r="E155" s="5">
        <f>MAX(0,D155-E154)</f>
        <v/>
      </c>
      <c r="F155" s="5">
        <f>MAX(0,E155-F154)</f>
        <v/>
      </c>
      <c r="G155" s="5">
        <f>MAX(0,F155-G154)</f>
        <v/>
      </c>
      <c r="H155" s="5">
        <f>MAX(0,G155-H154)</f>
        <v/>
      </c>
      <c r="I155" s="5">
        <f>MAX(0,H155-I154)</f>
        <v/>
      </c>
      <c r="J155" s="5">
        <f>MAX(0,I155-J154)</f>
        <v/>
      </c>
      <c r="K155" s="5">
        <f>MAX(0,J155-K154)</f>
        <v/>
      </c>
      <c r="L155" s="5">
        <f>MAX(0,K155-L154)</f>
        <v/>
      </c>
    </row>
    <row r="156">
      <c r="A156" t="inlineStr">
        <is>
          <t>Impôt sur les sociétés</t>
        </is>
      </c>
      <c r="B156" s="5">
        <f>SUM(C156:L156)</f>
        <v/>
      </c>
      <c r="C156" s="5">
        <f>-MAX(0,C154)*$B$59</f>
        <v/>
      </c>
      <c r="D156" s="5">
        <f>-MAX(0,D154-C155)*$B$59</f>
        <v/>
      </c>
      <c r="E156" s="5">
        <f>-MAX(0,E154-D155)*$B$59</f>
        <v/>
      </c>
      <c r="F156" s="5">
        <f>-MAX(0,F154-E155)*$B$59</f>
        <v/>
      </c>
      <c r="G156" s="5">
        <f>-MAX(0,G154-F155)*$B$59</f>
        <v/>
      </c>
      <c r="H156" s="5">
        <f>-MAX(0,H154-G155)*$B$59</f>
        <v/>
      </c>
      <c r="I156" s="5">
        <f>-MAX(0,I154-H155)*$B$59</f>
        <v/>
      </c>
      <c r="J156" s="5">
        <f>-MAX(0,J154-I155)*$B$59</f>
        <v/>
      </c>
      <c r="K156" s="5">
        <f>-MAX(0,K154-J155)*$B$59</f>
        <v/>
      </c>
      <c r="L156" s="5">
        <f>-MAX(0,L154-K155)*$B$59</f>
        <v/>
      </c>
    </row>
    <row r="157">
      <c r="A157" s="4" t="inlineStr">
        <is>
          <t>Résultat net</t>
        </is>
      </c>
      <c r="B157" s="18">
        <f>SUM(C157:L157)</f>
        <v/>
      </c>
      <c r="C157" s="18">
        <f>C154+C156</f>
        <v/>
      </c>
      <c r="D157" s="18">
        <f>D154+D156</f>
        <v/>
      </c>
      <c r="E157" s="18">
        <f>E154+E156</f>
        <v/>
      </c>
      <c r="F157" s="18">
        <f>F154+F156</f>
        <v/>
      </c>
      <c r="G157" s="18">
        <f>G154+G156</f>
        <v/>
      </c>
      <c r="H157" s="18">
        <f>H154+H156</f>
        <v/>
      </c>
      <c r="I157" s="18">
        <f>I154+I156</f>
        <v/>
      </c>
      <c r="J157" s="18">
        <f>J154+J156</f>
        <v/>
      </c>
      <c r="K157" s="18">
        <f>K154+K156</f>
        <v/>
      </c>
      <c r="L157" s="18">
        <f>L154+L156</f>
        <v/>
      </c>
    </row>
    <row r="159">
      <c r="A159" s="4" t="inlineStr">
        <is>
          <t>Tableau des flux de trésorerie</t>
        </is>
      </c>
    </row>
    <row r="160">
      <c r="A160" t="inlineStr">
        <is>
          <t>BFR (niveau)</t>
        </is>
      </c>
      <c r="C160" s="5">
        <f>C109*$B$58</f>
        <v/>
      </c>
      <c r="D160" s="5">
        <f>D109*$B$58</f>
        <v/>
      </c>
      <c r="E160" s="5">
        <f>E109*$B$58</f>
        <v/>
      </c>
      <c r="F160" s="5">
        <f>F109*$B$58</f>
        <v/>
      </c>
      <c r="G160" s="5">
        <f>G109*$B$58</f>
        <v/>
      </c>
      <c r="H160" s="5">
        <f>H109*$B$58</f>
        <v/>
      </c>
      <c r="I160" s="5">
        <f>I109*$B$58</f>
        <v/>
      </c>
      <c r="J160" s="5">
        <f>J109*$B$58</f>
        <v/>
      </c>
      <c r="K160" s="5">
        <f>K109*$B$58</f>
        <v/>
      </c>
      <c r="L160" s="5">
        <f>L109*$B$58</f>
        <v/>
      </c>
    </row>
    <row r="161">
      <c r="A161" t="inlineStr">
        <is>
          <t>Variation du BFR</t>
        </is>
      </c>
      <c r="B161" s="5">
        <f>SUM(C161:L161)</f>
        <v/>
      </c>
      <c r="C161" s="5">
        <f>-C160</f>
        <v/>
      </c>
      <c r="D161" s="5">
        <f>-(D160-C160)</f>
        <v/>
      </c>
      <c r="E161" s="5">
        <f>-(E160-D160)</f>
        <v/>
      </c>
      <c r="F161" s="5">
        <f>-(F160-E160)</f>
        <v/>
      </c>
      <c r="G161" s="5">
        <f>-(G160-F160)</f>
        <v/>
      </c>
      <c r="H161" s="5">
        <f>-(H160-G160)</f>
        <v/>
      </c>
      <c r="I161" s="5">
        <f>-(I160-H160)</f>
        <v/>
      </c>
      <c r="J161" s="5">
        <f>-(J160-I160)</f>
        <v/>
      </c>
      <c r="K161" s="5">
        <f>-(K160-J160)</f>
        <v/>
      </c>
      <c r="L161" s="5">
        <f>-(L160-K160)</f>
        <v/>
      </c>
    </row>
    <row r="162">
      <c r="A162" s="4" t="inlineStr">
        <is>
          <t>Flux d'exploitation (EBITDA + loyer privé − IS − ΔBFR)</t>
        </is>
      </c>
      <c r="B162" s="18">
        <f>SUM(C162:L162)</f>
        <v/>
      </c>
      <c r="C162" s="18">
        <f>C128+C129+C156+C161</f>
        <v/>
      </c>
      <c r="D162" s="18">
        <f>D128+D129+D156+D161</f>
        <v/>
      </c>
      <c r="E162" s="18">
        <f>E128+E129+E156+E161</f>
        <v/>
      </c>
      <c r="F162" s="18">
        <f>F128+F129+F156+F161</f>
        <v/>
      </c>
      <c r="G162" s="18">
        <f>G128+G129+G156+G161</f>
        <v/>
      </c>
      <c r="H162" s="18">
        <f>H128+H129+H156+H161</f>
        <v/>
      </c>
      <c r="I162" s="18">
        <f>I128+I129+I156+I161</f>
        <v/>
      </c>
      <c r="J162" s="18">
        <f>J128+J129+J156+J161</f>
        <v/>
      </c>
      <c r="K162" s="18">
        <f>K128+K129+K156+K161</f>
        <v/>
      </c>
      <c r="L162" s="18">
        <f>L128+L129+L156+L161</f>
        <v/>
      </c>
    </row>
    <row r="163">
      <c r="A163" s="4" t="inlineStr">
        <is>
          <t>Flux d'investissement</t>
        </is>
      </c>
      <c r="B163" s="18">
        <f>SUM(C163:L163)</f>
        <v/>
      </c>
      <c r="C163" s="18">
        <f>-(C132+C131+C133)</f>
        <v/>
      </c>
      <c r="D163" s="18">
        <f>-(D132+D131+D133)</f>
        <v/>
      </c>
      <c r="E163" s="18">
        <f>-(E132+E131+E133)</f>
        <v/>
      </c>
      <c r="F163" s="18">
        <f>-(F132+F131+F133)</f>
        <v/>
      </c>
      <c r="G163" s="18">
        <f>-(G132+G131+G133)</f>
        <v/>
      </c>
      <c r="H163" s="18">
        <f>-(H132+H131+H133)</f>
        <v/>
      </c>
      <c r="I163" s="18">
        <f>-(I132+I131+I133)</f>
        <v/>
      </c>
      <c r="J163" s="18">
        <f>-(J132+J131+J133)</f>
        <v/>
      </c>
      <c r="K163" s="18">
        <f>-(K132+K131+K133)</f>
        <v/>
      </c>
      <c r="L163" s="18">
        <f>-(L132+L131+L133)</f>
        <v/>
      </c>
    </row>
    <row r="164">
      <c r="A164" t="inlineStr">
        <is>
          <t xml:space="preserve">  Apports en fonds propres + subventions</t>
        </is>
      </c>
      <c r="B164" s="5">
        <f>SUM(C164:L164)</f>
        <v/>
      </c>
      <c r="C164" s="5">
        <f>IF(C$90=1,$B$23,0)+IF(C$90=$B$5,$B$24*(1-$B$49)+$B$26,0)</f>
        <v/>
      </c>
      <c r="D164" s="5">
        <f>IF(D$90=1,$B$23,0)+IF(D$90=$B$5,$B$24*(1-$B$49)+$B$26,0)</f>
        <v/>
      </c>
      <c r="E164" s="5">
        <f>IF(E$90=1,$B$23,0)+IF(E$90=$B$5,$B$24*(1-$B$49)+$B$26,0)</f>
        <v/>
      </c>
      <c r="F164" s="5">
        <f>IF(F$90=1,$B$23,0)+IF(F$90=$B$5,$B$24*(1-$B$49)+$B$26,0)</f>
        <v/>
      </c>
      <c r="G164" s="5">
        <f>IF(G$90=1,$B$23,0)+IF(G$90=$B$5,$B$24*(1-$B$49)+$B$26,0)</f>
        <v/>
      </c>
      <c r="H164" s="5">
        <f>IF(H$90=1,$B$23,0)+IF(H$90=$B$5,$B$24*(1-$B$49)+$B$26,0)</f>
        <v/>
      </c>
      <c r="I164" s="5">
        <f>IF(I$90=1,$B$23,0)+IF(I$90=$B$5,$B$24*(1-$B$49)+$B$26,0)</f>
        <v/>
      </c>
      <c r="J164" s="5">
        <f>IF(J$90=1,$B$23,0)+IF(J$90=$B$5,$B$24*(1-$B$49)+$B$26,0)</f>
        <v/>
      </c>
      <c r="K164" s="5">
        <f>IF(K$90=1,$B$23,0)+IF(K$90=$B$5,$B$24*(1-$B$49)+$B$26,0)</f>
        <v/>
      </c>
      <c r="L164" s="5">
        <f>IF(L$90=1,$B$23,0)+IF(L$90=$B$5,$B$24*(1-$B$49)+$B$26,0)</f>
        <v/>
      </c>
    </row>
    <row r="165">
      <c r="A165" t="inlineStr">
        <is>
          <t xml:space="preserve">  Tirages dette + crédit-vendeur + obligations</t>
        </is>
      </c>
      <c r="B165" s="5">
        <f>SUM(C165:L165)</f>
        <v/>
      </c>
      <c r="C165" s="5">
        <f>IF(C$90=$B$5,$B$27+$B$31+$B$34,0)</f>
        <v/>
      </c>
      <c r="D165" s="5">
        <f>IF(D$90=$B$5,$B$27+$B$31+$B$34,0)</f>
        <v/>
      </c>
      <c r="E165" s="5">
        <f>IF(E$90=$B$5,$B$27+$B$31+$B$34,0)</f>
        <v/>
      </c>
      <c r="F165" s="5">
        <f>IF(F$90=$B$5,$B$27+$B$31+$B$34,0)</f>
        <v/>
      </c>
      <c r="G165" s="5">
        <f>IF(G$90=$B$5,$B$27+$B$31+$B$34,0)</f>
        <v/>
      </c>
      <c r="H165" s="5">
        <f>IF(H$90=$B$5,$B$27+$B$31+$B$34,0)</f>
        <v/>
      </c>
      <c r="I165" s="5">
        <f>IF(I$90=$B$5,$B$27+$B$31+$B$34,0)</f>
        <v/>
      </c>
      <c r="J165" s="5">
        <f>IF(J$90=$B$5,$B$27+$B$31+$B$34,0)</f>
        <v/>
      </c>
      <c r="K165" s="5">
        <f>IF(K$90=$B$5,$B$27+$B$31+$B$34,0)</f>
        <v/>
      </c>
      <c r="L165" s="5">
        <f>IF(L$90=$B$5,$B$27+$B$31+$B$34,0)</f>
        <v/>
      </c>
    </row>
    <row r="166">
      <c r="A166" t="inlineStr">
        <is>
          <t xml:space="preserve">  Service de la dette (intérêts + capital + coupons + rembt obligations)</t>
        </is>
      </c>
      <c r="B166" s="5">
        <f>SUM(C166:L166)</f>
        <v/>
      </c>
      <c r="C166" s="5">
        <f>-(C142+C143+C146+C147+C150+C151)</f>
        <v/>
      </c>
      <c r="D166" s="5">
        <f>-(D142+D143+D146+D147+D150+D151)</f>
        <v/>
      </c>
      <c r="E166" s="5">
        <f>-(E142+E143+E146+E147+E150+E151)</f>
        <v/>
      </c>
      <c r="F166" s="5">
        <f>-(F142+F143+F146+F147+F150+F151)</f>
        <v/>
      </c>
      <c r="G166" s="5">
        <f>-(G142+G143+G146+G147+G150+G151)</f>
        <v/>
      </c>
      <c r="H166" s="5">
        <f>-(H142+H143+H146+H147+H150+H151)</f>
        <v/>
      </c>
      <c r="I166" s="5">
        <f>-(I142+I143+I146+I147+I150+I151)</f>
        <v/>
      </c>
      <c r="J166" s="5">
        <f>-(J142+J143+J146+J147+J150+J151)</f>
        <v/>
      </c>
      <c r="K166" s="5">
        <f>-(K142+K143+K146+K147+K150+K151)</f>
        <v/>
      </c>
      <c r="L166" s="5">
        <f>-(L142+L143+L146+L147+L150+L151)</f>
        <v/>
      </c>
    </row>
    <row r="167">
      <c r="A167" s="4" t="inlineStr">
        <is>
          <t>Flux de financement</t>
        </is>
      </c>
      <c r="B167" s="18">
        <f>SUM(C167:L167)</f>
        <v/>
      </c>
      <c r="C167" s="18">
        <f>C164+C165+C166</f>
        <v/>
      </c>
      <c r="D167" s="18">
        <f>D164+D165+D166</f>
        <v/>
      </c>
      <c r="E167" s="18">
        <f>E164+E165+E166</f>
        <v/>
      </c>
      <c r="F167" s="18">
        <f>F164+F165+F166</f>
        <v/>
      </c>
      <c r="G167" s="18">
        <f>G164+G165+G166</f>
        <v/>
      </c>
      <c r="H167" s="18">
        <f>H164+H165+H166</f>
        <v/>
      </c>
      <c r="I167" s="18">
        <f>I164+I165+I166</f>
        <v/>
      </c>
      <c r="J167" s="18">
        <f>J164+J165+J166</f>
        <v/>
      </c>
      <c r="K167" s="18">
        <f>K164+K165+K166</f>
        <v/>
      </c>
      <c r="L167" s="18">
        <f>L164+L165+L166</f>
        <v/>
      </c>
    </row>
    <row r="168">
      <c r="A168" s="4" t="inlineStr">
        <is>
          <t>Variation de trésorerie</t>
        </is>
      </c>
      <c r="B168" s="18">
        <f>SUM(C168:L168)</f>
        <v/>
      </c>
      <c r="C168" s="18">
        <f>C162+C163+C167</f>
        <v/>
      </c>
      <c r="D168" s="18">
        <f>D162+D163+D167</f>
        <v/>
      </c>
      <c r="E168" s="18">
        <f>E162+E163+E167</f>
        <v/>
      </c>
      <c r="F168" s="18">
        <f>F162+F163+F167</f>
        <v/>
      </c>
      <c r="G168" s="18">
        <f>G162+G163+G167</f>
        <v/>
      </c>
      <c r="H168" s="18">
        <f>H162+H163+H167</f>
        <v/>
      </c>
      <c r="I168" s="18">
        <f>I162+I163+I167</f>
        <v/>
      </c>
      <c r="J168" s="18">
        <f>J162+J163+J167</f>
        <v/>
      </c>
      <c r="K168" s="18">
        <f>K162+K163+K167</f>
        <v/>
      </c>
      <c r="L168" s="18">
        <f>L162+L163+L167</f>
        <v/>
      </c>
    </row>
    <row r="169">
      <c r="A169" s="4" t="inlineStr">
        <is>
          <t>Trésorerie fin d'année</t>
        </is>
      </c>
      <c r="C169" s="18">
        <f>C168</f>
        <v/>
      </c>
      <c r="D169" s="18">
        <f>C169+D168</f>
        <v/>
      </c>
      <c r="E169" s="18">
        <f>D169+E168</f>
        <v/>
      </c>
      <c r="F169" s="18">
        <f>E169+F168</f>
        <v/>
      </c>
      <c r="G169" s="18">
        <f>F169+G168</f>
        <v/>
      </c>
      <c r="H169" s="18">
        <f>G169+H168</f>
        <v/>
      </c>
      <c r="I169" s="18">
        <f>H169+I168</f>
        <v/>
      </c>
      <c r="J169" s="18">
        <f>I169+J168</f>
        <v/>
      </c>
      <c r="K169" s="18">
        <f>J169+K168</f>
        <v/>
      </c>
      <c r="L169" s="18">
        <f>K169+L168</f>
        <v/>
      </c>
    </row>
    <row r="170">
      <c r="A170" t="inlineStr">
        <is>
          <t>Cash-flow libre d'exploitation (CFO − gros entretien − service dette hors obligations in fine)</t>
        </is>
      </c>
      <c r="B170" s="5">
        <f>SUM(C170:L170)</f>
        <v/>
      </c>
      <c r="C170" s="5">
        <f>C162-C133-(C142+C143+C146+C147+C150)</f>
        <v/>
      </c>
      <c r="D170" s="5">
        <f>D162-D133-(D142+D143+D146+D147+D150)</f>
        <v/>
      </c>
      <c r="E170" s="5">
        <f>E162-E133-(E142+E143+E146+E147+E150)</f>
        <v/>
      </c>
      <c r="F170" s="5">
        <f>F162-F133-(F142+F143+F146+F147+F150)</f>
        <v/>
      </c>
      <c r="G170" s="5">
        <f>G162-G133-(G142+G143+G146+G147+G150)</f>
        <v/>
      </c>
      <c r="H170" s="5">
        <f>H162-H133-(H142+H143+H146+H147+H150)</f>
        <v/>
      </c>
      <c r="I170" s="5">
        <f>I162-I133-(I142+I143+I146+I147+I150)</f>
        <v/>
      </c>
      <c r="J170" s="5">
        <f>J162-J133-(J142+J143+J146+J147+J150)</f>
        <v/>
      </c>
      <c r="K170" s="5">
        <f>K162-K133-(K142+K143+K146+K147+K150)</f>
        <v/>
      </c>
      <c r="L170" s="5">
        <f>L162-L133-(L142+L143+L146+L147+L150)</f>
        <v/>
      </c>
    </row>
    <row r="171">
      <c r="A171" t="inlineStr">
        <is>
          <t>DSCR ((EBITDA + loyer privé − IS − gros entretien) / service de la dette)</t>
        </is>
      </c>
      <c r="C171" s="7">
        <f>IF((C142+C143+C146+C147+C150)=0,"",(C128+C129+C156-C133)/(C142+C143+C146+C147+C150))</f>
        <v/>
      </c>
      <c r="D171" s="7">
        <f>IF((D142+D143+D146+D147+D150)=0,"",(D128+D129+D156-D133)/(D142+D143+D146+D147+D150))</f>
        <v/>
      </c>
      <c r="E171" s="7">
        <f>IF((E142+E143+E146+E147+E150)=0,"",(E128+E129+E156-E133)/(E142+E143+E146+E147+E150))</f>
        <v/>
      </c>
      <c r="F171" s="7">
        <f>IF((F142+F143+F146+F147+F150)=0,"",(F128+F129+F156-F133)/(F142+F143+F146+F147+F150))</f>
        <v/>
      </c>
      <c r="G171" s="7">
        <f>IF((G142+G143+G146+G147+G150)=0,"",(G128+G129+G156-G133)/(G142+G143+G146+G147+G150))</f>
        <v/>
      </c>
      <c r="H171" s="7">
        <f>IF((H142+H143+H146+H147+H150)=0,"",(H128+H129+H156-H133)/(H142+H143+H146+H147+H150))</f>
        <v/>
      </c>
      <c r="I171" s="7">
        <f>IF((I142+I143+I146+I147+I150)=0,"",(I128+I129+I156-I133)/(I142+I143+I146+I147+I150))</f>
        <v/>
      </c>
      <c r="J171" s="7">
        <f>IF((J142+J143+J146+J147+J150)=0,"",(J128+J129+J156-J133)/(J142+J143+J146+J147+J150))</f>
        <v/>
      </c>
      <c r="K171" s="7">
        <f>IF((K142+K143+K146+K147+K150)=0,"",(K128+K129+K156-K133)/(K142+K143+K146+K147+K150))</f>
        <v/>
      </c>
      <c r="L171" s="7">
        <f>IF((L142+L143+L146+L147+L150)=0,"",(L128+L129+L156-L133)/(L142+L143+L146+L147+L150))</f>
        <v/>
      </c>
    </row>
    <row r="173">
      <c r="A173" s="4" t="inlineStr">
        <is>
          <t>Rentabilité des investisseurs et contrôle</t>
        </is>
      </c>
    </row>
    <row r="174">
      <c r="A174" t="inlineStr">
        <is>
          <t>Dettes financières totales fin d'année</t>
        </is>
      </c>
      <c r="C174" s="5">
        <f>C144+C148+C149-C151</f>
        <v/>
      </c>
      <c r="D174" s="5">
        <f>D144+D148+D149-D151</f>
        <v/>
      </c>
      <c r="E174" s="5">
        <f>E144+E148+E149-E151</f>
        <v/>
      </c>
      <c r="F174" s="5">
        <f>F144+F148+F149-F151</f>
        <v/>
      </c>
      <c r="G174" s="5">
        <f>G144+G148+G149-G151</f>
        <v/>
      </c>
      <c r="H174" s="5">
        <f>H144+H148+H149-H151</f>
        <v/>
      </c>
      <c r="I174" s="5">
        <f>I144+I148+I149-I151</f>
        <v/>
      </c>
      <c r="J174" s="5">
        <f>J144+J148+J149-J151</f>
        <v/>
      </c>
      <c r="K174" s="5">
        <f>K144+K148+K149-K151</f>
        <v/>
      </c>
      <c r="L174" s="5">
        <f>L144+L148+L149-L151</f>
        <v/>
      </c>
    </row>
    <row r="175">
      <c r="A175" t="inlineStr">
        <is>
          <t>Valeur estimée de l'actif (si cédé cette année)</t>
        </is>
      </c>
      <c r="C175" s="5">
        <f>C96*($B$7+C134)*$B$17*(1-$B$19)</f>
        <v/>
      </c>
      <c r="D175" s="5">
        <f>D96*($B$7+D134)*$B$17*(1-$B$19)</f>
        <v/>
      </c>
      <c r="E175" s="5">
        <f>E96*($B$7+E134)*$B$17*(1-$B$19)</f>
        <v/>
      </c>
      <c r="F175" s="5">
        <f>F96*($B$7+F134)*$B$17*(1-$B$19)</f>
        <v/>
      </c>
      <c r="G175" s="5">
        <f>G96*($B$7+G134)*$B$17*(1-$B$19)</f>
        <v/>
      </c>
      <c r="H175" s="5">
        <f>H96*($B$7+H134)*$B$17*(1-$B$19)</f>
        <v/>
      </c>
      <c r="I175" s="5">
        <f>I96*($B$7+I134)*$B$17*(1-$B$19)</f>
        <v/>
      </c>
      <c r="J175" s="5">
        <f>J96*($B$7+J134)*$B$17*(1-$B$19)</f>
        <v/>
      </c>
      <c r="K175" s="5">
        <f>K96*($B$7+K134)*$B$17*(1-$B$19)</f>
        <v/>
      </c>
      <c r="L175" s="5">
        <f>L96*($B$7+L134)*$B$17*(1-$B$19)</f>
        <v/>
      </c>
    </row>
    <row r="176">
      <c r="A176" t="inlineStr">
        <is>
          <t>Valeur des fonds propres (actif + trésorerie − dettes)</t>
        </is>
      </c>
      <c r="C176" s="5">
        <f>C175+C169-C174</f>
        <v/>
      </c>
      <c r="D176" s="5">
        <f>D175+D169-D174</f>
        <v/>
      </c>
      <c r="E176" s="5">
        <f>E175+E169-E174</f>
        <v/>
      </c>
      <c r="F176" s="5">
        <f>F175+F169-F174</f>
        <v/>
      </c>
      <c r="G176" s="5">
        <f>G175+G169-G174</f>
        <v/>
      </c>
      <c r="H176" s="5">
        <f>H175+H169-H174</f>
        <v/>
      </c>
      <c r="I176" s="5">
        <f>I175+I169-I174</f>
        <v/>
      </c>
      <c r="J176" s="5">
        <f>J175+J169-J174</f>
        <v/>
      </c>
      <c r="K176" s="5">
        <f>K175+K169-K174</f>
        <v/>
      </c>
      <c r="L176" s="5">
        <f>L175+L169-L174</f>
        <v/>
      </c>
    </row>
    <row r="177">
      <c r="A177" t="inlineStr">
        <is>
          <t>Flux des investisseurs (entrée an d'acq., sortie an 10)</t>
        </is>
      </c>
      <c r="B177" s="5">
        <f>SUM(C177:L177)</f>
        <v/>
      </c>
      <c r="C177" s="5">
        <f>-IF(C$90=$B$5,$B$24*(1-$B$49)*(1-$B$25),0)</f>
        <v/>
      </c>
      <c r="D177" s="5">
        <f>-IF(D$90=$B$5,$B$24*(1-$B$49)*(1-$B$25),0)</f>
        <v/>
      </c>
      <c r="E177" s="5">
        <f>-IF(E$90=$B$5,$B$24*(1-$B$49)*(1-$B$25),0)</f>
        <v/>
      </c>
      <c r="F177" s="5">
        <f>-IF(F$90=$B$5,$B$24*(1-$B$49)*(1-$B$25),0)</f>
        <v/>
      </c>
      <c r="G177" s="5">
        <f>-IF(G$90=$B$5,$B$24*(1-$B$49)*(1-$B$25),0)</f>
        <v/>
      </c>
      <c r="H177" s="5">
        <f>-IF(H$90=$B$5,$B$24*(1-$B$49)*(1-$B$25),0)</f>
        <v/>
      </c>
      <c r="I177" s="5">
        <f>-IF(I$90=$B$5,$B$24*(1-$B$49)*(1-$B$25),0)</f>
        <v/>
      </c>
      <c r="J177" s="5">
        <f>-IF(J$90=$B$5,$B$24*(1-$B$49)*(1-$B$25),0)</f>
        <v/>
      </c>
      <c r="K177" s="5">
        <f>-IF(K$90=$B$5,$B$24*(1-$B$49)*(1-$B$25),0)</f>
        <v/>
      </c>
      <c r="L177" s="5">
        <f>-IF(L$90=$B$5,$B$24*(1-$B$49)*(1-$B$25),0)+MAX(0,L176)*(1-$B$42)</f>
        <v/>
      </c>
    </row>
    <row r="178">
      <c r="A178" t="inlineStr">
        <is>
          <t>Flux du fondateur et de sa holding (apports, sortie théorique an 10)</t>
        </is>
      </c>
      <c r="B178" s="5">
        <f>SUM(C178:L178)</f>
        <v/>
      </c>
      <c r="C178" s="5">
        <f>-IF(C$90=1,$B$23,0)-IF(C$90=$B$5,$B$24*(1-$B$49)*$B$25,0)</f>
        <v/>
      </c>
      <c r="D178" s="5">
        <f>-IF(D$90=1,$B$23,0)-IF(D$90=$B$5,$B$24*(1-$B$49)*$B$25,0)</f>
        <v/>
      </c>
      <c r="E178" s="5">
        <f>-IF(E$90=1,$B$23,0)-IF(E$90=$B$5,$B$24*(1-$B$49)*$B$25,0)</f>
        <v/>
      </c>
      <c r="F178" s="5">
        <f>-IF(F$90=1,$B$23,0)-IF(F$90=$B$5,$B$24*(1-$B$49)*$B$25,0)</f>
        <v/>
      </c>
      <c r="G178" s="5">
        <f>-IF(G$90=1,$B$23,0)-IF(G$90=$B$5,$B$24*(1-$B$49)*$B$25,0)</f>
        <v/>
      </c>
      <c r="H178" s="5">
        <f>-IF(H$90=1,$B$23,0)-IF(H$90=$B$5,$B$24*(1-$B$49)*$B$25,0)</f>
        <v/>
      </c>
      <c r="I178" s="5">
        <f>-IF(I$90=1,$B$23,0)-IF(I$90=$B$5,$B$24*(1-$B$49)*$B$25,0)</f>
        <v/>
      </c>
      <c r="J178" s="5">
        <f>-IF(J$90=1,$B$23,0)-IF(J$90=$B$5,$B$24*(1-$B$49)*$B$25,0)</f>
        <v/>
      </c>
      <c r="K178" s="5">
        <f>-IF(K$90=1,$B$23,0)-IF(K$90=$B$5,$B$24*(1-$B$49)*$B$25,0)</f>
        <v/>
      </c>
      <c r="L178" s="5">
        <f>-IF(L$90=1,$B$23,0)-IF(L$90=$B$5,$B$24*(1-$B$49)*$B$25,0)+MAX(0,L176)*$B$42</f>
        <v/>
      </c>
    </row>
    <row r="180">
      <c r="A180" s="10" t="inlineStr">
        <is>
          <t>8. Indicateurs clés</t>
        </is>
      </c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</row>
    <row r="181">
      <c r="A181" t="inlineStr">
        <is>
          <t>Emplois totaux (acq. + frais + travaux initiaux)</t>
        </is>
      </c>
      <c r="B181" s="18">
        <f>$B$7*(1+$B$8)+SUM(C131:L131)</f>
        <v/>
      </c>
    </row>
    <row r="182">
      <c r="A182" t="inlineStr">
        <is>
          <t>Ressources externes et apports prévus</t>
        </is>
      </c>
      <c r="B182" s="18">
        <f>$B$23+$B$24*(1-$B$49)+$B$26+$B$27+$B$31+$B$34</f>
        <v/>
      </c>
    </row>
    <row r="183">
      <c r="A183" t="inlineStr">
        <is>
          <t>CA année 5</t>
        </is>
      </c>
      <c r="B183" s="18">
        <f>G109</f>
        <v/>
      </c>
    </row>
    <row r="184">
      <c r="A184" t="inlineStr">
        <is>
          <t>EBITDA année 5</t>
        </is>
      </c>
      <c r="B184" s="18">
        <f>G128</f>
        <v/>
      </c>
    </row>
    <row r="185">
      <c r="A185" t="inlineStr">
        <is>
          <t>EBITDA année 10</t>
        </is>
      </c>
      <c r="B185" s="18">
        <f>L128</f>
        <v/>
      </c>
    </row>
    <row r="186">
      <c r="A186" t="inlineStr">
        <is>
          <t>Part équestre du CA année 5</t>
        </is>
      </c>
      <c r="B186" s="14">
        <f>G111</f>
        <v/>
      </c>
    </row>
    <row r="187">
      <c r="A187" t="inlineStr">
        <is>
          <t>Trésorerie minimale sur 10 ans</t>
        </is>
      </c>
      <c r="B187" s="18">
        <f>MIN(C169:L169)</f>
        <v/>
      </c>
    </row>
    <row r="188">
      <c r="A188" t="inlineStr">
        <is>
          <t>Trésorerie fin année 10</t>
        </is>
      </c>
      <c r="B188" s="18">
        <f>L169</f>
        <v/>
      </c>
    </row>
    <row r="189">
      <c r="A189" t="inlineStr">
        <is>
          <t>DSCR minimal (à partir de la 2e année d'exploitation)</t>
        </is>
      </c>
      <c r="B189" s="19">
        <f>IF(COUNTIFS(C171:L171,"&gt;-1E+300",C92:L92,"&gt;=2")=0,"n/a",_xlfn.MINIFS(C171:L171,C92:L92,"&gt;=2"))</f>
        <v/>
      </c>
    </row>
    <row r="190">
      <c r="A190" t="inlineStr">
        <is>
          <t>Nb d'années à cash-flow libre d'exploitation négatif (à partir de la 2e année d'exploitation)</t>
        </is>
      </c>
      <c r="B190" s="20">
        <f>COUNTIFS(C170:L170,"&lt;0",C92:L92,"&gt;=2")</f>
        <v/>
      </c>
    </row>
    <row r="191">
      <c r="A191" t="inlineStr">
        <is>
          <t>TRI investisseurs (sortie théorique an 10)</t>
        </is>
      </c>
      <c r="B191" s="14">
        <f>IF($B$24*(1-$B$25)=0,"sans objet",IFERROR(IRR(C177:L177,-0.05),"perte quasi totale (TRI non calculable)"))</f>
        <v/>
      </c>
    </row>
    <row r="192">
      <c r="A192" t="inlineStr">
        <is>
          <t>TRI fondateur (sortie théorique an 10)</t>
        </is>
      </c>
      <c r="B192" s="14">
        <f>IFERROR(IRR(C178:L178,-0.05),"perte quasi totale (TRI non calculable)")</f>
        <v/>
      </c>
    </row>
    <row r="193">
      <c r="A193" t="inlineStr">
        <is>
          <t>Dette bancaire soutenable estimée (DSCR 1,2 sur (EBITDA − gros entretien) an 10, taux et durée du scénario)</t>
        </is>
      </c>
      <c r="B193" s="18">
        <f>MAX(0,PV($B$28,$B$29,-(L128+L129-L133)/1.2))</f>
        <v/>
      </c>
    </row>
    <row r="194">
      <c r="A194" t="inlineStr">
        <is>
          <t>Fonds propres nécessaires (emplois + réserve + pertes d'exploitation cumulées − dette soutenable)</t>
        </is>
      </c>
      <c r="B194" s="18">
        <f>$B$7*(1+$B$8)+SUM(C131:L131)+$B$39-SUMIF(C162:L162,"&lt;0")-$B$193</f>
        <v/>
      </c>
    </row>
    <row r="195">
      <c r="A195" t="inlineStr">
        <is>
          <t>Part du capital du fondateur</t>
        </is>
      </c>
      <c r="B195" s="14">
        <f>$B$42</f>
        <v/>
      </c>
    </row>
    <row r="196">
      <c r="A196" t="inlineStr">
        <is>
          <t>Droits de vote du fondateur</t>
        </is>
      </c>
      <c r="B196" s="14">
        <f>$B$38</f>
        <v/>
      </c>
    </row>
    <row r="197">
      <c r="A197" s="4" t="inlineStr">
        <is>
          <t>Verdict (trésorerie ≥ 0 et ≥ réserve an 10, DSCR ≥ 1,2, cash-flow libre ≥ 0 dès la 2e année d'exploitation, TRI investisseurs extérieurs ≥ cible, dirigeant payé)</t>
        </is>
      </c>
      <c r="B197" s="4">
        <f>IF($B$187&lt;0,"NON VIABLE (trésorerie négative)",IF(AND($B$188&gt;=$B$39,OR($B$189="n/a",$B$189&gt;=1.2),$B$190=0),IF(NOT(OR($B$191="sans objet",AND(ISNUMBER($B$191),N($B$191)&gt;=$B$40))),"FRAGILE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A — Château équestre « sport » — cas optimiste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350000</v>
      </c>
      <c r="C11" t="inlineStr">
        <is>
          <t>€</t>
        </is>
      </c>
      <c r="D11" t="inlineStr">
        <is>
          <t>EST : marcheur 35 k€, carrière 35 €/m², barn 200 €/m² (PL [A3 H19]) + 10 box supplémentaires</t>
        </is>
      </c>
    </row>
    <row r="12">
      <c r="A12" t="inlineStr">
        <is>
          <t>Investissements événementiel / hébergement</t>
        </is>
      </c>
      <c r="B12" s="12" t="n">
        <v>80000</v>
      </c>
      <c r="C12" t="inlineStr">
        <is>
          <t>€</t>
        </is>
      </c>
      <c r="D12" t="inlineStr">
        <is>
          <t>EST : salon de réception pour ventes privées, pas de salle ERP &gt; 50 pers.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0.6</v>
      </c>
      <c r="C53" t="inlineStr">
        <is>
          <t>%</t>
        </is>
      </c>
      <c r="D53" t="inlineStr">
        <is>
          <t>Cas optimiste</t>
        </is>
      </c>
    </row>
    <row r="54">
      <c r="A54" t="inlineStr">
        <is>
          <t>Montée en charge : 2e année</t>
        </is>
      </c>
      <c r="B54" s="13" t="n">
        <v>0.9</v>
      </c>
      <c r="C54" t="inlineStr">
        <is>
          <t>%</t>
        </is>
      </c>
      <c r="D54" t="inlineStr">
        <is>
          <t>Cas optimiste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Cas optimiste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travail (chevaux de sport, places occupées)</t>
        </is>
      </c>
      <c r="B63" s="15" t="n">
        <v>20.7</v>
      </c>
      <c r="C63" s="12" t="n">
        <v>7085</v>
      </c>
      <c r="D63" s="13" t="n">
        <v>0.26</v>
      </c>
      <c r="E63" s="16" t="n">
        <v>0</v>
      </c>
      <c r="F63" s="16" t="n">
        <v>1</v>
      </c>
      <c r="G63" t="inlineStr">
        <is>
          <t>PL : 656 € TTC/mois (cas-type CSO 2025) → 547 € HT à TVA 20 % (entraînement/valorisation, BOFiP) [A3 H5, H9] ; 20 places × 90 % ; coûts op. 1 729 €/an [A3 §4]</t>
        </is>
      </c>
    </row>
    <row r="64">
      <c r="A64" t="inlineStr">
        <is>
          <t>Pension box premium (places occupées)</t>
        </is>
      </c>
      <c r="B64" s="15" t="n">
        <v>10.3</v>
      </c>
      <c r="C64" s="12" t="n">
        <v>6388</v>
      </c>
      <c r="D64" s="13" t="n">
        <v>0.2</v>
      </c>
      <c r="E64" s="16" t="n">
        <v>0</v>
      </c>
      <c r="F64" s="16" t="n">
        <v>1</v>
      </c>
      <c r="G64" t="inlineStr">
        <is>
          <t>Cf. B ; 10 places × 90 %</t>
        </is>
      </c>
    </row>
    <row r="65">
      <c r="A65" t="inlineStr">
        <is>
          <t>Pension au pré (places occupées)</t>
        </is>
      </c>
      <c r="B65" s="15" t="n">
        <v>16.1</v>
      </c>
      <c r="C65" s="12" t="n">
        <v>2825</v>
      </c>
      <c r="D65" s="13" t="n">
        <v>0.23</v>
      </c>
      <c r="E65" s="16" t="n">
        <v>0</v>
      </c>
      <c r="F65" s="16" t="n">
        <v>1</v>
      </c>
      <c r="G65" t="inlineStr">
        <is>
          <t>Cf. B ; 15 places × 92 %</t>
        </is>
      </c>
    </row>
    <row r="66">
      <c r="A66" t="inlineStr">
        <is>
          <t>Valorisation et vente de jeunes chevaux (marge nette par cheval vendu)</t>
        </is>
      </c>
      <c r="B66" s="15" t="n">
        <v>3.4</v>
      </c>
      <c r="C66" s="12" t="n">
        <v>10773</v>
      </c>
      <c r="D66" s="13" t="n">
        <v>0.1</v>
      </c>
      <c r="E66" s="16" t="n">
        <v>0</v>
      </c>
      <c r="F66" s="16" t="n">
        <v>1</v>
      </c>
      <c r="G66" t="inlineStr">
        <is>
          <t>PL : cas-type 2 chevaux/an, 36,75 k€ vendus − 16,8 k€ achetés [A3 §8] ; 3/an EST ; risque élevé</t>
        </is>
      </c>
    </row>
    <row r="67">
      <c r="A67" t="inlineStr">
        <is>
          <t>Organisation de concours (produit annuel)</t>
        </is>
      </c>
      <c r="B67" s="15" t="n">
        <v>1.1</v>
      </c>
      <c r="C67" s="12" t="n">
        <v>17362</v>
      </c>
      <c r="D67" s="13" t="n">
        <v>0.5</v>
      </c>
      <c r="E67" s="16" t="n">
        <v>1</v>
      </c>
      <c r="F67" s="16" t="n">
        <v>1</v>
      </c>
      <c r="G67" t="inlineStr">
        <is>
          <t>PL : produit moyen « organisation de concours » d'une pension travail 16 076 €/an [A3 §4] ; marge EST</t>
        </is>
      </c>
    </row>
    <row r="68">
      <c r="A68" t="inlineStr">
        <is>
          <t>Ventes privées / showcases B2B (soirées)</t>
        </is>
      </c>
      <c r="B68" s="15" t="n">
        <v>3.4</v>
      </c>
      <c r="C68" s="12" t="n">
        <v>3240</v>
      </c>
      <c r="D68" s="13" t="n">
        <v>0.4</v>
      </c>
      <c r="E68" s="16" t="n">
        <v>1</v>
      </c>
      <c r="F68" s="16" t="n">
        <v>1</v>
      </c>
      <c r="G68" t="inlineStr">
        <is>
          <t>INC : aucun tarif de location publié [A3 §8 n°10] ; EST</t>
        </is>
      </c>
    </row>
    <row r="69">
      <c r="A69" t="inlineStr">
        <is>
          <t>Gains de compétition</t>
        </is>
      </c>
      <c r="B69" s="15" t="n">
        <v>1.1</v>
      </c>
      <c r="C69" s="12" t="n">
        <v>13230</v>
      </c>
      <c r="D69" s="13" t="n">
        <v>0</v>
      </c>
      <c r="E69" s="16" t="n">
        <v>1</v>
      </c>
      <c r="F69" s="16" t="n">
        <v>1</v>
      </c>
      <c r="G69" t="inlineStr">
        <is>
          <t>PL : cas-type CSO 2025 12 250 € [A3 §4]</t>
        </is>
      </c>
    </row>
    <row r="70">
      <c r="A70" t="inlineStr">
        <is>
          <t>Gîte 15 couchages hors mariages (nuits)</t>
        </is>
      </c>
      <c r="B70" s="15" t="n">
        <v>105.8</v>
      </c>
      <c r="C70" s="12" t="n">
        <v>486</v>
      </c>
      <c r="D70" s="13" t="n">
        <v>0.45</v>
      </c>
      <c r="E70" s="16" t="n">
        <v>0</v>
      </c>
      <c r="F70" s="16" t="n">
        <v>0</v>
      </c>
      <c r="G70" t="inlineStr">
        <is>
          <t>PL : fourchettes de prix [A4 §4.2] ; 92 nuits EST (occupation annuelle ≈ 33 % observée en Normandie hors saison) [A4 §4.3]</t>
        </is>
      </c>
    </row>
    <row r="71">
      <c r="A71" t="inlineStr">
        <is>
          <t>Tournages / shootings (jours)</t>
        </is>
      </c>
      <c r="B71" s="15" t="n">
        <v>3.4</v>
      </c>
      <c r="C71" s="12" t="n">
        <v>2160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11.5</v>
      </c>
      <c r="C72" s="12" t="n">
        <v>162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5700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6650</v>
      </c>
      <c r="C77" s="16" t="n">
        <v>1</v>
      </c>
      <c r="G77" t="inlineStr">
        <is>
          <t>PL : « rarement &lt; 2 500 € », hausse 2026 de 7,5-8 % [A4 §11] ; EST 5-10 k€</t>
        </is>
      </c>
    </row>
    <row r="78">
      <c r="A78" t="inlineStr">
        <is>
          <t>Énergie (chauffage partiel, électricité, eau)</t>
        </is>
      </c>
      <c r="B78" s="12" t="n">
        <v>19000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/ agent d'entretien (1 ETP au Smic chargé)</t>
        </is>
      </c>
      <c r="B79" s="12" t="n">
        <v>25650</v>
      </c>
      <c r="C79" s="16" t="n">
        <v>1</v>
      </c>
      <c r="G79" t="inlineStr">
        <is>
          <t>PL : Smic 2026 22 404 € brut/an [A4 §11] ; EST charges</t>
        </is>
      </c>
    </row>
    <row r="80">
      <c r="A80" t="inlineStr">
        <is>
          <t>Divers (abonnements, petit matériel, véhicule, honoraires)</t>
        </is>
      </c>
      <c r="B80" s="12" t="n">
        <v>7600</v>
      </c>
      <c r="C80" s="16" t="n">
        <v>1</v>
      </c>
      <c r="G80" t="inlineStr">
        <is>
          <t>EST</t>
        </is>
      </c>
    </row>
    <row r="81">
      <c r="A81" t="inlineStr">
        <is>
          <t>Cavalier professionnel / responsable d'écurie (chargé)</t>
        </is>
      </c>
      <c r="B81" s="12" t="n">
        <v>42750</v>
      </c>
      <c r="C81" s="16" t="n">
        <v>0</v>
      </c>
      <c r="G81" t="inlineStr">
        <is>
          <t>PL : grille 2 108-2 678 € brut (coef. 130-167) [A3 H15] ; EST charges</t>
        </is>
      </c>
    </row>
    <row r="82">
      <c r="A82" t="inlineStr">
        <is>
          <t>Soigneurs (2 ETP au Smic chargés)</t>
        </is>
      </c>
      <c r="B82" s="12" t="n">
        <v>57000</v>
      </c>
      <c r="C82" s="16" t="n">
        <v>0</v>
      </c>
      <c r="G82" t="inlineStr">
        <is>
          <t>PL [A3 H13-H14] ; 10 chevaux au travail / ETP</t>
        </is>
      </c>
    </row>
    <row r="83">
      <c r="A83" t="inlineStr">
        <is>
          <t>Autres charges de structure équestres</t>
        </is>
      </c>
      <c r="B83" s="12" t="n">
        <v>33250</v>
      </c>
      <c r="C83" s="16" t="n">
        <v>0</v>
      </c>
      <c r="G83" t="inlineStr">
        <is>
          <t>EST : réf. structure pension travail 2 471 €/équidé [A3 §4] (salaires inclus) → calibrage</t>
        </is>
      </c>
    </row>
    <row r="84">
      <c r="A84" t="inlineStr">
        <is>
          <t>Coûts fixes du gîte</t>
        </is>
      </c>
      <c r="B84" s="12" t="n">
        <v>4180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11400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11400</v>
      </c>
      <c r="C86" s="16" t="n">
        <v>0</v>
      </c>
      <c r="G86" t="inlineStr">
        <is>
          <t>EST</t>
        </is>
      </c>
    </row>
    <row r="87">
      <c r="A87" t="inlineStr">
        <is>
          <t>Rémunération du dirigeant (chargée)</t>
        </is>
      </c>
      <c r="B87" s="12" t="n">
        <v>33250</v>
      </c>
      <c r="C87" s="16" t="n">
        <v>0</v>
      </c>
      <c r="G87" t="inlineStr">
        <is>
          <t>EST : minimum ; le dirigeant paie en plus 18 k€ de loyer privé</t>
        </is>
      </c>
    </row>
    <row r="89">
      <c r="A89" s="10" t="inlineStr">
        <is>
          <t>7. Calcul sur 10 ans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4" t="inlineStr">
        <is>
          <t>Année</t>
        </is>
      </c>
      <c r="B90" s="4" t="inlineStr">
        <is>
          <t>Total / réf.</t>
        </is>
      </c>
      <c r="C90" s="4" t="n">
        <v>1</v>
      </c>
      <c r="D90" s="4" t="n">
        <v>2</v>
      </c>
      <c r="E90" s="4" t="n">
        <v>3</v>
      </c>
      <c r="F90" s="4" t="n">
        <v>4</v>
      </c>
      <c r="G90" s="4" t="n">
        <v>5</v>
      </c>
      <c r="H90" s="4" t="n">
        <v>6</v>
      </c>
      <c r="I90" s="4" t="n">
        <v>7</v>
      </c>
      <c r="J90" s="4" t="n">
        <v>8</v>
      </c>
      <c r="K90" s="4" t="n">
        <v>9</v>
      </c>
      <c r="L90" s="4" t="n">
        <v>10</v>
      </c>
    </row>
    <row r="91">
      <c r="A91" t="inlineStr">
        <is>
          <t>Année d'ouverture effective</t>
        </is>
      </c>
      <c r="C91" s="8">
        <f>$B$6+$B$47</f>
        <v/>
      </c>
      <c r="D91" s="8">
        <f>$B$6+$B$47</f>
        <v/>
      </c>
      <c r="E91" s="8">
        <f>$B$6+$B$47</f>
        <v/>
      </c>
      <c r="F91" s="8">
        <f>$B$6+$B$47</f>
        <v/>
      </c>
      <c r="G91" s="8">
        <f>$B$6+$B$47</f>
        <v/>
      </c>
      <c r="H91" s="8">
        <f>$B$6+$B$47</f>
        <v/>
      </c>
      <c r="I91" s="8">
        <f>$B$6+$B$47</f>
        <v/>
      </c>
      <c r="J91" s="8">
        <f>$B$6+$B$47</f>
        <v/>
      </c>
      <c r="K91" s="8">
        <f>$B$6+$B$47</f>
        <v/>
      </c>
      <c r="L91" s="8">
        <f>$B$6+$B$47</f>
        <v/>
      </c>
    </row>
    <row r="92">
      <c r="A92" t="inlineStr">
        <is>
          <t>Rang de l'année d'exploitation</t>
        </is>
      </c>
      <c r="C92" s="8">
        <f>MAX(0,C$90-C91+1)</f>
        <v/>
      </c>
      <c r="D92" s="8">
        <f>MAX(0,D$90-D91+1)</f>
        <v/>
      </c>
      <c r="E92" s="8">
        <f>MAX(0,E$90-E91+1)</f>
        <v/>
      </c>
      <c r="F92" s="8">
        <f>MAX(0,F$90-F91+1)</f>
        <v/>
      </c>
      <c r="G92" s="8">
        <f>MAX(0,G$90-G91+1)</f>
        <v/>
      </c>
      <c r="H92" s="8">
        <f>MAX(0,H$90-H91+1)</f>
        <v/>
      </c>
      <c r="I92" s="8">
        <f>MAX(0,I$90-I91+1)</f>
        <v/>
      </c>
      <c r="J92" s="8">
        <f>MAX(0,J$90-J91+1)</f>
        <v/>
      </c>
      <c r="K92" s="8">
        <f>MAX(0,K$90-K91+1)</f>
        <v/>
      </c>
      <c r="L92" s="8">
        <f>MAX(0,L$90-L91+1)</f>
        <v/>
      </c>
    </row>
    <row r="93">
      <c r="A93" t="inlineStr">
        <is>
          <t>Coefficient de montée en charge</t>
        </is>
      </c>
      <c r="C93" s="6">
        <f>IF(C92=0,0,IF(C92=1,$B$53,IF(C92=2,$B$54,IF(C92=3,$B$55,1))))</f>
        <v/>
      </c>
      <c r="D93" s="6">
        <f>IF(D92=0,0,IF(D92=1,$B$53,IF(D92=2,$B$54,IF(D92=3,$B$55,1))))</f>
        <v/>
      </c>
      <c r="E93" s="6">
        <f>IF(E92=0,0,IF(E92=1,$B$53,IF(E92=2,$B$54,IF(E92=3,$B$55,1))))</f>
        <v/>
      </c>
      <c r="F93" s="6">
        <f>IF(F92=0,0,IF(F92=1,$B$53,IF(F92=2,$B$54,IF(F92=3,$B$55,1))))</f>
        <v/>
      </c>
      <c r="G93" s="6">
        <f>IF(G92=0,0,IF(G92=1,$B$53,IF(G92=2,$B$54,IF(G92=3,$B$55,1))))</f>
        <v/>
      </c>
      <c r="H93" s="6">
        <f>IF(H92=0,0,IF(H92=1,$B$53,IF(H92=2,$B$54,IF(H92=3,$B$55,1))))</f>
        <v/>
      </c>
      <c r="I93" s="6">
        <f>IF(I92=0,0,IF(I92=1,$B$53,IF(I92=2,$B$54,IF(I92=3,$B$55,1))))</f>
        <v/>
      </c>
      <c r="J93" s="6">
        <f>IF(J92=0,0,IF(J92=1,$B$53,IF(J92=2,$B$54,IF(J92=3,$B$55,1))))</f>
        <v/>
      </c>
      <c r="K93" s="6">
        <f>IF(K92=0,0,IF(K92=1,$B$53,IF(K92=2,$B$54,IF(K92=3,$B$55,1))))</f>
        <v/>
      </c>
      <c r="L93" s="6">
        <f>IF(L92=0,0,IF(L92=1,$B$53,IF(L92=2,$B$54,IF(L92=3,$B$55,1))))</f>
        <v/>
      </c>
    </row>
    <row r="94">
      <c r="A94" t="inlineStr">
        <is>
          <t>Indice prix</t>
        </is>
      </c>
      <c r="C94" s="17">
        <f>(1+$B$56)^(C$90-1)</f>
        <v/>
      </c>
      <c r="D94" s="17">
        <f>(1+$B$56)^(D$90-1)</f>
        <v/>
      </c>
      <c r="E94" s="17">
        <f>(1+$B$56)^(E$90-1)</f>
        <v/>
      </c>
      <c r="F94" s="17">
        <f>(1+$B$56)^(F$90-1)</f>
        <v/>
      </c>
      <c r="G94" s="17">
        <f>(1+$B$56)^(G$90-1)</f>
        <v/>
      </c>
      <c r="H94" s="17">
        <f>(1+$B$56)^(H$90-1)</f>
        <v/>
      </c>
      <c r="I94" s="17">
        <f>(1+$B$56)^(I$90-1)</f>
        <v/>
      </c>
      <c r="J94" s="17">
        <f>(1+$B$56)^(J$90-1)</f>
        <v/>
      </c>
      <c r="K94" s="17">
        <f>(1+$B$56)^(K$90-1)</f>
        <v/>
      </c>
      <c r="L94" s="17">
        <f>(1+$B$56)^(L$90-1)</f>
        <v/>
      </c>
    </row>
    <row r="95">
      <c r="A95" t="inlineStr">
        <is>
          <t>Indice charges</t>
        </is>
      </c>
      <c r="C95" s="17">
        <f>(1+$B$57)^(C$90-1)</f>
        <v/>
      </c>
      <c r="D95" s="17">
        <f>(1+$B$57)^(D$90-1)</f>
        <v/>
      </c>
      <c r="E95" s="17">
        <f>(1+$B$57)^(E$90-1)</f>
        <v/>
      </c>
      <c r="F95" s="17">
        <f>(1+$B$57)^(F$90-1)</f>
        <v/>
      </c>
      <c r="G95" s="17">
        <f>(1+$B$57)^(G$90-1)</f>
        <v/>
      </c>
      <c r="H95" s="17">
        <f>(1+$B$57)^(H$90-1)</f>
        <v/>
      </c>
      <c r="I95" s="17">
        <f>(1+$B$57)^(I$90-1)</f>
        <v/>
      </c>
      <c r="J95" s="17">
        <f>(1+$B$57)^(J$90-1)</f>
        <v/>
      </c>
      <c r="K95" s="17">
        <f>(1+$B$57)^(K$90-1)</f>
        <v/>
      </c>
      <c r="L95" s="17">
        <f>(1+$B$57)^(L$90-1)</f>
        <v/>
      </c>
    </row>
    <row r="96">
      <c r="A96" t="inlineStr">
        <is>
          <t>Murs détenus (1/0)</t>
        </is>
      </c>
      <c r="C96" s="8">
        <f>IF(C$90&gt;=$B$5,1,0)</f>
        <v/>
      </c>
      <c r="D96" s="8">
        <f>IF(D$90&gt;=$B$5,1,0)</f>
        <v/>
      </c>
      <c r="E96" s="8">
        <f>IF(E$90&gt;=$B$5,1,0)</f>
        <v/>
      </c>
      <c r="F96" s="8">
        <f>IF(F$90&gt;=$B$5,1,0)</f>
        <v/>
      </c>
      <c r="G96" s="8">
        <f>IF(G$90&gt;=$B$5,1,0)</f>
        <v/>
      </c>
      <c r="H96" s="8">
        <f>IF(H$90&gt;=$B$5,1,0)</f>
        <v/>
      </c>
      <c r="I96" s="8">
        <f>IF(I$90&gt;=$B$5,1,0)</f>
        <v/>
      </c>
      <c r="J96" s="8">
        <f>IF(J$90&gt;=$B$5,1,0)</f>
        <v/>
      </c>
      <c r="K96" s="8">
        <f>IF(K$90&gt;=$B$5,1,0)</f>
        <v/>
      </c>
      <c r="L96" s="8">
        <f>IF(L$90&gt;=$B$5,1,0)</f>
        <v/>
      </c>
    </row>
    <row r="98">
      <c r="A98" s="4" t="inlineStr">
        <is>
          <t>Compte de résultat</t>
        </is>
      </c>
    </row>
    <row r="99">
      <c r="A99" t="inlineStr">
        <is>
          <t xml:space="preserve">  Pension travail (chevaux de sport, places occupées)</t>
        </is>
      </c>
      <c r="B99" s="5">
        <f>SUM(C99:L99)</f>
        <v/>
      </c>
      <c r="C99" s="5">
        <f>$B$63*$C$63*C93*C94*$B$45*(1-$E$63*$B$50)</f>
        <v/>
      </c>
      <c r="D99" s="5">
        <f>$B$63*$C$63*D93*D94*$B$45*(1-$E$63*$B$50)</f>
        <v/>
      </c>
      <c r="E99" s="5">
        <f>$B$63*$C$63*E93*E94*$B$45*(1-$E$63*$B$50)</f>
        <v/>
      </c>
      <c r="F99" s="5">
        <f>$B$63*$C$63*F93*F94*$B$45*(1-$E$63*$B$50)</f>
        <v/>
      </c>
      <c r="G99" s="5">
        <f>$B$63*$C$63*G93*G94*$B$45*(1-$E$63*$B$50)</f>
        <v/>
      </c>
      <c r="H99" s="5">
        <f>$B$63*$C$63*H93*H94*$B$45*(1-$E$63*$B$50)</f>
        <v/>
      </c>
      <c r="I99" s="5">
        <f>$B$63*$C$63*I93*I94*$B$45*(1-$E$63*$B$50)</f>
        <v/>
      </c>
      <c r="J99" s="5">
        <f>$B$63*$C$63*J93*J94*$B$45*(1-$E$63*$B$50)</f>
        <v/>
      </c>
      <c r="K99" s="5">
        <f>$B$63*$C$63*K93*K94*$B$45*(1-$E$63*$B$50)</f>
        <v/>
      </c>
      <c r="L99" s="5">
        <f>$B$63*$C$63*L93*L94*$B$45*(1-$E$63*$B$50)</f>
        <v/>
      </c>
    </row>
    <row r="100">
      <c r="A100" t="inlineStr">
        <is>
          <t xml:space="preserve">  Pension box premium (places occupées)</t>
        </is>
      </c>
      <c r="B100" s="5">
        <f>SUM(C100:L100)</f>
        <v/>
      </c>
      <c r="C100" s="5">
        <f>$B$64*$C$64*C93*C94*$B$45*(1-$E$64*$B$50)</f>
        <v/>
      </c>
      <c r="D100" s="5">
        <f>$B$64*$C$64*D93*D94*$B$45*(1-$E$64*$B$50)</f>
        <v/>
      </c>
      <c r="E100" s="5">
        <f>$B$64*$C$64*E93*E94*$B$45*(1-$E$64*$B$50)</f>
        <v/>
      </c>
      <c r="F100" s="5">
        <f>$B$64*$C$64*F93*F94*$B$45*(1-$E$64*$B$50)</f>
        <v/>
      </c>
      <c r="G100" s="5">
        <f>$B$64*$C$64*G93*G94*$B$45*(1-$E$64*$B$50)</f>
        <v/>
      </c>
      <c r="H100" s="5">
        <f>$B$64*$C$64*H93*H94*$B$45*(1-$E$64*$B$50)</f>
        <v/>
      </c>
      <c r="I100" s="5">
        <f>$B$64*$C$64*I93*I94*$B$45*(1-$E$64*$B$50)</f>
        <v/>
      </c>
      <c r="J100" s="5">
        <f>$B$64*$C$64*J93*J94*$B$45*(1-$E$64*$B$50)</f>
        <v/>
      </c>
      <c r="K100" s="5">
        <f>$B$64*$C$64*K93*K94*$B$45*(1-$E$64*$B$50)</f>
        <v/>
      </c>
      <c r="L100" s="5">
        <f>$B$64*$C$64*L93*L94*$B$45*(1-$E$64*$B$50)</f>
        <v/>
      </c>
    </row>
    <row r="101">
      <c r="A101" t="inlineStr">
        <is>
          <t xml:space="preserve">  Pension au pré (places occupées)</t>
        </is>
      </c>
      <c r="B101" s="5">
        <f>SUM(C101:L101)</f>
        <v/>
      </c>
      <c r="C101" s="5">
        <f>$B$65*$C$65*C93*C94*$B$45*(1-$E$65*$B$50)</f>
        <v/>
      </c>
      <c r="D101" s="5">
        <f>$B$65*$C$65*D93*D94*$B$45*(1-$E$65*$B$50)</f>
        <v/>
      </c>
      <c r="E101" s="5">
        <f>$B$65*$C$65*E93*E94*$B$45*(1-$E$65*$B$50)</f>
        <v/>
      </c>
      <c r="F101" s="5">
        <f>$B$65*$C$65*F93*F94*$B$45*(1-$E$65*$B$50)</f>
        <v/>
      </c>
      <c r="G101" s="5">
        <f>$B$65*$C$65*G93*G94*$B$45*(1-$E$65*$B$50)</f>
        <v/>
      </c>
      <c r="H101" s="5">
        <f>$B$65*$C$65*H93*H94*$B$45*(1-$E$65*$B$50)</f>
        <v/>
      </c>
      <c r="I101" s="5">
        <f>$B$65*$C$65*I93*I94*$B$45*(1-$E$65*$B$50)</f>
        <v/>
      </c>
      <c r="J101" s="5">
        <f>$B$65*$C$65*J93*J94*$B$45*(1-$E$65*$B$50)</f>
        <v/>
      </c>
      <c r="K101" s="5">
        <f>$B$65*$C$65*K93*K94*$B$45*(1-$E$65*$B$50)</f>
        <v/>
      </c>
      <c r="L101" s="5">
        <f>$B$65*$C$65*L93*L94*$B$45*(1-$E$65*$B$50)</f>
        <v/>
      </c>
    </row>
    <row r="102">
      <c r="A102" t="inlineStr">
        <is>
          <t xml:space="preserve">  Valorisation et vente de jeunes chevaux (marge nette par cheval vendu)</t>
        </is>
      </c>
      <c r="B102" s="5">
        <f>SUM(C102:L102)</f>
        <v/>
      </c>
      <c r="C102" s="5">
        <f>$B$66*$C$66*C93*C94*$B$45*(1-$E$66*$B$50)</f>
        <v/>
      </c>
      <c r="D102" s="5">
        <f>$B$66*$C$66*D93*D94*$B$45*(1-$E$66*$B$50)</f>
        <v/>
      </c>
      <c r="E102" s="5">
        <f>$B$66*$C$66*E93*E94*$B$45*(1-$E$66*$B$50)</f>
        <v/>
      </c>
      <c r="F102" s="5">
        <f>$B$66*$C$66*F93*F94*$B$45*(1-$E$66*$B$50)</f>
        <v/>
      </c>
      <c r="G102" s="5">
        <f>$B$66*$C$66*G93*G94*$B$45*(1-$E$66*$B$50)</f>
        <v/>
      </c>
      <c r="H102" s="5">
        <f>$B$66*$C$66*H93*H94*$B$45*(1-$E$66*$B$50)</f>
        <v/>
      </c>
      <c r="I102" s="5">
        <f>$B$66*$C$66*I93*I94*$B$45*(1-$E$66*$B$50)</f>
        <v/>
      </c>
      <c r="J102" s="5">
        <f>$B$66*$C$66*J93*J94*$B$45*(1-$E$66*$B$50)</f>
        <v/>
      </c>
      <c r="K102" s="5">
        <f>$B$66*$C$66*K93*K94*$B$45*(1-$E$66*$B$50)</f>
        <v/>
      </c>
      <c r="L102" s="5">
        <f>$B$66*$C$66*L93*L94*$B$45*(1-$E$66*$B$50)</f>
        <v/>
      </c>
    </row>
    <row r="103">
      <c r="A103" t="inlineStr">
        <is>
          <t xml:space="preserve">  Organisation de concours (produit annuel)</t>
        </is>
      </c>
      <c r="B103" s="5">
        <f>SUM(C103:L103)</f>
        <v/>
      </c>
      <c r="C103" s="5">
        <f>$B$67*$C$67*C93*C94*$B$45*(1-$E$67*$B$50)</f>
        <v/>
      </c>
      <c r="D103" s="5">
        <f>$B$67*$C$67*D93*D94*$B$45*(1-$E$67*$B$50)</f>
        <v/>
      </c>
      <c r="E103" s="5">
        <f>$B$67*$C$67*E93*E94*$B$45*(1-$E$67*$B$50)</f>
        <v/>
      </c>
      <c r="F103" s="5">
        <f>$B$67*$C$67*F93*F94*$B$45*(1-$E$67*$B$50)</f>
        <v/>
      </c>
      <c r="G103" s="5">
        <f>$B$67*$C$67*G93*G94*$B$45*(1-$E$67*$B$50)</f>
        <v/>
      </c>
      <c r="H103" s="5">
        <f>$B$67*$C$67*H93*H94*$B$45*(1-$E$67*$B$50)</f>
        <v/>
      </c>
      <c r="I103" s="5">
        <f>$B$67*$C$67*I93*I94*$B$45*(1-$E$67*$B$50)</f>
        <v/>
      </c>
      <c r="J103" s="5">
        <f>$B$67*$C$67*J93*J94*$B$45*(1-$E$67*$B$50)</f>
        <v/>
      </c>
      <c r="K103" s="5">
        <f>$B$67*$C$67*K93*K94*$B$45*(1-$E$67*$B$50)</f>
        <v/>
      </c>
      <c r="L103" s="5">
        <f>$B$67*$C$67*L93*L94*$B$45*(1-$E$67*$B$50)</f>
        <v/>
      </c>
    </row>
    <row r="104">
      <c r="A104" t="inlineStr">
        <is>
          <t xml:space="preserve">  Ventes privées / showcases B2B (soirées)</t>
        </is>
      </c>
      <c r="B104" s="5">
        <f>SUM(C104:L104)</f>
        <v/>
      </c>
      <c r="C104" s="5">
        <f>$B$68*$C$68*C93*C94*$B$45*(1-$E$68*$B$50)</f>
        <v/>
      </c>
      <c r="D104" s="5">
        <f>$B$68*$C$68*D93*D94*$B$45*(1-$E$68*$B$50)</f>
        <v/>
      </c>
      <c r="E104" s="5">
        <f>$B$68*$C$68*E93*E94*$B$45*(1-$E$68*$B$50)</f>
        <v/>
      </c>
      <c r="F104" s="5">
        <f>$B$68*$C$68*F93*F94*$B$45*(1-$E$68*$B$50)</f>
        <v/>
      </c>
      <c r="G104" s="5">
        <f>$B$68*$C$68*G93*G94*$B$45*(1-$E$68*$B$50)</f>
        <v/>
      </c>
      <c r="H104" s="5">
        <f>$B$68*$C$68*H93*H94*$B$45*(1-$E$68*$B$50)</f>
        <v/>
      </c>
      <c r="I104" s="5">
        <f>$B$68*$C$68*I93*I94*$B$45*(1-$E$68*$B$50)</f>
        <v/>
      </c>
      <c r="J104" s="5">
        <f>$B$68*$C$68*J93*J94*$B$45*(1-$E$68*$B$50)</f>
        <v/>
      </c>
      <c r="K104" s="5">
        <f>$B$68*$C$68*K93*K94*$B$45*(1-$E$68*$B$50)</f>
        <v/>
      </c>
      <c r="L104" s="5">
        <f>$B$68*$C$68*L93*L94*$B$45*(1-$E$68*$B$50)</f>
        <v/>
      </c>
    </row>
    <row r="105">
      <c r="A105" t="inlineStr">
        <is>
          <t xml:space="preserve">  Gains de compétition</t>
        </is>
      </c>
      <c r="B105" s="5">
        <f>SUM(C105:L105)</f>
        <v/>
      </c>
      <c r="C105" s="5">
        <f>$B$69*$C$69*C93*C94*$B$45*(1-$E$69*$B$50)</f>
        <v/>
      </c>
      <c r="D105" s="5">
        <f>$B$69*$C$69*D93*D94*$B$45*(1-$E$69*$B$50)</f>
        <v/>
      </c>
      <c r="E105" s="5">
        <f>$B$69*$C$69*E93*E94*$B$45*(1-$E$69*$B$50)</f>
        <v/>
      </c>
      <c r="F105" s="5">
        <f>$B$69*$C$69*F93*F94*$B$45*(1-$E$69*$B$50)</f>
        <v/>
      </c>
      <c r="G105" s="5">
        <f>$B$69*$C$69*G93*G94*$B$45*(1-$E$69*$B$50)</f>
        <v/>
      </c>
      <c r="H105" s="5">
        <f>$B$69*$C$69*H93*H94*$B$45*(1-$E$69*$B$50)</f>
        <v/>
      </c>
      <c r="I105" s="5">
        <f>$B$69*$C$69*I93*I94*$B$45*(1-$E$69*$B$50)</f>
        <v/>
      </c>
      <c r="J105" s="5">
        <f>$B$69*$C$69*J93*J94*$B$45*(1-$E$69*$B$50)</f>
        <v/>
      </c>
      <c r="K105" s="5">
        <f>$B$69*$C$69*K93*K94*$B$45*(1-$E$69*$B$50)</f>
        <v/>
      </c>
      <c r="L105" s="5">
        <f>$B$69*$C$69*L93*L94*$B$45*(1-$E$69*$B$50)</f>
        <v/>
      </c>
    </row>
    <row r="106">
      <c r="A106" t="inlineStr">
        <is>
          <t xml:space="preserve">  Gîte 15 couchages hors mariages (nuits)</t>
        </is>
      </c>
      <c r="B106" s="5">
        <f>SUM(C106:L106)</f>
        <v/>
      </c>
      <c r="C106" s="5">
        <f>$B$70*$C$70*C93*C94*$B$45*(1-$E$70*$B$50)</f>
        <v/>
      </c>
      <c r="D106" s="5">
        <f>$B$70*$C$70*D93*D94*$B$45*(1-$E$70*$B$50)</f>
        <v/>
      </c>
      <c r="E106" s="5">
        <f>$B$70*$C$70*E93*E94*$B$45*(1-$E$70*$B$50)</f>
        <v/>
      </c>
      <c r="F106" s="5">
        <f>$B$70*$C$70*F93*F94*$B$45*(1-$E$70*$B$50)</f>
        <v/>
      </c>
      <c r="G106" s="5">
        <f>$B$70*$C$70*G93*G94*$B$45*(1-$E$70*$B$50)</f>
        <v/>
      </c>
      <c r="H106" s="5">
        <f>$B$70*$C$70*H93*H94*$B$45*(1-$E$70*$B$50)</f>
        <v/>
      </c>
      <c r="I106" s="5">
        <f>$B$70*$C$70*I93*I94*$B$45*(1-$E$70*$B$50)</f>
        <v/>
      </c>
      <c r="J106" s="5">
        <f>$B$70*$C$70*J93*J94*$B$45*(1-$E$70*$B$50)</f>
        <v/>
      </c>
      <c r="K106" s="5">
        <f>$B$70*$C$70*K93*K94*$B$45*(1-$E$70*$B$50)</f>
        <v/>
      </c>
      <c r="L106" s="5">
        <f>$B$70*$C$70*L93*L94*$B$45*(1-$E$70*$B$50)</f>
        <v/>
      </c>
    </row>
    <row r="107">
      <c r="A107" t="inlineStr">
        <is>
          <t xml:space="preserve">  Tournages / shootings (jours)</t>
        </is>
      </c>
      <c r="B107" s="5">
        <f>SUM(C107:L107)</f>
        <v/>
      </c>
      <c r="C107" s="5">
        <f>$B$71*$C$71*C93*C94*$B$45*(1-$E$71*$B$50)</f>
        <v/>
      </c>
      <c r="D107" s="5">
        <f>$B$71*$C$71*D93*D94*$B$45*(1-$E$71*$B$50)</f>
        <v/>
      </c>
      <c r="E107" s="5">
        <f>$B$71*$C$71*E93*E94*$B$45*(1-$E$71*$B$50)</f>
        <v/>
      </c>
      <c r="F107" s="5">
        <f>$B$71*$C$71*F93*F94*$B$45*(1-$E$71*$B$50)</f>
        <v/>
      </c>
      <c r="G107" s="5">
        <f>$B$71*$C$71*G93*G94*$B$45*(1-$E$71*$B$50)</f>
        <v/>
      </c>
      <c r="H107" s="5">
        <f>$B$71*$C$71*H93*H94*$B$45*(1-$E$71*$B$50)</f>
        <v/>
      </c>
      <c r="I107" s="5">
        <f>$B$71*$C$71*I93*I94*$B$45*(1-$E$71*$B$50)</f>
        <v/>
      </c>
      <c r="J107" s="5">
        <f>$B$71*$C$71*J93*J94*$B$45*(1-$E$71*$B$50)</f>
        <v/>
      </c>
      <c r="K107" s="5">
        <f>$B$71*$C$71*K93*K94*$B$45*(1-$E$71*$B$50)</f>
        <v/>
      </c>
      <c r="L107" s="5">
        <f>$B$71*$C$71*L93*L94*$B$45*(1-$E$71*$B$50)</f>
        <v/>
      </c>
    </row>
    <row r="108">
      <c r="A108" t="inlineStr">
        <is>
          <t xml:space="preserve">  Fermage / vente d'herbe (ha)</t>
        </is>
      </c>
      <c r="B108" s="5">
        <f>SUM(C108:L108)</f>
        <v/>
      </c>
      <c r="C108" s="5">
        <f>$B$72*$C$72*C93*C94*$B$45*(1-$E$72*$B$50)</f>
        <v/>
      </c>
      <c r="D108" s="5">
        <f>$B$72*$C$72*D93*D94*$B$45*(1-$E$72*$B$50)</f>
        <v/>
      </c>
      <c r="E108" s="5">
        <f>$B$72*$C$72*E93*E94*$B$45*(1-$E$72*$B$50)</f>
        <v/>
      </c>
      <c r="F108" s="5">
        <f>$B$72*$C$72*F93*F94*$B$45*(1-$E$72*$B$50)</f>
        <v/>
      </c>
      <c r="G108" s="5">
        <f>$B$72*$C$72*G93*G94*$B$45*(1-$E$72*$B$50)</f>
        <v/>
      </c>
      <c r="H108" s="5">
        <f>$B$72*$C$72*H93*H94*$B$45*(1-$E$72*$B$50)</f>
        <v/>
      </c>
      <c r="I108" s="5">
        <f>$B$72*$C$72*I93*I94*$B$45*(1-$E$72*$B$50)</f>
        <v/>
      </c>
      <c r="J108" s="5">
        <f>$B$72*$C$72*J93*J94*$B$45*(1-$E$72*$B$50)</f>
        <v/>
      </c>
      <c r="K108" s="5">
        <f>$B$72*$C$72*K93*K94*$B$45*(1-$E$72*$B$50)</f>
        <v/>
      </c>
      <c r="L108" s="5">
        <f>$B$72*$C$72*L93*L94*$B$45*(1-$E$72*$B$50)</f>
        <v/>
      </c>
    </row>
    <row r="109">
      <c r="A109" s="4" t="inlineStr">
        <is>
          <t>Chiffre d'affaires total</t>
        </is>
      </c>
      <c r="B109" s="18">
        <f>SUM(C109:L109)</f>
        <v/>
      </c>
      <c r="C109" s="18">
        <f>C99+C100+C101+C102+C103+C104+C105+C106+C107+C108</f>
        <v/>
      </c>
      <c r="D109" s="18">
        <f>D99+D100+D101+D102+D103+D104+D105+D106+D107+D108</f>
        <v/>
      </c>
      <c r="E109" s="18">
        <f>E99+E100+E101+E102+E103+E104+E105+E106+E107+E108</f>
        <v/>
      </c>
      <c r="F109" s="18">
        <f>F99+F100+F101+F102+F103+F104+F105+F106+F107+F108</f>
        <v/>
      </c>
      <c r="G109" s="18">
        <f>G99+G100+G101+G102+G103+G104+G105+G106+G107+G108</f>
        <v/>
      </c>
      <c r="H109" s="18">
        <f>H99+H100+H101+H102+H103+H104+H105+H106+H107+H108</f>
        <v/>
      </c>
      <c r="I109" s="18">
        <f>I99+I100+I101+I102+I103+I104+I105+I106+I107+I108</f>
        <v/>
      </c>
      <c r="J109" s="18">
        <f>J99+J100+J101+J102+J103+J104+J105+J106+J107+J108</f>
        <v/>
      </c>
      <c r="K109" s="18">
        <f>K99+K100+K101+K102+K103+K104+K105+K106+K107+K108</f>
        <v/>
      </c>
      <c r="L109" s="18">
        <f>L99+L100+L101+L102+L103+L104+L105+L106+L107+L108</f>
        <v/>
      </c>
    </row>
    <row r="110">
      <c r="A110" t="inlineStr">
        <is>
          <t xml:space="preserve">  dont équestre</t>
        </is>
      </c>
      <c r="B110" s="5">
        <f>SUM(C110:L110)</f>
        <v/>
      </c>
      <c r="C110" s="5">
        <f>C99*$F$63+C100*$F$64+C101*$F$65+C102*$F$66+C103*$F$67+C104*$F$68+C105*$F$69+C106*$F$70+C107*$F$71+C108*$F$72</f>
        <v/>
      </c>
      <c r="D110" s="5">
        <f>D99*$F$63+D100*$F$64+D101*$F$65+D102*$F$66+D103*$F$67+D104*$F$68+D105*$F$69+D106*$F$70+D107*$F$71+D108*$F$72</f>
        <v/>
      </c>
      <c r="E110" s="5">
        <f>E99*$F$63+E100*$F$64+E101*$F$65+E102*$F$66+E103*$F$67+E104*$F$68+E105*$F$69+E106*$F$70+E107*$F$71+E108*$F$72</f>
        <v/>
      </c>
      <c r="F110" s="5">
        <f>F99*$F$63+F100*$F$64+F101*$F$65+F102*$F$66+F103*$F$67+F104*$F$68+F105*$F$69+F106*$F$70+F107*$F$71+F108*$F$72</f>
        <v/>
      </c>
      <c r="G110" s="5">
        <f>G99*$F$63+G100*$F$64+G101*$F$65+G102*$F$66+G103*$F$67+G104*$F$68+G105*$F$69+G106*$F$70+G107*$F$71+G108*$F$72</f>
        <v/>
      </c>
      <c r="H110" s="5">
        <f>H99*$F$63+H100*$F$64+H101*$F$65+H102*$F$66+H103*$F$67+H104*$F$68+H105*$F$69+H106*$F$70+H107*$F$71+H108*$F$72</f>
        <v/>
      </c>
      <c r="I110" s="5">
        <f>I99*$F$63+I100*$F$64+I101*$F$65+I102*$F$66+I103*$F$67+I104*$F$68+I105*$F$69+I106*$F$70+I107*$F$71+I108*$F$72</f>
        <v/>
      </c>
      <c r="J110" s="5">
        <f>J99*$F$63+J100*$F$64+J101*$F$65+J102*$F$66+J103*$F$67+J104*$F$68+J105*$F$69+J106*$F$70+J107*$F$71+J108*$F$72</f>
        <v/>
      </c>
      <c r="K110" s="5">
        <f>K99*$F$63+K100*$F$64+K101*$F$65+K102*$F$66+K103*$F$67+K104*$F$68+K105*$F$69+K106*$F$70+K107*$F$71+K108*$F$72</f>
        <v/>
      </c>
      <c r="L110" s="5">
        <f>L99*$F$63+L100*$F$64+L101*$F$65+L102*$F$66+L103*$F$67+L104*$F$68+L105*$F$69+L106*$F$70+L107*$F$71+L108*$F$72</f>
        <v/>
      </c>
    </row>
    <row r="111">
      <c r="A111" t="inlineStr">
        <is>
          <t xml:space="preserve">  Part équestre du CA</t>
        </is>
      </c>
      <c r="C111" s="6">
        <f>IF(C109=0,0,C110/C109)</f>
        <v/>
      </c>
      <c r="D111" s="6">
        <f>IF(D109=0,0,D110/D109)</f>
        <v/>
      </c>
      <c r="E111" s="6">
        <f>IF(E109=0,0,E110/E109)</f>
        <v/>
      </c>
      <c r="F111" s="6">
        <f>IF(F109=0,0,F110/F109)</f>
        <v/>
      </c>
      <c r="G111" s="6">
        <f>IF(G109=0,0,G110/G109)</f>
        <v/>
      </c>
      <c r="H111" s="6">
        <f>IF(H109=0,0,H110/H109)</f>
        <v/>
      </c>
      <c r="I111" s="6">
        <f>IF(I109=0,0,I110/I109)</f>
        <v/>
      </c>
      <c r="J111" s="6">
        <f>IF(J109=0,0,J110/J109)</f>
        <v/>
      </c>
      <c r="K111" s="6">
        <f>IF(K109=0,0,K110/K109)</f>
        <v/>
      </c>
      <c r="L111" s="6">
        <f>IF(L109=0,0,L110/L109)</f>
        <v/>
      </c>
    </row>
    <row r="112">
      <c r="A112" t="inlineStr">
        <is>
          <t>Coûts variables</t>
        </is>
      </c>
      <c r="B112" s="5">
        <f>SUM(C112:L112)</f>
        <v/>
      </c>
      <c r="C112" s="5">
        <f>-(C99*$D$63+C100*$D$64+C101*$D$65+C102*$D$66+C103*$D$67+C104*$D$68+C105*$D$69+C106*$D$70+C107*$D$71+C108*$D$72)</f>
        <v/>
      </c>
      <c r="D112" s="5">
        <f>-(D99*$D$63+D100*$D$64+D101*$D$65+D102*$D$66+D103*$D$67+D104*$D$68+D105*$D$69+D106*$D$70+D107*$D$71+D108*$D$72)</f>
        <v/>
      </c>
      <c r="E112" s="5">
        <f>-(E99*$D$63+E100*$D$64+E101*$D$65+E102*$D$66+E103*$D$67+E104*$D$68+E105*$D$69+E106*$D$70+E107*$D$71+E108*$D$72)</f>
        <v/>
      </c>
      <c r="F112" s="5">
        <f>-(F99*$D$63+F100*$D$64+F101*$D$65+F102*$D$66+F103*$D$67+F104*$D$68+F105*$D$69+F106*$D$70+F107*$D$71+F108*$D$72)</f>
        <v/>
      </c>
      <c r="G112" s="5">
        <f>-(G99*$D$63+G100*$D$64+G101*$D$65+G102*$D$66+G103*$D$67+G104*$D$68+G105*$D$69+G106*$D$70+G107*$D$71+G108*$D$72)</f>
        <v/>
      </c>
      <c r="H112" s="5">
        <f>-(H99*$D$63+H100*$D$64+H101*$D$65+H102*$D$66+H103*$D$67+H104*$D$68+H105*$D$69+H106*$D$70+H107*$D$71+H108*$D$72)</f>
        <v/>
      </c>
      <c r="I112" s="5">
        <f>-(I99*$D$63+I100*$D$64+I101*$D$65+I102*$D$66+I103*$D$67+I104*$D$68+I105*$D$69+I106*$D$70+I107*$D$71+I108*$D$72)</f>
        <v/>
      </c>
      <c r="J112" s="5">
        <f>-(J99*$D$63+J100*$D$64+J101*$D$65+J102*$D$66+J103*$D$67+J104*$D$68+J105*$D$69+J106*$D$70+J107*$D$71+J108*$D$72)</f>
        <v/>
      </c>
      <c r="K112" s="5">
        <f>-(K99*$D$63+K100*$D$64+K101*$D$65+K102*$D$66+K103*$D$67+K104*$D$68+K105*$D$69+K106*$D$70+K107*$D$71+K108*$D$72)</f>
        <v/>
      </c>
      <c r="L112" s="5">
        <f>-(L99*$D$63+L100*$D$64+L101*$D$65+L102*$D$66+L103*$D$67+L104*$D$68+L105*$D$69+L106*$D$70+L107*$D$71+L108*$D$72)</f>
        <v/>
      </c>
    </row>
    <row r="113">
      <c r="A113" s="4" t="inlineStr">
        <is>
          <t>Marge sur coûts variables</t>
        </is>
      </c>
      <c r="B113" s="18">
        <f>SUM(C113:L113)</f>
        <v/>
      </c>
      <c r="C113" s="18">
        <f>C109+C112</f>
        <v/>
      </c>
      <c r="D113" s="18">
        <f>D109+D112</f>
        <v/>
      </c>
      <c r="E113" s="18">
        <f>E109+E112</f>
        <v/>
      </c>
      <c r="F113" s="18">
        <f>F109+F112</f>
        <v/>
      </c>
      <c r="G113" s="18">
        <f>G109+G112</f>
        <v/>
      </c>
      <c r="H113" s="18">
        <f>H109+H112</f>
        <v/>
      </c>
      <c r="I113" s="18">
        <f>I109+I112</f>
        <v/>
      </c>
      <c r="J113" s="18">
        <f>J109+J112</f>
        <v/>
      </c>
      <c r="K113" s="18">
        <f>K109+K112</f>
        <v/>
      </c>
      <c r="L113" s="18">
        <f>L109+L112</f>
        <v/>
      </c>
    </row>
    <row r="114">
      <c r="A114" t="inlineStr">
        <is>
          <t xml:space="preserve">  Taxe foncière</t>
        </is>
      </c>
      <c r="B114" s="5">
        <f>SUM(C114:L114)</f>
        <v/>
      </c>
      <c r="C114" s="5">
        <f>-$B$76*C95*IF($C$76=1,C96,IF(C92&gt;0,1,0))</f>
        <v/>
      </c>
      <c r="D114" s="5">
        <f>-$B$76*D95*IF($C$76=1,D96,IF(D92&gt;0,1,0))</f>
        <v/>
      </c>
      <c r="E114" s="5">
        <f>-$B$76*E95*IF($C$76=1,E96,IF(E92&gt;0,1,0))</f>
        <v/>
      </c>
      <c r="F114" s="5">
        <f>-$B$76*F95*IF($C$76=1,F96,IF(F92&gt;0,1,0))</f>
        <v/>
      </c>
      <c r="G114" s="5">
        <f>-$B$76*G95*IF($C$76=1,G96,IF(G92&gt;0,1,0))</f>
        <v/>
      </c>
      <c r="H114" s="5">
        <f>-$B$76*H95*IF($C$76=1,H96,IF(H92&gt;0,1,0))</f>
        <v/>
      </c>
      <c r="I114" s="5">
        <f>-$B$76*I95*IF($C$76=1,I96,IF(I92&gt;0,1,0))</f>
        <v/>
      </c>
      <c r="J114" s="5">
        <f>-$B$76*J95*IF($C$76=1,J96,IF(J92&gt;0,1,0))</f>
        <v/>
      </c>
      <c r="K114" s="5">
        <f>-$B$76*K95*IF($C$76=1,K96,IF(K92&gt;0,1,0))</f>
        <v/>
      </c>
      <c r="L114" s="5">
        <f>-$B$76*L95*IF($C$76=1,L96,IF(L92&gt;0,1,0))</f>
        <v/>
      </c>
    </row>
    <row r="115">
      <c r="A115" t="inlineStr">
        <is>
          <t xml:space="preserve">  Assurance multirisque château</t>
        </is>
      </c>
      <c r="B115" s="5">
        <f>SUM(C115:L115)</f>
        <v/>
      </c>
      <c r="C115" s="5">
        <f>-$B$77*C95*IF($C$77=1,C96,IF(C92&gt;0,1,0))</f>
        <v/>
      </c>
      <c r="D115" s="5">
        <f>-$B$77*D95*IF($C$77=1,D96,IF(D92&gt;0,1,0))</f>
        <v/>
      </c>
      <c r="E115" s="5">
        <f>-$B$77*E95*IF($C$77=1,E96,IF(E92&gt;0,1,0))</f>
        <v/>
      </c>
      <c r="F115" s="5">
        <f>-$B$77*F95*IF($C$77=1,F96,IF(F92&gt;0,1,0))</f>
        <v/>
      </c>
      <c r="G115" s="5">
        <f>-$B$77*G95*IF($C$77=1,G96,IF(G92&gt;0,1,0))</f>
        <v/>
      </c>
      <c r="H115" s="5">
        <f>-$B$77*H95*IF($C$77=1,H96,IF(H92&gt;0,1,0))</f>
        <v/>
      </c>
      <c r="I115" s="5">
        <f>-$B$77*I95*IF($C$77=1,I96,IF(I92&gt;0,1,0))</f>
        <v/>
      </c>
      <c r="J115" s="5">
        <f>-$B$77*J95*IF($C$77=1,J96,IF(J92&gt;0,1,0))</f>
        <v/>
      </c>
      <c r="K115" s="5">
        <f>-$B$77*K95*IF($C$77=1,K96,IF(K92&gt;0,1,0))</f>
        <v/>
      </c>
      <c r="L115" s="5">
        <f>-$B$77*L95*IF($C$77=1,L96,IF(L92&gt;0,1,0))</f>
        <v/>
      </c>
    </row>
    <row r="116">
      <c r="A116" t="inlineStr">
        <is>
          <t xml:space="preserve">  Énergie (chauffage partiel, électricité, eau)</t>
        </is>
      </c>
      <c r="B116" s="5">
        <f>SUM(C116:L116)</f>
        <v/>
      </c>
      <c r="C116" s="5">
        <f>-$B$78*C95*IF($C$78=1,C96,IF(C92&gt;0,1,0))</f>
        <v/>
      </c>
      <c r="D116" s="5">
        <f>-$B$78*D95*IF($C$78=1,D96,IF(D92&gt;0,1,0))</f>
        <v/>
      </c>
      <c r="E116" s="5">
        <f>-$B$78*E95*IF($C$78=1,E96,IF(E92&gt;0,1,0))</f>
        <v/>
      </c>
      <c r="F116" s="5">
        <f>-$B$78*F95*IF($C$78=1,F96,IF(F92&gt;0,1,0))</f>
        <v/>
      </c>
      <c r="G116" s="5">
        <f>-$B$78*G95*IF($C$78=1,G96,IF(G92&gt;0,1,0))</f>
        <v/>
      </c>
      <c r="H116" s="5">
        <f>-$B$78*H95*IF($C$78=1,H96,IF(H92&gt;0,1,0))</f>
        <v/>
      </c>
      <c r="I116" s="5">
        <f>-$B$78*I95*IF($C$78=1,I96,IF(I92&gt;0,1,0))</f>
        <v/>
      </c>
      <c r="J116" s="5">
        <f>-$B$78*J95*IF($C$78=1,J96,IF(J92&gt;0,1,0))</f>
        <v/>
      </c>
      <c r="K116" s="5">
        <f>-$B$78*K95*IF($C$78=1,K96,IF(K92&gt;0,1,0))</f>
        <v/>
      </c>
      <c r="L116" s="5">
        <f>-$B$78*L95*IF($C$78=1,L96,IF(L92&gt;0,1,0))</f>
        <v/>
      </c>
    </row>
    <row r="117">
      <c r="A117" t="inlineStr">
        <is>
          <t xml:space="preserve">  Jardinier / agent d'entretien (1 ETP au Smic chargé)</t>
        </is>
      </c>
      <c r="B117" s="5">
        <f>SUM(C117:L117)</f>
        <v/>
      </c>
      <c r="C117" s="5">
        <f>-$B$79*C95*IF($C$79=1,C96,IF(C92&gt;0,1,0))</f>
        <v/>
      </c>
      <c r="D117" s="5">
        <f>-$B$79*D95*IF($C$79=1,D96,IF(D92&gt;0,1,0))</f>
        <v/>
      </c>
      <c r="E117" s="5">
        <f>-$B$79*E95*IF($C$79=1,E96,IF(E92&gt;0,1,0))</f>
        <v/>
      </c>
      <c r="F117" s="5">
        <f>-$B$79*F95*IF($C$79=1,F96,IF(F92&gt;0,1,0))</f>
        <v/>
      </c>
      <c r="G117" s="5">
        <f>-$B$79*G95*IF($C$79=1,G96,IF(G92&gt;0,1,0))</f>
        <v/>
      </c>
      <c r="H117" s="5">
        <f>-$B$79*H95*IF($C$79=1,H96,IF(H92&gt;0,1,0))</f>
        <v/>
      </c>
      <c r="I117" s="5">
        <f>-$B$79*I95*IF($C$79=1,I96,IF(I92&gt;0,1,0))</f>
        <v/>
      </c>
      <c r="J117" s="5">
        <f>-$B$79*J95*IF($C$79=1,J96,IF(J92&gt;0,1,0))</f>
        <v/>
      </c>
      <c r="K117" s="5">
        <f>-$B$79*K95*IF($C$79=1,K96,IF(K92&gt;0,1,0))</f>
        <v/>
      </c>
      <c r="L117" s="5">
        <f>-$B$79*L95*IF($C$79=1,L96,IF(L92&gt;0,1,0))</f>
        <v/>
      </c>
    </row>
    <row r="118">
      <c r="A118" t="inlineStr">
        <is>
          <t xml:space="preserve">  Divers (abonnements, petit matériel, véhicule, honoraires)</t>
        </is>
      </c>
      <c r="B118" s="5">
        <f>SUM(C118:L118)</f>
        <v/>
      </c>
      <c r="C118" s="5">
        <f>-$B$80*C95*IF($C$80=1,C96,IF(C92&gt;0,1,0))</f>
        <v/>
      </c>
      <c r="D118" s="5">
        <f>-$B$80*D95*IF($C$80=1,D96,IF(D92&gt;0,1,0))</f>
        <v/>
      </c>
      <c r="E118" s="5">
        <f>-$B$80*E95*IF($C$80=1,E96,IF(E92&gt;0,1,0))</f>
        <v/>
      </c>
      <c r="F118" s="5">
        <f>-$B$80*F95*IF($C$80=1,F96,IF(F92&gt;0,1,0))</f>
        <v/>
      </c>
      <c r="G118" s="5">
        <f>-$B$80*G95*IF($C$80=1,G96,IF(G92&gt;0,1,0))</f>
        <v/>
      </c>
      <c r="H118" s="5">
        <f>-$B$80*H95*IF($C$80=1,H96,IF(H92&gt;0,1,0))</f>
        <v/>
      </c>
      <c r="I118" s="5">
        <f>-$B$80*I95*IF($C$80=1,I96,IF(I92&gt;0,1,0))</f>
        <v/>
      </c>
      <c r="J118" s="5">
        <f>-$B$80*J95*IF($C$80=1,J96,IF(J92&gt;0,1,0))</f>
        <v/>
      </c>
      <c r="K118" s="5">
        <f>-$B$80*K95*IF($C$80=1,K96,IF(K92&gt;0,1,0))</f>
        <v/>
      </c>
      <c r="L118" s="5">
        <f>-$B$80*L95*IF($C$80=1,L96,IF(L92&gt;0,1,0))</f>
        <v/>
      </c>
    </row>
    <row r="119">
      <c r="A119" t="inlineStr">
        <is>
          <t xml:space="preserve">  Cavalier professionnel / responsable d'écurie (chargé)</t>
        </is>
      </c>
      <c r="B119" s="5">
        <f>SUM(C119:L119)</f>
        <v/>
      </c>
      <c r="C119" s="5">
        <f>-$B$81*C95*IF($C$81=1,C96,IF(C92&gt;0,1,0))</f>
        <v/>
      </c>
      <c r="D119" s="5">
        <f>-$B$81*D95*IF($C$81=1,D96,IF(D92&gt;0,1,0))</f>
        <v/>
      </c>
      <c r="E119" s="5">
        <f>-$B$81*E95*IF($C$81=1,E96,IF(E92&gt;0,1,0))</f>
        <v/>
      </c>
      <c r="F119" s="5">
        <f>-$B$81*F95*IF($C$81=1,F96,IF(F92&gt;0,1,0))</f>
        <v/>
      </c>
      <c r="G119" s="5">
        <f>-$B$81*G95*IF($C$81=1,G96,IF(G92&gt;0,1,0))</f>
        <v/>
      </c>
      <c r="H119" s="5">
        <f>-$B$81*H95*IF($C$81=1,H96,IF(H92&gt;0,1,0))</f>
        <v/>
      </c>
      <c r="I119" s="5">
        <f>-$B$81*I95*IF($C$81=1,I96,IF(I92&gt;0,1,0))</f>
        <v/>
      </c>
      <c r="J119" s="5">
        <f>-$B$81*J95*IF($C$81=1,J96,IF(J92&gt;0,1,0))</f>
        <v/>
      </c>
      <c r="K119" s="5">
        <f>-$B$81*K95*IF($C$81=1,K96,IF(K92&gt;0,1,0))</f>
        <v/>
      </c>
      <c r="L119" s="5">
        <f>-$B$81*L95*IF($C$81=1,L96,IF(L92&gt;0,1,0))</f>
        <v/>
      </c>
    </row>
    <row r="120">
      <c r="A120" t="inlineStr">
        <is>
          <t xml:space="preserve">  Soigneurs (2 ETP au Smic chargés)</t>
        </is>
      </c>
      <c r="B120" s="5">
        <f>SUM(C120:L120)</f>
        <v/>
      </c>
      <c r="C120" s="5">
        <f>-$B$82*C95*IF($C$82=1,C96,IF(C92&gt;0,1,0))</f>
        <v/>
      </c>
      <c r="D120" s="5">
        <f>-$B$82*D95*IF($C$82=1,D96,IF(D92&gt;0,1,0))</f>
        <v/>
      </c>
      <c r="E120" s="5">
        <f>-$B$82*E95*IF($C$82=1,E96,IF(E92&gt;0,1,0))</f>
        <v/>
      </c>
      <c r="F120" s="5">
        <f>-$B$82*F95*IF($C$82=1,F96,IF(F92&gt;0,1,0))</f>
        <v/>
      </c>
      <c r="G120" s="5">
        <f>-$B$82*G95*IF($C$82=1,G96,IF(G92&gt;0,1,0))</f>
        <v/>
      </c>
      <c r="H120" s="5">
        <f>-$B$82*H95*IF($C$82=1,H96,IF(H92&gt;0,1,0))</f>
        <v/>
      </c>
      <c r="I120" s="5">
        <f>-$B$82*I95*IF($C$82=1,I96,IF(I92&gt;0,1,0))</f>
        <v/>
      </c>
      <c r="J120" s="5">
        <f>-$B$82*J95*IF($C$82=1,J96,IF(J92&gt;0,1,0))</f>
        <v/>
      </c>
      <c r="K120" s="5">
        <f>-$B$82*K95*IF($C$82=1,K96,IF(K92&gt;0,1,0))</f>
        <v/>
      </c>
      <c r="L120" s="5">
        <f>-$B$82*L95*IF($C$82=1,L96,IF(L92&gt;0,1,0))</f>
        <v/>
      </c>
    </row>
    <row r="121">
      <c r="A121" t="inlineStr">
        <is>
          <t xml:space="preserve">  Autres charges de structure équestres</t>
        </is>
      </c>
      <c r="B121" s="5">
        <f>SUM(C121:L121)</f>
        <v/>
      </c>
      <c r="C121" s="5">
        <f>-$B$83*C95*IF($C$83=1,C96,IF(C92&gt;0,1,0))</f>
        <v/>
      </c>
      <c r="D121" s="5">
        <f>-$B$83*D95*IF($C$83=1,D96,IF(D92&gt;0,1,0))</f>
        <v/>
      </c>
      <c r="E121" s="5">
        <f>-$B$83*E95*IF($C$83=1,E96,IF(E92&gt;0,1,0))</f>
        <v/>
      </c>
      <c r="F121" s="5">
        <f>-$B$83*F95*IF($C$83=1,F96,IF(F92&gt;0,1,0))</f>
        <v/>
      </c>
      <c r="G121" s="5">
        <f>-$B$83*G95*IF($C$83=1,G96,IF(G92&gt;0,1,0))</f>
        <v/>
      </c>
      <c r="H121" s="5">
        <f>-$B$83*H95*IF($C$83=1,H96,IF(H92&gt;0,1,0))</f>
        <v/>
      </c>
      <c r="I121" s="5">
        <f>-$B$83*I95*IF($C$83=1,I96,IF(I92&gt;0,1,0))</f>
        <v/>
      </c>
      <c r="J121" s="5">
        <f>-$B$83*J95*IF($C$83=1,J96,IF(J92&gt;0,1,0))</f>
        <v/>
      </c>
      <c r="K121" s="5">
        <f>-$B$83*K95*IF($C$83=1,K96,IF(K92&gt;0,1,0))</f>
        <v/>
      </c>
      <c r="L121" s="5">
        <f>-$B$83*L95*IF($C$83=1,L96,IF(L92&gt;0,1,0))</f>
        <v/>
      </c>
    </row>
    <row r="122">
      <c r="A122" t="inlineStr">
        <is>
          <t xml:space="preserve">  Coûts fixes du gîte</t>
        </is>
      </c>
      <c r="B122" s="5">
        <f>SUM(C122:L122)</f>
        <v/>
      </c>
      <c r="C122" s="5">
        <f>-$B$84*C95*IF($C$84=1,C96,IF(C92&gt;0,1,0))</f>
        <v/>
      </c>
      <c r="D122" s="5">
        <f>-$B$84*D95*IF($C$84=1,D96,IF(D92&gt;0,1,0))</f>
        <v/>
      </c>
      <c r="E122" s="5">
        <f>-$B$84*E95*IF($C$84=1,E96,IF(E92&gt;0,1,0))</f>
        <v/>
      </c>
      <c r="F122" s="5">
        <f>-$B$84*F95*IF($C$84=1,F96,IF(F92&gt;0,1,0))</f>
        <v/>
      </c>
      <c r="G122" s="5">
        <f>-$B$84*G95*IF($C$84=1,G96,IF(G92&gt;0,1,0))</f>
        <v/>
      </c>
      <c r="H122" s="5">
        <f>-$B$84*H95*IF($C$84=1,H96,IF(H92&gt;0,1,0))</f>
        <v/>
      </c>
      <c r="I122" s="5">
        <f>-$B$84*I95*IF($C$84=1,I96,IF(I92&gt;0,1,0))</f>
        <v/>
      </c>
      <c r="J122" s="5">
        <f>-$B$84*J95*IF($C$84=1,J96,IF(J92&gt;0,1,0))</f>
        <v/>
      </c>
      <c r="K122" s="5">
        <f>-$B$84*K95*IF($C$84=1,K96,IF(K92&gt;0,1,0))</f>
        <v/>
      </c>
      <c r="L122" s="5">
        <f>-$B$84*L95*IF($C$84=1,L96,IF(L92&gt;0,1,0))</f>
        <v/>
      </c>
    </row>
    <row r="123">
      <c r="A123" t="inlineStr">
        <is>
          <t xml:space="preserve">  Commercial, site, salons</t>
        </is>
      </c>
      <c r="B123" s="5">
        <f>SUM(C123:L123)</f>
        <v/>
      </c>
      <c r="C123" s="5">
        <f>-$B$85*C95*IF($C$85=1,C96,IF(C92&gt;0,1,0))</f>
        <v/>
      </c>
      <c r="D123" s="5">
        <f>-$B$85*D95*IF($C$85=1,D96,IF(D92&gt;0,1,0))</f>
        <v/>
      </c>
      <c r="E123" s="5">
        <f>-$B$85*E95*IF($C$85=1,E96,IF(E92&gt;0,1,0))</f>
        <v/>
      </c>
      <c r="F123" s="5">
        <f>-$B$85*F95*IF($C$85=1,F96,IF(F92&gt;0,1,0))</f>
        <v/>
      </c>
      <c r="G123" s="5">
        <f>-$B$85*G95*IF($C$85=1,G96,IF(G92&gt;0,1,0))</f>
        <v/>
      </c>
      <c r="H123" s="5">
        <f>-$B$85*H95*IF($C$85=1,H96,IF(H92&gt;0,1,0))</f>
        <v/>
      </c>
      <c r="I123" s="5">
        <f>-$B$85*I95*IF($C$85=1,I96,IF(I92&gt;0,1,0))</f>
        <v/>
      </c>
      <c r="J123" s="5">
        <f>-$B$85*J95*IF($C$85=1,J96,IF(J92&gt;0,1,0))</f>
        <v/>
      </c>
      <c r="K123" s="5">
        <f>-$B$85*K95*IF($C$85=1,K96,IF(K92&gt;0,1,0))</f>
        <v/>
      </c>
      <c r="L123" s="5">
        <f>-$B$85*L95*IF($C$85=1,L96,IF(L92&gt;0,1,0))</f>
        <v/>
      </c>
    </row>
    <row r="124">
      <c r="A124" t="inlineStr">
        <is>
          <t xml:space="preserve">  Comptabilité, juridique, banque, logiciels</t>
        </is>
      </c>
      <c r="B124" s="5">
        <f>SUM(C124:L124)</f>
        <v/>
      </c>
      <c r="C124" s="5">
        <f>-$B$86*C95*IF($C$86=1,C96,IF(C92&gt;0,1,0))</f>
        <v/>
      </c>
      <c r="D124" s="5">
        <f>-$B$86*D95*IF($C$86=1,D96,IF(D92&gt;0,1,0))</f>
        <v/>
      </c>
      <c r="E124" s="5">
        <f>-$B$86*E95*IF($C$86=1,E96,IF(E92&gt;0,1,0))</f>
        <v/>
      </c>
      <c r="F124" s="5">
        <f>-$B$86*F95*IF($C$86=1,F96,IF(F92&gt;0,1,0))</f>
        <v/>
      </c>
      <c r="G124" s="5">
        <f>-$B$86*G95*IF($C$86=1,G96,IF(G92&gt;0,1,0))</f>
        <v/>
      </c>
      <c r="H124" s="5">
        <f>-$B$86*H95*IF($C$86=1,H96,IF(H92&gt;0,1,0))</f>
        <v/>
      </c>
      <c r="I124" s="5">
        <f>-$B$86*I95*IF($C$86=1,I96,IF(I92&gt;0,1,0))</f>
        <v/>
      </c>
      <c r="J124" s="5">
        <f>-$B$86*J95*IF($C$86=1,J96,IF(J92&gt;0,1,0))</f>
        <v/>
      </c>
      <c r="K124" s="5">
        <f>-$B$86*K95*IF($C$86=1,K96,IF(K92&gt;0,1,0))</f>
        <v/>
      </c>
      <c r="L124" s="5">
        <f>-$B$86*L95*IF($C$86=1,L96,IF(L92&gt;0,1,0))</f>
        <v/>
      </c>
    </row>
    <row r="125">
      <c r="A125" t="inlineStr">
        <is>
          <t xml:space="preserve">  Rémunération du dirigeant (chargée)</t>
        </is>
      </c>
      <c r="B125" s="5">
        <f>SUM(C125:L125)</f>
        <v/>
      </c>
      <c r="C125" s="5">
        <f>-$B$87*C95*IF($C$87=1,C96,IF(C92&gt;0,1,0))</f>
        <v/>
      </c>
      <c r="D125" s="5">
        <f>-$B$87*D95*IF($C$87=1,D96,IF(D92&gt;0,1,0))</f>
        <v/>
      </c>
      <c r="E125" s="5">
        <f>-$B$87*E95*IF($C$87=1,E96,IF(E92&gt;0,1,0))</f>
        <v/>
      </c>
      <c r="F125" s="5">
        <f>-$B$87*F95*IF($C$87=1,F96,IF(F92&gt;0,1,0))</f>
        <v/>
      </c>
      <c r="G125" s="5">
        <f>-$B$87*G95*IF($C$87=1,G96,IF(G92&gt;0,1,0))</f>
        <v/>
      </c>
      <c r="H125" s="5">
        <f>-$B$87*H95*IF($C$87=1,H96,IF(H92&gt;0,1,0))</f>
        <v/>
      </c>
      <c r="I125" s="5">
        <f>-$B$87*I95*IF($C$87=1,I96,IF(I92&gt;0,1,0))</f>
        <v/>
      </c>
      <c r="J125" s="5">
        <f>-$B$87*J95*IF($C$87=1,J96,IF(J92&gt;0,1,0))</f>
        <v/>
      </c>
      <c r="K125" s="5">
        <f>-$B$87*K95*IF($C$87=1,K96,IF(K92&gt;0,1,0))</f>
        <v/>
      </c>
      <c r="L125" s="5">
        <f>-$B$87*L95*IF($C$87=1,L96,IF(L92&gt;0,1,0))</f>
        <v/>
      </c>
    </row>
    <row r="126">
      <c r="A126" s="4" t="inlineStr">
        <is>
          <t>Charges fixes totales</t>
        </is>
      </c>
      <c r="B126" s="18">
        <f>SUM(C126:L126)</f>
        <v/>
      </c>
      <c r="C126" s="18">
        <f>C114+C115+C116+C117+C118+C119+C120+C121+C122+C123+C124+C125</f>
        <v/>
      </c>
      <c r="D126" s="18">
        <f>D114+D115+D116+D117+D118+D119+D120+D121+D122+D123+D124+D125</f>
        <v/>
      </c>
      <c r="E126" s="18">
        <f>E114+E115+E116+E117+E118+E119+E120+E121+E122+E123+E124+E125</f>
        <v/>
      </c>
      <c r="F126" s="18">
        <f>F114+F115+F116+F117+F118+F119+F120+F121+F122+F123+F124+F125</f>
        <v/>
      </c>
      <c r="G126" s="18">
        <f>G114+G115+G116+G117+G118+G119+G120+G121+G122+G123+G124+G125</f>
        <v/>
      </c>
      <c r="H126" s="18">
        <f>H114+H115+H116+H117+H118+H119+H120+H121+H122+H123+H124+H125</f>
        <v/>
      </c>
      <c r="I126" s="18">
        <f>I114+I115+I116+I117+I118+I119+I120+I121+I122+I123+I124+I125</f>
        <v/>
      </c>
      <c r="J126" s="18">
        <f>J114+J115+J116+J117+J118+J119+J120+J121+J122+J123+J124+J125</f>
        <v/>
      </c>
      <c r="K126" s="18">
        <f>K114+K115+K116+K117+K118+K119+K120+K121+K122+K123+K124+K125</f>
        <v/>
      </c>
      <c r="L126" s="18">
        <f>L114+L115+L116+L117+L118+L119+L120+L121+L122+L123+L124+L125</f>
        <v/>
      </c>
    </row>
    <row r="127">
      <c r="A127" t="inlineStr">
        <is>
          <t>Loyer des murs (avant acquisition)</t>
        </is>
      </c>
      <c r="B127" s="5">
        <f>SUM(C127:L127)</f>
        <v/>
      </c>
      <c r="C127" s="5">
        <f>-IF(C96=0,IF(C$90&gt;=$B$6,$B$18*C95,0),0)</f>
        <v/>
      </c>
      <c r="D127" s="5">
        <f>-IF(D96=0,IF(D$90&gt;=$B$6,$B$18*D95,0),0)</f>
        <v/>
      </c>
      <c r="E127" s="5">
        <f>-IF(E96=0,IF(E$90&gt;=$B$6,$B$18*E95,0),0)</f>
        <v/>
      </c>
      <c r="F127" s="5">
        <f>-IF(F96=0,IF(F$90&gt;=$B$6,$B$18*F95,0),0)</f>
        <v/>
      </c>
      <c r="G127" s="5">
        <f>-IF(G96=0,IF(G$90&gt;=$B$6,$B$18*G95,0),0)</f>
        <v/>
      </c>
      <c r="H127" s="5">
        <f>-IF(H96=0,IF(H$90&gt;=$B$6,$B$18*H95,0),0)</f>
        <v/>
      </c>
      <c r="I127" s="5">
        <f>-IF(I96=0,IF(I$90&gt;=$B$6,$B$18*I95,0),0)</f>
        <v/>
      </c>
      <c r="J127" s="5">
        <f>-IF(J96=0,IF(J$90&gt;=$B$6,$B$18*J95,0),0)</f>
        <v/>
      </c>
      <c r="K127" s="5">
        <f>-IF(K96=0,IF(K$90&gt;=$B$6,$B$18*K95,0),0)</f>
        <v/>
      </c>
      <c r="L127" s="5">
        <f>-IF(L96=0,IF(L$90&gt;=$B$6,$B$18*L95,0),0)</f>
        <v/>
      </c>
    </row>
    <row r="128">
      <c r="A128" s="4" t="inlineStr">
        <is>
          <t>EBITDA</t>
        </is>
      </c>
      <c r="B128" s="18">
        <f>SUM(C128:L128)</f>
        <v/>
      </c>
      <c r="C128" s="18">
        <f>C113+C126+C127</f>
        <v/>
      </c>
      <c r="D128" s="18">
        <f>D113+D126+D127</f>
        <v/>
      </c>
      <c r="E128" s="18">
        <f>E113+E126+E127</f>
        <v/>
      </c>
      <c r="F128" s="18">
        <f>F113+F126+F127</f>
        <v/>
      </c>
      <c r="G128" s="18">
        <f>G113+G126+G127</f>
        <v/>
      </c>
      <c r="H128" s="18">
        <f>H113+H126+H127</f>
        <v/>
      </c>
      <c r="I128" s="18">
        <f>I113+I126+I127</f>
        <v/>
      </c>
      <c r="J128" s="18">
        <f>J113+J126+J127</f>
        <v/>
      </c>
      <c r="K128" s="18">
        <f>K113+K126+K127</f>
        <v/>
      </c>
      <c r="L128" s="18">
        <f>L113+L126+L127</f>
        <v/>
      </c>
    </row>
    <row r="129">
      <c r="A129" t="inlineStr">
        <is>
          <t>Loyer de la partie privée (payé par le fondateur, dès qu'il occupe les murs)</t>
        </is>
      </c>
      <c r="B129" s="5">
        <f>SUM(C129:L129)</f>
        <v/>
      </c>
      <c r="C129" s="5">
        <f>C96*$B$20*C95</f>
        <v/>
      </c>
      <c r="D129" s="5">
        <f>D96*$B$20*D95</f>
        <v/>
      </c>
      <c r="E129" s="5">
        <f>E96*$B$20*E95</f>
        <v/>
      </c>
      <c r="F129" s="5">
        <f>F96*$B$20*F95</f>
        <v/>
      </c>
      <c r="G129" s="5">
        <f>G96*$B$20*G95</f>
        <v/>
      </c>
      <c r="H129" s="5">
        <f>H96*$B$20*H95</f>
        <v/>
      </c>
      <c r="I129" s="5">
        <f>I96*$B$20*I95</f>
        <v/>
      </c>
      <c r="J129" s="5">
        <f>J96*$B$20*J95</f>
        <v/>
      </c>
      <c r="K129" s="5">
        <f>K96*$B$20*K95</f>
        <v/>
      </c>
      <c r="L129" s="5">
        <f>L96*$B$20*L95</f>
        <v/>
      </c>
    </row>
    <row r="130">
      <c r="A130" t="inlineStr">
        <is>
          <t xml:space="preserve">  Marge d'EBITDA</t>
        </is>
      </c>
      <c r="C130" s="6">
        <f>IF(C109=0,0,C128/C109)</f>
        <v/>
      </c>
      <c r="D130" s="6">
        <f>IF(D109=0,0,D128/D109)</f>
        <v/>
      </c>
      <c r="E130" s="6">
        <f>IF(E109=0,0,E128/E109)</f>
        <v/>
      </c>
      <c r="F130" s="6">
        <f>IF(F109=0,0,F128/F109)</f>
        <v/>
      </c>
      <c r="G130" s="6">
        <f>IF(G109=0,0,G128/G109)</f>
        <v/>
      </c>
      <c r="H130" s="6">
        <f>IF(H109=0,0,H128/H109)</f>
        <v/>
      </c>
      <c r="I130" s="6">
        <f>IF(I109=0,0,I128/I109)</f>
        <v/>
      </c>
      <c r="J130" s="6">
        <f>IF(J109=0,0,J128/J109)</f>
        <v/>
      </c>
      <c r="K130" s="6">
        <f>IF(K109=0,0,K128/K109)</f>
        <v/>
      </c>
      <c r="L130" s="6">
        <f>IF(L109=0,0,L128/L109)</f>
        <v/>
      </c>
    </row>
    <row r="131">
      <c r="A131" t="inlineStr">
        <is>
          <t>Travaux et équipements initiaux</t>
        </is>
      </c>
      <c r="B131" s="5">
        <f>SUM(C131:L131)</f>
        <v/>
      </c>
      <c r="C131" s="5">
        <f>($B$10+$B$11+$B$12)*$B$46*IF(C$90=$B$5,$B$13,IF(C$90=$B$5+1,$B$14,IF(C$90=$B$5+2,$B$15,0)))*C95</f>
        <v/>
      </c>
      <c r="D131" s="5">
        <f>($B$10+$B$11+$B$12)*$B$46*IF(D$90=$B$5,$B$13,IF(D$90=$B$5+1,$B$14,IF(D$90=$B$5+2,$B$15,0)))*D95</f>
        <v/>
      </c>
      <c r="E131" s="5">
        <f>($B$10+$B$11+$B$12)*$B$46*IF(E$90=$B$5,$B$13,IF(E$90=$B$5+1,$B$14,IF(E$90=$B$5+2,$B$15,0)))*E95</f>
        <v/>
      </c>
      <c r="F131" s="5">
        <f>($B$10+$B$11+$B$12)*$B$46*IF(F$90=$B$5,$B$13,IF(F$90=$B$5+1,$B$14,IF(F$90=$B$5+2,$B$15,0)))*F95</f>
        <v/>
      </c>
      <c r="G131" s="5">
        <f>($B$10+$B$11+$B$12)*$B$46*IF(G$90=$B$5,$B$13,IF(G$90=$B$5+1,$B$14,IF(G$90=$B$5+2,$B$15,0)))*G95</f>
        <v/>
      </c>
      <c r="H131" s="5">
        <f>($B$10+$B$11+$B$12)*$B$46*IF(H$90=$B$5,$B$13,IF(H$90=$B$5+1,$B$14,IF(H$90=$B$5+2,$B$15,0)))*H95</f>
        <v/>
      </c>
      <c r="I131" s="5">
        <f>($B$10+$B$11+$B$12)*$B$46*IF(I$90=$B$5,$B$13,IF(I$90=$B$5+1,$B$14,IF(I$90=$B$5+2,$B$15,0)))*I95</f>
        <v/>
      </c>
      <c r="J131" s="5">
        <f>($B$10+$B$11+$B$12)*$B$46*IF(J$90=$B$5,$B$13,IF(J$90=$B$5+1,$B$14,IF(J$90=$B$5+2,$B$15,0)))*J95</f>
        <v/>
      </c>
      <c r="K131" s="5">
        <f>($B$10+$B$11+$B$12)*$B$46*IF(K$90=$B$5,$B$13,IF(K$90=$B$5+1,$B$14,IF(K$90=$B$5+2,$B$15,0)))*K95</f>
        <v/>
      </c>
      <c r="L131" s="5">
        <f>($B$10+$B$11+$B$12)*$B$46*IF(L$90=$B$5,$B$13,IF(L$90=$B$5+1,$B$14,IF(L$90=$B$5+2,$B$15,0)))*L95</f>
        <v/>
      </c>
    </row>
    <row r="132">
      <c r="A132" t="inlineStr">
        <is>
          <t>Acquisition (prix + frais)</t>
        </is>
      </c>
      <c r="B132" s="5">
        <f>SUM(C132:L132)</f>
        <v/>
      </c>
      <c r="C132" s="5">
        <f>IF(C$90=$B$5,$B$7*(1+$B$8),0)</f>
        <v/>
      </c>
      <c r="D132" s="5">
        <f>IF(D$90=$B$5,$B$7*(1+$B$8),0)</f>
        <v/>
      </c>
      <c r="E132" s="5">
        <f>IF(E$90=$B$5,$B$7*(1+$B$8),0)</f>
        <v/>
      </c>
      <c r="F132" s="5">
        <f>IF(F$90=$B$5,$B$7*(1+$B$8),0)</f>
        <v/>
      </c>
      <c r="G132" s="5">
        <f>IF(G$90=$B$5,$B$7*(1+$B$8),0)</f>
        <v/>
      </c>
      <c r="H132" s="5">
        <f>IF(H$90=$B$5,$B$7*(1+$B$8),0)</f>
        <v/>
      </c>
      <c r="I132" s="5">
        <f>IF(I$90=$B$5,$B$7*(1+$B$8),0)</f>
        <v/>
      </c>
      <c r="J132" s="5">
        <f>IF(J$90=$B$5,$B$7*(1+$B$8),0)</f>
        <v/>
      </c>
      <c r="K132" s="5">
        <f>IF(K$90=$B$5,$B$7*(1+$B$8),0)</f>
        <v/>
      </c>
      <c r="L132" s="5">
        <f>IF(L$90=$B$5,$B$7*(1+$B$8),0)</f>
        <v/>
      </c>
    </row>
    <row r="133">
      <c r="A133" t="inlineStr">
        <is>
          <t>Gros entretien patrimonial récurrent</t>
        </is>
      </c>
      <c r="B133" s="5">
        <f>SUM(C133:L133)</f>
        <v/>
      </c>
      <c r="C133" s="5">
        <f>IF(C$90&gt;=$B$5+3,$B$16*($B$7+($B$10+$B$11+$B$12)*$B$46)*C95,0)</f>
        <v/>
      </c>
      <c r="D133" s="5">
        <f>IF(D$90&gt;=$B$5+3,$B$16*($B$7+($B$10+$B$11+$B$12)*$B$46)*D95,0)</f>
        <v/>
      </c>
      <c r="E133" s="5">
        <f>IF(E$90&gt;=$B$5+3,$B$16*($B$7+($B$10+$B$11+$B$12)*$B$46)*E95,0)</f>
        <v/>
      </c>
      <c r="F133" s="5">
        <f>IF(F$90&gt;=$B$5+3,$B$16*($B$7+($B$10+$B$11+$B$12)*$B$46)*F95,0)</f>
        <v/>
      </c>
      <c r="G133" s="5">
        <f>IF(G$90&gt;=$B$5+3,$B$16*($B$7+($B$10+$B$11+$B$12)*$B$46)*G95,0)</f>
        <v/>
      </c>
      <c r="H133" s="5">
        <f>IF(H$90&gt;=$B$5+3,$B$16*($B$7+($B$10+$B$11+$B$12)*$B$46)*H95,0)</f>
        <v/>
      </c>
      <c r="I133" s="5">
        <f>IF(I$90&gt;=$B$5+3,$B$16*($B$7+($B$10+$B$11+$B$12)*$B$46)*I95,0)</f>
        <v/>
      </c>
      <c r="J133" s="5">
        <f>IF(J$90&gt;=$B$5+3,$B$16*($B$7+($B$10+$B$11+$B$12)*$B$46)*J95,0)</f>
        <v/>
      </c>
      <c r="K133" s="5">
        <f>IF(K$90&gt;=$B$5+3,$B$16*($B$7+($B$10+$B$11+$B$12)*$B$46)*K95,0)</f>
        <v/>
      </c>
      <c r="L133" s="5">
        <f>IF(L$90&gt;=$B$5+3,$B$16*($B$7+($B$10+$B$11+$B$12)*$B$46)*L95,0)</f>
        <v/>
      </c>
    </row>
    <row r="134">
      <c r="A134" t="inlineStr">
        <is>
          <t>Investissements amortissables cumulés</t>
        </is>
      </c>
      <c r="C134" s="5">
        <f>C131+C133</f>
        <v/>
      </c>
      <c r="D134" s="5">
        <f>C134+D131+D133</f>
        <v/>
      </c>
      <c r="E134" s="5">
        <f>D134+E131+E133</f>
        <v/>
      </c>
      <c r="F134" s="5">
        <f>E134+F131+F133</f>
        <v/>
      </c>
      <c r="G134" s="5">
        <f>F134+G131+G133</f>
        <v/>
      </c>
      <c r="H134" s="5">
        <f>G134+H131+H133</f>
        <v/>
      </c>
      <c r="I134" s="5">
        <f>H134+I131+I133</f>
        <v/>
      </c>
      <c r="J134" s="5">
        <f>I134+J131+J133</f>
        <v/>
      </c>
      <c r="K134" s="5">
        <f>J134+K131+K133</f>
        <v/>
      </c>
      <c r="L134" s="5">
        <f>K134+L131+L133</f>
        <v/>
      </c>
    </row>
    <row r="135">
      <c r="A135" t="inlineStr">
        <is>
          <t>Dotations aux amortissements (bâti 30 ans, travaux 15 ans)</t>
        </is>
      </c>
      <c r="B135" s="5">
        <f>SUM(C135:L135)</f>
        <v/>
      </c>
      <c r="C135" s="5">
        <f>-(C96*$B$7*(1+$B$8)*$B$9/30+C134/15)</f>
        <v/>
      </c>
      <c r="D135" s="5">
        <f>-(D96*$B$7*(1+$B$8)*$B$9/30+D134/15)</f>
        <v/>
      </c>
      <c r="E135" s="5">
        <f>-(E96*$B$7*(1+$B$8)*$B$9/30+E134/15)</f>
        <v/>
      </c>
      <c r="F135" s="5">
        <f>-(F96*$B$7*(1+$B$8)*$B$9/30+F134/15)</f>
        <v/>
      </c>
      <c r="G135" s="5">
        <f>-(G96*$B$7*(1+$B$8)*$B$9/30+G134/15)</f>
        <v/>
      </c>
      <c r="H135" s="5">
        <f>-(H96*$B$7*(1+$B$8)*$B$9/30+H134/15)</f>
        <v/>
      </c>
      <c r="I135" s="5">
        <f>-(I96*$B$7*(1+$B$8)*$B$9/30+I134/15)</f>
        <v/>
      </c>
      <c r="J135" s="5">
        <f>-(J96*$B$7*(1+$B$8)*$B$9/30+J134/15)</f>
        <v/>
      </c>
      <c r="K135" s="5">
        <f>-(K96*$B$7*(1+$B$8)*$B$9/30+K134/15)</f>
        <v/>
      </c>
      <c r="L135" s="5">
        <f>-(L96*$B$7*(1+$B$8)*$B$9/30+L134/15)</f>
        <v/>
      </c>
    </row>
    <row r="136">
      <c r="A136" s="4" t="inlineStr">
        <is>
          <t>Résultat d'exploitation</t>
        </is>
      </c>
      <c r="B136" s="18">
        <f>SUM(C136:L136)</f>
        <v/>
      </c>
      <c r="C136" s="18">
        <f>C128+C135</f>
        <v/>
      </c>
      <c r="D136" s="18">
        <f>D128+D135</f>
        <v/>
      </c>
      <c r="E136" s="18">
        <f>E128+E135</f>
        <v/>
      </c>
      <c r="F136" s="18">
        <f>F128+F135</f>
        <v/>
      </c>
      <c r="G136" s="18">
        <f>G128+G135</f>
        <v/>
      </c>
      <c r="H136" s="18">
        <f>H128+H135</f>
        <v/>
      </c>
      <c r="I136" s="18">
        <f>I128+I135</f>
        <v/>
      </c>
      <c r="J136" s="18">
        <f>J128+J135</f>
        <v/>
      </c>
      <c r="K136" s="18">
        <f>K128+K135</f>
        <v/>
      </c>
      <c r="L136" s="18">
        <f>L128+L135</f>
        <v/>
      </c>
    </row>
    <row r="138">
      <c r="A138" s="4" t="inlineStr">
        <is>
          <t>Échéancier des emprunts</t>
        </is>
      </c>
    </row>
    <row r="139">
      <c r="A139" t="inlineStr">
        <is>
          <t>Taux bancaire effectif</t>
        </is>
      </c>
      <c r="C139" s="6">
        <f>$B$28+$B$48</f>
        <v/>
      </c>
      <c r="D139" s="6">
        <f>$B$28+$B$48</f>
        <v/>
      </c>
      <c r="E139" s="6">
        <f>$B$28+$B$48</f>
        <v/>
      </c>
      <c r="F139" s="6">
        <f>$B$28+$B$48</f>
        <v/>
      </c>
      <c r="G139" s="6">
        <f>$B$28+$B$48</f>
        <v/>
      </c>
      <c r="H139" s="6">
        <f>$B$28+$B$48</f>
        <v/>
      </c>
      <c r="I139" s="6">
        <f>$B$28+$B$48</f>
        <v/>
      </c>
      <c r="J139" s="6">
        <f>$B$28+$B$48</f>
        <v/>
      </c>
      <c r="K139" s="6">
        <f>$B$28+$B$48</f>
        <v/>
      </c>
      <c r="L139" s="6">
        <f>$B$28+$B$48</f>
        <v/>
      </c>
    </row>
    <row r="140">
      <c r="A140" t="inlineStr">
        <is>
          <t>Rang de l'année d'emprunt</t>
        </is>
      </c>
      <c r="C140" s="8">
        <f>MAX(0,C$90-$B$5+1)</f>
        <v/>
      </c>
      <c r="D140" s="8">
        <f>MAX(0,D$90-$B$5+1)</f>
        <v/>
      </c>
      <c r="E140" s="8">
        <f>MAX(0,E$90-$B$5+1)</f>
        <v/>
      </c>
      <c r="F140" s="8">
        <f>MAX(0,F$90-$B$5+1)</f>
        <v/>
      </c>
      <c r="G140" s="8">
        <f>MAX(0,G$90-$B$5+1)</f>
        <v/>
      </c>
      <c r="H140" s="8">
        <f>MAX(0,H$90-$B$5+1)</f>
        <v/>
      </c>
      <c r="I140" s="8">
        <f>MAX(0,I$90-$B$5+1)</f>
        <v/>
      </c>
      <c r="J140" s="8">
        <f>MAX(0,J$90-$B$5+1)</f>
        <v/>
      </c>
      <c r="K140" s="8">
        <f>MAX(0,K$90-$B$5+1)</f>
        <v/>
      </c>
      <c r="L140" s="8">
        <f>MAX(0,L$90-$B$5+1)</f>
        <v/>
      </c>
    </row>
    <row r="141">
      <c r="A141" t="inlineStr">
        <is>
          <t>Dette bancaire — capital début</t>
        </is>
      </c>
      <c r="C141" s="5">
        <f>IF(C140=1,$B$27,0)</f>
        <v/>
      </c>
      <c r="D141" s="5">
        <f>IF(D140=1,$B$27,C144)</f>
        <v/>
      </c>
      <c r="E141" s="5">
        <f>IF(E140=1,$B$27,D144)</f>
        <v/>
      </c>
      <c r="F141" s="5">
        <f>IF(F140=1,$B$27,E144)</f>
        <v/>
      </c>
      <c r="G141" s="5">
        <f>IF(G140=1,$B$27,F144)</f>
        <v/>
      </c>
      <c r="H141" s="5">
        <f>IF(H140=1,$B$27,G144)</f>
        <v/>
      </c>
      <c r="I141" s="5">
        <f>IF(I140=1,$B$27,H144)</f>
        <v/>
      </c>
      <c r="J141" s="5">
        <f>IF(J140=1,$B$27,I144)</f>
        <v/>
      </c>
      <c r="K141" s="5">
        <f>IF(K140=1,$B$27,J144)</f>
        <v/>
      </c>
      <c r="L141" s="5">
        <f>IF(L140=1,$B$27,K144)</f>
        <v/>
      </c>
    </row>
    <row r="142">
      <c r="A142" t="inlineStr">
        <is>
          <t xml:space="preserve">  Intérêts</t>
        </is>
      </c>
      <c r="B142" s="5">
        <f>SUM(C142:L142)</f>
        <v/>
      </c>
      <c r="C142" s="5">
        <f>C141*C139</f>
        <v/>
      </c>
      <c r="D142" s="5">
        <f>D141*D139</f>
        <v/>
      </c>
      <c r="E142" s="5">
        <f>E141*E139</f>
        <v/>
      </c>
      <c r="F142" s="5">
        <f>F141*F139</f>
        <v/>
      </c>
      <c r="G142" s="5">
        <f>G141*G139</f>
        <v/>
      </c>
      <c r="H142" s="5">
        <f>H141*H139</f>
        <v/>
      </c>
      <c r="I142" s="5">
        <f>I141*I139</f>
        <v/>
      </c>
      <c r="J142" s="5">
        <f>J141*J139</f>
        <v/>
      </c>
      <c r="K142" s="5">
        <f>K141*K139</f>
        <v/>
      </c>
      <c r="L142" s="5">
        <f>L141*L139</f>
        <v/>
      </c>
    </row>
    <row r="143">
      <c r="A143" t="inlineStr">
        <is>
          <t xml:space="preserve">  Amortissement du capital</t>
        </is>
      </c>
      <c r="B143" s="5">
        <f>SUM(C143:L143)</f>
        <v/>
      </c>
      <c r="C143" s="5">
        <f>IF(OR(C140=0,C140&lt;=$B$30,C141&lt;=0),0,MIN(C141,PMT(C139,$B$29-$B$30,-$B$27)-C142))</f>
        <v/>
      </c>
      <c r="D143" s="5">
        <f>IF(OR(D140=0,D140&lt;=$B$30,D141&lt;=0),0,MIN(D141,PMT(D139,$B$29-$B$30,-$B$27)-D142))</f>
        <v/>
      </c>
      <c r="E143" s="5">
        <f>IF(OR(E140=0,E140&lt;=$B$30,E141&lt;=0),0,MIN(E141,PMT(E139,$B$29-$B$30,-$B$27)-E142))</f>
        <v/>
      </c>
      <c r="F143" s="5">
        <f>IF(OR(F140=0,F140&lt;=$B$30,F141&lt;=0),0,MIN(F141,PMT(F139,$B$29-$B$30,-$B$27)-F142))</f>
        <v/>
      </c>
      <c r="G143" s="5">
        <f>IF(OR(G140=0,G140&lt;=$B$30,G141&lt;=0),0,MIN(G141,PMT(G139,$B$29-$B$30,-$B$27)-G142))</f>
        <v/>
      </c>
      <c r="H143" s="5">
        <f>IF(OR(H140=0,H140&lt;=$B$30,H141&lt;=0),0,MIN(H141,PMT(H139,$B$29-$B$30,-$B$27)-H142))</f>
        <v/>
      </c>
      <c r="I143" s="5">
        <f>IF(OR(I140=0,I140&lt;=$B$30,I141&lt;=0),0,MIN(I141,PMT(I139,$B$29-$B$30,-$B$27)-I142))</f>
        <v/>
      </c>
      <c r="J143" s="5">
        <f>IF(OR(J140=0,J140&lt;=$B$30,J141&lt;=0),0,MIN(J141,PMT(J139,$B$29-$B$30,-$B$27)-J142))</f>
        <v/>
      </c>
      <c r="K143" s="5">
        <f>IF(OR(K140=0,K140&lt;=$B$30,K141&lt;=0),0,MIN(K141,PMT(K139,$B$29-$B$30,-$B$27)-K142))</f>
        <v/>
      </c>
      <c r="L143" s="5">
        <f>IF(OR(L140=0,L140&lt;=$B$30,L141&lt;=0),0,MIN(L141,PMT(L139,$B$29-$B$30,-$B$27)-L142))</f>
        <v/>
      </c>
    </row>
    <row r="144">
      <c r="A144" t="inlineStr">
        <is>
          <t>Dette bancaire — capital fin</t>
        </is>
      </c>
      <c r="C144" s="5">
        <f>C141-C143</f>
        <v/>
      </c>
      <c r="D144" s="5">
        <f>D141-D143</f>
        <v/>
      </c>
      <c r="E144" s="5">
        <f>E141-E143</f>
        <v/>
      </c>
      <c r="F144" s="5">
        <f>F141-F143</f>
        <v/>
      </c>
      <c r="G144" s="5">
        <f>G141-G143</f>
        <v/>
      </c>
      <c r="H144" s="5">
        <f>H141-H143</f>
        <v/>
      </c>
      <c r="I144" s="5">
        <f>I141-I143</f>
        <v/>
      </c>
      <c r="J144" s="5">
        <f>J141-J143</f>
        <v/>
      </c>
      <c r="K144" s="5">
        <f>K141-K143</f>
        <v/>
      </c>
      <c r="L144" s="5">
        <f>L141-L143</f>
        <v/>
      </c>
    </row>
    <row r="145">
      <c r="A145" t="inlineStr">
        <is>
          <t>Crédit-vendeur — capital début</t>
        </is>
      </c>
      <c r="C145" s="5">
        <f>IF(C140=1,$B$31,0)</f>
        <v/>
      </c>
      <c r="D145" s="5">
        <f>IF(D140=1,$B$31,C148)</f>
        <v/>
      </c>
      <c r="E145" s="5">
        <f>IF(E140=1,$B$31,D148)</f>
        <v/>
      </c>
      <c r="F145" s="5">
        <f>IF(F140=1,$B$31,E148)</f>
        <v/>
      </c>
      <c r="G145" s="5">
        <f>IF(G140=1,$B$31,F148)</f>
        <v/>
      </c>
      <c r="H145" s="5">
        <f>IF(H140=1,$B$31,G148)</f>
        <v/>
      </c>
      <c r="I145" s="5">
        <f>IF(I140=1,$B$31,H148)</f>
        <v/>
      </c>
      <c r="J145" s="5">
        <f>IF(J140=1,$B$31,I148)</f>
        <v/>
      </c>
      <c r="K145" s="5">
        <f>IF(K140=1,$B$31,J148)</f>
        <v/>
      </c>
      <c r="L145" s="5">
        <f>IF(L140=1,$B$31,K148)</f>
        <v/>
      </c>
    </row>
    <row r="146">
      <c r="A146" t="inlineStr">
        <is>
          <t xml:space="preserve">  Intérêts crédit-vendeur</t>
        </is>
      </c>
      <c r="B146" s="5">
        <f>SUM(C146:L146)</f>
        <v/>
      </c>
      <c r="C146" s="5">
        <f>C145*$B$32</f>
        <v/>
      </c>
      <c r="D146" s="5">
        <f>D145*$B$32</f>
        <v/>
      </c>
      <c r="E146" s="5">
        <f>E145*$B$32</f>
        <v/>
      </c>
      <c r="F146" s="5">
        <f>F145*$B$32</f>
        <v/>
      </c>
      <c r="G146" s="5">
        <f>G145*$B$32</f>
        <v/>
      </c>
      <c r="H146" s="5">
        <f>H145*$B$32</f>
        <v/>
      </c>
      <c r="I146" s="5">
        <f>I145*$B$32</f>
        <v/>
      </c>
      <c r="J146" s="5">
        <f>J145*$B$32</f>
        <v/>
      </c>
      <c r="K146" s="5">
        <f>K145*$B$32</f>
        <v/>
      </c>
      <c r="L146" s="5">
        <f>L145*$B$32</f>
        <v/>
      </c>
    </row>
    <row r="147">
      <c r="A147" t="inlineStr">
        <is>
          <t xml:space="preserve">  Amortissement crédit-vendeur</t>
        </is>
      </c>
      <c r="B147" s="5">
        <f>SUM(C147:L147)</f>
        <v/>
      </c>
      <c r="C147" s="5">
        <f>IF(OR(C140=0,C145&lt;=0),0,MIN(C145,IF($B$32=0,$B$31/$B$33,PMT($B$32,$B$33,-$B$31)-C146)))</f>
        <v/>
      </c>
      <c r="D147" s="5">
        <f>IF(OR(D140=0,D145&lt;=0),0,MIN(D145,IF($B$32=0,$B$31/$B$33,PMT($B$32,$B$33,-$B$31)-D146)))</f>
        <v/>
      </c>
      <c r="E147" s="5">
        <f>IF(OR(E140=0,E145&lt;=0),0,MIN(E145,IF($B$32=0,$B$31/$B$33,PMT($B$32,$B$33,-$B$31)-E146)))</f>
        <v/>
      </c>
      <c r="F147" s="5">
        <f>IF(OR(F140=0,F145&lt;=0),0,MIN(F145,IF($B$32=0,$B$31/$B$33,PMT($B$32,$B$33,-$B$31)-F146)))</f>
        <v/>
      </c>
      <c r="G147" s="5">
        <f>IF(OR(G140=0,G145&lt;=0),0,MIN(G145,IF($B$32=0,$B$31/$B$33,PMT($B$32,$B$33,-$B$31)-G146)))</f>
        <v/>
      </c>
      <c r="H147" s="5">
        <f>IF(OR(H140=0,H145&lt;=0),0,MIN(H145,IF($B$32=0,$B$31/$B$33,PMT($B$32,$B$33,-$B$31)-H146)))</f>
        <v/>
      </c>
      <c r="I147" s="5">
        <f>IF(OR(I140=0,I145&lt;=0),0,MIN(I145,IF($B$32=0,$B$31/$B$33,PMT($B$32,$B$33,-$B$31)-I146)))</f>
        <v/>
      </c>
      <c r="J147" s="5">
        <f>IF(OR(J140=0,J145&lt;=0),0,MIN(J145,IF($B$32=0,$B$31/$B$33,PMT($B$32,$B$33,-$B$31)-J146)))</f>
        <v/>
      </c>
      <c r="K147" s="5">
        <f>IF(OR(K140=0,K145&lt;=0),0,MIN(K145,IF($B$32=0,$B$31/$B$33,PMT($B$32,$B$33,-$B$31)-K146)))</f>
        <v/>
      </c>
      <c r="L147" s="5">
        <f>IF(OR(L140=0,L145&lt;=0),0,MIN(L145,IF($B$32=0,$B$31/$B$33,PMT($B$32,$B$33,-$B$31)-L146)))</f>
        <v/>
      </c>
    </row>
    <row r="148">
      <c r="A148" t="inlineStr">
        <is>
          <t>Crédit-vendeur — capital fin</t>
        </is>
      </c>
      <c r="C148" s="5">
        <f>C145-C147</f>
        <v/>
      </c>
      <c r="D148" s="5">
        <f>D145-D147</f>
        <v/>
      </c>
      <c r="E148" s="5">
        <f>E145-E147</f>
        <v/>
      </c>
      <c r="F148" s="5">
        <f>F145-F147</f>
        <v/>
      </c>
      <c r="G148" s="5">
        <f>G145-G147</f>
        <v/>
      </c>
      <c r="H148" s="5">
        <f>H145-H147</f>
        <v/>
      </c>
      <c r="I148" s="5">
        <f>I145-I147</f>
        <v/>
      </c>
      <c r="J148" s="5">
        <f>J145-J147</f>
        <v/>
      </c>
      <c r="K148" s="5">
        <f>K145-K147</f>
        <v/>
      </c>
      <c r="L148" s="5">
        <f>L145-L147</f>
        <v/>
      </c>
    </row>
    <row r="149">
      <c r="A149" t="inlineStr">
        <is>
          <t>Obligations — encours</t>
        </is>
      </c>
      <c r="C149" s="5">
        <f>IF(AND(C$90&gt;=$B$5,C$90&lt;=$B$36),$B$34,0)</f>
        <v/>
      </c>
      <c r="D149" s="5">
        <f>IF(AND(D$90&gt;=$B$5,D$90&lt;=$B$36),$B$34,0)</f>
        <v/>
      </c>
      <c r="E149" s="5">
        <f>IF(AND(E$90&gt;=$B$5,E$90&lt;=$B$36),$B$34,0)</f>
        <v/>
      </c>
      <c r="F149" s="5">
        <f>IF(AND(F$90&gt;=$B$5,F$90&lt;=$B$36),$B$34,0)</f>
        <v/>
      </c>
      <c r="G149" s="5">
        <f>IF(AND(G$90&gt;=$B$5,G$90&lt;=$B$36),$B$34,0)</f>
        <v/>
      </c>
      <c r="H149" s="5">
        <f>IF(AND(H$90&gt;=$B$5,H$90&lt;=$B$36),$B$34,0)</f>
        <v/>
      </c>
      <c r="I149" s="5">
        <f>IF(AND(I$90&gt;=$B$5,I$90&lt;=$B$36),$B$34,0)</f>
        <v/>
      </c>
      <c r="J149" s="5">
        <f>IF(AND(J$90&gt;=$B$5,J$90&lt;=$B$36),$B$34,0)</f>
        <v/>
      </c>
      <c r="K149" s="5">
        <f>IF(AND(K$90&gt;=$B$5,K$90&lt;=$B$36),$B$34,0)</f>
        <v/>
      </c>
      <c r="L149" s="5">
        <f>IF(AND(L$90&gt;=$B$5,L$90&lt;=$B$36),$B$34,0)</f>
        <v/>
      </c>
    </row>
    <row r="150">
      <c r="A150" t="inlineStr">
        <is>
          <t xml:space="preserve">  Coupons obligataires</t>
        </is>
      </c>
      <c r="B150" s="5">
        <f>SUM(C150:L150)</f>
        <v/>
      </c>
      <c r="C150" s="5">
        <f>C149*$B$35</f>
        <v/>
      </c>
      <c r="D150" s="5">
        <f>D149*$B$35</f>
        <v/>
      </c>
      <c r="E150" s="5">
        <f>E149*$B$35</f>
        <v/>
      </c>
      <c r="F150" s="5">
        <f>F149*$B$35</f>
        <v/>
      </c>
      <c r="G150" s="5">
        <f>G149*$B$35</f>
        <v/>
      </c>
      <c r="H150" s="5">
        <f>H149*$B$35</f>
        <v/>
      </c>
      <c r="I150" s="5">
        <f>I149*$B$35</f>
        <v/>
      </c>
      <c r="J150" s="5">
        <f>J149*$B$35</f>
        <v/>
      </c>
      <c r="K150" s="5">
        <f>K149*$B$35</f>
        <v/>
      </c>
      <c r="L150" s="5">
        <f>L149*$B$35</f>
        <v/>
      </c>
    </row>
    <row r="151">
      <c r="A151" t="inlineStr">
        <is>
          <t xml:space="preserve">  Remboursement obligations</t>
        </is>
      </c>
      <c r="B151" s="5">
        <f>SUM(C151:L151)</f>
        <v/>
      </c>
      <c r="C151" s="5">
        <f>IF(C$90=$B$36,$B$34,0)</f>
        <v/>
      </c>
      <c r="D151" s="5">
        <f>IF(D$90=$B$36,$B$34,0)</f>
        <v/>
      </c>
      <c r="E151" s="5">
        <f>IF(E$90=$B$36,$B$34,0)</f>
        <v/>
      </c>
      <c r="F151" s="5">
        <f>IF(F$90=$B$36,$B$34,0)</f>
        <v/>
      </c>
      <c r="G151" s="5">
        <f>IF(G$90=$B$36,$B$34,0)</f>
        <v/>
      </c>
      <c r="H151" s="5">
        <f>IF(H$90=$B$36,$B$34,0)</f>
        <v/>
      </c>
      <c r="I151" s="5">
        <f>IF(I$90=$B$36,$B$34,0)</f>
        <v/>
      </c>
      <c r="J151" s="5">
        <f>IF(J$90=$B$36,$B$34,0)</f>
        <v/>
      </c>
      <c r="K151" s="5">
        <f>IF(K$90=$B$36,$B$34,0)</f>
        <v/>
      </c>
      <c r="L151" s="5">
        <f>IF(L$90=$B$36,$B$34,0)</f>
        <v/>
      </c>
    </row>
    <row r="153">
      <c r="A153" t="inlineStr">
        <is>
          <t>Charges financières</t>
        </is>
      </c>
      <c r="B153" s="5">
        <f>SUM(C153:L153)</f>
        <v/>
      </c>
      <c r="C153" s="5">
        <f>-(C142+C146+C150)</f>
        <v/>
      </c>
      <c r="D153" s="5">
        <f>-(D142+D146+D150)</f>
        <v/>
      </c>
      <c r="E153" s="5">
        <f>-(E142+E146+E150)</f>
        <v/>
      </c>
      <c r="F153" s="5">
        <f>-(F142+F146+F150)</f>
        <v/>
      </c>
      <c r="G153" s="5">
        <f>-(G142+G146+G150)</f>
        <v/>
      </c>
      <c r="H153" s="5">
        <f>-(H142+H146+H150)</f>
        <v/>
      </c>
      <c r="I153" s="5">
        <f>-(I142+I146+I150)</f>
        <v/>
      </c>
      <c r="J153" s="5">
        <f>-(J142+J146+J150)</f>
        <v/>
      </c>
      <c r="K153" s="5">
        <f>-(K142+K146+K150)</f>
        <v/>
      </c>
      <c r="L153" s="5">
        <f>-(L142+L146+L150)</f>
        <v/>
      </c>
    </row>
    <row r="154">
      <c r="A154" s="4" t="inlineStr">
        <is>
          <t>Résultat avant impôt</t>
        </is>
      </c>
      <c r="B154" s="18">
        <f>SUM(C154:L154)</f>
        <v/>
      </c>
      <c r="C154" s="18">
        <f>C136+C153+C129</f>
        <v/>
      </c>
      <c r="D154" s="18">
        <f>D136+D153+D129</f>
        <v/>
      </c>
      <c r="E154" s="18">
        <f>E136+E153+E129</f>
        <v/>
      </c>
      <c r="F154" s="18">
        <f>F136+F153+F129</f>
        <v/>
      </c>
      <c r="G154" s="18">
        <f>G136+G153+G129</f>
        <v/>
      </c>
      <c r="H154" s="18">
        <f>H136+H153+H129</f>
        <v/>
      </c>
      <c r="I154" s="18">
        <f>I136+I153+I129</f>
        <v/>
      </c>
      <c r="J154" s="18">
        <f>J136+J153+J129</f>
        <v/>
      </c>
      <c r="K154" s="18">
        <f>K136+K153+K129</f>
        <v/>
      </c>
      <c r="L154" s="18">
        <f>L136+L153+L129</f>
        <v/>
      </c>
    </row>
    <row r="155">
      <c r="A155" t="inlineStr">
        <is>
          <t>Stock de déficits reportables (fin d'année)</t>
        </is>
      </c>
      <c r="C155" s="5">
        <f>MAX(0,-C154)</f>
        <v/>
      </c>
      <c r="D155" s="5">
        <f>MAX(0,C155-D154)</f>
        <v/>
      </c>
      <c r="E155" s="5">
        <f>MAX(0,D155-E154)</f>
        <v/>
      </c>
      <c r="F155" s="5">
        <f>MAX(0,E155-F154)</f>
        <v/>
      </c>
      <c r="G155" s="5">
        <f>MAX(0,F155-G154)</f>
        <v/>
      </c>
      <c r="H155" s="5">
        <f>MAX(0,G155-H154)</f>
        <v/>
      </c>
      <c r="I155" s="5">
        <f>MAX(0,H155-I154)</f>
        <v/>
      </c>
      <c r="J155" s="5">
        <f>MAX(0,I155-J154)</f>
        <v/>
      </c>
      <c r="K155" s="5">
        <f>MAX(0,J155-K154)</f>
        <v/>
      </c>
      <c r="L155" s="5">
        <f>MAX(0,K155-L154)</f>
        <v/>
      </c>
    </row>
    <row r="156">
      <c r="A156" t="inlineStr">
        <is>
          <t>Impôt sur les sociétés</t>
        </is>
      </c>
      <c r="B156" s="5">
        <f>SUM(C156:L156)</f>
        <v/>
      </c>
      <c r="C156" s="5">
        <f>-MAX(0,C154)*$B$59</f>
        <v/>
      </c>
      <c r="D156" s="5">
        <f>-MAX(0,D154-C155)*$B$59</f>
        <v/>
      </c>
      <c r="E156" s="5">
        <f>-MAX(0,E154-D155)*$B$59</f>
        <v/>
      </c>
      <c r="F156" s="5">
        <f>-MAX(0,F154-E155)*$B$59</f>
        <v/>
      </c>
      <c r="G156" s="5">
        <f>-MAX(0,G154-F155)*$B$59</f>
        <v/>
      </c>
      <c r="H156" s="5">
        <f>-MAX(0,H154-G155)*$B$59</f>
        <v/>
      </c>
      <c r="I156" s="5">
        <f>-MAX(0,I154-H155)*$B$59</f>
        <v/>
      </c>
      <c r="J156" s="5">
        <f>-MAX(0,J154-I155)*$B$59</f>
        <v/>
      </c>
      <c r="K156" s="5">
        <f>-MAX(0,K154-J155)*$B$59</f>
        <v/>
      </c>
      <c r="L156" s="5">
        <f>-MAX(0,L154-K155)*$B$59</f>
        <v/>
      </c>
    </row>
    <row r="157">
      <c r="A157" s="4" t="inlineStr">
        <is>
          <t>Résultat net</t>
        </is>
      </c>
      <c r="B157" s="18">
        <f>SUM(C157:L157)</f>
        <v/>
      </c>
      <c r="C157" s="18">
        <f>C154+C156</f>
        <v/>
      </c>
      <c r="D157" s="18">
        <f>D154+D156</f>
        <v/>
      </c>
      <c r="E157" s="18">
        <f>E154+E156</f>
        <v/>
      </c>
      <c r="F157" s="18">
        <f>F154+F156</f>
        <v/>
      </c>
      <c r="G157" s="18">
        <f>G154+G156</f>
        <v/>
      </c>
      <c r="H157" s="18">
        <f>H154+H156</f>
        <v/>
      </c>
      <c r="I157" s="18">
        <f>I154+I156</f>
        <v/>
      </c>
      <c r="J157" s="18">
        <f>J154+J156</f>
        <v/>
      </c>
      <c r="K157" s="18">
        <f>K154+K156</f>
        <v/>
      </c>
      <c r="L157" s="18">
        <f>L154+L156</f>
        <v/>
      </c>
    </row>
    <row r="159">
      <c r="A159" s="4" t="inlineStr">
        <is>
          <t>Tableau des flux de trésorerie</t>
        </is>
      </c>
    </row>
    <row r="160">
      <c r="A160" t="inlineStr">
        <is>
          <t>BFR (niveau)</t>
        </is>
      </c>
      <c r="C160" s="5">
        <f>C109*$B$58</f>
        <v/>
      </c>
      <c r="D160" s="5">
        <f>D109*$B$58</f>
        <v/>
      </c>
      <c r="E160" s="5">
        <f>E109*$B$58</f>
        <v/>
      </c>
      <c r="F160" s="5">
        <f>F109*$B$58</f>
        <v/>
      </c>
      <c r="G160" s="5">
        <f>G109*$B$58</f>
        <v/>
      </c>
      <c r="H160" s="5">
        <f>H109*$B$58</f>
        <v/>
      </c>
      <c r="I160" s="5">
        <f>I109*$B$58</f>
        <v/>
      </c>
      <c r="J160" s="5">
        <f>J109*$B$58</f>
        <v/>
      </c>
      <c r="K160" s="5">
        <f>K109*$B$58</f>
        <v/>
      </c>
      <c r="L160" s="5">
        <f>L109*$B$58</f>
        <v/>
      </c>
    </row>
    <row r="161">
      <c r="A161" t="inlineStr">
        <is>
          <t>Variation du BFR</t>
        </is>
      </c>
      <c r="B161" s="5">
        <f>SUM(C161:L161)</f>
        <v/>
      </c>
      <c r="C161" s="5">
        <f>-C160</f>
        <v/>
      </c>
      <c r="D161" s="5">
        <f>-(D160-C160)</f>
        <v/>
      </c>
      <c r="E161" s="5">
        <f>-(E160-D160)</f>
        <v/>
      </c>
      <c r="F161" s="5">
        <f>-(F160-E160)</f>
        <v/>
      </c>
      <c r="G161" s="5">
        <f>-(G160-F160)</f>
        <v/>
      </c>
      <c r="H161" s="5">
        <f>-(H160-G160)</f>
        <v/>
      </c>
      <c r="I161" s="5">
        <f>-(I160-H160)</f>
        <v/>
      </c>
      <c r="J161" s="5">
        <f>-(J160-I160)</f>
        <v/>
      </c>
      <c r="K161" s="5">
        <f>-(K160-J160)</f>
        <v/>
      </c>
      <c r="L161" s="5">
        <f>-(L160-K160)</f>
        <v/>
      </c>
    </row>
    <row r="162">
      <c r="A162" s="4" t="inlineStr">
        <is>
          <t>Flux d'exploitation (EBITDA + loyer privé − IS − ΔBFR)</t>
        </is>
      </c>
      <c r="B162" s="18">
        <f>SUM(C162:L162)</f>
        <v/>
      </c>
      <c r="C162" s="18">
        <f>C128+C129+C156+C161</f>
        <v/>
      </c>
      <c r="D162" s="18">
        <f>D128+D129+D156+D161</f>
        <v/>
      </c>
      <c r="E162" s="18">
        <f>E128+E129+E156+E161</f>
        <v/>
      </c>
      <c r="F162" s="18">
        <f>F128+F129+F156+F161</f>
        <v/>
      </c>
      <c r="G162" s="18">
        <f>G128+G129+G156+G161</f>
        <v/>
      </c>
      <c r="H162" s="18">
        <f>H128+H129+H156+H161</f>
        <v/>
      </c>
      <c r="I162" s="18">
        <f>I128+I129+I156+I161</f>
        <v/>
      </c>
      <c r="J162" s="18">
        <f>J128+J129+J156+J161</f>
        <v/>
      </c>
      <c r="K162" s="18">
        <f>K128+K129+K156+K161</f>
        <v/>
      </c>
      <c r="L162" s="18">
        <f>L128+L129+L156+L161</f>
        <v/>
      </c>
    </row>
    <row r="163">
      <c r="A163" s="4" t="inlineStr">
        <is>
          <t>Flux d'investissement</t>
        </is>
      </c>
      <c r="B163" s="18">
        <f>SUM(C163:L163)</f>
        <v/>
      </c>
      <c r="C163" s="18">
        <f>-(C132+C131+C133)</f>
        <v/>
      </c>
      <c r="D163" s="18">
        <f>-(D132+D131+D133)</f>
        <v/>
      </c>
      <c r="E163" s="18">
        <f>-(E132+E131+E133)</f>
        <v/>
      </c>
      <c r="F163" s="18">
        <f>-(F132+F131+F133)</f>
        <v/>
      </c>
      <c r="G163" s="18">
        <f>-(G132+G131+G133)</f>
        <v/>
      </c>
      <c r="H163" s="18">
        <f>-(H132+H131+H133)</f>
        <v/>
      </c>
      <c r="I163" s="18">
        <f>-(I132+I131+I133)</f>
        <v/>
      </c>
      <c r="J163" s="18">
        <f>-(J132+J131+J133)</f>
        <v/>
      </c>
      <c r="K163" s="18">
        <f>-(K132+K131+K133)</f>
        <v/>
      </c>
      <c r="L163" s="18">
        <f>-(L132+L131+L133)</f>
        <v/>
      </c>
    </row>
    <row r="164">
      <c r="A164" t="inlineStr">
        <is>
          <t xml:space="preserve">  Apports en fonds propres + subventions</t>
        </is>
      </c>
      <c r="B164" s="5">
        <f>SUM(C164:L164)</f>
        <v/>
      </c>
      <c r="C164" s="5">
        <f>IF(C$90=1,$B$23,0)+IF(C$90=$B$5,$B$24*(1-$B$49)+$B$26,0)</f>
        <v/>
      </c>
      <c r="D164" s="5">
        <f>IF(D$90=1,$B$23,0)+IF(D$90=$B$5,$B$24*(1-$B$49)+$B$26,0)</f>
        <v/>
      </c>
      <c r="E164" s="5">
        <f>IF(E$90=1,$B$23,0)+IF(E$90=$B$5,$B$24*(1-$B$49)+$B$26,0)</f>
        <v/>
      </c>
      <c r="F164" s="5">
        <f>IF(F$90=1,$B$23,0)+IF(F$90=$B$5,$B$24*(1-$B$49)+$B$26,0)</f>
        <v/>
      </c>
      <c r="G164" s="5">
        <f>IF(G$90=1,$B$23,0)+IF(G$90=$B$5,$B$24*(1-$B$49)+$B$26,0)</f>
        <v/>
      </c>
      <c r="H164" s="5">
        <f>IF(H$90=1,$B$23,0)+IF(H$90=$B$5,$B$24*(1-$B$49)+$B$26,0)</f>
        <v/>
      </c>
      <c r="I164" s="5">
        <f>IF(I$90=1,$B$23,0)+IF(I$90=$B$5,$B$24*(1-$B$49)+$B$26,0)</f>
        <v/>
      </c>
      <c r="J164" s="5">
        <f>IF(J$90=1,$B$23,0)+IF(J$90=$B$5,$B$24*(1-$B$49)+$B$26,0)</f>
        <v/>
      </c>
      <c r="K164" s="5">
        <f>IF(K$90=1,$B$23,0)+IF(K$90=$B$5,$B$24*(1-$B$49)+$B$26,0)</f>
        <v/>
      </c>
      <c r="L164" s="5">
        <f>IF(L$90=1,$B$23,0)+IF(L$90=$B$5,$B$24*(1-$B$49)+$B$26,0)</f>
        <v/>
      </c>
    </row>
    <row r="165">
      <c r="A165" t="inlineStr">
        <is>
          <t xml:space="preserve">  Tirages dette + crédit-vendeur + obligations</t>
        </is>
      </c>
      <c r="B165" s="5">
        <f>SUM(C165:L165)</f>
        <v/>
      </c>
      <c r="C165" s="5">
        <f>IF(C$90=$B$5,$B$27+$B$31+$B$34,0)</f>
        <v/>
      </c>
      <c r="D165" s="5">
        <f>IF(D$90=$B$5,$B$27+$B$31+$B$34,0)</f>
        <v/>
      </c>
      <c r="E165" s="5">
        <f>IF(E$90=$B$5,$B$27+$B$31+$B$34,0)</f>
        <v/>
      </c>
      <c r="F165" s="5">
        <f>IF(F$90=$B$5,$B$27+$B$31+$B$34,0)</f>
        <v/>
      </c>
      <c r="G165" s="5">
        <f>IF(G$90=$B$5,$B$27+$B$31+$B$34,0)</f>
        <v/>
      </c>
      <c r="H165" s="5">
        <f>IF(H$90=$B$5,$B$27+$B$31+$B$34,0)</f>
        <v/>
      </c>
      <c r="I165" s="5">
        <f>IF(I$90=$B$5,$B$27+$B$31+$B$34,0)</f>
        <v/>
      </c>
      <c r="J165" s="5">
        <f>IF(J$90=$B$5,$B$27+$B$31+$B$34,0)</f>
        <v/>
      </c>
      <c r="K165" s="5">
        <f>IF(K$90=$B$5,$B$27+$B$31+$B$34,0)</f>
        <v/>
      </c>
      <c r="L165" s="5">
        <f>IF(L$90=$B$5,$B$27+$B$31+$B$34,0)</f>
        <v/>
      </c>
    </row>
    <row r="166">
      <c r="A166" t="inlineStr">
        <is>
          <t xml:space="preserve">  Service de la dette (intérêts + capital + coupons + rembt obligations)</t>
        </is>
      </c>
      <c r="B166" s="5">
        <f>SUM(C166:L166)</f>
        <v/>
      </c>
      <c r="C166" s="5">
        <f>-(C142+C143+C146+C147+C150+C151)</f>
        <v/>
      </c>
      <c r="D166" s="5">
        <f>-(D142+D143+D146+D147+D150+D151)</f>
        <v/>
      </c>
      <c r="E166" s="5">
        <f>-(E142+E143+E146+E147+E150+E151)</f>
        <v/>
      </c>
      <c r="F166" s="5">
        <f>-(F142+F143+F146+F147+F150+F151)</f>
        <v/>
      </c>
      <c r="G166" s="5">
        <f>-(G142+G143+G146+G147+G150+G151)</f>
        <v/>
      </c>
      <c r="H166" s="5">
        <f>-(H142+H143+H146+H147+H150+H151)</f>
        <v/>
      </c>
      <c r="I166" s="5">
        <f>-(I142+I143+I146+I147+I150+I151)</f>
        <v/>
      </c>
      <c r="J166" s="5">
        <f>-(J142+J143+J146+J147+J150+J151)</f>
        <v/>
      </c>
      <c r="K166" s="5">
        <f>-(K142+K143+K146+K147+K150+K151)</f>
        <v/>
      </c>
      <c r="L166" s="5">
        <f>-(L142+L143+L146+L147+L150+L151)</f>
        <v/>
      </c>
    </row>
    <row r="167">
      <c r="A167" s="4" t="inlineStr">
        <is>
          <t>Flux de financement</t>
        </is>
      </c>
      <c r="B167" s="18">
        <f>SUM(C167:L167)</f>
        <v/>
      </c>
      <c r="C167" s="18">
        <f>C164+C165+C166</f>
        <v/>
      </c>
      <c r="D167" s="18">
        <f>D164+D165+D166</f>
        <v/>
      </c>
      <c r="E167" s="18">
        <f>E164+E165+E166</f>
        <v/>
      </c>
      <c r="F167" s="18">
        <f>F164+F165+F166</f>
        <v/>
      </c>
      <c r="G167" s="18">
        <f>G164+G165+G166</f>
        <v/>
      </c>
      <c r="H167" s="18">
        <f>H164+H165+H166</f>
        <v/>
      </c>
      <c r="I167" s="18">
        <f>I164+I165+I166</f>
        <v/>
      </c>
      <c r="J167" s="18">
        <f>J164+J165+J166</f>
        <v/>
      </c>
      <c r="K167" s="18">
        <f>K164+K165+K166</f>
        <v/>
      </c>
      <c r="L167" s="18">
        <f>L164+L165+L166</f>
        <v/>
      </c>
    </row>
    <row r="168">
      <c r="A168" s="4" t="inlineStr">
        <is>
          <t>Variation de trésorerie</t>
        </is>
      </c>
      <c r="B168" s="18">
        <f>SUM(C168:L168)</f>
        <v/>
      </c>
      <c r="C168" s="18">
        <f>C162+C163+C167</f>
        <v/>
      </c>
      <c r="D168" s="18">
        <f>D162+D163+D167</f>
        <v/>
      </c>
      <c r="E168" s="18">
        <f>E162+E163+E167</f>
        <v/>
      </c>
      <c r="F168" s="18">
        <f>F162+F163+F167</f>
        <v/>
      </c>
      <c r="G168" s="18">
        <f>G162+G163+G167</f>
        <v/>
      </c>
      <c r="H168" s="18">
        <f>H162+H163+H167</f>
        <v/>
      </c>
      <c r="I168" s="18">
        <f>I162+I163+I167</f>
        <v/>
      </c>
      <c r="J168" s="18">
        <f>J162+J163+J167</f>
        <v/>
      </c>
      <c r="K168" s="18">
        <f>K162+K163+K167</f>
        <v/>
      </c>
      <c r="L168" s="18">
        <f>L162+L163+L167</f>
        <v/>
      </c>
    </row>
    <row r="169">
      <c r="A169" s="4" t="inlineStr">
        <is>
          <t>Trésorerie fin d'année</t>
        </is>
      </c>
      <c r="C169" s="18">
        <f>C168</f>
        <v/>
      </c>
      <c r="D169" s="18">
        <f>C169+D168</f>
        <v/>
      </c>
      <c r="E169" s="18">
        <f>D169+E168</f>
        <v/>
      </c>
      <c r="F169" s="18">
        <f>E169+F168</f>
        <v/>
      </c>
      <c r="G169" s="18">
        <f>F169+G168</f>
        <v/>
      </c>
      <c r="H169" s="18">
        <f>G169+H168</f>
        <v/>
      </c>
      <c r="I169" s="18">
        <f>H169+I168</f>
        <v/>
      </c>
      <c r="J169" s="18">
        <f>I169+J168</f>
        <v/>
      </c>
      <c r="K169" s="18">
        <f>J169+K168</f>
        <v/>
      </c>
      <c r="L169" s="18">
        <f>K169+L168</f>
        <v/>
      </c>
    </row>
    <row r="170">
      <c r="A170" t="inlineStr">
        <is>
          <t>Cash-flow libre d'exploitation (CFO − gros entretien − service dette hors obligations in fine)</t>
        </is>
      </c>
      <c r="B170" s="5">
        <f>SUM(C170:L170)</f>
        <v/>
      </c>
      <c r="C170" s="5">
        <f>C162-C133-(C142+C143+C146+C147+C150)</f>
        <v/>
      </c>
      <c r="D170" s="5">
        <f>D162-D133-(D142+D143+D146+D147+D150)</f>
        <v/>
      </c>
      <c r="E170" s="5">
        <f>E162-E133-(E142+E143+E146+E147+E150)</f>
        <v/>
      </c>
      <c r="F170" s="5">
        <f>F162-F133-(F142+F143+F146+F147+F150)</f>
        <v/>
      </c>
      <c r="G170" s="5">
        <f>G162-G133-(G142+G143+G146+G147+G150)</f>
        <v/>
      </c>
      <c r="H170" s="5">
        <f>H162-H133-(H142+H143+H146+H147+H150)</f>
        <v/>
      </c>
      <c r="I170" s="5">
        <f>I162-I133-(I142+I143+I146+I147+I150)</f>
        <v/>
      </c>
      <c r="J170" s="5">
        <f>J162-J133-(J142+J143+J146+J147+J150)</f>
        <v/>
      </c>
      <c r="K170" s="5">
        <f>K162-K133-(K142+K143+K146+K147+K150)</f>
        <v/>
      </c>
      <c r="L170" s="5">
        <f>L162-L133-(L142+L143+L146+L147+L150)</f>
        <v/>
      </c>
    </row>
    <row r="171">
      <c r="A171" t="inlineStr">
        <is>
          <t>DSCR ((EBITDA + loyer privé − IS − gros entretien) / service de la dette)</t>
        </is>
      </c>
      <c r="C171" s="7">
        <f>IF((C142+C143+C146+C147+C150)=0,"",(C128+C129+C156-C133)/(C142+C143+C146+C147+C150))</f>
        <v/>
      </c>
      <c r="D171" s="7">
        <f>IF((D142+D143+D146+D147+D150)=0,"",(D128+D129+D156-D133)/(D142+D143+D146+D147+D150))</f>
        <v/>
      </c>
      <c r="E171" s="7">
        <f>IF((E142+E143+E146+E147+E150)=0,"",(E128+E129+E156-E133)/(E142+E143+E146+E147+E150))</f>
        <v/>
      </c>
      <c r="F171" s="7">
        <f>IF((F142+F143+F146+F147+F150)=0,"",(F128+F129+F156-F133)/(F142+F143+F146+F147+F150))</f>
        <v/>
      </c>
      <c r="G171" s="7">
        <f>IF((G142+G143+G146+G147+G150)=0,"",(G128+G129+G156-G133)/(G142+G143+G146+G147+G150))</f>
        <v/>
      </c>
      <c r="H171" s="7">
        <f>IF((H142+H143+H146+H147+H150)=0,"",(H128+H129+H156-H133)/(H142+H143+H146+H147+H150))</f>
        <v/>
      </c>
      <c r="I171" s="7">
        <f>IF((I142+I143+I146+I147+I150)=0,"",(I128+I129+I156-I133)/(I142+I143+I146+I147+I150))</f>
        <v/>
      </c>
      <c r="J171" s="7">
        <f>IF((J142+J143+J146+J147+J150)=0,"",(J128+J129+J156-J133)/(J142+J143+J146+J147+J150))</f>
        <v/>
      </c>
      <c r="K171" s="7">
        <f>IF((K142+K143+K146+K147+K150)=0,"",(K128+K129+K156-K133)/(K142+K143+K146+K147+K150))</f>
        <v/>
      </c>
      <c r="L171" s="7">
        <f>IF((L142+L143+L146+L147+L150)=0,"",(L128+L129+L156-L133)/(L142+L143+L146+L147+L150))</f>
        <v/>
      </c>
    </row>
    <row r="173">
      <c r="A173" s="4" t="inlineStr">
        <is>
          <t>Rentabilité des investisseurs et contrôle</t>
        </is>
      </c>
    </row>
    <row r="174">
      <c r="A174" t="inlineStr">
        <is>
          <t>Dettes financières totales fin d'année</t>
        </is>
      </c>
      <c r="C174" s="5">
        <f>C144+C148+C149-C151</f>
        <v/>
      </c>
      <c r="D174" s="5">
        <f>D144+D148+D149-D151</f>
        <v/>
      </c>
      <c r="E174" s="5">
        <f>E144+E148+E149-E151</f>
        <v/>
      </c>
      <c r="F174" s="5">
        <f>F144+F148+F149-F151</f>
        <v/>
      </c>
      <c r="G174" s="5">
        <f>G144+G148+G149-G151</f>
        <v/>
      </c>
      <c r="H174" s="5">
        <f>H144+H148+H149-H151</f>
        <v/>
      </c>
      <c r="I174" s="5">
        <f>I144+I148+I149-I151</f>
        <v/>
      </c>
      <c r="J174" s="5">
        <f>J144+J148+J149-J151</f>
        <v/>
      </c>
      <c r="K174" s="5">
        <f>K144+K148+K149-K151</f>
        <v/>
      </c>
      <c r="L174" s="5">
        <f>L144+L148+L149-L151</f>
        <v/>
      </c>
    </row>
    <row r="175">
      <c r="A175" t="inlineStr">
        <is>
          <t>Valeur estimée de l'actif (si cédé cette année)</t>
        </is>
      </c>
      <c r="C175" s="5">
        <f>C96*($B$7+C134)*$B$17*(1-$B$19)</f>
        <v/>
      </c>
      <c r="D175" s="5">
        <f>D96*($B$7+D134)*$B$17*(1-$B$19)</f>
        <v/>
      </c>
      <c r="E175" s="5">
        <f>E96*($B$7+E134)*$B$17*(1-$B$19)</f>
        <v/>
      </c>
      <c r="F175" s="5">
        <f>F96*($B$7+F134)*$B$17*(1-$B$19)</f>
        <v/>
      </c>
      <c r="G175" s="5">
        <f>G96*($B$7+G134)*$B$17*(1-$B$19)</f>
        <v/>
      </c>
      <c r="H175" s="5">
        <f>H96*($B$7+H134)*$B$17*(1-$B$19)</f>
        <v/>
      </c>
      <c r="I175" s="5">
        <f>I96*($B$7+I134)*$B$17*(1-$B$19)</f>
        <v/>
      </c>
      <c r="J175" s="5">
        <f>J96*($B$7+J134)*$B$17*(1-$B$19)</f>
        <v/>
      </c>
      <c r="K175" s="5">
        <f>K96*($B$7+K134)*$B$17*(1-$B$19)</f>
        <v/>
      </c>
      <c r="L175" s="5">
        <f>L96*($B$7+L134)*$B$17*(1-$B$19)</f>
        <v/>
      </c>
    </row>
    <row r="176">
      <c r="A176" t="inlineStr">
        <is>
          <t>Valeur des fonds propres (actif + trésorerie − dettes)</t>
        </is>
      </c>
      <c r="C176" s="5">
        <f>C175+C169-C174</f>
        <v/>
      </c>
      <c r="D176" s="5">
        <f>D175+D169-D174</f>
        <v/>
      </c>
      <c r="E176" s="5">
        <f>E175+E169-E174</f>
        <v/>
      </c>
      <c r="F176" s="5">
        <f>F175+F169-F174</f>
        <v/>
      </c>
      <c r="G176" s="5">
        <f>G175+G169-G174</f>
        <v/>
      </c>
      <c r="H176" s="5">
        <f>H175+H169-H174</f>
        <v/>
      </c>
      <c r="I176" s="5">
        <f>I175+I169-I174</f>
        <v/>
      </c>
      <c r="J176" s="5">
        <f>J175+J169-J174</f>
        <v/>
      </c>
      <c r="K176" s="5">
        <f>K175+K169-K174</f>
        <v/>
      </c>
      <c r="L176" s="5">
        <f>L175+L169-L174</f>
        <v/>
      </c>
    </row>
    <row r="177">
      <c r="A177" t="inlineStr">
        <is>
          <t>Flux des investisseurs (entrée an d'acq., sortie an 10)</t>
        </is>
      </c>
      <c r="B177" s="5">
        <f>SUM(C177:L177)</f>
        <v/>
      </c>
      <c r="C177" s="5">
        <f>-IF(C$90=$B$5,$B$24*(1-$B$49)*(1-$B$25),0)</f>
        <v/>
      </c>
      <c r="D177" s="5">
        <f>-IF(D$90=$B$5,$B$24*(1-$B$49)*(1-$B$25),0)</f>
        <v/>
      </c>
      <c r="E177" s="5">
        <f>-IF(E$90=$B$5,$B$24*(1-$B$49)*(1-$B$25),0)</f>
        <v/>
      </c>
      <c r="F177" s="5">
        <f>-IF(F$90=$B$5,$B$24*(1-$B$49)*(1-$B$25),0)</f>
        <v/>
      </c>
      <c r="G177" s="5">
        <f>-IF(G$90=$B$5,$B$24*(1-$B$49)*(1-$B$25),0)</f>
        <v/>
      </c>
      <c r="H177" s="5">
        <f>-IF(H$90=$B$5,$B$24*(1-$B$49)*(1-$B$25),0)</f>
        <v/>
      </c>
      <c r="I177" s="5">
        <f>-IF(I$90=$B$5,$B$24*(1-$B$49)*(1-$B$25),0)</f>
        <v/>
      </c>
      <c r="J177" s="5">
        <f>-IF(J$90=$B$5,$B$24*(1-$B$49)*(1-$B$25),0)</f>
        <v/>
      </c>
      <c r="K177" s="5">
        <f>-IF(K$90=$B$5,$B$24*(1-$B$49)*(1-$B$25),0)</f>
        <v/>
      </c>
      <c r="L177" s="5">
        <f>-IF(L$90=$B$5,$B$24*(1-$B$49)*(1-$B$25),0)+MAX(0,L176)*(1-$B$42)</f>
        <v/>
      </c>
    </row>
    <row r="178">
      <c r="A178" t="inlineStr">
        <is>
          <t>Flux du fondateur et de sa holding (apports, sortie théorique an 10)</t>
        </is>
      </c>
      <c r="B178" s="5">
        <f>SUM(C178:L178)</f>
        <v/>
      </c>
      <c r="C178" s="5">
        <f>-IF(C$90=1,$B$23,0)-IF(C$90=$B$5,$B$24*(1-$B$49)*$B$25,0)</f>
        <v/>
      </c>
      <c r="D178" s="5">
        <f>-IF(D$90=1,$B$23,0)-IF(D$90=$B$5,$B$24*(1-$B$49)*$B$25,0)</f>
        <v/>
      </c>
      <c r="E178" s="5">
        <f>-IF(E$90=1,$B$23,0)-IF(E$90=$B$5,$B$24*(1-$B$49)*$B$25,0)</f>
        <v/>
      </c>
      <c r="F178" s="5">
        <f>-IF(F$90=1,$B$23,0)-IF(F$90=$B$5,$B$24*(1-$B$49)*$B$25,0)</f>
        <v/>
      </c>
      <c r="G178" s="5">
        <f>-IF(G$90=1,$B$23,0)-IF(G$90=$B$5,$B$24*(1-$B$49)*$B$25,0)</f>
        <v/>
      </c>
      <c r="H178" s="5">
        <f>-IF(H$90=1,$B$23,0)-IF(H$90=$B$5,$B$24*(1-$B$49)*$B$25,0)</f>
        <v/>
      </c>
      <c r="I178" s="5">
        <f>-IF(I$90=1,$B$23,0)-IF(I$90=$B$5,$B$24*(1-$B$49)*$B$25,0)</f>
        <v/>
      </c>
      <c r="J178" s="5">
        <f>-IF(J$90=1,$B$23,0)-IF(J$90=$B$5,$B$24*(1-$B$49)*$B$25,0)</f>
        <v/>
      </c>
      <c r="K178" s="5">
        <f>-IF(K$90=1,$B$23,0)-IF(K$90=$B$5,$B$24*(1-$B$49)*$B$25,0)</f>
        <v/>
      </c>
      <c r="L178" s="5">
        <f>-IF(L$90=1,$B$23,0)-IF(L$90=$B$5,$B$24*(1-$B$49)*$B$25,0)+MAX(0,L176)*$B$42</f>
        <v/>
      </c>
    </row>
    <row r="180">
      <c r="A180" s="10" t="inlineStr">
        <is>
          <t>8. Indicateurs clés</t>
        </is>
      </c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</row>
    <row r="181">
      <c r="A181" t="inlineStr">
        <is>
          <t>Emplois totaux (acq. + frais + travaux initiaux)</t>
        </is>
      </c>
      <c r="B181" s="18">
        <f>$B$7*(1+$B$8)+SUM(C131:L131)</f>
        <v/>
      </c>
    </row>
    <row r="182">
      <c r="A182" t="inlineStr">
        <is>
          <t>Ressources externes et apports prévus</t>
        </is>
      </c>
      <c r="B182" s="18">
        <f>$B$23+$B$24*(1-$B$49)+$B$26+$B$27+$B$31+$B$34</f>
        <v/>
      </c>
    </row>
    <row r="183">
      <c r="A183" t="inlineStr">
        <is>
          <t>CA année 5</t>
        </is>
      </c>
      <c r="B183" s="18">
        <f>G109</f>
        <v/>
      </c>
    </row>
    <row r="184">
      <c r="A184" t="inlineStr">
        <is>
          <t>EBITDA année 5</t>
        </is>
      </c>
      <c r="B184" s="18">
        <f>G128</f>
        <v/>
      </c>
    </row>
    <row r="185">
      <c r="A185" t="inlineStr">
        <is>
          <t>EBITDA année 10</t>
        </is>
      </c>
      <c r="B185" s="18">
        <f>L128</f>
        <v/>
      </c>
    </row>
    <row r="186">
      <c r="A186" t="inlineStr">
        <is>
          <t>Part équestre du CA année 5</t>
        </is>
      </c>
      <c r="B186" s="14">
        <f>G111</f>
        <v/>
      </c>
    </row>
    <row r="187">
      <c r="A187" t="inlineStr">
        <is>
          <t>Trésorerie minimale sur 10 ans</t>
        </is>
      </c>
      <c r="B187" s="18">
        <f>MIN(C169:L169)</f>
        <v/>
      </c>
    </row>
    <row r="188">
      <c r="A188" t="inlineStr">
        <is>
          <t>Trésorerie fin année 10</t>
        </is>
      </c>
      <c r="B188" s="18">
        <f>L169</f>
        <v/>
      </c>
    </row>
    <row r="189">
      <c r="A189" t="inlineStr">
        <is>
          <t>DSCR minimal (à partir de la 2e année d'exploitation)</t>
        </is>
      </c>
      <c r="B189" s="19">
        <f>IF(COUNTIFS(C171:L171,"&gt;-1E+300",C92:L92,"&gt;=2")=0,"n/a",_xlfn.MINIFS(C171:L171,C92:L92,"&gt;=2"))</f>
        <v/>
      </c>
    </row>
    <row r="190">
      <c r="A190" t="inlineStr">
        <is>
          <t>Nb d'années à cash-flow libre d'exploitation négatif (à partir de la 2e année d'exploitation)</t>
        </is>
      </c>
      <c r="B190" s="20">
        <f>COUNTIFS(C170:L170,"&lt;0",C92:L92,"&gt;=2")</f>
        <v/>
      </c>
    </row>
    <row r="191">
      <c r="A191" t="inlineStr">
        <is>
          <t>TRI investisseurs (sortie théorique an 10)</t>
        </is>
      </c>
      <c r="B191" s="14">
        <f>IF($B$24*(1-$B$25)=0,"sans objet",IFERROR(IRR(C177:L177,-0.05),"perte quasi totale (TRI non calculable)"))</f>
        <v/>
      </c>
    </row>
    <row r="192">
      <c r="A192" t="inlineStr">
        <is>
          <t>TRI fondateur (sortie théorique an 10)</t>
        </is>
      </c>
      <c r="B192" s="14">
        <f>IFERROR(IRR(C178:L178,-0.05),"perte quasi totale (TRI non calculable)")</f>
        <v/>
      </c>
    </row>
    <row r="193">
      <c r="A193" t="inlineStr">
        <is>
          <t>Dette bancaire soutenable estimée (DSCR 1,2 sur (EBITDA − gros entretien) an 10, taux et durée du scénario)</t>
        </is>
      </c>
      <c r="B193" s="18">
        <f>MAX(0,PV($B$28,$B$29,-(L128+L129-L133)/1.2))</f>
        <v/>
      </c>
    </row>
    <row r="194">
      <c r="A194" t="inlineStr">
        <is>
          <t>Fonds propres nécessaires (emplois + réserve + pertes d'exploitation cumulées − dette soutenable)</t>
        </is>
      </c>
      <c r="B194" s="18">
        <f>$B$7*(1+$B$8)+SUM(C131:L131)+$B$39-SUMIF(C162:L162,"&lt;0")-$B$193</f>
        <v/>
      </c>
    </row>
    <row r="195">
      <c r="A195" t="inlineStr">
        <is>
          <t>Part du capital du fondateur</t>
        </is>
      </c>
      <c r="B195" s="14">
        <f>$B$42</f>
        <v/>
      </c>
    </row>
    <row r="196">
      <c r="A196" t="inlineStr">
        <is>
          <t>Droits de vote du fondateur</t>
        </is>
      </c>
      <c r="B196" s="14">
        <f>$B$38</f>
        <v/>
      </c>
    </row>
    <row r="197">
      <c r="A197" s="4" t="inlineStr">
        <is>
          <t>Verdict (trésorerie ≥ 0 et ≥ réserve an 10, DSCR ≥ 1,2, cash-flow libre ≥ 0 dès la 2e année d'exploitation, TRI investisseurs extérieurs ≥ cible, dirigeant payé)</t>
        </is>
      </c>
      <c r="B197" s="4">
        <f>IF($B$187&lt;0,"NON VIABLE (trésorerie négative)",IF(AND($B$188&gt;=$B$39,OR($B$189="n/a",$B$189&gt;=1.2),$B$190=0),IF(NOT(OR($B$191="sans objet",AND(ISNUMBER($B$191),N($B$191)&gt;=$B$40))),"FRAGILE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B — Château multiactivité — cas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/ agent d'entretien (1 ETP au Smic chargé)</t>
        </is>
      </c>
      <c r="B77" s="12" t="n">
        <v>27000</v>
      </c>
      <c r="C77" s="16" t="n">
        <v>1</v>
      </c>
      <c r="G77" t="inlineStr">
        <is>
          <t>PL : Smic 2026 22 404 € brut/an [A4 §11] ; EST charges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Soigneurs (2 ETP au Smic chargés)</t>
        </is>
      </c>
      <c r="B79" s="12" t="n">
        <v>60000</v>
      </c>
      <c r="C79" s="16" t="n">
        <v>0</v>
      </c>
      <c r="G79" t="inlineStr">
        <is>
          <t>PL : Smic 1 867 €/mois, grille IDCC 7026 inférieure ; 1 ETP / 17-20 équidés [A3 H13-H14] ; ~54 équidés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5">
      <c r="A85" t="inlineStr">
        <is>
          <t>Rémunération du dirigeant (chargée)</t>
        </is>
      </c>
      <c r="B85" s="12" t="n">
        <v>35000</v>
      </c>
      <c r="C85" s="16" t="n">
        <v>0</v>
      </c>
      <c r="G85" t="inlineStr">
        <is>
          <t>EST : minimum ; le dirigeant paie en plus 18 k€ de loyer privé</t>
        </is>
      </c>
    </row>
    <row r="87">
      <c r="A87" s="10" t="inlineStr">
        <is>
          <t>7. Calcul sur 10 ans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4" t="inlineStr">
        <is>
          <t>Année</t>
        </is>
      </c>
      <c r="B88" s="4" t="inlineStr">
        <is>
          <t>Total / réf.</t>
        </is>
      </c>
      <c r="C88" s="4" t="n">
        <v>1</v>
      </c>
      <c r="D88" s="4" t="n">
        <v>2</v>
      </c>
      <c r="E88" s="4" t="n">
        <v>3</v>
      </c>
      <c r="F88" s="4" t="n">
        <v>4</v>
      </c>
      <c r="G88" s="4" t="n">
        <v>5</v>
      </c>
      <c r="H88" s="4" t="n">
        <v>6</v>
      </c>
      <c r="I88" s="4" t="n">
        <v>7</v>
      </c>
      <c r="J88" s="4" t="n">
        <v>8</v>
      </c>
      <c r="K88" s="4" t="n">
        <v>9</v>
      </c>
      <c r="L88" s="4" t="n">
        <v>10</v>
      </c>
    </row>
    <row r="89">
      <c r="A89" t="inlineStr">
        <is>
          <t>Année d'ouverture effective</t>
        </is>
      </c>
      <c r="C89" s="8">
        <f>$B$6+$B$47</f>
        <v/>
      </c>
      <c r="D89" s="8">
        <f>$B$6+$B$47</f>
        <v/>
      </c>
      <c r="E89" s="8">
        <f>$B$6+$B$47</f>
        <v/>
      </c>
      <c r="F89" s="8">
        <f>$B$6+$B$47</f>
        <v/>
      </c>
      <c r="G89" s="8">
        <f>$B$6+$B$47</f>
        <v/>
      </c>
      <c r="H89" s="8">
        <f>$B$6+$B$47</f>
        <v/>
      </c>
      <c r="I89" s="8">
        <f>$B$6+$B$47</f>
        <v/>
      </c>
      <c r="J89" s="8">
        <f>$B$6+$B$47</f>
        <v/>
      </c>
      <c r="K89" s="8">
        <f>$B$6+$B$47</f>
        <v/>
      </c>
      <c r="L89" s="8">
        <f>$B$6+$B$47</f>
        <v/>
      </c>
    </row>
    <row r="90">
      <c r="A90" t="inlineStr">
        <is>
          <t>Rang de l'année d'exploitation</t>
        </is>
      </c>
      <c r="C90" s="8">
        <f>MAX(0,C$88-C89+1)</f>
        <v/>
      </c>
      <c r="D90" s="8">
        <f>MAX(0,D$88-D89+1)</f>
        <v/>
      </c>
      <c r="E90" s="8">
        <f>MAX(0,E$88-E89+1)</f>
        <v/>
      </c>
      <c r="F90" s="8">
        <f>MAX(0,F$88-F89+1)</f>
        <v/>
      </c>
      <c r="G90" s="8">
        <f>MAX(0,G$88-G89+1)</f>
        <v/>
      </c>
      <c r="H90" s="8">
        <f>MAX(0,H$88-H89+1)</f>
        <v/>
      </c>
      <c r="I90" s="8">
        <f>MAX(0,I$88-I89+1)</f>
        <v/>
      </c>
      <c r="J90" s="8">
        <f>MAX(0,J$88-J89+1)</f>
        <v/>
      </c>
      <c r="K90" s="8">
        <f>MAX(0,K$88-K89+1)</f>
        <v/>
      </c>
      <c r="L90" s="8">
        <f>MAX(0,L$88-L89+1)</f>
        <v/>
      </c>
    </row>
    <row r="91">
      <c r="A91" t="inlineStr">
        <is>
          <t>Coefficient de montée en charge</t>
        </is>
      </c>
      <c r="C91" s="6">
        <f>IF(C90=0,0,IF(C90=1,$B$53,IF(C90=2,$B$54,IF(C90=3,$B$55,1))))</f>
        <v/>
      </c>
      <c r="D91" s="6">
        <f>IF(D90=0,0,IF(D90=1,$B$53,IF(D90=2,$B$54,IF(D90=3,$B$55,1))))</f>
        <v/>
      </c>
      <c r="E91" s="6">
        <f>IF(E90=0,0,IF(E90=1,$B$53,IF(E90=2,$B$54,IF(E90=3,$B$55,1))))</f>
        <v/>
      </c>
      <c r="F91" s="6">
        <f>IF(F90=0,0,IF(F90=1,$B$53,IF(F90=2,$B$54,IF(F90=3,$B$55,1))))</f>
        <v/>
      </c>
      <c r="G91" s="6">
        <f>IF(G90=0,0,IF(G90=1,$B$53,IF(G90=2,$B$54,IF(G90=3,$B$55,1))))</f>
        <v/>
      </c>
      <c r="H91" s="6">
        <f>IF(H90=0,0,IF(H90=1,$B$53,IF(H90=2,$B$54,IF(H90=3,$B$55,1))))</f>
        <v/>
      </c>
      <c r="I91" s="6">
        <f>IF(I90=0,0,IF(I90=1,$B$53,IF(I90=2,$B$54,IF(I90=3,$B$55,1))))</f>
        <v/>
      </c>
      <c r="J91" s="6">
        <f>IF(J90=0,0,IF(J90=1,$B$53,IF(J90=2,$B$54,IF(J90=3,$B$55,1))))</f>
        <v/>
      </c>
      <c r="K91" s="6">
        <f>IF(K90=0,0,IF(K90=1,$B$53,IF(K90=2,$B$54,IF(K90=3,$B$55,1))))</f>
        <v/>
      </c>
      <c r="L91" s="6">
        <f>IF(L90=0,0,IF(L90=1,$B$53,IF(L90=2,$B$54,IF(L90=3,$B$55,1))))</f>
        <v/>
      </c>
    </row>
    <row r="92">
      <c r="A92" t="inlineStr">
        <is>
          <t>Indice prix</t>
        </is>
      </c>
      <c r="C92" s="17">
        <f>(1+$B$56)^(C$88-1)</f>
        <v/>
      </c>
      <c r="D92" s="17">
        <f>(1+$B$56)^(D$88-1)</f>
        <v/>
      </c>
      <c r="E92" s="17">
        <f>(1+$B$56)^(E$88-1)</f>
        <v/>
      </c>
      <c r="F92" s="17">
        <f>(1+$B$56)^(F$88-1)</f>
        <v/>
      </c>
      <c r="G92" s="17">
        <f>(1+$B$56)^(G$88-1)</f>
        <v/>
      </c>
      <c r="H92" s="17">
        <f>(1+$B$56)^(H$88-1)</f>
        <v/>
      </c>
      <c r="I92" s="17">
        <f>(1+$B$56)^(I$88-1)</f>
        <v/>
      </c>
      <c r="J92" s="17">
        <f>(1+$B$56)^(J$88-1)</f>
        <v/>
      </c>
      <c r="K92" s="17">
        <f>(1+$B$56)^(K$88-1)</f>
        <v/>
      </c>
      <c r="L92" s="17">
        <f>(1+$B$56)^(L$88-1)</f>
        <v/>
      </c>
    </row>
    <row r="93">
      <c r="A93" t="inlineStr">
        <is>
          <t>Indice charges</t>
        </is>
      </c>
      <c r="C93" s="17">
        <f>(1+$B$57)^(C$88-1)</f>
        <v/>
      </c>
      <c r="D93" s="17">
        <f>(1+$B$57)^(D$88-1)</f>
        <v/>
      </c>
      <c r="E93" s="17">
        <f>(1+$B$57)^(E$88-1)</f>
        <v/>
      </c>
      <c r="F93" s="17">
        <f>(1+$B$57)^(F$88-1)</f>
        <v/>
      </c>
      <c r="G93" s="17">
        <f>(1+$B$57)^(G$88-1)</f>
        <v/>
      </c>
      <c r="H93" s="17">
        <f>(1+$B$57)^(H$88-1)</f>
        <v/>
      </c>
      <c r="I93" s="17">
        <f>(1+$B$57)^(I$88-1)</f>
        <v/>
      </c>
      <c r="J93" s="17">
        <f>(1+$B$57)^(J$88-1)</f>
        <v/>
      </c>
      <c r="K93" s="17">
        <f>(1+$B$57)^(K$88-1)</f>
        <v/>
      </c>
      <c r="L93" s="17">
        <f>(1+$B$57)^(L$88-1)</f>
        <v/>
      </c>
    </row>
    <row r="94">
      <c r="A94" t="inlineStr">
        <is>
          <t>Murs détenus (1/0)</t>
        </is>
      </c>
      <c r="C94" s="8">
        <f>IF(C$88&gt;=$B$5,1,0)</f>
        <v/>
      </c>
      <c r="D94" s="8">
        <f>IF(D$88&gt;=$B$5,1,0)</f>
        <v/>
      </c>
      <c r="E94" s="8">
        <f>IF(E$88&gt;=$B$5,1,0)</f>
        <v/>
      </c>
      <c r="F94" s="8">
        <f>IF(F$88&gt;=$B$5,1,0)</f>
        <v/>
      </c>
      <c r="G94" s="8">
        <f>IF(G$88&gt;=$B$5,1,0)</f>
        <v/>
      </c>
      <c r="H94" s="8">
        <f>IF(H$88&gt;=$B$5,1,0)</f>
        <v/>
      </c>
      <c r="I94" s="8">
        <f>IF(I$88&gt;=$B$5,1,0)</f>
        <v/>
      </c>
      <c r="J94" s="8">
        <f>IF(J$88&gt;=$B$5,1,0)</f>
        <v/>
      </c>
      <c r="K94" s="8">
        <f>IF(K$88&gt;=$B$5,1,0)</f>
        <v/>
      </c>
      <c r="L94" s="8">
        <f>IF(L$88&gt;=$B$5,1,0)</f>
        <v/>
      </c>
    </row>
    <row r="96">
      <c r="A96" s="4" t="inlineStr">
        <is>
          <t>Compte de résultat</t>
        </is>
      </c>
    </row>
    <row r="97">
      <c r="A97" t="inlineStr">
        <is>
          <t xml:space="preserve">  Pension box premium (places occupées)</t>
        </is>
      </c>
      <c r="B97" s="5">
        <f>SUM(C97:L97)</f>
        <v/>
      </c>
      <c r="C97" s="5">
        <f>$B$63*$C$63*C91*C92*$B$45*(1-$E$63*$B$50)</f>
        <v/>
      </c>
      <c r="D97" s="5">
        <f>$B$63*$C$63*D91*D92*$B$45*(1-$E$63*$B$50)</f>
        <v/>
      </c>
      <c r="E97" s="5">
        <f>$B$63*$C$63*E91*E92*$B$45*(1-$E$63*$B$50)</f>
        <v/>
      </c>
      <c r="F97" s="5">
        <f>$B$63*$C$63*F91*F92*$B$45*(1-$E$63*$B$50)</f>
        <v/>
      </c>
      <c r="G97" s="5">
        <f>$B$63*$C$63*G91*G92*$B$45*(1-$E$63*$B$50)</f>
        <v/>
      </c>
      <c r="H97" s="5">
        <f>$B$63*$C$63*H91*H92*$B$45*(1-$E$63*$B$50)</f>
        <v/>
      </c>
      <c r="I97" s="5">
        <f>$B$63*$C$63*I91*I92*$B$45*(1-$E$63*$B$50)</f>
        <v/>
      </c>
      <c r="J97" s="5">
        <f>$B$63*$C$63*J91*J92*$B$45*(1-$E$63*$B$50)</f>
        <v/>
      </c>
      <c r="K97" s="5">
        <f>$B$63*$C$63*K91*K92*$B$45*(1-$E$63*$B$50)</f>
        <v/>
      </c>
      <c r="L97" s="5">
        <f>$B$63*$C$63*L91*L92*$B$45*(1-$E$63*$B$50)</f>
        <v/>
      </c>
    </row>
    <row r="98">
      <c r="A98" t="inlineStr">
        <is>
          <t xml:space="preserve">  Pension au pré (places occupées)</t>
        </is>
      </c>
      <c r="B98" s="5">
        <f>SUM(C98:L98)</f>
        <v/>
      </c>
      <c r="C98" s="5">
        <f>$B$64*$C$64*C91*C92*$B$45*(1-$E$64*$B$50)</f>
        <v/>
      </c>
      <c r="D98" s="5">
        <f>$B$64*$C$64*D91*D92*$B$45*(1-$E$64*$B$50)</f>
        <v/>
      </c>
      <c r="E98" s="5">
        <f>$B$64*$C$64*E91*E92*$B$45*(1-$E$64*$B$50)</f>
        <v/>
      </c>
      <c r="F98" s="5">
        <f>$B$64*$C$64*F91*F92*$B$45*(1-$E$64*$B$50)</f>
        <v/>
      </c>
      <c r="G98" s="5">
        <f>$B$64*$C$64*G91*G92*$B$45*(1-$E$64*$B$50)</f>
        <v/>
      </c>
      <c r="H98" s="5">
        <f>$B$64*$C$64*H91*H92*$B$45*(1-$E$64*$B$50)</f>
        <v/>
      </c>
      <c r="I98" s="5">
        <f>$B$64*$C$64*I91*I92*$B$45*(1-$E$64*$B$50)</f>
        <v/>
      </c>
      <c r="J98" s="5">
        <f>$B$64*$C$64*J91*J92*$B$45*(1-$E$64*$B$50)</f>
        <v/>
      </c>
      <c r="K98" s="5">
        <f>$B$64*$C$64*K91*K92*$B$45*(1-$E$64*$B$50)</f>
        <v/>
      </c>
      <c r="L98" s="5">
        <f>$B$64*$C$64*L91*L92*$B$45*(1-$E$64*$B$50)</f>
        <v/>
      </c>
    </row>
    <row r="99">
      <c r="A99" t="inlineStr">
        <is>
          <t xml:space="preserve">  Pension retraite / convalescence (places occupées)</t>
        </is>
      </c>
      <c r="B99" s="5">
        <f>SUM(C99:L99)</f>
        <v/>
      </c>
      <c r="C99" s="5">
        <f>$B$65*$C$65*C91*C92*$B$45*(1-$E$65*$B$50)</f>
        <v/>
      </c>
      <c r="D99" s="5">
        <f>$B$65*$C$65*D91*D92*$B$45*(1-$E$65*$B$50)</f>
        <v/>
      </c>
      <c r="E99" s="5">
        <f>$B$65*$C$65*E91*E92*$B$45*(1-$E$65*$B$50)</f>
        <v/>
      </c>
      <c r="F99" s="5">
        <f>$B$65*$C$65*F91*F92*$B$45*(1-$E$65*$B$50)</f>
        <v/>
      </c>
      <c r="G99" s="5">
        <f>$B$65*$C$65*G91*G92*$B$45*(1-$E$65*$B$50)</f>
        <v/>
      </c>
      <c r="H99" s="5">
        <f>$B$65*$C$65*H91*H92*$B$45*(1-$E$65*$B$50)</f>
        <v/>
      </c>
      <c r="I99" s="5">
        <f>$B$65*$C$65*I91*I92*$B$45*(1-$E$65*$B$50)</f>
        <v/>
      </c>
      <c r="J99" s="5">
        <f>$B$65*$C$65*J91*J92*$B$45*(1-$E$65*$B$50)</f>
        <v/>
      </c>
      <c r="K99" s="5">
        <f>$B$65*$C$65*K91*K92*$B$45*(1-$E$65*$B$50)</f>
        <v/>
      </c>
      <c r="L99" s="5">
        <f>$B$65*$C$65*L91*L92*$B$45*(1-$E$65*$B$50)</f>
        <v/>
      </c>
    </row>
    <row r="100">
      <c r="A100" t="inlineStr">
        <is>
          <t xml:space="preserve">  Mariages (location du lieu + hébergement 15 couchages)</t>
        </is>
      </c>
      <c r="B100" s="5">
        <f>SUM(C100:L100)</f>
        <v/>
      </c>
      <c r="C100" s="5">
        <f>$B$66*$C$66*C91*C92*$B$45*(1-$E$66*$B$50)</f>
        <v/>
      </c>
      <c r="D100" s="5">
        <f>$B$66*$C$66*D91*D92*$B$45*(1-$E$66*$B$50)</f>
        <v/>
      </c>
      <c r="E100" s="5">
        <f>$B$66*$C$66*E91*E92*$B$45*(1-$E$66*$B$50)</f>
        <v/>
      </c>
      <c r="F100" s="5">
        <f>$B$66*$C$66*F91*F92*$B$45*(1-$E$66*$B$50)</f>
        <v/>
      </c>
      <c r="G100" s="5">
        <f>$B$66*$C$66*G91*G92*$B$45*(1-$E$66*$B$50)</f>
        <v/>
      </c>
      <c r="H100" s="5">
        <f>$B$66*$C$66*H91*H92*$B$45*(1-$E$66*$B$50)</f>
        <v/>
      </c>
      <c r="I100" s="5">
        <f>$B$66*$C$66*I91*I92*$B$45*(1-$E$66*$B$50)</f>
        <v/>
      </c>
      <c r="J100" s="5">
        <f>$B$66*$C$66*J91*J92*$B$45*(1-$E$66*$B$50)</f>
        <v/>
      </c>
      <c r="K100" s="5">
        <f>$B$66*$C$66*K91*K92*$B$45*(1-$E$66*$B$50)</f>
        <v/>
      </c>
      <c r="L100" s="5">
        <f>$B$66*$C$66*L91*L92*$B$45*(1-$E$66*$B$50)</f>
        <v/>
      </c>
    </row>
    <row r="101">
      <c r="A101" t="inlineStr">
        <is>
          <t xml:space="preserve">  Gîte 15 couchages hors mariages (nuits)</t>
        </is>
      </c>
      <c r="B101" s="5">
        <f>SUM(C101:L101)</f>
        <v/>
      </c>
      <c r="C101" s="5">
        <f>$B$67*$C$67*C91*C92*$B$45*(1-$E$67*$B$50)</f>
        <v/>
      </c>
      <c r="D101" s="5">
        <f>$B$67*$C$67*D91*D92*$B$45*(1-$E$67*$B$50)</f>
        <v/>
      </c>
      <c r="E101" s="5">
        <f>$B$67*$C$67*E91*E92*$B$45*(1-$E$67*$B$50)</f>
        <v/>
      </c>
      <c r="F101" s="5">
        <f>$B$67*$C$67*F91*F92*$B$45*(1-$E$67*$B$50)</f>
        <v/>
      </c>
      <c r="G101" s="5">
        <f>$B$67*$C$67*G91*G92*$B$45*(1-$E$67*$B$50)</f>
        <v/>
      </c>
      <c r="H101" s="5">
        <f>$B$67*$C$67*H91*H92*$B$45*(1-$E$67*$B$50)</f>
        <v/>
      </c>
      <c r="I101" s="5">
        <f>$B$67*$C$67*I91*I92*$B$45*(1-$E$67*$B$50)</f>
        <v/>
      </c>
      <c r="J101" s="5">
        <f>$B$67*$C$67*J91*J92*$B$45*(1-$E$67*$B$50)</f>
        <v/>
      </c>
      <c r="K101" s="5">
        <f>$B$67*$C$67*K91*K92*$B$45*(1-$E$67*$B$50)</f>
        <v/>
      </c>
      <c r="L101" s="5">
        <f>$B$67*$C$67*L91*L92*$B$45*(1-$E$67*$B$50)</f>
        <v/>
      </c>
    </row>
    <row r="102">
      <c r="A102" t="inlineStr">
        <is>
          <t xml:space="preserve">  Séminaires à la journée (jours)</t>
        </is>
      </c>
      <c r="B102" s="5">
        <f>SUM(C102:L102)</f>
        <v/>
      </c>
      <c r="C102" s="5">
        <f>$B$68*$C$68*C91*C92*$B$45*(1-$E$68*$B$50)</f>
        <v/>
      </c>
      <c r="D102" s="5">
        <f>$B$68*$C$68*D91*D92*$B$45*(1-$E$68*$B$50)</f>
        <v/>
      </c>
      <c r="E102" s="5">
        <f>$B$68*$C$68*E91*E92*$B$45*(1-$E$68*$B$50)</f>
        <v/>
      </c>
      <c r="F102" s="5">
        <f>$B$68*$C$68*F91*F92*$B$45*(1-$E$68*$B$50)</f>
        <v/>
      </c>
      <c r="G102" s="5">
        <f>$B$68*$C$68*G91*G92*$B$45*(1-$E$68*$B$50)</f>
        <v/>
      </c>
      <c r="H102" s="5">
        <f>$B$68*$C$68*H91*H92*$B$45*(1-$E$68*$B$50)</f>
        <v/>
      </c>
      <c r="I102" s="5">
        <f>$B$68*$C$68*I91*I92*$B$45*(1-$E$68*$B$50)</f>
        <v/>
      </c>
      <c r="J102" s="5">
        <f>$B$68*$C$68*J91*J92*$B$45*(1-$E$68*$B$50)</f>
        <v/>
      </c>
      <c r="K102" s="5">
        <f>$B$68*$C$68*K91*K92*$B$45*(1-$E$68*$B$50)</f>
        <v/>
      </c>
      <c r="L102" s="5">
        <f>$B$68*$C$68*L91*L92*$B$45*(1-$E$68*$B$50)</f>
        <v/>
      </c>
    </row>
    <row r="103">
      <c r="A103" t="inlineStr">
        <is>
          <t xml:space="preserve">  Tournages / shootings (jours)</t>
        </is>
      </c>
      <c r="B103" s="5">
        <f>SUM(C103:L103)</f>
        <v/>
      </c>
      <c r="C103" s="5">
        <f>$B$69*$C$69*C91*C92*$B$45*(1-$E$69*$B$50)</f>
        <v/>
      </c>
      <c r="D103" s="5">
        <f>$B$69*$C$69*D91*D92*$B$45*(1-$E$69*$B$50)</f>
        <v/>
      </c>
      <c r="E103" s="5">
        <f>$B$69*$C$69*E91*E92*$B$45*(1-$E$69*$B$50)</f>
        <v/>
      </c>
      <c r="F103" s="5">
        <f>$B$69*$C$69*F91*F92*$B$45*(1-$E$69*$B$50)</f>
        <v/>
      </c>
      <c r="G103" s="5">
        <f>$B$69*$C$69*G91*G92*$B$45*(1-$E$69*$B$50)</f>
        <v/>
      </c>
      <c r="H103" s="5">
        <f>$B$69*$C$69*H91*H92*$B$45*(1-$E$69*$B$50)</f>
        <v/>
      </c>
      <c r="I103" s="5">
        <f>$B$69*$C$69*I91*I92*$B$45*(1-$E$69*$B$50)</f>
        <v/>
      </c>
      <c r="J103" s="5">
        <f>$B$69*$C$69*J91*J92*$B$45*(1-$E$69*$B$50)</f>
        <v/>
      </c>
      <c r="K103" s="5">
        <f>$B$69*$C$69*K91*K92*$B$45*(1-$E$69*$B$50)</f>
        <v/>
      </c>
      <c r="L103" s="5">
        <f>$B$69*$C$69*L91*L92*$B$45*(1-$E$69*$B$50)</f>
        <v/>
      </c>
    </row>
    <row r="104">
      <c r="A104" t="inlineStr">
        <is>
          <t xml:space="preserve">  Fermage / vente d'herbe (ha)</t>
        </is>
      </c>
      <c r="B104" s="5">
        <f>SUM(C104:L104)</f>
        <v/>
      </c>
      <c r="C104" s="5">
        <f>$B$70*$C$70*C91*C92*$B$45*(1-$E$70*$B$50)</f>
        <v/>
      </c>
      <c r="D104" s="5">
        <f>$B$70*$C$70*D91*D92*$B$45*(1-$E$70*$B$50)</f>
        <v/>
      </c>
      <c r="E104" s="5">
        <f>$B$70*$C$70*E91*E92*$B$45*(1-$E$70*$B$50)</f>
        <v/>
      </c>
      <c r="F104" s="5">
        <f>$B$70*$C$70*F91*F92*$B$45*(1-$E$70*$B$50)</f>
        <v/>
      </c>
      <c r="G104" s="5">
        <f>$B$70*$C$70*G91*G92*$B$45*(1-$E$70*$B$50)</f>
        <v/>
      </c>
      <c r="H104" s="5">
        <f>$B$70*$C$70*H91*H92*$B$45*(1-$E$70*$B$50)</f>
        <v/>
      </c>
      <c r="I104" s="5">
        <f>$B$70*$C$70*I91*I92*$B$45*(1-$E$70*$B$50)</f>
        <v/>
      </c>
      <c r="J104" s="5">
        <f>$B$70*$C$70*J91*J92*$B$45*(1-$E$70*$B$50)</f>
        <v/>
      </c>
      <c r="K104" s="5">
        <f>$B$70*$C$70*K91*K92*$B$45*(1-$E$70*$B$50)</f>
        <v/>
      </c>
      <c r="L104" s="5">
        <f>$B$70*$C$70*L91*L92*$B$45*(1-$E$70*$B$50)</f>
        <v/>
      </c>
    </row>
    <row r="105">
      <c r="A105" s="4" t="inlineStr">
        <is>
          <t>Chiffre d'affaires total</t>
        </is>
      </c>
      <c r="B105" s="18">
        <f>SUM(C105:L105)</f>
        <v/>
      </c>
      <c r="C105" s="18">
        <f>C97+C98+C99+C100+C101+C102+C103+C104</f>
        <v/>
      </c>
      <c r="D105" s="18">
        <f>D97+D98+D99+D100+D101+D102+D103+D104</f>
        <v/>
      </c>
      <c r="E105" s="18">
        <f>E97+E98+E99+E100+E101+E102+E103+E104</f>
        <v/>
      </c>
      <c r="F105" s="18">
        <f>F97+F98+F99+F100+F101+F102+F103+F104</f>
        <v/>
      </c>
      <c r="G105" s="18">
        <f>G97+G98+G99+G100+G101+G102+G103+G104</f>
        <v/>
      </c>
      <c r="H105" s="18">
        <f>H97+H98+H99+H100+H101+H102+H103+H104</f>
        <v/>
      </c>
      <c r="I105" s="18">
        <f>I97+I98+I99+I100+I101+I102+I103+I104</f>
        <v/>
      </c>
      <c r="J105" s="18">
        <f>J97+J98+J99+J100+J101+J102+J103+J104</f>
        <v/>
      </c>
      <c r="K105" s="18">
        <f>K97+K98+K99+K100+K101+K102+K103+K104</f>
        <v/>
      </c>
      <c r="L105" s="18">
        <f>L97+L98+L99+L100+L101+L102+L103+L104</f>
        <v/>
      </c>
    </row>
    <row r="106">
      <c r="A106" t="inlineStr">
        <is>
          <t xml:space="preserve">  dont équestre</t>
        </is>
      </c>
      <c r="B106" s="5">
        <f>SUM(C106:L106)</f>
        <v/>
      </c>
      <c r="C106" s="5">
        <f>C97*$F$63+C98*$F$64+C99*$F$65+C100*$F$66+C101*$F$67+C102*$F$68+C103*$F$69+C104*$F$70</f>
        <v/>
      </c>
      <c r="D106" s="5">
        <f>D97*$F$63+D98*$F$64+D99*$F$65+D100*$F$66+D101*$F$67+D102*$F$68+D103*$F$69+D104*$F$70</f>
        <v/>
      </c>
      <c r="E106" s="5">
        <f>E97*$F$63+E98*$F$64+E99*$F$65+E100*$F$66+E101*$F$67+E102*$F$68+E103*$F$69+E104*$F$70</f>
        <v/>
      </c>
      <c r="F106" s="5">
        <f>F97*$F$63+F98*$F$64+F99*$F$65+F100*$F$66+F101*$F$67+F102*$F$68+F103*$F$69+F104*$F$70</f>
        <v/>
      </c>
      <c r="G106" s="5">
        <f>G97*$F$63+G98*$F$64+G99*$F$65+G100*$F$66+G101*$F$67+G102*$F$68+G103*$F$69+G104*$F$70</f>
        <v/>
      </c>
      <c r="H106" s="5">
        <f>H97*$F$63+H98*$F$64+H99*$F$65+H100*$F$66+H101*$F$67+H102*$F$68+H103*$F$69+H104*$F$70</f>
        <v/>
      </c>
      <c r="I106" s="5">
        <f>I97*$F$63+I98*$F$64+I99*$F$65+I100*$F$66+I101*$F$67+I102*$F$68+I103*$F$69+I104*$F$70</f>
        <v/>
      </c>
      <c r="J106" s="5">
        <f>J97*$F$63+J98*$F$64+J99*$F$65+J100*$F$66+J101*$F$67+J102*$F$68+J103*$F$69+J104*$F$70</f>
        <v/>
      </c>
      <c r="K106" s="5">
        <f>K97*$F$63+K98*$F$64+K99*$F$65+K100*$F$66+K101*$F$67+K102*$F$68+K103*$F$69+K104*$F$70</f>
        <v/>
      </c>
      <c r="L106" s="5">
        <f>L97*$F$63+L98*$F$64+L99*$F$65+L100*$F$66+L101*$F$67+L102*$F$68+L103*$F$69+L104*$F$70</f>
        <v/>
      </c>
    </row>
    <row r="107">
      <c r="A107" t="inlineStr">
        <is>
          <t xml:space="preserve">  Part équestre du CA</t>
        </is>
      </c>
      <c r="C107" s="6">
        <f>IF(C105=0,0,C106/C105)</f>
        <v/>
      </c>
      <c r="D107" s="6">
        <f>IF(D105=0,0,D106/D105)</f>
        <v/>
      </c>
      <c r="E107" s="6">
        <f>IF(E105=0,0,E106/E105)</f>
        <v/>
      </c>
      <c r="F107" s="6">
        <f>IF(F105=0,0,F106/F105)</f>
        <v/>
      </c>
      <c r="G107" s="6">
        <f>IF(G105=0,0,G106/G105)</f>
        <v/>
      </c>
      <c r="H107" s="6">
        <f>IF(H105=0,0,H106/H105)</f>
        <v/>
      </c>
      <c r="I107" s="6">
        <f>IF(I105=0,0,I106/I105)</f>
        <v/>
      </c>
      <c r="J107" s="6">
        <f>IF(J105=0,0,J106/J105)</f>
        <v/>
      </c>
      <c r="K107" s="6">
        <f>IF(K105=0,0,K106/K105)</f>
        <v/>
      </c>
      <c r="L107" s="6">
        <f>IF(L105=0,0,L106/L105)</f>
        <v/>
      </c>
    </row>
    <row r="108">
      <c r="A108" t="inlineStr">
        <is>
          <t>Coûts variables</t>
        </is>
      </c>
      <c r="B108" s="5">
        <f>SUM(C108:L108)</f>
        <v/>
      </c>
      <c r="C108" s="5">
        <f>-(C97*$D$63+C98*$D$64+C99*$D$65+C100*$D$66+C101*$D$67+C102*$D$68+C103*$D$69+C104*$D$70)</f>
        <v/>
      </c>
      <c r="D108" s="5">
        <f>-(D97*$D$63+D98*$D$64+D99*$D$65+D100*$D$66+D101*$D$67+D102*$D$68+D103*$D$69+D104*$D$70)</f>
        <v/>
      </c>
      <c r="E108" s="5">
        <f>-(E97*$D$63+E98*$D$64+E99*$D$65+E100*$D$66+E101*$D$67+E102*$D$68+E103*$D$69+E104*$D$70)</f>
        <v/>
      </c>
      <c r="F108" s="5">
        <f>-(F97*$D$63+F98*$D$64+F99*$D$65+F100*$D$66+F101*$D$67+F102*$D$68+F103*$D$69+F104*$D$70)</f>
        <v/>
      </c>
      <c r="G108" s="5">
        <f>-(G97*$D$63+G98*$D$64+G99*$D$65+G100*$D$66+G101*$D$67+G102*$D$68+G103*$D$69+G104*$D$70)</f>
        <v/>
      </c>
      <c r="H108" s="5">
        <f>-(H97*$D$63+H98*$D$64+H99*$D$65+H100*$D$66+H101*$D$67+H102*$D$68+H103*$D$69+H104*$D$70)</f>
        <v/>
      </c>
      <c r="I108" s="5">
        <f>-(I97*$D$63+I98*$D$64+I99*$D$65+I100*$D$66+I101*$D$67+I102*$D$68+I103*$D$69+I104*$D$70)</f>
        <v/>
      </c>
      <c r="J108" s="5">
        <f>-(J97*$D$63+J98*$D$64+J99*$D$65+J100*$D$66+J101*$D$67+J102*$D$68+J103*$D$69+J104*$D$70)</f>
        <v/>
      </c>
      <c r="K108" s="5">
        <f>-(K97*$D$63+K98*$D$64+K99*$D$65+K100*$D$66+K101*$D$67+K102*$D$68+K103*$D$69+K104*$D$70)</f>
        <v/>
      </c>
      <c r="L108" s="5">
        <f>-(L97*$D$63+L98*$D$64+L99*$D$65+L100*$D$66+L101*$D$67+L102*$D$68+L103*$D$69+L104*$D$70)</f>
        <v/>
      </c>
    </row>
    <row r="109">
      <c r="A109" s="4" t="inlineStr">
        <is>
          <t>Marge sur coûts variables</t>
        </is>
      </c>
      <c r="B109" s="18">
        <f>SUM(C109:L109)</f>
        <v/>
      </c>
      <c r="C109" s="18">
        <f>C105+C108</f>
        <v/>
      </c>
      <c r="D109" s="18">
        <f>D105+D108</f>
        <v/>
      </c>
      <c r="E109" s="18">
        <f>E105+E108</f>
        <v/>
      </c>
      <c r="F109" s="18">
        <f>F105+F108</f>
        <v/>
      </c>
      <c r="G109" s="18">
        <f>G105+G108</f>
        <v/>
      </c>
      <c r="H109" s="18">
        <f>H105+H108</f>
        <v/>
      </c>
      <c r="I109" s="18">
        <f>I105+I108</f>
        <v/>
      </c>
      <c r="J109" s="18">
        <f>J105+J108</f>
        <v/>
      </c>
      <c r="K109" s="18">
        <f>K105+K108</f>
        <v/>
      </c>
      <c r="L109" s="18">
        <f>L105+L108</f>
        <v/>
      </c>
    </row>
    <row r="110">
      <c r="A110" t="inlineStr">
        <is>
          <t xml:space="preserve">  Taxe foncière</t>
        </is>
      </c>
      <c r="B110" s="5">
        <f>SUM(C110:L110)</f>
        <v/>
      </c>
      <c r="C110" s="5">
        <f>-$B$74*C93*IF($C$74=1,C94,IF(C90&gt;0,1,0))</f>
        <v/>
      </c>
      <c r="D110" s="5">
        <f>-$B$74*D93*IF($C$74=1,D94,IF(D90&gt;0,1,0))</f>
        <v/>
      </c>
      <c r="E110" s="5">
        <f>-$B$74*E93*IF($C$74=1,E94,IF(E90&gt;0,1,0))</f>
        <v/>
      </c>
      <c r="F110" s="5">
        <f>-$B$74*F93*IF($C$74=1,F94,IF(F90&gt;0,1,0))</f>
        <v/>
      </c>
      <c r="G110" s="5">
        <f>-$B$74*G93*IF($C$74=1,G94,IF(G90&gt;0,1,0))</f>
        <v/>
      </c>
      <c r="H110" s="5">
        <f>-$B$74*H93*IF($C$74=1,H94,IF(H90&gt;0,1,0))</f>
        <v/>
      </c>
      <c r="I110" s="5">
        <f>-$B$74*I93*IF($C$74=1,I94,IF(I90&gt;0,1,0))</f>
        <v/>
      </c>
      <c r="J110" s="5">
        <f>-$B$74*J93*IF($C$74=1,J94,IF(J90&gt;0,1,0))</f>
        <v/>
      </c>
      <c r="K110" s="5">
        <f>-$B$74*K93*IF($C$74=1,K94,IF(K90&gt;0,1,0))</f>
        <v/>
      </c>
      <c r="L110" s="5">
        <f>-$B$74*L93*IF($C$74=1,L94,IF(L90&gt;0,1,0))</f>
        <v/>
      </c>
    </row>
    <row r="111">
      <c r="A111" t="inlineStr">
        <is>
          <t xml:space="preserve">  Assurance multirisque château</t>
        </is>
      </c>
      <c r="B111" s="5">
        <f>SUM(C111:L111)</f>
        <v/>
      </c>
      <c r="C111" s="5">
        <f>-$B$75*C93*IF($C$75=1,C94,IF(C90&gt;0,1,0))</f>
        <v/>
      </c>
      <c r="D111" s="5">
        <f>-$B$75*D93*IF($C$75=1,D94,IF(D90&gt;0,1,0))</f>
        <v/>
      </c>
      <c r="E111" s="5">
        <f>-$B$75*E93*IF($C$75=1,E94,IF(E90&gt;0,1,0))</f>
        <v/>
      </c>
      <c r="F111" s="5">
        <f>-$B$75*F93*IF($C$75=1,F94,IF(F90&gt;0,1,0))</f>
        <v/>
      </c>
      <c r="G111" s="5">
        <f>-$B$75*G93*IF($C$75=1,G94,IF(G90&gt;0,1,0))</f>
        <v/>
      </c>
      <c r="H111" s="5">
        <f>-$B$75*H93*IF($C$75=1,H94,IF(H90&gt;0,1,0))</f>
        <v/>
      </c>
      <c r="I111" s="5">
        <f>-$B$75*I93*IF($C$75=1,I94,IF(I90&gt;0,1,0))</f>
        <v/>
      </c>
      <c r="J111" s="5">
        <f>-$B$75*J93*IF($C$75=1,J94,IF(J90&gt;0,1,0))</f>
        <v/>
      </c>
      <c r="K111" s="5">
        <f>-$B$75*K93*IF($C$75=1,K94,IF(K90&gt;0,1,0))</f>
        <v/>
      </c>
      <c r="L111" s="5">
        <f>-$B$75*L93*IF($C$75=1,L94,IF(L90&gt;0,1,0))</f>
        <v/>
      </c>
    </row>
    <row r="112">
      <c r="A112" t="inlineStr">
        <is>
          <t xml:space="preserve">  Énergie (chauffage partiel, électricité, eau)</t>
        </is>
      </c>
      <c r="B112" s="5">
        <f>SUM(C112:L112)</f>
        <v/>
      </c>
      <c r="C112" s="5">
        <f>-$B$76*C93*IF($C$76=1,C94,IF(C90&gt;0,1,0))</f>
        <v/>
      </c>
      <c r="D112" s="5">
        <f>-$B$76*D93*IF($C$76=1,D94,IF(D90&gt;0,1,0))</f>
        <v/>
      </c>
      <c r="E112" s="5">
        <f>-$B$76*E93*IF($C$76=1,E94,IF(E90&gt;0,1,0))</f>
        <v/>
      </c>
      <c r="F112" s="5">
        <f>-$B$76*F93*IF($C$76=1,F94,IF(F90&gt;0,1,0))</f>
        <v/>
      </c>
      <c r="G112" s="5">
        <f>-$B$76*G93*IF($C$76=1,G94,IF(G90&gt;0,1,0))</f>
        <v/>
      </c>
      <c r="H112" s="5">
        <f>-$B$76*H93*IF($C$76=1,H94,IF(H90&gt;0,1,0))</f>
        <v/>
      </c>
      <c r="I112" s="5">
        <f>-$B$76*I93*IF($C$76=1,I94,IF(I90&gt;0,1,0))</f>
        <v/>
      </c>
      <c r="J112" s="5">
        <f>-$B$76*J93*IF($C$76=1,J94,IF(J90&gt;0,1,0))</f>
        <v/>
      </c>
      <c r="K112" s="5">
        <f>-$B$76*K93*IF($C$76=1,K94,IF(K90&gt;0,1,0))</f>
        <v/>
      </c>
      <c r="L112" s="5">
        <f>-$B$76*L93*IF($C$76=1,L94,IF(L90&gt;0,1,0))</f>
        <v/>
      </c>
    </row>
    <row r="113">
      <c r="A113" t="inlineStr">
        <is>
          <t xml:space="preserve">  Jardinier / agent d'entretien (1 ETP au Smic chargé)</t>
        </is>
      </c>
      <c r="B113" s="5">
        <f>SUM(C113:L113)</f>
        <v/>
      </c>
      <c r="C113" s="5">
        <f>-$B$77*C93*IF($C$77=1,C94,IF(C90&gt;0,1,0))</f>
        <v/>
      </c>
      <c r="D113" s="5">
        <f>-$B$77*D93*IF($C$77=1,D94,IF(D90&gt;0,1,0))</f>
        <v/>
      </c>
      <c r="E113" s="5">
        <f>-$B$77*E93*IF($C$77=1,E94,IF(E90&gt;0,1,0))</f>
        <v/>
      </c>
      <c r="F113" s="5">
        <f>-$B$77*F93*IF($C$77=1,F94,IF(F90&gt;0,1,0))</f>
        <v/>
      </c>
      <c r="G113" s="5">
        <f>-$B$77*G93*IF($C$77=1,G94,IF(G90&gt;0,1,0))</f>
        <v/>
      </c>
      <c r="H113" s="5">
        <f>-$B$77*H93*IF($C$77=1,H94,IF(H90&gt;0,1,0))</f>
        <v/>
      </c>
      <c r="I113" s="5">
        <f>-$B$77*I93*IF($C$77=1,I94,IF(I90&gt;0,1,0))</f>
        <v/>
      </c>
      <c r="J113" s="5">
        <f>-$B$77*J93*IF($C$77=1,J94,IF(J90&gt;0,1,0))</f>
        <v/>
      </c>
      <c r="K113" s="5">
        <f>-$B$77*K93*IF($C$77=1,K94,IF(K90&gt;0,1,0))</f>
        <v/>
      </c>
      <c r="L113" s="5">
        <f>-$B$77*L93*IF($C$77=1,L94,IF(L90&gt;0,1,0))</f>
        <v/>
      </c>
    </row>
    <row r="114">
      <c r="A114" t="inlineStr">
        <is>
          <t xml:space="preserve">  Divers (abonnements, petit matériel, véhicule, honoraires)</t>
        </is>
      </c>
      <c r="B114" s="5">
        <f>SUM(C114:L114)</f>
        <v/>
      </c>
      <c r="C114" s="5">
        <f>-$B$78*C93*IF($C$78=1,C94,IF(C90&gt;0,1,0))</f>
        <v/>
      </c>
      <c r="D114" s="5">
        <f>-$B$78*D93*IF($C$78=1,D94,IF(D90&gt;0,1,0))</f>
        <v/>
      </c>
      <c r="E114" s="5">
        <f>-$B$78*E93*IF($C$78=1,E94,IF(E90&gt;0,1,0))</f>
        <v/>
      </c>
      <c r="F114" s="5">
        <f>-$B$78*F93*IF($C$78=1,F94,IF(F90&gt;0,1,0))</f>
        <v/>
      </c>
      <c r="G114" s="5">
        <f>-$B$78*G93*IF($C$78=1,G94,IF(G90&gt;0,1,0))</f>
        <v/>
      </c>
      <c r="H114" s="5">
        <f>-$B$78*H93*IF($C$78=1,H94,IF(H90&gt;0,1,0))</f>
        <v/>
      </c>
      <c r="I114" s="5">
        <f>-$B$78*I93*IF($C$78=1,I94,IF(I90&gt;0,1,0))</f>
        <v/>
      </c>
      <c r="J114" s="5">
        <f>-$B$78*J93*IF($C$78=1,J94,IF(J90&gt;0,1,0))</f>
        <v/>
      </c>
      <c r="K114" s="5">
        <f>-$B$78*K93*IF($C$78=1,K94,IF(K90&gt;0,1,0))</f>
        <v/>
      </c>
      <c r="L114" s="5">
        <f>-$B$78*L93*IF($C$78=1,L94,IF(L90&gt;0,1,0))</f>
        <v/>
      </c>
    </row>
    <row r="115">
      <c r="A115" t="inlineStr">
        <is>
          <t xml:space="preserve">  Soigneurs (2 ETP au Smic chargés)</t>
        </is>
      </c>
      <c r="B115" s="5">
        <f>SUM(C115:L115)</f>
        <v/>
      </c>
      <c r="C115" s="5">
        <f>-$B$79*C93*IF($C$79=1,C94,IF(C90&gt;0,1,0))</f>
        <v/>
      </c>
      <c r="D115" s="5">
        <f>-$B$79*D93*IF($C$79=1,D94,IF(D90&gt;0,1,0))</f>
        <v/>
      </c>
      <c r="E115" s="5">
        <f>-$B$79*E93*IF($C$79=1,E94,IF(E90&gt;0,1,0))</f>
        <v/>
      </c>
      <c r="F115" s="5">
        <f>-$B$79*F93*IF($C$79=1,F94,IF(F90&gt;0,1,0))</f>
        <v/>
      </c>
      <c r="G115" s="5">
        <f>-$B$79*G93*IF($C$79=1,G94,IF(G90&gt;0,1,0))</f>
        <v/>
      </c>
      <c r="H115" s="5">
        <f>-$B$79*H93*IF($C$79=1,H94,IF(H90&gt;0,1,0))</f>
        <v/>
      </c>
      <c r="I115" s="5">
        <f>-$B$79*I93*IF($C$79=1,I94,IF(I90&gt;0,1,0))</f>
        <v/>
      </c>
      <c r="J115" s="5">
        <f>-$B$79*J93*IF($C$79=1,J94,IF(J90&gt;0,1,0))</f>
        <v/>
      </c>
      <c r="K115" s="5">
        <f>-$B$79*K93*IF($C$79=1,K94,IF(K90&gt;0,1,0))</f>
        <v/>
      </c>
      <c r="L115" s="5">
        <f>-$B$79*L93*IF($C$79=1,L94,IF(L90&gt;0,1,0))</f>
        <v/>
      </c>
    </row>
    <row r="116">
      <c r="A116" t="inlineStr">
        <is>
          <t xml:space="preserve">  Autres charges de structure équestres (entretien installations, matériel, assurance RC, énergie écuries)</t>
        </is>
      </c>
      <c r="B116" s="5">
        <f>SUM(C116:L116)</f>
        <v/>
      </c>
      <c r="C116" s="5">
        <f>-$B$80*C93*IF($C$80=1,C94,IF(C90&gt;0,1,0))</f>
        <v/>
      </c>
      <c r="D116" s="5">
        <f>-$B$80*D93*IF($C$80=1,D94,IF(D90&gt;0,1,0))</f>
        <v/>
      </c>
      <c r="E116" s="5">
        <f>-$B$80*E93*IF($C$80=1,E94,IF(E90&gt;0,1,0))</f>
        <v/>
      </c>
      <c r="F116" s="5">
        <f>-$B$80*F93*IF($C$80=1,F94,IF(F90&gt;0,1,0))</f>
        <v/>
      </c>
      <c r="G116" s="5">
        <f>-$B$80*G93*IF($C$80=1,G94,IF(G90&gt;0,1,0))</f>
        <v/>
      </c>
      <c r="H116" s="5">
        <f>-$B$80*H93*IF($C$80=1,H94,IF(H90&gt;0,1,0))</f>
        <v/>
      </c>
      <c r="I116" s="5">
        <f>-$B$80*I93*IF($C$80=1,I94,IF(I90&gt;0,1,0))</f>
        <v/>
      </c>
      <c r="J116" s="5">
        <f>-$B$80*J93*IF($C$80=1,J94,IF(J90&gt;0,1,0))</f>
        <v/>
      </c>
      <c r="K116" s="5">
        <f>-$B$80*K93*IF($C$80=1,K94,IF(K90&gt;0,1,0))</f>
        <v/>
      </c>
      <c r="L116" s="5">
        <f>-$B$80*L93*IF($C$80=1,L94,IF(L90&gt;0,1,0))</f>
        <v/>
      </c>
    </row>
    <row r="117">
      <c r="A117" t="inlineStr">
        <is>
          <t xml:space="preserve">  Coûts fixes mariages (coordination, nettoyage, publicité)</t>
        </is>
      </c>
      <c r="B117" s="5">
        <f>SUM(C117:L117)</f>
        <v/>
      </c>
      <c r="C117" s="5">
        <f>-$B$81*C93*IF($C$81=1,C94,IF(C90&gt;0,1,0))</f>
        <v/>
      </c>
      <c r="D117" s="5">
        <f>-$B$81*D93*IF($C$81=1,D94,IF(D90&gt;0,1,0))</f>
        <v/>
      </c>
      <c r="E117" s="5">
        <f>-$B$81*E93*IF($C$81=1,E94,IF(E90&gt;0,1,0))</f>
        <v/>
      </c>
      <c r="F117" s="5">
        <f>-$B$81*F93*IF($C$81=1,F94,IF(F90&gt;0,1,0))</f>
        <v/>
      </c>
      <c r="G117" s="5">
        <f>-$B$81*G93*IF($C$81=1,G94,IF(G90&gt;0,1,0))</f>
        <v/>
      </c>
      <c r="H117" s="5">
        <f>-$B$81*H93*IF($C$81=1,H94,IF(H90&gt;0,1,0))</f>
        <v/>
      </c>
      <c r="I117" s="5">
        <f>-$B$81*I93*IF($C$81=1,I94,IF(I90&gt;0,1,0))</f>
        <v/>
      </c>
      <c r="J117" s="5">
        <f>-$B$81*J93*IF($C$81=1,J94,IF(J90&gt;0,1,0))</f>
        <v/>
      </c>
      <c r="K117" s="5">
        <f>-$B$81*K93*IF($C$81=1,K94,IF(K90&gt;0,1,0))</f>
        <v/>
      </c>
      <c r="L117" s="5">
        <f>-$B$81*L93*IF($C$81=1,L94,IF(L90&gt;0,1,0))</f>
        <v/>
      </c>
    </row>
    <row r="118">
      <c r="A118" t="inlineStr">
        <is>
          <t xml:space="preserve">  Coûts fixes du gîte</t>
        </is>
      </c>
      <c r="B118" s="5">
        <f>SUM(C118:L118)</f>
        <v/>
      </c>
      <c r="C118" s="5">
        <f>-$B$82*C93*IF($C$82=1,C94,IF(C90&gt;0,1,0))</f>
        <v/>
      </c>
      <c r="D118" s="5">
        <f>-$B$82*D93*IF($C$82=1,D94,IF(D90&gt;0,1,0))</f>
        <v/>
      </c>
      <c r="E118" s="5">
        <f>-$B$82*E93*IF($C$82=1,E94,IF(E90&gt;0,1,0))</f>
        <v/>
      </c>
      <c r="F118" s="5">
        <f>-$B$82*F93*IF($C$82=1,F94,IF(F90&gt;0,1,0))</f>
        <v/>
      </c>
      <c r="G118" s="5">
        <f>-$B$82*G93*IF($C$82=1,G94,IF(G90&gt;0,1,0))</f>
        <v/>
      </c>
      <c r="H118" s="5">
        <f>-$B$82*H93*IF($C$82=1,H94,IF(H90&gt;0,1,0))</f>
        <v/>
      </c>
      <c r="I118" s="5">
        <f>-$B$82*I93*IF($C$82=1,I94,IF(I90&gt;0,1,0))</f>
        <v/>
      </c>
      <c r="J118" s="5">
        <f>-$B$82*J93*IF($C$82=1,J94,IF(J90&gt;0,1,0))</f>
        <v/>
      </c>
      <c r="K118" s="5">
        <f>-$B$82*K93*IF($C$82=1,K94,IF(K90&gt;0,1,0))</f>
        <v/>
      </c>
      <c r="L118" s="5">
        <f>-$B$82*L93*IF($C$82=1,L94,IF(L90&gt;0,1,0))</f>
        <v/>
      </c>
    </row>
    <row r="119">
      <c r="A119" t="inlineStr">
        <is>
          <t xml:space="preserve">  Commercial, site, salons</t>
        </is>
      </c>
      <c r="B119" s="5">
        <f>SUM(C119:L119)</f>
        <v/>
      </c>
      <c r="C119" s="5">
        <f>-$B$83*C93*IF($C$83=1,C94,IF(C90&gt;0,1,0))</f>
        <v/>
      </c>
      <c r="D119" s="5">
        <f>-$B$83*D93*IF($C$83=1,D94,IF(D90&gt;0,1,0))</f>
        <v/>
      </c>
      <c r="E119" s="5">
        <f>-$B$83*E93*IF($C$83=1,E94,IF(E90&gt;0,1,0))</f>
        <v/>
      </c>
      <c r="F119" s="5">
        <f>-$B$83*F93*IF($C$83=1,F94,IF(F90&gt;0,1,0))</f>
        <v/>
      </c>
      <c r="G119" s="5">
        <f>-$B$83*G93*IF($C$83=1,G94,IF(G90&gt;0,1,0))</f>
        <v/>
      </c>
      <c r="H119" s="5">
        <f>-$B$83*H93*IF($C$83=1,H94,IF(H90&gt;0,1,0))</f>
        <v/>
      </c>
      <c r="I119" s="5">
        <f>-$B$83*I93*IF($C$83=1,I94,IF(I90&gt;0,1,0))</f>
        <v/>
      </c>
      <c r="J119" s="5">
        <f>-$B$83*J93*IF($C$83=1,J94,IF(J90&gt;0,1,0))</f>
        <v/>
      </c>
      <c r="K119" s="5">
        <f>-$B$83*K93*IF($C$83=1,K94,IF(K90&gt;0,1,0))</f>
        <v/>
      </c>
      <c r="L119" s="5">
        <f>-$B$83*L93*IF($C$83=1,L94,IF(L90&gt;0,1,0))</f>
        <v/>
      </c>
    </row>
    <row r="120">
      <c r="A120" t="inlineStr">
        <is>
          <t xml:space="preserve">  Comptabilité, juridique, banque, logiciels</t>
        </is>
      </c>
      <c r="B120" s="5">
        <f>SUM(C120:L120)</f>
        <v/>
      </c>
      <c r="C120" s="5">
        <f>-$B$84*C93*IF($C$84=1,C94,IF(C90&gt;0,1,0))</f>
        <v/>
      </c>
      <c r="D120" s="5">
        <f>-$B$84*D93*IF($C$84=1,D94,IF(D90&gt;0,1,0))</f>
        <v/>
      </c>
      <c r="E120" s="5">
        <f>-$B$84*E93*IF($C$84=1,E94,IF(E90&gt;0,1,0))</f>
        <v/>
      </c>
      <c r="F120" s="5">
        <f>-$B$84*F93*IF($C$84=1,F94,IF(F90&gt;0,1,0))</f>
        <v/>
      </c>
      <c r="G120" s="5">
        <f>-$B$84*G93*IF($C$84=1,G94,IF(G90&gt;0,1,0))</f>
        <v/>
      </c>
      <c r="H120" s="5">
        <f>-$B$84*H93*IF($C$84=1,H94,IF(H90&gt;0,1,0))</f>
        <v/>
      </c>
      <c r="I120" s="5">
        <f>-$B$84*I93*IF($C$84=1,I94,IF(I90&gt;0,1,0))</f>
        <v/>
      </c>
      <c r="J120" s="5">
        <f>-$B$84*J93*IF($C$84=1,J94,IF(J90&gt;0,1,0))</f>
        <v/>
      </c>
      <c r="K120" s="5">
        <f>-$B$84*K93*IF($C$84=1,K94,IF(K90&gt;0,1,0))</f>
        <v/>
      </c>
      <c r="L120" s="5">
        <f>-$B$84*L93*IF($C$84=1,L94,IF(L90&gt;0,1,0))</f>
        <v/>
      </c>
    </row>
    <row r="121">
      <c r="A121" t="inlineStr">
        <is>
          <t xml:space="preserve">  Rémunération du dirigeant (chargée)</t>
        </is>
      </c>
      <c r="B121" s="5">
        <f>SUM(C121:L121)</f>
        <v/>
      </c>
      <c r="C121" s="5">
        <f>-$B$85*C93*IF($C$85=1,C94,IF(C90&gt;0,1,0))</f>
        <v/>
      </c>
      <c r="D121" s="5">
        <f>-$B$85*D93*IF($C$85=1,D94,IF(D90&gt;0,1,0))</f>
        <v/>
      </c>
      <c r="E121" s="5">
        <f>-$B$85*E93*IF($C$85=1,E94,IF(E90&gt;0,1,0))</f>
        <v/>
      </c>
      <c r="F121" s="5">
        <f>-$B$85*F93*IF($C$85=1,F94,IF(F90&gt;0,1,0))</f>
        <v/>
      </c>
      <c r="G121" s="5">
        <f>-$B$85*G93*IF($C$85=1,G94,IF(G90&gt;0,1,0))</f>
        <v/>
      </c>
      <c r="H121" s="5">
        <f>-$B$85*H93*IF($C$85=1,H94,IF(H90&gt;0,1,0))</f>
        <v/>
      </c>
      <c r="I121" s="5">
        <f>-$B$85*I93*IF($C$85=1,I94,IF(I90&gt;0,1,0))</f>
        <v/>
      </c>
      <c r="J121" s="5">
        <f>-$B$85*J93*IF($C$85=1,J94,IF(J90&gt;0,1,0))</f>
        <v/>
      </c>
      <c r="K121" s="5">
        <f>-$B$85*K93*IF($C$85=1,K94,IF(K90&gt;0,1,0))</f>
        <v/>
      </c>
      <c r="L121" s="5">
        <f>-$B$85*L93*IF($C$85=1,L94,IF(L90&gt;0,1,0))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C110+C111+C112+C113+C114+C115+C116+C117+C118+C119+C120+C121</f>
        <v/>
      </c>
      <c r="D122" s="18">
        <f>D110+D111+D112+D113+D114+D115+D116+D117+D118+D119+D120+D121</f>
        <v/>
      </c>
      <c r="E122" s="18">
        <f>E110+E111+E112+E113+E114+E115+E116+E117+E118+E119+E120+E121</f>
        <v/>
      </c>
      <c r="F122" s="18">
        <f>F110+F111+F112+F113+F114+F115+F116+F117+F118+F119+F120+F121</f>
        <v/>
      </c>
      <c r="G122" s="18">
        <f>G110+G111+G112+G113+G114+G115+G116+G117+G118+G119+G120+G121</f>
        <v/>
      </c>
      <c r="H122" s="18">
        <f>H110+H111+H112+H113+H114+H115+H116+H117+H118+H119+H120+H121</f>
        <v/>
      </c>
      <c r="I122" s="18">
        <f>I110+I111+I112+I113+I114+I115+I116+I117+I118+I119+I120+I121</f>
        <v/>
      </c>
      <c r="J122" s="18">
        <f>J110+J111+J112+J113+J114+J115+J116+J117+J118+J119+J120+J121</f>
        <v/>
      </c>
      <c r="K122" s="18">
        <f>K110+K111+K112+K113+K114+K115+K116+K117+K118+K119+K120+K121</f>
        <v/>
      </c>
      <c r="L122" s="18">
        <f>L110+L111+L112+L113+L114+L115+L116+L117+L118+L119+L120+L121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-IF(C94=0,IF(C$88&gt;=$B$6,$B$18*C93,0),0)</f>
        <v/>
      </c>
      <c r="D123" s="5">
        <f>-IF(D94=0,IF(D$88&gt;=$B$6,$B$18*D93,0),0)</f>
        <v/>
      </c>
      <c r="E123" s="5">
        <f>-IF(E94=0,IF(E$88&gt;=$B$6,$B$18*E93,0),0)</f>
        <v/>
      </c>
      <c r="F123" s="5">
        <f>-IF(F94=0,IF(F$88&gt;=$B$6,$B$18*F93,0),0)</f>
        <v/>
      </c>
      <c r="G123" s="5">
        <f>-IF(G94=0,IF(G$88&gt;=$B$6,$B$18*G93,0),0)</f>
        <v/>
      </c>
      <c r="H123" s="5">
        <f>-IF(H94=0,IF(H$88&gt;=$B$6,$B$18*H93,0),0)</f>
        <v/>
      </c>
      <c r="I123" s="5">
        <f>-IF(I94=0,IF(I$88&gt;=$B$6,$B$18*I93,0),0)</f>
        <v/>
      </c>
      <c r="J123" s="5">
        <f>-IF(J94=0,IF(J$88&gt;=$B$6,$B$18*J93,0),0)</f>
        <v/>
      </c>
      <c r="K123" s="5">
        <f>-IF(K94=0,IF(K$88&gt;=$B$6,$B$18*K93,0),0)</f>
        <v/>
      </c>
      <c r="L123" s="5">
        <f>-IF(L94=0,IF(L$88&gt;=$B$6,$B$18*L93,0),0)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C109+C122+C123</f>
        <v/>
      </c>
      <c r="D124" s="18">
        <f>D109+D122+D123</f>
        <v/>
      </c>
      <c r="E124" s="18">
        <f>E109+E122+E123</f>
        <v/>
      </c>
      <c r="F124" s="18">
        <f>F109+F122+F123</f>
        <v/>
      </c>
      <c r="G124" s="18">
        <f>G109+G122+G123</f>
        <v/>
      </c>
      <c r="H124" s="18">
        <f>H109+H122+H123</f>
        <v/>
      </c>
      <c r="I124" s="18">
        <f>I109+I122+I123</f>
        <v/>
      </c>
      <c r="J124" s="18">
        <f>J109+J122+J123</f>
        <v/>
      </c>
      <c r="K124" s="18">
        <f>K109+K122+K123</f>
        <v/>
      </c>
      <c r="L124" s="18">
        <f>L109+L122+L123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C94*$B$20*C93</f>
        <v/>
      </c>
      <c r="D125" s="5">
        <f>D94*$B$20*D93</f>
        <v/>
      </c>
      <c r="E125" s="5">
        <f>E94*$B$20*E93</f>
        <v/>
      </c>
      <c r="F125" s="5">
        <f>F94*$B$20*F93</f>
        <v/>
      </c>
      <c r="G125" s="5">
        <f>G94*$B$20*G93</f>
        <v/>
      </c>
      <c r="H125" s="5">
        <f>H94*$B$20*H93</f>
        <v/>
      </c>
      <c r="I125" s="5">
        <f>I94*$B$20*I93</f>
        <v/>
      </c>
      <c r="J125" s="5">
        <f>J94*$B$20*J93</f>
        <v/>
      </c>
      <c r="K125" s="5">
        <f>K94*$B$20*K93</f>
        <v/>
      </c>
      <c r="L125" s="5">
        <f>L94*$B$20*L93</f>
        <v/>
      </c>
    </row>
    <row r="126">
      <c r="A126" t="inlineStr">
        <is>
          <t xml:space="preserve">  Marge d'EBITDA</t>
        </is>
      </c>
      <c r="C126" s="6">
        <f>IF(C105=0,0,C124/C105)</f>
        <v/>
      </c>
      <c r="D126" s="6">
        <f>IF(D105=0,0,D124/D105)</f>
        <v/>
      </c>
      <c r="E126" s="6">
        <f>IF(E105=0,0,E124/E105)</f>
        <v/>
      </c>
      <c r="F126" s="6">
        <f>IF(F105=0,0,F124/F105)</f>
        <v/>
      </c>
      <c r="G126" s="6">
        <f>IF(G105=0,0,G124/G105)</f>
        <v/>
      </c>
      <c r="H126" s="6">
        <f>IF(H105=0,0,H124/H105)</f>
        <v/>
      </c>
      <c r="I126" s="6">
        <f>IF(I105=0,0,I124/I105)</f>
        <v/>
      </c>
      <c r="J126" s="6">
        <f>IF(J105=0,0,J124/J105)</f>
        <v/>
      </c>
      <c r="K126" s="6">
        <f>IF(K105=0,0,K124/K105)</f>
        <v/>
      </c>
      <c r="L126" s="6">
        <f>IF(L105=0,0,L124/L105)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($B$10+$B$11+$B$12)*$B$46*IF(C$88=$B$5,$B$13,IF(C$88=$B$5+1,$B$14,IF(C$88=$B$5+2,$B$15,0)))*C93</f>
        <v/>
      </c>
      <c r="D127" s="5">
        <f>($B$10+$B$11+$B$12)*$B$46*IF(D$88=$B$5,$B$13,IF(D$88=$B$5+1,$B$14,IF(D$88=$B$5+2,$B$15,0)))*D93</f>
        <v/>
      </c>
      <c r="E127" s="5">
        <f>($B$10+$B$11+$B$12)*$B$46*IF(E$88=$B$5,$B$13,IF(E$88=$B$5+1,$B$14,IF(E$88=$B$5+2,$B$15,0)))*E93</f>
        <v/>
      </c>
      <c r="F127" s="5">
        <f>($B$10+$B$11+$B$12)*$B$46*IF(F$88=$B$5,$B$13,IF(F$88=$B$5+1,$B$14,IF(F$88=$B$5+2,$B$15,0)))*F93</f>
        <v/>
      </c>
      <c r="G127" s="5">
        <f>($B$10+$B$11+$B$12)*$B$46*IF(G$88=$B$5,$B$13,IF(G$88=$B$5+1,$B$14,IF(G$88=$B$5+2,$B$15,0)))*G93</f>
        <v/>
      </c>
      <c r="H127" s="5">
        <f>($B$10+$B$11+$B$12)*$B$46*IF(H$88=$B$5,$B$13,IF(H$88=$B$5+1,$B$14,IF(H$88=$B$5+2,$B$15,0)))*H93</f>
        <v/>
      </c>
      <c r="I127" s="5">
        <f>($B$10+$B$11+$B$12)*$B$46*IF(I$88=$B$5,$B$13,IF(I$88=$B$5+1,$B$14,IF(I$88=$B$5+2,$B$15,0)))*I93</f>
        <v/>
      </c>
      <c r="J127" s="5">
        <f>($B$10+$B$11+$B$12)*$B$46*IF(J$88=$B$5,$B$13,IF(J$88=$B$5+1,$B$14,IF(J$88=$B$5+2,$B$15,0)))*J93</f>
        <v/>
      </c>
      <c r="K127" s="5">
        <f>($B$10+$B$11+$B$12)*$B$46*IF(K$88=$B$5,$B$13,IF(K$88=$B$5+1,$B$14,IF(K$88=$B$5+2,$B$15,0)))*K93</f>
        <v/>
      </c>
      <c r="L127" s="5">
        <f>($B$10+$B$11+$B$12)*$B$46*IF(L$88=$B$5,$B$13,IF(L$88=$B$5+1,$B$14,IF(L$88=$B$5+2,$B$15,0)))*L93</f>
        <v/>
      </c>
    </row>
    <row r="128">
      <c r="A128" t="inlineStr">
        <is>
          <t>Acquisition (prix + frais)</t>
        </is>
      </c>
      <c r="B128" s="5">
        <f>SUM(C128:L128)</f>
        <v/>
      </c>
      <c r="C128" s="5">
        <f>IF(C$88=$B$5,$B$7*(1+$B$8),0)</f>
        <v/>
      </c>
      <c r="D128" s="5">
        <f>IF(D$88=$B$5,$B$7*(1+$B$8),0)</f>
        <v/>
      </c>
      <c r="E128" s="5">
        <f>IF(E$88=$B$5,$B$7*(1+$B$8),0)</f>
        <v/>
      </c>
      <c r="F128" s="5">
        <f>IF(F$88=$B$5,$B$7*(1+$B$8),0)</f>
        <v/>
      </c>
      <c r="G128" s="5">
        <f>IF(G$88=$B$5,$B$7*(1+$B$8),0)</f>
        <v/>
      </c>
      <c r="H128" s="5">
        <f>IF(H$88=$B$5,$B$7*(1+$B$8),0)</f>
        <v/>
      </c>
      <c r="I128" s="5">
        <f>IF(I$88=$B$5,$B$7*(1+$B$8),0)</f>
        <v/>
      </c>
      <c r="J128" s="5">
        <f>IF(J$88=$B$5,$B$7*(1+$B$8),0)</f>
        <v/>
      </c>
      <c r="K128" s="5">
        <f>IF(K$88=$B$5,$B$7*(1+$B$8),0)</f>
        <v/>
      </c>
      <c r="L128" s="5">
        <f>IF(L$88=$B$5,$B$7*(1+$B$8),0)</f>
        <v/>
      </c>
    </row>
    <row r="129">
      <c r="A129" t="inlineStr">
        <is>
          <t>Gros entretien patrimonial récurrent</t>
        </is>
      </c>
      <c r="B129" s="5">
        <f>SUM(C129:L129)</f>
        <v/>
      </c>
      <c r="C129" s="5">
        <f>IF(C$88&gt;=$B$5+3,$B$16*($B$7+($B$10+$B$11+$B$12)*$B$46)*C93,0)</f>
        <v/>
      </c>
      <c r="D129" s="5">
        <f>IF(D$88&gt;=$B$5+3,$B$16*($B$7+($B$10+$B$11+$B$12)*$B$46)*D93,0)</f>
        <v/>
      </c>
      <c r="E129" s="5">
        <f>IF(E$88&gt;=$B$5+3,$B$16*($B$7+($B$10+$B$11+$B$12)*$B$46)*E93,0)</f>
        <v/>
      </c>
      <c r="F129" s="5">
        <f>IF(F$88&gt;=$B$5+3,$B$16*($B$7+($B$10+$B$11+$B$12)*$B$46)*F93,0)</f>
        <v/>
      </c>
      <c r="G129" s="5">
        <f>IF(G$88&gt;=$B$5+3,$B$16*($B$7+($B$10+$B$11+$B$12)*$B$46)*G93,0)</f>
        <v/>
      </c>
      <c r="H129" s="5">
        <f>IF(H$88&gt;=$B$5+3,$B$16*($B$7+($B$10+$B$11+$B$12)*$B$46)*H93,0)</f>
        <v/>
      </c>
      <c r="I129" s="5">
        <f>IF(I$88&gt;=$B$5+3,$B$16*($B$7+($B$10+$B$11+$B$12)*$B$46)*I93,0)</f>
        <v/>
      </c>
      <c r="J129" s="5">
        <f>IF(J$88&gt;=$B$5+3,$B$16*($B$7+($B$10+$B$11+$B$12)*$B$46)*J93,0)</f>
        <v/>
      </c>
      <c r="K129" s="5">
        <f>IF(K$88&gt;=$B$5+3,$B$16*($B$7+($B$10+$B$11+$B$12)*$B$46)*K93,0)</f>
        <v/>
      </c>
      <c r="L129" s="5">
        <f>IF(L$88&gt;=$B$5+3,$B$16*($B$7+($B$10+$B$11+$B$12)*$B$46)*L93,0)</f>
        <v/>
      </c>
    </row>
    <row r="130">
      <c r="A130" t="inlineStr">
        <is>
          <t>Investissements amortissables cumulés</t>
        </is>
      </c>
      <c r="C130" s="5">
        <f>C127+C129</f>
        <v/>
      </c>
      <c r="D130" s="5">
        <f>C130+D127+D129</f>
        <v/>
      </c>
      <c r="E130" s="5">
        <f>D130+E127+E129</f>
        <v/>
      </c>
      <c r="F130" s="5">
        <f>E130+F127+F129</f>
        <v/>
      </c>
      <c r="G130" s="5">
        <f>F130+G127+G129</f>
        <v/>
      </c>
      <c r="H130" s="5">
        <f>G130+H127+H129</f>
        <v/>
      </c>
      <c r="I130" s="5">
        <f>H130+I127+I129</f>
        <v/>
      </c>
      <c r="J130" s="5">
        <f>I130+J127+J129</f>
        <v/>
      </c>
      <c r="K130" s="5">
        <f>J130+K127+K129</f>
        <v/>
      </c>
      <c r="L130" s="5">
        <f>K130+L127+L129</f>
        <v/>
      </c>
    </row>
    <row r="131">
      <c r="A131" t="inlineStr">
        <is>
          <t>Dotations aux amortissements (bâti 30 ans, travaux 15 ans)</t>
        </is>
      </c>
      <c r="B131" s="5">
        <f>SUM(C131:L131)</f>
        <v/>
      </c>
      <c r="C131" s="5">
        <f>-(C94*$B$7*(1+$B$8)*$B$9/30+C130/15)</f>
        <v/>
      </c>
      <c r="D131" s="5">
        <f>-(D94*$B$7*(1+$B$8)*$B$9/30+D130/15)</f>
        <v/>
      </c>
      <c r="E131" s="5">
        <f>-(E94*$B$7*(1+$B$8)*$B$9/30+E130/15)</f>
        <v/>
      </c>
      <c r="F131" s="5">
        <f>-(F94*$B$7*(1+$B$8)*$B$9/30+F130/15)</f>
        <v/>
      </c>
      <c r="G131" s="5">
        <f>-(G94*$B$7*(1+$B$8)*$B$9/30+G130/15)</f>
        <v/>
      </c>
      <c r="H131" s="5">
        <f>-(H94*$B$7*(1+$B$8)*$B$9/30+H130/15)</f>
        <v/>
      </c>
      <c r="I131" s="5">
        <f>-(I94*$B$7*(1+$B$8)*$B$9/30+I130/15)</f>
        <v/>
      </c>
      <c r="J131" s="5">
        <f>-(J94*$B$7*(1+$B$8)*$B$9/30+J130/15)</f>
        <v/>
      </c>
      <c r="K131" s="5">
        <f>-(K94*$B$7*(1+$B$8)*$B$9/30+K130/15)</f>
        <v/>
      </c>
      <c r="L131" s="5">
        <f>-(L94*$B$7*(1+$B$8)*$B$9/30+L130/15)</f>
        <v/>
      </c>
    </row>
    <row r="132">
      <c r="A132" s="4" t="inlineStr">
        <is>
          <t>Résultat d'exploitation</t>
        </is>
      </c>
      <c r="B132" s="18">
        <f>SUM(C132:L132)</f>
        <v/>
      </c>
      <c r="C132" s="18">
        <f>C124+C131</f>
        <v/>
      </c>
      <c r="D132" s="18">
        <f>D124+D131</f>
        <v/>
      </c>
      <c r="E132" s="18">
        <f>E124+E131</f>
        <v/>
      </c>
      <c r="F132" s="18">
        <f>F124+F131</f>
        <v/>
      </c>
      <c r="G132" s="18">
        <f>G124+G131</f>
        <v/>
      </c>
      <c r="H132" s="18">
        <f>H124+H131</f>
        <v/>
      </c>
      <c r="I132" s="18">
        <f>I124+I131</f>
        <v/>
      </c>
      <c r="J132" s="18">
        <f>J124+J131</f>
        <v/>
      </c>
      <c r="K132" s="18">
        <f>K124+K131</f>
        <v/>
      </c>
      <c r="L132" s="18">
        <f>L124+L131</f>
        <v/>
      </c>
    </row>
    <row r="134">
      <c r="A134" s="4" t="inlineStr">
        <is>
          <t>Échéancier des emprunts</t>
        </is>
      </c>
    </row>
    <row r="135">
      <c r="A135" t="inlineStr">
        <is>
          <t>Taux bancaire effectif</t>
        </is>
      </c>
      <c r="C135" s="6">
        <f>$B$28+$B$48</f>
        <v/>
      </c>
      <c r="D135" s="6">
        <f>$B$28+$B$48</f>
        <v/>
      </c>
      <c r="E135" s="6">
        <f>$B$28+$B$48</f>
        <v/>
      </c>
      <c r="F135" s="6">
        <f>$B$28+$B$48</f>
        <v/>
      </c>
      <c r="G135" s="6">
        <f>$B$28+$B$48</f>
        <v/>
      </c>
      <c r="H135" s="6">
        <f>$B$28+$B$48</f>
        <v/>
      </c>
      <c r="I135" s="6">
        <f>$B$28+$B$48</f>
        <v/>
      </c>
      <c r="J135" s="6">
        <f>$B$28+$B$48</f>
        <v/>
      </c>
      <c r="K135" s="6">
        <f>$B$28+$B$48</f>
        <v/>
      </c>
      <c r="L135" s="6">
        <f>$B$28+$B$48</f>
        <v/>
      </c>
    </row>
    <row r="136">
      <c r="A136" t="inlineStr">
        <is>
          <t>Rang de l'année d'emprunt</t>
        </is>
      </c>
      <c r="C136" s="8">
        <f>MAX(0,C$88-$B$5+1)</f>
        <v/>
      </c>
      <c r="D136" s="8">
        <f>MAX(0,D$88-$B$5+1)</f>
        <v/>
      </c>
      <c r="E136" s="8">
        <f>MAX(0,E$88-$B$5+1)</f>
        <v/>
      </c>
      <c r="F136" s="8">
        <f>MAX(0,F$88-$B$5+1)</f>
        <v/>
      </c>
      <c r="G136" s="8">
        <f>MAX(0,G$88-$B$5+1)</f>
        <v/>
      </c>
      <c r="H136" s="8">
        <f>MAX(0,H$88-$B$5+1)</f>
        <v/>
      </c>
      <c r="I136" s="8">
        <f>MAX(0,I$88-$B$5+1)</f>
        <v/>
      </c>
      <c r="J136" s="8">
        <f>MAX(0,J$88-$B$5+1)</f>
        <v/>
      </c>
      <c r="K136" s="8">
        <f>MAX(0,K$88-$B$5+1)</f>
        <v/>
      </c>
      <c r="L136" s="8">
        <f>MAX(0,L$88-$B$5+1)</f>
        <v/>
      </c>
    </row>
    <row r="137">
      <c r="A137" t="inlineStr">
        <is>
          <t>Dette bancaire — capital début</t>
        </is>
      </c>
      <c r="C137" s="5">
        <f>IF(C136=1,$B$27,0)</f>
        <v/>
      </c>
      <c r="D137" s="5">
        <f>IF(D136=1,$B$27,C140)</f>
        <v/>
      </c>
      <c r="E137" s="5">
        <f>IF(E136=1,$B$27,D140)</f>
        <v/>
      </c>
      <c r="F137" s="5">
        <f>IF(F136=1,$B$27,E140)</f>
        <v/>
      </c>
      <c r="G137" s="5">
        <f>IF(G136=1,$B$27,F140)</f>
        <v/>
      </c>
      <c r="H137" s="5">
        <f>IF(H136=1,$B$27,G140)</f>
        <v/>
      </c>
      <c r="I137" s="5">
        <f>IF(I136=1,$B$27,H140)</f>
        <v/>
      </c>
      <c r="J137" s="5">
        <f>IF(J136=1,$B$27,I140)</f>
        <v/>
      </c>
      <c r="K137" s="5">
        <f>IF(K136=1,$B$27,J140)</f>
        <v/>
      </c>
      <c r="L137" s="5">
        <f>IF(L136=1,$B$27,K140)</f>
        <v/>
      </c>
    </row>
    <row r="138">
      <c r="A138" t="inlineStr">
        <is>
          <t xml:space="preserve">  Intérêts</t>
        </is>
      </c>
      <c r="B138" s="5">
        <f>SUM(C138:L138)</f>
        <v/>
      </c>
      <c r="C138" s="5">
        <f>C137*C135</f>
        <v/>
      </c>
      <c r="D138" s="5">
        <f>D137*D135</f>
        <v/>
      </c>
      <c r="E138" s="5">
        <f>E137*E135</f>
        <v/>
      </c>
      <c r="F138" s="5">
        <f>F137*F135</f>
        <v/>
      </c>
      <c r="G138" s="5">
        <f>G137*G135</f>
        <v/>
      </c>
      <c r="H138" s="5">
        <f>H137*H135</f>
        <v/>
      </c>
      <c r="I138" s="5">
        <f>I137*I135</f>
        <v/>
      </c>
      <c r="J138" s="5">
        <f>J137*J135</f>
        <v/>
      </c>
      <c r="K138" s="5">
        <f>K137*K135</f>
        <v/>
      </c>
      <c r="L138" s="5">
        <f>L137*L135</f>
        <v/>
      </c>
    </row>
    <row r="139">
      <c r="A139" t="inlineStr">
        <is>
          <t xml:space="preserve">  Amortissement du capital</t>
        </is>
      </c>
      <c r="B139" s="5">
        <f>SUM(C139:L139)</f>
        <v/>
      </c>
      <c r="C139" s="5">
        <f>IF(OR(C136=0,C136&lt;=$B$30,C137&lt;=0),0,MIN(C137,PMT(C135,$B$29-$B$30,-$B$27)-C138))</f>
        <v/>
      </c>
      <c r="D139" s="5">
        <f>IF(OR(D136=0,D136&lt;=$B$30,D137&lt;=0),0,MIN(D137,PMT(D135,$B$29-$B$30,-$B$27)-D138))</f>
        <v/>
      </c>
      <c r="E139" s="5">
        <f>IF(OR(E136=0,E136&lt;=$B$30,E137&lt;=0),0,MIN(E137,PMT(E135,$B$29-$B$30,-$B$27)-E138))</f>
        <v/>
      </c>
      <c r="F139" s="5">
        <f>IF(OR(F136=0,F136&lt;=$B$30,F137&lt;=0),0,MIN(F137,PMT(F135,$B$29-$B$30,-$B$27)-F138))</f>
        <v/>
      </c>
      <c r="G139" s="5">
        <f>IF(OR(G136=0,G136&lt;=$B$30,G137&lt;=0),0,MIN(G137,PMT(G135,$B$29-$B$30,-$B$27)-G138))</f>
        <v/>
      </c>
      <c r="H139" s="5">
        <f>IF(OR(H136=0,H136&lt;=$B$30,H137&lt;=0),0,MIN(H137,PMT(H135,$B$29-$B$30,-$B$27)-H138))</f>
        <v/>
      </c>
      <c r="I139" s="5">
        <f>IF(OR(I136=0,I136&lt;=$B$30,I137&lt;=0),0,MIN(I137,PMT(I135,$B$29-$B$30,-$B$27)-I138))</f>
        <v/>
      </c>
      <c r="J139" s="5">
        <f>IF(OR(J136=0,J136&lt;=$B$30,J137&lt;=0),0,MIN(J137,PMT(J135,$B$29-$B$30,-$B$27)-J138))</f>
        <v/>
      </c>
      <c r="K139" s="5">
        <f>IF(OR(K136=0,K136&lt;=$B$30,K137&lt;=0),0,MIN(K137,PMT(K135,$B$29-$B$30,-$B$27)-K138))</f>
        <v/>
      </c>
      <c r="L139" s="5">
        <f>IF(OR(L136=0,L136&lt;=$B$30,L137&lt;=0),0,MIN(L137,PMT(L135,$B$29-$B$30,-$B$27)-L138))</f>
        <v/>
      </c>
    </row>
    <row r="140">
      <c r="A140" t="inlineStr">
        <is>
          <t>Dette bancaire — capital fin</t>
        </is>
      </c>
      <c r="C140" s="5">
        <f>C137-C139</f>
        <v/>
      </c>
      <c r="D140" s="5">
        <f>D137-D139</f>
        <v/>
      </c>
      <c r="E140" s="5">
        <f>E137-E139</f>
        <v/>
      </c>
      <c r="F140" s="5">
        <f>F137-F139</f>
        <v/>
      </c>
      <c r="G140" s="5">
        <f>G137-G139</f>
        <v/>
      </c>
      <c r="H140" s="5">
        <f>H137-H139</f>
        <v/>
      </c>
      <c r="I140" s="5">
        <f>I137-I139</f>
        <v/>
      </c>
      <c r="J140" s="5">
        <f>J137-J139</f>
        <v/>
      </c>
      <c r="K140" s="5">
        <f>K137-K139</f>
        <v/>
      </c>
      <c r="L140" s="5">
        <f>L137-L139</f>
        <v/>
      </c>
    </row>
    <row r="141">
      <c r="A141" t="inlineStr">
        <is>
          <t>Crédit-vendeur — capital début</t>
        </is>
      </c>
      <c r="C141" s="5">
        <f>IF(C136=1,$B$31,0)</f>
        <v/>
      </c>
      <c r="D141" s="5">
        <f>IF(D136=1,$B$31,C144)</f>
        <v/>
      </c>
      <c r="E141" s="5">
        <f>IF(E136=1,$B$31,D144)</f>
        <v/>
      </c>
      <c r="F141" s="5">
        <f>IF(F136=1,$B$31,E144)</f>
        <v/>
      </c>
      <c r="G141" s="5">
        <f>IF(G136=1,$B$31,F144)</f>
        <v/>
      </c>
      <c r="H141" s="5">
        <f>IF(H136=1,$B$31,G144)</f>
        <v/>
      </c>
      <c r="I141" s="5">
        <f>IF(I136=1,$B$31,H144)</f>
        <v/>
      </c>
      <c r="J141" s="5">
        <f>IF(J136=1,$B$31,I144)</f>
        <v/>
      </c>
      <c r="K141" s="5">
        <f>IF(K136=1,$B$31,J144)</f>
        <v/>
      </c>
      <c r="L141" s="5">
        <f>IF(L136=1,$B$31,K144)</f>
        <v/>
      </c>
    </row>
    <row r="142">
      <c r="A142" t="inlineStr">
        <is>
          <t xml:space="preserve">  Intérêts crédit-vendeur</t>
        </is>
      </c>
      <c r="B142" s="5">
        <f>SUM(C142:L142)</f>
        <v/>
      </c>
      <c r="C142" s="5">
        <f>C141*$B$32</f>
        <v/>
      </c>
      <c r="D142" s="5">
        <f>D141*$B$32</f>
        <v/>
      </c>
      <c r="E142" s="5">
        <f>E141*$B$32</f>
        <v/>
      </c>
      <c r="F142" s="5">
        <f>F141*$B$32</f>
        <v/>
      </c>
      <c r="G142" s="5">
        <f>G141*$B$32</f>
        <v/>
      </c>
      <c r="H142" s="5">
        <f>H141*$B$32</f>
        <v/>
      </c>
      <c r="I142" s="5">
        <f>I141*$B$32</f>
        <v/>
      </c>
      <c r="J142" s="5">
        <f>J141*$B$32</f>
        <v/>
      </c>
      <c r="K142" s="5">
        <f>K141*$B$32</f>
        <v/>
      </c>
      <c r="L142" s="5">
        <f>L141*$B$32</f>
        <v/>
      </c>
    </row>
    <row r="143">
      <c r="A143" t="inlineStr">
        <is>
          <t xml:space="preserve">  Amortissement crédit-vendeur</t>
        </is>
      </c>
      <c r="B143" s="5">
        <f>SUM(C143:L143)</f>
        <v/>
      </c>
      <c r="C143" s="5">
        <f>IF(OR(C136=0,C141&lt;=0),0,MIN(C141,IF($B$32=0,$B$31/$B$33,PMT($B$32,$B$33,-$B$31)-C142)))</f>
        <v/>
      </c>
      <c r="D143" s="5">
        <f>IF(OR(D136=0,D141&lt;=0),0,MIN(D141,IF($B$32=0,$B$31/$B$33,PMT($B$32,$B$33,-$B$31)-D142)))</f>
        <v/>
      </c>
      <c r="E143" s="5">
        <f>IF(OR(E136=0,E141&lt;=0),0,MIN(E141,IF($B$32=0,$B$31/$B$33,PMT($B$32,$B$33,-$B$31)-E142)))</f>
        <v/>
      </c>
      <c r="F143" s="5">
        <f>IF(OR(F136=0,F141&lt;=0),0,MIN(F141,IF($B$32=0,$B$31/$B$33,PMT($B$32,$B$33,-$B$31)-F142)))</f>
        <v/>
      </c>
      <c r="G143" s="5">
        <f>IF(OR(G136=0,G141&lt;=0),0,MIN(G141,IF($B$32=0,$B$31/$B$33,PMT($B$32,$B$33,-$B$31)-G142)))</f>
        <v/>
      </c>
      <c r="H143" s="5">
        <f>IF(OR(H136=0,H141&lt;=0),0,MIN(H141,IF($B$32=0,$B$31/$B$33,PMT($B$32,$B$33,-$B$31)-H142)))</f>
        <v/>
      </c>
      <c r="I143" s="5">
        <f>IF(OR(I136=0,I141&lt;=0),0,MIN(I141,IF($B$32=0,$B$31/$B$33,PMT($B$32,$B$33,-$B$31)-I142)))</f>
        <v/>
      </c>
      <c r="J143" s="5">
        <f>IF(OR(J136=0,J141&lt;=0),0,MIN(J141,IF($B$32=0,$B$31/$B$33,PMT($B$32,$B$33,-$B$31)-J142)))</f>
        <v/>
      </c>
      <c r="K143" s="5">
        <f>IF(OR(K136=0,K141&lt;=0),0,MIN(K141,IF($B$32=0,$B$31/$B$33,PMT($B$32,$B$33,-$B$31)-K142)))</f>
        <v/>
      </c>
      <c r="L143" s="5">
        <f>IF(OR(L136=0,L141&lt;=0),0,MIN(L141,IF($B$32=0,$B$31/$B$33,PMT($B$32,$B$33,-$B$31)-L142)))</f>
        <v/>
      </c>
    </row>
    <row r="144">
      <c r="A144" t="inlineStr">
        <is>
          <t>Crédit-vendeur — capital fin</t>
        </is>
      </c>
      <c r="C144" s="5">
        <f>C141-C143</f>
        <v/>
      </c>
      <c r="D144" s="5">
        <f>D141-D143</f>
        <v/>
      </c>
      <c r="E144" s="5">
        <f>E141-E143</f>
        <v/>
      </c>
      <c r="F144" s="5">
        <f>F141-F143</f>
        <v/>
      </c>
      <c r="G144" s="5">
        <f>G141-G143</f>
        <v/>
      </c>
      <c r="H144" s="5">
        <f>H141-H143</f>
        <v/>
      </c>
      <c r="I144" s="5">
        <f>I141-I143</f>
        <v/>
      </c>
      <c r="J144" s="5">
        <f>J141-J143</f>
        <v/>
      </c>
      <c r="K144" s="5">
        <f>K141-K143</f>
        <v/>
      </c>
      <c r="L144" s="5">
        <f>L141-L143</f>
        <v/>
      </c>
    </row>
    <row r="145">
      <c r="A145" t="inlineStr">
        <is>
          <t>Obligations — encours</t>
        </is>
      </c>
      <c r="C145" s="5">
        <f>IF(AND(C$88&gt;=$B$5,C$88&lt;=$B$36),$B$34,0)</f>
        <v/>
      </c>
      <c r="D145" s="5">
        <f>IF(AND(D$88&gt;=$B$5,D$88&lt;=$B$36),$B$34,0)</f>
        <v/>
      </c>
      <c r="E145" s="5">
        <f>IF(AND(E$88&gt;=$B$5,E$88&lt;=$B$36),$B$34,0)</f>
        <v/>
      </c>
      <c r="F145" s="5">
        <f>IF(AND(F$88&gt;=$B$5,F$88&lt;=$B$36),$B$34,0)</f>
        <v/>
      </c>
      <c r="G145" s="5">
        <f>IF(AND(G$88&gt;=$B$5,G$88&lt;=$B$36),$B$34,0)</f>
        <v/>
      </c>
      <c r="H145" s="5">
        <f>IF(AND(H$88&gt;=$B$5,H$88&lt;=$B$36),$B$34,0)</f>
        <v/>
      </c>
      <c r="I145" s="5">
        <f>IF(AND(I$88&gt;=$B$5,I$88&lt;=$B$36),$B$34,0)</f>
        <v/>
      </c>
      <c r="J145" s="5">
        <f>IF(AND(J$88&gt;=$B$5,J$88&lt;=$B$36),$B$34,0)</f>
        <v/>
      </c>
      <c r="K145" s="5">
        <f>IF(AND(K$88&gt;=$B$5,K$88&lt;=$B$36),$B$34,0)</f>
        <v/>
      </c>
      <c r="L145" s="5">
        <f>IF(AND(L$88&gt;=$B$5,L$88&lt;=$B$36),$B$34,0)</f>
        <v/>
      </c>
    </row>
    <row r="146">
      <c r="A146" t="inlineStr">
        <is>
          <t xml:space="preserve">  Coupons obligataires</t>
        </is>
      </c>
      <c r="B146" s="5">
        <f>SUM(C146:L146)</f>
        <v/>
      </c>
      <c r="C146" s="5">
        <f>C145*$B$35</f>
        <v/>
      </c>
      <c r="D146" s="5">
        <f>D145*$B$35</f>
        <v/>
      </c>
      <c r="E146" s="5">
        <f>E145*$B$35</f>
        <v/>
      </c>
      <c r="F146" s="5">
        <f>F145*$B$35</f>
        <v/>
      </c>
      <c r="G146" s="5">
        <f>G145*$B$35</f>
        <v/>
      </c>
      <c r="H146" s="5">
        <f>H145*$B$35</f>
        <v/>
      </c>
      <c r="I146" s="5">
        <f>I145*$B$35</f>
        <v/>
      </c>
      <c r="J146" s="5">
        <f>J145*$B$35</f>
        <v/>
      </c>
      <c r="K146" s="5">
        <f>K145*$B$35</f>
        <v/>
      </c>
      <c r="L146" s="5">
        <f>L145*$B$35</f>
        <v/>
      </c>
    </row>
    <row r="147">
      <c r="A147" t="inlineStr">
        <is>
          <t xml:space="preserve">  Remboursement obligations</t>
        </is>
      </c>
      <c r="B147" s="5">
        <f>SUM(C147:L147)</f>
        <v/>
      </c>
      <c r="C147" s="5">
        <f>IF(C$88=$B$36,$B$34,0)</f>
        <v/>
      </c>
      <c r="D147" s="5">
        <f>IF(D$88=$B$36,$B$34,0)</f>
        <v/>
      </c>
      <c r="E147" s="5">
        <f>IF(E$88=$B$36,$B$34,0)</f>
        <v/>
      </c>
      <c r="F147" s="5">
        <f>IF(F$88=$B$36,$B$34,0)</f>
        <v/>
      </c>
      <c r="G147" s="5">
        <f>IF(G$88=$B$36,$B$34,0)</f>
        <v/>
      </c>
      <c r="H147" s="5">
        <f>IF(H$88=$B$36,$B$34,0)</f>
        <v/>
      </c>
      <c r="I147" s="5">
        <f>IF(I$88=$B$36,$B$34,0)</f>
        <v/>
      </c>
      <c r="J147" s="5">
        <f>IF(J$88=$B$36,$B$34,0)</f>
        <v/>
      </c>
      <c r="K147" s="5">
        <f>IF(K$88=$B$36,$B$34,0)</f>
        <v/>
      </c>
      <c r="L147" s="5">
        <f>IF(L$88=$B$36,$B$34,0)</f>
        <v/>
      </c>
    </row>
    <row r="149">
      <c r="A149" t="inlineStr">
        <is>
          <t>Charges financières</t>
        </is>
      </c>
      <c r="B149" s="5">
        <f>SUM(C149:L149)</f>
        <v/>
      </c>
      <c r="C149" s="5">
        <f>-(C138+C142+C146)</f>
        <v/>
      </c>
      <c r="D149" s="5">
        <f>-(D138+D142+D146)</f>
        <v/>
      </c>
      <c r="E149" s="5">
        <f>-(E138+E142+E146)</f>
        <v/>
      </c>
      <c r="F149" s="5">
        <f>-(F138+F142+F146)</f>
        <v/>
      </c>
      <c r="G149" s="5">
        <f>-(G138+G142+G146)</f>
        <v/>
      </c>
      <c r="H149" s="5">
        <f>-(H138+H142+H146)</f>
        <v/>
      </c>
      <c r="I149" s="5">
        <f>-(I138+I142+I146)</f>
        <v/>
      </c>
      <c r="J149" s="5">
        <f>-(J138+J142+J146)</f>
        <v/>
      </c>
      <c r="K149" s="5">
        <f>-(K138+K142+K146)</f>
        <v/>
      </c>
      <c r="L149" s="5">
        <f>-(L138+L142+L146)</f>
        <v/>
      </c>
    </row>
    <row r="150">
      <c r="A150" s="4" t="inlineStr">
        <is>
          <t>Résultat avant impôt</t>
        </is>
      </c>
      <c r="B150" s="18">
        <f>SUM(C150:L150)</f>
        <v/>
      </c>
      <c r="C150" s="18">
        <f>C132+C149+C125</f>
        <v/>
      </c>
      <c r="D150" s="18">
        <f>D132+D149+D125</f>
        <v/>
      </c>
      <c r="E150" s="18">
        <f>E132+E149+E125</f>
        <v/>
      </c>
      <c r="F150" s="18">
        <f>F132+F149+F125</f>
        <v/>
      </c>
      <c r="G150" s="18">
        <f>G132+G149+G125</f>
        <v/>
      </c>
      <c r="H150" s="18">
        <f>H132+H149+H125</f>
        <v/>
      </c>
      <c r="I150" s="18">
        <f>I132+I149+I125</f>
        <v/>
      </c>
      <c r="J150" s="18">
        <f>J132+J149+J125</f>
        <v/>
      </c>
      <c r="K150" s="18">
        <f>K132+K149+K125</f>
        <v/>
      </c>
      <c r="L150" s="18">
        <f>L132+L149+L125</f>
        <v/>
      </c>
    </row>
    <row r="151">
      <c r="A151" t="inlineStr">
        <is>
          <t>Stock de déficits reportables (fin d'année)</t>
        </is>
      </c>
      <c r="C151" s="5">
        <f>MAX(0,-C150)</f>
        <v/>
      </c>
      <c r="D151" s="5">
        <f>MAX(0,C151-D150)</f>
        <v/>
      </c>
      <c r="E151" s="5">
        <f>MAX(0,D151-E150)</f>
        <v/>
      </c>
      <c r="F151" s="5">
        <f>MAX(0,E151-F150)</f>
        <v/>
      </c>
      <c r="G151" s="5">
        <f>MAX(0,F151-G150)</f>
        <v/>
      </c>
      <c r="H151" s="5">
        <f>MAX(0,G151-H150)</f>
        <v/>
      </c>
      <c r="I151" s="5">
        <f>MAX(0,H151-I150)</f>
        <v/>
      </c>
      <c r="J151" s="5">
        <f>MAX(0,I151-J150)</f>
        <v/>
      </c>
      <c r="K151" s="5">
        <f>MAX(0,J151-K150)</f>
        <v/>
      </c>
      <c r="L151" s="5">
        <f>MAX(0,K151-L150)</f>
        <v/>
      </c>
    </row>
    <row r="152">
      <c r="A152" t="inlineStr">
        <is>
          <t>Impôt sur les sociétés</t>
        </is>
      </c>
      <c r="B152" s="5">
        <f>SUM(C152:L152)</f>
        <v/>
      </c>
      <c r="C152" s="5">
        <f>-MAX(0,C150)*$B$59</f>
        <v/>
      </c>
      <c r="D152" s="5">
        <f>-MAX(0,D150-C151)*$B$59</f>
        <v/>
      </c>
      <c r="E152" s="5">
        <f>-MAX(0,E150-D151)*$B$59</f>
        <v/>
      </c>
      <c r="F152" s="5">
        <f>-MAX(0,F150-E151)*$B$59</f>
        <v/>
      </c>
      <c r="G152" s="5">
        <f>-MAX(0,G150-F151)*$B$59</f>
        <v/>
      </c>
      <c r="H152" s="5">
        <f>-MAX(0,H150-G151)*$B$59</f>
        <v/>
      </c>
      <c r="I152" s="5">
        <f>-MAX(0,I150-H151)*$B$59</f>
        <v/>
      </c>
      <c r="J152" s="5">
        <f>-MAX(0,J150-I151)*$B$59</f>
        <v/>
      </c>
      <c r="K152" s="5">
        <f>-MAX(0,K150-J151)*$B$59</f>
        <v/>
      </c>
      <c r="L152" s="5">
        <f>-MAX(0,L150-K151)*$B$59</f>
        <v/>
      </c>
    </row>
    <row r="153">
      <c r="A153" s="4" t="inlineStr">
        <is>
          <t>Résultat net</t>
        </is>
      </c>
      <c r="B153" s="18">
        <f>SUM(C153:L153)</f>
        <v/>
      </c>
      <c r="C153" s="18">
        <f>C150+C152</f>
        <v/>
      </c>
      <c r="D153" s="18">
        <f>D150+D152</f>
        <v/>
      </c>
      <c r="E153" s="18">
        <f>E150+E152</f>
        <v/>
      </c>
      <c r="F153" s="18">
        <f>F150+F152</f>
        <v/>
      </c>
      <c r="G153" s="18">
        <f>G150+G152</f>
        <v/>
      </c>
      <c r="H153" s="18">
        <f>H150+H152</f>
        <v/>
      </c>
      <c r="I153" s="18">
        <f>I150+I152</f>
        <v/>
      </c>
      <c r="J153" s="18">
        <f>J150+J152</f>
        <v/>
      </c>
      <c r="K153" s="18">
        <f>K150+K152</f>
        <v/>
      </c>
      <c r="L153" s="18">
        <f>L150+L152</f>
        <v/>
      </c>
    </row>
    <row r="155">
      <c r="A155" s="4" t="inlineStr">
        <is>
          <t>Tableau des flux de trésorerie</t>
        </is>
      </c>
    </row>
    <row r="156">
      <c r="A156" t="inlineStr">
        <is>
          <t>BFR (niveau)</t>
        </is>
      </c>
      <c r="C156" s="5">
        <f>C105*$B$58</f>
        <v/>
      </c>
      <c r="D156" s="5">
        <f>D105*$B$58</f>
        <v/>
      </c>
      <c r="E156" s="5">
        <f>E105*$B$58</f>
        <v/>
      </c>
      <c r="F156" s="5">
        <f>F105*$B$58</f>
        <v/>
      </c>
      <c r="G156" s="5">
        <f>G105*$B$58</f>
        <v/>
      </c>
      <c r="H156" s="5">
        <f>H105*$B$58</f>
        <v/>
      </c>
      <c r="I156" s="5">
        <f>I105*$B$58</f>
        <v/>
      </c>
      <c r="J156" s="5">
        <f>J105*$B$58</f>
        <v/>
      </c>
      <c r="K156" s="5">
        <f>K105*$B$58</f>
        <v/>
      </c>
      <c r="L156" s="5">
        <f>L105*$B$58</f>
        <v/>
      </c>
    </row>
    <row r="157">
      <c r="A157" t="inlineStr">
        <is>
          <t>Variation du BFR</t>
        </is>
      </c>
      <c r="B157" s="5">
        <f>SUM(C157:L157)</f>
        <v/>
      </c>
      <c r="C157" s="5">
        <f>-C156</f>
        <v/>
      </c>
      <c r="D157" s="5">
        <f>-(D156-C156)</f>
        <v/>
      </c>
      <c r="E157" s="5">
        <f>-(E156-D156)</f>
        <v/>
      </c>
      <c r="F157" s="5">
        <f>-(F156-E156)</f>
        <v/>
      </c>
      <c r="G157" s="5">
        <f>-(G156-F156)</f>
        <v/>
      </c>
      <c r="H157" s="5">
        <f>-(H156-G156)</f>
        <v/>
      </c>
      <c r="I157" s="5">
        <f>-(I156-H156)</f>
        <v/>
      </c>
      <c r="J157" s="5">
        <f>-(J156-I156)</f>
        <v/>
      </c>
      <c r="K157" s="5">
        <f>-(K156-J156)</f>
        <v/>
      </c>
      <c r="L157" s="5">
        <f>-(L156-K156)</f>
        <v/>
      </c>
    </row>
    <row r="158">
      <c r="A158" s="4" t="inlineStr">
        <is>
          <t>Flux d'exploitation (EBITDA + loyer privé − IS − ΔBFR)</t>
        </is>
      </c>
      <c r="B158" s="18">
        <f>SUM(C158:L158)</f>
        <v/>
      </c>
      <c r="C158" s="18">
        <f>C124+C125+C152+C157</f>
        <v/>
      </c>
      <c r="D158" s="18">
        <f>D124+D125+D152+D157</f>
        <v/>
      </c>
      <c r="E158" s="18">
        <f>E124+E125+E152+E157</f>
        <v/>
      </c>
      <c r="F158" s="18">
        <f>F124+F125+F152+F157</f>
        <v/>
      </c>
      <c r="G158" s="18">
        <f>G124+G125+G152+G157</f>
        <v/>
      </c>
      <c r="H158" s="18">
        <f>H124+H125+H152+H157</f>
        <v/>
      </c>
      <c r="I158" s="18">
        <f>I124+I125+I152+I157</f>
        <v/>
      </c>
      <c r="J158" s="18">
        <f>J124+J125+J152+J157</f>
        <v/>
      </c>
      <c r="K158" s="18">
        <f>K124+K125+K152+K157</f>
        <v/>
      </c>
      <c r="L158" s="18">
        <f>L124+L125+L152+L157</f>
        <v/>
      </c>
    </row>
    <row r="159">
      <c r="A159" s="4" t="inlineStr">
        <is>
          <t>Flux d'investissement</t>
        </is>
      </c>
      <c r="B159" s="18">
        <f>SUM(C159:L159)</f>
        <v/>
      </c>
      <c r="C159" s="18">
        <f>-(C128+C127+C129)</f>
        <v/>
      </c>
      <c r="D159" s="18">
        <f>-(D128+D127+D129)</f>
        <v/>
      </c>
      <c r="E159" s="18">
        <f>-(E128+E127+E129)</f>
        <v/>
      </c>
      <c r="F159" s="18">
        <f>-(F128+F127+F129)</f>
        <v/>
      </c>
      <c r="G159" s="18">
        <f>-(G128+G127+G129)</f>
        <v/>
      </c>
      <c r="H159" s="18">
        <f>-(H128+H127+H129)</f>
        <v/>
      </c>
      <c r="I159" s="18">
        <f>-(I128+I127+I129)</f>
        <v/>
      </c>
      <c r="J159" s="18">
        <f>-(J128+J127+J129)</f>
        <v/>
      </c>
      <c r="K159" s="18">
        <f>-(K128+K127+K129)</f>
        <v/>
      </c>
      <c r="L159" s="18">
        <f>-(L128+L127+L129)</f>
        <v/>
      </c>
    </row>
    <row r="160">
      <c r="A160" t="inlineStr">
        <is>
          <t xml:space="preserve">  Apports en fonds propres + subventions</t>
        </is>
      </c>
      <c r="B160" s="5">
        <f>SUM(C160:L160)</f>
        <v/>
      </c>
      <c r="C160" s="5">
        <f>IF(C$88=1,$B$23,0)+IF(C$88=$B$5,$B$24*(1-$B$49)+$B$26,0)</f>
        <v/>
      </c>
      <c r="D160" s="5">
        <f>IF(D$88=1,$B$23,0)+IF(D$88=$B$5,$B$24*(1-$B$49)+$B$26,0)</f>
        <v/>
      </c>
      <c r="E160" s="5">
        <f>IF(E$88=1,$B$23,0)+IF(E$88=$B$5,$B$24*(1-$B$49)+$B$26,0)</f>
        <v/>
      </c>
      <c r="F160" s="5">
        <f>IF(F$88=1,$B$23,0)+IF(F$88=$B$5,$B$24*(1-$B$49)+$B$26,0)</f>
        <v/>
      </c>
      <c r="G160" s="5">
        <f>IF(G$88=1,$B$23,0)+IF(G$88=$B$5,$B$24*(1-$B$49)+$B$26,0)</f>
        <v/>
      </c>
      <c r="H160" s="5">
        <f>IF(H$88=1,$B$23,0)+IF(H$88=$B$5,$B$24*(1-$B$49)+$B$26,0)</f>
        <v/>
      </c>
      <c r="I160" s="5">
        <f>IF(I$88=1,$B$23,0)+IF(I$88=$B$5,$B$24*(1-$B$49)+$B$26,0)</f>
        <v/>
      </c>
      <c r="J160" s="5">
        <f>IF(J$88=1,$B$23,0)+IF(J$88=$B$5,$B$24*(1-$B$49)+$B$26,0)</f>
        <v/>
      </c>
      <c r="K160" s="5">
        <f>IF(K$88=1,$B$23,0)+IF(K$88=$B$5,$B$24*(1-$B$49)+$B$26,0)</f>
        <v/>
      </c>
      <c r="L160" s="5">
        <f>IF(L$88=1,$B$23,0)+IF(L$88=$B$5,$B$24*(1-$B$49)+$B$26,0)</f>
        <v/>
      </c>
    </row>
    <row r="161">
      <c r="A161" t="inlineStr">
        <is>
          <t xml:space="preserve">  Tirages dette + crédit-vendeur + obligations</t>
        </is>
      </c>
      <c r="B161" s="5">
        <f>SUM(C161:L161)</f>
        <v/>
      </c>
      <c r="C161" s="5">
        <f>IF(C$88=$B$5,$B$27+$B$31+$B$34,0)</f>
        <v/>
      </c>
      <c r="D161" s="5">
        <f>IF(D$88=$B$5,$B$27+$B$31+$B$34,0)</f>
        <v/>
      </c>
      <c r="E161" s="5">
        <f>IF(E$88=$B$5,$B$27+$B$31+$B$34,0)</f>
        <v/>
      </c>
      <c r="F161" s="5">
        <f>IF(F$88=$B$5,$B$27+$B$31+$B$34,0)</f>
        <v/>
      </c>
      <c r="G161" s="5">
        <f>IF(G$88=$B$5,$B$27+$B$31+$B$34,0)</f>
        <v/>
      </c>
      <c r="H161" s="5">
        <f>IF(H$88=$B$5,$B$27+$B$31+$B$34,0)</f>
        <v/>
      </c>
      <c r="I161" s="5">
        <f>IF(I$88=$B$5,$B$27+$B$31+$B$34,0)</f>
        <v/>
      </c>
      <c r="J161" s="5">
        <f>IF(J$88=$B$5,$B$27+$B$31+$B$34,0)</f>
        <v/>
      </c>
      <c r="K161" s="5">
        <f>IF(K$88=$B$5,$B$27+$B$31+$B$34,0)</f>
        <v/>
      </c>
      <c r="L161" s="5">
        <f>IF(L$88=$B$5,$B$27+$B$31+$B$34,0)</f>
        <v/>
      </c>
    </row>
    <row r="162">
      <c r="A162" t="inlineStr">
        <is>
          <t xml:space="preserve">  Service de la dette (intérêts + capital + coupons + rembt obligations)</t>
        </is>
      </c>
      <c r="B162" s="5">
        <f>SUM(C162:L162)</f>
        <v/>
      </c>
      <c r="C162" s="5">
        <f>-(C138+C139+C142+C143+C146+C147)</f>
        <v/>
      </c>
      <c r="D162" s="5">
        <f>-(D138+D139+D142+D143+D146+D147)</f>
        <v/>
      </c>
      <c r="E162" s="5">
        <f>-(E138+E139+E142+E143+E146+E147)</f>
        <v/>
      </c>
      <c r="F162" s="5">
        <f>-(F138+F139+F142+F143+F146+F147)</f>
        <v/>
      </c>
      <c r="G162" s="5">
        <f>-(G138+G139+G142+G143+G146+G147)</f>
        <v/>
      </c>
      <c r="H162" s="5">
        <f>-(H138+H139+H142+H143+H146+H147)</f>
        <v/>
      </c>
      <c r="I162" s="5">
        <f>-(I138+I139+I142+I143+I146+I147)</f>
        <v/>
      </c>
      <c r="J162" s="5">
        <f>-(J138+J139+J142+J143+J146+J147)</f>
        <v/>
      </c>
      <c r="K162" s="5">
        <f>-(K138+K139+K142+K143+K146+K147)</f>
        <v/>
      </c>
      <c r="L162" s="5">
        <f>-(L138+L139+L142+L143+L146+L147)</f>
        <v/>
      </c>
    </row>
    <row r="163">
      <c r="A163" s="4" t="inlineStr">
        <is>
          <t>Flux de financement</t>
        </is>
      </c>
      <c r="B163" s="18">
        <f>SUM(C163:L163)</f>
        <v/>
      </c>
      <c r="C163" s="18">
        <f>C160+C161+C162</f>
        <v/>
      </c>
      <c r="D163" s="18">
        <f>D160+D161+D162</f>
        <v/>
      </c>
      <c r="E163" s="18">
        <f>E160+E161+E162</f>
        <v/>
      </c>
      <c r="F163" s="18">
        <f>F160+F161+F162</f>
        <v/>
      </c>
      <c r="G163" s="18">
        <f>G160+G161+G162</f>
        <v/>
      </c>
      <c r="H163" s="18">
        <f>H160+H161+H162</f>
        <v/>
      </c>
      <c r="I163" s="18">
        <f>I160+I161+I162</f>
        <v/>
      </c>
      <c r="J163" s="18">
        <f>J160+J161+J162</f>
        <v/>
      </c>
      <c r="K163" s="18">
        <f>K160+K161+K162</f>
        <v/>
      </c>
      <c r="L163" s="18">
        <f>L160+L161+L162</f>
        <v/>
      </c>
    </row>
    <row r="164">
      <c r="A164" s="4" t="inlineStr">
        <is>
          <t>Variation de trésorerie</t>
        </is>
      </c>
      <c r="B164" s="18">
        <f>SUM(C164:L164)</f>
        <v/>
      </c>
      <c r="C164" s="18">
        <f>C158+C159+C163</f>
        <v/>
      </c>
      <c r="D164" s="18">
        <f>D158+D159+D163</f>
        <v/>
      </c>
      <c r="E164" s="18">
        <f>E158+E159+E163</f>
        <v/>
      </c>
      <c r="F164" s="18">
        <f>F158+F159+F163</f>
        <v/>
      </c>
      <c r="G164" s="18">
        <f>G158+G159+G163</f>
        <v/>
      </c>
      <c r="H164" s="18">
        <f>H158+H159+H163</f>
        <v/>
      </c>
      <c r="I164" s="18">
        <f>I158+I159+I163</f>
        <v/>
      </c>
      <c r="J164" s="18">
        <f>J158+J159+J163</f>
        <v/>
      </c>
      <c r="K164" s="18">
        <f>K158+K159+K163</f>
        <v/>
      </c>
      <c r="L164" s="18">
        <f>L158+L159+L163</f>
        <v/>
      </c>
    </row>
    <row r="165">
      <c r="A165" s="4" t="inlineStr">
        <is>
          <t>Trésorerie fin d'année</t>
        </is>
      </c>
      <c r="C165" s="18">
        <f>C164</f>
        <v/>
      </c>
      <c r="D165" s="18">
        <f>C165+D164</f>
        <v/>
      </c>
      <c r="E165" s="18">
        <f>D165+E164</f>
        <v/>
      </c>
      <c r="F165" s="18">
        <f>E165+F164</f>
        <v/>
      </c>
      <c r="G165" s="18">
        <f>F165+G164</f>
        <v/>
      </c>
      <c r="H165" s="18">
        <f>G165+H164</f>
        <v/>
      </c>
      <c r="I165" s="18">
        <f>H165+I164</f>
        <v/>
      </c>
      <c r="J165" s="18">
        <f>I165+J164</f>
        <v/>
      </c>
      <c r="K165" s="18">
        <f>J165+K164</f>
        <v/>
      </c>
      <c r="L165" s="18">
        <f>K165+L164</f>
        <v/>
      </c>
    </row>
    <row r="166">
      <c r="A166" t="inlineStr">
        <is>
          <t>Cash-flow libre d'exploitation (CFO − gros entretien − service dette hors obligations in fine)</t>
        </is>
      </c>
      <c r="B166" s="5">
        <f>SUM(C166:L166)</f>
        <v/>
      </c>
      <c r="C166" s="5">
        <f>C158-C129-(C138+C139+C142+C143+C146)</f>
        <v/>
      </c>
      <c r="D166" s="5">
        <f>D158-D129-(D138+D139+D142+D143+D146)</f>
        <v/>
      </c>
      <c r="E166" s="5">
        <f>E158-E129-(E138+E139+E142+E143+E146)</f>
        <v/>
      </c>
      <c r="F166" s="5">
        <f>F158-F129-(F138+F139+F142+F143+F146)</f>
        <v/>
      </c>
      <c r="G166" s="5">
        <f>G158-G129-(G138+G139+G142+G143+G146)</f>
        <v/>
      </c>
      <c r="H166" s="5">
        <f>H158-H129-(H138+H139+H142+H143+H146)</f>
        <v/>
      </c>
      <c r="I166" s="5">
        <f>I158-I129-(I138+I139+I142+I143+I146)</f>
        <v/>
      </c>
      <c r="J166" s="5">
        <f>J158-J129-(J138+J139+J142+J143+J146)</f>
        <v/>
      </c>
      <c r="K166" s="5">
        <f>K158-K129-(K138+K139+K142+K143+K146)</f>
        <v/>
      </c>
      <c r="L166" s="5">
        <f>L158-L129-(L138+L139+L142+L143+L146)</f>
        <v/>
      </c>
    </row>
    <row r="167">
      <c r="A167" t="inlineStr">
        <is>
          <t>DSCR ((EBITDA + loyer privé − IS − gros entretien) / service de la dette)</t>
        </is>
      </c>
      <c r="C167" s="7">
        <f>IF((C138+C139+C142+C143+C146)=0,"",(C124+C125+C152-C129)/(C138+C139+C142+C143+C146))</f>
        <v/>
      </c>
      <c r="D167" s="7">
        <f>IF((D138+D139+D142+D143+D146)=0,"",(D124+D125+D152-D129)/(D138+D139+D142+D143+D146))</f>
        <v/>
      </c>
      <c r="E167" s="7">
        <f>IF((E138+E139+E142+E143+E146)=0,"",(E124+E125+E152-E129)/(E138+E139+E142+E143+E146))</f>
        <v/>
      </c>
      <c r="F167" s="7">
        <f>IF((F138+F139+F142+F143+F146)=0,"",(F124+F125+F152-F129)/(F138+F139+F142+F143+F146))</f>
        <v/>
      </c>
      <c r="G167" s="7">
        <f>IF((G138+G139+G142+G143+G146)=0,"",(G124+G125+G152-G129)/(G138+G139+G142+G143+G146))</f>
        <v/>
      </c>
      <c r="H167" s="7">
        <f>IF((H138+H139+H142+H143+H146)=0,"",(H124+H125+H152-H129)/(H138+H139+H142+H143+H146))</f>
        <v/>
      </c>
      <c r="I167" s="7">
        <f>IF((I138+I139+I142+I143+I146)=0,"",(I124+I125+I152-I129)/(I138+I139+I142+I143+I146))</f>
        <v/>
      </c>
      <c r="J167" s="7">
        <f>IF((J138+J139+J142+J143+J146)=0,"",(J124+J125+J152-J129)/(J138+J139+J142+J143+J146))</f>
        <v/>
      </c>
      <c r="K167" s="7">
        <f>IF((K138+K139+K142+K143+K146)=0,"",(K124+K125+K152-K129)/(K138+K139+K142+K143+K146))</f>
        <v/>
      </c>
      <c r="L167" s="7">
        <f>IF((L138+L139+L142+L143+L146)=0,"",(L124+L125+L152-L129)/(L138+L139+L142+L143+L146))</f>
        <v/>
      </c>
    </row>
    <row r="169">
      <c r="A169" s="4" t="inlineStr">
        <is>
          <t>Rentabilité des investisseurs et contrôle</t>
        </is>
      </c>
    </row>
    <row r="170">
      <c r="A170" t="inlineStr">
        <is>
          <t>Dettes financières totales fin d'année</t>
        </is>
      </c>
      <c r="C170" s="5">
        <f>C140+C144+C145-C147</f>
        <v/>
      </c>
      <c r="D170" s="5">
        <f>D140+D144+D145-D147</f>
        <v/>
      </c>
      <c r="E170" s="5">
        <f>E140+E144+E145-E147</f>
        <v/>
      </c>
      <c r="F170" s="5">
        <f>F140+F144+F145-F147</f>
        <v/>
      </c>
      <c r="G170" s="5">
        <f>G140+G144+G145-G147</f>
        <v/>
      </c>
      <c r="H170" s="5">
        <f>H140+H144+H145-H147</f>
        <v/>
      </c>
      <c r="I170" s="5">
        <f>I140+I144+I145-I147</f>
        <v/>
      </c>
      <c r="J170" s="5">
        <f>J140+J144+J145-J147</f>
        <v/>
      </c>
      <c r="K170" s="5">
        <f>K140+K144+K145-K147</f>
        <v/>
      </c>
      <c r="L170" s="5">
        <f>L140+L144+L145-L147</f>
        <v/>
      </c>
    </row>
    <row r="171">
      <c r="A171" t="inlineStr">
        <is>
          <t>Valeur estimée de l'actif (si cédé cette année)</t>
        </is>
      </c>
      <c r="C171" s="5">
        <f>C94*($B$7+C130)*$B$17*(1-$B$19)</f>
        <v/>
      </c>
      <c r="D171" s="5">
        <f>D94*($B$7+D130)*$B$17*(1-$B$19)</f>
        <v/>
      </c>
      <c r="E171" s="5">
        <f>E94*($B$7+E130)*$B$17*(1-$B$19)</f>
        <v/>
      </c>
      <c r="F171" s="5">
        <f>F94*($B$7+F130)*$B$17*(1-$B$19)</f>
        <v/>
      </c>
      <c r="G171" s="5">
        <f>G94*($B$7+G130)*$B$17*(1-$B$19)</f>
        <v/>
      </c>
      <c r="H171" s="5">
        <f>H94*($B$7+H130)*$B$17*(1-$B$19)</f>
        <v/>
      </c>
      <c r="I171" s="5">
        <f>I94*($B$7+I130)*$B$17*(1-$B$19)</f>
        <v/>
      </c>
      <c r="J171" s="5">
        <f>J94*($B$7+J130)*$B$17*(1-$B$19)</f>
        <v/>
      </c>
      <c r="K171" s="5">
        <f>K94*($B$7+K130)*$B$17*(1-$B$19)</f>
        <v/>
      </c>
      <c r="L171" s="5">
        <f>L94*($B$7+L130)*$B$17*(1-$B$19)</f>
        <v/>
      </c>
    </row>
    <row r="172">
      <c r="A172" t="inlineStr">
        <is>
          <t>Valeur des fonds propres (actif + trésorerie − dettes)</t>
        </is>
      </c>
      <c r="C172" s="5">
        <f>C171+C165-C170</f>
        <v/>
      </c>
      <c r="D172" s="5">
        <f>D171+D165-D170</f>
        <v/>
      </c>
      <c r="E172" s="5">
        <f>E171+E165-E170</f>
        <v/>
      </c>
      <c r="F172" s="5">
        <f>F171+F165-F170</f>
        <v/>
      </c>
      <c r="G172" s="5">
        <f>G171+G165-G170</f>
        <v/>
      </c>
      <c r="H172" s="5">
        <f>H171+H165-H170</f>
        <v/>
      </c>
      <c r="I172" s="5">
        <f>I171+I165-I170</f>
        <v/>
      </c>
      <c r="J172" s="5">
        <f>J171+J165-J170</f>
        <v/>
      </c>
      <c r="K172" s="5">
        <f>K171+K165-K170</f>
        <v/>
      </c>
      <c r="L172" s="5">
        <f>L171+L165-L170</f>
        <v/>
      </c>
    </row>
    <row r="173">
      <c r="A173" t="inlineStr">
        <is>
          <t>Flux des investisseurs (entrée an d'acq., sortie an 10)</t>
        </is>
      </c>
      <c r="B173" s="5">
        <f>SUM(C173:L173)</f>
        <v/>
      </c>
      <c r="C173" s="5">
        <f>-IF(C$88=$B$5,$B$24*(1-$B$49)*(1-$B$25),0)</f>
        <v/>
      </c>
      <c r="D173" s="5">
        <f>-IF(D$88=$B$5,$B$24*(1-$B$49)*(1-$B$25),0)</f>
        <v/>
      </c>
      <c r="E173" s="5">
        <f>-IF(E$88=$B$5,$B$24*(1-$B$49)*(1-$B$25),0)</f>
        <v/>
      </c>
      <c r="F173" s="5">
        <f>-IF(F$88=$B$5,$B$24*(1-$B$49)*(1-$B$25),0)</f>
        <v/>
      </c>
      <c r="G173" s="5">
        <f>-IF(G$88=$B$5,$B$24*(1-$B$49)*(1-$B$25),0)</f>
        <v/>
      </c>
      <c r="H173" s="5">
        <f>-IF(H$88=$B$5,$B$24*(1-$B$49)*(1-$B$25),0)</f>
        <v/>
      </c>
      <c r="I173" s="5">
        <f>-IF(I$88=$B$5,$B$24*(1-$B$49)*(1-$B$25),0)</f>
        <v/>
      </c>
      <c r="J173" s="5">
        <f>-IF(J$88=$B$5,$B$24*(1-$B$49)*(1-$B$25),0)</f>
        <v/>
      </c>
      <c r="K173" s="5">
        <f>-IF(K$88=$B$5,$B$24*(1-$B$49)*(1-$B$25),0)</f>
        <v/>
      </c>
      <c r="L173" s="5">
        <f>-IF(L$88=$B$5,$B$24*(1-$B$49)*(1-$B$25),0)+MAX(0,L172)*(1-$B$42)</f>
        <v/>
      </c>
    </row>
    <row r="174">
      <c r="A174" t="inlineStr">
        <is>
          <t>Flux du fondateur et de sa holding (apports, sortie théorique an 10)</t>
        </is>
      </c>
      <c r="B174" s="5">
        <f>SUM(C174:L174)</f>
        <v/>
      </c>
      <c r="C174" s="5">
        <f>-IF(C$88=1,$B$23,0)-IF(C$88=$B$5,$B$24*(1-$B$49)*$B$25,0)</f>
        <v/>
      </c>
      <c r="D174" s="5">
        <f>-IF(D$88=1,$B$23,0)-IF(D$88=$B$5,$B$24*(1-$B$49)*$B$25,0)</f>
        <v/>
      </c>
      <c r="E174" s="5">
        <f>-IF(E$88=1,$B$23,0)-IF(E$88=$B$5,$B$24*(1-$B$49)*$B$25,0)</f>
        <v/>
      </c>
      <c r="F174" s="5">
        <f>-IF(F$88=1,$B$23,0)-IF(F$88=$B$5,$B$24*(1-$B$49)*$B$25,0)</f>
        <v/>
      </c>
      <c r="G174" s="5">
        <f>-IF(G$88=1,$B$23,0)-IF(G$88=$B$5,$B$24*(1-$B$49)*$B$25,0)</f>
        <v/>
      </c>
      <c r="H174" s="5">
        <f>-IF(H$88=1,$B$23,0)-IF(H$88=$B$5,$B$24*(1-$B$49)*$B$25,0)</f>
        <v/>
      </c>
      <c r="I174" s="5">
        <f>-IF(I$88=1,$B$23,0)-IF(I$88=$B$5,$B$24*(1-$B$49)*$B$25,0)</f>
        <v/>
      </c>
      <c r="J174" s="5">
        <f>-IF(J$88=1,$B$23,0)-IF(J$88=$B$5,$B$24*(1-$B$49)*$B$25,0)</f>
        <v/>
      </c>
      <c r="K174" s="5">
        <f>-IF(K$88=1,$B$23,0)-IF(K$88=$B$5,$B$24*(1-$B$49)*$B$25,0)</f>
        <v/>
      </c>
      <c r="L174" s="5">
        <f>-IF(L$88=1,$B$23,0)-IF(L$88=$B$5,$B$24*(1-$B$49)*$B$25,0)+MAX(0,L172)*$B$42</f>
        <v/>
      </c>
    </row>
    <row r="176">
      <c r="A176" s="10" t="inlineStr">
        <is>
          <t>8. Indicateurs clés</t>
        </is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</row>
    <row r="177">
      <c r="A177" t="inlineStr">
        <is>
          <t>Emplois totaux (acq. + frais + travaux initiaux)</t>
        </is>
      </c>
      <c r="B177" s="18">
        <f>$B$7*(1+$B$8)+SUM(C127:L127)</f>
        <v/>
      </c>
    </row>
    <row r="178">
      <c r="A178" t="inlineStr">
        <is>
          <t>Ressources externes et apports prévus</t>
        </is>
      </c>
      <c r="B178" s="18">
        <f>$B$23+$B$24*(1-$B$49)+$B$26+$B$27+$B$31+$B$34</f>
        <v/>
      </c>
    </row>
    <row r="179">
      <c r="A179" t="inlineStr">
        <is>
          <t>CA année 5</t>
        </is>
      </c>
      <c r="B179" s="18">
        <f>G105</f>
        <v/>
      </c>
    </row>
    <row r="180">
      <c r="A180" t="inlineStr">
        <is>
          <t>EBITDA année 5</t>
        </is>
      </c>
      <c r="B180" s="18">
        <f>G124</f>
        <v/>
      </c>
    </row>
    <row r="181">
      <c r="A181" t="inlineStr">
        <is>
          <t>EBITDA année 10</t>
        </is>
      </c>
      <c r="B181" s="18">
        <f>L124</f>
        <v/>
      </c>
    </row>
    <row r="182">
      <c r="A182" t="inlineStr">
        <is>
          <t>Part équestre du CA année 5</t>
        </is>
      </c>
      <c r="B182" s="14">
        <f>G107</f>
        <v/>
      </c>
    </row>
    <row r="183">
      <c r="A183" t="inlineStr">
        <is>
          <t>Trésorerie minimale sur 10 ans</t>
        </is>
      </c>
      <c r="B183" s="18">
        <f>MIN(C165:L165)</f>
        <v/>
      </c>
    </row>
    <row r="184">
      <c r="A184" t="inlineStr">
        <is>
          <t>Trésorerie fin année 10</t>
        </is>
      </c>
      <c r="B184" s="18">
        <f>L165</f>
        <v/>
      </c>
    </row>
    <row r="185">
      <c r="A185" t="inlineStr">
        <is>
          <t>DSCR minimal (à partir de la 2e année d'exploitation)</t>
        </is>
      </c>
      <c r="B185" s="19">
        <f>IF(COUNTIFS(C167:L167,"&gt;-1E+300",C90:L90,"&gt;=2")=0,"n/a",_xlfn.MINIFS(C167:L167,C90:L90,"&gt;=2"))</f>
        <v/>
      </c>
    </row>
    <row r="186">
      <c r="A186" t="inlineStr">
        <is>
          <t>Nb d'années à cash-flow libre d'exploitation négatif (à partir de la 2e année d'exploitation)</t>
        </is>
      </c>
      <c r="B186" s="20">
        <f>COUNTIFS(C166:L166,"&lt;0",C90:L90,"&gt;=2")</f>
        <v/>
      </c>
    </row>
    <row r="187">
      <c r="A187" t="inlineStr">
        <is>
          <t>TRI investisseurs (sortie théorique an 10)</t>
        </is>
      </c>
      <c r="B187" s="14">
        <f>IF($B$24*(1-$B$25)=0,"sans objet",IFERROR(IRR(C173:L173,-0.05),"perte quasi totale (TRI non calculable)"))</f>
        <v/>
      </c>
    </row>
    <row r="188">
      <c r="A188" t="inlineStr">
        <is>
          <t>TRI fondateur (sortie théorique an 10)</t>
        </is>
      </c>
      <c r="B188" s="14">
        <f>IFERROR(IRR(C174:L174,-0.05),"perte quasi totale (TRI non calculable)")</f>
        <v/>
      </c>
    </row>
    <row r="189">
      <c r="A189" t="inlineStr">
        <is>
          <t>Dette bancaire soutenable estimée (DSCR 1,2 sur (EBITDA − gros entretien) an 10, taux et durée du scénario)</t>
        </is>
      </c>
      <c r="B189" s="18">
        <f>MAX(0,PV($B$28,$B$29,-(L124+L125-L129)/1.2))</f>
        <v/>
      </c>
    </row>
    <row r="190">
      <c r="A190" t="inlineStr">
        <is>
          <t>Fonds propres nécessaires (emplois + réserve + pertes d'exploitation cumulées − dette soutenable)</t>
        </is>
      </c>
      <c r="B190" s="18">
        <f>$B$7*(1+$B$8)+SUM(C127:L127)+$B$39-SUMIF(C158:L158,"&lt;0")-$B$189</f>
        <v/>
      </c>
    </row>
    <row r="191">
      <c r="A191" t="inlineStr">
        <is>
          <t>Part du capital du fondateur</t>
        </is>
      </c>
      <c r="B191" s="14">
        <f>$B$42</f>
        <v/>
      </c>
    </row>
    <row r="192">
      <c r="A192" t="inlineStr">
        <is>
          <t>Droits de vote du fondateur</t>
        </is>
      </c>
      <c r="B192" s="14">
        <f>$B$38</f>
        <v/>
      </c>
    </row>
    <row r="193">
      <c r="A193" s="4" t="inlineStr">
        <is>
          <t>Verdict (trésorerie ≥ 0 et ≥ réserve an 10, DSCR ≥ 1,2, cash-flow libre ≥ 0 dès la 2e année d'exploitation, TRI investisseurs extérieurs ≥ cible, dirigeant payé)</t>
        </is>
      </c>
      <c r="B193" s="4">
        <f>IF($B$183&lt;0,"NON VIABLE (trésorerie négative)",IF(AND($B$184&gt;=$B$39,OR($B$185="n/a",$B$185&gt;=1.2),$B$186=0),IF(NOT(OR($B$187="sans objet",AND(ISNUMBER($B$187),N($B$187)&gt;=$B$40))),"FRAGILE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B — Château multiactivité — cas prudent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625000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187500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312500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0.4</v>
      </c>
      <c r="C53" t="inlineStr">
        <is>
          <t>%</t>
        </is>
      </c>
      <c r="D53" t="inlineStr">
        <is>
          <t>Cas prudent</t>
        </is>
      </c>
    </row>
    <row r="54">
      <c r="A54" t="inlineStr">
        <is>
          <t>Montée en charge : 2e année</t>
        </is>
      </c>
      <c r="B54" s="13" t="n">
        <v>0.65</v>
      </c>
      <c r="C54" t="inlineStr">
        <is>
          <t>%</t>
        </is>
      </c>
      <c r="D54" t="inlineStr">
        <is>
          <t>Cas prudent</t>
        </is>
      </c>
    </row>
    <row r="55">
      <c r="A55" t="inlineStr">
        <is>
          <t>Montée en charge : 3e année</t>
        </is>
      </c>
      <c r="B55" s="13" t="n">
        <v>0.85</v>
      </c>
      <c r="C55" t="inlineStr">
        <is>
          <t>%</t>
        </is>
      </c>
      <c r="D55" t="inlineStr">
        <is>
          <t>Cas prudent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17.6</v>
      </c>
      <c r="C63" s="12" t="n">
        <v>5442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18.4</v>
      </c>
      <c r="C64" s="12" t="n">
        <v>2407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7.2</v>
      </c>
      <c r="C65" s="12" t="n">
        <v>1932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9.6</v>
      </c>
      <c r="C66" s="12" t="n">
        <v>3861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73.59999999999999</v>
      </c>
      <c r="C67" s="12" t="n">
        <v>414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9.6</v>
      </c>
      <c r="C68" s="12" t="n">
        <v>736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2.4</v>
      </c>
      <c r="C69" s="12" t="n">
        <v>1840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8</v>
      </c>
      <c r="C70" s="12" t="n">
        <v>138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6600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7700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22000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/ agent d'entretien (1 ETP au Smic chargé)</t>
        </is>
      </c>
      <c r="B77" s="12" t="n">
        <v>29700</v>
      </c>
      <c r="C77" s="16" t="n">
        <v>1</v>
      </c>
      <c r="G77" t="inlineStr">
        <is>
          <t>PL : Smic 2026 22 404 € brut/an [A4 §11] ; EST charges</t>
        </is>
      </c>
    </row>
    <row r="78">
      <c r="A78" t="inlineStr">
        <is>
          <t>Divers (abonnements, petit matériel, véhicule, honoraires)</t>
        </is>
      </c>
      <c r="B78" s="12" t="n">
        <v>8800</v>
      </c>
      <c r="C78" s="16" t="n">
        <v>1</v>
      </c>
      <c r="G78" t="inlineStr">
        <is>
          <t>EST</t>
        </is>
      </c>
    </row>
    <row r="79">
      <c r="A79" t="inlineStr">
        <is>
          <t>Soigneurs (2 ETP au Smic chargés)</t>
        </is>
      </c>
      <c r="B79" s="12" t="n">
        <v>66000</v>
      </c>
      <c r="C79" s="16" t="n">
        <v>0</v>
      </c>
      <c r="G79" t="inlineStr">
        <is>
          <t>PL : Smic 1 867 €/mois, grille IDCC 7026 inférieure ; 1 ETP / 17-20 équidés [A3 H13-H14] ; ~54 équidés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33000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12100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4840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13200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13200</v>
      </c>
      <c r="C84" s="16" t="n">
        <v>0</v>
      </c>
      <c r="G84" t="inlineStr">
        <is>
          <t>EST</t>
        </is>
      </c>
    </row>
    <row r="85">
      <c r="A85" t="inlineStr">
        <is>
          <t>Rémunération du dirigeant (chargée)</t>
        </is>
      </c>
      <c r="B85" s="12" t="n">
        <v>38500</v>
      </c>
      <c r="C85" s="16" t="n">
        <v>0</v>
      </c>
      <c r="G85" t="inlineStr">
        <is>
          <t>EST : minimum ; le dirigeant paie en plus 18 k€ de loyer privé</t>
        </is>
      </c>
    </row>
    <row r="87">
      <c r="A87" s="10" t="inlineStr">
        <is>
          <t>7. Calcul sur 10 ans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4" t="inlineStr">
        <is>
          <t>Année</t>
        </is>
      </c>
      <c r="B88" s="4" t="inlineStr">
        <is>
          <t>Total / réf.</t>
        </is>
      </c>
      <c r="C88" s="4" t="n">
        <v>1</v>
      </c>
      <c r="D88" s="4" t="n">
        <v>2</v>
      </c>
      <c r="E88" s="4" t="n">
        <v>3</v>
      </c>
      <c r="F88" s="4" t="n">
        <v>4</v>
      </c>
      <c r="G88" s="4" t="n">
        <v>5</v>
      </c>
      <c r="H88" s="4" t="n">
        <v>6</v>
      </c>
      <c r="I88" s="4" t="n">
        <v>7</v>
      </c>
      <c r="J88" s="4" t="n">
        <v>8</v>
      </c>
      <c r="K88" s="4" t="n">
        <v>9</v>
      </c>
      <c r="L88" s="4" t="n">
        <v>10</v>
      </c>
    </row>
    <row r="89">
      <c r="A89" t="inlineStr">
        <is>
          <t>Année d'ouverture effective</t>
        </is>
      </c>
      <c r="C89" s="8">
        <f>$B$6+$B$47</f>
        <v/>
      </c>
      <c r="D89" s="8">
        <f>$B$6+$B$47</f>
        <v/>
      </c>
      <c r="E89" s="8">
        <f>$B$6+$B$47</f>
        <v/>
      </c>
      <c r="F89" s="8">
        <f>$B$6+$B$47</f>
        <v/>
      </c>
      <c r="G89" s="8">
        <f>$B$6+$B$47</f>
        <v/>
      </c>
      <c r="H89" s="8">
        <f>$B$6+$B$47</f>
        <v/>
      </c>
      <c r="I89" s="8">
        <f>$B$6+$B$47</f>
        <v/>
      </c>
      <c r="J89" s="8">
        <f>$B$6+$B$47</f>
        <v/>
      </c>
      <c r="K89" s="8">
        <f>$B$6+$B$47</f>
        <v/>
      </c>
      <c r="L89" s="8">
        <f>$B$6+$B$47</f>
        <v/>
      </c>
    </row>
    <row r="90">
      <c r="A90" t="inlineStr">
        <is>
          <t>Rang de l'année d'exploitation</t>
        </is>
      </c>
      <c r="C90" s="8">
        <f>MAX(0,C$88-C89+1)</f>
        <v/>
      </c>
      <c r="D90" s="8">
        <f>MAX(0,D$88-D89+1)</f>
        <v/>
      </c>
      <c r="E90" s="8">
        <f>MAX(0,E$88-E89+1)</f>
        <v/>
      </c>
      <c r="F90" s="8">
        <f>MAX(0,F$88-F89+1)</f>
        <v/>
      </c>
      <c r="G90" s="8">
        <f>MAX(0,G$88-G89+1)</f>
        <v/>
      </c>
      <c r="H90" s="8">
        <f>MAX(0,H$88-H89+1)</f>
        <v/>
      </c>
      <c r="I90" s="8">
        <f>MAX(0,I$88-I89+1)</f>
        <v/>
      </c>
      <c r="J90" s="8">
        <f>MAX(0,J$88-J89+1)</f>
        <v/>
      </c>
      <c r="K90" s="8">
        <f>MAX(0,K$88-K89+1)</f>
        <v/>
      </c>
      <c r="L90" s="8">
        <f>MAX(0,L$88-L89+1)</f>
        <v/>
      </c>
    </row>
    <row r="91">
      <c r="A91" t="inlineStr">
        <is>
          <t>Coefficient de montée en charge</t>
        </is>
      </c>
      <c r="C91" s="6">
        <f>IF(C90=0,0,IF(C90=1,$B$53,IF(C90=2,$B$54,IF(C90=3,$B$55,1))))</f>
        <v/>
      </c>
      <c r="D91" s="6">
        <f>IF(D90=0,0,IF(D90=1,$B$53,IF(D90=2,$B$54,IF(D90=3,$B$55,1))))</f>
        <v/>
      </c>
      <c r="E91" s="6">
        <f>IF(E90=0,0,IF(E90=1,$B$53,IF(E90=2,$B$54,IF(E90=3,$B$55,1))))</f>
        <v/>
      </c>
      <c r="F91" s="6">
        <f>IF(F90=0,0,IF(F90=1,$B$53,IF(F90=2,$B$54,IF(F90=3,$B$55,1))))</f>
        <v/>
      </c>
      <c r="G91" s="6">
        <f>IF(G90=0,0,IF(G90=1,$B$53,IF(G90=2,$B$54,IF(G90=3,$B$55,1))))</f>
        <v/>
      </c>
      <c r="H91" s="6">
        <f>IF(H90=0,0,IF(H90=1,$B$53,IF(H90=2,$B$54,IF(H90=3,$B$55,1))))</f>
        <v/>
      </c>
      <c r="I91" s="6">
        <f>IF(I90=0,0,IF(I90=1,$B$53,IF(I90=2,$B$54,IF(I90=3,$B$55,1))))</f>
        <v/>
      </c>
      <c r="J91" s="6">
        <f>IF(J90=0,0,IF(J90=1,$B$53,IF(J90=2,$B$54,IF(J90=3,$B$55,1))))</f>
        <v/>
      </c>
      <c r="K91" s="6">
        <f>IF(K90=0,0,IF(K90=1,$B$53,IF(K90=2,$B$54,IF(K90=3,$B$55,1))))</f>
        <v/>
      </c>
      <c r="L91" s="6">
        <f>IF(L90=0,0,IF(L90=1,$B$53,IF(L90=2,$B$54,IF(L90=3,$B$55,1))))</f>
        <v/>
      </c>
    </row>
    <row r="92">
      <c r="A92" t="inlineStr">
        <is>
          <t>Indice prix</t>
        </is>
      </c>
      <c r="C92" s="17">
        <f>(1+$B$56)^(C$88-1)</f>
        <v/>
      </c>
      <c r="D92" s="17">
        <f>(1+$B$56)^(D$88-1)</f>
        <v/>
      </c>
      <c r="E92" s="17">
        <f>(1+$B$56)^(E$88-1)</f>
        <v/>
      </c>
      <c r="F92" s="17">
        <f>(1+$B$56)^(F$88-1)</f>
        <v/>
      </c>
      <c r="G92" s="17">
        <f>(1+$B$56)^(G$88-1)</f>
        <v/>
      </c>
      <c r="H92" s="17">
        <f>(1+$B$56)^(H$88-1)</f>
        <v/>
      </c>
      <c r="I92" s="17">
        <f>(1+$B$56)^(I$88-1)</f>
        <v/>
      </c>
      <c r="J92" s="17">
        <f>(1+$B$56)^(J$88-1)</f>
        <v/>
      </c>
      <c r="K92" s="17">
        <f>(1+$B$56)^(K$88-1)</f>
        <v/>
      </c>
      <c r="L92" s="17">
        <f>(1+$B$56)^(L$88-1)</f>
        <v/>
      </c>
    </row>
    <row r="93">
      <c r="A93" t="inlineStr">
        <is>
          <t>Indice charges</t>
        </is>
      </c>
      <c r="C93" s="17">
        <f>(1+$B$57)^(C$88-1)</f>
        <v/>
      </c>
      <c r="D93" s="17">
        <f>(1+$B$57)^(D$88-1)</f>
        <v/>
      </c>
      <c r="E93" s="17">
        <f>(1+$B$57)^(E$88-1)</f>
        <v/>
      </c>
      <c r="F93" s="17">
        <f>(1+$B$57)^(F$88-1)</f>
        <v/>
      </c>
      <c r="G93" s="17">
        <f>(1+$B$57)^(G$88-1)</f>
        <v/>
      </c>
      <c r="H93" s="17">
        <f>(1+$B$57)^(H$88-1)</f>
        <v/>
      </c>
      <c r="I93" s="17">
        <f>(1+$B$57)^(I$88-1)</f>
        <v/>
      </c>
      <c r="J93" s="17">
        <f>(1+$B$57)^(J$88-1)</f>
        <v/>
      </c>
      <c r="K93" s="17">
        <f>(1+$B$57)^(K$88-1)</f>
        <v/>
      </c>
      <c r="L93" s="17">
        <f>(1+$B$57)^(L$88-1)</f>
        <v/>
      </c>
    </row>
    <row r="94">
      <c r="A94" t="inlineStr">
        <is>
          <t>Murs détenus (1/0)</t>
        </is>
      </c>
      <c r="C94" s="8">
        <f>IF(C$88&gt;=$B$5,1,0)</f>
        <v/>
      </c>
      <c r="D94" s="8">
        <f>IF(D$88&gt;=$B$5,1,0)</f>
        <v/>
      </c>
      <c r="E94" s="8">
        <f>IF(E$88&gt;=$B$5,1,0)</f>
        <v/>
      </c>
      <c r="F94" s="8">
        <f>IF(F$88&gt;=$B$5,1,0)</f>
        <v/>
      </c>
      <c r="G94" s="8">
        <f>IF(G$88&gt;=$B$5,1,0)</f>
        <v/>
      </c>
      <c r="H94" s="8">
        <f>IF(H$88&gt;=$B$5,1,0)</f>
        <v/>
      </c>
      <c r="I94" s="8">
        <f>IF(I$88&gt;=$B$5,1,0)</f>
        <v/>
      </c>
      <c r="J94" s="8">
        <f>IF(J$88&gt;=$B$5,1,0)</f>
        <v/>
      </c>
      <c r="K94" s="8">
        <f>IF(K$88&gt;=$B$5,1,0)</f>
        <v/>
      </c>
      <c r="L94" s="8">
        <f>IF(L$88&gt;=$B$5,1,0)</f>
        <v/>
      </c>
    </row>
    <row r="96">
      <c r="A96" s="4" t="inlineStr">
        <is>
          <t>Compte de résultat</t>
        </is>
      </c>
    </row>
    <row r="97">
      <c r="A97" t="inlineStr">
        <is>
          <t xml:space="preserve">  Pension box premium (places occupées)</t>
        </is>
      </c>
      <c r="B97" s="5">
        <f>SUM(C97:L97)</f>
        <v/>
      </c>
      <c r="C97" s="5">
        <f>$B$63*$C$63*C91*C92*$B$45*(1-$E$63*$B$50)</f>
        <v/>
      </c>
      <c r="D97" s="5">
        <f>$B$63*$C$63*D91*D92*$B$45*(1-$E$63*$B$50)</f>
        <v/>
      </c>
      <c r="E97" s="5">
        <f>$B$63*$C$63*E91*E92*$B$45*(1-$E$63*$B$50)</f>
        <v/>
      </c>
      <c r="F97" s="5">
        <f>$B$63*$C$63*F91*F92*$B$45*(1-$E$63*$B$50)</f>
        <v/>
      </c>
      <c r="G97" s="5">
        <f>$B$63*$C$63*G91*G92*$B$45*(1-$E$63*$B$50)</f>
        <v/>
      </c>
      <c r="H97" s="5">
        <f>$B$63*$C$63*H91*H92*$B$45*(1-$E$63*$B$50)</f>
        <v/>
      </c>
      <c r="I97" s="5">
        <f>$B$63*$C$63*I91*I92*$B$45*(1-$E$63*$B$50)</f>
        <v/>
      </c>
      <c r="J97" s="5">
        <f>$B$63*$C$63*J91*J92*$B$45*(1-$E$63*$B$50)</f>
        <v/>
      </c>
      <c r="K97" s="5">
        <f>$B$63*$C$63*K91*K92*$B$45*(1-$E$63*$B$50)</f>
        <v/>
      </c>
      <c r="L97" s="5">
        <f>$B$63*$C$63*L91*L92*$B$45*(1-$E$63*$B$50)</f>
        <v/>
      </c>
    </row>
    <row r="98">
      <c r="A98" t="inlineStr">
        <is>
          <t xml:space="preserve">  Pension au pré (places occupées)</t>
        </is>
      </c>
      <c r="B98" s="5">
        <f>SUM(C98:L98)</f>
        <v/>
      </c>
      <c r="C98" s="5">
        <f>$B$64*$C$64*C91*C92*$B$45*(1-$E$64*$B$50)</f>
        <v/>
      </c>
      <c r="D98" s="5">
        <f>$B$64*$C$64*D91*D92*$B$45*(1-$E$64*$B$50)</f>
        <v/>
      </c>
      <c r="E98" s="5">
        <f>$B$64*$C$64*E91*E92*$B$45*(1-$E$64*$B$50)</f>
        <v/>
      </c>
      <c r="F98" s="5">
        <f>$B$64*$C$64*F91*F92*$B$45*(1-$E$64*$B$50)</f>
        <v/>
      </c>
      <c r="G98" s="5">
        <f>$B$64*$C$64*G91*G92*$B$45*(1-$E$64*$B$50)</f>
        <v/>
      </c>
      <c r="H98" s="5">
        <f>$B$64*$C$64*H91*H92*$B$45*(1-$E$64*$B$50)</f>
        <v/>
      </c>
      <c r="I98" s="5">
        <f>$B$64*$C$64*I91*I92*$B$45*(1-$E$64*$B$50)</f>
        <v/>
      </c>
      <c r="J98" s="5">
        <f>$B$64*$C$64*J91*J92*$B$45*(1-$E$64*$B$50)</f>
        <v/>
      </c>
      <c r="K98" s="5">
        <f>$B$64*$C$64*K91*K92*$B$45*(1-$E$64*$B$50)</f>
        <v/>
      </c>
      <c r="L98" s="5">
        <f>$B$64*$C$64*L91*L92*$B$45*(1-$E$64*$B$50)</f>
        <v/>
      </c>
    </row>
    <row r="99">
      <c r="A99" t="inlineStr">
        <is>
          <t xml:space="preserve">  Pension retraite / convalescence (places occupées)</t>
        </is>
      </c>
      <c r="B99" s="5">
        <f>SUM(C99:L99)</f>
        <v/>
      </c>
      <c r="C99" s="5">
        <f>$B$65*$C$65*C91*C92*$B$45*(1-$E$65*$B$50)</f>
        <v/>
      </c>
      <c r="D99" s="5">
        <f>$B$65*$C$65*D91*D92*$B$45*(1-$E$65*$B$50)</f>
        <v/>
      </c>
      <c r="E99" s="5">
        <f>$B$65*$C$65*E91*E92*$B$45*(1-$E$65*$B$50)</f>
        <v/>
      </c>
      <c r="F99" s="5">
        <f>$B$65*$C$65*F91*F92*$B$45*(1-$E$65*$B$50)</f>
        <v/>
      </c>
      <c r="G99" s="5">
        <f>$B$65*$C$65*G91*G92*$B$45*(1-$E$65*$B$50)</f>
        <v/>
      </c>
      <c r="H99" s="5">
        <f>$B$65*$C$65*H91*H92*$B$45*(1-$E$65*$B$50)</f>
        <v/>
      </c>
      <c r="I99" s="5">
        <f>$B$65*$C$65*I91*I92*$B$45*(1-$E$65*$B$50)</f>
        <v/>
      </c>
      <c r="J99" s="5">
        <f>$B$65*$C$65*J91*J92*$B$45*(1-$E$65*$B$50)</f>
        <v/>
      </c>
      <c r="K99" s="5">
        <f>$B$65*$C$65*K91*K92*$B$45*(1-$E$65*$B$50)</f>
        <v/>
      </c>
      <c r="L99" s="5">
        <f>$B$65*$C$65*L91*L92*$B$45*(1-$E$65*$B$50)</f>
        <v/>
      </c>
    </row>
    <row r="100">
      <c r="A100" t="inlineStr">
        <is>
          <t xml:space="preserve">  Mariages (location du lieu + hébergement 15 couchages)</t>
        </is>
      </c>
      <c r="B100" s="5">
        <f>SUM(C100:L100)</f>
        <v/>
      </c>
      <c r="C100" s="5">
        <f>$B$66*$C$66*C91*C92*$B$45*(1-$E$66*$B$50)</f>
        <v/>
      </c>
      <c r="D100" s="5">
        <f>$B$66*$C$66*D91*D92*$B$45*(1-$E$66*$B$50)</f>
        <v/>
      </c>
      <c r="E100" s="5">
        <f>$B$66*$C$66*E91*E92*$B$45*(1-$E$66*$B$50)</f>
        <v/>
      </c>
      <c r="F100" s="5">
        <f>$B$66*$C$66*F91*F92*$B$45*(1-$E$66*$B$50)</f>
        <v/>
      </c>
      <c r="G100" s="5">
        <f>$B$66*$C$66*G91*G92*$B$45*(1-$E$66*$B$50)</f>
        <v/>
      </c>
      <c r="H100" s="5">
        <f>$B$66*$C$66*H91*H92*$B$45*(1-$E$66*$B$50)</f>
        <v/>
      </c>
      <c r="I100" s="5">
        <f>$B$66*$C$66*I91*I92*$B$45*(1-$E$66*$B$50)</f>
        <v/>
      </c>
      <c r="J100" s="5">
        <f>$B$66*$C$66*J91*J92*$B$45*(1-$E$66*$B$50)</f>
        <v/>
      </c>
      <c r="K100" s="5">
        <f>$B$66*$C$66*K91*K92*$B$45*(1-$E$66*$B$50)</f>
        <v/>
      </c>
      <c r="L100" s="5">
        <f>$B$66*$C$66*L91*L92*$B$45*(1-$E$66*$B$50)</f>
        <v/>
      </c>
    </row>
    <row r="101">
      <c r="A101" t="inlineStr">
        <is>
          <t xml:space="preserve">  Gîte 15 couchages hors mariages (nuits)</t>
        </is>
      </c>
      <c r="B101" s="5">
        <f>SUM(C101:L101)</f>
        <v/>
      </c>
      <c r="C101" s="5">
        <f>$B$67*$C$67*C91*C92*$B$45*(1-$E$67*$B$50)</f>
        <v/>
      </c>
      <c r="D101" s="5">
        <f>$B$67*$C$67*D91*D92*$B$45*(1-$E$67*$B$50)</f>
        <v/>
      </c>
      <c r="E101" s="5">
        <f>$B$67*$C$67*E91*E92*$B$45*(1-$E$67*$B$50)</f>
        <v/>
      </c>
      <c r="F101" s="5">
        <f>$B$67*$C$67*F91*F92*$B$45*(1-$E$67*$B$50)</f>
        <v/>
      </c>
      <c r="G101" s="5">
        <f>$B$67*$C$67*G91*G92*$B$45*(1-$E$67*$B$50)</f>
        <v/>
      </c>
      <c r="H101" s="5">
        <f>$B$67*$C$67*H91*H92*$B$45*(1-$E$67*$B$50)</f>
        <v/>
      </c>
      <c r="I101" s="5">
        <f>$B$67*$C$67*I91*I92*$B$45*(1-$E$67*$B$50)</f>
        <v/>
      </c>
      <c r="J101" s="5">
        <f>$B$67*$C$67*J91*J92*$B$45*(1-$E$67*$B$50)</f>
        <v/>
      </c>
      <c r="K101" s="5">
        <f>$B$67*$C$67*K91*K92*$B$45*(1-$E$67*$B$50)</f>
        <v/>
      </c>
      <c r="L101" s="5">
        <f>$B$67*$C$67*L91*L92*$B$45*(1-$E$67*$B$50)</f>
        <v/>
      </c>
    </row>
    <row r="102">
      <c r="A102" t="inlineStr">
        <is>
          <t xml:space="preserve">  Séminaires à la journée (jours)</t>
        </is>
      </c>
      <c r="B102" s="5">
        <f>SUM(C102:L102)</f>
        <v/>
      </c>
      <c r="C102" s="5">
        <f>$B$68*$C$68*C91*C92*$B$45*(1-$E$68*$B$50)</f>
        <v/>
      </c>
      <c r="D102" s="5">
        <f>$B$68*$C$68*D91*D92*$B$45*(1-$E$68*$B$50)</f>
        <v/>
      </c>
      <c r="E102" s="5">
        <f>$B$68*$C$68*E91*E92*$B$45*(1-$E$68*$B$50)</f>
        <v/>
      </c>
      <c r="F102" s="5">
        <f>$B$68*$C$68*F91*F92*$B$45*(1-$E$68*$B$50)</f>
        <v/>
      </c>
      <c r="G102" s="5">
        <f>$B$68*$C$68*G91*G92*$B$45*(1-$E$68*$B$50)</f>
        <v/>
      </c>
      <c r="H102" s="5">
        <f>$B$68*$C$68*H91*H92*$B$45*(1-$E$68*$B$50)</f>
        <v/>
      </c>
      <c r="I102" s="5">
        <f>$B$68*$C$68*I91*I92*$B$45*(1-$E$68*$B$50)</f>
        <v/>
      </c>
      <c r="J102" s="5">
        <f>$B$68*$C$68*J91*J92*$B$45*(1-$E$68*$B$50)</f>
        <v/>
      </c>
      <c r="K102" s="5">
        <f>$B$68*$C$68*K91*K92*$B$45*(1-$E$68*$B$50)</f>
        <v/>
      </c>
      <c r="L102" s="5">
        <f>$B$68*$C$68*L91*L92*$B$45*(1-$E$68*$B$50)</f>
        <v/>
      </c>
    </row>
    <row r="103">
      <c r="A103" t="inlineStr">
        <is>
          <t xml:space="preserve">  Tournages / shootings (jours)</t>
        </is>
      </c>
      <c r="B103" s="5">
        <f>SUM(C103:L103)</f>
        <v/>
      </c>
      <c r="C103" s="5">
        <f>$B$69*$C$69*C91*C92*$B$45*(1-$E$69*$B$50)</f>
        <v/>
      </c>
      <c r="D103" s="5">
        <f>$B$69*$C$69*D91*D92*$B$45*(1-$E$69*$B$50)</f>
        <v/>
      </c>
      <c r="E103" s="5">
        <f>$B$69*$C$69*E91*E92*$B$45*(1-$E$69*$B$50)</f>
        <v/>
      </c>
      <c r="F103" s="5">
        <f>$B$69*$C$69*F91*F92*$B$45*(1-$E$69*$B$50)</f>
        <v/>
      </c>
      <c r="G103" s="5">
        <f>$B$69*$C$69*G91*G92*$B$45*(1-$E$69*$B$50)</f>
        <v/>
      </c>
      <c r="H103" s="5">
        <f>$B$69*$C$69*H91*H92*$B$45*(1-$E$69*$B$50)</f>
        <v/>
      </c>
      <c r="I103" s="5">
        <f>$B$69*$C$69*I91*I92*$B$45*(1-$E$69*$B$50)</f>
        <v/>
      </c>
      <c r="J103" s="5">
        <f>$B$69*$C$69*J91*J92*$B$45*(1-$E$69*$B$50)</f>
        <v/>
      </c>
      <c r="K103" s="5">
        <f>$B$69*$C$69*K91*K92*$B$45*(1-$E$69*$B$50)</f>
        <v/>
      </c>
      <c r="L103" s="5">
        <f>$B$69*$C$69*L91*L92*$B$45*(1-$E$69*$B$50)</f>
        <v/>
      </c>
    </row>
    <row r="104">
      <c r="A104" t="inlineStr">
        <is>
          <t xml:space="preserve">  Fermage / vente d'herbe (ha)</t>
        </is>
      </c>
      <c r="B104" s="5">
        <f>SUM(C104:L104)</f>
        <v/>
      </c>
      <c r="C104" s="5">
        <f>$B$70*$C$70*C91*C92*$B$45*(1-$E$70*$B$50)</f>
        <v/>
      </c>
      <c r="D104" s="5">
        <f>$B$70*$C$70*D91*D92*$B$45*(1-$E$70*$B$50)</f>
        <v/>
      </c>
      <c r="E104" s="5">
        <f>$B$70*$C$70*E91*E92*$B$45*(1-$E$70*$B$50)</f>
        <v/>
      </c>
      <c r="F104" s="5">
        <f>$B$70*$C$70*F91*F92*$B$45*(1-$E$70*$B$50)</f>
        <v/>
      </c>
      <c r="G104" s="5">
        <f>$B$70*$C$70*G91*G92*$B$45*(1-$E$70*$B$50)</f>
        <v/>
      </c>
      <c r="H104" s="5">
        <f>$B$70*$C$70*H91*H92*$B$45*(1-$E$70*$B$50)</f>
        <v/>
      </c>
      <c r="I104" s="5">
        <f>$B$70*$C$70*I91*I92*$B$45*(1-$E$70*$B$50)</f>
        <v/>
      </c>
      <c r="J104" s="5">
        <f>$B$70*$C$70*J91*J92*$B$45*(1-$E$70*$B$50)</f>
        <v/>
      </c>
      <c r="K104" s="5">
        <f>$B$70*$C$70*K91*K92*$B$45*(1-$E$70*$B$50)</f>
        <v/>
      </c>
      <c r="L104" s="5">
        <f>$B$70*$C$70*L91*L92*$B$45*(1-$E$70*$B$50)</f>
        <v/>
      </c>
    </row>
    <row r="105">
      <c r="A105" s="4" t="inlineStr">
        <is>
          <t>Chiffre d'affaires total</t>
        </is>
      </c>
      <c r="B105" s="18">
        <f>SUM(C105:L105)</f>
        <v/>
      </c>
      <c r="C105" s="18">
        <f>C97+C98+C99+C100+C101+C102+C103+C104</f>
        <v/>
      </c>
      <c r="D105" s="18">
        <f>D97+D98+D99+D100+D101+D102+D103+D104</f>
        <v/>
      </c>
      <c r="E105" s="18">
        <f>E97+E98+E99+E100+E101+E102+E103+E104</f>
        <v/>
      </c>
      <c r="F105" s="18">
        <f>F97+F98+F99+F100+F101+F102+F103+F104</f>
        <v/>
      </c>
      <c r="G105" s="18">
        <f>G97+G98+G99+G100+G101+G102+G103+G104</f>
        <v/>
      </c>
      <c r="H105" s="18">
        <f>H97+H98+H99+H100+H101+H102+H103+H104</f>
        <v/>
      </c>
      <c r="I105" s="18">
        <f>I97+I98+I99+I100+I101+I102+I103+I104</f>
        <v/>
      </c>
      <c r="J105" s="18">
        <f>J97+J98+J99+J100+J101+J102+J103+J104</f>
        <v/>
      </c>
      <c r="K105" s="18">
        <f>K97+K98+K99+K100+K101+K102+K103+K104</f>
        <v/>
      </c>
      <c r="L105" s="18">
        <f>L97+L98+L99+L100+L101+L102+L103+L104</f>
        <v/>
      </c>
    </row>
    <row r="106">
      <c r="A106" t="inlineStr">
        <is>
          <t xml:space="preserve">  dont équestre</t>
        </is>
      </c>
      <c r="B106" s="5">
        <f>SUM(C106:L106)</f>
        <v/>
      </c>
      <c r="C106" s="5">
        <f>C97*$F$63+C98*$F$64+C99*$F$65+C100*$F$66+C101*$F$67+C102*$F$68+C103*$F$69+C104*$F$70</f>
        <v/>
      </c>
      <c r="D106" s="5">
        <f>D97*$F$63+D98*$F$64+D99*$F$65+D100*$F$66+D101*$F$67+D102*$F$68+D103*$F$69+D104*$F$70</f>
        <v/>
      </c>
      <c r="E106" s="5">
        <f>E97*$F$63+E98*$F$64+E99*$F$65+E100*$F$66+E101*$F$67+E102*$F$68+E103*$F$69+E104*$F$70</f>
        <v/>
      </c>
      <c r="F106" s="5">
        <f>F97*$F$63+F98*$F$64+F99*$F$65+F100*$F$66+F101*$F$67+F102*$F$68+F103*$F$69+F104*$F$70</f>
        <v/>
      </c>
      <c r="G106" s="5">
        <f>G97*$F$63+G98*$F$64+G99*$F$65+G100*$F$66+G101*$F$67+G102*$F$68+G103*$F$69+G104*$F$70</f>
        <v/>
      </c>
      <c r="H106" s="5">
        <f>H97*$F$63+H98*$F$64+H99*$F$65+H100*$F$66+H101*$F$67+H102*$F$68+H103*$F$69+H104*$F$70</f>
        <v/>
      </c>
      <c r="I106" s="5">
        <f>I97*$F$63+I98*$F$64+I99*$F$65+I100*$F$66+I101*$F$67+I102*$F$68+I103*$F$69+I104*$F$70</f>
        <v/>
      </c>
      <c r="J106" s="5">
        <f>J97*$F$63+J98*$F$64+J99*$F$65+J100*$F$66+J101*$F$67+J102*$F$68+J103*$F$69+J104*$F$70</f>
        <v/>
      </c>
      <c r="K106" s="5">
        <f>K97*$F$63+K98*$F$64+K99*$F$65+K100*$F$66+K101*$F$67+K102*$F$68+K103*$F$69+K104*$F$70</f>
        <v/>
      </c>
      <c r="L106" s="5">
        <f>L97*$F$63+L98*$F$64+L99*$F$65+L100*$F$66+L101*$F$67+L102*$F$68+L103*$F$69+L104*$F$70</f>
        <v/>
      </c>
    </row>
    <row r="107">
      <c r="A107" t="inlineStr">
        <is>
          <t xml:space="preserve">  Part équestre du CA</t>
        </is>
      </c>
      <c r="C107" s="6">
        <f>IF(C105=0,0,C106/C105)</f>
        <v/>
      </c>
      <c r="D107" s="6">
        <f>IF(D105=0,0,D106/D105)</f>
        <v/>
      </c>
      <c r="E107" s="6">
        <f>IF(E105=0,0,E106/E105)</f>
        <v/>
      </c>
      <c r="F107" s="6">
        <f>IF(F105=0,0,F106/F105)</f>
        <v/>
      </c>
      <c r="G107" s="6">
        <f>IF(G105=0,0,G106/G105)</f>
        <v/>
      </c>
      <c r="H107" s="6">
        <f>IF(H105=0,0,H106/H105)</f>
        <v/>
      </c>
      <c r="I107" s="6">
        <f>IF(I105=0,0,I106/I105)</f>
        <v/>
      </c>
      <c r="J107" s="6">
        <f>IF(J105=0,0,J106/J105)</f>
        <v/>
      </c>
      <c r="K107" s="6">
        <f>IF(K105=0,0,K106/K105)</f>
        <v/>
      </c>
      <c r="L107" s="6">
        <f>IF(L105=0,0,L106/L105)</f>
        <v/>
      </c>
    </row>
    <row r="108">
      <c r="A108" t="inlineStr">
        <is>
          <t>Coûts variables</t>
        </is>
      </c>
      <c r="B108" s="5">
        <f>SUM(C108:L108)</f>
        <v/>
      </c>
      <c r="C108" s="5">
        <f>-(C97*$D$63+C98*$D$64+C99*$D$65+C100*$D$66+C101*$D$67+C102*$D$68+C103*$D$69+C104*$D$70)</f>
        <v/>
      </c>
      <c r="D108" s="5">
        <f>-(D97*$D$63+D98*$D$64+D99*$D$65+D100*$D$66+D101*$D$67+D102*$D$68+D103*$D$69+D104*$D$70)</f>
        <v/>
      </c>
      <c r="E108" s="5">
        <f>-(E97*$D$63+E98*$D$64+E99*$D$65+E100*$D$66+E101*$D$67+E102*$D$68+E103*$D$69+E104*$D$70)</f>
        <v/>
      </c>
      <c r="F108" s="5">
        <f>-(F97*$D$63+F98*$D$64+F99*$D$65+F100*$D$66+F101*$D$67+F102*$D$68+F103*$D$69+F104*$D$70)</f>
        <v/>
      </c>
      <c r="G108" s="5">
        <f>-(G97*$D$63+G98*$D$64+G99*$D$65+G100*$D$66+G101*$D$67+G102*$D$68+G103*$D$69+G104*$D$70)</f>
        <v/>
      </c>
      <c r="H108" s="5">
        <f>-(H97*$D$63+H98*$D$64+H99*$D$65+H100*$D$66+H101*$D$67+H102*$D$68+H103*$D$69+H104*$D$70)</f>
        <v/>
      </c>
      <c r="I108" s="5">
        <f>-(I97*$D$63+I98*$D$64+I99*$D$65+I100*$D$66+I101*$D$67+I102*$D$68+I103*$D$69+I104*$D$70)</f>
        <v/>
      </c>
      <c r="J108" s="5">
        <f>-(J97*$D$63+J98*$D$64+J99*$D$65+J100*$D$66+J101*$D$67+J102*$D$68+J103*$D$69+J104*$D$70)</f>
        <v/>
      </c>
      <c r="K108" s="5">
        <f>-(K97*$D$63+K98*$D$64+K99*$D$65+K100*$D$66+K101*$D$67+K102*$D$68+K103*$D$69+K104*$D$70)</f>
        <v/>
      </c>
      <c r="L108" s="5">
        <f>-(L97*$D$63+L98*$D$64+L99*$D$65+L100*$D$66+L101*$D$67+L102*$D$68+L103*$D$69+L104*$D$70)</f>
        <v/>
      </c>
    </row>
    <row r="109">
      <c r="A109" s="4" t="inlineStr">
        <is>
          <t>Marge sur coûts variables</t>
        </is>
      </c>
      <c r="B109" s="18">
        <f>SUM(C109:L109)</f>
        <v/>
      </c>
      <c r="C109" s="18">
        <f>C105+C108</f>
        <v/>
      </c>
      <c r="D109" s="18">
        <f>D105+D108</f>
        <v/>
      </c>
      <c r="E109" s="18">
        <f>E105+E108</f>
        <v/>
      </c>
      <c r="F109" s="18">
        <f>F105+F108</f>
        <v/>
      </c>
      <c r="G109" s="18">
        <f>G105+G108</f>
        <v/>
      </c>
      <c r="H109" s="18">
        <f>H105+H108</f>
        <v/>
      </c>
      <c r="I109" s="18">
        <f>I105+I108</f>
        <v/>
      </c>
      <c r="J109" s="18">
        <f>J105+J108</f>
        <v/>
      </c>
      <c r="K109" s="18">
        <f>K105+K108</f>
        <v/>
      </c>
      <c r="L109" s="18">
        <f>L105+L108</f>
        <v/>
      </c>
    </row>
    <row r="110">
      <c r="A110" t="inlineStr">
        <is>
          <t xml:space="preserve">  Taxe foncière</t>
        </is>
      </c>
      <c r="B110" s="5">
        <f>SUM(C110:L110)</f>
        <v/>
      </c>
      <c r="C110" s="5">
        <f>-$B$74*C93*IF($C$74=1,C94,IF(C90&gt;0,1,0))</f>
        <v/>
      </c>
      <c r="D110" s="5">
        <f>-$B$74*D93*IF($C$74=1,D94,IF(D90&gt;0,1,0))</f>
        <v/>
      </c>
      <c r="E110" s="5">
        <f>-$B$74*E93*IF($C$74=1,E94,IF(E90&gt;0,1,0))</f>
        <v/>
      </c>
      <c r="F110" s="5">
        <f>-$B$74*F93*IF($C$74=1,F94,IF(F90&gt;0,1,0))</f>
        <v/>
      </c>
      <c r="G110" s="5">
        <f>-$B$74*G93*IF($C$74=1,G94,IF(G90&gt;0,1,0))</f>
        <v/>
      </c>
      <c r="H110" s="5">
        <f>-$B$74*H93*IF($C$74=1,H94,IF(H90&gt;0,1,0))</f>
        <v/>
      </c>
      <c r="I110" s="5">
        <f>-$B$74*I93*IF($C$74=1,I94,IF(I90&gt;0,1,0))</f>
        <v/>
      </c>
      <c r="J110" s="5">
        <f>-$B$74*J93*IF($C$74=1,J94,IF(J90&gt;0,1,0))</f>
        <v/>
      </c>
      <c r="K110" s="5">
        <f>-$B$74*K93*IF($C$74=1,K94,IF(K90&gt;0,1,0))</f>
        <v/>
      </c>
      <c r="L110" s="5">
        <f>-$B$74*L93*IF($C$74=1,L94,IF(L90&gt;0,1,0))</f>
        <v/>
      </c>
    </row>
    <row r="111">
      <c r="A111" t="inlineStr">
        <is>
          <t xml:space="preserve">  Assurance multirisque château</t>
        </is>
      </c>
      <c r="B111" s="5">
        <f>SUM(C111:L111)</f>
        <v/>
      </c>
      <c r="C111" s="5">
        <f>-$B$75*C93*IF($C$75=1,C94,IF(C90&gt;0,1,0))</f>
        <v/>
      </c>
      <c r="D111" s="5">
        <f>-$B$75*D93*IF($C$75=1,D94,IF(D90&gt;0,1,0))</f>
        <v/>
      </c>
      <c r="E111" s="5">
        <f>-$B$75*E93*IF($C$75=1,E94,IF(E90&gt;0,1,0))</f>
        <v/>
      </c>
      <c r="F111" s="5">
        <f>-$B$75*F93*IF($C$75=1,F94,IF(F90&gt;0,1,0))</f>
        <v/>
      </c>
      <c r="G111" s="5">
        <f>-$B$75*G93*IF($C$75=1,G94,IF(G90&gt;0,1,0))</f>
        <v/>
      </c>
      <c r="H111" s="5">
        <f>-$B$75*H93*IF($C$75=1,H94,IF(H90&gt;0,1,0))</f>
        <v/>
      </c>
      <c r="I111" s="5">
        <f>-$B$75*I93*IF($C$75=1,I94,IF(I90&gt;0,1,0))</f>
        <v/>
      </c>
      <c r="J111" s="5">
        <f>-$B$75*J93*IF($C$75=1,J94,IF(J90&gt;0,1,0))</f>
        <v/>
      </c>
      <c r="K111" s="5">
        <f>-$B$75*K93*IF($C$75=1,K94,IF(K90&gt;0,1,0))</f>
        <v/>
      </c>
      <c r="L111" s="5">
        <f>-$B$75*L93*IF($C$75=1,L94,IF(L90&gt;0,1,0))</f>
        <v/>
      </c>
    </row>
    <row r="112">
      <c r="A112" t="inlineStr">
        <is>
          <t xml:space="preserve">  Énergie (chauffage partiel, électricité, eau)</t>
        </is>
      </c>
      <c r="B112" s="5">
        <f>SUM(C112:L112)</f>
        <v/>
      </c>
      <c r="C112" s="5">
        <f>-$B$76*C93*IF($C$76=1,C94,IF(C90&gt;0,1,0))</f>
        <v/>
      </c>
      <c r="D112" s="5">
        <f>-$B$76*D93*IF($C$76=1,D94,IF(D90&gt;0,1,0))</f>
        <v/>
      </c>
      <c r="E112" s="5">
        <f>-$B$76*E93*IF($C$76=1,E94,IF(E90&gt;0,1,0))</f>
        <v/>
      </c>
      <c r="F112" s="5">
        <f>-$B$76*F93*IF($C$76=1,F94,IF(F90&gt;0,1,0))</f>
        <v/>
      </c>
      <c r="G112" s="5">
        <f>-$B$76*G93*IF($C$76=1,G94,IF(G90&gt;0,1,0))</f>
        <v/>
      </c>
      <c r="H112" s="5">
        <f>-$B$76*H93*IF($C$76=1,H94,IF(H90&gt;0,1,0))</f>
        <v/>
      </c>
      <c r="I112" s="5">
        <f>-$B$76*I93*IF($C$76=1,I94,IF(I90&gt;0,1,0))</f>
        <v/>
      </c>
      <c r="J112" s="5">
        <f>-$B$76*J93*IF($C$76=1,J94,IF(J90&gt;0,1,0))</f>
        <v/>
      </c>
      <c r="K112" s="5">
        <f>-$B$76*K93*IF($C$76=1,K94,IF(K90&gt;0,1,0))</f>
        <v/>
      </c>
      <c r="L112" s="5">
        <f>-$B$76*L93*IF($C$76=1,L94,IF(L90&gt;0,1,0))</f>
        <v/>
      </c>
    </row>
    <row r="113">
      <c r="A113" t="inlineStr">
        <is>
          <t xml:space="preserve">  Jardinier / agent d'entretien (1 ETP au Smic chargé)</t>
        </is>
      </c>
      <c r="B113" s="5">
        <f>SUM(C113:L113)</f>
        <v/>
      </c>
      <c r="C113" s="5">
        <f>-$B$77*C93*IF($C$77=1,C94,IF(C90&gt;0,1,0))</f>
        <v/>
      </c>
      <c r="D113" s="5">
        <f>-$B$77*D93*IF($C$77=1,D94,IF(D90&gt;0,1,0))</f>
        <v/>
      </c>
      <c r="E113" s="5">
        <f>-$B$77*E93*IF($C$77=1,E94,IF(E90&gt;0,1,0))</f>
        <v/>
      </c>
      <c r="F113" s="5">
        <f>-$B$77*F93*IF($C$77=1,F94,IF(F90&gt;0,1,0))</f>
        <v/>
      </c>
      <c r="G113" s="5">
        <f>-$B$77*G93*IF($C$77=1,G94,IF(G90&gt;0,1,0))</f>
        <v/>
      </c>
      <c r="H113" s="5">
        <f>-$B$77*H93*IF($C$77=1,H94,IF(H90&gt;0,1,0))</f>
        <v/>
      </c>
      <c r="I113" s="5">
        <f>-$B$77*I93*IF($C$77=1,I94,IF(I90&gt;0,1,0))</f>
        <v/>
      </c>
      <c r="J113" s="5">
        <f>-$B$77*J93*IF($C$77=1,J94,IF(J90&gt;0,1,0))</f>
        <v/>
      </c>
      <c r="K113" s="5">
        <f>-$B$77*K93*IF($C$77=1,K94,IF(K90&gt;0,1,0))</f>
        <v/>
      </c>
      <c r="L113" s="5">
        <f>-$B$77*L93*IF($C$77=1,L94,IF(L90&gt;0,1,0))</f>
        <v/>
      </c>
    </row>
    <row r="114">
      <c r="A114" t="inlineStr">
        <is>
          <t xml:space="preserve">  Divers (abonnements, petit matériel, véhicule, honoraires)</t>
        </is>
      </c>
      <c r="B114" s="5">
        <f>SUM(C114:L114)</f>
        <v/>
      </c>
      <c r="C114" s="5">
        <f>-$B$78*C93*IF($C$78=1,C94,IF(C90&gt;0,1,0))</f>
        <v/>
      </c>
      <c r="D114" s="5">
        <f>-$B$78*D93*IF($C$78=1,D94,IF(D90&gt;0,1,0))</f>
        <v/>
      </c>
      <c r="E114" s="5">
        <f>-$B$78*E93*IF($C$78=1,E94,IF(E90&gt;0,1,0))</f>
        <v/>
      </c>
      <c r="F114" s="5">
        <f>-$B$78*F93*IF($C$78=1,F94,IF(F90&gt;0,1,0))</f>
        <v/>
      </c>
      <c r="G114" s="5">
        <f>-$B$78*G93*IF($C$78=1,G94,IF(G90&gt;0,1,0))</f>
        <v/>
      </c>
      <c r="H114" s="5">
        <f>-$B$78*H93*IF($C$78=1,H94,IF(H90&gt;0,1,0))</f>
        <v/>
      </c>
      <c r="I114" s="5">
        <f>-$B$78*I93*IF($C$78=1,I94,IF(I90&gt;0,1,0))</f>
        <v/>
      </c>
      <c r="J114" s="5">
        <f>-$B$78*J93*IF($C$78=1,J94,IF(J90&gt;0,1,0))</f>
        <v/>
      </c>
      <c r="K114" s="5">
        <f>-$B$78*K93*IF($C$78=1,K94,IF(K90&gt;0,1,0))</f>
        <v/>
      </c>
      <c r="L114" s="5">
        <f>-$B$78*L93*IF($C$78=1,L94,IF(L90&gt;0,1,0))</f>
        <v/>
      </c>
    </row>
    <row r="115">
      <c r="A115" t="inlineStr">
        <is>
          <t xml:space="preserve">  Soigneurs (2 ETP au Smic chargés)</t>
        </is>
      </c>
      <c r="B115" s="5">
        <f>SUM(C115:L115)</f>
        <v/>
      </c>
      <c r="C115" s="5">
        <f>-$B$79*C93*IF($C$79=1,C94,IF(C90&gt;0,1,0))</f>
        <v/>
      </c>
      <c r="D115" s="5">
        <f>-$B$79*D93*IF($C$79=1,D94,IF(D90&gt;0,1,0))</f>
        <v/>
      </c>
      <c r="E115" s="5">
        <f>-$B$79*E93*IF($C$79=1,E94,IF(E90&gt;0,1,0))</f>
        <v/>
      </c>
      <c r="F115" s="5">
        <f>-$B$79*F93*IF($C$79=1,F94,IF(F90&gt;0,1,0))</f>
        <v/>
      </c>
      <c r="G115" s="5">
        <f>-$B$79*G93*IF($C$79=1,G94,IF(G90&gt;0,1,0))</f>
        <v/>
      </c>
      <c r="H115" s="5">
        <f>-$B$79*H93*IF($C$79=1,H94,IF(H90&gt;0,1,0))</f>
        <v/>
      </c>
      <c r="I115" s="5">
        <f>-$B$79*I93*IF($C$79=1,I94,IF(I90&gt;0,1,0))</f>
        <v/>
      </c>
      <c r="J115" s="5">
        <f>-$B$79*J93*IF($C$79=1,J94,IF(J90&gt;0,1,0))</f>
        <v/>
      </c>
      <c r="K115" s="5">
        <f>-$B$79*K93*IF($C$79=1,K94,IF(K90&gt;0,1,0))</f>
        <v/>
      </c>
      <c r="L115" s="5">
        <f>-$B$79*L93*IF($C$79=1,L94,IF(L90&gt;0,1,0))</f>
        <v/>
      </c>
    </row>
    <row r="116">
      <c r="A116" t="inlineStr">
        <is>
          <t xml:space="preserve">  Autres charges de structure équestres (entretien installations, matériel, assurance RC, énergie écuries)</t>
        </is>
      </c>
      <c r="B116" s="5">
        <f>SUM(C116:L116)</f>
        <v/>
      </c>
      <c r="C116" s="5">
        <f>-$B$80*C93*IF($C$80=1,C94,IF(C90&gt;0,1,0))</f>
        <v/>
      </c>
      <c r="D116" s="5">
        <f>-$B$80*D93*IF($C$80=1,D94,IF(D90&gt;0,1,0))</f>
        <v/>
      </c>
      <c r="E116" s="5">
        <f>-$B$80*E93*IF($C$80=1,E94,IF(E90&gt;0,1,0))</f>
        <v/>
      </c>
      <c r="F116" s="5">
        <f>-$B$80*F93*IF($C$80=1,F94,IF(F90&gt;0,1,0))</f>
        <v/>
      </c>
      <c r="G116" s="5">
        <f>-$B$80*G93*IF($C$80=1,G94,IF(G90&gt;0,1,0))</f>
        <v/>
      </c>
      <c r="H116" s="5">
        <f>-$B$80*H93*IF($C$80=1,H94,IF(H90&gt;0,1,0))</f>
        <v/>
      </c>
      <c r="I116" s="5">
        <f>-$B$80*I93*IF($C$80=1,I94,IF(I90&gt;0,1,0))</f>
        <v/>
      </c>
      <c r="J116" s="5">
        <f>-$B$80*J93*IF($C$80=1,J94,IF(J90&gt;0,1,0))</f>
        <v/>
      </c>
      <c r="K116" s="5">
        <f>-$B$80*K93*IF($C$80=1,K94,IF(K90&gt;0,1,0))</f>
        <v/>
      </c>
      <c r="L116" s="5">
        <f>-$B$80*L93*IF($C$80=1,L94,IF(L90&gt;0,1,0))</f>
        <v/>
      </c>
    </row>
    <row r="117">
      <c r="A117" t="inlineStr">
        <is>
          <t xml:space="preserve">  Coûts fixes mariages (coordination, nettoyage, publicité)</t>
        </is>
      </c>
      <c r="B117" s="5">
        <f>SUM(C117:L117)</f>
        <v/>
      </c>
      <c r="C117" s="5">
        <f>-$B$81*C93*IF($C$81=1,C94,IF(C90&gt;0,1,0))</f>
        <v/>
      </c>
      <c r="D117" s="5">
        <f>-$B$81*D93*IF($C$81=1,D94,IF(D90&gt;0,1,0))</f>
        <v/>
      </c>
      <c r="E117" s="5">
        <f>-$B$81*E93*IF($C$81=1,E94,IF(E90&gt;0,1,0))</f>
        <v/>
      </c>
      <c r="F117" s="5">
        <f>-$B$81*F93*IF($C$81=1,F94,IF(F90&gt;0,1,0))</f>
        <v/>
      </c>
      <c r="G117" s="5">
        <f>-$B$81*G93*IF($C$81=1,G94,IF(G90&gt;0,1,0))</f>
        <v/>
      </c>
      <c r="H117" s="5">
        <f>-$B$81*H93*IF($C$81=1,H94,IF(H90&gt;0,1,0))</f>
        <v/>
      </c>
      <c r="I117" s="5">
        <f>-$B$81*I93*IF($C$81=1,I94,IF(I90&gt;0,1,0))</f>
        <v/>
      </c>
      <c r="J117" s="5">
        <f>-$B$81*J93*IF($C$81=1,J94,IF(J90&gt;0,1,0))</f>
        <v/>
      </c>
      <c r="K117" s="5">
        <f>-$B$81*K93*IF($C$81=1,K94,IF(K90&gt;0,1,0))</f>
        <v/>
      </c>
      <c r="L117" s="5">
        <f>-$B$81*L93*IF($C$81=1,L94,IF(L90&gt;0,1,0))</f>
        <v/>
      </c>
    </row>
    <row r="118">
      <c r="A118" t="inlineStr">
        <is>
          <t xml:space="preserve">  Coûts fixes du gîte</t>
        </is>
      </c>
      <c r="B118" s="5">
        <f>SUM(C118:L118)</f>
        <v/>
      </c>
      <c r="C118" s="5">
        <f>-$B$82*C93*IF($C$82=1,C94,IF(C90&gt;0,1,0))</f>
        <v/>
      </c>
      <c r="D118" s="5">
        <f>-$B$82*D93*IF($C$82=1,D94,IF(D90&gt;0,1,0))</f>
        <v/>
      </c>
      <c r="E118" s="5">
        <f>-$B$82*E93*IF($C$82=1,E94,IF(E90&gt;0,1,0))</f>
        <v/>
      </c>
      <c r="F118" s="5">
        <f>-$B$82*F93*IF($C$82=1,F94,IF(F90&gt;0,1,0))</f>
        <v/>
      </c>
      <c r="G118" s="5">
        <f>-$B$82*G93*IF($C$82=1,G94,IF(G90&gt;0,1,0))</f>
        <v/>
      </c>
      <c r="H118" s="5">
        <f>-$B$82*H93*IF($C$82=1,H94,IF(H90&gt;0,1,0))</f>
        <v/>
      </c>
      <c r="I118" s="5">
        <f>-$B$82*I93*IF($C$82=1,I94,IF(I90&gt;0,1,0))</f>
        <v/>
      </c>
      <c r="J118" s="5">
        <f>-$B$82*J93*IF($C$82=1,J94,IF(J90&gt;0,1,0))</f>
        <v/>
      </c>
      <c r="K118" s="5">
        <f>-$B$82*K93*IF($C$82=1,K94,IF(K90&gt;0,1,0))</f>
        <v/>
      </c>
      <c r="L118" s="5">
        <f>-$B$82*L93*IF($C$82=1,L94,IF(L90&gt;0,1,0))</f>
        <v/>
      </c>
    </row>
    <row r="119">
      <c r="A119" t="inlineStr">
        <is>
          <t xml:space="preserve">  Commercial, site, salons</t>
        </is>
      </c>
      <c r="B119" s="5">
        <f>SUM(C119:L119)</f>
        <v/>
      </c>
      <c r="C119" s="5">
        <f>-$B$83*C93*IF($C$83=1,C94,IF(C90&gt;0,1,0))</f>
        <v/>
      </c>
      <c r="D119" s="5">
        <f>-$B$83*D93*IF($C$83=1,D94,IF(D90&gt;0,1,0))</f>
        <v/>
      </c>
      <c r="E119" s="5">
        <f>-$B$83*E93*IF($C$83=1,E94,IF(E90&gt;0,1,0))</f>
        <v/>
      </c>
      <c r="F119" s="5">
        <f>-$B$83*F93*IF($C$83=1,F94,IF(F90&gt;0,1,0))</f>
        <v/>
      </c>
      <c r="G119" s="5">
        <f>-$B$83*G93*IF($C$83=1,G94,IF(G90&gt;0,1,0))</f>
        <v/>
      </c>
      <c r="H119" s="5">
        <f>-$B$83*H93*IF($C$83=1,H94,IF(H90&gt;0,1,0))</f>
        <v/>
      </c>
      <c r="I119" s="5">
        <f>-$B$83*I93*IF($C$83=1,I94,IF(I90&gt;0,1,0))</f>
        <v/>
      </c>
      <c r="J119" s="5">
        <f>-$B$83*J93*IF($C$83=1,J94,IF(J90&gt;0,1,0))</f>
        <v/>
      </c>
      <c r="K119" s="5">
        <f>-$B$83*K93*IF($C$83=1,K94,IF(K90&gt;0,1,0))</f>
        <v/>
      </c>
      <c r="L119" s="5">
        <f>-$B$83*L93*IF($C$83=1,L94,IF(L90&gt;0,1,0))</f>
        <v/>
      </c>
    </row>
    <row r="120">
      <c r="A120" t="inlineStr">
        <is>
          <t xml:space="preserve">  Comptabilité, juridique, banque, logiciels</t>
        </is>
      </c>
      <c r="B120" s="5">
        <f>SUM(C120:L120)</f>
        <v/>
      </c>
      <c r="C120" s="5">
        <f>-$B$84*C93*IF($C$84=1,C94,IF(C90&gt;0,1,0))</f>
        <v/>
      </c>
      <c r="D120" s="5">
        <f>-$B$84*D93*IF($C$84=1,D94,IF(D90&gt;0,1,0))</f>
        <v/>
      </c>
      <c r="E120" s="5">
        <f>-$B$84*E93*IF($C$84=1,E94,IF(E90&gt;0,1,0))</f>
        <v/>
      </c>
      <c r="F120" s="5">
        <f>-$B$84*F93*IF($C$84=1,F94,IF(F90&gt;0,1,0))</f>
        <v/>
      </c>
      <c r="G120" s="5">
        <f>-$B$84*G93*IF($C$84=1,G94,IF(G90&gt;0,1,0))</f>
        <v/>
      </c>
      <c r="H120" s="5">
        <f>-$B$84*H93*IF($C$84=1,H94,IF(H90&gt;0,1,0))</f>
        <v/>
      </c>
      <c r="I120" s="5">
        <f>-$B$84*I93*IF($C$84=1,I94,IF(I90&gt;0,1,0))</f>
        <v/>
      </c>
      <c r="J120" s="5">
        <f>-$B$84*J93*IF($C$84=1,J94,IF(J90&gt;0,1,0))</f>
        <v/>
      </c>
      <c r="K120" s="5">
        <f>-$B$84*K93*IF($C$84=1,K94,IF(K90&gt;0,1,0))</f>
        <v/>
      </c>
      <c r="L120" s="5">
        <f>-$B$84*L93*IF($C$84=1,L94,IF(L90&gt;0,1,0))</f>
        <v/>
      </c>
    </row>
    <row r="121">
      <c r="A121" t="inlineStr">
        <is>
          <t xml:space="preserve">  Rémunération du dirigeant (chargée)</t>
        </is>
      </c>
      <c r="B121" s="5">
        <f>SUM(C121:L121)</f>
        <v/>
      </c>
      <c r="C121" s="5">
        <f>-$B$85*C93*IF($C$85=1,C94,IF(C90&gt;0,1,0))</f>
        <v/>
      </c>
      <c r="D121" s="5">
        <f>-$B$85*D93*IF($C$85=1,D94,IF(D90&gt;0,1,0))</f>
        <v/>
      </c>
      <c r="E121" s="5">
        <f>-$B$85*E93*IF($C$85=1,E94,IF(E90&gt;0,1,0))</f>
        <v/>
      </c>
      <c r="F121" s="5">
        <f>-$B$85*F93*IF($C$85=1,F94,IF(F90&gt;0,1,0))</f>
        <v/>
      </c>
      <c r="G121" s="5">
        <f>-$B$85*G93*IF($C$85=1,G94,IF(G90&gt;0,1,0))</f>
        <v/>
      </c>
      <c r="H121" s="5">
        <f>-$B$85*H93*IF($C$85=1,H94,IF(H90&gt;0,1,0))</f>
        <v/>
      </c>
      <c r="I121" s="5">
        <f>-$B$85*I93*IF($C$85=1,I94,IF(I90&gt;0,1,0))</f>
        <v/>
      </c>
      <c r="J121" s="5">
        <f>-$B$85*J93*IF($C$85=1,J94,IF(J90&gt;0,1,0))</f>
        <v/>
      </c>
      <c r="K121" s="5">
        <f>-$B$85*K93*IF($C$85=1,K94,IF(K90&gt;0,1,0))</f>
        <v/>
      </c>
      <c r="L121" s="5">
        <f>-$B$85*L93*IF($C$85=1,L94,IF(L90&gt;0,1,0))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C110+C111+C112+C113+C114+C115+C116+C117+C118+C119+C120+C121</f>
        <v/>
      </c>
      <c r="D122" s="18">
        <f>D110+D111+D112+D113+D114+D115+D116+D117+D118+D119+D120+D121</f>
        <v/>
      </c>
      <c r="E122" s="18">
        <f>E110+E111+E112+E113+E114+E115+E116+E117+E118+E119+E120+E121</f>
        <v/>
      </c>
      <c r="F122" s="18">
        <f>F110+F111+F112+F113+F114+F115+F116+F117+F118+F119+F120+F121</f>
        <v/>
      </c>
      <c r="G122" s="18">
        <f>G110+G111+G112+G113+G114+G115+G116+G117+G118+G119+G120+G121</f>
        <v/>
      </c>
      <c r="H122" s="18">
        <f>H110+H111+H112+H113+H114+H115+H116+H117+H118+H119+H120+H121</f>
        <v/>
      </c>
      <c r="I122" s="18">
        <f>I110+I111+I112+I113+I114+I115+I116+I117+I118+I119+I120+I121</f>
        <v/>
      </c>
      <c r="J122" s="18">
        <f>J110+J111+J112+J113+J114+J115+J116+J117+J118+J119+J120+J121</f>
        <v/>
      </c>
      <c r="K122" s="18">
        <f>K110+K111+K112+K113+K114+K115+K116+K117+K118+K119+K120+K121</f>
        <v/>
      </c>
      <c r="L122" s="18">
        <f>L110+L111+L112+L113+L114+L115+L116+L117+L118+L119+L120+L121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-IF(C94=0,IF(C$88&gt;=$B$6,$B$18*C93,0),0)</f>
        <v/>
      </c>
      <c r="D123" s="5">
        <f>-IF(D94=0,IF(D$88&gt;=$B$6,$B$18*D93,0),0)</f>
        <v/>
      </c>
      <c r="E123" s="5">
        <f>-IF(E94=0,IF(E$88&gt;=$B$6,$B$18*E93,0),0)</f>
        <v/>
      </c>
      <c r="F123" s="5">
        <f>-IF(F94=0,IF(F$88&gt;=$B$6,$B$18*F93,0),0)</f>
        <v/>
      </c>
      <c r="G123" s="5">
        <f>-IF(G94=0,IF(G$88&gt;=$B$6,$B$18*G93,0),0)</f>
        <v/>
      </c>
      <c r="H123" s="5">
        <f>-IF(H94=0,IF(H$88&gt;=$B$6,$B$18*H93,0),0)</f>
        <v/>
      </c>
      <c r="I123" s="5">
        <f>-IF(I94=0,IF(I$88&gt;=$B$6,$B$18*I93,0),0)</f>
        <v/>
      </c>
      <c r="J123" s="5">
        <f>-IF(J94=0,IF(J$88&gt;=$B$6,$B$18*J93,0),0)</f>
        <v/>
      </c>
      <c r="K123" s="5">
        <f>-IF(K94=0,IF(K$88&gt;=$B$6,$B$18*K93,0),0)</f>
        <v/>
      </c>
      <c r="L123" s="5">
        <f>-IF(L94=0,IF(L$88&gt;=$B$6,$B$18*L93,0),0)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C109+C122+C123</f>
        <v/>
      </c>
      <c r="D124" s="18">
        <f>D109+D122+D123</f>
        <v/>
      </c>
      <c r="E124" s="18">
        <f>E109+E122+E123</f>
        <v/>
      </c>
      <c r="F124" s="18">
        <f>F109+F122+F123</f>
        <v/>
      </c>
      <c r="G124" s="18">
        <f>G109+G122+G123</f>
        <v/>
      </c>
      <c r="H124" s="18">
        <f>H109+H122+H123</f>
        <v/>
      </c>
      <c r="I124" s="18">
        <f>I109+I122+I123</f>
        <v/>
      </c>
      <c r="J124" s="18">
        <f>J109+J122+J123</f>
        <v/>
      </c>
      <c r="K124" s="18">
        <f>K109+K122+K123</f>
        <v/>
      </c>
      <c r="L124" s="18">
        <f>L109+L122+L123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C94*$B$20*C93</f>
        <v/>
      </c>
      <c r="D125" s="5">
        <f>D94*$B$20*D93</f>
        <v/>
      </c>
      <c r="E125" s="5">
        <f>E94*$B$20*E93</f>
        <v/>
      </c>
      <c r="F125" s="5">
        <f>F94*$B$20*F93</f>
        <v/>
      </c>
      <c r="G125" s="5">
        <f>G94*$B$20*G93</f>
        <v/>
      </c>
      <c r="H125" s="5">
        <f>H94*$B$20*H93</f>
        <v/>
      </c>
      <c r="I125" s="5">
        <f>I94*$B$20*I93</f>
        <v/>
      </c>
      <c r="J125" s="5">
        <f>J94*$B$20*J93</f>
        <v/>
      </c>
      <c r="K125" s="5">
        <f>K94*$B$20*K93</f>
        <v/>
      </c>
      <c r="L125" s="5">
        <f>L94*$B$20*L93</f>
        <v/>
      </c>
    </row>
    <row r="126">
      <c r="A126" t="inlineStr">
        <is>
          <t xml:space="preserve">  Marge d'EBITDA</t>
        </is>
      </c>
      <c r="C126" s="6">
        <f>IF(C105=0,0,C124/C105)</f>
        <v/>
      </c>
      <c r="D126" s="6">
        <f>IF(D105=0,0,D124/D105)</f>
        <v/>
      </c>
      <c r="E126" s="6">
        <f>IF(E105=0,0,E124/E105)</f>
        <v/>
      </c>
      <c r="F126" s="6">
        <f>IF(F105=0,0,F124/F105)</f>
        <v/>
      </c>
      <c r="G126" s="6">
        <f>IF(G105=0,0,G124/G105)</f>
        <v/>
      </c>
      <c r="H126" s="6">
        <f>IF(H105=0,0,H124/H105)</f>
        <v/>
      </c>
      <c r="I126" s="6">
        <f>IF(I105=0,0,I124/I105)</f>
        <v/>
      </c>
      <c r="J126" s="6">
        <f>IF(J105=0,0,J124/J105)</f>
        <v/>
      </c>
      <c r="K126" s="6">
        <f>IF(K105=0,0,K124/K105)</f>
        <v/>
      </c>
      <c r="L126" s="6">
        <f>IF(L105=0,0,L124/L105)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($B$10+$B$11+$B$12)*$B$46*IF(C$88=$B$5,$B$13,IF(C$88=$B$5+1,$B$14,IF(C$88=$B$5+2,$B$15,0)))*C93</f>
        <v/>
      </c>
      <c r="D127" s="5">
        <f>($B$10+$B$11+$B$12)*$B$46*IF(D$88=$B$5,$B$13,IF(D$88=$B$5+1,$B$14,IF(D$88=$B$5+2,$B$15,0)))*D93</f>
        <v/>
      </c>
      <c r="E127" s="5">
        <f>($B$10+$B$11+$B$12)*$B$46*IF(E$88=$B$5,$B$13,IF(E$88=$B$5+1,$B$14,IF(E$88=$B$5+2,$B$15,0)))*E93</f>
        <v/>
      </c>
      <c r="F127" s="5">
        <f>($B$10+$B$11+$B$12)*$B$46*IF(F$88=$B$5,$B$13,IF(F$88=$B$5+1,$B$14,IF(F$88=$B$5+2,$B$15,0)))*F93</f>
        <v/>
      </c>
      <c r="G127" s="5">
        <f>($B$10+$B$11+$B$12)*$B$46*IF(G$88=$B$5,$B$13,IF(G$88=$B$5+1,$B$14,IF(G$88=$B$5+2,$B$15,0)))*G93</f>
        <v/>
      </c>
      <c r="H127" s="5">
        <f>($B$10+$B$11+$B$12)*$B$46*IF(H$88=$B$5,$B$13,IF(H$88=$B$5+1,$B$14,IF(H$88=$B$5+2,$B$15,0)))*H93</f>
        <v/>
      </c>
      <c r="I127" s="5">
        <f>($B$10+$B$11+$B$12)*$B$46*IF(I$88=$B$5,$B$13,IF(I$88=$B$5+1,$B$14,IF(I$88=$B$5+2,$B$15,0)))*I93</f>
        <v/>
      </c>
      <c r="J127" s="5">
        <f>($B$10+$B$11+$B$12)*$B$46*IF(J$88=$B$5,$B$13,IF(J$88=$B$5+1,$B$14,IF(J$88=$B$5+2,$B$15,0)))*J93</f>
        <v/>
      </c>
      <c r="K127" s="5">
        <f>($B$10+$B$11+$B$12)*$B$46*IF(K$88=$B$5,$B$13,IF(K$88=$B$5+1,$B$14,IF(K$88=$B$5+2,$B$15,0)))*K93</f>
        <v/>
      </c>
      <c r="L127" s="5">
        <f>($B$10+$B$11+$B$12)*$B$46*IF(L$88=$B$5,$B$13,IF(L$88=$B$5+1,$B$14,IF(L$88=$B$5+2,$B$15,0)))*L93</f>
        <v/>
      </c>
    </row>
    <row r="128">
      <c r="A128" t="inlineStr">
        <is>
          <t>Acquisition (prix + frais)</t>
        </is>
      </c>
      <c r="B128" s="5">
        <f>SUM(C128:L128)</f>
        <v/>
      </c>
      <c r="C128" s="5">
        <f>IF(C$88=$B$5,$B$7*(1+$B$8),0)</f>
        <v/>
      </c>
      <c r="D128" s="5">
        <f>IF(D$88=$B$5,$B$7*(1+$B$8),0)</f>
        <v/>
      </c>
      <c r="E128" s="5">
        <f>IF(E$88=$B$5,$B$7*(1+$B$8),0)</f>
        <v/>
      </c>
      <c r="F128" s="5">
        <f>IF(F$88=$B$5,$B$7*(1+$B$8),0)</f>
        <v/>
      </c>
      <c r="G128" s="5">
        <f>IF(G$88=$B$5,$B$7*(1+$B$8),0)</f>
        <v/>
      </c>
      <c r="H128" s="5">
        <f>IF(H$88=$B$5,$B$7*(1+$B$8),0)</f>
        <v/>
      </c>
      <c r="I128" s="5">
        <f>IF(I$88=$B$5,$B$7*(1+$B$8),0)</f>
        <v/>
      </c>
      <c r="J128" s="5">
        <f>IF(J$88=$B$5,$B$7*(1+$B$8),0)</f>
        <v/>
      </c>
      <c r="K128" s="5">
        <f>IF(K$88=$B$5,$B$7*(1+$B$8),0)</f>
        <v/>
      </c>
      <c r="L128" s="5">
        <f>IF(L$88=$B$5,$B$7*(1+$B$8),0)</f>
        <v/>
      </c>
    </row>
    <row r="129">
      <c r="A129" t="inlineStr">
        <is>
          <t>Gros entretien patrimonial récurrent</t>
        </is>
      </c>
      <c r="B129" s="5">
        <f>SUM(C129:L129)</f>
        <v/>
      </c>
      <c r="C129" s="5">
        <f>IF(C$88&gt;=$B$5+3,$B$16*($B$7+($B$10+$B$11+$B$12)*$B$46)*C93,0)</f>
        <v/>
      </c>
      <c r="D129" s="5">
        <f>IF(D$88&gt;=$B$5+3,$B$16*($B$7+($B$10+$B$11+$B$12)*$B$46)*D93,0)</f>
        <v/>
      </c>
      <c r="E129" s="5">
        <f>IF(E$88&gt;=$B$5+3,$B$16*($B$7+($B$10+$B$11+$B$12)*$B$46)*E93,0)</f>
        <v/>
      </c>
      <c r="F129" s="5">
        <f>IF(F$88&gt;=$B$5+3,$B$16*($B$7+($B$10+$B$11+$B$12)*$B$46)*F93,0)</f>
        <v/>
      </c>
      <c r="G129" s="5">
        <f>IF(G$88&gt;=$B$5+3,$B$16*($B$7+($B$10+$B$11+$B$12)*$B$46)*G93,0)</f>
        <v/>
      </c>
      <c r="H129" s="5">
        <f>IF(H$88&gt;=$B$5+3,$B$16*($B$7+($B$10+$B$11+$B$12)*$B$46)*H93,0)</f>
        <v/>
      </c>
      <c r="I129" s="5">
        <f>IF(I$88&gt;=$B$5+3,$B$16*($B$7+($B$10+$B$11+$B$12)*$B$46)*I93,0)</f>
        <v/>
      </c>
      <c r="J129" s="5">
        <f>IF(J$88&gt;=$B$5+3,$B$16*($B$7+($B$10+$B$11+$B$12)*$B$46)*J93,0)</f>
        <v/>
      </c>
      <c r="K129" s="5">
        <f>IF(K$88&gt;=$B$5+3,$B$16*($B$7+($B$10+$B$11+$B$12)*$B$46)*K93,0)</f>
        <v/>
      </c>
      <c r="L129" s="5">
        <f>IF(L$88&gt;=$B$5+3,$B$16*($B$7+($B$10+$B$11+$B$12)*$B$46)*L93,0)</f>
        <v/>
      </c>
    </row>
    <row r="130">
      <c r="A130" t="inlineStr">
        <is>
          <t>Investissements amortissables cumulés</t>
        </is>
      </c>
      <c r="C130" s="5">
        <f>C127+C129</f>
        <v/>
      </c>
      <c r="D130" s="5">
        <f>C130+D127+D129</f>
        <v/>
      </c>
      <c r="E130" s="5">
        <f>D130+E127+E129</f>
        <v/>
      </c>
      <c r="F130" s="5">
        <f>E130+F127+F129</f>
        <v/>
      </c>
      <c r="G130" s="5">
        <f>F130+G127+G129</f>
        <v/>
      </c>
      <c r="H130" s="5">
        <f>G130+H127+H129</f>
        <v/>
      </c>
      <c r="I130" s="5">
        <f>H130+I127+I129</f>
        <v/>
      </c>
      <c r="J130" s="5">
        <f>I130+J127+J129</f>
        <v/>
      </c>
      <c r="K130" s="5">
        <f>J130+K127+K129</f>
        <v/>
      </c>
      <c r="L130" s="5">
        <f>K130+L127+L129</f>
        <v/>
      </c>
    </row>
    <row r="131">
      <c r="A131" t="inlineStr">
        <is>
          <t>Dotations aux amortissements (bâti 30 ans, travaux 15 ans)</t>
        </is>
      </c>
      <c r="B131" s="5">
        <f>SUM(C131:L131)</f>
        <v/>
      </c>
      <c r="C131" s="5">
        <f>-(C94*$B$7*(1+$B$8)*$B$9/30+C130/15)</f>
        <v/>
      </c>
      <c r="D131" s="5">
        <f>-(D94*$B$7*(1+$B$8)*$B$9/30+D130/15)</f>
        <v/>
      </c>
      <c r="E131" s="5">
        <f>-(E94*$B$7*(1+$B$8)*$B$9/30+E130/15)</f>
        <v/>
      </c>
      <c r="F131" s="5">
        <f>-(F94*$B$7*(1+$B$8)*$B$9/30+F130/15)</f>
        <v/>
      </c>
      <c r="G131" s="5">
        <f>-(G94*$B$7*(1+$B$8)*$B$9/30+G130/15)</f>
        <v/>
      </c>
      <c r="H131" s="5">
        <f>-(H94*$B$7*(1+$B$8)*$B$9/30+H130/15)</f>
        <v/>
      </c>
      <c r="I131" s="5">
        <f>-(I94*$B$7*(1+$B$8)*$B$9/30+I130/15)</f>
        <v/>
      </c>
      <c r="J131" s="5">
        <f>-(J94*$B$7*(1+$B$8)*$B$9/30+J130/15)</f>
        <v/>
      </c>
      <c r="K131" s="5">
        <f>-(K94*$B$7*(1+$B$8)*$B$9/30+K130/15)</f>
        <v/>
      </c>
      <c r="L131" s="5">
        <f>-(L94*$B$7*(1+$B$8)*$B$9/30+L130/15)</f>
        <v/>
      </c>
    </row>
    <row r="132">
      <c r="A132" s="4" t="inlineStr">
        <is>
          <t>Résultat d'exploitation</t>
        </is>
      </c>
      <c r="B132" s="18">
        <f>SUM(C132:L132)</f>
        <v/>
      </c>
      <c r="C132" s="18">
        <f>C124+C131</f>
        <v/>
      </c>
      <c r="D132" s="18">
        <f>D124+D131</f>
        <v/>
      </c>
      <c r="E132" s="18">
        <f>E124+E131</f>
        <v/>
      </c>
      <c r="F132" s="18">
        <f>F124+F131</f>
        <v/>
      </c>
      <c r="G132" s="18">
        <f>G124+G131</f>
        <v/>
      </c>
      <c r="H132" s="18">
        <f>H124+H131</f>
        <v/>
      </c>
      <c r="I132" s="18">
        <f>I124+I131</f>
        <v/>
      </c>
      <c r="J132" s="18">
        <f>J124+J131</f>
        <v/>
      </c>
      <c r="K132" s="18">
        <f>K124+K131</f>
        <v/>
      </c>
      <c r="L132" s="18">
        <f>L124+L131</f>
        <v/>
      </c>
    </row>
    <row r="134">
      <c r="A134" s="4" t="inlineStr">
        <is>
          <t>Échéancier des emprunts</t>
        </is>
      </c>
    </row>
    <row r="135">
      <c r="A135" t="inlineStr">
        <is>
          <t>Taux bancaire effectif</t>
        </is>
      </c>
      <c r="C135" s="6">
        <f>$B$28+$B$48</f>
        <v/>
      </c>
      <c r="D135" s="6">
        <f>$B$28+$B$48</f>
        <v/>
      </c>
      <c r="E135" s="6">
        <f>$B$28+$B$48</f>
        <v/>
      </c>
      <c r="F135" s="6">
        <f>$B$28+$B$48</f>
        <v/>
      </c>
      <c r="G135" s="6">
        <f>$B$28+$B$48</f>
        <v/>
      </c>
      <c r="H135" s="6">
        <f>$B$28+$B$48</f>
        <v/>
      </c>
      <c r="I135" s="6">
        <f>$B$28+$B$48</f>
        <v/>
      </c>
      <c r="J135" s="6">
        <f>$B$28+$B$48</f>
        <v/>
      </c>
      <c r="K135" s="6">
        <f>$B$28+$B$48</f>
        <v/>
      </c>
      <c r="L135" s="6">
        <f>$B$28+$B$48</f>
        <v/>
      </c>
    </row>
    <row r="136">
      <c r="A136" t="inlineStr">
        <is>
          <t>Rang de l'année d'emprunt</t>
        </is>
      </c>
      <c r="C136" s="8">
        <f>MAX(0,C$88-$B$5+1)</f>
        <v/>
      </c>
      <c r="D136" s="8">
        <f>MAX(0,D$88-$B$5+1)</f>
        <v/>
      </c>
      <c r="E136" s="8">
        <f>MAX(0,E$88-$B$5+1)</f>
        <v/>
      </c>
      <c r="F136" s="8">
        <f>MAX(0,F$88-$B$5+1)</f>
        <v/>
      </c>
      <c r="G136" s="8">
        <f>MAX(0,G$88-$B$5+1)</f>
        <v/>
      </c>
      <c r="H136" s="8">
        <f>MAX(0,H$88-$B$5+1)</f>
        <v/>
      </c>
      <c r="I136" s="8">
        <f>MAX(0,I$88-$B$5+1)</f>
        <v/>
      </c>
      <c r="J136" s="8">
        <f>MAX(0,J$88-$B$5+1)</f>
        <v/>
      </c>
      <c r="K136" s="8">
        <f>MAX(0,K$88-$B$5+1)</f>
        <v/>
      </c>
      <c r="L136" s="8">
        <f>MAX(0,L$88-$B$5+1)</f>
        <v/>
      </c>
    </row>
    <row r="137">
      <c r="A137" t="inlineStr">
        <is>
          <t>Dette bancaire — capital début</t>
        </is>
      </c>
      <c r="C137" s="5">
        <f>IF(C136=1,$B$27,0)</f>
        <v/>
      </c>
      <c r="D137" s="5">
        <f>IF(D136=1,$B$27,C140)</f>
        <v/>
      </c>
      <c r="E137" s="5">
        <f>IF(E136=1,$B$27,D140)</f>
        <v/>
      </c>
      <c r="F137" s="5">
        <f>IF(F136=1,$B$27,E140)</f>
        <v/>
      </c>
      <c r="G137" s="5">
        <f>IF(G136=1,$B$27,F140)</f>
        <v/>
      </c>
      <c r="H137" s="5">
        <f>IF(H136=1,$B$27,G140)</f>
        <v/>
      </c>
      <c r="I137" s="5">
        <f>IF(I136=1,$B$27,H140)</f>
        <v/>
      </c>
      <c r="J137" s="5">
        <f>IF(J136=1,$B$27,I140)</f>
        <v/>
      </c>
      <c r="K137" s="5">
        <f>IF(K136=1,$B$27,J140)</f>
        <v/>
      </c>
      <c r="L137" s="5">
        <f>IF(L136=1,$B$27,K140)</f>
        <v/>
      </c>
    </row>
    <row r="138">
      <c r="A138" t="inlineStr">
        <is>
          <t xml:space="preserve">  Intérêts</t>
        </is>
      </c>
      <c r="B138" s="5">
        <f>SUM(C138:L138)</f>
        <v/>
      </c>
      <c r="C138" s="5">
        <f>C137*C135</f>
        <v/>
      </c>
      <c r="D138" s="5">
        <f>D137*D135</f>
        <v/>
      </c>
      <c r="E138" s="5">
        <f>E137*E135</f>
        <v/>
      </c>
      <c r="F138" s="5">
        <f>F137*F135</f>
        <v/>
      </c>
      <c r="G138" s="5">
        <f>G137*G135</f>
        <v/>
      </c>
      <c r="H138" s="5">
        <f>H137*H135</f>
        <v/>
      </c>
      <c r="I138" s="5">
        <f>I137*I135</f>
        <v/>
      </c>
      <c r="J138" s="5">
        <f>J137*J135</f>
        <v/>
      </c>
      <c r="K138" s="5">
        <f>K137*K135</f>
        <v/>
      </c>
      <c r="L138" s="5">
        <f>L137*L135</f>
        <v/>
      </c>
    </row>
    <row r="139">
      <c r="A139" t="inlineStr">
        <is>
          <t xml:space="preserve">  Amortissement du capital</t>
        </is>
      </c>
      <c r="B139" s="5">
        <f>SUM(C139:L139)</f>
        <v/>
      </c>
      <c r="C139" s="5">
        <f>IF(OR(C136=0,C136&lt;=$B$30,C137&lt;=0),0,MIN(C137,PMT(C135,$B$29-$B$30,-$B$27)-C138))</f>
        <v/>
      </c>
      <c r="D139" s="5">
        <f>IF(OR(D136=0,D136&lt;=$B$30,D137&lt;=0),0,MIN(D137,PMT(D135,$B$29-$B$30,-$B$27)-D138))</f>
        <v/>
      </c>
      <c r="E139" s="5">
        <f>IF(OR(E136=0,E136&lt;=$B$30,E137&lt;=0),0,MIN(E137,PMT(E135,$B$29-$B$30,-$B$27)-E138))</f>
        <v/>
      </c>
      <c r="F139" s="5">
        <f>IF(OR(F136=0,F136&lt;=$B$30,F137&lt;=0),0,MIN(F137,PMT(F135,$B$29-$B$30,-$B$27)-F138))</f>
        <v/>
      </c>
      <c r="G139" s="5">
        <f>IF(OR(G136=0,G136&lt;=$B$30,G137&lt;=0),0,MIN(G137,PMT(G135,$B$29-$B$30,-$B$27)-G138))</f>
        <v/>
      </c>
      <c r="H139" s="5">
        <f>IF(OR(H136=0,H136&lt;=$B$30,H137&lt;=0),0,MIN(H137,PMT(H135,$B$29-$B$30,-$B$27)-H138))</f>
        <v/>
      </c>
      <c r="I139" s="5">
        <f>IF(OR(I136=0,I136&lt;=$B$30,I137&lt;=0),0,MIN(I137,PMT(I135,$B$29-$B$30,-$B$27)-I138))</f>
        <v/>
      </c>
      <c r="J139" s="5">
        <f>IF(OR(J136=0,J136&lt;=$B$30,J137&lt;=0),0,MIN(J137,PMT(J135,$B$29-$B$30,-$B$27)-J138))</f>
        <v/>
      </c>
      <c r="K139" s="5">
        <f>IF(OR(K136=0,K136&lt;=$B$30,K137&lt;=0),0,MIN(K137,PMT(K135,$B$29-$B$30,-$B$27)-K138))</f>
        <v/>
      </c>
      <c r="L139" s="5">
        <f>IF(OR(L136=0,L136&lt;=$B$30,L137&lt;=0),0,MIN(L137,PMT(L135,$B$29-$B$30,-$B$27)-L138))</f>
        <v/>
      </c>
    </row>
    <row r="140">
      <c r="A140" t="inlineStr">
        <is>
          <t>Dette bancaire — capital fin</t>
        </is>
      </c>
      <c r="C140" s="5">
        <f>C137-C139</f>
        <v/>
      </c>
      <c r="D140" s="5">
        <f>D137-D139</f>
        <v/>
      </c>
      <c r="E140" s="5">
        <f>E137-E139</f>
        <v/>
      </c>
      <c r="F140" s="5">
        <f>F137-F139</f>
        <v/>
      </c>
      <c r="G140" s="5">
        <f>G137-G139</f>
        <v/>
      </c>
      <c r="H140" s="5">
        <f>H137-H139</f>
        <v/>
      </c>
      <c r="I140" s="5">
        <f>I137-I139</f>
        <v/>
      </c>
      <c r="J140" s="5">
        <f>J137-J139</f>
        <v/>
      </c>
      <c r="K140" s="5">
        <f>K137-K139</f>
        <v/>
      </c>
      <c r="L140" s="5">
        <f>L137-L139</f>
        <v/>
      </c>
    </row>
    <row r="141">
      <c r="A141" t="inlineStr">
        <is>
          <t>Crédit-vendeur — capital début</t>
        </is>
      </c>
      <c r="C141" s="5">
        <f>IF(C136=1,$B$31,0)</f>
        <v/>
      </c>
      <c r="D141" s="5">
        <f>IF(D136=1,$B$31,C144)</f>
        <v/>
      </c>
      <c r="E141" s="5">
        <f>IF(E136=1,$B$31,D144)</f>
        <v/>
      </c>
      <c r="F141" s="5">
        <f>IF(F136=1,$B$31,E144)</f>
        <v/>
      </c>
      <c r="G141" s="5">
        <f>IF(G136=1,$B$31,F144)</f>
        <v/>
      </c>
      <c r="H141" s="5">
        <f>IF(H136=1,$B$31,G144)</f>
        <v/>
      </c>
      <c r="I141" s="5">
        <f>IF(I136=1,$B$31,H144)</f>
        <v/>
      </c>
      <c r="J141" s="5">
        <f>IF(J136=1,$B$31,I144)</f>
        <v/>
      </c>
      <c r="K141" s="5">
        <f>IF(K136=1,$B$31,J144)</f>
        <v/>
      </c>
      <c r="L141" s="5">
        <f>IF(L136=1,$B$31,K144)</f>
        <v/>
      </c>
    </row>
    <row r="142">
      <c r="A142" t="inlineStr">
        <is>
          <t xml:space="preserve">  Intérêts crédit-vendeur</t>
        </is>
      </c>
      <c r="B142" s="5">
        <f>SUM(C142:L142)</f>
        <v/>
      </c>
      <c r="C142" s="5">
        <f>C141*$B$32</f>
        <v/>
      </c>
      <c r="D142" s="5">
        <f>D141*$B$32</f>
        <v/>
      </c>
      <c r="E142" s="5">
        <f>E141*$B$32</f>
        <v/>
      </c>
      <c r="F142" s="5">
        <f>F141*$B$32</f>
        <v/>
      </c>
      <c r="G142" s="5">
        <f>G141*$B$32</f>
        <v/>
      </c>
      <c r="H142" s="5">
        <f>H141*$B$32</f>
        <v/>
      </c>
      <c r="I142" s="5">
        <f>I141*$B$32</f>
        <v/>
      </c>
      <c r="J142" s="5">
        <f>J141*$B$32</f>
        <v/>
      </c>
      <c r="K142" s="5">
        <f>K141*$B$32</f>
        <v/>
      </c>
      <c r="L142" s="5">
        <f>L141*$B$32</f>
        <v/>
      </c>
    </row>
    <row r="143">
      <c r="A143" t="inlineStr">
        <is>
          <t xml:space="preserve">  Amortissement crédit-vendeur</t>
        </is>
      </c>
      <c r="B143" s="5">
        <f>SUM(C143:L143)</f>
        <v/>
      </c>
      <c r="C143" s="5">
        <f>IF(OR(C136=0,C141&lt;=0),0,MIN(C141,IF($B$32=0,$B$31/$B$33,PMT($B$32,$B$33,-$B$31)-C142)))</f>
        <v/>
      </c>
      <c r="D143" s="5">
        <f>IF(OR(D136=0,D141&lt;=0),0,MIN(D141,IF($B$32=0,$B$31/$B$33,PMT($B$32,$B$33,-$B$31)-D142)))</f>
        <v/>
      </c>
      <c r="E143" s="5">
        <f>IF(OR(E136=0,E141&lt;=0),0,MIN(E141,IF($B$32=0,$B$31/$B$33,PMT($B$32,$B$33,-$B$31)-E142)))</f>
        <v/>
      </c>
      <c r="F143" s="5">
        <f>IF(OR(F136=0,F141&lt;=0),0,MIN(F141,IF($B$32=0,$B$31/$B$33,PMT($B$32,$B$33,-$B$31)-F142)))</f>
        <v/>
      </c>
      <c r="G143" s="5">
        <f>IF(OR(G136=0,G141&lt;=0),0,MIN(G141,IF($B$32=0,$B$31/$B$33,PMT($B$32,$B$33,-$B$31)-G142)))</f>
        <v/>
      </c>
      <c r="H143" s="5">
        <f>IF(OR(H136=0,H141&lt;=0),0,MIN(H141,IF($B$32=0,$B$31/$B$33,PMT($B$32,$B$33,-$B$31)-H142)))</f>
        <v/>
      </c>
      <c r="I143" s="5">
        <f>IF(OR(I136=0,I141&lt;=0),0,MIN(I141,IF($B$32=0,$B$31/$B$33,PMT($B$32,$B$33,-$B$31)-I142)))</f>
        <v/>
      </c>
      <c r="J143" s="5">
        <f>IF(OR(J136=0,J141&lt;=0),0,MIN(J141,IF($B$32=0,$B$31/$B$33,PMT($B$32,$B$33,-$B$31)-J142)))</f>
        <v/>
      </c>
      <c r="K143" s="5">
        <f>IF(OR(K136=0,K141&lt;=0),0,MIN(K141,IF($B$32=0,$B$31/$B$33,PMT($B$32,$B$33,-$B$31)-K142)))</f>
        <v/>
      </c>
      <c r="L143" s="5">
        <f>IF(OR(L136=0,L141&lt;=0),0,MIN(L141,IF($B$32=0,$B$31/$B$33,PMT($B$32,$B$33,-$B$31)-L142)))</f>
        <v/>
      </c>
    </row>
    <row r="144">
      <c r="A144" t="inlineStr">
        <is>
          <t>Crédit-vendeur — capital fin</t>
        </is>
      </c>
      <c r="C144" s="5">
        <f>C141-C143</f>
        <v/>
      </c>
      <c r="D144" s="5">
        <f>D141-D143</f>
        <v/>
      </c>
      <c r="E144" s="5">
        <f>E141-E143</f>
        <v/>
      </c>
      <c r="F144" s="5">
        <f>F141-F143</f>
        <v/>
      </c>
      <c r="G144" s="5">
        <f>G141-G143</f>
        <v/>
      </c>
      <c r="H144" s="5">
        <f>H141-H143</f>
        <v/>
      </c>
      <c r="I144" s="5">
        <f>I141-I143</f>
        <v/>
      </c>
      <c r="J144" s="5">
        <f>J141-J143</f>
        <v/>
      </c>
      <c r="K144" s="5">
        <f>K141-K143</f>
        <v/>
      </c>
      <c r="L144" s="5">
        <f>L141-L143</f>
        <v/>
      </c>
    </row>
    <row r="145">
      <c r="A145" t="inlineStr">
        <is>
          <t>Obligations — encours</t>
        </is>
      </c>
      <c r="C145" s="5">
        <f>IF(AND(C$88&gt;=$B$5,C$88&lt;=$B$36),$B$34,0)</f>
        <v/>
      </c>
      <c r="D145" s="5">
        <f>IF(AND(D$88&gt;=$B$5,D$88&lt;=$B$36),$B$34,0)</f>
        <v/>
      </c>
      <c r="E145" s="5">
        <f>IF(AND(E$88&gt;=$B$5,E$88&lt;=$B$36),$B$34,0)</f>
        <v/>
      </c>
      <c r="F145" s="5">
        <f>IF(AND(F$88&gt;=$B$5,F$88&lt;=$B$36),$B$34,0)</f>
        <v/>
      </c>
      <c r="G145" s="5">
        <f>IF(AND(G$88&gt;=$B$5,G$88&lt;=$B$36),$B$34,0)</f>
        <v/>
      </c>
      <c r="H145" s="5">
        <f>IF(AND(H$88&gt;=$B$5,H$88&lt;=$B$36),$B$34,0)</f>
        <v/>
      </c>
      <c r="I145" s="5">
        <f>IF(AND(I$88&gt;=$B$5,I$88&lt;=$B$36),$B$34,0)</f>
        <v/>
      </c>
      <c r="J145" s="5">
        <f>IF(AND(J$88&gt;=$B$5,J$88&lt;=$B$36),$B$34,0)</f>
        <v/>
      </c>
      <c r="K145" s="5">
        <f>IF(AND(K$88&gt;=$B$5,K$88&lt;=$B$36),$B$34,0)</f>
        <v/>
      </c>
      <c r="L145" s="5">
        <f>IF(AND(L$88&gt;=$B$5,L$88&lt;=$B$36),$B$34,0)</f>
        <v/>
      </c>
    </row>
    <row r="146">
      <c r="A146" t="inlineStr">
        <is>
          <t xml:space="preserve">  Coupons obligataires</t>
        </is>
      </c>
      <c r="B146" s="5">
        <f>SUM(C146:L146)</f>
        <v/>
      </c>
      <c r="C146" s="5">
        <f>C145*$B$35</f>
        <v/>
      </c>
      <c r="D146" s="5">
        <f>D145*$B$35</f>
        <v/>
      </c>
      <c r="E146" s="5">
        <f>E145*$B$35</f>
        <v/>
      </c>
      <c r="F146" s="5">
        <f>F145*$B$35</f>
        <v/>
      </c>
      <c r="G146" s="5">
        <f>G145*$B$35</f>
        <v/>
      </c>
      <c r="H146" s="5">
        <f>H145*$B$35</f>
        <v/>
      </c>
      <c r="I146" s="5">
        <f>I145*$B$35</f>
        <v/>
      </c>
      <c r="J146" s="5">
        <f>J145*$B$35</f>
        <v/>
      </c>
      <c r="K146" s="5">
        <f>K145*$B$35</f>
        <v/>
      </c>
      <c r="L146" s="5">
        <f>L145*$B$35</f>
        <v/>
      </c>
    </row>
    <row r="147">
      <c r="A147" t="inlineStr">
        <is>
          <t xml:space="preserve">  Remboursement obligations</t>
        </is>
      </c>
      <c r="B147" s="5">
        <f>SUM(C147:L147)</f>
        <v/>
      </c>
      <c r="C147" s="5">
        <f>IF(C$88=$B$36,$B$34,0)</f>
        <v/>
      </c>
      <c r="D147" s="5">
        <f>IF(D$88=$B$36,$B$34,0)</f>
        <v/>
      </c>
      <c r="E147" s="5">
        <f>IF(E$88=$B$36,$B$34,0)</f>
        <v/>
      </c>
      <c r="F147" s="5">
        <f>IF(F$88=$B$36,$B$34,0)</f>
        <v/>
      </c>
      <c r="G147" s="5">
        <f>IF(G$88=$B$36,$B$34,0)</f>
        <v/>
      </c>
      <c r="H147" s="5">
        <f>IF(H$88=$B$36,$B$34,0)</f>
        <v/>
      </c>
      <c r="I147" s="5">
        <f>IF(I$88=$B$36,$B$34,0)</f>
        <v/>
      </c>
      <c r="J147" s="5">
        <f>IF(J$88=$B$36,$B$34,0)</f>
        <v/>
      </c>
      <c r="K147" s="5">
        <f>IF(K$88=$B$36,$B$34,0)</f>
        <v/>
      </c>
      <c r="L147" s="5">
        <f>IF(L$88=$B$36,$B$34,0)</f>
        <v/>
      </c>
    </row>
    <row r="149">
      <c r="A149" t="inlineStr">
        <is>
          <t>Charges financières</t>
        </is>
      </c>
      <c r="B149" s="5">
        <f>SUM(C149:L149)</f>
        <v/>
      </c>
      <c r="C149" s="5">
        <f>-(C138+C142+C146)</f>
        <v/>
      </c>
      <c r="D149" s="5">
        <f>-(D138+D142+D146)</f>
        <v/>
      </c>
      <c r="E149" s="5">
        <f>-(E138+E142+E146)</f>
        <v/>
      </c>
      <c r="F149" s="5">
        <f>-(F138+F142+F146)</f>
        <v/>
      </c>
      <c r="G149" s="5">
        <f>-(G138+G142+G146)</f>
        <v/>
      </c>
      <c r="H149" s="5">
        <f>-(H138+H142+H146)</f>
        <v/>
      </c>
      <c r="I149" s="5">
        <f>-(I138+I142+I146)</f>
        <v/>
      </c>
      <c r="J149" s="5">
        <f>-(J138+J142+J146)</f>
        <v/>
      </c>
      <c r="K149" s="5">
        <f>-(K138+K142+K146)</f>
        <v/>
      </c>
      <c r="L149" s="5">
        <f>-(L138+L142+L146)</f>
        <v/>
      </c>
    </row>
    <row r="150">
      <c r="A150" s="4" t="inlineStr">
        <is>
          <t>Résultat avant impôt</t>
        </is>
      </c>
      <c r="B150" s="18">
        <f>SUM(C150:L150)</f>
        <v/>
      </c>
      <c r="C150" s="18">
        <f>C132+C149+C125</f>
        <v/>
      </c>
      <c r="D150" s="18">
        <f>D132+D149+D125</f>
        <v/>
      </c>
      <c r="E150" s="18">
        <f>E132+E149+E125</f>
        <v/>
      </c>
      <c r="F150" s="18">
        <f>F132+F149+F125</f>
        <v/>
      </c>
      <c r="G150" s="18">
        <f>G132+G149+G125</f>
        <v/>
      </c>
      <c r="H150" s="18">
        <f>H132+H149+H125</f>
        <v/>
      </c>
      <c r="I150" s="18">
        <f>I132+I149+I125</f>
        <v/>
      </c>
      <c r="J150" s="18">
        <f>J132+J149+J125</f>
        <v/>
      </c>
      <c r="K150" s="18">
        <f>K132+K149+K125</f>
        <v/>
      </c>
      <c r="L150" s="18">
        <f>L132+L149+L125</f>
        <v/>
      </c>
    </row>
    <row r="151">
      <c r="A151" t="inlineStr">
        <is>
          <t>Stock de déficits reportables (fin d'année)</t>
        </is>
      </c>
      <c r="C151" s="5">
        <f>MAX(0,-C150)</f>
        <v/>
      </c>
      <c r="D151" s="5">
        <f>MAX(0,C151-D150)</f>
        <v/>
      </c>
      <c r="E151" s="5">
        <f>MAX(0,D151-E150)</f>
        <v/>
      </c>
      <c r="F151" s="5">
        <f>MAX(0,E151-F150)</f>
        <v/>
      </c>
      <c r="G151" s="5">
        <f>MAX(0,F151-G150)</f>
        <v/>
      </c>
      <c r="H151" s="5">
        <f>MAX(0,G151-H150)</f>
        <v/>
      </c>
      <c r="I151" s="5">
        <f>MAX(0,H151-I150)</f>
        <v/>
      </c>
      <c r="J151" s="5">
        <f>MAX(0,I151-J150)</f>
        <v/>
      </c>
      <c r="K151" s="5">
        <f>MAX(0,J151-K150)</f>
        <v/>
      </c>
      <c r="L151" s="5">
        <f>MAX(0,K151-L150)</f>
        <v/>
      </c>
    </row>
    <row r="152">
      <c r="A152" t="inlineStr">
        <is>
          <t>Impôt sur les sociétés</t>
        </is>
      </c>
      <c r="B152" s="5">
        <f>SUM(C152:L152)</f>
        <v/>
      </c>
      <c r="C152" s="5">
        <f>-MAX(0,C150)*$B$59</f>
        <v/>
      </c>
      <c r="D152" s="5">
        <f>-MAX(0,D150-C151)*$B$59</f>
        <v/>
      </c>
      <c r="E152" s="5">
        <f>-MAX(0,E150-D151)*$B$59</f>
        <v/>
      </c>
      <c r="F152" s="5">
        <f>-MAX(0,F150-E151)*$B$59</f>
        <v/>
      </c>
      <c r="G152" s="5">
        <f>-MAX(0,G150-F151)*$B$59</f>
        <v/>
      </c>
      <c r="H152" s="5">
        <f>-MAX(0,H150-G151)*$B$59</f>
        <v/>
      </c>
      <c r="I152" s="5">
        <f>-MAX(0,I150-H151)*$B$59</f>
        <v/>
      </c>
      <c r="J152" s="5">
        <f>-MAX(0,J150-I151)*$B$59</f>
        <v/>
      </c>
      <c r="K152" s="5">
        <f>-MAX(0,K150-J151)*$B$59</f>
        <v/>
      </c>
      <c r="L152" s="5">
        <f>-MAX(0,L150-K151)*$B$59</f>
        <v/>
      </c>
    </row>
    <row r="153">
      <c r="A153" s="4" t="inlineStr">
        <is>
          <t>Résultat net</t>
        </is>
      </c>
      <c r="B153" s="18">
        <f>SUM(C153:L153)</f>
        <v/>
      </c>
      <c r="C153" s="18">
        <f>C150+C152</f>
        <v/>
      </c>
      <c r="D153" s="18">
        <f>D150+D152</f>
        <v/>
      </c>
      <c r="E153" s="18">
        <f>E150+E152</f>
        <v/>
      </c>
      <c r="F153" s="18">
        <f>F150+F152</f>
        <v/>
      </c>
      <c r="G153" s="18">
        <f>G150+G152</f>
        <v/>
      </c>
      <c r="H153" s="18">
        <f>H150+H152</f>
        <v/>
      </c>
      <c r="I153" s="18">
        <f>I150+I152</f>
        <v/>
      </c>
      <c r="J153" s="18">
        <f>J150+J152</f>
        <v/>
      </c>
      <c r="K153" s="18">
        <f>K150+K152</f>
        <v/>
      </c>
      <c r="L153" s="18">
        <f>L150+L152</f>
        <v/>
      </c>
    </row>
    <row r="155">
      <c r="A155" s="4" t="inlineStr">
        <is>
          <t>Tableau des flux de trésorerie</t>
        </is>
      </c>
    </row>
    <row r="156">
      <c r="A156" t="inlineStr">
        <is>
          <t>BFR (niveau)</t>
        </is>
      </c>
      <c r="C156" s="5">
        <f>C105*$B$58</f>
        <v/>
      </c>
      <c r="D156" s="5">
        <f>D105*$B$58</f>
        <v/>
      </c>
      <c r="E156" s="5">
        <f>E105*$B$58</f>
        <v/>
      </c>
      <c r="F156" s="5">
        <f>F105*$B$58</f>
        <v/>
      </c>
      <c r="G156" s="5">
        <f>G105*$B$58</f>
        <v/>
      </c>
      <c r="H156" s="5">
        <f>H105*$B$58</f>
        <v/>
      </c>
      <c r="I156" s="5">
        <f>I105*$B$58</f>
        <v/>
      </c>
      <c r="J156" s="5">
        <f>J105*$B$58</f>
        <v/>
      </c>
      <c r="K156" s="5">
        <f>K105*$B$58</f>
        <v/>
      </c>
      <c r="L156" s="5">
        <f>L105*$B$58</f>
        <v/>
      </c>
    </row>
    <row r="157">
      <c r="A157" t="inlineStr">
        <is>
          <t>Variation du BFR</t>
        </is>
      </c>
      <c r="B157" s="5">
        <f>SUM(C157:L157)</f>
        <v/>
      </c>
      <c r="C157" s="5">
        <f>-C156</f>
        <v/>
      </c>
      <c r="D157" s="5">
        <f>-(D156-C156)</f>
        <v/>
      </c>
      <c r="E157" s="5">
        <f>-(E156-D156)</f>
        <v/>
      </c>
      <c r="F157" s="5">
        <f>-(F156-E156)</f>
        <v/>
      </c>
      <c r="G157" s="5">
        <f>-(G156-F156)</f>
        <v/>
      </c>
      <c r="H157" s="5">
        <f>-(H156-G156)</f>
        <v/>
      </c>
      <c r="I157" s="5">
        <f>-(I156-H156)</f>
        <v/>
      </c>
      <c r="J157" s="5">
        <f>-(J156-I156)</f>
        <v/>
      </c>
      <c r="K157" s="5">
        <f>-(K156-J156)</f>
        <v/>
      </c>
      <c r="L157" s="5">
        <f>-(L156-K156)</f>
        <v/>
      </c>
    </row>
    <row r="158">
      <c r="A158" s="4" t="inlineStr">
        <is>
          <t>Flux d'exploitation (EBITDA + loyer privé − IS − ΔBFR)</t>
        </is>
      </c>
      <c r="B158" s="18">
        <f>SUM(C158:L158)</f>
        <v/>
      </c>
      <c r="C158" s="18">
        <f>C124+C125+C152+C157</f>
        <v/>
      </c>
      <c r="D158" s="18">
        <f>D124+D125+D152+D157</f>
        <v/>
      </c>
      <c r="E158" s="18">
        <f>E124+E125+E152+E157</f>
        <v/>
      </c>
      <c r="F158" s="18">
        <f>F124+F125+F152+F157</f>
        <v/>
      </c>
      <c r="G158" s="18">
        <f>G124+G125+G152+G157</f>
        <v/>
      </c>
      <c r="H158" s="18">
        <f>H124+H125+H152+H157</f>
        <v/>
      </c>
      <c r="I158" s="18">
        <f>I124+I125+I152+I157</f>
        <v/>
      </c>
      <c r="J158" s="18">
        <f>J124+J125+J152+J157</f>
        <v/>
      </c>
      <c r="K158" s="18">
        <f>K124+K125+K152+K157</f>
        <v/>
      </c>
      <c r="L158" s="18">
        <f>L124+L125+L152+L157</f>
        <v/>
      </c>
    </row>
    <row r="159">
      <c r="A159" s="4" t="inlineStr">
        <is>
          <t>Flux d'investissement</t>
        </is>
      </c>
      <c r="B159" s="18">
        <f>SUM(C159:L159)</f>
        <v/>
      </c>
      <c r="C159" s="18">
        <f>-(C128+C127+C129)</f>
        <v/>
      </c>
      <c r="D159" s="18">
        <f>-(D128+D127+D129)</f>
        <v/>
      </c>
      <c r="E159" s="18">
        <f>-(E128+E127+E129)</f>
        <v/>
      </c>
      <c r="F159" s="18">
        <f>-(F128+F127+F129)</f>
        <v/>
      </c>
      <c r="G159" s="18">
        <f>-(G128+G127+G129)</f>
        <v/>
      </c>
      <c r="H159" s="18">
        <f>-(H128+H127+H129)</f>
        <v/>
      </c>
      <c r="I159" s="18">
        <f>-(I128+I127+I129)</f>
        <v/>
      </c>
      <c r="J159" s="18">
        <f>-(J128+J127+J129)</f>
        <v/>
      </c>
      <c r="K159" s="18">
        <f>-(K128+K127+K129)</f>
        <v/>
      </c>
      <c r="L159" s="18">
        <f>-(L128+L127+L129)</f>
        <v/>
      </c>
    </row>
    <row r="160">
      <c r="A160" t="inlineStr">
        <is>
          <t xml:space="preserve">  Apports en fonds propres + subventions</t>
        </is>
      </c>
      <c r="B160" s="5">
        <f>SUM(C160:L160)</f>
        <v/>
      </c>
      <c r="C160" s="5">
        <f>IF(C$88=1,$B$23,0)+IF(C$88=$B$5,$B$24*(1-$B$49)+$B$26,0)</f>
        <v/>
      </c>
      <c r="D160" s="5">
        <f>IF(D$88=1,$B$23,0)+IF(D$88=$B$5,$B$24*(1-$B$49)+$B$26,0)</f>
        <v/>
      </c>
      <c r="E160" s="5">
        <f>IF(E$88=1,$B$23,0)+IF(E$88=$B$5,$B$24*(1-$B$49)+$B$26,0)</f>
        <v/>
      </c>
      <c r="F160" s="5">
        <f>IF(F$88=1,$B$23,0)+IF(F$88=$B$5,$B$24*(1-$B$49)+$B$26,0)</f>
        <v/>
      </c>
      <c r="G160" s="5">
        <f>IF(G$88=1,$B$23,0)+IF(G$88=$B$5,$B$24*(1-$B$49)+$B$26,0)</f>
        <v/>
      </c>
      <c r="H160" s="5">
        <f>IF(H$88=1,$B$23,0)+IF(H$88=$B$5,$B$24*(1-$B$49)+$B$26,0)</f>
        <v/>
      </c>
      <c r="I160" s="5">
        <f>IF(I$88=1,$B$23,0)+IF(I$88=$B$5,$B$24*(1-$B$49)+$B$26,0)</f>
        <v/>
      </c>
      <c r="J160" s="5">
        <f>IF(J$88=1,$B$23,0)+IF(J$88=$B$5,$B$24*(1-$B$49)+$B$26,0)</f>
        <v/>
      </c>
      <c r="K160" s="5">
        <f>IF(K$88=1,$B$23,0)+IF(K$88=$B$5,$B$24*(1-$B$49)+$B$26,0)</f>
        <v/>
      </c>
      <c r="L160" s="5">
        <f>IF(L$88=1,$B$23,0)+IF(L$88=$B$5,$B$24*(1-$B$49)+$B$26,0)</f>
        <v/>
      </c>
    </row>
    <row r="161">
      <c r="A161" t="inlineStr">
        <is>
          <t xml:space="preserve">  Tirages dette + crédit-vendeur + obligations</t>
        </is>
      </c>
      <c r="B161" s="5">
        <f>SUM(C161:L161)</f>
        <v/>
      </c>
      <c r="C161" s="5">
        <f>IF(C$88=$B$5,$B$27+$B$31+$B$34,0)</f>
        <v/>
      </c>
      <c r="D161" s="5">
        <f>IF(D$88=$B$5,$B$27+$B$31+$B$34,0)</f>
        <v/>
      </c>
      <c r="E161" s="5">
        <f>IF(E$88=$B$5,$B$27+$B$31+$B$34,0)</f>
        <v/>
      </c>
      <c r="F161" s="5">
        <f>IF(F$88=$B$5,$B$27+$B$31+$B$34,0)</f>
        <v/>
      </c>
      <c r="G161" s="5">
        <f>IF(G$88=$B$5,$B$27+$B$31+$B$34,0)</f>
        <v/>
      </c>
      <c r="H161" s="5">
        <f>IF(H$88=$B$5,$B$27+$B$31+$B$34,0)</f>
        <v/>
      </c>
      <c r="I161" s="5">
        <f>IF(I$88=$B$5,$B$27+$B$31+$B$34,0)</f>
        <v/>
      </c>
      <c r="J161" s="5">
        <f>IF(J$88=$B$5,$B$27+$B$31+$B$34,0)</f>
        <v/>
      </c>
      <c r="K161" s="5">
        <f>IF(K$88=$B$5,$B$27+$B$31+$B$34,0)</f>
        <v/>
      </c>
      <c r="L161" s="5">
        <f>IF(L$88=$B$5,$B$27+$B$31+$B$34,0)</f>
        <v/>
      </c>
    </row>
    <row r="162">
      <c r="A162" t="inlineStr">
        <is>
          <t xml:space="preserve">  Service de la dette (intérêts + capital + coupons + rembt obligations)</t>
        </is>
      </c>
      <c r="B162" s="5">
        <f>SUM(C162:L162)</f>
        <v/>
      </c>
      <c r="C162" s="5">
        <f>-(C138+C139+C142+C143+C146+C147)</f>
        <v/>
      </c>
      <c r="D162" s="5">
        <f>-(D138+D139+D142+D143+D146+D147)</f>
        <v/>
      </c>
      <c r="E162" s="5">
        <f>-(E138+E139+E142+E143+E146+E147)</f>
        <v/>
      </c>
      <c r="F162" s="5">
        <f>-(F138+F139+F142+F143+F146+F147)</f>
        <v/>
      </c>
      <c r="G162" s="5">
        <f>-(G138+G139+G142+G143+G146+G147)</f>
        <v/>
      </c>
      <c r="H162" s="5">
        <f>-(H138+H139+H142+H143+H146+H147)</f>
        <v/>
      </c>
      <c r="I162" s="5">
        <f>-(I138+I139+I142+I143+I146+I147)</f>
        <v/>
      </c>
      <c r="J162" s="5">
        <f>-(J138+J139+J142+J143+J146+J147)</f>
        <v/>
      </c>
      <c r="K162" s="5">
        <f>-(K138+K139+K142+K143+K146+K147)</f>
        <v/>
      </c>
      <c r="L162" s="5">
        <f>-(L138+L139+L142+L143+L146+L147)</f>
        <v/>
      </c>
    </row>
    <row r="163">
      <c r="A163" s="4" t="inlineStr">
        <is>
          <t>Flux de financement</t>
        </is>
      </c>
      <c r="B163" s="18">
        <f>SUM(C163:L163)</f>
        <v/>
      </c>
      <c r="C163" s="18">
        <f>C160+C161+C162</f>
        <v/>
      </c>
      <c r="D163" s="18">
        <f>D160+D161+D162</f>
        <v/>
      </c>
      <c r="E163" s="18">
        <f>E160+E161+E162</f>
        <v/>
      </c>
      <c r="F163" s="18">
        <f>F160+F161+F162</f>
        <v/>
      </c>
      <c r="G163" s="18">
        <f>G160+G161+G162</f>
        <v/>
      </c>
      <c r="H163" s="18">
        <f>H160+H161+H162</f>
        <v/>
      </c>
      <c r="I163" s="18">
        <f>I160+I161+I162</f>
        <v/>
      </c>
      <c r="J163" s="18">
        <f>J160+J161+J162</f>
        <v/>
      </c>
      <c r="K163" s="18">
        <f>K160+K161+K162</f>
        <v/>
      </c>
      <c r="L163" s="18">
        <f>L160+L161+L162</f>
        <v/>
      </c>
    </row>
    <row r="164">
      <c r="A164" s="4" t="inlineStr">
        <is>
          <t>Variation de trésorerie</t>
        </is>
      </c>
      <c r="B164" s="18">
        <f>SUM(C164:L164)</f>
        <v/>
      </c>
      <c r="C164" s="18">
        <f>C158+C159+C163</f>
        <v/>
      </c>
      <c r="D164" s="18">
        <f>D158+D159+D163</f>
        <v/>
      </c>
      <c r="E164" s="18">
        <f>E158+E159+E163</f>
        <v/>
      </c>
      <c r="F164" s="18">
        <f>F158+F159+F163</f>
        <v/>
      </c>
      <c r="G164" s="18">
        <f>G158+G159+G163</f>
        <v/>
      </c>
      <c r="H164" s="18">
        <f>H158+H159+H163</f>
        <v/>
      </c>
      <c r="I164" s="18">
        <f>I158+I159+I163</f>
        <v/>
      </c>
      <c r="J164" s="18">
        <f>J158+J159+J163</f>
        <v/>
      </c>
      <c r="K164" s="18">
        <f>K158+K159+K163</f>
        <v/>
      </c>
      <c r="L164" s="18">
        <f>L158+L159+L163</f>
        <v/>
      </c>
    </row>
    <row r="165">
      <c r="A165" s="4" t="inlineStr">
        <is>
          <t>Trésorerie fin d'année</t>
        </is>
      </c>
      <c r="C165" s="18">
        <f>C164</f>
        <v/>
      </c>
      <c r="D165" s="18">
        <f>C165+D164</f>
        <v/>
      </c>
      <c r="E165" s="18">
        <f>D165+E164</f>
        <v/>
      </c>
      <c r="F165" s="18">
        <f>E165+F164</f>
        <v/>
      </c>
      <c r="G165" s="18">
        <f>F165+G164</f>
        <v/>
      </c>
      <c r="H165" s="18">
        <f>G165+H164</f>
        <v/>
      </c>
      <c r="I165" s="18">
        <f>H165+I164</f>
        <v/>
      </c>
      <c r="J165" s="18">
        <f>I165+J164</f>
        <v/>
      </c>
      <c r="K165" s="18">
        <f>J165+K164</f>
        <v/>
      </c>
      <c r="L165" s="18">
        <f>K165+L164</f>
        <v/>
      </c>
    </row>
    <row r="166">
      <c r="A166" t="inlineStr">
        <is>
          <t>Cash-flow libre d'exploitation (CFO − gros entretien − service dette hors obligations in fine)</t>
        </is>
      </c>
      <c r="B166" s="5">
        <f>SUM(C166:L166)</f>
        <v/>
      </c>
      <c r="C166" s="5">
        <f>C158-C129-(C138+C139+C142+C143+C146)</f>
        <v/>
      </c>
      <c r="D166" s="5">
        <f>D158-D129-(D138+D139+D142+D143+D146)</f>
        <v/>
      </c>
      <c r="E166" s="5">
        <f>E158-E129-(E138+E139+E142+E143+E146)</f>
        <v/>
      </c>
      <c r="F166" s="5">
        <f>F158-F129-(F138+F139+F142+F143+F146)</f>
        <v/>
      </c>
      <c r="G166" s="5">
        <f>G158-G129-(G138+G139+G142+G143+G146)</f>
        <v/>
      </c>
      <c r="H166" s="5">
        <f>H158-H129-(H138+H139+H142+H143+H146)</f>
        <v/>
      </c>
      <c r="I166" s="5">
        <f>I158-I129-(I138+I139+I142+I143+I146)</f>
        <v/>
      </c>
      <c r="J166" s="5">
        <f>J158-J129-(J138+J139+J142+J143+J146)</f>
        <v/>
      </c>
      <c r="K166" s="5">
        <f>K158-K129-(K138+K139+K142+K143+K146)</f>
        <v/>
      </c>
      <c r="L166" s="5">
        <f>L158-L129-(L138+L139+L142+L143+L146)</f>
        <v/>
      </c>
    </row>
    <row r="167">
      <c r="A167" t="inlineStr">
        <is>
          <t>DSCR ((EBITDA + loyer privé − IS − gros entretien) / service de la dette)</t>
        </is>
      </c>
      <c r="C167" s="7">
        <f>IF((C138+C139+C142+C143+C146)=0,"",(C124+C125+C152-C129)/(C138+C139+C142+C143+C146))</f>
        <v/>
      </c>
      <c r="D167" s="7">
        <f>IF((D138+D139+D142+D143+D146)=0,"",(D124+D125+D152-D129)/(D138+D139+D142+D143+D146))</f>
        <v/>
      </c>
      <c r="E167" s="7">
        <f>IF((E138+E139+E142+E143+E146)=0,"",(E124+E125+E152-E129)/(E138+E139+E142+E143+E146))</f>
        <v/>
      </c>
      <c r="F167" s="7">
        <f>IF((F138+F139+F142+F143+F146)=0,"",(F124+F125+F152-F129)/(F138+F139+F142+F143+F146))</f>
        <v/>
      </c>
      <c r="G167" s="7">
        <f>IF((G138+G139+G142+G143+G146)=0,"",(G124+G125+G152-G129)/(G138+G139+G142+G143+G146))</f>
        <v/>
      </c>
      <c r="H167" s="7">
        <f>IF((H138+H139+H142+H143+H146)=0,"",(H124+H125+H152-H129)/(H138+H139+H142+H143+H146))</f>
        <v/>
      </c>
      <c r="I167" s="7">
        <f>IF((I138+I139+I142+I143+I146)=0,"",(I124+I125+I152-I129)/(I138+I139+I142+I143+I146))</f>
        <v/>
      </c>
      <c r="J167" s="7">
        <f>IF((J138+J139+J142+J143+J146)=0,"",(J124+J125+J152-J129)/(J138+J139+J142+J143+J146))</f>
        <v/>
      </c>
      <c r="K167" s="7">
        <f>IF((K138+K139+K142+K143+K146)=0,"",(K124+K125+K152-K129)/(K138+K139+K142+K143+K146))</f>
        <v/>
      </c>
      <c r="L167" s="7">
        <f>IF((L138+L139+L142+L143+L146)=0,"",(L124+L125+L152-L129)/(L138+L139+L142+L143+L146))</f>
        <v/>
      </c>
    </row>
    <row r="169">
      <c r="A169" s="4" t="inlineStr">
        <is>
          <t>Rentabilité des investisseurs et contrôle</t>
        </is>
      </c>
    </row>
    <row r="170">
      <c r="A170" t="inlineStr">
        <is>
          <t>Dettes financières totales fin d'année</t>
        </is>
      </c>
      <c r="C170" s="5">
        <f>C140+C144+C145-C147</f>
        <v/>
      </c>
      <c r="D170" s="5">
        <f>D140+D144+D145-D147</f>
        <v/>
      </c>
      <c r="E170" s="5">
        <f>E140+E144+E145-E147</f>
        <v/>
      </c>
      <c r="F170" s="5">
        <f>F140+F144+F145-F147</f>
        <v/>
      </c>
      <c r="G170" s="5">
        <f>G140+G144+G145-G147</f>
        <v/>
      </c>
      <c r="H170" s="5">
        <f>H140+H144+H145-H147</f>
        <v/>
      </c>
      <c r="I170" s="5">
        <f>I140+I144+I145-I147</f>
        <v/>
      </c>
      <c r="J170" s="5">
        <f>J140+J144+J145-J147</f>
        <v/>
      </c>
      <c r="K170" s="5">
        <f>K140+K144+K145-K147</f>
        <v/>
      </c>
      <c r="L170" s="5">
        <f>L140+L144+L145-L147</f>
        <v/>
      </c>
    </row>
    <row r="171">
      <c r="A171" t="inlineStr">
        <is>
          <t>Valeur estimée de l'actif (si cédé cette année)</t>
        </is>
      </c>
      <c r="C171" s="5">
        <f>C94*($B$7+C130)*$B$17*(1-$B$19)</f>
        <v/>
      </c>
      <c r="D171" s="5">
        <f>D94*($B$7+D130)*$B$17*(1-$B$19)</f>
        <v/>
      </c>
      <c r="E171" s="5">
        <f>E94*($B$7+E130)*$B$17*(1-$B$19)</f>
        <v/>
      </c>
      <c r="F171" s="5">
        <f>F94*($B$7+F130)*$B$17*(1-$B$19)</f>
        <v/>
      </c>
      <c r="G171" s="5">
        <f>G94*($B$7+G130)*$B$17*(1-$B$19)</f>
        <v/>
      </c>
      <c r="H171" s="5">
        <f>H94*($B$7+H130)*$B$17*(1-$B$19)</f>
        <v/>
      </c>
      <c r="I171" s="5">
        <f>I94*($B$7+I130)*$B$17*(1-$B$19)</f>
        <v/>
      </c>
      <c r="J171" s="5">
        <f>J94*($B$7+J130)*$B$17*(1-$B$19)</f>
        <v/>
      </c>
      <c r="K171" s="5">
        <f>K94*($B$7+K130)*$B$17*(1-$B$19)</f>
        <v/>
      </c>
      <c r="L171" s="5">
        <f>L94*($B$7+L130)*$B$17*(1-$B$19)</f>
        <v/>
      </c>
    </row>
    <row r="172">
      <c r="A172" t="inlineStr">
        <is>
          <t>Valeur des fonds propres (actif + trésorerie − dettes)</t>
        </is>
      </c>
      <c r="C172" s="5">
        <f>C171+C165-C170</f>
        <v/>
      </c>
      <c r="D172" s="5">
        <f>D171+D165-D170</f>
        <v/>
      </c>
      <c r="E172" s="5">
        <f>E171+E165-E170</f>
        <v/>
      </c>
      <c r="F172" s="5">
        <f>F171+F165-F170</f>
        <v/>
      </c>
      <c r="G172" s="5">
        <f>G171+G165-G170</f>
        <v/>
      </c>
      <c r="H172" s="5">
        <f>H171+H165-H170</f>
        <v/>
      </c>
      <c r="I172" s="5">
        <f>I171+I165-I170</f>
        <v/>
      </c>
      <c r="J172" s="5">
        <f>J171+J165-J170</f>
        <v/>
      </c>
      <c r="K172" s="5">
        <f>K171+K165-K170</f>
        <v/>
      </c>
      <c r="L172" s="5">
        <f>L171+L165-L170</f>
        <v/>
      </c>
    </row>
    <row r="173">
      <c r="A173" t="inlineStr">
        <is>
          <t>Flux des investisseurs (entrée an d'acq., sortie an 10)</t>
        </is>
      </c>
      <c r="B173" s="5">
        <f>SUM(C173:L173)</f>
        <v/>
      </c>
      <c r="C173" s="5">
        <f>-IF(C$88=$B$5,$B$24*(1-$B$49)*(1-$B$25),0)</f>
        <v/>
      </c>
      <c r="D173" s="5">
        <f>-IF(D$88=$B$5,$B$24*(1-$B$49)*(1-$B$25),0)</f>
        <v/>
      </c>
      <c r="E173" s="5">
        <f>-IF(E$88=$B$5,$B$24*(1-$B$49)*(1-$B$25),0)</f>
        <v/>
      </c>
      <c r="F173" s="5">
        <f>-IF(F$88=$B$5,$B$24*(1-$B$49)*(1-$B$25),0)</f>
        <v/>
      </c>
      <c r="G173" s="5">
        <f>-IF(G$88=$B$5,$B$24*(1-$B$49)*(1-$B$25),0)</f>
        <v/>
      </c>
      <c r="H173" s="5">
        <f>-IF(H$88=$B$5,$B$24*(1-$B$49)*(1-$B$25),0)</f>
        <v/>
      </c>
      <c r="I173" s="5">
        <f>-IF(I$88=$B$5,$B$24*(1-$B$49)*(1-$B$25),0)</f>
        <v/>
      </c>
      <c r="J173" s="5">
        <f>-IF(J$88=$B$5,$B$24*(1-$B$49)*(1-$B$25),0)</f>
        <v/>
      </c>
      <c r="K173" s="5">
        <f>-IF(K$88=$B$5,$B$24*(1-$B$49)*(1-$B$25),0)</f>
        <v/>
      </c>
      <c r="L173" s="5">
        <f>-IF(L$88=$B$5,$B$24*(1-$B$49)*(1-$B$25),0)+MAX(0,L172)*(1-$B$42)</f>
        <v/>
      </c>
    </row>
    <row r="174">
      <c r="A174" t="inlineStr">
        <is>
          <t>Flux du fondateur et de sa holding (apports, sortie théorique an 10)</t>
        </is>
      </c>
      <c r="B174" s="5">
        <f>SUM(C174:L174)</f>
        <v/>
      </c>
      <c r="C174" s="5">
        <f>-IF(C$88=1,$B$23,0)-IF(C$88=$B$5,$B$24*(1-$B$49)*$B$25,0)</f>
        <v/>
      </c>
      <c r="D174" s="5">
        <f>-IF(D$88=1,$B$23,0)-IF(D$88=$B$5,$B$24*(1-$B$49)*$B$25,0)</f>
        <v/>
      </c>
      <c r="E174" s="5">
        <f>-IF(E$88=1,$B$23,0)-IF(E$88=$B$5,$B$24*(1-$B$49)*$B$25,0)</f>
        <v/>
      </c>
      <c r="F174" s="5">
        <f>-IF(F$88=1,$B$23,0)-IF(F$88=$B$5,$B$24*(1-$B$49)*$B$25,0)</f>
        <v/>
      </c>
      <c r="G174" s="5">
        <f>-IF(G$88=1,$B$23,0)-IF(G$88=$B$5,$B$24*(1-$B$49)*$B$25,0)</f>
        <v/>
      </c>
      <c r="H174" s="5">
        <f>-IF(H$88=1,$B$23,0)-IF(H$88=$B$5,$B$24*(1-$B$49)*$B$25,0)</f>
        <v/>
      </c>
      <c r="I174" s="5">
        <f>-IF(I$88=1,$B$23,0)-IF(I$88=$B$5,$B$24*(1-$B$49)*$B$25,0)</f>
        <v/>
      </c>
      <c r="J174" s="5">
        <f>-IF(J$88=1,$B$23,0)-IF(J$88=$B$5,$B$24*(1-$B$49)*$B$25,0)</f>
        <v/>
      </c>
      <c r="K174" s="5">
        <f>-IF(K$88=1,$B$23,0)-IF(K$88=$B$5,$B$24*(1-$B$49)*$B$25,0)</f>
        <v/>
      </c>
      <c r="L174" s="5">
        <f>-IF(L$88=1,$B$23,0)-IF(L$88=$B$5,$B$24*(1-$B$49)*$B$25,0)+MAX(0,L172)*$B$42</f>
        <v/>
      </c>
    </row>
    <row r="176">
      <c r="A176" s="10" t="inlineStr">
        <is>
          <t>8. Indicateurs clés</t>
        </is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</row>
    <row r="177">
      <c r="A177" t="inlineStr">
        <is>
          <t>Emplois totaux (acq. + frais + travaux initiaux)</t>
        </is>
      </c>
      <c r="B177" s="18">
        <f>$B$7*(1+$B$8)+SUM(C127:L127)</f>
        <v/>
      </c>
    </row>
    <row r="178">
      <c r="A178" t="inlineStr">
        <is>
          <t>Ressources externes et apports prévus</t>
        </is>
      </c>
      <c r="B178" s="18">
        <f>$B$23+$B$24*(1-$B$49)+$B$26+$B$27+$B$31+$B$34</f>
        <v/>
      </c>
    </row>
    <row r="179">
      <c r="A179" t="inlineStr">
        <is>
          <t>CA année 5</t>
        </is>
      </c>
      <c r="B179" s="18">
        <f>G105</f>
        <v/>
      </c>
    </row>
    <row r="180">
      <c r="A180" t="inlineStr">
        <is>
          <t>EBITDA année 5</t>
        </is>
      </c>
      <c r="B180" s="18">
        <f>G124</f>
        <v/>
      </c>
    </row>
    <row r="181">
      <c r="A181" t="inlineStr">
        <is>
          <t>EBITDA année 10</t>
        </is>
      </c>
      <c r="B181" s="18">
        <f>L124</f>
        <v/>
      </c>
    </row>
    <row r="182">
      <c r="A182" t="inlineStr">
        <is>
          <t>Part équestre du CA année 5</t>
        </is>
      </c>
      <c r="B182" s="14">
        <f>G107</f>
        <v/>
      </c>
    </row>
    <row r="183">
      <c r="A183" t="inlineStr">
        <is>
          <t>Trésorerie minimale sur 10 ans</t>
        </is>
      </c>
      <c r="B183" s="18">
        <f>MIN(C165:L165)</f>
        <v/>
      </c>
    </row>
    <row r="184">
      <c r="A184" t="inlineStr">
        <is>
          <t>Trésorerie fin année 10</t>
        </is>
      </c>
      <c r="B184" s="18">
        <f>L165</f>
        <v/>
      </c>
    </row>
    <row r="185">
      <c r="A185" t="inlineStr">
        <is>
          <t>DSCR minimal (à partir de la 2e année d'exploitation)</t>
        </is>
      </c>
      <c r="B185" s="19">
        <f>IF(COUNTIFS(C167:L167,"&gt;-1E+300",C90:L90,"&gt;=2")=0,"n/a",_xlfn.MINIFS(C167:L167,C90:L90,"&gt;=2"))</f>
        <v/>
      </c>
    </row>
    <row r="186">
      <c r="A186" t="inlineStr">
        <is>
          <t>Nb d'années à cash-flow libre d'exploitation négatif (à partir de la 2e année d'exploitation)</t>
        </is>
      </c>
      <c r="B186" s="20">
        <f>COUNTIFS(C166:L166,"&lt;0",C90:L90,"&gt;=2")</f>
        <v/>
      </c>
    </row>
    <row r="187">
      <c r="A187" t="inlineStr">
        <is>
          <t>TRI investisseurs (sortie théorique an 10)</t>
        </is>
      </c>
      <c r="B187" s="14">
        <f>IF($B$24*(1-$B$25)=0,"sans objet",IFERROR(IRR(C173:L173,-0.05),"perte quasi totale (TRI non calculable)"))</f>
        <v/>
      </c>
    </row>
    <row r="188">
      <c r="A188" t="inlineStr">
        <is>
          <t>TRI fondateur (sortie théorique an 10)</t>
        </is>
      </c>
      <c r="B188" s="14">
        <f>IFERROR(IRR(C174:L174,-0.05),"perte quasi totale (TRI non calculable)")</f>
        <v/>
      </c>
    </row>
    <row r="189">
      <c r="A189" t="inlineStr">
        <is>
          <t>Dette bancaire soutenable estimée (DSCR 1,2 sur (EBITDA − gros entretien) an 10, taux et durée du scénario)</t>
        </is>
      </c>
      <c r="B189" s="18">
        <f>MAX(0,PV($B$28,$B$29,-(L124+L125-L129)/1.2))</f>
        <v/>
      </c>
    </row>
    <row r="190">
      <c r="A190" t="inlineStr">
        <is>
          <t>Fonds propres nécessaires (emplois + réserve + pertes d'exploitation cumulées − dette soutenable)</t>
        </is>
      </c>
      <c r="B190" s="18">
        <f>$B$7*(1+$B$8)+SUM(C127:L127)+$B$39-SUMIF(C158:L158,"&lt;0")-$B$189</f>
        <v/>
      </c>
    </row>
    <row r="191">
      <c r="A191" t="inlineStr">
        <is>
          <t>Part du capital du fondateur</t>
        </is>
      </c>
      <c r="B191" s="14">
        <f>$B$42</f>
        <v/>
      </c>
    </row>
    <row r="192">
      <c r="A192" t="inlineStr">
        <is>
          <t>Droits de vote du fondateur</t>
        </is>
      </c>
      <c r="B192" s="14">
        <f>$B$38</f>
        <v/>
      </c>
    </row>
    <row r="193">
      <c r="A193" s="4" t="inlineStr">
        <is>
          <t>Verdict (trésorerie ≥ 0 et ≥ réserve an 10, DSCR ≥ 1,2, cash-flow libre ≥ 0 dès la 2e année d'exploitation, TRI investisseurs extérieurs ≥ cible, dirigeant payé)</t>
        </is>
      </c>
      <c r="B193" s="4">
        <f>IF($B$183&lt;0,"NON VIABLE (trésorerie négative)",IF(AND($B$184&gt;=$B$39,OR($B$185="n/a",$B$185&gt;=1.2),$B$186=0),IF(NOT(OR($B$187="sans objet",AND(ISNUMBER($B$187),N($B$187)&gt;=$B$40))),"FRAGILE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B — Château multiactivité — cas optimiste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0.6</v>
      </c>
      <c r="C53" t="inlineStr">
        <is>
          <t>%</t>
        </is>
      </c>
      <c r="D53" t="inlineStr">
        <is>
          <t>Cas optimiste</t>
        </is>
      </c>
    </row>
    <row r="54">
      <c r="A54" t="inlineStr">
        <is>
          <t>Montée en charge : 2e année</t>
        </is>
      </c>
      <c r="B54" s="13" t="n">
        <v>0.9</v>
      </c>
      <c r="C54" t="inlineStr">
        <is>
          <t>%</t>
        </is>
      </c>
      <c r="D54" t="inlineStr">
        <is>
          <t>Cas optimiste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Cas optimiste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25.3</v>
      </c>
      <c r="C63" s="12" t="n">
        <v>6388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26.4</v>
      </c>
      <c r="C64" s="12" t="n">
        <v>2825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10.3</v>
      </c>
      <c r="C65" s="12" t="n">
        <v>2268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13.8</v>
      </c>
      <c r="C66" s="12" t="n">
        <v>4533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105.8</v>
      </c>
      <c r="C67" s="12" t="n">
        <v>486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13.8</v>
      </c>
      <c r="C68" s="12" t="n">
        <v>864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3.4</v>
      </c>
      <c r="C69" s="12" t="n">
        <v>2160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11.5</v>
      </c>
      <c r="C70" s="12" t="n">
        <v>162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5700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6650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19000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/ agent d'entretien (1 ETP au Smic chargé)</t>
        </is>
      </c>
      <c r="B77" s="12" t="n">
        <v>25650</v>
      </c>
      <c r="C77" s="16" t="n">
        <v>1</v>
      </c>
      <c r="G77" t="inlineStr">
        <is>
          <t>PL : Smic 2026 22 404 € brut/an [A4 §11] ; EST charges</t>
        </is>
      </c>
    </row>
    <row r="78">
      <c r="A78" t="inlineStr">
        <is>
          <t>Divers (abonnements, petit matériel, véhicule, honoraires)</t>
        </is>
      </c>
      <c r="B78" s="12" t="n">
        <v>7600</v>
      </c>
      <c r="C78" s="16" t="n">
        <v>1</v>
      </c>
      <c r="G78" t="inlineStr">
        <is>
          <t>EST</t>
        </is>
      </c>
    </row>
    <row r="79">
      <c r="A79" t="inlineStr">
        <is>
          <t>Soigneurs (2 ETP au Smic chargés)</t>
        </is>
      </c>
      <c r="B79" s="12" t="n">
        <v>57000</v>
      </c>
      <c r="C79" s="16" t="n">
        <v>0</v>
      </c>
      <c r="G79" t="inlineStr">
        <is>
          <t>PL : Smic 1 867 €/mois, grille IDCC 7026 inférieure ; 1 ETP / 17-20 équidés [A3 H13-H14] ; ~54 équidés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28500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10450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4180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11400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11400</v>
      </c>
      <c r="C84" s="16" t="n">
        <v>0</v>
      </c>
      <c r="G84" t="inlineStr">
        <is>
          <t>EST</t>
        </is>
      </c>
    </row>
    <row r="85">
      <c r="A85" t="inlineStr">
        <is>
          <t>Rémunération du dirigeant (chargée)</t>
        </is>
      </c>
      <c r="B85" s="12" t="n">
        <v>33250</v>
      </c>
      <c r="C85" s="16" t="n">
        <v>0</v>
      </c>
      <c r="G85" t="inlineStr">
        <is>
          <t>EST : minimum ; le dirigeant paie en plus 18 k€ de loyer privé</t>
        </is>
      </c>
    </row>
    <row r="87">
      <c r="A87" s="10" t="inlineStr">
        <is>
          <t>7. Calcul sur 10 ans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4" t="inlineStr">
        <is>
          <t>Année</t>
        </is>
      </c>
      <c r="B88" s="4" t="inlineStr">
        <is>
          <t>Total / réf.</t>
        </is>
      </c>
      <c r="C88" s="4" t="n">
        <v>1</v>
      </c>
      <c r="D88" s="4" t="n">
        <v>2</v>
      </c>
      <c r="E88" s="4" t="n">
        <v>3</v>
      </c>
      <c r="F88" s="4" t="n">
        <v>4</v>
      </c>
      <c r="G88" s="4" t="n">
        <v>5</v>
      </c>
      <c r="H88" s="4" t="n">
        <v>6</v>
      </c>
      <c r="I88" s="4" t="n">
        <v>7</v>
      </c>
      <c r="J88" s="4" t="n">
        <v>8</v>
      </c>
      <c r="K88" s="4" t="n">
        <v>9</v>
      </c>
      <c r="L88" s="4" t="n">
        <v>10</v>
      </c>
    </row>
    <row r="89">
      <c r="A89" t="inlineStr">
        <is>
          <t>Année d'ouverture effective</t>
        </is>
      </c>
      <c r="C89" s="8">
        <f>$B$6+$B$47</f>
        <v/>
      </c>
      <c r="D89" s="8">
        <f>$B$6+$B$47</f>
        <v/>
      </c>
      <c r="E89" s="8">
        <f>$B$6+$B$47</f>
        <v/>
      </c>
      <c r="F89" s="8">
        <f>$B$6+$B$47</f>
        <v/>
      </c>
      <c r="G89" s="8">
        <f>$B$6+$B$47</f>
        <v/>
      </c>
      <c r="H89" s="8">
        <f>$B$6+$B$47</f>
        <v/>
      </c>
      <c r="I89" s="8">
        <f>$B$6+$B$47</f>
        <v/>
      </c>
      <c r="J89" s="8">
        <f>$B$6+$B$47</f>
        <v/>
      </c>
      <c r="K89" s="8">
        <f>$B$6+$B$47</f>
        <v/>
      </c>
      <c r="L89" s="8">
        <f>$B$6+$B$47</f>
        <v/>
      </c>
    </row>
    <row r="90">
      <c r="A90" t="inlineStr">
        <is>
          <t>Rang de l'année d'exploitation</t>
        </is>
      </c>
      <c r="C90" s="8">
        <f>MAX(0,C$88-C89+1)</f>
        <v/>
      </c>
      <c r="D90" s="8">
        <f>MAX(0,D$88-D89+1)</f>
        <v/>
      </c>
      <c r="E90" s="8">
        <f>MAX(0,E$88-E89+1)</f>
        <v/>
      </c>
      <c r="F90" s="8">
        <f>MAX(0,F$88-F89+1)</f>
        <v/>
      </c>
      <c r="G90" s="8">
        <f>MAX(0,G$88-G89+1)</f>
        <v/>
      </c>
      <c r="H90" s="8">
        <f>MAX(0,H$88-H89+1)</f>
        <v/>
      </c>
      <c r="I90" s="8">
        <f>MAX(0,I$88-I89+1)</f>
        <v/>
      </c>
      <c r="J90" s="8">
        <f>MAX(0,J$88-J89+1)</f>
        <v/>
      </c>
      <c r="K90" s="8">
        <f>MAX(0,K$88-K89+1)</f>
        <v/>
      </c>
      <c r="L90" s="8">
        <f>MAX(0,L$88-L89+1)</f>
        <v/>
      </c>
    </row>
    <row r="91">
      <c r="A91" t="inlineStr">
        <is>
          <t>Coefficient de montée en charge</t>
        </is>
      </c>
      <c r="C91" s="6">
        <f>IF(C90=0,0,IF(C90=1,$B$53,IF(C90=2,$B$54,IF(C90=3,$B$55,1))))</f>
        <v/>
      </c>
      <c r="D91" s="6">
        <f>IF(D90=0,0,IF(D90=1,$B$53,IF(D90=2,$B$54,IF(D90=3,$B$55,1))))</f>
        <v/>
      </c>
      <c r="E91" s="6">
        <f>IF(E90=0,0,IF(E90=1,$B$53,IF(E90=2,$B$54,IF(E90=3,$B$55,1))))</f>
        <v/>
      </c>
      <c r="F91" s="6">
        <f>IF(F90=0,0,IF(F90=1,$B$53,IF(F90=2,$B$54,IF(F90=3,$B$55,1))))</f>
        <v/>
      </c>
      <c r="G91" s="6">
        <f>IF(G90=0,0,IF(G90=1,$B$53,IF(G90=2,$B$54,IF(G90=3,$B$55,1))))</f>
        <v/>
      </c>
      <c r="H91" s="6">
        <f>IF(H90=0,0,IF(H90=1,$B$53,IF(H90=2,$B$54,IF(H90=3,$B$55,1))))</f>
        <v/>
      </c>
      <c r="I91" s="6">
        <f>IF(I90=0,0,IF(I90=1,$B$53,IF(I90=2,$B$54,IF(I90=3,$B$55,1))))</f>
        <v/>
      </c>
      <c r="J91" s="6">
        <f>IF(J90=0,0,IF(J90=1,$B$53,IF(J90=2,$B$54,IF(J90=3,$B$55,1))))</f>
        <v/>
      </c>
      <c r="K91" s="6">
        <f>IF(K90=0,0,IF(K90=1,$B$53,IF(K90=2,$B$54,IF(K90=3,$B$55,1))))</f>
        <v/>
      </c>
      <c r="L91" s="6">
        <f>IF(L90=0,0,IF(L90=1,$B$53,IF(L90=2,$B$54,IF(L90=3,$B$55,1))))</f>
        <v/>
      </c>
    </row>
    <row r="92">
      <c r="A92" t="inlineStr">
        <is>
          <t>Indice prix</t>
        </is>
      </c>
      <c r="C92" s="17">
        <f>(1+$B$56)^(C$88-1)</f>
        <v/>
      </c>
      <c r="D92" s="17">
        <f>(1+$B$56)^(D$88-1)</f>
        <v/>
      </c>
      <c r="E92" s="17">
        <f>(1+$B$56)^(E$88-1)</f>
        <v/>
      </c>
      <c r="F92" s="17">
        <f>(1+$B$56)^(F$88-1)</f>
        <v/>
      </c>
      <c r="G92" s="17">
        <f>(1+$B$56)^(G$88-1)</f>
        <v/>
      </c>
      <c r="H92" s="17">
        <f>(1+$B$56)^(H$88-1)</f>
        <v/>
      </c>
      <c r="I92" s="17">
        <f>(1+$B$56)^(I$88-1)</f>
        <v/>
      </c>
      <c r="J92" s="17">
        <f>(1+$B$56)^(J$88-1)</f>
        <v/>
      </c>
      <c r="K92" s="17">
        <f>(1+$B$56)^(K$88-1)</f>
        <v/>
      </c>
      <c r="L92" s="17">
        <f>(1+$B$56)^(L$88-1)</f>
        <v/>
      </c>
    </row>
    <row r="93">
      <c r="A93" t="inlineStr">
        <is>
          <t>Indice charges</t>
        </is>
      </c>
      <c r="C93" s="17">
        <f>(1+$B$57)^(C$88-1)</f>
        <v/>
      </c>
      <c r="D93" s="17">
        <f>(1+$B$57)^(D$88-1)</f>
        <v/>
      </c>
      <c r="E93" s="17">
        <f>(1+$B$57)^(E$88-1)</f>
        <v/>
      </c>
      <c r="F93" s="17">
        <f>(1+$B$57)^(F$88-1)</f>
        <v/>
      </c>
      <c r="G93" s="17">
        <f>(1+$B$57)^(G$88-1)</f>
        <v/>
      </c>
      <c r="H93" s="17">
        <f>(1+$B$57)^(H$88-1)</f>
        <v/>
      </c>
      <c r="I93" s="17">
        <f>(1+$B$57)^(I$88-1)</f>
        <v/>
      </c>
      <c r="J93" s="17">
        <f>(1+$B$57)^(J$88-1)</f>
        <v/>
      </c>
      <c r="K93" s="17">
        <f>(1+$B$57)^(K$88-1)</f>
        <v/>
      </c>
      <c r="L93" s="17">
        <f>(1+$B$57)^(L$88-1)</f>
        <v/>
      </c>
    </row>
    <row r="94">
      <c r="A94" t="inlineStr">
        <is>
          <t>Murs détenus (1/0)</t>
        </is>
      </c>
      <c r="C94" s="8">
        <f>IF(C$88&gt;=$B$5,1,0)</f>
        <v/>
      </c>
      <c r="D94" s="8">
        <f>IF(D$88&gt;=$B$5,1,0)</f>
        <v/>
      </c>
      <c r="E94" s="8">
        <f>IF(E$88&gt;=$B$5,1,0)</f>
        <v/>
      </c>
      <c r="F94" s="8">
        <f>IF(F$88&gt;=$B$5,1,0)</f>
        <v/>
      </c>
      <c r="G94" s="8">
        <f>IF(G$88&gt;=$B$5,1,0)</f>
        <v/>
      </c>
      <c r="H94" s="8">
        <f>IF(H$88&gt;=$B$5,1,0)</f>
        <v/>
      </c>
      <c r="I94" s="8">
        <f>IF(I$88&gt;=$B$5,1,0)</f>
        <v/>
      </c>
      <c r="J94" s="8">
        <f>IF(J$88&gt;=$B$5,1,0)</f>
        <v/>
      </c>
      <c r="K94" s="8">
        <f>IF(K$88&gt;=$B$5,1,0)</f>
        <v/>
      </c>
      <c r="L94" s="8">
        <f>IF(L$88&gt;=$B$5,1,0)</f>
        <v/>
      </c>
    </row>
    <row r="96">
      <c r="A96" s="4" t="inlineStr">
        <is>
          <t>Compte de résultat</t>
        </is>
      </c>
    </row>
    <row r="97">
      <c r="A97" t="inlineStr">
        <is>
          <t xml:space="preserve">  Pension box premium (places occupées)</t>
        </is>
      </c>
      <c r="B97" s="5">
        <f>SUM(C97:L97)</f>
        <v/>
      </c>
      <c r="C97" s="5">
        <f>$B$63*$C$63*C91*C92*$B$45*(1-$E$63*$B$50)</f>
        <v/>
      </c>
      <c r="D97" s="5">
        <f>$B$63*$C$63*D91*D92*$B$45*(1-$E$63*$B$50)</f>
        <v/>
      </c>
      <c r="E97" s="5">
        <f>$B$63*$C$63*E91*E92*$B$45*(1-$E$63*$B$50)</f>
        <v/>
      </c>
      <c r="F97" s="5">
        <f>$B$63*$C$63*F91*F92*$B$45*(1-$E$63*$B$50)</f>
        <v/>
      </c>
      <c r="G97" s="5">
        <f>$B$63*$C$63*G91*G92*$B$45*(1-$E$63*$B$50)</f>
        <v/>
      </c>
      <c r="H97" s="5">
        <f>$B$63*$C$63*H91*H92*$B$45*(1-$E$63*$B$50)</f>
        <v/>
      </c>
      <c r="I97" s="5">
        <f>$B$63*$C$63*I91*I92*$B$45*(1-$E$63*$B$50)</f>
        <v/>
      </c>
      <c r="J97" s="5">
        <f>$B$63*$C$63*J91*J92*$B$45*(1-$E$63*$B$50)</f>
        <v/>
      </c>
      <c r="K97" s="5">
        <f>$B$63*$C$63*K91*K92*$B$45*(1-$E$63*$B$50)</f>
        <v/>
      </c>
      <c r="L97" s="5">
        <f>$B$63*$C$63*L91*L92*$B$45*(1-$E$63*$B$50)</f>
        <v/>
      </c>
    </row>
    <row r="98">
      <c r="A98" t="inlineStr">
        <is>
          <t xml:space="preserve">  Pension au pré (places occupées)</t>
        </is>
      </c>
      <c r="B98" s="5">
        <f>SUM(C98:L98)</f>
        <v/>
      </c>
      <c r="C98" s="5">
        <f>$B$64*$C$64*C91*C92*$B$45*(1-$E$64*$B$50)</f>
        <v/>
      </c>
      <c r="D98" s="5">
        <f>$B$64*$C$64*D91*D92*$B$45*(1-$E$64*$B$50)</f>
        <v/>
      </c>
      <c r="E98" s="5">
        <f>$B$64*$C$64*E91*E92*$B$45*(1-$E$64*$B$50)</f>
        <v/>
      </c>
      <c r="F98" s="5">
        <f>$B$64*$C$64*F91*F92*$B$45*(1-$E$64*$B$50)</f>
        <v/>
      </c>
      <c r="G98" s="5">
        <f>$B$64*$C$64*G91*G92*$B$45*(1-$E$64*$B$50)</f>
        <v/>
      </c>
      <c r="H98" s="5">
        <f>$B$64*$C$64*H91*H92*$B$45*(1-$E$64*$B$50)</f>
        <v/>
      </c>
      <c r="I98" s="5">
        <f>$B$64*$C$64*I91*I92*$B$45*(1-$E$64*$B$50)</f>
        <v/>
      </c>
      <c r="J98" s="5">
        <f>$B$64*$C$64*J91*J92*$B$45*(1-$E$64*$B$50)</f>
        <v/>
      </c>
      <c r="K98" s="5">
        <f>$B$64*$C$64*K91*K92*$B$45*(1-$E$64*$B$50)</f>
        <v/>
      </c>
      <c r="L98" s="5">
        <f>$B$64*$C$64*L91*L92*$B$45*(1-$E$64*$B$50)</f>
        <v/>
      </c>
    </row>
    <row r="99">
      <c r="A99" t="inlineStr">
        <is>
          <t xml:space="preserve">  Pension retraite / convalescence (places occupées)</t>
        </is>
      </c>
      <c r="B99" s="5">
        <f>SUM(C99:L99)</f>
        <v/>
      </c>
      <c r="C99" s="5">
        <f>$B$65*$C$65*C91*C92*$B$45*(1-$E$65*$B$50)</f>
        <v/>
      </c>
      <c r="D99" s="5">
        <f>$B$65*$C$65*D91*D92*$B$45*(1-$E$65*$B$50)</f>
        <v/>
      </c>
      <c r="E99" s="5">
        <f>$B$65*$C$65*E91*E92*$B$45*(1-$E$65*$B$50)</f>
        <v/>
      </c>
      <c r="F99" s="5">
        <f>$B$65*$C$65*F91*F92*$B$45*(1-$E$65*$B$50)</f>
        <v/>
      </c>
      <c r="G99" s="5">
        <f>$B$65*$C$65*G91*G92*$B$45*(1-$E$65*$B$50)</f>
        <v/>
      </c>
      <c r="H99" s="5">
        <f>$B$65*$C$65*H91*H92*$B$45*(1-$E$65*$B$50)</f>
        <v/>
      </c>
      <c r="I99" s="5">
        <f>$B$65*$C$65*I91*I92*$B$45*(1-$E$65*$B$50)</f>
        <v/>
      </c>
      <c r="J99" s="5">
        <f>$B$65*$C$65*J91*J92*$B$45*(1-$E$65*$B$50)</f>
        <v/>
      </c>
      <c r="K99" s="5">
        <f>$B$65*$C$65*K91*K92*$B$45*(1-$E$65*$B$50)</f>
        <v/>
      </c>
      <c r="L99" s="5">
        <f>$B$65*$C$65*L91*L92*$B$45*(1-$E$65*$B$50)</f>
        <v/>
      </c>
    </row>
    <row r="100">
      <c r="A100" t="inlineStr">
        <is>
          <t xml:space="preserve">  Mariages (location du lieu + hébergement 15 couchages)</t>
        </is>
      </c>
      <c r="B100" s="5">
        <f>SUM(C100:L100)</f>
        <v/>
      </c>
      <c r="C100" s="5">
        <f>$B$66*$C$66*C91*C92*$B$45*(1-$E$66*$B$50)</f>
        <v/>
      </c>
      <c r="D100" s="5">
        <f>$B$66*$C$66*D91*D92*$B$45*(1-$E$66*$B$50)</f>
        <v/>
      </c>
      <c r="E100" s="5">
        <f>$B$66*$C$66*E91*E92*$B$45*(1-$E$66*$B$50)</f>
        <v/>
      </c>
      <c r="F100" s="5">
        <f>$B$66*$C$66*F91*F92*$B$45*(1-$E$66*$B$50)</f>
        <v/>
      </c>
      <c r="G100" s="5">
        <f>$B$66*$C$66*G91*G92*$B$45*(1-$E$66*$B$50)</f>
        <v/>
      </c>
      <c r="H100" s="5">
        <f>$B$66*$C$66*H91*H92*$B$45*(1-$E$66*$B$50)</f>
        <v/>
      </c>
      <c r="I100" s="5">
        <f>$B$66*$C$66*I91*I92*$B$45*(1-$E$66*$B$50)</f>
        <v/>
      </c>
      <c r="J100" s="5">
        <f>$B$66*$C$66*J91*J92*$B$45*(1-$E$66*$B$50)</f>
        <v/>
      </c>
      <c r="K100" s="5">
        <f>$B$66*$C$66*K91*K92*$B$45*(1-$E$66*$B$50)</f>
        <v/>
      </c>
      <c r="L100" s="5">
        <f>$B$66*$C$66*L91*L92*$B$45*(1-$E$66*$B$50)</f>
        <v/>
      </c>
    </row>
    <row r="101">
      <c r="A101" t="inlineStr">
        <is>
          <t xml:space="preserve">  Gîte 15 couchages hors mariages (nuits)</t>
        </is>
      </c>
      <c r="B101" s="5">
        <f>SUM(C101:L101)</f>
        <v/>
      </c>
      <c r="C101" s="5">
        <f>$B$67*$C$67*C91*C92*$B$45*(1-$E$67*$B$50)</f>
        <v/>
      </c>
      <c r="D101" s="5">
        <f>$B$67*$C$67*D91*D92*$B$45*(1-$E$67*$B$50)</f>
        <v/>
      </c>
      <c r="E101" s="5">
        <f>$B$67*$C$67*E91*E92*$B$45*(1-$E$67*$B$50)</f>
        <v/>
      </c>
      <c r="F101" s="5">
        <f>$B$67*$C$67*F91*F92*$B$45*(1-$E$67*$B$50)</f>
        <v/>
      </c>
      <c r="G101" s="5">
        <f>$B$67*$C$67*G91*G92*$B$45*(1-$E$67*$B$50)</f>
        <v/>
      </c>
      <c r="H101" s="5">
        <f>$B$67*$C$67*H91*H92*$B$45*(1-$E$67*$B$50)</f>
        <v/>
      </c>
      <c r="I101" s="5">
        <f>$B$67*$C$67*I91*I92*$B$45*(1-$E$67*$B$50)</f>
        <v/>
      </c>
      <c r="J101" s="5">
        <f>$B$67*$C$67*J91*J92*$B$45*(1-$E$67*$B$50)</f>
        <v/>
      </c>
      <c r="K101" s="5">
        <f>$B$67*$C$67*K91*K92*$B$45*(1-$E$67*$B$50)</f>
        <v/>
      </c>
      <c r="L101" s="5">
        <f>$B$67*$C$67*L91*L92*$B$45*(1-$E$67*$B$50)</f>
        <v/>
      </c>
    </row>
    <row r="102">
      <c r="A102" t="inlineStr">
        <is>
          <t xml:space="preserve">  Séminaires à la journée (jours)</t>
        </is>
      </c>
      <c r="B102" s="5">
        <f>SUM(C102:L102)</f>
        <v/>
      </c>
      <c r="C102" s="5">
        <f>$B$68*$C$68*C91*C92*$B$45*(1-$E$68*$B$50)</f>
        <v/>
      </c>
      <c r="D102" s="5">
        <f>$B$68*$C$68*D91*D92*$B$45*(1-$E$68*$B$50)</f>
        <v/>
      </c>
      <c r="E102" s="5">
        <f>$B$68*$C$68*E91*E92*$B$45*(1-$E$68*$B$50)</f>
        <v/>
      </c>
      <c r="F102" s="5">
        <f>$B$68*$C$68*F91*F92*$B$45*(1-$E$68*$B$50)</f>
        <v/>
      </c>
      <c r="G102" s="5">
        <f>$B$68*$C$68*G91*G92*$B$45*(1-$E$68*$B$50)</f>
        <v/>
      </c>
      <c r="H102" s="5">
        <f>$B$68*$C$68*H91*H92*$B$45*(1-$E$68*$B$50)</f>
        <v/>
      </c>
      <c r="I102" s="5">
        <f>$B$68*$C$68*I91*I92*$B$45*(1-$E$68*$B$50)</f>
        <v/>
      </c>
      <c r="J102" s="5">
        <f>$B$68*$C$68*J91*J92*$B$45*(1-$E$68*$B$50)</f>
        <v/>
      </c>
      <c r="K102" s="5">
        <f>$B$68*$C$68*K91*K92*$B$45*(1-$E$68*$B$50)</f>
        <v/>
      </c>
      <c r="L102" s="5">
        <f>$B$68*$C$68*L91*L92*$B$45*(1-$E$68*$B$50)</f>
        <v/>
      </c>
    </row>
    <row r="103">
      <c r="A103" t="inlineStr">
        <is>
          <t xml:space="preserve">  Tournages / shootings (jours)</t>
        </is>
      </c>
      <c r="B103" s="5">
        <f>SUM(C103:L103)</f>
        <v/>
      </c>
      <c r="C103" s="5">
        <f>$B$69*$C$69*C91*C92*$B$45*(1-$E$69*$B$50)</f>
        <v/>
      </c>
      <c r="D103" s="5">
        <f>$B$69*$C$69*D91*D92*$B$45*(1-$E$69*$B$50)</f>
        <v/>
      </c>
      <c r="E103" s="5">
        <f>$B$69*$C$69*E91*E92*$B$45*(1-$E$69*$B$50)</f>
        <v/>
      </c>
      <c r="F103" s="5">
        <f>$B$69*$C$69*F91*F92*$B$45*(1-$E$69*$B$50)</f>
        <v/>
      </c>
      <c r="G103" s="5">
        <f>$B$69*$C$69*G91*G92*$B$45*(1-$E$69*$B$50)</f>
        <v/>
      </c>
      <c r="H103" s="5">
        <f>$B$69*$C$69*H91*H92*$B$45*(1-$E$69*$B$50)</f>
        <v/>
      </c>
      <c r="I103" s="5">
        <f>$B$69*$C$69*I91*I92*$B$45*(1-$E$69*$B$50)</f>
        <v/>
      </c>
      <c r="J103" s="5">
        <f>$B$69*$C$69*J91*J92*$B$45*(1-$E$69*$B$50)</f>
        <v/>
      </c>
      <c r="K103" s="5">
        <f>$B$69*$C$69*K91*K92*$B$45*(1-$E$69*$B$50)</f>
        <v/>
      </c>
      <c r="L103" s="5">
        <f>$B$69*$C$69*L91*L92*$B$45*(1-$E$69*$B$50)</f>
        <v/>
      </c>
    </row>
    <row r="104">
      <c r="A104" t="inlineStr">
        <is>
          <t xml:space="preserve">  Fermage / vente d'herbe (ha)</t>
        </is>
      </c>
      <c r="B104" s="5">
        <f>SUM(C104:L104)</f>
        <v/>
      </c>
      <c r="C104" s="5">
        <f>$B$70*$C$70*C91*C92*$B$45*(1-$E$70*$B$50)</f>
        <v/>
      </c>
      <c r="D104" s="5">
        <f>$B$70*$C$70*D91*D92*$B$45*(1-$E$70*$B$50)</f>
        <v/>
      </c>
      <c r="E104" s="5">
        <f>$B$70*$C$70*E91*E92*$B$45*(1-$E$70*$B$50)</f>
        <v/>
      </c>
      <c r="F104" s="5">
        <f>$B$70*$C$70*F91*F92*$B$45*(1-$E$70*$B$50)</f>
        <v/>
      </c>
      <c r="G104" s="5">
        <f>$B$70*$C$70*G91*G92*$B$45*(1-$E$70*$B$50)</f>
        <v/>
      </c>
      <c r="H104" s="5">
        <f>$B$70*$C$70*H91*H92*$B$45*(1-$E$70*$B$50)</f>
        <v/>
      </c>
      <c r="I104" s="5">
        <f>$B$70*$C$70*I91*I92*$B$45*(1-$E$70*$B$50)</f>
        <v/>
      </c>
      <c r="J104" s="5">
        <f>$B$70*$C$70*J91*J92*$B$45*(1-$E$70*$B$50)</f>
        <v/>
      </c>
      <c r="K104" s="5">
        <f>$B$70*$C$70*K91*K92*$B$45*(1-$E$70*$B$50)</f>
        <v/>
      </c>
      <c r="L104" s="5">
        <f>$B$70*$C$70*L91*L92*$B$45*(1-$E$70*$B$50)</f>
        <v/>
      </c>
    </row>
    <row r="105">
      <c r="A105" s="4" t="inlineStr">
        <is>
          <t>Chiffre d'affaires total</t>
        </is>
      </c>
      <c r="B105" s="18">
        <f>SUM(C105:L105)</f>
        <v/>
      </c>
      <c r="C105" s="18">
        <f>C97+C98+C99+C100+C101+C102+C103+C104</f>
        <v/>
      </c>
      <c r="D105" s="18">
        <f>D97+D98+D99+D100+D101+D102+D103+D104</f>
        <v/>
      </c>
      <c r="E105" s="18">
        <f>E97+E98+E99+E100+E101+E102+E103+E104</f>
        <v/>
      </c>
      <c r="F105" s="18">
        <f>F97+F98+F99+F100+F101+F102+F103+F104</f>
        <v/>
      </c>
      <c r="G105" s="18">
        <f>G97+G98+G99+G100+G101+G102+G103+G104</f>
        <v/>
      </c>
      <c r="H105" s="18">
        <f>H97+H98+H99+H100+H101+H102+H103+H104</f>
        <v/>
      </c>
      <c r="I105" s="18">
        <f>I97+I98+I99+I100+I101+I102+I103+I104</f>
        <v/>
      </c>
      <c r="J105" s="18">
        <f>J97+J98+J99+J100+J101+J102+J103+J104</f>
        <v/>
      </c>
      <c r="K105" s="18">
        <f>K97+K98+K99+K100+K101+K102+K103+K104</f>
        <v/>
      </c>
      <c r="L105" s="18">
        <f>L97+L98+L99+L100+L101+L102+L103+L104</f>
        <v/>
      </c>
    </row>
    <row r="106">
      <c r="A106" t="inlineStr">
        <is>
          <t xml:space="preserve">  dont équestre</t>
        </is>
      </c>
      <c r="B106" s="5">
        <f>SUM(C106:L106)</f>
        <v/>
      </c>
      <c r="C106" s="5">
        <f>C97*$F$63+C98*$F$64+C99*$F$65+C100*$F$66+C101*$F$67+C102*$F$68+C103*$F$69+C104*$F$70</f>
        <v/>
      </c>
      <c r="D106" s="5">
        <f>D97*$F$63+D98*$F$64+D99*$F$65+D100*$F$66+D101*$F$67+D102*$F$68+D103*$F$69+D104*$F$70</f>
        <v/>
      </c>
      <c r="E106" s="5">
        <f>E97*$F$63+E98*$F$64+E99*$F$65+E100*$F$66+E101*$F$67+E102*$F$68+E103*$F$69+E104*$F$70</f>
        <v/>
      </c>
      <c r="F106" s="5">
        <f>F97*$F$63+F98*$F$64+F99*$F$65+F100*$F$66+F101*$F$67+F102*$F$68+F103*$F$69+F104*$F$70</f>
        <v/>
      </c>
      <c r="G106" s="5">
        <f>G97*$F$63+G98*$F$64+G99*$F$65+G100*$F$66+G101*$F$67+G102*$F$68+G103*$F$69+G104*$F$70</f>
        <v/>
      </c>
      <c r="H106" s="5">
        <f>H97*$F$63+H98*$F$64+H99*$F$65+H100*$F$66+H101*$F$67+H102*$F$68+H103*$F$69+H104*$F$70</f>
        <v/>
      </c>
      <c r="I106" s="5">
        <f>I97*$F$63+I98*$F$64+I99*$F$65+I100*$F$66+I101*$F$67+I102*$F$68+I103*$F$69+I104*$F$70</f>
        <v/>
      </c>
      <c r="J106" s="5">
        <f>J97*$F$63+J98*$F$64+J99*$F$65+J100*$F$66+J101*$F$67+J102*$F$68+J103*$F$69+J104*$F$70</f>
        <v/>
      </c>
      <c r="K106" s="5">
        <f>K97*$F$63+K98*$F$64+K99*$F$65+K100*$F$66+K101*$F$67+K102*$F$68+K103*$F$69+K104*$F$70</f>
        <v/>
      </c>
      <c r="L106" s="5">
        <f>L97*$F$63+L98*$F$64+L99*$F$65+L100*$F$66+L101*$F$67+L102*$F$68+L103*$F$69+L104*$F$70</f>
        <v/>
      </c>
    </row>
    <row r="107">
      <c r="A107" t="inlineStr">
        <is>
          <t xml:space="preserve">  Part équestre du CA</t>
        </is>
      </c>
      <c r="C107" s="6">
        <f>IF(C105=0,0,C106/C105)</f>
        <v/>
      </c>
      <c r="D107" s="6">
        <f>IF(D105=0,0,D106/D105)</f>
        <v/>
      </c>
      <c r="E107" s="6">
        <f>IF(E105=0,0,E106/E105)</f>
        <v/>
      </c>
      <c r="F107" s="6">
        <f>IF(F105=0,0,F106/F105)</f>
        <v/>
      </c>
      <c r="G107" s="6">
        <f>IF(G105=0,0,G106/G105)</f>
        <v/>
      </c>
      <c r="H107" s="6">
        <f>IF(H105=0,0,H106/H105)</f>
        <v/>
      </c>
      <c r="I107" s="6">
        <f>IF(I105=0,0,I106/I105)</f>
        <v/>
      </c>
      <c r="J107" s="6">
        <f>IF(J105=0,0,J106/J105)</f>
        <v/>
      </c>
      <c r="K107" s="6">
        <f>IF(K105=0,0,K106/K105)</f>
        <v/>
      </c>
      <c r="L107" s="6">
        <f>IF(L105=0,0,L106/L105)</f>
        <v/>
      </c>
    </row>
    <row r="108">
      <c r="A108" t="inlineStr">
        <is>
          <t>Coûts variables</t>
        </is>
      </c>
      <c r="B108" s="5">
        <f>SUM(C108:L108)</f>
        <v/>
      </c>
      <c r="C108" s="5">
        <f>-(C97*$D$63+C98*$D$64+C99*$D$65+C100*$D$66+C101*$D$67+C102*$D$68+C103*$D$69+C104*$D$70)</f>
        <v/>
      </c>
      <c r="D108" s="5">
        <f>-(D97*$D$63+D98*$D$64+D99*$D$65+D100*$D$66+D101*$D$67+D102*$D$68+D103*$D$69+D104*$D$70)</f>
        <v/>
      </c>
      <c r="E108" s="5">
        <f>-(E97*$D$63+E98*$D$64+E99*$D$65+E100*$D$66+E101*$D$67+E102*$D$68+E103*$D$69+E104*$D$70)</f>
        <v/>
      </c>
      <c r="F108" s="5">
        <f>-(F97*$D$63+F98*$D$64+F99*$D$65+F100*$D$66+F101*$D$67+F102*$D$68+F103*$D$69+F104*$D$70)</f>
        <v/>
      </c>
      <c r="G108" s="5">
        <f>-(G97*$D$63+G98*$D$64+G99*$D$65+G100*$D$66+G101*$D$67+G102*$D$68+G103*$D$69+G104*$D$70)</f>
        <v/>
      </c>
      <c r="H108" s="5">
        <f>-(H97*$D$63+H98*$D$64+H99*$D$65+H100*$D$66+H101*$D$67+H102*$D$68+H103*$D$69+H104*$D$70)</f>
        <v/>
      </c>
      <c r="I108" s="5">
        <f>-(I97*$D$63+I98*$D$64+I99*$D$65+I100*$D$66+I101*$D$67+I102*$D$68+I103*$D$69+I104*$D$70)</f>
        <v/>
      </c>
      <c r="J108" s="5">
        <f>-(J97*$D$63+J98*$D$64+J99*$D$65+J100*$D$66+J101*$D$67+J102*$D$68+J103*$D$69+J104*$D$70)</f>
        <v/>
      </c>
      <c r="K108" s="5">
        <f>-(K97*$D$63+K98*$D$64+K99*$D$65+K100*$D$66+K101*$D$67+K102*$D$68+K103*$D$69+K104*$D$70)</f>
        <v/>
      </c>
      <c r="L108" s="5">
        <f>-(L97*$D$63+L98*$D$64+L99*$D$65+L100*$D$66+L101*$D$67+L102*$D$68+L103*$D$69+L104*$D$70)</f>
        <v/>
      </c>
    </row>
    <row r="109">
      <c r="A109" s="4" t="inlineStr">
        <is>
          <t>Marge sur coûts variables</t>
        </is>
      </c>
      <c r="B109" s="18">
        <f>SUM(C109:L109)</f>
        <v/>
      </c>
      <c r="C109" s="18">
        <f>C105+C108</f>
        <v/>
      </c>
      <c r="D109" s="18">
        <f>D105+D108</f>
        <v/>
      </c>
      <c r="E109" s="18">
        <f>E105+E108</f>
        <v/>
      </c>
      <c r="F109" s="18">
        <f>F105+F108</f>
        <v/>
      </c>
      <c r="G109" s="18">
        <f>G105+G108</f>
        <v/>
      </c>
      <c r="H109" s="18">
        <f>H105+H108</f>
        <v/>
      </c>
      <c r="I109" s="18">
        <f>I105+I108</f>
        <v/>
      </c>
      <c r="J109" s="18">
        <f>J105+J108</f>
        <v/>
      </c>
      <c r="K109" s="18">
        <f>K105+K108</f>
        <v/>
      </c>
      <c r="L109" s="18">
        <f>L105+L108</f>
        <v/>
      </c>
    </row>
    <row r="110">
      <c r="A110" t="inlineStr">
        <is>
          <t xml:space="preserve">  Taxe foncière</t>
        </is>
      </c>
      <c r="B110" s="5">
        <f>SUM(C110:L110)</f>
        <v/>
      </c>
      <c r="C110" s="5">
        <f>-$B$74*C93*IF($C$74=1,C94,IF(C90&gt;0,1,0))</f>
        <v/>
      </c>
      <c r="D110" s="5">
        <f>-$B$74*D93*IF($C$74=1,D94,IF(D90&gt;0,1,0))</f>
        <v/>
      </c>
      <c r="E110" s="5">
        <f>-$B$74*E93*IF($C$74=1,E94,IF(E90&gt;0,1,0))</f>
        <v/>
      </c>
      <c r="F110" s="5">
        <f>-$B$74*F93*IF($C$74=1,F94,IF(F90&gt;0,1,0))</f>
        <v/>
      </c>
      <c r="G110" s="5">
        <f>-$B$74*G93*IF($C$74=1,G94,IF(G90&gt;0,1,0))</f>
        <v/>
      </c>
      <c r="H110" s="5">
        <f>-$B$74*H93*IF($C$74=1,H94,IF(H90&gt;0,1,0))</f>
        <v/>
      </c>
      <c r="I110" s="5">
        <f>-$B$74*I93*IF($C$74=1,I94,IF(I90&gt;0,1,0))</f>
        <v/>
      </c>
      <c r="J110" s="5">
        <f>-$B$74*J93*IF($C$74=1,J94,IF(J90&gt;0,1,0))</f>
        <v/>
      </c>
      <c r="K110" s="5">
        <f>-$B$74*K93*IF($C$74=1,K94,IF(K90&gt;0,1,0))</f>
        <v/>
      </c>
      <c r="L110" s="5">
        <f>-$B$74*L93*IF($C$74=1,L94,IF(L90&gt;0,1,0))</f>
        <v/>
      </c>
    </row>
    <row r="111">
      <c r="A111" t="inlineStr">
        <is>
          <t xml:space="preserve">  Assurance multirisque château</t>
        </is>
      </c>
      <c r="B111" s="5">
        <f>SUM(C111:L111)</f>
        <v/>
      </c>
      <c r="C111" s="5">
        <f>-$B$75*C93*IF($C$75=1,C94,IF(C90&gt;0,1,0))</f>
        <v/>
      </c>
      <c r="D111" s="5">
        <f>-$B$75*D93*IF($C$75=1,D94,IF(D90&gt;0,1,0))</f>
        <v/>
      </c>
      <c r="E111" s="5">
        <f>-$B$75*E93*IF($C$75=1,E94,IF(E90&gt;0,1,0))</f>
        <v/>
      </c>
      <c r="F111" s="5">
        <f>-$B$75*F93*IF($C$75=1,F94,IF(F90&gt;0,1,0))</f>
        <v/>
      </c>
      <c r="G111" s="5">
        <f>-$B$75*G93*IF($C$75=1,G94,IF(G90&gt;0,1,0))</f>
        <v/>
      </c>
      <c r="H111" s="5">
        <f>-$B$75*H93*IF($C$75=1,H94,IF(H90&gt;0,1,0))</f>
        <v/>
      </c>
      <c r="I111" s="5">
        <f>-$B$75*I93*IF($C$75=1,I94,IF(I90&gt;0,1,0))</f>
        <v/>
      </c>
      <c r="J111" s="5">
        <f>-$B$75*J93*IF($C$75=1,J94,IF(J90&gt;0,1,0))</f>
        <v/>
      </c>
      <c r="K111" s="5">
        <f>-$B$75*K93*IF($C$75=1,K94,IF(K90&gt;0,1,0))</f>
        <v/>
      </c>
      <c r="L111" s="5">
        <f>-$B$75*L93*IF($C$75=1,L94,IF(L90&gt;0,1,0))</f>
        <v/>
      </c>
    </row>
    <row r="112">
      <c r="A112" t="inlineStr">
        <is>
          <t xml:space="preserve">  Énergie (chauffage partiel, électricité, eau)</t>
        </is>
      </c>
      <c r="B112" s="5">
        <f>SUM(C112:L112)</f>
        <v/>
      </c>
      <c r="C112" s="5">
        <f>-$B$76*C93*IF($C$76=1,C94,IF(C90&gt;0,1,0))</f>
        <v/>
      </c>
      <c r="D112" s="5">
        <f>-$B$76*D93*IF($C$76=1,D94,IF(D90&gt;0,1,0))</f>
        <v/>
      </c>
      <c r="E112" s="5">
        <f>-$B$76*E93*IF($C$76=1,E94,IF(E90&gt;0,1,0))</f>
        <v/>
      </c>
      <c r="F112" s="5">
        <f>-$B$76*F93*IF($C$76=1,F94,IF(F90&gt;0,1,0))</f>
        <v/>
      </c>
      <c r="G112" s="5">
        <f>-$B$76*G93*IF($C$76=1,G94,IF(G90&gt;0,1,0))</f>
        <v/>
      </c>
      <c r="H112" s="5">
        <f>-$B$76*H93*IF($C$76=1,H94,IF(H90&gt;0,1,0))</f>
        <v/>
      </c>
      <c r="I112" s="5">
        <f>-$B$76*I93*IF($C$76=1,I94,IF(I90&gt;0,1,0))</f>
        <v/>
      </c>
      <c r="J112" s="5">
        <f>-$B$76*J93*IF($C$76=1,J94,IF(J90&gt;0,1,0))</f>
        <v/>
      </c>
      <c r="K112" s="5">
        <f>-$B$76*K93*IF($C$76=1,K94,IF(K90&gt;0,1,0))</f>
        <v/>
      </c>
      <c r="L112" s="5">
        <f>-$B$76*L93*IF($C$76=1,L94,IF(L90&gt;0,1,0))</f>
        <v/>
      </c>
    </row>
    <row r="113">
      <c r="A113" t="inlineStr">
        <is>
          <t xml:space="preserve">  Jardinier / agent d'entretien (1 ETP au Smic chargé)</t>
        </is>
      </c>
      <c r="B113" s="5">
        <f>SUM(C113:L113)</f>
        <v/>
      </c>
      <c r="C113" s="5">
        <f>-$B$77*C93*IF($C$77=1,C94,IF(C90&gt;0,1,0))</f>
        <v/>
      </c>
      <c r="D113" s="5">
        <f>-$B$77*D93*IF($C$77=1,D94,IF(D90&gt;0,1,0))</f>
        <v/>
      </c>
      <c r="E113" s="5">
        <f>-$B$77*E93*IF($C$77=1,E94,IF(E90&gt;0,1,0))</f>
        <v/>
      </c>
      <c r="F113" s="5">
        <f>-$B$77*F93*IF($C$77=1,F94,IF(F90&gt;0,1,0))</f>
        <v/>
      </c>
      <c r="G113" s="5">
        <f>-$B$77*G93*IF($C$77=1,G94,IF(G90&gt;0,1,0))</f>
        <v/>
      </c>
      <c r="H113" s="5">
        <f>-$B$77*H93*IF($C$77=1,H94,IF(H90&gt;0,1,0))</f>
        <v/>
      </c>
      <c r="I113" s="5">
        <f>-$B$77*I93*IF($C$77=1,I94,IF(I90&gt;0,1,0))</f>
        <v/>
      </c>
      <c r="J113" s="5">
        <f>-$B$77*J93*IF($C$77=1,J94,IF(J90&gt;0,1,0))</f>
        <v/>
      </c>
      <c r="K113" s="5">
        <f>-$B$77*K93*IF($C$77=1,K94,IF(K90&gt;0,1,0))</f>
        <v/>
      </c>
      <c r="L113" s="5">
        <f>-$B$77*L93*IF($C$77=1,L94,IF(L90&gt;0,1,0))</f>
        <v/>
      </c>
    </row>
    <row r="114">
      <c r="A114" t="inlineStr">
        <is>
          <t xml:space="preserve">  Divers (abonnements, petit matériel, véhicule, honoraires)</t>
        </is>
      </c>
      <c r="B114" s="5">
        <f>SUM(C114:L114)</f>
        <v/>
      </c>
      <c r="C114" s="5">
        <f>-$B$78*C93*IF($C$78=1,C94,IF(C90&gt;0,1,0))</f>
        <v/>
      </c>
      <c r="D114" s="5">
        <f>-$B$78*D93*IF($C$78=1,D94,IF(D90&gt;0,1,0))</f>
        <v/>
      </c>
      <c r="E114" s="5">
        <f>-$B$78*E93*IF($C$78=1,E94,IF(E90&gt;0,1,0))</f>
        <v/>
      </c>
      <c r="F114" s="5">
        <f>-$B$78*F93*IF($C$78=1,F94,IF(F90&gt;0,1,0))</f>
        <v/>
      </c>
      <c r="G114" s="5">
        <f>-$B$78*G93*IF($C$78=1,G94,IF(G90&gt;0,1,0))</f>
        <v/>
      </c>
      <c r="H114" s="5">
        <f>-$B$78*H93*IF($C$78=1,H94,IF(H90&gt;0,1,0))</f>
        <v/>
      </c>
      <c r="I114" s="5">
        <f>-$B$78*I93*IF($C$78=1,I94,IF(I90&gt;0,1,0))</f>
        <v/>
      </c>
      <c r="J114" s="5">
        <f>-$B$78*J93*IF($C$78=1,J94,IF(J90&gt;0,1,0))</f>
        <v/>
      </c>
      <c r="K114" s="5">
        <f>-$B$78*K93*IF($C$78=1,K94,IF(K90&gt;0,1,0))</f>
        <v/>
      </c>
      <c r="L114" s="5">
        <f>-$B$78*L93*IF($C$78=1,L94,IF(L90&gt;0,1,0))</f>
        <v/>
      </c>
    </row>
    <row r="115">
      <c r="A115" t="inlineStr">
        <is>
          <t xml:space="preserve">  Soigneurs (2 ETP au Smic chargés)</t>
        </is>
      </c>
      <c r="B115" s="5">
        <f>SUM(C115:L115)</f>
        <v/>
      </c>
      <c r="C115" s="5">
        <f>-$B$79*C93*IF($C$79=1,C94,IF(C90&gt;0,1,0))</f>
        <v/>
      </c>
      <c r="D115" s="5">
        <f>-$B$79*D93*IF($C$79=1,D94,IF(D90&gt;0,1,0))</f>
        <v/>
      </c>
      <c r="E115" s="5">
        <f>-$B$79*E93*IF($C$79=1,E94,IF(E90&gt;0,1,0))</f>
        <v/>
      </c>
      <c r="F115" s="5">
        <f>-$B$79*F93*IF($C$79=1,F94,IF(F90&gt;0,1,0))</f>
        <v/>
      </c>
      <c r="G115" s="5">
        <f>-$B$79*G93*IF($C$79=1,G94,IF(G90&gt;0,1,0))</f>
        <v/>
      </c>
      <c r="H115" s="5">
        <f>-$B$79*H93*IF($C$79=1,H94,IF(H90&gt;0,1,0))</f>
        <v/>
      </c>
      <c r="I115" s="5">
        <f>-$B$79*I93*IF($C$79=1,I94,IF(I90&gt;0,1,0))</f>
        <v/>
      </c>
      <c r="J115" s="5">
        <f>-$B$79*J93*IF($C$79=1,J94,IF(J90&gt;0,1,0))</f>
        <v/>
      </c>
      <c r="K115" s="5">
        <f>-$B$79*K93*IF($C$79=1,K94,IF(K90&gt;0,1,0))</f>
        <v/>
      </c>
      <c r="L115" s="5">
        <f>-$B$79*L93*IF($C$79=1,L94,IF(L90&gt;0,1,0))</f>
        <v/>
      </c>
    </row>
    <row r="116">
      <c r="A116" t="inlineStr">
        <is>
          <t xml:space="preserve">  Autres charges de structure équestres (entretien installations, matériel, assurance RC, énergie écuries)</t>
        </is>
      </c>
      <c r="B116" s="5">
        <f>SUM(C116:L116)</f>
        <v/>
      </c>
      <c r="C116" s="5">
        <f>-$B$80*C93*IF($C$80=1,C94,IF(C90&gt;0,1,0))</f>
        <v/>
      </c>
      <c r="D116" s="5">
        <f>-$B$80*D93*IF($C$80=1,D94,IF(D90&gt;0,1,0))</f>
        <v/>
      </c>
      <c r="E116" s="5">
        <f>-$B$80*E93*IF($C$80=1,E94,IF(E90&gt;0,1,0))</f>
        <v/>
      </c>
      <c r="F116" s="5">
        <f>-$B$80*F93*IF($C$80=1,F94,IF(F90&gt;0,1,0))</f>
        <v/>
      </c>
      <c r="G116" s="5">
        <f>-$B$80*G93*IF($C$80=1,G94,IF(G90&gt;0,1,0))</f>
        <v/>
      </c>
      <c r="H116" s="5">
        <f>-$B$80*H93*IF($C$80=1,H94,IF(H90&gt;0,1,0))</f>
        <v/>
      </c>
      <c r="I116" s="5">
        <f>-$B$80*I93*IF($C$80=1,I94,IF(I90&gt;0,1,0))</f>
        <v/>
      </c>
      <c r="J116" s="5">
        <f>-$B$80*J93*IF($C$80=1,J94,IF(J90&gt;0,1,0))</f>
        <v/>
      </c>
      <c r="K116" s="5">
        <f>-$B$80*K93*IF($C$80=1,K94,IF(K90&gt;0,1,0))</f>
        <v/>
      </c>
      <c r="L116" s="5">
        <f>-$B$80*L93*IF($C$80=1,L94,IF(L90&gt;0,1,0))</f>
        <v/>
      </c>
    </row>
    <row r="117">
      <c r="A117" t="inlineStr">
        <is>
          <t xml:space="preserve">  Coûts fixes mariages (coordination, nettoyage, publicité)</t>
        </is>
      </c>
      <c r="B117" s="5">
        <f>SUM(C117:L117)</f>
        <v/>
      </c>
      <c r="C117" s="5">
        <f>-$B$81*C93*IF($C$81=1,C94,IF(C90&gt;0,1,0))</f>
        <v/>
      </c>
      <c r="D117" s="5">
        <f>-$B$81*D93*IF($C$81=1,D94,IF(D90&gt;0,1,0))</f>
        <v/>
      </c>
      <c r="E117" s="5">
        <f>-$B$81*E93*IF($C$81=1,E94,IF(E90&gt;0,1,0))</f>
        <v/>
      </c>
      <c r="F117" s="5">
        <f>-$B$81*F93*IF($C$81=1,F94,IF(F90&gt;0,1,0))</f>
        <v/>
      </c>
      <c r="G117" s="5">
        <f>-$B$81*G93*IF($C$81=1,G94,IF(G90&gt;0,1,0))</f>
        <v/>
      </c>
      <c r="H117" s="5">
        <f>-$B$81*H93*IF($C$81=1,H94,IF(H90&gt;0,1,0))</f>
        <v/>
      </c>
      <c r="I117" s="5">
        <f>-$B$81*I93*IF($C$81=1,I94,IF(I90&gt;0,1,0))</f>
        <v/>
      </c>
      <c r="J117" s="5">
        <f>-$B$81*J93*IF($C$81=1,J94,IF(J90&gt;0,1,0))</f>
        <v/>
      </c>
      <c r="K117" s="5">
        <f>-$B$81*K93*IF($C$81=1,K94,IF(K90&gt;0,1,0))</f>
        <v/>
      </c>
      <c r="L117" s="5">
        <f>-$B$81*L93*IF($C$81=1,L94,IF(L90&gt;0,1,0))</f>
        <v/>
      </c>
    </row>
    <row r="118">
      <c r="A118" t="inlineStr">
        <is>
          <t xml:space="preserve">  Coûts fixes du gîte</t>
        </is>
      </c>
      <c r="B118" s="5">
        <f>SUM(C118:L118)</f>
        <v/>
      </c>
      <c r="C118" s="5">
        <f>-$B$82*C93*IF($C$82=1,C94,IF(C90&gt;0,1,0))</f>
        <v/>
      </c>
      <c r="D118" s="5">
        <f>-$B$82*D93*IF($C$82=1,D94,IF(D90&gt;0,1,0))</f>
        <v/>
      </c>
      <c r="E118" s="5">
        <f>-$B$82*E93*IF($C$82=1,E94,IF(E90&gt;0,1,0))</f>
        <v/>
      </c>
      <c r="F118" s="5">
        <f>-$B$82*F93*IF($C$82=1,F94,IF(F90&gt;0,1,0))</f>
        <v/>
      </c>
      <c r="G118" s="5">
        <f>-$B$82*G93*IF($C$82=1,G94,IF(G90&gt;0,1,0))</f>
        <v/>
      </c>
      <c r="H118" s="5">
        <f>-$B$82*H93*IF($C$82=1,H94,IF(H90&gt;0,1,0))</f>
        <v/>
      </c>
      <c r="I118" s="5">
        <f>-$B$82*I93*IF($C$82=1,I94,IF(I90&gt;0,1,0))</f>
        <v/>
      </c>
      <c r="J118" s="5">
        <f>-$B$82*J93*IF($C$82=1,J94,IF(J90&gt;0,1,0))</f>
        <v/>
      </c>
      <c r="K118" s="5">
        <f>-$B$82*K93*IF($C$82=1,K94,IF(K90&gt;0,1,0))</f>
        <v/>
      </c>
      <c r="L118" s="5">
        <f>-$B$82*L93*IF($C$82=1,L94,IF(L90&gt;0,1,0))</f>
        <v/>
      </c>
    </row>
    <row r="119">
      <c r="A119" t="inlineStr">
        <is>
          <t xml:space="preserve">  Commercial, site, salons</t>
        </is>
      </c>
      <c r="B119" s="5">
        <f>SUM(C119:L119)</f>
        <v/>
      </c>
      <c r="C119" s="5">
        <f>-$B$83*C93*IF($C$83=1,C94,IF(C90&gt;0,1,0))</f>
        <v/>
      </c>
      <c r="D119" s="5">
        <f>-$B$83*D93*IF($C$83=1,D94,IF(D90&gt;0,1,0))</f>
        <v/>
      </c>
      <c r="E119" s="5">
        <f>-$B$83*E93*IF($C$83=1,E94,IF(E90&gt;0,1,0))</f>
        <v/>
      </c>
      <c r="F119" s="5">
        <f>-$B$83*F93*IF($C$83=1,F94,IF(F90&gt;0,1,0))</f>
        <v/>
      </c>
      <c r="G119" s="5">
        <f>-$B$83*G93*IF($C$83=1,G94,IF(G90&gt;0,1,0))</f>
        <v/>
      </c>
      <c r="H119" s="5">
        <f>-$B$83*H93*IF($C$83=1,H94,IF(H90&gt;0,1,0))</f>
        <v/>
      </c>
      <c r="I119" s="5">
        <f>-$B$83*I93*IF($C$83=1,I94,IF(I90&gt;0,1,0))</f>
        <v/>
      </c>
      <c r="J119" s="5">
        <f>-$B$83*J93*IF($C$83=1,J94,IF(J90&gt;0,1,0))</f>
        <v/>
      </c>
      <c r="K119" s="5">
        <f>-$B$83*K93*IF($C$83=1,K94,IF(K90&gt;0,1,0))</f>
        <v/>
      </c>
      <c r="L119" s="5">
        <f>-$B$83*L93*IF($C$83=1,L94,IF(L90&gt;0,1,0))</f>
        <v/>
      </c>
    </row>
    <row r="120">
      <c r="A120" t="inlineStr">
        <is>
          <t xml:space="preserve">  Comptabilité, juridique, banque, logiciels</t>
        </is>
      </c>
      <c r="B120" s="5">
        <f>SUM(C120:L120)</f>
        <v/>
      </c>
      <c r="C120" s="5">
        <f>-$B$84*C93*IF($C$84=1,C94,IF(C90&gt;0,1,0))</f>
        <v/>
      </c>
      <c r="D120" s="5">
        <f>-$B$84*D93*IF($C$84=1,D94,IF(D90&gt;0,1,0))</f>
        <v/>
      </c>
      <c r="E120" s="5">
        <f>-$B$84*E93*IF($C$84=1,E94,IF(E90&gt;0,1,0))</f>
        <v/>
      </c>
      <c r="F120" s="5">
        <f>-$B$84*F93*IF($C$84=1,F94,IF(F90&gt;0,1,0))</f>
        <v/>
      </c>
      <c r="G120" s="5">
        <f>-$B$84*G93*IF($C$84=1,G94,IF(G90&gt;0,1,0))</f>
        <v/>
      </c>
      <c r="H120" s="5">
        <f>-$B$84*H93*IF($C$84=1,H94,IF(H90&gt;0,1,0))</f>
        <v/>
      </c>
      <c r="I120" s="5">
        <f>-$B$84*I93*IF($C$84=1,I94,IF(I90&gt;0,1,0))</f>
        <v/>
      </c>
      <c r="J120" s="5">
        <f>-$B$84*J93*IF($C$84=1,J94,IF(J90&gt;0,1,0))</f>
        <v/>
      </c>
      <c r="K120" s="5">
        <f>-$B$84*K93*IF($C$84=1,K94,IF(K90&gt;0,1,0))</f>
        <v/>
      </c>
      <c r="L120" s="5">
        <f>-$B$84*L93*IF($C$84=1,L94,IF(L90&gt;0,1,0))</f>
        <v/>
      </c>
    </row>
    <row r="121">
      <c r="A121" t="inlineStr">
        <is>
          <t xml:space="preserve">  Rémunération du dirigeant (chargée)</t>
        </is>
      </c>
      <c r="B121" s="5">
        <f>SUM(C121:L121)</f>
        <v/>
      </c>
      <c r="C121" s="5">
        <f>-$B$85*C93*IF($C$85=1,C94,IF(C90&gt;0,1,0))</f>
        <v/>
      </c>
      <c r="D121" s="5">
        <f>-$B$85*D93*IF($C$85=1,D94,IF(D90&gt;0,1,0))</f>
        <v/>
      </c>
      <c r="E121" s="5">
        <f>-$B$85*E93*IF($C$85=1,E94,IF(E90&gt;0,1,0))</f>
        <v/>
      </c>
      <c r="F121" s="5">
        <f>-$B$85*F93*IF($C$85=1,F94,IF(F90&gt;0,1,0))</f>
        <v/>
      </c>
      <c r="G121" s="5">
        <f>-$B$85*G93*IF($C$85=1,G94,IF(G90&gt;0,1,0))</f>
        <v/>
      </c>
      <c r="H121" s="5">
        <f>-$B$85*H93*IF($C$85=1,H94,IF(H90&gt;0,1,0))</f>
        <v/>
      </c>
      <c r="I121" s="5">
        <f>-$B$85*I93*IF($C$85=1,I94,IF(I90&gt;0,1,0))</f>
        <v/>
      </c>
      <c r="J121" s="5">
        <f>-$B$85*J93*IF($C$85=1,J94,IF(J90&gt;0,1,0))</f>
        <v/>
      </c>
      <c r="K121" s="5">
        <f>-$B$85*K93*IF($C$85=1,K94,IF(K90&gt;0,1,0))</f>
        <v/>
      </c>
      <c r="L121" s="5">
        <f>-$B$85*L93*IF($C$85=1,L94,IF(L90&gt;0,1,0))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C110+C111+C112+C113+C114+C115+C116+C117+C118+C119+C120+C121</f>
        <v/>
      </c>
      <c r="D122" s="18">
        <f>D110+D111+D112+D113+D114+D115+D116+D117+D118+D119+D120+D121</f>
        <v/>
      </c>
      <c r="E122" s="18">
        <f>E110+E111+E112+E113+E114+E115+E116+E117+E118+E119+E120+E121</f>
        <v/>
      </c>
      <c r="F122" s="18">
        <f>F110+F111+F112+F113+F114+F115+F116+F117+F118+F119+F120+F121</f>
        <v/>
      </c>
      <c r="G122" s="18">
        <f>G110+G111+G112+G113+G114+G115+G116+G117+G118+G119+G120+G121</f>
        <v/>
      </c>
      <c r="H122" s="18">
        <f>H110+H111+H112+H113+H114+H115+H116+H117+H118+H119+H120+H121</f>
        <v/>
      </c>
      <c r="I122" s="18">
        <f>I110+I111+I112+I113+I114+I115+I116+I117+I118+I119+I120+I121</f>
        <v/>
      </c>
      <c r="J122" s="18">
        <f>J110+J111+J112+J113+J114+J115+J116+J117+J118+J119+J120+J121</f>
        <v/>
      </c>
      <c r="K122" s="18">
        <f>K110+K111+K112+K113+K114+K115+K116+K117+K118+K119+K120+K121</f>
        <v/>
      </c>
      <c r="L122" s="18">
        <f>L110+L111+L112+L113+L114+L115+L116+L117+L118+L119+L120+L121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-IF(C94=0,IF(C$88&gt;=$B$6,$B$18*C93,0),0)</f>
        <v/>
      </c>
      <c r="D123" s="5">
        <f>-IF(D94=0,IF(D$88&gt;=$B$6,$B$18*D93,0),0)</f>
        <v/>
      </c>
      <c r="E123" s="5">
        <f>-IF(E94=0,IF(E$88&gt;=$B$6,$B$18*E93,0),0)</f>
        <v/>
      </c>
      <c r="F123" s="5">
        <f>-IF(F94=0,IF(F$88&gt;=$B$6,$B$18*F93,0),0)</f>
        <v/>
      </c>
      <c r="G123" s="5">
        <f>-IF(G94=0,IF(G$88&gt;=$B$6,$B$18*G93,0),0)</f>
        <v/>
      </c>
      <c r="H123" s="5">
        <f>-IF(H94=0,IF(H$88&gt;=$B$6,$B$18*H93,0),0)</f>
        <v/>
      </c>
      <c r="I123" s="5">
        <f>-IF(I94=0,IF(I$88&gt;=$B$6,$B$18*I93,0),0)</f>
        <v/>
      </c>
      <c r="J123" s="5">
        <f>-IF(J94=0,IF(J$88&gt;=$B$6,$B$18*J93,0),0)</f>
        <v/>
      </c>
      <c r="K123" s="5">
        <f>-IF(K94=0,IF(K$88&gt;=$B$6,$B$18*K93,0),0)</f>
        <v/>
      </c>
      <c r="L123" s="5">
        <f>-IF(L94=0,IF(L$88&gt;=$B$6,$B$18*L93,0),0)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C109+C122+C123</f>
        <v/>
      </c>
      <c r="D124" s="18">
        <f>D109+D122+D123</f>
        <v/>
      </c>
      <c r="E124" s="18">
        <f>E109+E122+E123</f>
        <v/>
      </c>
      <c r="F124" s="18">
        <f>F109+F122+F123</f>
        <v/>
      </c>
      <c r="G124" s="18">
        <f>G109+G122+G123</f>
        <v/>
      </c>
      <c r="H124" s="18">
        <f>H109+H122+H123</f>
        <v/>
      </c>
      <c r="I124" s="18">
        <f>I109+I122+I123</f>
        <v/>
      </c>
      <c r="J124" s="18">
        <f>J109+J122+J123</f>
        <v/>
      </c>
      <c r="K124" s="18">
        <f>K109+K122+K123</f>
        <v/>
      </c>
      <c r="L124" s="18">
        <f>L109+L122+L123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C94*$B$20*C93</f>
        <v/>
      </c>
      <c r="D125" s="5">
        <f>D94*$B$20*D93</f>
        <v/>
      </c>
      <c r="E125" s="5">
        <f>E94*$B$20*E93</f>
        <v/>
      </c>
      <c r="F125" s="5">
        <f>F94*$B$20*F93</f>
        <v/>
      </c>
      <c r="G125" s="5">
        <f>G94*$B$20*G93</f>
        <v/>
      </c>
      <c r="H125" s="5">
        <f>H94*$B$20*H93</f>
        <v/>
      </c>
      <c r="I125" s="5">
        <f>I94*$B$20*I93</f>
        <v/>
      </c>
      <c r="J125" s="5">
        <f>J94*$B$20*J93</f>
        <v/>
      </c>
      <c r="K125" s="5">
        <f>K94*$B$20*K93</f>
        <v/>
      </c>
      <c r="L125" s="5">
        <f>L94*$B$20*L93</f>
        <v/>
      </c>
    </row>
    <row r="126">
      <c r="A126" t="inlineStr">
        <is>
          <t xml:space="preserve">  Marge d'EBITDA</t>
        </is>
      </c>
      <c r="C126" s="6">
        <f>IF(C105=0,0,C124/C105)</f>
        <v/>
      </c>
      <c r="D126" s="6">
        <f>IF(D105=0,0,D124/D105)</f>
        <v/>
      </c>
      <c r="E126" s="6">
        <f>IF(E105=0,0,E124/E105)</f>
        <v/>
      </c>
      <c r="F126" s="6">
        <f>IF(F105=0,0,F124/F105)</f>
        <v/>
      </c>
      <c r="G126" s="6">
        <f>IF(G105=0,0,G124/G105)</f>
        <v/>
      </c>
      <c r="H126" s="6">
        <f>IF(H105=0,0,H124/H105)</f>
        <v/>
      </c>
      <c r="I126" s="6">
        <f>IF(I105=0,0,I124/I105)</f>
        <v/>
      </c>
      <c r="J126" s="6">
        <f>IF(J105=0,0,J124/J105)</f>
        <v/>
      </c>
      <c r="K126" s="6">
        <f>IF(K105=0,0,K124/K105)</f>
        <v/>
      </c>
      <c r="L126" s="6">
        <f>IF(L105=0,0,L124/L105)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($B$10+$B$11+$B$12)*$B$46*IF(C$88=$B$5,$B$13,IF(C$88=$B$5+1,$B$14,IF(C$88=$B$5+2,$B$15,0)))*C93</f>
        <v/>
      </c>
      <c r="D127" s="5">
        <f>($B$10+$B$11+$B$12)*$B$46*IF(D$88=$B$5,$B$13,IF(D$88=$B$5+1,$B$14,IF(D$88=$B$5+2,$B$15,0)))*D93</f>
        <v/>
      </c>
      <c r="E127" s="5">
        <f>($B$10+$B$11+$B$12)*$B$46*IF(E$88=$B$5,$B$13,IF(E$88=$B$5+1,$B$14,IF(E$88=$B$5+2,$B$15,0)))*E93</f>
        <v/>
      </c>
      <c r="F127" s="5">
        <f>($B$10+$B$11+$B$12)*$B$46*IF(F$88=$B$5,$B$13,IF(F$88=$B$5+1,$B$14,IF(F$88=$B$5+2,$B$15,0)))*F93</f>
        <v/>
      </c>
      <c r="G127" s="5">
        <f>($B$10+$B$11+$B$12)*$B$46*IF(G$88=$B$5,$B$13,IF(G$88=$B$5+1,$B$14,IF(G$88=$B$5+2,$B$15,0)))*G93</f>
        <v/>
      </c>
      <c r="H127" s="5">
        <f>($B$10+$B$11+$B$12)*$B$46*IF(H$88=$B$5,$B$13,IF(H$88=$B$5+1,$B$14,IF(H$88=$B$5+2,$B$15,0)))*H93</f>
        <v/>
      </c>
      <c r="I127" s="5">
        <f>($B$10+$B$11+$B$12)*$B$46*IF(I$88=$B$5,$B$13,IF(I$88=$B$5+1,$B$14,IF(I$88=$B$5+2,$B$15,0)))*I93</f>
        <v/>
      </c>
      <c r="J127" s="5">
        <f>($B$10+$B$11+$B$12)*$B$46*IF(J$88=$B$5,$B$13,IF(J$88=$B$5+1,$B$14,IF(J$88=$B$5+2,$B$15,0)))*J93</f>
        <v/>
      </c>
      <c r="K127" s="5">
        <f>($B$10+$B$11+$B$12)*$B$46*IF(K$88=$B$5,$B$13,IF(K$88=$B$5+1,$B$14,IF(K$88=$B$5+2,$B$15,0)))*K93</f>
        <v/>
      </c>
      <c r="L127" s="5">
        <f>($B$10+$B$11+$B$12)*$B$46*IF(L$88=$B$5,$B$13,IF(L$88=$B$5+1,$B$14,IF(L$88=$B$5+2,$B$15,0)))*L93</f>
        <v/>
      </c>
    </row>
    <row r="128">
      <c r="A128" t="inlineStr">
        <is>
          <t>Acquisition (prix + frais)</t>
        </is>
      </c>
      <c r="B128" s="5">
        <f>SUM(C128:L128)</f>
        <v/>
      </c>
      <c r="C128" s="5">
        <f>IF(C$88=$B$5,$B$7*(1+$B$8),0)</f>
        <v/>
      </c>
      <c r="D128" s="5">
        <f>IF(D$88=$B$5,$B$7*(1+$B$8),0)</f>
        <v/>
      </c>
      <c r="E128" s="5">
        <f>IF(E$88=$B$5,$B$7*(1+$B$8),0)</f>
        <v/>
      </c>
      <c r="F128" s="5">
        <f>IF(F$88=$B$5,$B$7*(1+$B$8),0)</f>
        <v/>
      </c>
      <c r="G128" s="5">
        <f>IF(G$88=$B$5,$B$7*(1+$B$8),0)</f>
        <v/>
      </c>
      <c r="H128" s="5">
        <f>IF(H$88=$B$5,$B$7*(1+$B$8),0)</f>
        <v/>
      </c>
      <c r="I128" s="5">
        <f>IF(I$88=$B$5,$B$7*(1+$B$8),0)</f>
        <v/>
      </c>
      <c r="J128" s="5">
        <f>IF(J$88=$B$5,$B$7*(1+$B$8),0)</f>
        <v/>
      </c>
      <c r="K128" s="5">
        <f>IF(K$88=$B$5,$B$7*(1+$B$8),0)</f>
        <v/>
      </c>
      <c r="L128" s="5">
        <f>IF(L$88=$B$5,$B$7*(1+$B$8),0)</f>
        <v/>
      </c>
    </row>
    <row r="129">
      <c r="A129" t="inlineStr">
        <is>
          <t>Gros entretien patrimonial récurrent</t>
        </is>
      </c>
      <c r="B129" s="5">
        <f>SUM(C129:L129)</f>
        <v/>
      </c>
      <c r="C129" s="5">
        <f>IF(C$88&gt;=$B$5+3,$B$16*($B$7+($B$10+$B$11+$B$12)*$B$46)*C93,0)</f>
        <v/>
      </c>
      <c r="D129" s="5">
        <f>IF(D$88&gt;=$B$5+3,$B$16*($B$7+($B$10+$B$11+$B$12)*$B$46)*D93,0)</f>
        <v/>
      </c>
      <c r="E129" s="5">
        <f>IF(E$88&gt;=$B$5+3,$B$16*($B$7+($B$10+$B$11+$B$12)*$B$46)*E93,0)</f>
        <v/>
      </c>
      <c r="F129" s="5">
        <f>IF(F$88&gt;=$B$5+3,$B$16*($B$7+($B$10+$B$11+$B$12)*$B$46)*F93,0)</f>
        <v/>
      </c>
      <c r="G129" s="5">
        <f>IF(G$88&gt;=$B$5+3,$B$16*($B$7+($B$10+$B$11+$B$12)*$B$46)*G93,0)</f>
        <v/>
      </c>
      <c r="H129" s="5">
        <f>IF(H$88&gt;=$B$5+3,$B$16*($B$7+($B$10+$B$11+$B$12)*$B$46)*H93,0)</f>
        <v/>
      </c>
      <c r="I129" s="5">
        <f>IF(I$88&gt;=$B$5+3,$B$16*($B$7+($B$10+$B$11+$B$12)*$B$46)*I93,0)</f>
        <v/>
      </c>
      <c r="J129" s="5">
        <f>IF(J$88&gt;=$B$5+3,$B$16*($B$7+($B$10+$B$11+$B$12)*$B$46)*J93,0)</f>
        <v/>
      </c>
      <c r="K129" s="5">
        <f>IF(K$88&gt;=$B$5+3,$B$16*($B$7+($B$10+$B$11+$B$12)*$B$46)*K93,0)</f>
        <v/>
      </c>
      <c r="L129" s="5">
        <f>IF(L$88&gt;=$B$5+3,$B$16*($B$7+($B$10+$B$11+$B$12)*$B$46)*L93,0)</f>
        <v/>
      </c>
    </row>
    <row r="130">
      <c r="A130" t="inlineStr">
        <is>
          <t>Investissements amortissables cumulés</t>
        </is>
      </c>
      <c r="C130" s="5">
        <f>C127+C129</f>
        <v/>
      </c>
      <c r="D130" s="5">
        <f>C130+D127+D129</f>
        <v/>
      </c>
      <c r="E130" s="5">
        <f>D130+E127+E129</f>
        <v/>
      </c>
      <c r="F130" s="5">
        <f>E130+F127+F129</f>
        <v/>
      </c>
      <c r="G130" s="5">
        <f>F130+G127+G129</f>
        <v/>
      </c>
      <c r="H130" s="5">
        <f>G130+H127+H129</f>
        <v/>
      </c>
      <c r="I130" s="5">
        <f>H130+I127+I129</f>
        <v/>
      </c>
      <c r="J130" s="5">
        <f>I130+J127+J129</f>
        <v/>
      </c>
      <c r="K130" s="5">
        <f>J130+K127+K129</f>
        <v/>
      </c>
      <c r="L130" s="5">
        <f>K130+L127+L129</f>
        <v/>
      </c>
    </row>
    <row r="131">
      <c r="A131" t="inlineStr">
        <is>
          <t>Dotations aux amortissements (bâti 30 ans, travaux 15 ans)</t>
        </is>
      </c>
      <c r="B131" s="5">
        <f>SUM(C131:L131)</f>
        <v/>
      </c>
      <c r="C131" s="5">
        <f>-(C94*$B$7*(1+$B$8)*$B$9/30+C130/15)</f>
        <v/>
      </c>
      <c r="D131" s="5">
        <f>-(D94*$B$7*(1+$B$8)*$B$9/30+D130/15)</f>
        <v/>
      </c>
      <c r="E131" s="5">
        <f>-(E94*$B$7*(1+$B$8)*$B$9/30+E130/15)</f>
        <v/>
      </c>
      <c r="F131" s="5">
        <f>-(F94*$B$7*(1+$B$8)*$B$9/30+F130/15)</f>
        <v/>
      </c>
      <c r="G131" s="5">
        <f>-(G94*$B$7*(1+$B$8)*$B$9/30+G130/15)</f>
        <v/>
      </c>
      <c r="H131" s="5">
        <f>-(H94*$B$7*(1+$B$8)*$B$9/30+H130/15)</f>
        <v/>
      </c>
      <c r="I131" s="5">
        <f>-(I94*$B$7*(1+$B$8)*$B$9/30+I130/15)</f>
        <v/>
      </c>
      <c r="J131" s="5">
        <f>-(J94*$B$7*(1+$B$8)*$B$9/30+J130/15)</f>
        <v/>
      </c>
      <c r="K131" s="5">
        <f>-(K94*$B$7*(1+$B$8)*$B$9/30+K130/15)</f>
        <v/>
      </c>
      <c r="L131" s="5">
        <f>-(L94*$B$7*(1+$B$8)*$B$9/30+L130/15)</f>
        <v/>
      </c>
    </row>
    <row r="132">
      <c r="A132" s="4" t="inlineStr">
        <is>
          <t>Résultat d'exploitation</t>
        </is>
      </c>
      <c r="B132" s="18">
        <f>SUM(C132:L132)</f>
        <v/>
      </c>
      <c r="C132" s="18">
        <f>C124+C131</f>
        <v/>
      </c>
      <c r="D132" s="18">
        <f>D124+D131</f>
        <v/>
      </c>
      <c r="E132" s="18">
        <f>E124+E131</f>
        <v/>
      </c>
      <c r="F132" s="18">
        <f>F124+F131</f>
        <v/>
      </c>
      <c r="G132" s="18">
        <f>G124+G131</f>
        <v/>
      </c>
      <c r="H132" s="18">
        <f>H124+H131</f>
        <v/>
      </c>
      <c r="I132" s="18">
        <f>I124+I131</f>
        <v/>
      </c>
      <c r="J132" s="18">
        <f>J124+J131</f>
        <v/>
      </c>
      <c r="K132" s="18">
        <f>K124+K131</f>
        <v/>
      </c>
      <c r="L132" s="18">
        <f>L124+L131</f>
        <v/>
      </c>
    </row>
    <row r="134">
      <c r="A134" s="4" t="inlineStr">
        <is>
          <t>Échéancier des emprunts</t>
        </is>
      </c>
    </row>
    <row r="135">
      <c r="A135" t="inlineStr">
        <is>
          <t>Taux bancaire effectif</t>
        </is>
      </c>
      <c r="C135" s="6">
        <f>$B$28+$B$48</f>
        <v/>
      </c>
      <c r="D135" s="6">
        <f>$B$28+$B$48</f>
        <v/>
      </c>
      <c r="E135" s="6">
        <f>$B$28+$B$48</f>
        <v/>
      </c>
      <c r="F135" s="6">
        <f>$B$28+$B$48</f>
        <v/>
      </c>
      <c r="G135" s="6">
        <f>$B$28+$B$48</f>
        <v/>
      </c>
      <c r="H135" s="6">
        <f>$B$28+$B$48</f>
        <v/>
      </c>
      <c r="I135" s="6">
        <f>$B$28+$B$48</f>
        <v/>
      </c>
      <c r="J135" s="6">
        <f>$B$28+$B$48</f>
        <v/>
      </c>
      <c r="K135" s="6">
        <f>$B$28+$B$48</f>
        <v/>
      </c>
      <c r="L135" s="6">
        <f>$B$28+$B$48</f>
        <v/>
      </c>
    </row>
    <row r="136">
      <c r="A136" t="inlineStr">
        <is>
          <t>Rang de l'année d'emprunt</t>
        </is>
      </c>
      <c r="C136" s="8">
        <f>MAX(0,C$88-$B$5+1)</f>
        <v/>
      </c>
      <c r="D136" s="8">
        <f>MAX(0,D$88-$B$5+1)</f>
        <v/>
      </c>
      <c r="E136" s="8">
        <f>MAX(0,E$88-$B$5+1)</f>
        <v/>
      </c>
      <c r="F136" s="8">
        <f>MAX(0,F$88-$B$5+1)</f>
        <v/>
      </c>
      <c r="G136" s="8">
        <f>MAX(0,G$88-$B$5+1)</f>
        <v/>
      </c>
      <c r="H136" s="8">
        <f>MAX(0,H$88-$B$5+1)</f>
        <v/>
      </c>
      <c r="I136" s="8">
        <f>MAX(0,I$88-$B$5+1)</f>
        <v/>
      </c>
      <c r="J136" s="8">
        <f>MAX(0,J$88-$B$5+1)</f>
        <v/>
      </c>
      <c r="K136" s="8">
        <f>MAX(0,K$88-$B$5+1)</f>
        <v/>
      </c>
      <c r="L136" s="8">
        <f>MAX(0,L$88-$B$5+1)</f>
        <v/>
      </c>
    </row>
    <row r="137">
      <c r="A137" t="inlineStr">
        <is>
          <t>Dette bancaire — capital début</t>
        </is>
      </c>
      <c r="C137" s="5">
        <f>IF(C136=1,$B$27,0)</f>
        <v/>
      </c>
      <c r="D137" s="5">
        <f>IF(D136=1,$B$27,C140)</f>
        <v/>
      </c>
      <c r="E137" s="5">
        <f>IF(E136=1,$B$27,D140)</f>
        <v/>
      </c>
      <c r="F137" s="5">
        <f>IF(F136=1,$B$27,E140)</f>
        <v/>
      </c>
      <c r="G137" s="5">
        <f>IF(G136=1,$B$27,F140)</f>
        <v/>
      </c>
      <c r="H137" s="5">
        <f>IF(H136=1,$B$27,G140)</f>
        <v/>
      </c>
      <c r="I137" s="5">
        <f>IF(I136=1,$B$27,H140)</f>
        <v/>
      </c>
      <c r="J137" s="5">
        <f>IF(J136=1,$B$27,I140)</f>
        <v/>
      </c>
      <c r="K137" s="5">
        <f>IF(K136=1,$B$27,J140)</f>
        <v/>
      </c>
      <c r="L137" s="5">
        <f>IF(L136=1,$B$27,K140)</f>
        <v/>
      </c>
    </row>
    <row r="138">
      <c r="A138" t="inlineStr">
        <is>
          <t xml:space="preserve">  Intérêts</t>
        </is>
      </c>
      <c r="B138" s="5">
        <f>SUM(C138:L138)</f>
        <v/>
      </c>
      <c r="C138" s="5">
        <f>C137*C135</f>
        <v/>
      </c>
      <c r="D138" s="5">
        <f>D137*D135</f>
        <v/>
      </c>
      <c r="E138" s="5">
        <f>E137*E135</f>
        <v/>
      </c>
      <c r="F138" s="5">
        <f>F137*F135</f>
        <v/>
      </c>
      <c r="G138" s="5">
        <f>G137*G135</f>
        <v/>
      </c>
      <c r="H138" s="5">
        <f>H137*H135</f>
        <v/>
      </c>
      <c r="I138" s="5">
        <f>I137*I135</f>
        <v/>
      </c>
      <c r="J138" s="5">
        <f>J137*J135</f>
        <v/>
      </c>
      <c r="K138" s="5">
        <f>K137*K135</f>
        <v/>
      </c>
      <c r="L138" s="5">
        <f>L137*L135</f>
        <v/>
      </c>
    </row>
    <row r="139">
      <c r="A139" t="inlineStr">
        <is>
          <t xml:space="preserve">  Amortissement du capital</t>
        </is>
      </c>
      <c r="B139" s="5">
        <f>SUM(C139:L139)</f>
        <v/>
      </c>
      <c r="C139" s="5">
        <f>IF(OR(C136=0,C136&lt;=$B$30,C137&lt;=0),0,MIN(C137,PMT(C135,$B$29-$B$30,-$B$27)-C138))</f>
        <v/>
      </c>
      <c r="D139" s="5">
        <f>IF(OR(D136=0,D136&lt;=$B$30,D137&lt;=0),0,MIN(D137,PMT(D135,$B$29-$B$30,-$B$27)-D138))</f>
        <v/>
      </c>
      <c r="E139" s="5">
        <f>IF(OR(E136=0,E136&lt;=$B$30,E137&lt;=0),0,MIN(E137,PMT(E135,$B$29-$B$30,-$B$27)-E138))</f>
        <v/>
      </c>
      <c r="F139" s="5">
        <f>IF(OR(F136=0,F136&lt;=$B$30,F137&lt;=0),0,MIN(F137,PMT(F135,$B$29-$B$30,-$B$27)-F138))</f>
        <v/>
      </c>
      <c r="G139" s="5">
        <f>IF(OR(G136=0,G136&lt;=$B$30,G137&lt;=0),0,MIN(G137,PMT(G135,$B$29-$B$30,-$B$27)-G138))</f>
        <v/>
      </c>
      <c r="H139" s="5">
        <f>IF(OR(H136=0,H136&lt;=$B$30,H137&lt;=0),0,MIN(H137,PMT(H135,$B$29-$B$30,-$B$27)-H138))</f>
        <v/>
      </c>
      <c r="I139" s="5">
        <f>IF(OR(I136=0,I136&lt;=$B$30,I137&lt;=0),0,MIN(I137,PMT(I135,$B$29-$B$30,-$B$27)-I138))</f>
        <v/>
      </c>
      <c r="J139" s="5">
        <f>IF(OR(J136=0,J136&lt;=$B$30,J137&lt;=0),0,MIN(J137,PMT(J135,$B$29-$B$30,-$B$27)-J138))</f>
        <v/>
      </c>
      <c r="K139" s="5">
        <f>IF(OR(K136=0,K136&lt;=$B$30,K137&lt;=0),0,MIN(K137,PMT(K135,$B$29-$B$30,-$B$27)-K138))</f>
        <v/>
      </c>
      <c r="L139" s="5">
        <f>IF(OR(L136=0,L136&lt;=$B$30,L137&lt;=0),0,MIN(L137,PMT(L135,$B$29-$B$30,-$B$27)-L138))</f>
        <v/>
      </c>
    </row>
    <row r="140">
      <c r="A140" t="inlineStr">
        <is>
          <t>Dette bancaire — capital fin</t>
        </is>
      </c>
      <c r="C140" s="5">
        <f>C137-C139</f>
        <v/>
      </c>
      <c r="D140" s="5">
        <f>D137-D139</f>
        <v/>
      </c>
      <c r="E140" s="5">
        <f>E137-E139</f>
        <v/>
      </c>
      <c r="F140" s="5">
        <f>F137-F139</f>
        <v/>
      </c>
      <c r="G140" s="5">
        <f>G137-G139</f>
        <v/>
      </c>
      <c r="H140" s="5">
        <f>H137-H139</f>
        <v/>
      </c>
      <c r="I140" s="5">
        <f>I137-I139</f>
        <v/>
      </c>
      <c r="J140" s="5">
        <f>J137-J139</f>
        <v/>
      </c>
      <c r="K140" s="5">
        <f>K137-K139</f>
        <v/>
      </c>
      <c r="L140" s="5">
        <f>L137-L139</f>
        <v/>
      </c>
    </row>
    <row r="141">
      <c r="A141" t="inlineStr">
        <is>
          <t>Crédit-vendeur — capital début</t>
        </is>
      </c>
      <c r="C141" s="5">
        <f>IF(C136=1,$B$31,0)</f>
        <v/>
      </c>
      <c r="D141" s="5">
        <f>IF(D136=1,$B$31,C144)</f>
        <v/>
      </c>
      <c r="E141" s="5">
        <f>IF(E136=1,$B$31,D144)</f>
        <v/>
      </c>
      <c r="F141" s="5">
        <f>IF(F136=1,$B$31,E144)</f>
        <v/>
      </c>
      <c r="G141" s="5">
        <f>IF(G136=1,$B$31,F144)</f>
        <v/>
      </c>
      <c r="H141" s="5">
        <f>IF(H136=1,$B$31,G144)</f>
        <v/>
      </c>
      <c r="I141" s="5">
        <f>IF(I136=1,$B$31,H144)</f>
        <v/>
      </c>
      <c r="J141" s="5">
        <f>IF(J136=1,$B$31,I144)</f>
        <v/>
      </c>
      <c r="K141" s="5">
        <f>IF(K136=1,$B$31,J144)</f>
        <v/>
      </c>
      <c r="L141" s="5">
        <f>IF(L136=1,$B$31,K144)</f>
        <v/>
      </c>
    </row>
    <row r="142">
      <c r="A142" t="inlineStr">
        <is>
          <t xml:space="preserve">  Intérêts crédit-vendeur</t>
        </is>
      </c>
      <c r="B142" s="5">
        <f>SUM(C142:L142)</f>
        <v/>
      </c>
      <c r="C142" s="5">
        <f>C141*$B$32</f>
        <v/>
      </c>
      <c r="D142" s="5">
        <f>D141*$B$32</f>
        <v/>
      </c>
      <c r="E142" s="5">
        <f>E141*$B$32</f>
        <v/>
      </c>
      <c r="F142" s="5">
        <f>F141*$B$32</f>
        <v/>
      </c>
      <c r="G142" s="5">
        <f>G141*$B$32</f>
        <v/>
      </c>
      <c r="H142" s="5">
        <f>H141*$B$32</f>
        <v/>
      </c>
      <c r="I142" s="5">
        <f>I141*$B$32</f>
        <v/>
      </c>
      <c r="J142" s="5">
        <f>J141*$B$32</f>
        <v/>
      </c>
      <c r="K142" s="5">
        <f>K141*$B$32</f>
        <v/>
      </c>
      <c r="L142" s="5">
        <f>L141*$B$32</f>
        <v/>
      </c>
    </row>
    <row r="143">
      <c r="A143" t="inlineStr">
        <is>
          <t xml:space="preserve">  Amortissement crédit-vendeur</t>
        </is>
      </c>
      <c r="B143" s="5">
        <f>SUM(C143:L143)</f>
        <v/>
      </c>
      <c r="C143" s="5">
        <f>IF(OR(C136=0,C141&lt;=0),0,MIN(C141,IF($B$32=0,$B$31/$B$33,PMT($B$32,$B$33,-$B$31)-C142)))</f>
        <v/>
      </c>
      <c r="D143" s="5">
        <f>IF(OR(D136=0,D141&lt;=0),0,MIN(D141,IF($B$32=0,$B$31/$B$33,PMT($B$32,$B$33,-$B$31)-D142)))</f>
        <v/>
      </c>
      <c r="E143" s="5">
        <f>IF(OR(E136=0,E141&lt;=0),0,MIN(E141,IF($B$32=0,$B$31/$B$33,PMT($B$32,$B$33,-$B$31)-E142)))</f>
        <v/>
      </c>
      <c r="F143" s="5">
        <f>IF(OR(F136=0,F141&lt;=0),0,MIN(F141,IF($B$32=0,$B$31/$B$33,PMT($B$32,$B$33,-$B$31)-F142)))</f>
        <v/>
      </c>
      <c r="G143" s="5">
        <f>IF(OR(G136=0,G141&lt;=0),0,MIN(G141,IF($B$32=0,$B$31/$B$33,PMT($B$32,$B$33,-$B$31)-G142)))</f>
        <v/>
      </c>
      <c r="H143" s="5">
        <f>IF(OR(H136=0,H141&lt;=0),0,MIN(H141,IF($B$32=0,$B$31/$B$33,PMT($B$32,$B$33,-$B$31)-H142)))</f>
        <v/>
      </c>
      <c r="I143" s="5">
        <f>IF(OR(I136=0,I141&lt;=0),0,MIN(I141,IF($B$32=0,$B$31/$B$33,PMT($B$32,$B$33,-$B$31)-I142)))</f>
        <v/>
      </c>
      <c r="J143" s="5">
        <f>IF(OR(J136=0,J141&lt;=0),0,MIN(J141,IF($B$32=0,$B$31/$B$33,PMT($B$32,$B$33,-$B$31)-J142)))</f>
        <v/>
      </c>
      <c r="K143" s="5">
        <f>IF(OR(K136=0,K141&lt;=0),0,MIN(K141,IF($B$32=0,$B$31/$B$33,PMT($B$32,$B$33,-$B$31)-K142)))</f>
        <v/>
      </c>
      <c r="L143" s="5">
        <f>IF(OR(L136=0,L141&lt;=0),0,MIN(L141,IF($B$32=0,$B$31/$B$33,PMT($B$32,$B$33,-$B$31)-L142)))</f>
        <v/>
      </c>
    </row>
    <row r="144">
      <c r="A144" t="inlineStr">
        <is>
          <t>Crédit-vendeur — capital fin</t>
        </is>
      </c>
      <c r="C144" s="5">
        <f>C141-C143</f>
        <v/>
      </c>
      <c r="D144" s="5">
        <f>D141-D143</f>
        <v/>
      </c>
      <c r="E144" s="5">
        <f>E141-E143</f>
        <v/>
      </c>
      <c r="F144" s="5">
        <f>F141-F143</f>
        <v/>
      </c>
      <c r="G144" s="5">
        <f>G141-G143</f>
        <v/>
      </c>
      <c r="H144" s="5">
        <f>H141-H143</f>
        <v/>
      </c>
      <c r="I144" s="5">
        <f>I141-I143</f>
        <v/>
      </c>
      <c r="J144" s="5">
        <f>J141-J143</f>
        <v/>
      </c>
      <c r="K144" s="5">
        <f>K141-K143</f>
        <v/>
      </c>
      <c r="L144" s="5">
        <f>L141-L143</f>
        <v/>
      </c>
    </row>
    <row r="145">
      <c r="A145" t="inlineStr">
        <is>
          <t>Obligations — encours</t>
        </is>
      </c>
      <c r="C145" s="5">
        <f>IF(AND(C$88&gt;=$B$5,C$88&lt;=$B$36),$B$34,0)</f>
        <v/>
      </c>
      <c r="D145" s="5">
        <f>IF(AND(D$88&gt;=$B$5,D$88&lt;=$B$36),$B$34,0)</f>
        <v/>
      </c>
      <c r="E145" s="5">
        <f>IF(AND(E$88&gt;=$B$5,E$88&lt;=$B$36),$B$34,0)</f>
        <v/>
      </c>
      <c r="F145" s="5">
        <f>IF(AND(F$88&gt;=$B$5,F$88&lt;=$B$36),$B$34,0)</f>
        <v/>
      </c>
      <c r="G145" s="5">
        <f>IF(AND(G$88&gt;=$B$5,G$88&lt;=$B$36),$B$34,0)</f>
        <v/>
      </c>
      <c r="H145" s="5">
        <f>IF(AND(H$88&gt;=$B$5,H$88&lt;=$B$36),$B$34,0)</f>
        <v/>
      </c>
      <c r="I145" s="5">
        <f>IF(AND(I$88&gt;=$B$5,I$88&lt;=$B$36),$B$34,0)</f>
        <v/>
      </c>
      <c r="J145" s="5">
        <f>IF(AND(J$88&gt;=$B$5,J$88&lt;=$B$36),$B$34,0)</f>
        <v/>
      </c>
      <c r="K145" s="5">
        <f>IF(AND(K$88&gt;=$B$5,K$88&lt;=$B$36),$B$34,0)</f>
        <v/>
      </c>
      <c r="L145" s="5">
        <f>IF(AND(L$88&gt;=$B$5,L$88&lt;=$B$36),$B$34,0)</f>
        <v/>
      </c>
    </row>
    <row r="146">
      <c r="A146" t="inlineStr">
        <is>
          <t xml:space="preserve">  Coupons obligataires</t>
        </is>
      </c>
      <c r="B146" s="5">
        <f>SUM(C146:L146)</f>
        <v/>
      </c>
      <c r="C146" s="5">
        <f>C145*$B$35</f>
        <v/>
      </c>
      <c r="D146" s="5">
        <f>D145*$B$35</f>
        <v/>
      </c>
      <c r="E146" s="5">
        <f>E145*$B$35</f>
        <v/>
      </c>
      <c r="F146" s="5">
        <f>F145*$B$35</f>
        <v/>
      </c>
      <c r="G146" s="5">
        <f>G145*$B$35</f>
        <v/>
      </c>
      <c r="H146" s="5">
        <f>H145*$B$35</f>
        <v/>
      </c>
      <c r="I146" s="5">
        <f>I145*$B$35</f>
        <v/>
      </c>
      <c r="J146" s="5">
        <f>J145*$B$35</f>
        <v/>
      </c>
      <c r="K146" s="5">
        <f>K145*$B$35</f>
        <v/>
      </c>
      <c r="L146" s="5">
        <f>L145*$B$35</f>
        <v/>
      </c>
    </row>
    <row r="147">
      <c r="A147" t="inlineStr">
        <is>
          <t xml:space="preserve">  Remboursement obligations</t>
        </is>
      </c>
      <c r="B147" s="5">
        <f>SUM(C147:L147)</f>
        <v/>
      </c>
      <c r="C147" s="5">
        <f>IF(C$88=$B$36,$B$34,0)</f>
        <v/>
      </c>
      <c r="D147" s="5">
        <f>IF(D$88=$B$36,$B$34,0)</f>
        <v/>
      </c>
      <c r="E147" s="5">
        <f>IF(E$88=$B$36,$B$34,0)</f>
        <v/>
      </c>
      <c r="F147" s="5">
        <f>IF(F$88=$B$36,$B$34,0)</f>
        <v/>
      </c>
      <c r="G147" s="5">
        <f>IF(G$88=$B$36,$B$34,0)</f>
        <v/>
      </c>
      <c r="H147" s="5">
        <f>IF(H$88=$B$36,$B$34,0)</f>
        <v/>
      </c>
      <c r="I147" s="5">
        <f>IF(I$88=$B$36,$B$34,0)</f>
        <v/>
      </c>
      <c r="J147" s="5">
        <f>IF(J$88=$B$36,$B$34,0)</f>
        <v/>
      </c>
      <c r="K147" s="5">
        <f>IF(K$88=$B$36,$B$34,0)</f>
        <v/>
      </c>
      <c r="L147" s="5">
        <f>IF(L$88=$B$36,$B$34,0)</f>
        <v/>
      </c>
    </row>
    <row r="149">
      <c r="A149" t="inlineStr">
        <is>
          <t>Charges financières</t>
        </is>
      </c>
      <c r="B149" s="5">
        <f>SUM(C149:L149)</f>
        <v/>
      </c>
      <c r="C149" s="5">
        <f>-(C138+C142+C146)</f>
        <v/>
      </c>
      <c r="D149" s="5">
        <f>-(D138+D142+D146)</f>
        <v/>
      </c>
      <c r="E149" s="5">
        <f>-(E138+E142+E146)</f>
        <v/>
      </c>
      <c r="F149" s="5">
        <f>-(F138+F142+F146)</f>
        <v/>
      </c>
      <c r="G149" s="5">
        <f>-(G138+G142+G146)</f>
        <v/>
      </c>
      <c r="H149" s="5">
        <f>-(H138+H142+H146)</f>
        <v/>
      </c>
      <c r="I149" s="5">
        <f>-(I138+I142+I146)</f>
        <v/>
      </c>
      <c r="J149" s="5">
        <f>-(J138+J142+J146)</f>
        <v/>
      </c>
      <c r="K149" s="5">
        <f>-(K138+K142+K146)</f>
        <v/>
      </c>
      <c r="L149" s="5">
        <f>-(L138+L142+L146)</f>
        <v/>
      </c>
    </row>
    <row r="150">
      <c r="A150" s="4" t="inlineStr">
        <is>
          <t>Résultat avant impôt</t>
        </is>
      </c>
      <c r="B150" s="18">
        <f>SUM(C150:L150)</f>
        <v/>
      </c>
      <c r="C150" s="18">
        <f>C132+C149+C125</f>
        <v/>
      </c>
      <c r="D150" s="18">
        <f>D132+D149+D125</f>
        <v/>
      </c>
      <c r="E150" s="18">
        <f>E132+E149+E125</f>
        <v/>
      </c>
      <c r="F150" s="18">
        <f>F132+F149+F125</f>
        <v/>
      </c>
      <c r="G150" s="18">
        <f>G132+G149+G125</f>
        <v/>
      </c>
      <c r="H150" s="18">
        <f>H132+H149+H125</f>
        <v/>
      </c>
      <c r="I150" s="18">
        <f>I132+I149+I125</f>
        <v/>
      </c>
      <c r="J150" s="18">
        <f>J132+J149+J125</f>
        <v/>
      </c>
      <c r="K150" s="18">
        <f>K132+K149+K125</f>
        <v/>
      </c>
      <c r="L150" s="18">
        <f>L132+L149+L125</f>
        <v/>
      </c>
    </row>
    <row r="151">
      <c r="A151" t="inlineStr">
        <is>
          <t>Stock de déficits reportables (fin d'année)</t>
        </is>
      </c>
      <c r="C151" s="5">
        <f>MAX(0,-C150)</f>
        <v/>
      </c>
      <c r="D151" s="5">
        <f>MAX(0,C151-D150)</f>
        <v/>
      </c>
      <c r="E151" s="5">
        <f>MAX(0,D151-E150)</f>
        <v/>
      </c>
      <c r="F151" s="5">
        <f>MAX(0,E151-F150)</f>
        <v/>
      </c>
      <c r="G151" s="5">
        <f>MAX(0,F151-G150)</f>
        <v/>
      </c>
      <c r="H151" s="5">
        <f>MAX(0,G151-H150)</f>
        <v/>
      </c>
      <c r="I151" s="5">
        <f>MAX(0,H151-I150)</f>
        <v/>
      </c>
      <c r="J151" s="5">
        <f>MAX(0,I151-J150)</f>
        <v/>
      </c>
      <c r="K151" s="5">
        <f>MAX(0,J151-K150)</f>
        <v/>
      </c>
      <c r="L151" s="5">
        <f>MAX(0,K151-L150)</f>
        <v/>
      </c>
    </row>
    <row r="152">
      <c r="A152" t="inlineStr">
        <is>
          <t>Impôt sur les sociétés</t>
        </is>
      </c>
      <c r="B152" s="5">
        <f>SUM(C152:L152)</f>
        <v/>
      </c>
      <c r="C152" s="5">
        <f>-MAX(0,C150)*$B$59</f>
        <v/>
      </c>
      <c r="D152" s="5">
        <f>-MAX(0,D150-C151)*$B$59</f>
        <v/>
      </c>
      <c r="E152" s="5">
        <f>-MAX(0,E150-D151)*$B$59</f>
        <v/>
      </c>
      <c r="F152" s="5">
        <f>-MAX(0,F150-E151)*$B$59</f>
        <v/>
      </c>
      <c r="G152" s="5">
        <f>-MAX(0,G150-F151)*$B$59</f>
        <v/>
      </c>
      <c r="H152" s="5">
        <f>-MAX(0,H150-G151)*$B$59</f>
        <v/>
      </c>
      <c r="I152" s="5">
        <f>-MAX(0,I150-H151)*$B$59</f>
        <v/>
      </c>
      <c r="J152" s="5">
        <f>-MAX(0,J150-I151)*$B$59</f>
        <v/>
      </c>
      <c r="K152" s="5">
        <f>-MAX(0,K150-J151)*$B$59</f>
        <v/>
      </c>
      <c r="L152" s="5">
        <f>-MAX(0,L150-K151)*$B$59</f>
        <v/>
      </c>
    </row>
    <row r="153">
      <c r="A153" s="4" t="inlineStr">
        <is>
          <t>Résultat net</t>
        </is>
      </c>
      <c r="B153" s="18">
        <f>SUM(C153:L153)</f>
        <v/>
      </c>
      <c r="C153" s="18">
        <f>C150+C152</f>
        <v/>
      </c>
      <c r="D153" s="18">
        <f>D150+D152</f>
        <v/>
      </c>
      <c r="E153" s="18">
        <f>E150+E152</f>
        <v/>
      </c>
      <c r="F153" s="18">
        <f>F150+F152</f>
        <v/>
      </c>
      <c r="G153" s="18">
        <f>G150+G152</f>
        <v/>
      </c>
      <c r="H153" s="18">
        <f>H150+H152</f>
        <v/>
      </c>
      <c r="I153" s="18">
        <f>I150+I152</f>
        <v/>
      </c>
      <c r="J153" s="18">
        <f>J150+J152</f>
        <v/>
      </c>
      <c r="K153" s="18">
        <f>K150+K152</f>
        <v/>
      </c>
      <c r="L153" s="18">
        <f>L150+L152</f>
        <v/>
      </c>
    </row>
    <row r="155">
      <c r="A155" s="4" t="inlineStr">
        <is>
          <t>Tableau des flux de trésorerie</t>
        </is>
      </c>
    </row>
    <row r="156">
      <c r="A156" t="inlineStr">
        <is>
          <t>BFR (niveau)</t>
        </is>
      </c>
      <c r="C156" s="5">
        <f>C105*$B$58</f>
        <v/>
      </c>
      <c r="D156" s="5">
        <f>D105*$B$58</f>
        <v/>
      </c>
      <c r="E156" s="5">
        <f>E105*$B$58</f>
        <v/>
      </c>
      <c r="F156" s="5">
        <f>F105*$B$58</f>
        <v/>
      </c>
      <c r="G156" s="5">
        <f>G105*$B$58</f>
        <v/>
      </c>
      <c r="H156" s="5">
        <f>H105*$B$58</f>
        <v/>
      </c>
      <c r="I156" s="5">
        <f>I105*$B$58</f>
        <v/>
      </c>
      <c r="J156" s="5">
        <f>J105*$B$58</f>
        <v/>
      </c>
      <c r="K156" s="5">
        <f>K105*$B$58</f>
        <v/>
      </c>
      <c r="L156" s="5">
        <f>L105*$B$58</f>
        <v/>
      </c>
    </row>
    <row r="157">
      <c r="A157" t="inlineStr">
        <is>
          <t>Variation du BFR</t>
        </is>
      </c>
      <c r="B157" s="5">
        <f>SUM(C157:L157)</f>
        <v/>
      </c>
      <c r="C157" s="5">
        <f>-C156</f>
        <v/>
      </c>
      <c r="D157" s="5">
        <f>-(D156-C156)</f>
        <v/>
      </c>
      <c r="E157" s="5">
        <f>-(E156-D156)</f>
        <v/>
      </c>
      <c r="F157" s="5">
        <f>-(F156-E156)</f>
        <v/>
      </c>
      <c r="G157" s="5">
        <f>-(G156-F156)</f>
        <v/>
      </c>
      <c r="H157" s="5">
        <f>-(H156-G156)</f>
        <v/>
      </c>
      <c r="I157" s="5">
        <f>-(I156-H156)</f>
        <v/>
      </c>
      <c r="J157" s="5">
        <f>-(J156-I156)</f>
        <v/>
      </c>
      <c r="K157" s="5">
        <f>-(K156-J156)</f>
        <v/>
      </c>
      <c r="L157" s="5">
        <f>-(L156-K156)</f>
        <v/>
      </c>
    </row>
    <row r="158">
      <c r="A158" s="4" t="inlineStr">
        <is>
          <t>Flux d'exploitation (EBITDA + loyer privé − IS − ΔBFR)</t>
        </is>
      </c>
      <c r="B158" s="18">
        <f>SUM(C158:L158)</f>
        <v/>
      </c>
      <c r="C158" s="18">
        <f>C124+C125+C152+C157</f>
        <v/>
      </c>
      <c r="D158" s="18">
        <f>D124+D125+D152+D157</f>
        <v/>
      </c>
      <c r="E158" s="18">
        <f>E124+E125+E152+E157</f>
        <v/>
      </c>
      <c r="F158" s="18">
        <f>F124+F125+F152+F157</f>
        <v/>
      </c>
      <c r="G158" s="18">
        <f>G124+G125+G152+G157</f>
        <v/>
      </c>
      <c r="H158" s="18">
        <f>H124+H125+H152+H157</f>
        <v/>
      </c>
      <c r="I158" s="18">
        <f>I124+I125+I152+I157</f>
        <v/>
      </c>
      <c r="J158" s="18">
        <f>J124+J125+J152+J157</f>
        <v/>
      </c>
      <c r="K158" s="18">
        <f>K124+K125+K152+K157</f>
        <v/>
      </c>
      <c r="L158" s="18">
        <f>L124+L125+L152+L157</f>
        <v/>
      </c>
    </row>
    <row r="159">
      <c r="A159" s="4" t="inlineStr">
        <is>
          <t>Flux d'investissement</t>
        </is>
      </c>
      <c r="B159" s="18">
        <f>SUM(C159:L159)</f>
        <v/>
      </c>
      <c r="C159" s="18">
        <f>-(C128+C127+C129)</f>
        <v/>
      </c>
      <c r="D159" s="18">
        <f>-(D128+D127+D129)</f>
        <v/>
      </c>
      <c r="E159" s="18">
        <f>-(E128+E127+E129)</f>
        <v/>
      </c>
      <c r="F159" s="18">
        <f>-(F128+F127+F129)</f>
        <v/>
      </c>
      <c r="G159" s="18">
        <f>-(G128+G127+G129)</f>
        <v/>
      </c>
      <c r="H159" s="18">
        <f>-(H128+H127+H129)</f>
        <v/>
      </c>
      <c r="I159" s="18">
        <f>-(I128+I127+I129)</f>
        <v/>
      </c>
      <c r="J159" s="18">
        <f>-(J128+J127+J129)</f>
        <v/>
      </c>
      <c r="K159" s="18">
        <f>-(K128+K127+K129)</f>
        <v/>
      </c>
      <c r="L159" s="18">
        <f>-(L128+L127+L129)</f>
        <v/>
      </c>
    </row>
    <row r="160">
      <c r="A160" t="inlineStr">
        <is>
          <t xml:space="preserve">  Apports en fonds propres + subventions</t>
        </is>
      </c>
      <c r="B160" s="5">
        <f>SUM(C160:L160)</f>
        <v/>
      </c>
      <c r="C160" s="5">
        <f>IF(C$88=1,$B$23,0)+IF(C$88=$B$5,$B$24*(1-$B$49)+$B$26,0)</f>
        <v/>
      </c>
      <c r="D160" s="5">
        <f>IF(D$88=1,$B$23,0)+IF(D$88=$B$5,$B$24*(1-$B$49)+$B$26,0)</f>
        <v/>
      </c>
      <c r="E160" s="5">
        <f>IF(E$88=1,$B$23,0)+IF(E$88=$B$5,$B$24*(1-$B$49)+$B$26,0)</f>
        <v/>
      </c>
      <c r="F160" s="5">
        <f>IF(F$88=1,$B$23,0)+IF(F$88=$B$5,$B$24*(1-$B$49)+$B$26,0)</f>
        <v/>
      </c>
      <c r="G160" s="5">
        <f>IF(G$88=1,$B$23,0)+IF(G$88=$B$5,$B$24*(1-$B$49)+$B$26,0)</f>
        <v/>
      </c>
      <c r="H160" s="5">
        <f>IF(H$88=1,$B$23,0)+IF(H$88=$B$5,$B$24*(1-$B$49)+$B$26,0)</f>
        <v/>
      </c>
      <c r="I160" s="5">
        <f>IF(I$88=1,$B$23,0)+IF(I$88=$B$5,$B$24*(1-$B$49)+$B$26,0)</f>
        <v/>
      </c>
      <c r="J160" s="5">
        <f>IF(J$88=1,$B$23,0)+IF(J$88=$B$5,$B$24*(1-$B$49)+$B$26,0)</f>
        <v/>
      </c>
      <c r="K160" s="5">
        <f>IF(K$88=1,$B$23,0)+IF(K$88=$B$5,$B$24*(1-$B$49)+$B$26,0)</f>
        <v/>
      </c>
      <c r="L160" s="5">
        <f>IF(L$88=1,$B$23,0)+IF(L$88=$B$5,$B$24*(1-$B$49)+$B$26,0)</f>
        <v/>
      </c>
    </row>
    <row r="161">
      <c r="A161" t="inlineStr">
        <is>
          <t xml:space="preserve">  Tirages dette + crédit-vendeur + obligations</t>
        </is>
      </c>
      <c r="B161" s="5">
        <f>SUM(C161:L161)</f>
        <v/>
      </c>
      <c r="C161" s="5">
        <f>IF(C$88=$B$5,$B$27+$B$31+$B$34,0)</f>
        <v/>
      </c>
      <c r="D161" s="5">
        <f>IF(D$88=$B$5,$B$27+$B$31+$B$34,0)</f>
        <v/>
      </c>
      <c r="E161" s="5">
        <f>IF(E$88=$B$5,$B$27+$B$31+$B$34,0)</f>
        <v/>
      </c>
      <c r="F161" s="5">
        <f>IF(F$88=$B$5,$B$27+$B$31+$B$34,0)</f>
        <v/>
      </c>
      <c r="G161" s="5">
        <f>IF(G$88=$B$5,$B$27+$B$31+$B$34,0)</f>
        <v/>
      </c>
      <c r="H161" s="5">
        <f>IF(H$88=$B$5,$B$27+$B$31+$B$34,0)</f>
        <v/>
      </c>
      <c r="I161" s="5">
        <f>IF(I$88=$B$5,$B$27+$B$31+$B$34,0)</f>
        <v/>
      </c>
      <c r="J161" s="5">
        <f>IF(J$88=$B$5,$B$27+$B$31+$B$34,0)</f>
        <v/>
      </c>
      <c r="K161" s="5">
        <f>IF(K$88=$B$5,$B$27+$B$31+$B$34,0)</f>
        <v/>
      </c>
      <c r="L161" s="5">
        <f>IF(L$88=$B$5,$B$27+$B$31+$B$34,0)</f>
        <v/>
      </c>
    </row>
    <row r="162">
      <c r="A162" t="inlineStr">
        <is>
          <t xml:space="preserve">  Service de la dette (intérêts + capital + coupons + rembt obligations)</t>
        </is>
      </c>
      <c r="B162" s="5">
        <f>SUM(C162:L162)</f>
        <v/>
      </c>
      <c r="C162" s="5">
        <f>-(C138+C139+C142+C143+C146+C147)</f>
        <v/>
      </c>
      <c r="D162" s="5">
        <f>-(D138+D139+D142+D143+D146+D147)</f>
        <v/>
      </c>
      <c r="E162" s="5">
        <f>-(E138+E139+E142+E143+E146+E147)</f>
        <v/>
      </c>
      <c r="F162" s="5">
        <f>-(F138+F139+F142+F143+F146+F147)</f>
        <v/>
      </c>
      <c r="G162" s="5">
        <f>-(G138+G139+G142+G143+G146+G147)</f>
        <v/>
      </c>
      <c r="H162" s="5">
        <f>-(H138+H139+H142+H143+H146+H147)</f>
        <v/>
      </c>
      <c r="I162" s="5">
        <f>-(I138+I139+I142+I143+I146+I147)</f>
        <v/>
      </c>
      <c r="J162" s="5">
        <f>-(J138+J139+J142+J143+J146+J147)</f>
        <v/>
      </c>
      <c r="K162" s="5">
        <f>-(K138+K139+K142+K143+K146+K147)</f>
        <v/>
      </c>
      <c r="L162" s="5">
        <f>-(L138+L139+L142+L143+L146+L147)</f>
        <v/>
      </c>
    </row>
    <row r="163">
      <c r="A163" s="4" t="inlineStr">
        <is>
          <t>Flux de financement</t>
        </is>
      </c>
      <c r="B163" s="18">
        <f>SUM(C163:L163)</f>
        <v/>
      </c>
      <c r="C163" s="18">
        <f>C160+C161+C162</f>
        <v/>
      </c>
      <c r="D163" s="18">
        <f>D160+D161+D162</f>
        <v/>
      </c>
      <c r="E163" s="18">
        <f>E160+E161+E162</f>
        <v/>
      </c>
      <c r="F163" s="18">
        <f>F160+F161+F162</f>
        <v/>
      </c>
      <c r="G163" s="18">
        <f>G160+G161+G162</f>
        <v/>
      </c>
      <c r="H163" s="18">
        <f>H160+H161+H162</f>
        <v/>
      </c>
      <c r="I163" s="18">
        <f>I160+I161+I162</f>
        <v/>
      </c>
      <c r="J163" s="18">
        <f>J160+J161+J162</f>
        <v/>
      </c>
      <c r="K163" s="18">
        <f>K160+K161+K162</f>
        <v/>
      </c>
      <c r="L163" s="18">
        <f>L160+L161+L162</f>
        <v/>
      </c>
    </row>
    <row r="164">
      <c r="A164" s="4" t="inlineStr">
        <is>
          <t>Variation de trésorerie</t>
        </is>
      </c>
      <c r="B164" s="18">
        <f>SUM(C164:L164)</f>
        <v/>
      </c>
      <c r="C164" s="18">
        <f>C158+C159+C163</f>
        <v/>
      </c>
      <c r="D164" s="18">
        <f>D158+D159+D163</f>
        <v/>
      </c>
      <c r="E164" s="18">
        <f>E158+E159+E163</f>
        <v/>
      </c>
      <c r="F164" s="18">
        <f>F158+F159+F163</f>
        <v/>
      </c>
      <c r="G164" s="18">
        <f>G158+G159+G163</f>
        <v/>
      </c>
      <c r="H164" s="18">
        <f>H158+H159+H163</f>
        <v/>
      </c>
      <c r="I164" s="18">
        <f>I158+I159+I163</f>
        <v/>
      </c>
      <c r="J164" s="18">
        <f>J158+J159+J163</f>
        <v/>
      </c>
      <c r="K164" s="18">
        <f>K158+K159+K163</f>
        <v/>
      </c>
      <c r="L164" s="18">
        <f>L158+L159+L163</f>
        <v/>
      </c>
    </row>
    <row r="165">
      <c r="A165" s="4" t="inlineStr">
        <is>
          <t>Trésorerie fin d'année</t>
        </is>
      </c>
      <c r="C165" s="18">
        <f>C164</f>
        <v/>
      </c>
      <c r="D165" s="18">
        <f>C165+D164</f>
        <v/>
      </c>
      <c r="E165" s="18">
        <f>D165+E164</f>
        <v/>
      </c>
      <c r="F165" s="18">
        <f>E165+F164</f>
        <v/>
      </c>
      <c r="G165" s="18">
        <f>F165+G164</f>
        <v/>
      </c>
      <c r="H165" s="18">
        <f>G165+H164</f>
        <v/>
      </c>
      <c r="I165" s="18">
        <f>H165+I164</f>
        <v/>
      </c>
      <c r="J165" s="18">
        <f>I165+J164</f>
        <v/>
      </c>
      <c r="K165" s="18">
        <f>J165+K164</f>
        <v/>
      </c>
      <c r="L165" s="18">
        <f>K165+L164</f>
        <v/>
      </c>
    </row>
    <row r="166">
      <c r="A166" t="inlineStr">
        <is>
          <t>Cash-flow libre d'exploitation (CFO − gros entretien − service dette hors obligations in fine)</t>
        </is>
      </c>
      <c r="B166" s="5">
        <f>SUM(C166:L166)</f>
        <v/>
      </c>
      <c r="C166" s="5">
        <f>C158-C129-(C138+C139+C142+C143+C146)</f>
        <v/>
      </c>
      <c r="D166" s="5">
        <f>D158-D129-(D138+D139+D142+D143+D146)</f>
        <v/>
      </c>
      <c r="E166" s="5">
        <f>E158-E129-(E138+E139+E142+E143+E146)</f>
        <v/>
      </c>
      <c r="F166" s="5">
        <f>F158-F129-(F138+F139+F142+F143+F146)</f>
        <v/>
      </c>
      <c r="G166" s="5">
        <f>G158-G129-(G138+G139+G142+G143+G146)</f>
        <v/>
      </c>
      <c r="H166" s="5">
        <f>H158-H129-(H138+H139+H142+H143+H146)</f>
        <v/>
      </c>
      <c r="I166" s="5">
        <f>I158-I129-(I138+I139+I142+I143+I146)</f>
        <v/>
      </c>
      <c r="J166" s="5">
        <f>J158-J129-(J138+J139+J142+J143+J146)</f>
        <v/>
      </c>
      <c r="K166" s="5">
        <f>K158-K129-(K138+K139+K142+K143+K146)</f>
        <v/>
      </c>
      <c r="L166" s="5">
        <f>L158-L129-(L138+L139+L142+L143+L146)</f>
        <v/>
      </c>
    </row>
    <row r="167">
      <c r="A167" t="inlineStr">
        <is>
          <t>DSCR ((EBITDA + loyer privé − IS − gros entretien) / service de la dette)</t>
        </is>
      </c>
      <c r="C167" s="7">
        <f>IF((C138+C139+C142+C143+C146)=0,"",(C124+C125+C152-C129)/(C138+C139+C142+C143+C146))</f>
        <v/>
      </c>
      <c r="D167" s="7">
        <f>IF((D138+D139+D142+D143+D146)=0,"",(D124+D125+D152-D129)/(D138+D139+D142+D143+D146))</f>
        <v/>
      </c>
      <c r="E167" s="7">
        <f>IF((E138+E139+E142+E143+E146)=0,"",(E124+E125+E152-E129)/(E138+E139+E142+E143+E146))</f>
        <v/>
      </c>
      <c r="F167" s="7">
        <f>IF((F138+F139+F142+F143+F146)=0,"",(F124+F125+F152-F129)/(F138+F139+F142+F143+F146))</f>
        <v/>
      </c>
      <c r="G167" s="7">
        <f>IF((G138+G139+G142+G143+G146)=0,"",(G124+G125+G152-G129)/(G138+G139+G142+G143+G146))</f>
        <v/>
      </c>
      <c r="H167" s="7">
        <f>IF((H138+H139+H142+H143+H146)=0,"",(H124+H125+H152-H129)/(H138+H139+H142+H143+H146))</f>
        <v/>
      </c>
      <c r="I167" s="7">
        <f>IF((I138+I139+I142+I143+I146)=0,"",(I124+I125+I152-I129)/(I138+I139+I142+I143+I146))</f>
        <v/>
      </c>
      <c r="J167" s="7">
        <f>IF((J138+J139+J142+J143+J146)=0,"",(J124+J125+J152-J129)/(J138+J139+J142+J143+J146))</f>
        <v/>
      </c>
      <c r="K167" s="7">
        <f>IF((K138+K139+K142+K143+K146)=0,"",(K124+K125+K152-K129)/(K138+K139+K142+K143+K146))</f>
        <v/>
      </c>
      <c r="L167" s="7">
        <f>IF((L138+L139+L142+L143+L146)=0,"",(L124+L125+L152-L129)/(L138+L139+L142+L143+L146))</f>
        <v/>
      </c>
    </row>
    <row r="169">
      <c r="A169" s="4" t="inlineStr">
        <is>
          <t>Rentabilité des investisseurs et contrôle</t>
        </is>
      </c>
    </row>
    <row r="170">
      <c r="A170" t="inlineStr">
        <is>
          <t>Dettes financières totales fin d'année</t>
        </is>
      </c>
      <c r="C170" s="5">
        <f>C140+C144+C145-C147</f>
        <v/>
      </c>
      <c r="D170" s="5">
        <f>D140+D144+D145-D147</f>
        <v/>
      </c>
      <c r="E170" s="5">
        <f>E140+E144+E145-E147</f>
        <v/>
      </c>
      <c r="F170" s="5">
        <f>F140+F144+F145-F147</f>
        <v/>
      </c>
      <c r="G170" s="5">
        <f>G140+G144+G145-G147</f>
        <v/>
      </c>
      <c r="H170" s="5">
        <f>H140+H144+H145-H147</f>
        <v/>
      </c>
      <c r="I170" s="5">
        <f>I140+I144+I145-I147</f>
        <v/>
      </c>
      <c r="J170" s="5">
        <f>J140+J144+J145-J147</f>
        <v/>
      </c>
      <c r="K170" s="5">
        <f>K140+K144+K145-K147</f>
        <v/>
      </c>
      <c r="L170" s="5">
        <f>L140+L144+L145-L147</f>
        <v/>
      </c>
    </row>
    <row r="171">
      <c r="A171" t="inlineStr">
        <is>
          <t>Valeur estimée de l'actif (si cédé cette année)</t>
        </is>
      </c>
      <c r="C171" s="5">
        <f>C94*($B$7+C130)*$B$17*(1-$B$19)</f>
        <v/>
      </c>
      <c r="D171" s="5">
        <f>D94*($B$7+D130)*$B$17*(1-$B$19)</f>
        <v/>
      </c>
      <c r="E171" s="5">
        <f>E94*($B$7+E130)*$B$17*(1-$B$19)</f>
        <v/>
      </c>
      <c r="F171" s="5">
        <f>F94*($B$7+F130)*$B$17*(1-$B$19)</f>
        <v/>
      </c>
      <c r="G171" s="5">
        <f>G94*($B$7+G130)*$B$17*(1-$B$19)</f>
        <v/>
      </c>
      <c r="H171" s="5">
        <f>H94*($B$7+H130)*$B$17*(1-$B$19)</f>
        <v/>
      </c>
      <c r="I171" s="5">
        <f>I94*($B$7+I130)*$B$17*(1-$B$19)</f>
        <v/>
      </c>
      <c r="J171" s="5">
        <f>J94*($B$7+J130)*$B$17*(1-$B$19)</f>
        <v/>
      </c>
      <c r="K171" s="5">
        <f>K94*($B$7+K130)*$B$17*(1-$B$19)</f>
        <v/>
      </c>
      <c r="L171" s="5">
        <f>L94*($B$7+L130)*$B$17*(1-$B$19)</f>
        <v/>
      </c>
    </row>
    <row r="172">
      <c r="A172" t="inlineStr">
        <is>
          <t>Valeur des fonds propres (actif + trésorerie − dettes)</t>
        </is>
      </c>
      <c r="C172" s="5">
        <f>C171+C165-C170</f>
        <v/>
      </c>
      <c r="D172" s="5">
        <f>D171+D165-D170</f>
        <v/>
      </c>
      <c r="E172" s="5">
        <f>E171+E165-E170</f>
        <v/>
      </c>
      <c r="F172" s="5">
        <f>F171+F165-F170</f>
        <v/>
      </c>
      <c r="G172" s="5">
        <f>G171+G165-G170</f>
        <v/>
      </c>
      <c r="H172" s="5">
        <f>H171+H165-H170</f>
        <v/>
      </c>
      <c r="I172" s="5">
        <f>I171+I165-I170</f>
        <v/>
      </c>
      <c r="J172" s="5">
        <f>J171+J165-J170</f>
        <v/>
      </c>
      <c r="K172" s="5">
        <f>K171+K165-K170</f>
        <v/>
      </c>
      <c r="L172" s="5">
        <f>L171+L165-L170</f>
        <v/>
      </c>
    </row>
    <row r="173">
      <c r="A173" t="inlineStr">
        <is>
          <t>Flux des investisseurs (entrée an d'acq., sortie an 10)</t>
        </is>
      </c>
      <c r="B173" s="5">
        <f>SUM(C173:L173)</f>
        <v/>
      </c>
      <c r="C173" s="5">
        <f>-IF(C$88=$B$5,$B$24*(1-$B$49)*(1-$B$25),0)</f>
        <v/>
      </c>
      <c r="D173" s="5">
        <f>-IF(D$88=$B$5,$B$24*(1-$B$49)*(1-$B$25),0)</f>
        <v/>
      </c>
      <c r="E173" s="5">
        <f>-IF(E$88=$B$5,$B$24*(1-$B$49)*(1-$B$25),0)</f>
        <v/>
      </c>
      <c r="F173" s="5">
        <f>-IF(F$88=$B$5,$B$24*(1-$B$49)*(1-$B$25),0)</f>
        <v/>
      </c>
      <c r="G173" s="5">
        <f>-IF(G$88=$B$5,$B$24*(1-$B$49)*(1-$B$25),0)</f>
        <v/>
      </c>
      <c r="H173" s="5">
        <f>-IF(H$88=$B$5,$B$24*(1-$B$49)*(1-$B$25),0)</f>
        <v/>
      </c>
      <c r="I173" s="5">
        <f>-IF(I$88=$B$5,$B$24*(1-$B$49)*(1-$B$25),0)</f>
        <v/>
      </c>
      <c r="J173" s="5">
        <f>-IF(J$88=$B$5,$B$24*(1-$B$49)*(1-$B$25),0)</f>
        <v/>
      </c>
      <c r="K173" s="5">
        <f>-IF(K$88=$B$5,$B$24*(1-$B$49)*(1-$B$25),0)</f>
        <v/>
      </c>
      <c r="L173" s="5">
        <f>-IF(L$88=$B$5,$B$24*(1-$B$49)*(1-$B$25),0)+MAX(0,L172)*(1-$B$42)</f>
        <v/>
      </c>
    </row>
    <row r="174">
      <c r="A174" t="inlineStr">
        <is>
          <t>Flux du fondateur et de sa holding (apports, sortie théorique an 10)</t>
        </is>
      </c>
      <c r="B174" s="5">
        <f>SUM(C174:L174)</f>
        <v/>
      </c>
      <c r="C174" s="5">
        <f>-IF(C$88=1,$B$23,0)-IF(C$88=$B$5,$B$24*(1-$B$49)*$B$25,0)</f>
        <v/>
      </c>
      <c r="D174" s="5">
        <f>-IF(D$88=1,$B$23,0)-IF(D$88=$B$5,$B$24*(1-$B$49)*$B$25,0)</f>
        <v/>
      </c>
      <c r="E174" s="5">
        <f>-IF(E$88=1,$B$23,0)-IF(E$88=$B$5,$B$24*(1-$B$49)*$B$25,0)</f>
        <v/>
      </c>
      <c r="F174" s="5">
        <f>-IF(F$88=1,$B$23,0)-IF(F$88=$B$5,$B$24*(1-$B$49)*$B$25,0)</f>
        <v/>
      </c>
      <c r="G174" s="5">
        <f>-IF(G$88=1,$B$23,0)-IF(G$88=$B$5,$B$24*(1-$B$49)*$B$25,0)</f>
        <v/>
      </c>
      <c r="H174" s="5">
        <f>-IF(H$88=1,$B$23,0)-IF(H$88=$B$5,$B$24*(1-$B$49)*$B$25,0)</f>
        <v/>
      </c>
      <c r="I174" s="5">
        <f>-IF(I$88=1,$B$23,0)-IF(I$88=$B$5,$B$24*(1-$B$49)*$B$25,0)</f>
        <v/>
      </c>
      <c r="J174" s="5">
        <f>-IF(J$88=1,$B$23,0)-IF(J$88=$B$5,$B$24*(1-$B$49)*$B$25,0)</f>
        <v/>
      </c>
      <c r="K174" s="5">
        <f>-IF(K$88=1,$B$23,0)-IF(K$88=$B$5,$B$24*(1-$B$49)*$B$25,0)</f>
        <v/>
      </c>
      <c r="L174" s="5">
        <f>-IF(L$88=1,$B$23,0)-IF(L$88=$B$5,$B$24*(1-$B$49)*$B$25,0)+MAX(0,L172)*$B$42</f>
        <v/>
      </c>
    </row>
    <row r="176">
      <c r="A176" s="10" t="inlineStr">
        <is>
          <t>8. Indicateurs clés</t>
        </is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</row>
    <row r="177">
      <c r="A177" t="inlineStr">
        <is>
          <t>Emplois totaux (acq. + frais + travaux initiaux)</t>
        </is>
      </c>
      <c r="B177" s="18">
        <f>$B$7*(1+$B$8)+SUM(C127:L127)</f>
        <v/>
      </c>
    </row>
    <row r="178">
      <c r="A178" t="inlineStr">
        <is>
          <t>Ressources externes et apports prévus</t>
        </is>
      </c>
      <c r="B178" s="18">
        <f>$B$23+$B$24*(1-$B$49)+$B$26+$B$27+$B$31+$B$34</f>
        <v/>
      </c>
    </row>
    <row r="179">
      <c r="A179" t="inlineStr">
        <is>
          <t>CA année 5</t>
        </is>
      </c>
      <c r="B179" s="18">
        <f>G105</f>
        <v/>
      </c>
    </row>
    <row r="180">
      <c r="A180" t="inlineStr">
        <is>
          <t>EBITDA année 5</t>
        </is>
      </c>
      <c r="B180" s="18">
        <f>G124</f>
        <v/>
      </c>
    </row>
    <row r="181">
      <c r="A181" t="inlineStr">
        <is>
          <t>EBITDA année 10</t>
        </is>
      </c>
      <c r="B181" s="18">
        <f>L124</f>
        <v/>
      </c>
    </row>
    <row r="182">
      <c r="A182" t="inlineStr">
        <is>
          <t>Part équestre du CA année 5</t>
        </is>
      </c>
      <c r="B182" s="14">
        <f>G107</f>
        <v/>
      </c>
    </row>
    <row r="183">
      <c r="A183" t="inlineStr">
        <is>
          <t>Trésorerie minimale sur 10 ans</t>
        </is>
      </c>
      <c r="B183" s="18">
        <f>MIN(C165:L165)</f>
        <v/>
      </c>
    </row>
    <row r="184">
      <c r="A184" t="inlineStr">
        <is>
          <t>Trésorerie fin année 10</t>
        </is>
      </c>
      <c r="B184" s="18">
        <f>L165</f>
        <v/>
      </c>
    </row>
    <row r="185">
      <c r="A185" t="inlineStr">
        <is>
          <t>DSCR minimal (à partir de la 2e année d'exploitation)</t>
        </is>
      </c>
      <c r="B185" s="19">
        <f>IF(COUNTIFS(C167:L167,"&gt;-1E+300",C90:L90,"&gt;=2")=0,"n/a",_xlfn.MINIFS(C167:L167,C90:L90,"&gt;=2"))</f>
        <v/>
      </c>
    </row>
    <row r="186">
      <c r="A186" t="inlineStr">
        <is>
          <t>Nb d'années à cash-flow libre d'exploitation négatif (à partir de la 2e année d'exploitation)</t>
        </is>
      </c>
      <c r="B186" s="20">
        <f>COUNTIFS(C166:L166,"&lt;0",C90:L90,"&gt;=2")</f>
        <v/>
      </c>
    </row>
    <row r="187">
      <c r="A187" t="inlineStr">
        <is>
          <t>TRI investisseurs (sortie théorique an 10)</t>
        </is>
      </c>
      <c r="B187" s="14">
        <f>IF($B$24*(1-$B$25)=0,"sans objet",IFERROR(IRR(C173:L173,-0.05),"perte quasi totale (TRI non calculable)"))</f>
        <v/>
      </c>
    </row>
    <row r="188">
      <c r="A188" t="inlineStr">
        <is>
          <t>TRI fondateur (sortie théorique an 10)</t>
        </is>
      </c>
      <c r="B188" s="14">
        <f>IFERROR(IRR(C174:L174,-0.05),"perte quasi totale (TRI non calculable)")</f>
        <v/>
      </c>
    </row>
    <row r="189">
      <c r="A189" t="inlineStr">
        <is>
          <t>Dette bancaire soutenable estimée (DSCR 1,2 sur (EBITDA − gros entretien) an 10, taux et durée du scénario)</t>
        </is>
      </c>
      <c r="B189" s="18">
        <f>MAX(0,PV($B$28,$B$29,-(L124+L125-L129)/1.2))</f>
        <v/>
      </c>
    </row>
    <row r="190">
      <c r="A190" t="inlineStr">
        <is>
          <t>Fonds propres nécessaires (emplois + réserve + pertes d'exploitation cumulées − dette soutenable)</t>
        </is>
      </c>
      <c r="B190" s="18">
        <f>$B$7*(1+$B$8)+SUM(C127:L127)+$B$39-SUMIF(C158:L158,"&lt;0")-$B$189</f>
        <v/>
      </c>
    </row>
    <row r="191">
      <c r="A191" t="inlineStr">
        <is>
          <t>Part du capital du fondateur</t>
        </is>
      </c>
      <c r="B191" s="14">
        <f>$B$42</f>
        <v/>
      </c>
    </row>
    <row r="192">
      <c r="A192" t="inlineStr">
        <is>
          <t>Droits de vote du fondateur</t>
        </is>
      </c>
      <c r="B192" s="14">
        <f>$B$38</f>
        <v/>
      </c>
    </row>
    <row r="193">
      <c r="A193" s="4" t="inlineStr">
        <is>
          <t>Verdict (trésorerie ≥ 0 et ≥ réserve an 10, DSCR ≥ 1,2, cash-flow libre ≥ 0 dès la 2e année d'exploitation, TRI investisseurs extérieurs ≥ cible, dirigeant payé)</t>
        </is>
      </c>
      <c r="B193" s="4">
        <f>IF($B$183&lt;0,"NON VIABLE (trésorerie négative)",IF(AND($B$184&gt;=$B$39,OR($B$185="n/a",$B$185&gt;=1.2),$B$186=0),IF(NOT(OR($B$187="sans objet",AND(ISNUMBER($B$187),N($B$187)&gt;=$B$40))),"FRAGILE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B — Club deal : apport 250 k€, investisseurs majoritaires (montage 2) — cas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250000</v>
      </c>
      <c r="C23" t="inlineStr">
        <is>
          <t>€</t>
        </is>
      </c>
      <c r="D23" t="inlineStr">
        <is>
          <t>Scénario d'apport S2</t>
        </is>
      </c>
    </row>
    <row r="24">
      <c r="A24" t="inlineStr">
        <is>
          <t>Fonds propres apportés à l'acquisition (investisseurs ou holding)</t>
        </is>
      </c>
      <c r="B24" s="12" t="n">
        <v>1640000</v>
      </c>
      <c r="C24" t="inlineStr">
        <is>
          <t>€</t>
        </is>
      </c>
      <c r="D24" t="inlineStr">
        <is>
          <t>NON ACQUIS — investisseurs à trouver [A2 montage 2]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1800000</v>
      </c>
      <c r="C27" t="inlineStr">
        <is>
          <t>€</t>
        </is>
      </c>
      <c r="D27" t="inlineStr">
        <is>
          <t>NON ACQUIS — LTV ≈ 50 % [A2 montage 2]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0.05</v>
      </c>
      <c r="C37" t="inlineStr">
        <is>
          <t>%</t>
        </is>
      </c>
      <c r="D37" t="inlineStr">
        <is>
          <t>EST : promote négociée</t>
        </is>
      </c>
    </row>
    <row r="38">
      <c r="A38" t="inlineStr">
        <is>
          <t>Droits de vote du fondateur</t>
        </is>
      </c>
      <c r="B38" s="13" t="n">
        <v>0.1</v>
      </c>
      <c r="C38" t="inlineStr">
        <is>
          <t>%</t>
        </is>
      </c>
      <c r="D38" t="inlineStr">
        <is>
          <t>Investisseurs majoritaires [A2]</t>
        </is>
      </c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/ agent d'entretien (1 ETP au Smic chargé)</t>
        </is>
      </c>
      <c r="B77" s="12" t="n">
        <v>27000</v>
      </c>
      <c r="C77" s="16" t="n">
        <v>1</v>
      </c>
      <c r="G77" t="inlineStr">
        <is>
          <t>PL : Smic 2026 22 404 € brut/an [A4 §11] ; EST charges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Soigneurs (2 ETP au Smic chargés)</t>
        </is>
      </c>
      <c r="B79" s="12" t="n">
        <v>60000</v>
      </c>
      <c r="C79" s="16" t="n">
        <v>0</v>
      </c>
      <c r="G79" t="inlineStr">
        <is>
          <t>PL : Smic 1 867 €/mois, grille IDCC 7026 inférieure ; 1 ETP / 17-20 équidés [A3 H13-H14] ; ~54 équidés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5">
      <c r="A85" t="inlineStr">
        <is>
          <t>Rémunération du dirigeant (chargée)</t>
        </is>
      </c>
      <c r="B85" s="12" t="n">
        <v>35000</v>
      </c>
      <c r="C85" s="16" t="n">
        <v>0</v>
      </c>
      <c r="G85" t="inlineStr">
        <is>
          <t>EST : minimum ; le dirigeant paie en plus 18 k€ de loyer privé</t>
        </is>
      </c>
    </row>
    <row r="87">
      <c r="A87" s="10" t="inlineStr">
        <is>
          <t>7. Calcul sur 10 ans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4" t="inlineStr">
        <is>
          <t>Année</t>
        </is>
      </c>
      <c r="B88" s="4" t="inlineStr">
        <is>
          <t>Total / réf.</t>
        </is>
      </c>
      <c r="C88" s="4" t="n">
        <v>1</v>
      </c>
      <c r="D88" s="4" t="n">
        <v>2</v>
      </c>
      <c r="E88" s="4" t="n">
        <v>3</v>
      </c>
      <c r="F88" s="4" t="n">
        <v>4</v>
      </c>
      <c r="G88" s="4" t="n">
        <v>5</v>
      </c>
      <c r="H88" s="4" t="n">
        <v>6</v>
      </c>
      <c r="I88" s="4" t="n">
        <v>7</v>
      </c>
      <c r="J88" s="4" t="n">
        <v>8</v>
      </c>
      <c r="K88" s="4" t="n">
        <v>9</v>
      </c>
      <c r="L88" s="4" t="n">
        <v>10</v>
      </c>
    </row>
    <row r="89">
      <c r="A89" t="inlineStr">
        <is>
          <t>Année d'ouverture effective</t>
        </is>
      </c>
      <c r="C89" s="8">
        <f>$B$6+$B$47</f>
        <v/>
      </c>
      <c r="D89" s="8">
        <f>$B$6+$B$47</f>
        <v/>
      </c>
      <c r="E89" s="8">
        <f>$B$6+$B$47</f>
        <v/>
      </c>
      <c r="F89" s="8">
        <f>$B$6+$B$47</f>
        <v/>
      </c>
      <c r="G89" s="8">
        <f>$B$6+$B$47</f>
        <v/>
      </c>
      <c r="H89" s="8">
        <f>$B$6+$B$47</f>
        <v/>
      </c>
      <c r="I89" s="8">
        <f>$B$6+$B$47</f>
        <v/>
      </c>
      <c r="J89" s="8">
        <f>$B$6+$B$47</f>
        <v/>
      </c>
      <c r="K89" s="8">
        <f>$B$6+$B$47</f>
        <v/>
      </c>
      <c r="L89" s="8">
        <f>$B$6+$B$47</f>
        <v/>
      </c>
    </row>
    <row r="90">
      <c r="A90" t="inlineStr">
        <is>
          <t>Rang de l'année d'exploitation</t>
        </is>
      </c>
      <c r="C90" s="8">
        <f>MAX(0,C$88-C89+1)</f>
        <v/>
      </c>
      <c r="D90" s="8">
        <f>MAX(0,D$88-D89+1)</f>
        <v/>
      </c>
      <c r="E90" s="8">
        <f>MAX(0,E$88-E89+1)</f>
        <v/>
      </c>
      <c r="F90" s="8">
        <f>MAX(0,F$88-F89+1)</f>
        <v/>
      </c>
      <c r="G90" s="8">
        <f>MAX(0,G$88-G89+1)</f>
        <v/>
      </c>
      <c r="H90" s="8">
        <f>MAX(0,H$88-H89+1)</f>
        <v/>
      </c>
      <c r="I90" s="8">
        <f>MAX(0,I$88-I89+1)</f>
        <v/>
      </c>
      <c r="J90" s="8">
        <f>MAX(0,J$88-J89+1)</f>
        <v/>
      </c>
      <c r="K90" s="8">
        <f>MAX(0,K$88-K89+1)</f>
        <v/>
      </c>
      <c r="L90" s="8">
        <f>MAX(0,L$88-L89+1)</f>
        <v/>
      </c>
    </row>
    <row r="91">
      <c r="A91" t="inlineStr">
        <is>
          <t>Coefficient de montée en charge</t>
        </is>
      </c>
      <c r="C91" s="6">
        <f>IF(C90=0,0,IF(C90=1,$B$53,IF(C90=2,$B$54,IF(C90=3,$B$55,1))))</f>
        <v/>
      </c>
      <c r="D91" s="6">
        <f>IF(D90=0,0,IF(D90=1,$B$53,IF(D90=2,$B$54,IF(D90=3,$B$55,1))))</f>
        <v/>
      </c>
      <c r="E91" s="6">
        <f>IF(E90=0,0,IF(E90=1,$B$53,IF(E90=2,$B$54,IF(E90=3,$B$55,1))))</f>
        <v/>
      </c>
      <c r="F91" s="6">
        <f>IF(F90=0,0,IF(F90=1,$B$53,IF(F90=2,$B$54,IF(F90=3,$B$55,1))))</f>
        <v/>
      </c>
      <c r="G91" s="6">
        <f>IF(G90=0,0,IF(G90=1,$B$53,IF(G90=2,$B$54,IF(G90=3,$B$55,1))))</f>
        <v/>
      </c>
      <c r="H91" s="6">
        <f>IF(H90=0,0,IF(H90=1,$B$53,IF(H90=2,$B$54,IF(H90=3,$B$55,1))))</f>
        <v/>
      </c>
      <c r="I91" s="6">
        <f>IF(I90=0,0,IF(I90=1,$B$53,IF(I90=2,$B$54,IF(I90=3,$B$55,1))))</f>
        <v/>
      </c>
      <c r="J91" s="6">
        <f>IF(J90=0,0,IF(J90=1,$B$53,IF(J90=2,$B$54,IF(J90=3,$B$55,1))))</f>
        <v/>
      </c>
      <c r="K91" s="6">
        <f>IF(K90=0,0,IF(K90=1,$B$53,IF(K90=2,$B$54,IF(K90=3,$B$55,1))))</f>
        <v/>
      </c>
      <c r="L91" s="6">
        <f>IF(L90=0,0,IF(L90=1,$B$53,IF(L90=2,$B$54,IF(L90=3,$B$55,1))))</f>
        <v/>
      </c>
    </row>
    <row r="92">
      <c r="A92" t="inlineStr">
        <is>
          <t>Indice prix</t>
        </is>
      </c>
      <c r="C92" s="17">
        <f>(1+$B$56)^(C$88-1)</f>
        <v/>
      </c>
      <c r="D92" s="17">
        <f>(1+$B$56)^(D$88-1)</f>
        <v/>
      </c>
      <c r="E92" s="17">
        <f>(1+$B$56)^(E$88-1)</f>
        <v/>
      </c>
      <c r="F92" s="17">
        <f>(1+$B$56)^(F$88-1)</f>
        <v/>
      </c>
      <c r="G92" s="17">
        <f>(1+$B$56)^(G$88-1)</f>
        <v/>
      </c>
      <c r="H92" s="17">
        <f>(1+$B$56)^(H$88-1)</f>
        <v/>
      </c>
      <c r="I92" s="17">
        <f>(1+$B$56)^(I$88-1)</f>
        <v/>
      </c>
      <c r="J92" s="17">
        <f>(1+$B$56)^(J$88-1)</f>
        <v/>
      </c>
      <c r="K92" s="17">
        <f>(1+$B$56)^(K$88-1)</f>
        <v/>
      </c>
      <c r="L92" s="17">
        <f>(1+$B$56)^(L$88-1)</f>
        <v/>
      </c>
    </row>
    <row r="93">
      <c r="A93" t="inlineStr">
        <is>
          <t>Indice charges</t>
        </is>
      </c>
      <c r="C93" s="17">
        <f>(1+$B$57)^(C$88-1)</f>
        <v/>
      </c>
      <c r="D93" s="17">
        <f>(1+$B$57)^(D$88-1)</f>
        <v/>
      </c>
      <c r="E93" s="17">
        <f>(1+$B$57)^(E$88-1)</f>
        <v/>
      </c>
      <c r="F93" s="17">
        <f>(1+$B$57)^(F$88-1)</f>
        <v/>
      </c>
      <c r="G93" s="17">
        <f>(1+$B$57)^(G$88-1)</f>
        <v/>
      </c>
      <c r="H93" s="17">
        <f>(1+$B$57)^(H$88-1)</f>
        <v/>
      </c>
      <c r="I93" s="17">
        <f>(1+$B$57)^(I$88-1)</f>
        <v/>
      </c>
      <c r="J93" s="17">
        <f>(1+$B$57)^(J$88-1)</f>
        <v/>
      </c>
      <c r="K93" s="17">
        <f>(1+$B$57)^(K$88-1)</f>
        <v/>
      </c>
      <c r="L93" s="17">
        <f>(1+$B$57)^(L$88-1)</f>
        <v/>
      </c>
    </row>
    <row r="94">
      <c r="A94" t="inlineStr">
        <is>
          <t>Murs détenus (1/0)</t>
        </is>
      </c>
      <c r="C94" s="8">
        <f>IF(C$88&gt;=$B$5,1,0)</f>
        <v/>
      </c>
      <c r="D94" s="8">
        <f>IF(D$88&gt;=$B$5,1,0)</f>
        <v/>
      </c>
      <c r="E94" s="8">
        <f>IF(E$88&gt;=$B$5,1,0)</f>
        <v/>
      </c>
      <c r="F94" s="8">
        <f>IF(F$88&gt;=$B$5,1,0)</f>
        <v/>
      </c>
      <c r="G94" s="8">
        <f>IF(G$88&gt;=$B$5,1,0)</f>
        <v/>
      </c>
      <c r="H94" s="8">
        <f>IF(H$88&gt;=$B$5,1,0)</f>
        <v/>
      </c>
      <c r="I94" s="8">
        <f>IF(I$88&gt;=$B$5,1,0)</f>
        <v/>
      </c>
      <c r="J94" s="8">
        <f>IF(J$88&gt;=$B$5,1,0)</f>
        <v/>
      </c>
      <c r="K94" s="8">
        <f>IF(K$88&gt;=$B$5,1,0)</f>
        <v/>
      </c>
      <c r="L94" s="8">
        <f>IF(L$88&gt;=$B$5,1,0)</f>
        <v/>
      </c>
    </row>
    <row r="96">
      <c r="A96" s="4" t="inlineStr">
        <is>
          <t>Compte de résultat</t>
        </is>
      </c>
    </row>
    <row r="97">
      <c r="A97" t="inlineStr">
        <is>
          <t xml:space="preserve">  Pension box premium (places occupées)</t>
        </is>
      </c>
      <c r="B97" s="5">
        <f>SUM(C97:L97)</f>
        <v/>
      </c>
      <c r="C97" s="5">
        <f>$B$63*$C$63*C91*C92*$B$45*(1-$E$63*$B$50)</f>
        <v/>
      </c>
      <c r="D97" s="5">
        <f>$B$63*$C$63*D91*D92*$B$45*(1-$E$63*$B$50)</f>
        <v/>
      </c>
      <c r="E97" s="5">
        <f>$B$63*$C$63*E91*E92*$B$45*(1-$E$63*$B$50)</f>
        <v/>
      </c>
      <c r="F97" s="5">
        <f>$B$63*$C$63*F91*F92*$B$45*(1-$E$63*$B$50)</f>
        <v/>
      </c>
      <c r="G97" s="5">
        <f>$B$63*$C$63*G91*G92*$B$45*(1-$E$63*$B$50)</f>
        <v/>
      </c>
      <c r="H97" s="5">
        <f>$B$63*$C$63*H91*H92*$B$45*(1-$E$63*$B$50)</f>
        <v/>
      </c>
      <c r="I97" s="5">
        <f>$B$63*$C$63*I91*I92*$B$45*(1-$E$63*$B$50)</f>
        <v/>
      </c>
      <c r="J97" s="5">
        <f>$B$63*$C$63*J91*J92*$B$45*(1-$E$63*$B$50)</f>
        <v/>
      </c>
      <c r="K97" s="5">
        <f>$B$63*$C$63*K91*K92*$B$45*(1-$E$63*$B$50)</f>
        <v/>
      </c>
      <c r="L97" s="5">
        <f>$B$63*$C$63*L91*L92*$B$45*(1-$E$63*$B$50)</f>
        <v/>
      </c>
    </row>
    <row r="98">
      <c r="A98" t="inlineStr">
        <is>
          <t xml:space="preserve">  Pension au pré (places occupées)</t>
        </is>
      </c>
      <c r="B98" s="5">
        <f>SUM(C98:L98)</f>
        <v/>
      </c>
      <c r="C98" s="5">
        <f>$B$64*$C$64*C91*C92*$B$45*(1-$E$64*$B$50)</f>
        <v/>
      </c>
      <c r="D98" s="5">
        <f>$B$64*$C$64*D91*D92*$B$45*(1-$E$64*$B$50)</f>
        <v/>
      </c>
      <c r="E98" s="5">
        <f>$B$64*$C$64*E91*E92*$B$45*(1-$E$64*$B$50)</f>
        <v/>
      </c>
      <c r="F98" s="5">
        <f>$B$64*$C$64*F91*F92*$B$45*(1-$E$64*$B$50)</f>
        <v/>
      </c>
      <c r="G98" s="5">
        <f>$B$64*$C$64*G91*G92*$B$45*(1-$E$64*$B$50)</f>
        <v/>
      </c>
      <c r="H98" s="5">
        <f>$B$64*$C$64*H91*H92*$B$45*(1-$E$64*$B$50)</f>
        <v/>
      </c>
      <c r="I98" s="5">
        <f>$B$64*$C$64*I91*I92*$B$45*(1-$E$64*$B$50)</f>
        <v/>
      </c>
      <c r="J98" s="5">
        <f>$B$64*$C$64*J91*J92*$B$45*(1-$E$64*$B$50)</f>
        <v/>
      </c>
      <c r="K98" s="5">
        <f>$B$64*$C$64*K91*K92*$B$45*(1-$E$64*$B$50)</f>
        <v/>
      </c>
      <c r="L98" s="5">
        <f>$B$64*$C$64*L91*L92*$B$45*(1-$E$64*$B$50)</f>
        <v/>
      </c>
    </row>
    <row r="99">
      <c r="A99" t="inlineStr">
        <is>
          <t xml:space="preserve">  Pension retraite / convalescence (places occupées)</t>
        </is>
      </c>
      <c r="B99" s="5">
        <f>SUM(C99:L99)</f>
        <v/>
      </c>
      <c r="C99" s="5">
        <f>$B$65*$C$65*C91*C92*$B$45*(1-$E$65*$B$50)</f>
        <v/>
      </c>
      <c r="D99" s="5">
        <f>$B$65*$C$65*D91*D92*$B$45*(1-$E$65*$B$50)</f>
        <v/>
      </c>
      <c r="E99" s="5">
        <f>$B$65*$C$65*E91*E92*$B$45*(1-$E$65*$B$50)</f>
        <v/>
      </c>
      <c r="F99" s="5">
        <f>$B$65*$C$65*F91*F92*$B$45*(1-$E$65*$B$50)</f>
        <v/>
      </c>
      <c r="G99" s="5">
        <f>$B$65*$C$65*G91*G92*$B$45*(1-$E$65*$B$50)</f>
        <v/>
      </c>
      <c r="H99" s="5">
        <f>$B$65*$C$65*H91*H92*$B$45*(1-$E$65*$B$50)</f>
        <v/>
      </c>
      <c r="I99" s="5">
        <f>$B$65*$C$65*I91*I92*$B$45*(1-$E$65*$B$50)</f>
        <v/>
      </c>
      <c r="J99" s="5">
        <f>$B$65*$C$65*J91*J92*$B$45*(1-$E$65*$B$50)</f>
        <v/>
      </c>
      <c r="K99" s="5">
        <f>$B$65*$C$65*K91*K92*$B$45*(1-$E$65*$B$50)</f>
        <v/>
      </c>
      <c r="L99" s="5">
        <f>$B$65*$C$65*L91*L92*$B$45*(1-$E$65*$B$50)</f>
        <v/>
      </c>
    </row>
    <row r="100">
      <c r="A100" t="inlineStr">
        <is>
          <t xml:space="preserve">  Mariages (location du lieu + hébergement 15 couchages)</t>
        </is>
      </c>
      <c r="B100" s="5">
        <f>SUM(C100:L100)</f>
        <v/>
      </c>
      <c r="C100" s="5">
        <f>$B$66*$C$66*C91*C92*$B$45*(1-$E$66*$B$50)</f>
        <v/>
      </c>
      <c r="D100" s="5">
        <f>$B$66*$C$66*D91*D92*$B$45*(1-$E$66*$B$50)</f>
        <v/>
      </c>
      <c r="E100" s="5">
        <f>$B$66*$C$66*E91*E92*$B$45*(1-$E$66*$B$50)</f>
        <v/>
      </c>
      <c r="F100" s="5">
        <f>$B$66*$C$66*F91*F92*$B$45*(1-$E$66*$B$50)</f>
        <v/>
      </c>
      <c r="G100" s="5">
        <f>$B$66*$C$66*G91*G92*$B$45*(1-$E$66*$B$50)</f>
        <v/>
      </c>
      <c r="H100" s="5">
        <f>$B$66*$C$66*H91*H92*$B$45*(1-$E$66*$B$50)</f>
        <v/>
      </c>
      <c r="I100" s="5">
        <f>$B$66*$C$66*I91*I92*$B$45*(1-$E$66*$B$50)</f>
        <v/>
      </c>
      <c r="J100" s="5">
        <f>$B$66*$C$66*J91*J92*$B$45*(1-$E$66*$B$50)</f>
        <v/>
      </c>
      <c r="K100" s="5">
        <f>$B$66*$C$66*K91*K92*$B$45*(1-$E$66*$B$50)</f>
        <v/>
      </c>
      <c r="L100" s="5">
        <f>$B$66*$C$66*L91*L92*$B$45*(1-$E$66*$B$50)</f>
        <v/>
      </c>
    </row>
    <row r="101">
      <c r="A101" t="inlineStr">
        <is>
          <t xml:space="preserve">  Gîte 15 couchages hors mariages (nuits)</t>
        </is>
      </c>
      <c r="B101" s="5">
        <f>SUM(C101:L101)</f>
        <v/>
      </c>
      <c r="C101" s="5">
        <f>$B$67*$C$67*C91*C92*$B$45*(1-$E$67*$B$50)</f>
        <v/>
      </c>
      <c r="D101" s="5">
        <f>$B$67*$C$67*D91*D92*$B$45*(1-$E$67*$B$50)</f>
        <v/>
      </c>
      <c r="E101" s="5">
        <f>$B$67*$C$67*E91*E92*$B$45*(1-$E$67*$B$50)</f>
        <v/>
      </c>
      <c r="F101" s="5">
        <f>$B$67*$C$67*F91*F92*$B$45*(1-$E$67*$B$50)</f>
        <v/>
      </c>
      <c r="G101" s="5">
        <f>$B$67*$C$67*G91*G92*$B$45*(1-$E$67*$B$50)</f>
        <v/>
      </c>
      <c r="H101" s="5">
        <f>$B$67*$C$67*H91*H92*$B$45*(1-$E$67*$B$50)</f>
        <v/>
      </c>
      <c r="I101" s="5">
        <f>$B$67*$C$67*I91*I92*$B$45*(1-$E$67*$B$50)</f>
        <v/>
      </c>
      <c r="J101" s="5">
        <f>$B$67*$C$67*J91*J92*$B$45*(1-$E$67*$B$50)</f>
        <v/>
      </c>
      <c r="K101" s="5">
        <f>$B$67*$C$67*K91*K92*$B$45*(1-$E$67*$B$50)</f>
        <v/>
      </c>
      <c r="L101" s="5">
        <f>$B$67*$C$67*L91*L92*$B$45*(1-$E$67*$B$50)</f>
        <v/>
      </c>
    </row>
    <row r="102">
      <c r="A102" t="inlineStr">
        <is>
          <t xml:space="preserve">  Séminaires à la journée (jours)</t>
        </is>
      </c>
      <c r="B102" s="5">
        <f>SUM(C102:L102)</f>
        <v/>
      </c>
      <c r="C102" s="5">
        <f>$B$68*$C$68*C91*C92*$B$45*(1-$E$68*$B$50)</f>
        <v/>
      </c>
      <c r="D102" s="5">
        <f>$B$68*$C$68*D91*D92*$B$45*(1-$E$68*$B$50)</f>
        <v/>
      </c>
      <c r="E102" s="5">
        <f>$B$68*$C$68*E91*E92*$B$45*(1-$E$68*$B$50)</f>
        <v/>
      </c>
      <c r="F102" s="5">
        <f>$B$68*$C$68*F91*F92*$B$45*(1-$E$68*$B$50)</f>
        <v/>
      </c>
      <c r="G102" s="5">
        <f>$B$68*$C$68*G91*G92*$B$45*(1-$E$68*$B$50)</f>
        <v/>
      </c>
      <c r="H102" s="5">
        <f>$B$68*$C$68*H91*H92*$B$45*(1-$E$68*$B$50)</f>
        <v/>
      </c>
      <c r="I102" s="5">
        <f>$B$68*$C$68*I91*I92*$B$45*(1-$E$68*$B$50)</f>
        <v/>
      </c>
      <c r="J102" s="5">
        <f>$B$68*$C$68*J91*J92*$B$45*(1-$E$68*$B$50)</f>
        <v/>
      </c>
      <c r="K102" s="5">
        <f>$B$68*$C$68*K91*K92*$B$45*(1-$E$68*$B$50)</f>
        <v/>
      </c>
      <c r="L102" s="5">
        <f>$B$68*$C$68*L91*L92*$B$45*(1-$E$68*$B$50)</f>
        <v/>
      </c>
    </row>
    <row r="103">
      <c r="A103" t="inlineStr">
        <is>
          <t xml:space="preserve">  Tournages / shootings (jours)</t>
        </is>
      </c>
      <c r="B103" s="5">
        <f>SUM(C103:L103)</f>
        <v/>
      </c>
      <c r="C103" s="5">
        <f>$B$69*$C$69*C91*C92*$B$45*(1-$E$69*$B$50)</f>
        <v/>
      </c>
      <c r="D103" s="5">
        <f>$B$69*$C$69*D91*D92*$B$45*(1-$E$69*$B$50)</f>
        <v/>
      </c>
      <c r="E103" s="5">
        <f>$B$69*$C$69*E91*E92*$B$45*(1-$E$69*$B$50)</f>
        <v/>
      </c>
      <c r="F103" s="5">
        <f>$B$69*$C$69*F91*F92*$B$45*(1-$E$69*$B$50)</f>
        <v/>
      </c>
      <c r="G103" s="5">
        <f>$B$69*$C$69*G91*G92*$B$45*(1-$E$69*$B$50)</f>
        <v/>
      </c>
      <c r="H103" s="5">
        <f>$B$69*$C$69*H91*H92*$B$45*(1-$E$69*$B$50)</f>
        <v/>
      </c>
      <c r="I103" s="5">
        <f>$B$69*$C$69*I91*I92*$B$45*(1-$E$69*$B$50)</f>
        <v/>
      </c>
      <c r="J103" s="5">
        <f>$B$69*$C$69*J91*J92*$B$45*(1-$E$69*$B$50)</f>
        <v/>
      </c>
      <c r="K103" s="5">
        <f>$B$69*$C$69*K91*K92*$B$45*(1-$E$69*$B$50)</f>
        <v/>
      </c>
      <c r="L103" s="5">
        <f>$B$69*$C$69*L91*L92*$B$45*(1-$E$69*$B$50)</f>
        <v/>
      </c>
    </row>
    <row r="104">
      <c r="A104" t="inlineStr">
        <is>
          <t xml:space="preserve">  Fermage / vente d'herbe (ha)</t>
        </is>
      </c>
      <c r="B104" s="5">
        <f>SUM(C104:L104)</f>
        <v/>
      </c>
      <c r="C104" s="5">
        <f>$B$70*$C$70*C91*C92*$B$45*(1-$E$70*$B$50)</f>
        <v/>
      </c>
      <c r="D104" s="5">
        <f>$B$70*$C$70*D91*D92*$B$45*(1-$E$70*$B$50)</f>
        <v/>
      </c>
      <c r="E104" s="5">
        <f>$B$70*$C$70*E91*E92*$B$45*(1-$E$70*$B$50)</f>
        <v/>
      </c>
      <c r="F104" s="5">
        <f>$B$70*$C$70*F91*F92*$B$45*(1-$E$70*$B$50)</f>
        <v/>
      </c>
      <c r="G104" s="5">
        <f>$B$70*$C$70*G91*G92*$B$45*(1-$E$70*$B$50)</f>
        <v/>
      </c>
      <c r="H104" s="5">
        <f>$B$70*$C$70*H91*H92*$B$45*(1-$E$70*$B$50)</f>
        <v/>
      </c>
      <c r="I104" s="5">
        <f>$B$70*$C$70*I91*I92*$B$45*(1-$E$70*$B$50)</f>
        <v/>
      </c>
      <c r="J104" s="5">
        <f>$B$70*$C$70*J91*J92*$B$45*(1-$E$70*$B$50)</f>
        <v/>
      </c>
      <c r="K104" s="5">
        <f>$B$70*$C$70*K91*K92*$B$45*(1-$E$70*$B$50)</f>
        <v/>
      </c>
      <c r="L104" s="5">
        <f>$B$70*$C$70*L91*L92*$B$45*(1-$E$70*$B$50)</f>
        <v/>
      </c>
    </row>
    <row r="105">
      <c r="A105" s="4" t="inlineStr">
        <is>
          <t>Chiffre d'affaires total</t>
        </is>
      </c>
      <c r="B105" s="18">
        <f>SUM(C105:L105)</f>
        <v/>
      </c>
      <c r="C105" s="18">
        <f>C97+C98+C99+C100+C101+C102+C103+C104</f>
        <v/>
      </c>
      <c r="D105" s="18">
        <f>D97+D98+D99+D100+D101+D102+D103+D104</f>
        <v/>
      </c>
      <c r="E105" s="18">
        <f>E97+E98+E99+E100+E101+E102+E103+E104</f>
        <v/>
      </c>
      <c r="F105" s="18">
        <f>F97+F98+F99+F100+F101+F102+F103+F104</f>
        <v/>
      </c>
      <c r="G105" s="18">
        <f>G97+G98+G99+G100+G101+G102+G103+G104</f>
        <v/>
      </c>
      <c r="H105" s="18">
        <f>H97+H98+H99+H100+H101+H102+H103+H104</f>
        <v/>
      </c>
      <c r="I105" s="18">
        <f>I97+I98+I99+I100+I101+I102+I103+I104</f>
        <v/>
      </c>
      <c r="J105" s="18">
        <f>J97+J98+J99+J100+J101+J102+J103+J104</f>
        <v/>
      </c>
      <c r="K105" s="18">
        <f>K97+K98+K99+K100+K101+K102+K103+K104</f>
        <v/>
      </c>
      <c r="L105" s="18">
        <f>L97+L98+L99+L100+L101+L102+L103+L104</f>
        <v/>
      </c>
    </row>
    <row r="106">
      <c r="A106" t="inlineStr">
        <is>
          <t xml:space="preserve">  dont équestre</t>
        </is>
      </c>
      <c r="B106" s="5">
        <f>SUM(C106:L106)</f>
        <v/>
      </c>
      <c r="C106" s="5">
        <f>C97*$F$63+C98*$F$64+C99*$F$65+C100*$F$66+C101*$F$67+C102*$F$68+C103*$F$69+C104*$F$70</f>
        <v/>
      </c>
      <c r="D106" s="5">
        <f>D97*$F$63+D98*$F$64+D99*$F$65+D100*$F$66+D101*$F$67+D102*$F$68+D103*$F$69+D104*$F$70</f>
        <v/>
      </c>
      <c r="E106" s="5">
        <f>E97*$F$63+E98*$F$64+E99*$F$65+E100*$F$66+E101*$F$67+E102*$F$68+E103*$F$69+E104*$F$70</f>
        <v/>
      </c>
      <c r="F106" s="5">
        <f>F97*$F$63+F98*$F$64+F99*$F$65+F100*$F$66+F101*$F$67+F102*$F$68+F103*$F$69+F104*$F$70</f>
        <v/>
      </c>
      <c r="G106" s="5">
        <f>G97*$F$63+G98*$F$64+G99*$F$65+G100*$F$66+G101*$F$67+G102*$F$68+G103*$F$69+G104*$F$70</f>
        <v/>
      </c>
      <c r="H106" s="5">
        <f>H97*$F$63+H98*$F$64+H99*$F$65+H100*$F$66+H101*$F$67+H102*$F$68+H103*$F$69+H104*$F$70</f>
        <v/>
      </c>
      <c r="I106" s="5">
        <f>I97*$F$63+I98*$F$64+I99*$F$65+I100*$F$66+I101*$F$67+I102*$F$68+I103*$F$69+I104*$F$70</f>
        <v/>
      </c>
      <c r="J106" s="5">
        <f>J97*$F$63+J98*$F$64+J99*$F$65+J100*$F$66+J101*$F$67+J102*$F$68+J103*$F$69+J104*$F$70</f>
        <v/>
      </c>
      <c r="K106" s="5">
        <f>K97*$F$63+K98*$F$64+K99*$F$65+K100*$F$66+K101*$F$67+K102*$F$68+K103*$F$69+K104*$F$70</f>
        <v/>
      </c>
      <c r="L106" s="5">
        <f>L97*$F$63+L98*$F$64+L99*$F$65+L100*$F$66+L101*$F$67+L102*$F$68+L103*$F$69+L104*$F$70</f>
        <v/>
      </c>
    </row>
    <row r="107">
      <c r="A107" t="inlineStr">
        <is>
          <t xml:space="preserve">  Part équestre du CA</t>
        </is>
      </c>
      <c r="C107" s="6">
        <f>IF(C105=0,0,C106/C105)</f>
        <v/>
      </c>
      <c r="D107" s="6">
        <f>IF(D105=0,0,D106/D105)</f>
        <v/>
      </c>
      <c r="E107" s="6">
        <f>IF(E105=0,0,E106/E105)</f>
        <v/>
      </c>
      <c r="F107" s="6">
        <f>IF(F105=0,0,F106/F105)</f>
        <v/>
      </c>
      <c r="G107" s="6">
        <f>IF(G105=0,0,G106/G105)</f>
        <v/>
      </c>
      <c r="H107" s="6">
        <f>IF(H105=0,0,H106/H105)</f>
        <v/>
      </c>
      <c r="I107" s="6">
        <f>IF(I105=0,0,I106/I105)</f>
        <v/>
      </c>
      <c r="J107" s="6">
        <f>IF(J105=0,0,J106/J105)</f>
        <v/>
      </c>
      <c r="K107" s="6">
        <f>IF(K105=0,0,K106/K105)</f>
        <v/>
      </c>
      <c r="L107" s="6">
        <f>IF(L105=0,0,L106/L105)</f>
        <v/>
      </c>
    </row>
    <row r="108">
      <c r="A108" t="inlineStr">
        <is>
          <t>Coûts variables</t>
        </is>
      </c>
      <c r="B108" s="5">
        <f>SUM(C108:L108)</f>
        <v/>
      </c>
      <c r="C108" s="5">
        <f>-(C97*$D$63+C98*$D$64+C99*$D$65+C100*$D$66+C101*$D$67+C102*$D$68+C103*$D$69+C104*$D$70)</f>
        <v/>
      </c>
      <c r="D108" s="5">
        <f>-(D97*$D$63+D98*$D$64+D99*$D$65+D100*$D$66+D101*$D$67+D102*$D$68+D103*$D$69+D104*$D$70)</f>
        <v/>
      </c>
      <c r="E108" s="5">
        <f>-(E97*$D$63+E98*$D$64+E99*$D$65+E100*$D$66+E101*$D$67+E102*$D$68+E103*$D$69+E104*$D$70)</f>
        <v/>
      </c>
      <c r="F108" s="5">
        <f>-(F97*$D$63+F98*$D$64+F99*$D$65+F100*$D$66+F101*$D$67+F102*$D$68+F103*$D$69+F104*$D$70)</f>
        <v/>
      </c>
      <c r="G108" s="5">
        <f>-(G97*$D$63+G98*$D$64+G99*$D$65+G100*$D$66+G101*$D$67+G102*$D$68+G103*$D$69+G104*$D$70)</f>
        <v/>
      </c>
      <c r="H108" s="5">
        <f>-(H97*$D$63+H98*$D$64+H99*$D$65+H100*$D$66+H101*$D$67+H102*$D$68+H103*$D$69+H104*$D$70)</f>
        <v/>
      </c>
      <c r="I108" s="5">
        <f>-(I97*$D$63+I98*$D$64+I99*$D$65+I100*$D$66+I101*$D$67+I102*$D$68+I103*$D$69+I104*$D$70)</f>
        <v/>
      </c>
      <c r="J108" s="5">
        <f>-(J97*$D$63+J98*$D$64+J99*$D$65+J100*$D$66+J101*$D$67+J102*$D$68+J103*$D$69+J104*$D$70)</f>
        <v/>
      </c>
      <c r="K108" s="5">
        <f>-(K97*$D$63+K98*$D$64+K99*$D$65+K100*$D$66+K101*$D$67+K102*$D$68+K103*$D$69+K104*$D$70)</f>
        <v/>
      </c>
      <c r="L108" s="5">
        <f>-(L97*$D$63+L98*$D$64+L99*$D$65+L100*$D$66+L101*$D$67+L102*$D$68+L103*$D$69+L104*$D$70)</f>
        <v/>
      </c>
    </row>
    <row r="109">
      <c r="A109" s="4" t="inlineStr">
        <is>
          <t>Marge sur coûts variables</t>
        </is>
      </c>
      <c r="B109" s="18">
        <f>SUM(C109:L109)</f>
        <v/>
      </c>
      <c r="C109" s="18">
        <f>C105+C108</f>
        <v/>
      </c>
      <c r="D109" s="18">
        <f>D105+D108</f>
        <v/>
      </c>
      <c r="E109" s="18">
        <f>E105+E108</f>
        <v/>
      </c>
      <c r="F109" s="18">
        <f>F105+F108</f>
        <v/>
      </c>
      <c r="G109" s="18">
        <f>G105+G108</f>
        <v/>
      </c>
      <c r="H109" s="18">
        <f>H105+H108</f>
        <v/>
      </c>
      <c r="I109" s="18">
        <f>I105+I108</f>
        <v/>
      </c>
      <c r="J109" s="18">
        <f>J105+J108</f>
        <v/>
      </c>
      <c r="K109" s="18">
        <f>K105+K108</f>
        <v/>
      </c>
      <c r="L109" s="18">
        <f>L105+L108</f>
        <v/>
      </c>
    </row>
    <row r="110">
      <c r="A110" t="inlineStr">
        <is>
          <t xml:space="preserve">  Taxe foncière</t>
        </is>
      </c>
      <c r="B110" s="5">
        <f>SUM(C110:L110)</f>
        <v/>
      </c>
      <c r="C110" s="5">
        <f>-$B$74*C93*IF($C$74=1,C94,IF(C90&gt;0,1,0))</f>
        <v/>
      </c>
      <c r="D110" s="5">
        <f>-$B$74*D93*IF($C$74=1,D94,IF(D90&gt;0,1,0))</f>
        <v/>
      </c>
      <c r="E110" s="5">
        <f>-$B$74*E93*IF($C$74=1,E94,IF(E90&gt;0,1,0))</f>
        <v/>
      </c>
      <c r="F110" s="5">
        <f>-$B$74*F93*IF($C$74=1,F94,IF(F90&gt;0,1,0))</f>
        <v/>
      </c>
      <c r="G110" s="5">
        <f>-$B$74*G93*IF($C$74=1,G94,IF(G90&gt;0,1,0))</f>
        <v/>
      </c>
      <c r="H110" s="5">
        <f>-$B$74*H93*IF($C$74=1,H94,IF(H90&gt;0,1,0))</f>
        <v/>
      </c>
      <c r="I110" s="5">
        <f>-$B$74*I93*IF($C$74=1,I94,IF(I90&gt;0,1,0))</f>
        <v/>
      </c>
      <c r="J110" s="5">
        <f>-$B$74*J93*IF($C$74=1,J94,IF(J90&gt;0,1,0))</f>
        <v/>
      </c>
      <c r="K110" s="5">
        <f>-$B$74*K93*IF($C$74=1,K94,IF(K90&gt;0,1,0))</f>
        <v/>
      </c>
      <c r="L110" s="5">
        <f>-$B$74*L93*IF($C$74=1,L94,IF(L90&gt;0,1,0))</f>
        <v/>
      </c>
    </row>
    <row r="111">
      <c r="A111" t="inlineStr">
        <is>
          <t xml:space="preserve">  Assurance multirisque château</t>
        </is>
      </c>
      <c r="B111" s="5">
        <f>SUM(C111:L111)</f>
        <v/>
      </c>
      <c r="C111" s="5">
        <f>-$B$75*C93*IF($C$75=1,C94,IF(C90&gt;0,1,0))</f>
        <v/>
      </c>
      <c r="D111" s="5">
        <f>-$B$75*D93*IF($C$75=1,D94,IF(D90&gt;0,1,0))</f>
        <v/>
      </c>
      <c r="E111" s="5">
        <f>-$B$75*E93*IF($C$75=1,E94,IF(E90&gt;0,1,0))</f>
        <v/>
      </c>
      <c r="F111" s="5">
        <f>-$B$75*F93*IF($C$75=1,F94,IF(F90&gt;0,1,0))</f>
        <v/>
      </c>
      <c r="G111" s="5">
        <f>-$B$75*G93*IF($C$75=1,G94,IF(G90&gt;0,1,0))</f>
        <v/>
      </c>
      <c r="H111" s="5">
        <f>-$B$75*H93*IF($C$75=1,H94,IF(H90&gt;0,1,0))</f>
        <v/>
      </c>
      <c r="I111" s="5">
        <f>-$B$75*I93*IF($C$75=1,I94,IF(I90&gt;0,1,0))</f>
        <v/>
      </c>
      <c r="J111" s="5">
        <f>-$B$75*J93*IF($C$75=1,J94,IF(J90&gt;0,1,0))</f>
        <v/>
      </c>
      <c r="K111" s="5">
        <f>-$B$75*K93*IF($C$75=1,K94,IF(K90&gt;0,1,0))</f>
        <v/>
      </c>
      <c r="L111" s="5">
        <f>-$B$75*L93*IF($C$75=1,L94,IF(L90&gt;0,1,0))</f>
        <v/>
      </c>
    </row>
    <row r="112">
      <c r="A112" t="inlineStr">
        <is>
          <t xml:space="preserve">  Énergie (chauffage partiel, électricité, eau)</t>
        </is>
      </c>
      <c r="B112" s="5">
        <f>SUM(C112:L112)</f>
        <v/>
      </c>
      <c r="C112" s="5">
        <f>-$B$76*C93*IF($C$76=1,C94,IF(C90&gt;0,1,0))</f>
        <v/>
      </c>
      <c r="D112" s="5">
        <f>-$B$76*D93*IF($C$76=1,D94,IF(D90&gt;0,1,0))</f>
        <v/>
      </c>
      <c r="E112" s="5">
        <f>-$B$76*E93*IF($C$76=1,E94,IF(E90&gt;0,1,0))</f>
        <v/>
      </c>
      <c r="F112" s="5">
        <f>-$B$76*F93*IF($C$76=1,F94,IF(F90&gt;0,1,0))</f>
        <v/>
      </c>
      <c r="G112" s="5">
        <f>-$B$76*G93*IF($C$76=1,G94,IF(G90&gt;0,1,0))</f>
        <v/>
      </c>
      <c r="H112" s="5">
        <f>-$B$76*H93*IF($C$76=1,H94,IF(H90&gt;0,1,0))</f>
        <v/>
      </c>
      <c r="I112" s="5">
        <f>-$B$76*I93*IF($C$76=1,I94,IF(I90&gt;0,1,0))</f>
        <v/>
      </c>
      <c r="J112" s="5">
        <f>-$B$76*J93*IF($C$76=1,J94,IF(J90&gt;0,1,0))</f>
        <v/>
      </c>
      <c r="K112" s="5">
        <f>-$B$76*K93*IF($C$76=1,K94,IF(K90&gt;0,1,0))</f>
        <v/>
      </c>
      <c r="L112" s="5">
        <f>-$B$76*L93*IF($C$76=1,L94,IF(L90&gt;0,1,0))</f>
        <v/>
      </c>
    </row>
    <row r="113">
      <c r="A113" t="inlineStr">
        <is>
          <t xml:space="preserve">  Jardinier / agent d'entretien (1 ETP au Smic chargé)</t>
        </is>
      </c>
      <c r="B113" s="5">
        <f>SUM(C113:L113)</f>
        <v/>
      </c>
      <c r="C113" s="5">
        <f>-$B$77*C93*IF($C$77=1,C94,IF(C90&gt;0,1,0))</f>
        <v/>
      </c>
      <c r="D113" s="5">
        <f>-$B$77*D93*IF($C$77=1,D94,IF(D90&gt;0,1,0))</f>
        <v/>
      </c>
      <c r="E113" s="5">
        <f>-$B$77*E93*IF($C$77=1,E94,IF(E90&gt;0,1,0))</f>
        <v/>
      </c>
      <c r="F113" s="5">
        <f>-$B$77*F93*IF($C$77=1,F94,IF(F90&gt;0,1,0))</f>
        <v/>
      </c>
      <c r="G113" s="5">
        <f>-$B$77*G93*IF($C$77=1,G94,IF(G90&gt;0,1,0))</f>
        <v/>
      </c>
      <c r="H113" s="5">
        <f>-$B$77*H93*IF($C$77=1,H94,IF(H90&gt;0,1,0))</f>
        <v/>
      </c>
      <c r="I113" s="5">
        <f>-$B$77*I93*IF($C$77=1,I94,IF(I90&gt;0,1,0))</f>
        <v/>
      </c>
      <c r="J113" s="5">
        <f>-$B$77*J93*IF($C$77=1,J94,IF(J90&gt;0,1,0))</f>
        <v/>
      </c>
      <c r="K113" s="5">
        <f>-$B$77*K93*IF($C$77=1,K94,IF(K90&gt;0,1,0))</f>
        <v/>
      </c>
      <c r="L113" s="5">
        <f>-$B$77*L93*IF($C$77=1,L94,IF(L90&gt;0,1,0))</f>
        <v/>
      </c>
    </row>
    <row r="114">
      <c r="A114" t="inlineStr">
        <is>
          <t xml:space="preserve">  Divers (abonnements, petit matériel, véhicule, honoraires)</t>
        </is>
      </c>
      <c r="B114" s="5">
        <f>SUM(C114:L114)</f>
        <v/>
      </c>
      <c r="C114" s="5">
        <f>-$B$78*C93*IF($C$78=1,C94,IF(C90&gt;0,1,0))</f>
        <v/>
      </c>
      <c r="D114" s="5">
        <f>-$B$78*D93*IF($C$78=1,D94,IF(D90&gt;0,1,0))</f>
        <v/>
      </c>
      <c r="E114" s="5">
        <f>-$B$78*E93*IF($C$78=1,E94,IF(E90&gt;0,1,0))</f>
        <v/>
      </c>
      <c r="F114" s="5">
        <f>-$B$78*F93*IF($C$78=1,F94,IF(F90&gt;0,1,0))</f>
        <v/>
      </c>
      <c r="G114" s="5">
        <f>-$B$78*G93*IF($C$78=1,G94,IF(G90&gt;0,1,0))</f>
        <v/>
      </c>
      <c r="H114" s="5">
        <f>-$B$78*H93*IF($C$78=1,H94,IF(H90&gt;0,1,0))</f>
        <v/>
      </c>
      <c r="I114" s="5">
        <f>-$B$78*I93*IF($C$78=1,I94,IF(I90&gt;0,1,0))</f>
        <v/>
      </c>
      <c r="J114" s="5">
        <f>-$B$78*J93*IF($C$78=1,J94,IF(J90&gt;0,1,0))</f>
        <v/>
      </c>
      <c r="K114" s="5">
        <f>-$B$78*K93*IF($C$78=1,K94,IF(K90&gt;0,1,0))</f>
        <v/>
      </c>
      <c r="L114" s="5">
        <f>-$B$78*L93*IF($C$78=1,L94,IF(L90&gt;0,1,0))</f>
        <v/>
      </c>
    </row>
    <row r="115">
      <c r="A115" t="inlineStr">
        <is>
          <t xml:space="preserve">  Soigneurs (2 ETP au Smic chargés)</t>
        </is>
      </c>
      <c r="B115" s="5">
        <f>SUM(C115:L115)</f>
        <v/>
      </c>
      <c r="C115" s="5">
        <f>-$B$79*C93*IF($C$79=1,C94,IF(C90&gt;0,1,0))</f>
        <v/>
      </c>
      <c r="D115" s="5">
        <f>-$B$79*D93*IF($C$79=1,D94,IF(D90&gt;0,1,0))</f>
        <v/>
      </c>
      <c r="E115" s="5">
        <f>-$B$79*E93*IF($C$79=1,E94,IF(E90&gt;0,1,0))</f>
        <v/>
      </c>
      <c r="F115" s="5">
        <f>-$B$79*F93*IF($C$79=1,F94,IF(F90&gt;0,1,0))</f>
        <v/>
      </c>
      <c r="G115" s="5">
        <f>-$B$79*G93*IF($C$79=1,G94,IF(G90&gt;0,1,0))</f>
        <v/>
      </c>
      <c r="H115" s="5">
        <f>-$B$79*H93*IF($C$79=1,H94,IF(H90&gt;0,1,0))</f>
        <v/>
      </c>
      <c r="I115" s="5">
        <f>-$B$79*I93*IF($C$79=1,I94,IF(I90&gt;0,1,0))</f>
        <v/>
      </c>
      <c r="J115" s="5">
        <f>-$B$79*J93*IF($C$79=1,J94,IF(J90&gt;0,1,0))</f>
        <v/>
      </c>
      <c r="K115" s="5">
        <f>-$B$79*K93*IF($C$79=1,K94,IF(K90&gt;0,1,0))</f>
        <v/>
      </c>
      <c r="L115" s="5">
        <f>-$B$79*L93*IF($C$79=1,L94,IF(L90&gt;0,1,0))</f>
        <v/>
      </c>
    </row>
    <row r="116">
      <c r="A116" t="inlineStr">
        <is>
          <t xml:space="preserve">  Autres charges de structure équestres (entretien installations, matériel, assurance RC, énergie écuries)</t>
        </is>
      </c>
      <c r="B116" s="5">
        <f>SUM(C116:L116)</f>
        <v/>
      </c>
      <c r="C116" s="5">
        <f>-$B$80*C93*IF($C$80=1,C94,IF(C90&gt;0,1,0))</f>
        <v/>
      </c>
      <c r="D116" s="5">
        <f>-$B$80*D93*IF($C$80=1,D94,IF(D90&gt;0,1,0))</f>
        <v/>
      </c>
      <c r="E116" s="5">
        <f>-$B$80*E93*IF($C$80=1,E94,IF(E90&gt;0,1,0))</f>
        <v/>
      </c>
      <c r="F116" s="5">
        <f>-$B$80*F93*IF($C$80=1,F94,IF(F90&gt;0,1,0))</f>
        <v/>
      </c>
      <c r="G116" s="5">
        <f>-$B$80*G93*IF($C$80=1,G94,IF(G90&gt;0,1,0))</f>
        <v/>
      </c>
      <c r="H116" s="5">
        <f>-$B$80*H93*IF($C$80=1,H94,IF(H90&gt;0,1,0))</f>
        <v/>
      </c>
      <c r="I116" s="5">
        <f>-$B$80*I93*IF($C$80=1,I94,IF(I90&gt;0,1,0))</f>
        <v/>
      </c>
      <c r="J116" s="5">
        <f>-$B$80*J93*IF($C$80=1,J94,IF(J90&gt;0,1,0))</f>
        <v/>
      </c>
      <c r="K116" s="5">
        <f>-$B$80*K93*IF($C$80=1,K94,IF(K90&gt;0,1,0))</f>
        <v/>
      </c>
      <c r="L116" s="5">
        <f>-$B$80*L93*IF($C$80=1,L94,IF(L90&gt;0,1,0))</f>
        <v/>
      </c>
    </row>
    <row r="117">
      <c r="A117" t="inlineStr">
        <is>
          <t xml:space="preserve">  Coûts fixes mariages (coordination, nettoyage, publicité)</t>
        </is>
      </c>
      <c r="B117" s="5">
        <f>SUM(C117:L117)</f>
        <v/>
      </c>
      <c r="C117" s="5">
        <f>-$B$81*C93*IF($C$81=1,C94,IF(C90&gt;0,1,0))</f>
        <v/>
      </c>
      <c r="D117" s="5">
        <f>-$B$81*D93*IF($C$81=1,D94,IF(D90&gt;0,1,0))</f>
        <v/>
      </c>
      <c r="E117" s="5">
        <f>-$B$81*E93*IF($C$81=1,E94,IF(E90&gt;0,1,0))</f>
        <v/>
      </c>
      <c r="F117" s="5">
        <f>-$B$81*F93*IF($C$81=1,F94,IF(F90&gt;0,1,0))</f>
        <v/>
      </c>
      <c r="G117" s="5">
        <f>-$B$81*G93*IF($C$81=1,G94,IF(G90&gt;0,1,0))</f>
        <v/>
      </c>
      <c r="H117" s="5">
        <f>-$B$81*H93*IF($C$81=1,H94,IF(H90&gt;0,1,0))</f>
        <v/>
      </c>
      <c r="I117" s="5">
        <f>-$B$81*I93*IF($C$81=1,I94,IF(I90&gt;0,1,0))</f>
        <v/>
      </c>
      <c r="J117" s="5">
        <f>-$B$81*J93*IF($C$81=1,J94,IF(J90&gt;0,1,0))</f>
        <v/>
      </c>
      <c r="K117" s="5">
        <f>-$B$81*K93*IF($C$81=1,K94,IF(K90&gt;0,1,0))</f>
        <v/>
      </c>
      <c r="L117" s="5">
        <f>-$B$81*L93*IF($C$81=1,L94,IF(L90&gt;0,1,0))</f>
        <v/>
      </c>
    </row>
    <row r="118">
      <c r="A118" t="inlineStr">
        <is>
          <t xml:space="preserve">  Coûts fixes du gîte</t>
        </is>
      </c>
      <c r="B118" s="5">
        <f>SUM(C118:L118)</f>
        <v/>
      </c>
      <c r="C118" s="5">
        <f>-$B$82*C93*IF($C$82=1,C94,IF(C90&gt;0,1,0))</f>
        <v/>
      </c>
      <c r="D118" s="5">
        <f>-$B$82*D93*IF($C$82=1,D94,IF(D90&gt;0,1,0))</f>
        <v/>
      </c>
      <c r="E118" s="5">
        <f>-$B$82*E93*IF($C$82=1,E94,IF(E90&gt;0,1,0))</f>
        <v/>
      </c>
      <c r="F118" s="5">
        <f>-$B$82*F93*IF($C$82=1,F94,IF(F90&gt;0,1,0))</f>
        <v/>
      </c>
      <c r="G118" s="5">
        <f>-$B$82*G93*IF($C$82=1,G94,IF(G90&gt;0,1,0))</f>
        <v/>
      </c>
      <c r="H118" s="5">
        <f>-$B$82*H93*IF($C$82=1,H94,IF(H90&gt;0,1,0))</f>
        <v/>
      </c>
      <c r="I118" s="5">
        <f>-$B$82*I93*IF($C$82=1,I94,IF(I90&gt;0,1,0))</f>
        <v/>
      </c>
      <c r="J118" s="5">
        <f>-$B$82*J93*IF($C$82=1,J94,IF(J90&gt;0,1,0))</f>
        <v/>
      </c>
      <c r="K118" s="5">
        <f>-$B$82*K93*IF($C$82=1,K94,IF(K90&gt;0,1,0))</f>
        <v/>
      </c>
      <c r="L118" s="5">
        <f>-$B$82*L93*IF($C$82=1,L94,IF(L90&gt;0,1,0))</f>
        <v/>
      </c>
    </row>
    <row r="119">
      <c r="A119" t="inlineStr">
        <is>
          <t xml:space="preserve">  Commercial, site, salons</t>
        </is>
      </c>
      <c r="B119" s="5">
        <f>SUM(C119:L119)</f>
        <v/>
      </c>
      <c r="C119" s="5">
        <f>-$B$83*C93*IF($C$83=1,C94,IF(C90&gt;0,1,0))</f>
        <v/>
      </c>
      <c r="D119" s="5">
        <f>-$B$83*D93*IF($C$83=1,D94,IF(D90&gt;0,1,0))</f>
        <v/>
      </c>
      <c r="E119" s="5">
        <f>-$B$83*E93*IF($C$83=1,E94,IF(E90&gt;0,1,0))</f>
        <v/>
      </c>
      <c r="F119" s="5">
        <f>-$B$83*F93*IF($C$83=1,F94,IF(F90&gt;0,1,0))</f>
        <v/>
      </c>
      <c r="G119" s="5">
        <f>-$B$83*G93*IF($C$83=1,G94,IF(G90&gt;0,1,0))</f>
        <v/>
      </c>
      <c r="H119" s="5">
        <f>-$B$83*H93*IF($C$83=1,H94,IF(H90&gt;0,1,0))</f>
        <v/>
      </c>
      <c r="I119" s="5">
        <f>-$B$83*I93*IF($C$83=1,I94,IF(I90&gt;0,1,0))</f>
        <v/>
      </c>
      <c r="J119" s="5">
        <f>-$B$83*J93*IF($C$83=1,J94,IF(J90&gt;0,1,0))</f>
        <v/>
      </c>
      <c r="K119" s="5">
        <f>-$B$83*K93*IF($C$83=1,K94,IF(K90&gt;0,1,0))</f>
        <v/>
      </c>
      <c r="L119" s="5">
        <f>-$B$83*L93*IF($C$83=1,L94,IF(L90&gt;0,1,0))</f>
        <v/>
      </c>
    </row>
    <row r="120">
      <c r="A120" t="inlineStr">
        <is>
          <t xml:space="preserve">  Comptabilité, juridique, banque, logiciels</t>
        </is>
      </c>
      <c r="B120" s="5">
        <f>SUM(C120:L120)</f>
        <v/>
      </c>
      <c r="C120" s="5">
        <f>-$B$84*C93*IF($C$84=1,C94,IF(C90&gt;0,1,0))</f>
        <v/>
      </c>
      <c r="D120" s="5">
        <f>-$B$84*D93*IF($C$84=1,D94,IF(D90&gt;0,1,0))</f>
        <v/>
      </c>
      <c r="E120" s="5">
        <f>-$B$84*E93*IF($C$84=1,E94,IF(E90&gt;0,1,0))</f>
        <v/>
      </c>
      <c r="F120" s="5">
        <f>-$B$84*F93*IF($C$84=1,F94,IF(F90&gt;0,1,0))</f>
        <v/>
      </c>
      <c r="G120" s="5">
        <f>-$B$84*G93*IF($C$84=1,G94,IF(G90&gt;0,1,0))</f>
        <v/>
      </c>
      <c r="H120" s="5">
        <f>-$B$84*H93*IF($C$84=1,H94,IF(H90&gt;0,1,0))</f>
        <v/>
      </c>
      <c r="I120" s="5">
        <f>-$B$84*I93*IF($C$84=1,I94,IF(I90&gt;0,1,0))</f>
        <v/>
      </c>
      <c r="J120" s="5">
        <f>-$B$84*J93*IF($C$84=1,J94,IF(J90&gt;0,1,0))</f>
        <v/>
      </c>
      <c r="K120" s="5">
        <f>-$B$84*K93*IF($C$84=1,K94,IF(K90&gt;0,1,0))</f>
        <v/>
      </c>
      <c r="L120" s="5">
        <f>-$B$84*L93*IF($C$84=1,L94,IF(L90&gt;0,1,0))</f>
        <v/>
      </c>
    </row>
    <row r="121">
      <c r="A121" t="inlineStr">
        <is>
          <t xml:space="preserve">  Rémunération du dirigeant (chargée)</t>
        </is>
      </c>
      <c r="B121" s="5">
        <f>SUM(C121:L121)</f>
        <v/>
      </c>
      <c r="C121" s="5">
        <f>-$B$85*C93*IF($C$85=1,C94,IF(C90&gt;0,1,0))</f>
        <v/>
      </c>
      <c r="D121" s="5">
        <f>-$B$85*D93*IF($C$85=1,D94,IF(D90&gt;0,1,0))</f>
        <v/>
      </c>
      <c r="E121" s="5">
        <f>-$B$85*E93*IF($C$85=1,E94,IF(E90&gt;0,1,0))</f>
        <v/>
      </c>
      <c r="F121" s="5">
        <f>-$B$85*F93*IF($C$85=1,F94,IF(F90&gt;0,1,0))</f>
        <v/>
      </c>
      <c r="G121" s="5">
        <f>-$B$85*G93*IF($C$85=1,G94,IF(G90&gt;0,1,0))</f>
        <v/>
      </c>
      <c r="H121" s="5">
        <f>-$B$85*H93*IF($C$85=1,H94,IF(H90&gt;0,1,0))</f>
        <v/>
      </c>
      <c r="I121" s="5">
        <f>-$B$85*I93*IF($C$85=1,I94,IF(I90&gt;0,1,0))</f>
        <v/>
      </c>
      <c r="J121" s="5">
        <f>-$B$85*J93*IF($C$85=1,J94,IF(J90&gt;0,1,0))</f>
        <v/>
      </c>
      <c r="K121" s="5">
        <f>-$B$85*K93*IF($C$85=1,K94,IF(K90&gt;0,1,0))</f>
        <v/>
      </c>
      <c r="L121" s="5">
        <f>-$B$85*L93*IF($C$85=1,L94,IF(L90&gt;0,1,0))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C110+C111+C112+C113+C114+C115+C116+C117+C118+C119+C120+C121</f>
        <v/>
      </c>
      <c r="D122" s="18">
        <f>D110+D111+D112+D113+D114+D115+D116+D117+D118+D119+D120+D121</f>
        <v/>
      </c>
      <c r="E122" s="18">
        <f>E110+E111+E112+E113+E114+E115+E116+E117+E118+E119+E120+E121</f>
        <v/>
      </c>
      <c r="F122" s="18">
        <f>F110+F111+F112+F113+F114+F115+F116+F117+F118+F119+F120+F121</f>
        <v/>
      </c>
      <c r="G122" s="18">
        <f>G110+G111+G112+G113+G114+G115+G116+G117+G118+G119+G120+G121</f>
        <v/>
      </c>
      <c r="H122" s="18">
        <f>H110+H111+H112+H113+H114+H115+H116+H117+H118+H119+H120+H121</f>
        <v/>
      </c>
      <c r="I122" s="18">
        <f>I110+I111+I112+I113+I114+I115+I116+I117+I118+I119+I120+I121</f>
        <v/>
      </c>
      <c r="J122" s="18">
        <f>J110+J111+J112+J113+J114+J115+J116+J117+J118+J119+J120+J121</f>
        <v/>
      </c>
      <c r="K122" s="18">
        <f>K110+K111+K112+K113+K114+K115+K116+K117+K118+K119+K120+K121</f>
        <v/>
      </c>
      <c r="L122" s="18">
        <f>L110+L111+L112+L113+L114+L115+L116+L117+L118+L119+L120+L121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-IF(C94=0,IF(C$88&gt;=$B$6,$B$18*C93,0),0)</f>
        <v/>
      </c>
      <c r="D123" s="5">
        <f>-IF(D94=0,IF(D$88&gt;=$B$6,$B$18*D93,0),0)</f>
        <v/>
      </c>
      <c r="E123" s="5">
        <f>-IF(E94=0,IF(E$88&gt;=$B$6,$B$18*E93,0),0)</f>
        <v/>
      </c>
      <c r="F123" s="5">
        <f>-IF(F94=0,IF(F$88&gt;=$B$6,$B$18*F93,0),0)</f>
        <v/>
      </c>
      <c r="G123" s="5">
        <f>-IF(G94=0,IF(G$88&gt;=$B$6,$B$18*G93,0),0)</f>
        <v/>
      </c>
      <c r="H123" s="5">
        <f>-IF(H94=0,IF(H$88&gt;=$B$6,$B$18*H93,0),0)</f>
        <v/>
      </c>
      <c r="I123" s="5">
        <f>-IF(I94=0,IF(I$88&gt;=$B$6,$B$18*I93,0),0)</f>
        <v/>
      </c>
      <c r="J123" s="5">
        <f>-IF(J94=0,IF(J$88&gt;=$B$6,$B$18*J93,0),0)</f>
        <v/>
      </c>
      <c r="K123" s="5">
        <f>-IF(K94=0,IF(K$88&gt;=$B$6,$B$18*K93,0),0)</f>
        <v/>
      </c>
      <c r="L123" s="5">
        <f>-IF(L94=0,IF(L$88&gt;=$B$6,$B$18*L93,0),0)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C109+C122+C123</f>
        <v/>
      </c>
      <c r="D124" s="18">
        <f>D109+D122+D123</f>
        <v/>
      </c>
      <c r="E124" s="18">
        <f>E109+E122+E123</f>
        <v/>
      </c>
      <c r="F124" s="18">
        <f>F109+F122+F123</f>
        <v/>
      </c>
      <c r="G124" s="18">
        <f>G109+G122+G123</f>
        <v/>
      </c>
      <c r="H124" s="18">
        <f>H109+H122+H123</f>
        <v/>
      </c>
      <c r="I124" s="18">
        <f>I109+I122+I123</f>
        <v/>
      </c>
      <c r="J124" s="18">
        <f>J109+J122+J123</f>
        <v/>
      </c>
      <c r="K124" s="18">
        <f>K109+K122+K123</f>
        <v/>
      </c>
      <c r="L124" s="18">
        <f>L109+L122+L123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C94*$B$20*C93</f>
        <v/>
      </c>
      <c r="D125" s="5">
        <f>D94*$B$20*D93</f>
        <v/>
      </c>
      <c r="E125" s="5">
        <f>E94*$B$20*E93</f>
        <v/>
      </c>
      <c r="F125" s="5">
        <f>F94*$B$20*F93</f>
        <v/>
      </c>
      <c r="G125" s="5">
        <f>G94*$B$20*G93</f>
        <v/>
      </c>
      <c r="H125" s="5">
        <f>H94*$B$20*H93</f>
        <v/>
      </c>
      <c r="I125" s="5">
        <f>I94*$B$20*I93</f>
        <v/>
      </c>
      <c r="J125" s="5">
        <f>J94*$B$20*J93</f>
        <v/>
      </c>
      <c r="K125" s="5">
        <f>K94*$B$20*K93</f>
        <v/>
      </c>
      <c r="L125" s="5">
        <f>L94*$B$20*L93</f>
        <v/>
      </c>
    </row>
    <row r="126">
      <c r="A126" t="inlineStr">
        <is>
          <t xml:space="preserve">  Marge d'EBITDA</t>
        </is>
      </c>
      <c r="C126" s="6">
        <f>IF(C105=0,0,C124/C105)</f>
        <v/>
      </c>
      <c r="D126" s="6">
        <f>IF(D105=0,0,D124/D105)</f>
        <v/>
      </c>
      <c r="E126" s="6">
        <f>IF(E105=0,0,E124/E105)</f>
        <v/>
      </c>
      <c r="F126" s="6">
        <f>IF(F105=0,0,F124/F105)</f>
        <v/>
      </c>
      <c r="G126" s="6">
        <f>IF(G105=0,0,G124/G105)</f>
        <v/>
      </c>
      <c r="H126" s="6">
        <f>IF(H105=0,0,H124/H105)</f>
        <v/>
      </c>
      <c r="I126" s="6">
        <f>IF(I105=0,0,I124/I105)</f>
        <v/>
      </c>
      <c r="J126" s="6">
        <f>IF(J105=0,0,J124/J105)</f>
        <v/>
      </c>
      <c r="K126" s="6">
        <f>IF(K105=0,0,K124/K105)</f>
        <v/>
      </c>
      <c r="L126" s="6">
        <f>IF(L105=0,0,L124/L105)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($B$10+$B$11+$B$12)*$B$46*IF(C$88=$B$5,$B$13,IF(C$88=$B$5+1,$B$14,IF(C$88=$B$5+2,$B$15,0)))*C93</f>
        <v/>
      </c>
      <c r="D127" s="5">
        <f>($B$10+$B$11+$B$12)*$B$46*IF(D$88=$B$5,$B$13,IF(D$88=$B$5+1,$B$14,IF(D$88=$B$5+2,$B$15,0)))*D93</f>
        <v/>
      </c>
      <c r="E127" s="5">
        <f>($B$10+$B$11+$B$12)*$B$46*IF(E$88=$B$5,$B$13,IF(E$88=$B$5+1,$B$14,IF(E$88=$B$5+2,$B$15,0)))*E93</f>
        <v/>
      </c>
      <c r="F127" s="5">
        <f>($B$10+$B$11+$B$12)*$B$46*IF(F$88=$B$5,$B$13,IF(F$88=$B$5+1,$B$14,IF(F$88=$B$5+2,$B$15,0)))*F93</f>
        <v/>
      </c>
      <c r="G127" s="5">
        <f>($B$10+$B$11+$B$12)*$B$46*IF(G$88=$B$5,$B$13,IF(G$88=$B$5+1,$B$14,IF(G$88=$B$5+2,$B$15,0)))*G93</f>
        <v/>
      </c>
      <c r="H127" s="5">
        <f>($B$10+$B$11+$B$12)*$B$46*IF(H$88=$B$5,$B$13,IF(H$88=$B$5+1,$B$14,IF(H$88=$B$5+2,$B$15,0)))*H93</f>
        <v/>
      </c>
      <c r="I127" s="5">
        <f>($B$10+$B$11+$B$12)*$B$46*IF(I$88=$B$5,$B$13,IF(I$88=$B$5+1,$B$14,IF(I$88=$B$5+2,$B$15,0)))*I93</f>
        <v/>
      </c>
      <c r="J127" s="5">
        <f>($B$10+$B$11+$B$12)*$B$46*IF(J$88=$B$5,$B$13,IF(J$88=$B$5+1,$B$14,IF(J$88=$B$5+2,$B$15,0)))*J93</f>
        <v/>
      </c>
      <c r="K127" s="5">
        <f>($B$10+$B$11+$B$12)*$B$46*IF(K$88=$B$5,$B$13,IF(K$88=$B$5+1,$B$14,IF(K$88=$B$5+2,$B$15,0)))*K93</f>
        <v/>
      </c>
      <c r="L127" s="5">
        <f>($B$10+$B$11+$B$12)*$B$46*IF(L$88=$B$5,$B$13,IF(L$88=$B$5+1,$B$14,IF(L$88=$B$5+2,$B$15,0)))*L93</f>
        <v/>
      </c>
    </row>
    <row r="128">
      <c r="A128" t="inlineStr">
        <is>
          <t>Acquisition (prix + frais)</t>
        </is>
      </c>
      <c r="B128" s="5">
        <f>SUM(C128:L128)</f>
        <v/>
      </c>
      <c r="C128" s="5">
        <f>IF(C$88=$B$5,$B$7*(1+$B$8),0)</f>
        <v/>
      </c>
      <c r="D128" s="5">
        <f>IF(D$88=$B$5,$B$7*(1+$B$8),0)</f>
        <v/>
      </c>
      <c r="E128" s="5">
        <f>IF(E$88=$B$5,$B$7*(1+$B$8),0)</f>
        <v/>
      </c>
      <c r="F128" s="5">
        <f>IF(F$88=$B$5,$B$7*(1+$B$8),0)</f>
        <v/>
      </c>
      <c r="G128" s="5">
        <f>IF(G$88=$B$5,$B$7*(1+$B$8),0)</f>
        <v/>
      </c>
      <c r="H128" s="5">
        <f>IF(H$88=$B$5,$B$7*(1+$B$8),0)</f>
        <v/>
      </c>
      <c r="I128" s="5">
        <f>IF(I$88=$B$5,$B$7*(1+$B$8),0)</f>
        <v/>
      </c>
      <c r="J128" s="5">
        <f>IF(J$88=$B$5,$B$7*(1+$B$8),0)</f>
        <v/>
      </c>
      <c r="K128" s="5">
        <f>IF(K$88=$B$5,$B$7*(1+$B$8),0)</f>
        <v/>
      </c>
      <c r="L128" s="5">
        <f>IF(L$88=$B$5,$B$7*(1+$B$8),0)</f>
        <v/>
      </c>
    </row>
    <row r="129">
      <c r="A129" t="inlineStr">
        <is>
          <t>Gros entretien patrimonial récurrent</t>
        </is>
      </c>
      <c r="B129" s="5">
        <f>SUM(C129:L129)</f>
        <v/>
      </c>
      <c r="C129" s="5">
        <f>IF(C$88&gt;=$B$5+3,$B$16*($B$7+($B$10+$B$11+$B$12)*$B$46)*C93,0)</f>
        <v/>
      </c>
      <c r="D129" s="5">
        <f>IF(D$88&gt;=$B$5+3,$B$16*($B$7+($B$10+$B$11+$B$12)*$B$46)*D93,0)</f>
        <v/>
      </c>
      <c r="E129" s="5">
        <f>IF(E$88&gt;=$B$5+3,$B$16*($B$7+($B$10+$B$11+$B$12)*$B$46)*E93,0)</f>
        <v/>
      </c>
      <c r="F129" s="5">
        <f>IF(F$88&gt;=$B$5+3,$B$16*($B$7+($B$10+$B$11+$B$12)*$B$46)*F93,0)</f>
        <v/>
      </c>
      <c r="G129" s="5">
        <f>IF(G$88&gt;=$B$5+3,$B$16*($B$7+($B$10+$B$11+$B$12)*$B$46)*G93,0)</f>
        <v/>
      </c>
      <c r="H129" s="5">
        <f>IF(H$88&gt;=$B$5+3,$B$16*($B$7+($B$10+$B$11+$B$12)*$B$46)*H93,0)</f>
        <v/>
      </c>
      <c r="I129" s="5">
        <f>IF(I$88&gt;=$B$5+3,$B$16*($B$7+($B$10+$B$11+$B$12)*$B$46)*I93,0)</f>
        <v/>
      </c>
      <c r="J129" s="5">
        <f>IF(J$88&gt;=$B$5+3,$B$16*($B$7+($B$10+$B$11+$B$12)*$B$46)*J93,0)</f>
        <v/>
      </c>
      <c r="K129" s="5">
        <f>IF(K$88&gt;=$B$5+3,$B$16*($B$7+($B$10+$B$11+$B$12)*$B$46)*K93,0)</f>
        <v/>
      </c>
      <c r="L129" s="5">
        <f>IF(L$88&gt;=$B$5+3,$B$16*($B$7+($B$10+$B$11+$B$12)*$B$46)*L93,0)</f>
        <v/>
      </c>
    </row>
    <row r="130">
      <c r="A130" t="inlineStr">
        <is>
          <t>Investissements amortissables cumulés</t>
        </is>
      </c>
      <c r="C130" s="5">
        <f>C127+C129</f>
        <v/>
      </c>
      <c r="D130" s="5">
        <f>C130+D127+D129</f>
        <v/>
      </c>
      <c r="E130" s="5">
        <f>D130+E127+E129</f>
        <v/>
      </c>
      <c r="F130" s="5">
        <f>E130+F127+F129</f>
        <v/>
      </c>
      <c r="G130" s="5">
        <f>F130+G127+G129</f>
        <v/>
      </c>
      <c r="H130" s="5">
        <f>G130+H127+H129</f>
        <v/>
      </c>
      <c r="I130" s="5">
        <f>H130+I127+I129</f>
        <v/>
      </c>
      <c r="J130" s="5">
        <f>I130+J127+J129</f>
        <v/>
      </c>
      <c r="K130" s="5">
        <f>J130+K127+K129</f>
        <v/>
      </c>
      <c r="L130" s="5">
        <f>K130+L127+L129</f>
        <v/>
      </c>
    </row>
    <row r="131">
      <c r="A131" t="inlineStr">
        <is>
          <t>Dotations aux amortissements (bâti 30 ans, travaux 15 ans)</t>
        </is>
      </c>
      <c r="B131" s="5">
        <f>SUM(C131:L131)</f>
        <v/>
      </c>
      <c r="C131" s="5">
        <f>-(C94*$B$7*(1+$B$8)*$B$9/30+C130/15)</f>
        <v/>
      </c>
      <c r="D131" s="5">
        <f>-(D94*$B$7*(1+$B$8)*$B$9/30+D130/15)</f>
        <v/>
      </c>
      <c r="E131" s="5">
        <f>-(E94*$B$7*(1+$B$8)*$B$9/30+E130/15)</f>
        <v/>
      </c>
      <c r="F131" s="5">
        <f>-(F94*$B$7*(1+$B$8)*$B$9/30+F130/15)</f>
        <v/>
      </c>
      <c r="G131" s="5">
        <f>-(G94*$B$7*(1+$B$8)*$B$9/30+G130/15)</f>
        <v/>
      </c>
      <c r="H131" s="5">
        <f>-(H94*$B$7*(1+$B$8)*$B$9/30+H130/15)</f>
        <v/>
      </c>
      <c r="I131" s="5">
        <f>-(I94*$B$7*(1+$B$8)*$B$9/30+I130/15)</f>
        <v/>
      </c>
      <c r="J131" s="5">
        <f>-(J94*$B$7*(1+$B$8)*$B$9/30+J130/15)</f>
        <v/>
      </c>
      <c r="K131" s="5">
        <f>-(K94*$B$7*(1+$B$8)*$B$9/30+K130/15)</f>
        <v/>
      </c>
      <c r="L131" s="5">
        <f>-(L94*$B$7*(1+$B$8)*$B$9/30+L130/15)</f>
        <v/>
      </c>
    </row>
    <row r="132">
      <c r="A132" s="4" t="inlineStr">
        <is>
          <t>Résultat d'exploitation</t>
        </is>
      </c>
      <c r="B132" s="18">
        <f>SUM(C132:L132)</f>
        <v/>
      </c>
      <c r="C132" s="18">
        <f>C124+C131</f>
        <v/>
      </c>
      <c r="D132" s="18">
        <f>D124+D131</f>
        <v/>
      </c>
      <c r="E132" s="18">
        <f>E124+E131</f>
        <v/>
      </c>
      <c r="F132" s="18">
        <f>F124+F131</f>
        <v/>
      </c>
      <c r="G132" s="18">
        <f>G124+G131</f>
        <v/>
      </c>
      <c r="H132" s="18">
        <f>H124+H131</f>
        <v/>
      </c>
      <c r="I132" s="18">
        <f>I124+I131</f>
        <v/>
      </c>
      <c r="J132" s="18">
        <f>J124+J131</f>
        <v/>
      </c>
      <c r="K132" s="18">
        <f>K124+K131</f>
        <v/>
      </c>
      <c r="L132" s="18">
        <f>L124+L131</f>
        <v/>
      </c>
    </row>
    <row r="134">
      <c r="A134" s="4" t="inlineStr">
        <is>
          <t>Échéancier des emprunts</t>
        </is>
      </c>
    </row>
    <row r="135">
      <c r="A135" t="inlineStr">
        <is>
          <t>Taux bancaire effectif</t>
        </is>
      </c>
      <c r="C135" s="6">
        <f>$B$28+$B$48</f>
        <v/>
      </c>
      <c r="D135" s="6">
        <f>$B$28+$B$48</f>
        <v/>
      </c>
      <c r="E135" s="6">
        <f>$B$28+$B$48</f>
        <v/>
      </c>
      <c r="F135" s="6">
        <f>$B$28+$B$48</f>
        <v/>
      </c>
      <c r="G135" s="6">
        <f>$B$28+$B$48</f>
        <v/>
      </c>
      <c r="H135" s="6">
        <f>$B$28+$B$48</f>
        <v/>
      </c>
      <c r="I135" s="6">
        <f>$B$28+$B$48</f>
        <v/>
      </c>
      <c r="J135" s="6">
        <f>$B$28+$B$48</f>
        <v/>
      </c>
      <c r="K135" s="6">
        <f>$B$28+$B$48</f>
        <v/>
      </c>
      <c r="L135" s="6">
        <f>$B$28+$B$48</f>
        <v/>
      </c>
    </row>
    <row r="136">
      <c r="A136" t="inlineStr">
        <is>
          <t>Rang de l'année d'emprunt</t>
        </is>
      </c>
      <c r="C136" s="8">
        <f>MAX(0,C$88-$B$5+1)</f>
        <v/>
      </c>
      <c r="D136" s="8">
        <f>MAX(0,D$88-$B$5+1)</f>
        <v/>
      </c>
      <c r="E136" s="8">
        <f>MAX(0,E$88-$B$5+1)</f>
        <v/>
      </c>
      <c r="F136" s="8">
        <f>MAX(0,F$88-$B$5+1)</f>
        <v/>
      </c>
      <c r="G136" s="8">
        <f>MAX(0,G$88-$B$5+1)</f>
        <v/>
      </c>
      <c r="H136" s="8">
        <f>MAX(0,H$88-$B$5+1)</f>
        <v/>
      </c>
      <c r="I136" s="8">
        <f>MAX(0,I$88-$B$5+1)</f>
        <v/>
      </c>
      <c r="J136" s="8">
        <f>MAX(0,J$88-$B$5+1)</f>
        <v/>
      </c>
      <c r="K136" s="8">
        <f>MAX(0,K$88-$B$5+1)</f>
        <v/>
      </c>
      <c r="L136" s="8">
        <f>MAX(0,L$88-$B$5+1)</f>
        <v/>
      </c>
    </row>
    <row r="137">
      <c r="A137" t="inlineStr">
        <is>
          <t>Dette bancaire — capital début</t>
        </is>
      </c>
      <c r="C137" s="5">
        <f>IF(C136=1,$B$27,0)</f>
        <v/>
      </c>
      <c r="D137" s="5">
        <f>IF(D136=1,$B$27,C140)</f>
        <v/>
      </c>
      <c r="E137" s="5">
        <f>IF(E136=1,$B$27,D140)</f>
        <v/>
      </c>
      <c r="F137" s="5">
        <f>IF(F136=1,$B$27,E140)</f>
        <v/>
      </c>
      <c r="G137" s="5">
        <f>IF(G136=1,$B$27,F140)</f>
        <v/>
      </c>
      <c r="H137" s="5">
        <f>IF(H136=1,$B$27,G140)</f>
        <v/>
      </c>
      <c r="I137" s="5">
        <f>IF(I136=1,$B$27,H140)</f>
        <v/>
      </c>
      <c r="J137" s="5">
        <f>IF(J136=1,$B$27,I140)</f>
        <v/>
      </c>
      <c r="K137" s="5">
        <f>IF(K136=1,$B$27,J140)</f>
        <v/>
      </c>
      <c r="L137" s="5">
        <f>IF(L136=1,$B$27,K140)</f>
        <v/>
      </c>
    </row>
    <row r="138">
      <c r="A138" t="inlineStr">
        <is>
          <t xml:space="preserve">  Intérêts</t>
        </is>
      </c>
      <c r="B138" s="5">
        <f>SUM(C138:L138)</f>
        <v/>
      </c>
      <c r="C138" s="5">
        <f>C137*C135</f>
        <v/>
      </c>
      <c r="D138" s="5">
        <f>D137*D135</f>
        <v/>
      </c>
      <c r="E138" s="5">
        <f>E137*E135</f>
        <v/>
      </c>
      <c r="F138" s="5">
        <f>F137*F135</f>
        <v/>
      </c>
      <c r="G138" s="5">
        <f>G137*G135</f>
        <v/>
      </c>
      <c r="H138" s="5">
        <f>H137*H135</f>
        <v/>
      </c>
      <c r="I138" s="5">
        <f>I137*I135</f>
        <v/>
      </c>
      <c r="J138" s="5">
        <f>J137*J135</f>
        <v/>
      </c>
      <c r="K138" s="5">
        <f>K137*K135</f>
        <v/>
      </c>
      <c r="L138" s="5">
        <f>L137*L135</f>
        <v/>
      </c>
    </row>
    <row r="139">
      <c r="A139" t="inlineStr">
        <is>
          <t xml:space="preserve">  Amortissement du capital</t>
        </is>
      </c>
      <c r="B139" s="5">
        <f>SUM(C139:L139)</f>
        <v/>
      </c>
      <c r="C139" s="5">
        <f>IF(OR(C136=0,C136&lt;=$B$30,C137&lt;=0),0,MIN(C137,PMT(C135,$B$29-$B$30,-$B$27)-C138))</f>
        <v/>
      </c>
      <c r="D139" s="5">
        <f>IF(OR(D136=0,D136&lt;=$B$30,D137&lt;=0),0,MIN(D137,PMT(D135,$B$29-$B$30,-$B$27)-D138))</f>
        <v/>
      </c>
      <c r="E139" s="5">
        <f>IF(OR(E136=0,E136&lt;=$B$30,E137&lt;=0),0,MIN(E137,PMT(E135,$B$29-$B$30,-$B$27)-E138))</f>
        <v/>
      </c>
      <c r="F139" s="5">
        <f>IF(OR(F136=0,F136&lt;=$B$30,F137&lt;=0),0,MIN(F137,PMT(F135,$B$29-$B$30,-$B$27)-F138))</f>
        <v/>
      </c>
      <c r="G139" s="5">
        <f>IF(OR(G136=0,G136&lt;=$B$30,G137&lt;=0),0,MIN(G137,PMT(G135,$B$29-$B$30,-$B$27)-G138))</f>
        <v/>
      </c>
      <c r="H139" s="5">
        <f>IF(OR(H136=0,H136&lt;=$B$30,H137&lt;=0),0,MIN(H137,PMT(H135,$B$29-$B$30,-$B$27)-H138))</f>
        <v/>
      </c>
      <c r="I139" s="5">
        <f>IF(OR(I136=0,I136&lt;=$B$30,I137&lt;=0),0,MIN(I137,PMT(I135,$B$29-$B$30,-$B$27)-I138))</f>
        <v/>
      </c>
      <c r="J139" s="5">
        <f>IF(OR(J136=0,J136&lt;=$B$30,J137&lt;=0),0,MIN(J137,PMT(J135,$B$29-$B$30,-$B$27)-J138))</f>
        <v/>
      </c>
      <c r="K139" s="5">
        <f>IF(OR(K136=0,K136&lt;=$B$30,K137&lt;=0),0,MIN(K137,PMT(K135,$B$29-$B$30,-$B$27)-K138))</f>
        <v/>
      </c>
      <c r="L139" s="5">
        <f>IF(OR(L136=0,L136&lt;=$B$30,L137&lt;=0),0,MIN(L137,PMT(L135,$B$29-$B$30,-$B$27)-L138))</f>
        <v/>
      </c>
    </row>
    <row r="140">
      <c r="A140" t="inlineStr">
        <is>
          <t>Dette bancaire — capital fin</t>
        </is>
      </c>
      <c r="C140" s="5">
        <f>C137-C139</f>
        <v/>
      </c>
      <c r="D140" s="5">
        <f>D137-D139</f>
        <v/>
      </c>
      <c r="E140" s="5">
        <f>E137-E139</f>
        <v/>
      </c>
      <c r="F140" s="5">
        <f>F137-F139</f>
        <v/>
      </c>
      <c r="G140" s="5">
        <f>G137-G139</f>
        <v/>
      </c>
      <c r="H140" s="5">
        <f>H137-H139</f>
        <v/>
      </c>
      <c r="I140" s="5">
        <f>I137-I139</f>
        <v/>
      </c>
      <c r="J140" s="5">
        <f>J137-J139</f>
        <v/>
      </c>
      <c r="K140" s="5">
        <f>K137-K139</f>
        <v/>
      </c>
      <c r="L140" s="5">
        <f>L137-L139</f>
        <v/>
      </c>
    </row>
    <row r="141">
      <c r="A141" t="inlineStr">
        <is>
          <t>Crédit-vendeur — capital début</t>
        </is>
      </c>
      <c r="C141" s="5">
        <f>IF(C136=1,$B$31,0)</f>
        <v/>
      </c>
      <c r="D141" s="5">
        <f>IF(D136=1,$B$31,C144)</f>
        <v/>
      </c>
      <c r="E141" s="5">
        <f>IF(E136=1,$B$31,D144)</f>
        <v/>
      </c>
      <c r="F141" s="5">
        <f>IF(F136=1,$B$31,E144)</f>
        <v/>
      </c>
      <c r="G141" s="5">
        <f>IF(G136=1,$B$31,F144)</f>
        <v/>
      </c>
      <c r="H141" s="5">
        <f>IF(H136=1,$B$31,G144)</f>
        <v/>
      </c>
      <c r="I141" s="5">
        <f>IF(I136=1,$B$31,H144)</f>
        <v/>
      </c>
      <c r="J141" s="5">
        <f>IF(J136=1,$B$31,I144)</f>
        <v/>
      </c>
      <c r="K141" s="5">
        <f>IF(K136=1,$B$31,J144)</f>
        <v/>
      </c>
      <c r="L141" s="5">
        <f>IF(L136=1,$B$31,K144)</f>
        <v/>
      </c>
    </row>
    <row r="142">
      <c r="A142" t="inlineStr">
        <is>
          <t xml:space="preserve">  Intérêts crédit-vendeur</t>
        </is>
      </c>
      <c r="B142" s="5">
        <f>SUM(C142:L142)</f>
        <v/>
      </c>
      <c r="C142" s="5">
        <f>C141*$B$32</f>
        <v/>
      </c>
      <c r="D142" s="5">
        <f>D141*$B$32</f>
        <v/>
      </c>
      <c r="E142" s="5">
        <f>E141*$B$32</f>
        <v/>
      </c>
      <c r="F142" s="5">
        <f>F141*$B$32</f>
        <v/>
      </c>
      <c r="G142" s="5">
        <f>G141*$B$32</f>
        <v/>
      </c>
      <c r="H142" s="5">
        <f>H141*$B$32</f>
        <v/>
      </c>
      <c r="I142" s="5">
        <f>I141*$B$32</f>
        <v/>
      </c>
      <c r="J142" s="5">
        <f>J141*$B$32</f>
        <v/>
      </c>
      <c r="K142" s="5">
        <f>K141*$B$32</f>
        <v/>
      </c>
      <c r="L142" s="5">
        <f>L141*$B$32</f>
        <v/>
      </c>
    </row>
    <row r="143">
      <c r="A143" t="inlineStr">
        <is>
          <t xml:space="preserve">  Amortissement crédit-vendeur</t>
        </is>
      </c>
      <c r="B143" s="5">
        <f>SUM(C143:L143)</f>
        <v/>
      </c>
      <c r="C143" s="5">
        <f>IF(OR(C136=0,C141&lt;=0),0,MIN(C141,IF($B$32=0,$B$31/$B$33,PMT($B$32,$B$33,-$B$31)-C142)))</f>
        <v/>
      </c>
      <c r="D143" s="5">
        <f>IF(OR(D136=0,D141&lt;=0),0,MIN(D141,IF($B$32=0,$B$31/$B$33,PMT($B$32,$B$33,-$B$31)-D142)))</f>
        <v/>
      </c>
      <c r="E143" s="5">
        <f>IF(OR(E136=0,E141&lt;=0),0,MIN(E141,IF($B$32=0,$B$31/$B$33,PMT($B$32,$B$33,-$B$31)-E142)))</f>
        <v/>
      </c>
      <c r="F143" s="5">
        <f>IF(OR(F136=0,F141&lt;=0),0,MIN(F141,IF($B$32=0,$B$31/$B$33,PMT($B$32,$B$33,-$B$31)-F142)))</f>
        <v/>
      </c>
      <c r="G143" s="5">
        <f>IF(OR(G136=0,G141&lt;=0),0,MIN(G141,IF($B$32=0,$B$31/$B$33,PMT($B$32,$B$33,-$B$31)-G142)))</f>
        <v/>
      </c>
      <c r="H143" s="5">
        <f>IF(OR(H136=0,H141&lt;=0),0,MIN(H141,IF($B$32=0,$B$31/$B$33,PMT($B$32,$B$33,-$B$31)-H142)))</f>
        <v/>
      </c>
      <c r="I143" s="5">
        <f>IF(OR(I136=0,I141&lt;=0),0,MIN(I141,IF($B$32=0,$B$31/$B$33,PMT($B$32,$B$33,-$B$31)-I142)))</f>
        <v/>
      </c>
      <c r="J143" s="5">
        <f>IF(OR(J136=0,J141&lt;=0),0,MIN(J141,IF($B$32=0,$B$31/$B$33,PMT($B$32,$B$33,-$B$31)-J142)))</f>
        <v/>
      </c>
      <c r="K143" s="5">
        <f>IF(OR(K136=0,K141&lt;=0),0,MIN(K141,IF($B$32=0,$B$31/$B$33,PMT($B$32,$B$33,-$B$31)-K142)))</f>
        <v/>
      </c>
      <c r="L143" s="5">
        <f>IF(OR(L136=0,L141&lt;=0),0,MIN(L141,IF($B$32=0,$B$31/$B$33,PMT($B$32,$B$33,-$B$31)-L142)))</f>
        <v/>
      </c>
    </row>
    <row r="144">
      <c r="A144" t="inlineStr">
        <is>
          <t>Crédit-vendeur — capital fin</t>
        </is>
      </c>
      <c r="C144" s="5">
        <f>C141-C143</f>
        <v/>
      </c>
      <c r="D144" s="5">
        <f>D141-D143</f>
        <v/>
      </c>
      <c r="E144" s="5">
        <f>E141-E143</f>
        <v/>
      </c>
      <c r="F144" s="5">
        <f>F141-F143</f>
        <v/>
      </c>
      <c r="G144" s="5">
        <f>G141-G143</f>
        <v/>
      </c>
      <c r="H144" s="5">
        <f>H141-H143</f>
        <v/>
      </c>
      <c r="I144" s="5">
        <f>I141-I143</f>
        <v/>
      </c>
      <c r="J144" s="5">
        <f>J141-J143</f>
        <v/>
      </c>
      <c r="K144" s="5">
        <f>K141-K143</f>
        <v/>
      </c>
      <c r="L144" s="5">
        <f>L141-L143</f>
        <v/>
      </c>
    </row>
    <row r="145">
      <c r="A145" t="inlineStr">
        <is>
          <t>Obligations — encours</t>
        </is>
      </c>
      <c r="C145" s="5">
        <f>IF(AND(C$88&gt;=$B$5,C$88&lt;=$B$36),$B$34,0)</f>
        <v/>
      </c>
      <c r="D145" s="5">
        <f>IF(AND(D$88&gt;=$B$5,D$88&lt;=$B$36),$B$34,0)</f>
        <v/>
      </c>
      <c r="E145" s="5">
        <f>IF(AND(E$88&gt;=$B$5,E$88&lt;=$B$36),$B$34,0)</f>
        <v/>
      </c>
      <c r="F145" s="5">
        <f>IF(AND(F$88&gt;=$B$5,F$88&lt;=$B$36),$B$34,0)</f>
        <v/>
      </c>
      <c r="G145" s="5">
        <f>IF(AND(G$88&gt;=$B$5,G$88&lt;=$B$36),$B$34,0)</f>
        <v/>
      </c>
      <c r="H145" s="5">
        <f>IF(AND(H$88&gt;=$B$5,H$88&lt;=$B$36),$B$34,0)</f>
        <v/>
      </c>
      <c r="I145" s="5">
        <f>IF(AND(I$88&gt;=$B$5,I$88&lt;=$B$36),$B$34,0)</f>
        <v/>
      </c>
      <c r="J145" s="5">
        <f>IF(AND(J$88&gt;=$B$5,J$88&lt;=$B$36),$B$34,0)</f>
        <v/>
      </c>
      <c r="K145" s="5">
        <f>IF(AND(K$88&gt;=$B$5,K$88&lt;=$B$36),$B$34,0)</f>
        <v/>
      </c>
      <c r="L145" s="5">
        <f>IF(AND(L$88&gt;=$B$5,L$88&lt;=$B$36),$B$34,0)</f>
        <v/>
      </c>
    </row>
    <row r="146">
      <c r="A146" t="inlineStr">
        <is>
          <t xml:space="preserve">  Coupons obligataires</t>
        </is>
      </c>
      <c r="B146" s="5">
        <f>SUM(C146:L146)</f>
        <v/>
      </c>
      <c r="C146" s="5">
        <f>C145*$B$35</f>
        <v/>
      </c>
      <c r="D146" s="5">
        <f>D145*$B$35</f>
        <v/>
      </c>
      <c r="E146" s="5">
        <f>E145*$B$35</f>
        <v/>
      </c>
      <c r="F146" s="5">
        <f>F145*$B$35</f>
        <v/>
      </c>
      <c r="G146" s="5">
        <f>G145*$B$35</f>
        <v/>
      </c>
      <c r="H146" s="5">
        <f>H145*$B$35</f>
        <v/>
      </c>
      <c r="I146" s="5">
        <f>I145*$B$35</f>
        <v/>
      </c>
      <c r="J146" s="5">
        <f>J145*$B$35</f>
        <v/>
      </c>
      <c r="K146" s="5">
        <f>K145*$B$35</f>
        <v/>
      </c>
      <c r="L146" s="5">
        <f>L145*$B$35</f>
        <v/>
      </c>
    </row>
    <row r="147">
      <c r="A147" t="inlineStr">
        <is>
          <t xml:space="preserve">  Remboursement obligations</t>
        </is>
      </c>
      <c r="B147" s="5">
        <f>SUM(C147:L147)</f>
        <v/>
      </c>
      <c r="C147" s="5">
        <f>IF(C$88=$B$36,$B$34,0)</f>
        <v/>
      </c>
      <c r="D147" s="5">
        <f>IF(D$88=$B$36,$B$34,0)</f>
        <v/>
      </c>
      <c r="E147" s="5">
        <f>IF(E$88=$B$36,$B$34,0)</f>
        <v/>
      </c>
      <c r="F147" s="5">
        <f>IF(F$88=$B$36,$B$34,0)</f>
        <v/>
      </c>
      <c r="G147" s="5">
        <f>IF(G$88=$B$36,$B$34,0)</f>
        <v/>
      </c>
      <c r="H147" s="5">
        <f>IF(H$88=$B$36,$B$34,0)</f>
        <v/>
      </c>
      <c r="I147" s="5">
        <f>IF(I$88=$B$36,$B$34,0)</f>
        <v/>
      </c>
      <c r="J147" s="5">
        <f>IF(J$88=$B$36,$B$34,0)</f>
        <v/>
      </c>
      <c r="K147" s="5">
        <f>IF(K$88=$B$36,$B$34,0)</f>
        <v/>
      </c>
      <c r="L147" s="5">
        <f>IF(L$88=$B$36,$B$34,0)</f>
        <v/>
      </c>
    </row>
    <row r="149">
      <c r="A149" t="inlineStr">
        <is>
          <t>Charges financières</t>
        </is>
      </c>
      <c r="B149" s="5">
        <f>SUM(C149:L149)</f>
        <v/>
      </c>
      <c r="C149" s="5">
        <f>-(C138+C142+C146)</f>
        <v/>
      </c>
      <c r="D149" s="5">
        <f>-(D138+D142+D146)</f>
        <v/>
      </c>
      <c r="E149" s="5">
        <f>-(E138+E142+E146)</f>
        <v/>
      </c>
      <c r="F149" s="5">
        <f>-(F138+F142+F146)</f>
        <v/>
      </c>
      <c r="G149" s="5">
        <f>-(G138+G142+G146)</f>
        <v/>
      </c>
      <c r="H149" s="5">
        <f>-(H138+H142+H146)</f>
        <v/>
      </c>
      <c r="I149" s="5">
        <f>-(I138+I142+I146)</f>
        <v/>
      </c>
      <c r="J149" s="5">
        <f>-(J138+J142+J146)</f>
        <v/>
      </c>
      <c r="K149" s="5">
        <f>-(K138+K142+K146)</f>
        <v/>
      </c>
      <c r="L149" s="5">
        <f>-(L138+L142+L146)</f>
        <v/>
      </c>
    </row>
    <row r="150">
      <c r="A150" s="4" t="inlineStr">
        <is>
          <t>Résultat avant impôt</t>
        </is>
      </c>
      <c r="B150" s="18">
        <f>SUM(C150:L150)</f>
        <v/>
      </c>
      <c r="C150" s="18">
        <f>C132+C149+C125</f>
        <v/>
      </c>
      <c r="D150" s="18">
        <f>D132+D149+D125</f>
        <v/>
      </c>
      <c r="E150" s="18">
        <f>E132+E149+E125</f>
        <v/>
      </c>
      <c r="F150" s="18">
        <f>F132+F149+F125</f>
        <v/>
      </c>
      <c r="G150" s="18">
        <f>G132+G149+G125</f>
        <v/>
      </c>
      <c r="H150" s="18">
        <f>H132+H149+H125</f>
        <v/>
      </c>
      <c r="I150" s="18">
        <f>I132+I149+I125</f>
        <v/>
      </c>
      <c r="J150" s="18">
        <f>J132+J149+J125</f>
        <v/>
      </c>
      <c r="K150" s="18">
        <f>K132+K149+K125</f>
        <v/>
      </c>
      <c r="L150" s="18">
        <f>L132+L149+L125</f>
        <v/>
      </c>
    </row>
    <row r="151">
      <c r="A151" t="inlineStr">
        <is>
          <t>Stock de déficits reportables (fin d'année)</t>
        </is>
      </c>
      <c r="C151" s="5">
        <f>MAX(0,-C150)</f>
        <v/>
      </c>
      <c r="D151" s="5">
        <f>MAX(0,C151-D150)</f>
        <v/>
      </c>
      <c r="E151" s="5">
        <f>MAX(0,D151-E150)</f>
        <v/>
      </c>
      <c r="F151" s="5">
        <f>MAX(0,E151-F150)</f>
        <v/>
      </c>
      <c r="G151" s="5">
        <f>MAX(0,F151-G150)</f>
        <v/>
      </c>
      <c r="H151" s="5">
        <f>MAX(0,G151-H150)</f>
        <v/>
      </c>
      <c r="I151" s="5">
        <f>MAX(0,H151-I150)</f>
        <v/>
      </c>
      <c r="J151" s="5">
        <f>MAX(0,I151-J150)</f>
        <v/>
      </c>
      <c r="K151" s="5">
        <f>MAX(0,J151-K150)</f>
        <v/>
      </c>
      <c r="L151" s="5">
        <f>MAX(0,K151-L150)</f>
        <v/>
      </c>
    </row>
    <row r="152">
      <c r="A152" t="inlineStr">
        <is>
          <t>Impôt sur les sociétés</t>
        </is>
      </c>
      <c r="B152" s="5">
        <f>SUM(C152:L152)</f>
        <v/>
      </c>
      <c r="C152" s="5">
        <f>-MAX(0,C150)*$B$59</f>
        <v/>
      </c>
      <c r="D152" s="5">
        <f>-MAX(0,D150-C151)*$B$59</f>
        <v/>
      </c>
      <c r="E152" s="5">
        <f>-MAX(0,E150-D151)*$B$59</f>
        <v/>
      </c>
      <c r="F152" s="5">
        <f>-MAX(0,F150-E151)*$B$59</f>
        <v/>
      </c>
      <c r="G152" s="5">
        <f>-MAX(0,G150-F151)*$B$59</f>
        <v/>
      </c>
      <c r="H152" s="5">
        <f>-MAX(0,H150-G151)*$B$59</f>
        <v/>
      </c>
      <c r="I152" s="5">
        <f>-MAX(0,I150-H151)*$B$59</f>
        <v/>
      </c>
      <c r="J152" s="5">
        <f>-MAX(0,J150-I151)*$B$59</f>
        <v/>
      </c>
      <c r="K152" s="5">
        <f>-MAX(0,K150-J151)*$B$59</f>
        <v/>
      </c>
      <c r="L152" s="5">
        <f>-MAX(0,L150-K151)*$B$59</f>
        <v/>
      </c>
    </row>
    <row r="153">
      <c r="A153" s="4" t="inlineStr">
        <is>
          <t>Résultat net</t>
        </is>
      </c>
      <c r="B153" s="18">
        <f>SUM(C153:L153)</f>
        <v/>
      </c>
      <c r="C153" s="18">
        <f>C150+C152</f>
        <v/>
      </c>
      <c r="D153" s="18">
        <f>D150+D152</f>
        <v/>
      </c>
      <c r="E153" s="18">
        <f>E150+E152</f>
        <v/>
      </c>
      <c r="F153" s="18">
        <f>F150+F152</f>
        <v/>
      </c>
      <c r="G153" s="18">
        <f>G150+G152</f>
        <v/>
      </c>
      <c r="H153" s="18">
        <f>H150+H152</f>
        <v/>
      </c>
      <c r="I153" s="18">
        <f>I150+I152</f>
        <v/>
      </c>
      <c r="J153" s="18">
        <f>J150+J152</f>
        <v/>
      </c>
      <c r="K153" s="18">
        <f>K150+K152</f>
        <v/>
      </c>
      <c r="L153" s="18">
        <f>L150+L152</f>
        <v/>
      </c>
    </row>
    <row r="155">
      <c r="A155" s="4" t="inlineStr">
        <is>
          <t>Tableau des flux de trésorerie</t>
        </is>
      </c>
    </row>
    <row r="156">
      <c r="A156" t="inlineStr">
        <is>
          <t>BFR (niveau)</t>
        </is>
      </c>
      <c r="C156" s="5">
        <f>C105*$B$58</f>
        <v/>
      </c>
      <c r="D156" s="5">
        <f>D105*$B$58</f>
        <v/>
      </c>
      <c r="E156" s="5">
        <f>E105*$B$58</f>
        <v/>
      </c>
      <c r="F156" s="5">
        <f>F105*$B$58</f>
        <v/>
      </c>
      <c r="G156" s="5">
        <f>G105*$B$58</f>
        <v/>
      </c>
      <c r="H156" s="5">
        <f>H105*$B$58</f>
        <v/>
      </c>
      <c r="I156" s="5">
        <f>I105*$B$58</f>
        <v/>
      </c>
      <c r="J156" s="5">
        <f>J105*$B$58</f>
        <v/>
      </c>
      <c r="K156" s="5">
        <f>K105*$B$58</f>
        <v/>
      </c>
      <c r="L156" s="5">
        <f>L105*$B$58</f>
        <v/>
      </c>
    </row>
    <row r="157">
      <c r="A157" t="inlineStr">
        <is>
          <t>Variation du BFR</t>
        </is>
      </c>
      <c r="B157" s="5">
        <f>SUM(C157:L157)</f>
        <v/>
      </c>
      <c r="C157" s="5">
        <f>-C156</f>
        <v/>
      </c>
      <c r="D157" s="5">
        <f>-(D156-C156)</f>
        <v/>
      </c>
      <c r="E157" s="5">
        <f>-(E156-D156)</f>
        <v/>
      </c>
      <c r="F157" s="5">
        <f>-(F156-E156)</f>
        <v/>
      </c>
      <c r="G157" s="5">
        <f>-(G156-F156)</f>
        <v/>
      </c>
      <c r="H157" s="5">
        <f>-(H156-G156)</f>
        <v/>
      </c>
      <c r="I157" s="5">
        <f>-(I156-H156)</f>
        <v/>
      </c>
      <c r="J157" s="5">
        <f>-(J156-I156)</f>
        <v/>
      </c>
      <c r="K157" s="5">
        <f>-(K156-J156)</f>
        <v/>
      </c>
      <c r="L157" s="5">
        <f>-(L156-K156)</f>
        <v/>
      </c>
    </row>
    <row r="158">
      <c r="A158" s="4" t="inlineStr">
        <is>
          <t>Flux d'exploitation (EBITDA + loyer privé − IS − ΔBFR)</t>
        </is>
      </c>
      <c r="B158" s="18">
        <f>SUM(C158:L158)</f>
        <v/>
      </c>
      <c r="C158" s="18">
        <f>C124+C125+C152+C157</f>
        <v/>
      </c>
      <c r="D158" s="18">
        <f>D124+D125+D152+D157</f>
        <v/>
      </c>
      <c r="E158" s="18">
        <f>E124+E125+E152+E157</f>
        <v/>
      </c>
      <c r="F158" s="18">
        <f>F124+F125+F152+F157</f>
        <v/>
      </c>
      <c r="G158" s="18">
        <f>G124+G125+G152+G157</f>
        <v/>
      </c>
      <c r="H158" s="18">
        <f>H124+H125+H152+H157</f>
        <v/>
      </c>
      <c r="I158" s="18">
        <f>I124+I125+I152+I157</f>
        <v/>
      </c>
      <c r="J158" s="18">
        <f>J124+J125+J152+J157</f>
        <v/>
      </c>
      <c r="K158" s="18">
        <f>K124+K125+K152+K157</f>
        <v/>
      </c>
      <c r="L158" s="18">
        <f>L124+L125+L152+L157</f>
        <v/>
      </c>
    </row>
    <row r="159">
      <c r="A159" s="4" t="inlineStr">
        <is>
          <t>Flux d'investissement</t>
        </is>
      </c>
      <c r="B159" s="18">
        <f>SUM(C159:L159)</f>
        <v/>
      </c>
      <c r="C159" s="18">
        <f>-(C128+C127+C129)</f>
        <v/>
      </c>
      <c r="D159" s="18">
        <f>-(D128+D127+D129)</f>
        <v/>
      </c>
      <c r="E159" s="18">
        <f>-(E128+E127+E129)</f>
        <v/>
      </c>
      <c r="F159" s="18">
        <f>-(F128+F127+F129)</f>
        <v/>
      </c>
      <c r="G159" s="18">
        <f>-(G128+G127+G129)</f>
        <v/>
      </c>
      <c r="H159" s="18">
        <f>-(H128+H127+H129)</f>
        <v/>
      </c>
      <c r="I159" s="18">
        <f>-(I128+I127+I129)</f>
        <v/>
      </c>
      <c r="J159" s="18">
        <f>-(J128+J127+J129)</f>
        <v/>
      </c>
      <c r="K159" s="18">
        <f>-(K128+K127+K129)</f>
        <v/>
      </c>
      <c r="L159" s="18">
        <f>-(L128+L127+L129)</f>
        <v/>
      </c>
    </row>
    <row r="160">
      <c r="A160" t="inlineStr">
        <is>
          <t xml:space="preserve">  Apports en fonds propres + subventions</t>
        </is>
      </c>
      <c r="B160" s="5">
        <f>SUM(C160:L160)</f>
        <v/>
      </c>
      <c r="C160" s="5">
        <f>IF(C$88=1,$B$23,0)+IF(C$88=$B$5,$B$24*(1-$B$49)+$B$26,0)</f>
        <v/>
      </c>
      <c r="D160" s="5">
        <f>IF(D$88=1,$B$23,0)+IF(D$88=$B$5,$B$24*(1-$B$49)+$B$26,0)</f>
        <v/>
      </c>
      <c r="E160" s="5">
        <f>IF(E$88=1,$B$23,0)+IF(E$88=$B$5,$B$24*(1-$B$49)+$B$26,0)</f>
        <v/>
      </c>
      <c r="F160" s="5">
        <f>IF(F$88=1,$B$23,0)+IF(F$88=$B$5,$B$24*(1-$B$49)+$B$26,0)</f>
        <v/>
      </c>
      <c r="G160" s="5">
        <f>IF(G$88=1,$B$23,0)+IF(G$88=$B$5,$B$24*(1-$B$49)+$B$26,0)</f>
        <v/>
      </c>
      <c r="H160" s="5">
        <f>IF(H$88=1,$B$23,0)+IF(H$88=$B$5,$B$24*(1-$B$49)+$B$26,0)</f>
        <v/>
      </c>
      <c r="I160" s="5">
        <f>IF(I$88=1,$B$23,0)+IF(I$88=$B$5,$B$24*(1-$B$49)+$B$26,0)</f>
        <v/>
      </c>
      <c r="J160" s="5">
        <f>IF(J$88=1,$B$23,0)+IF(J$88=$B$5,$B$24*(1-$B$49)+$B$26,0)</f>
        <v/>
      </c>
      <c r="K160" s="5">
        <f>IF(K$88=1,$B$23,0)+IF(K$88=$B$5,$B$24*(1-$B$49)+$B$26,0)</f>
        <v/>
      </c>
      <c r="L160" s="5">
        <f>IF(L$88=1,$B$23,0)+IF(L$88=$B$5,$B$24*(1-$B$49)+$B$26,0)</f>
        <v/>
      </c>
    </row>
    <row r="161">
      <c r="A161" t="inlineStr">
        <is>
          <t xml:space="preserve">  Tirages dette + crédit-vendeur + obligations</t>
        </is>
      </c>
      <c r="B161" s="5">
        <f>SUM(C161:L161)</f>
        <v/>
      </c>
      <c r="C161" s="5">
        <f>IF(C$88=$B$5,$B$27+$B$31+$B$34,0)</f>
        <v/>
      </c>
      <c r="D161" s="5">
        <f>IF(D$88=$B$5,$B$27+$B$31+$B$34,0)</f>
        <v/>
      </c>
      <c r="E161" s="5">
        <f>IF(E$88=$B$5,$B$27+$B$31+$B$34,0)</f>
        <v/>
      </c>
      <c r="F161" s="5">
        <f>IF(F$88=$B$5,$B$27+$B$31+$B$34,0)</f>
        <v/>
      </c>
      <c r="G161" s="5">
        <f>IF(G$88=$B$5,$B$27+$B$31+$B$34,0)</f>
        <v/>
      </c>
      <c r="H161" s="5">
        <f>IF(H$88=$B$5,$B$27+$B$31+$B$34,0)</f>
        <v/>
      </c>
      <c r="I161" s="5">
        <f>IF(I$88=$B$5,$B$27+$B$31+$B$34,0)</f>
        <v/>
      </c>
      <c r="J161" s="5">
        <f>IF(J$88=$B$5,$B$27+$B$31+$B$34,0)</f>
        <v/>
      </c>
      <c r="K161" s="5">
        <f>IF(K$88=$B$5,$B$27+$B$31+$B$34,0)</f>
        <v/>
      </c>
      <c r="L161" s="5">
        <f>IF(L$88=$B$5,$B$27+$B$31+$B$34,0)</f>
        <v/>
      </c>
    </row>
    <row r="162">
      <c r="A162" t="inlineStr">
        <is>
          <t xml:space="preserve">  Service de la dette (intérêts + capital + coupons + rembt obligations)</t>
        </is>
      </c>
      <c r="B162" s="5">
        <f>SUM(C162:L162)</f>
        <v/>
      </c>
      <c r="C162" s="5">
        <f>-(C138+C139+C142+C143+C146+C147)</f>
        <v/>
      </c>
      <c r="D162" s="5">
        <f>-(D138+D139+D142+D143+D146+D147)</f>
        <v/>
      </c>
      <c r="E162" s="5">
        <f>-(E138+E139+E142+E143+E146+E147)</f>
        <v/>
      </c>
      <c r="F162" s="5">
        <f>-(F138+F139+F142+F143+F146+F147)</f>
        <v/>
      </c>
      <c r="G162" s="5">
        <f>-(G138+G139+G142+G143+G146+G147)</f>
        <v/>
      </c>
      <c r="H162" s="5">
        <f>-(H138+H139+H142+H143+H146+H147)</f>
        <v/>
      </c>
      <c r="I162" s="5">
        <f>-(I138+I139+I142+I143+I146+I147)</f>
        <v/>
      </c>
      <c r="J162" s="5">
        <f>-(J138+J139+J142+J143+J146+J147)</f>
        <v/>
      </c>
      <c r="K162" s="5">
        <f>-(K138+K139+K142+K143+K146+K147)</f>
        <v/>
      </c>
      <c r="L162" s="5">
        <f>-(L138+L139+L142+L143+L146+L147)</f>
        <v/>
      </c>
    </row>
    <row r="163">
      <c r="A163" s="4" t="inlineStr">
        <is>
          <t>Flux de financement</t>
        </is>
      </c>
      <c r="B163" s="18">
        <f>SUM(C163:L163)</f>
        <v/>
      </c>
      <c r="C163" s="18">
        <f>C160+C161+C162</f>
        <v/>
      </c>
      <c r="D163" s="18">
        <f>D160+D161+D162</f>
        <v/>
      </c>
      <c r="E163" s="18">
        <f>E160+E161+E162</f>
        <v/>
      </c>
      <c r="F163" s="18">
        <f>F160+F161+F162</f>
        <v/>
      </c>
      <c r="G163" s="18">
        <f>G160+G161+G162</f>
        <v/>
      </c>
      <c r="H163" s="18">
        <f>H160+H161+H162</f>
        <v/>
      </c>
      <c r="I163" s="18">
        <f>I160+I161+I162</f>
        <v/>
      </c>
      <c r="J163" s="18">
        <f>J160+J161+J162</f>
        <v/>
      </c>
      <c r="K163" s="18">
        <f>K160+K161+K162</f>
        <v/>
      </c>
      <c r="L163" s="18">
        <f>L160+L161+L162</f>
        <v/>
      </c>
    </row>
    <row r="164">
      <c r="A164" s="4" t="inlineStr">
        <is>
          <t>Variation de trésorerie</t>
        </is>
      </c>
      <c r="B164" s="18">
        <f>SUM(C164:L164)</f>
        <v/>
      </c>
      <c r="C164" s="18">
        <f>C158+C159+C163</f>
        <v/>
      </c>
      <c r="D164" s="18">
        <f>D158+D159+D163</f>
        <v/>
      </c>
      <c r="E164" s="18">
        <f>E158+E159+E163</f>
        <v/>
      </c>
      <c r="F164" s="18">
        <f>F158+F159+F163</f>
        <v/>
      </c>
      <c r="G164" s="18">
        <f>G158+G159+G163</f>
        <v/>
      </c>
      <c r="H164" s="18">
        <f>H158+H159+H163</f>
        <v/>
      </c>
      <c r="I164" s="18">
        <f>I158+I159+I163</f>
        <v/>
      </c>
      <c r="J164" s="18">
        <f>J158+J159+J163</f>
        <v/>
      </c>
      <c r="K164" s="18">
        <f>K158+K159+K163</f>
        <v/>
      </c>
      <c r="L164" s="18">
        <f>L158+L159+L163</f>
        <v/>
      </c>
    </row>
    <row r="165">
      <c r="A165" s="4" t="inlineStr">
        <is>
          <t>Trésorerie fin d'année</t>
        </is>
      </c>
      <c r="C165" s="18">
        <f>C164</f>
        <v/>
      </c>
      <c r="D165" s="18">
        <f>C165+D164</f>
        <v/>
      </c>
      <c r="E165" s="18">
        <f>D165+E164</f>
        <v/>
      </c>
      <c r="F165" s="18">
        <f>E165+F164</f>
        <v/>
      </c>
      <c r="G165" s="18">
        <f>F165+G164</f>
        <v/>
      </c>
      <c r="H165" s="18">
        <f>G165+H164</f>
        <v/>
      </c>
      <c r="I165" s="18">
        <f>H165+I164</f>
        <v/>
      </c>
      <c r="J165" s="18">
        <f>I165+J164</f>
        <v/>
      </c>
      <c r="K165" s="18">
        <f>J165+K164</f>
        <v/>
      </c>
      <c r="L165" s="18">
        <f>K165+L164</f>
        <v/>
      </c>
    </row>
    <row r="166">
      <c r="A166" t="inlineStr">
        <is>
          <t>Cash-flow libre d'exploitation (CFO − gros entretien − service dette hors obligations in fine)</t>
        </is>
      </c>
      <c r="B166" s="5">
        <f>SUM(C166:L166)</f>
        <v/>
      </c>
      <c r="C166" s="5">
        <f>C158-C129-(C138+C139+C142+C143+C146)</f>
        <v/>
      </c>
      <c r="D166" s="5">
        <f>D158-D129-(D138+D139+D142+D143+D146)</f>
        <v/>
      </c>
      <c r="E166" s="5">
        <f>E158-E129-(E138+E139+E142+E143+E146)</f>
        <v/>
      </c>
      <c r="F166" s="5">
        <f>F158-F129-(F138+F139+F142+F143+F146)</f>
        <v/>
      </c>
      <c r="G166" s="5">
        <f>G158-G129-(G138+G139+G142+G143+G146)</f>
        <v/>
      </c>
      <c r="H166" s="5">
        <f>H158-H129-(H138+H139+H142+H143+H146)</f>
        <v/>
      </c>
      <c r="I166" s="5">
        <f>I158-I129-(I138+I139+I142+I143+I146)</f>
        <v/>
      </c>
      <c r="J166" s="5">
        <f>J158-J129-(J138+J139+J142+J143+J146)</f>
        <v/>
      </c>
      <c r="K166" s="5">
        <f>K158-K129-(K138+K139+K142+K143+K146)</f>
        <v/>
      </c>
      <c r="L166" s="5">
        <f>L158-L129-(L138+L139+L142+L143+L146)</f>
        <v/>
      </c>
    </row>
    <row r="167">
      <c r="A167" t="inlineStr">
        <is>
          <t>DSCR ((EBITDA + loyer privé − IS − gros entretien) / service de la dette)</t>
        </is>
      </c>
      <c r="C167" s="7">
        <f>IF((C138+C139+C142+C143+C146)=0,"",(C124+C125+C152-C129)/(C138+C139+C142+C143+C146))</f>
        <v/>
      </c>
      <c r="D167" s="7">
        <f>IF((D138+D139+D142+D143+D146)=0,"",(D124+D125+D152-D129)/(D138+D139+D142+D143+D146))</f>
        <v/>
      </c>
      <c r="E167" s="7">
        <f>IF((E138+E139+E142+E143+E146)=0,"",(E124+E125+E152-E129)/(E138+E139+E142+E143+E146))</f>
        <v/>
      </c>
      <c r="F167" s="7">
        <f>IF((F138+F139+F142+F143+F146)=0,"",(F124+F125+F152-F129)/(F138+F139+F142+F143+F146))</f>
        <v/>
      </c>
      <c r="G167" s="7">
        <f>IF((G138+G139+G142+G143+G146)=0,"",(G124+G125+G152-G129)/(G138+G139+G142+G143+G146))</f>
        <v/>
      </c>
      <c r="H167" s="7">
        <f>IF((H138+H139+H142+H143+H146)=0,"",(H124+H125+H152-H129)/(H138+H139+H142+H143+H146))</f>
        <v/>
      </c>
      <c r="I167" s="7">
        <f>IF((I138+I139+I142+I143+I146)=0,"",(I124+I125+I152-I129)/(I138+I139+I142+I143+I146))</f>
        <v/>
      </c>
      <c r="J167" s="7">
        <f>IF((J138+J139+J142+J143+J146)=0,"",(J124+J125+J152-J129)/(J138+J139+J142+J143+J146))</f>
        <v/>
      </c>
      <c r="K167" s="7">
        <f>IF((K138+K139+K142+K143+K146)=0,"",(K124+K125+K152-K129)/(K138+K139+K142+K143+K146))</f>
        <v/>
      </c>
      <c r="L167" s="7">
        <f>IF((L138+L139+L142+L143+L146)=0,"",(L124+L125+L152-L129)/(L138+L139+L142+L143+L146))</f>
        <v/>
      </c>
    </row>
    <row r="169">
      <c r="A169" s="4" t="inlineStr">
        <is>
          <t>Rentabilité des investisseurs et contrôle</t>
        </is>
      </c>
    </row>
    <row r="170">
      <c r="A170" t="inlineStr">
        <is>
          <t>Dettes financières totales fin d'année</t>
        </is>
      </c>
      <c r="C170" s="5">
        <f>C140+C144+C145-C147</f>
        <v/>
      </c>
      <c r="D170" s="5">
        <f>D140+D144+D145-D147</f>
        <v/>
      </c>
      <c r="E170" s="5">
        <f>E140+E144+E145-E147</f>
        <v/>
      </c>
      <c r="F170" s="5">
        <f>F140+F144+F145-F147</f>
        <v/>
      </c>
      <c r="G170" s="5">
        <f>G140+G144+G145-G147</f>
        <v/>
      </c>
      <c r="H170" s="5">
        <f>H140+H144+H145-H147</f>
        <v/>
      </c>
      <c r="I170" s="5">
        <f>I140+I144+I145-I147</f>
        <v/>
      </c>
      <c r="J170" s="5">
        <f>J140+J144+J145-J147</f>
        <v/>
      </c>
      <c r="K170" s="5">
        <f>K140+K144+K145-K147</f>
        <v/>
      </c>
      <c r="L170" s="5">
        <f>L140+L144+L145-L147</f>
        <v/>
      </c>
    </row>
    <row r="171">
      <c r="A171" t="inlineStr">
        <is>
          <t>Valeur estimée de l'actif (si cédé cette année)</t>
        </is>
      </c>
      <c r="C171" s="5">
        <f>C94*($B$7+C130)*$B$17*(1-$B$19)</f>
        <v/>
      </c>
      <c r="D171" s="5">
        <f>D94*($B$7+D130)*$B$17*(1-$B$19)</f>
        <v/>
      </c>
      <c r="E171" s="5">
        <f>E94*($B$7+E130)*$B$17*(1-$B$19)</f>
        <v/>
      </c>
      <c r="F171" s="5">
        <f>F94*($B$7+F130)*$B$17*(1-$B$19)</f>
        <v/>
      </c>
      <c r="G171" s="5">
        <f>G94*($B$7+G130)*$B$17*(1-$B$19)</f>
        <v/>
      </c>
      <c r="H171" s="5">
        <f>H94*($B$7+H130)*$B$17*(1-$B$19)</f>
        <v/>
      </c>
      <c r="I171" s="5">
        <f>I94*($B$7+I130)*$B$17*(1-$B$19)</f>
        <v/>
      </c>
      <c r="J171" s="5">
        <f>J94*($B$7+J130)*$B$17*(1-$B$19)</f>
        <v/>
      </c>
      <c r="K171" s="5">
        <f>K94*($B$7+K130)*$B$17*(1-$B$19)</f>
        <v/>
      </c>
      <c r="L171" s="5">
        <f>L94*($B$7+L130)*$B$17*(1-$B$19)</f>
        <v/>
      </c>
    </row>
    <row r="172">
      <c r="A172" t="inlineStr">
        <is>
          <t>Valeur des fonds propres (actif + trésorerie − dettes)</t>
        </is>
      </c>
      <c r="C172" s="5">
        <f>C171+C165-C170</f>
        <v/>
      </c>
      <c r="D172" s="5">
        <f>D171+D165-D170</f>
        <v/>
      </c>
      <c r="E172" s="5">
        <f>E171+E165-E170</f>
        <v/>
      </c>
      <c r="F172" s="5">
        <f>F171+F165-F170</f>
        <v/>
      </c>
      <c r="G172" s="5">
        <f>G171+G165-G170</f>
        <v/>
      </c>
      <c r="H172" s="5">
        <f>H171+H165-H170</f>
        <v/>
      </c>
      <c r="I172" s="5">
        <f>I171+I165-I170</f>
        <v/>
      </c>
      <c r="J172" s="5">
        <f>J171+J165-J170</f>
        <v/>
      </c>
      <c r="K172" s="5">
        <f>K171+K165-K170</f>
        <v/>
      </c>
      <c r="L172" s="5">
        <f>L171+L165-L170</f>
        <v/>
      </c>
    </row>
    <row r="173">
      <c r="A173" t="inlineStr">
        <is>
          <t>Flux des investisseurs (entrée an d'acq., sortie an 10)</t>
        </is>
      </c>
      <c r="B173" s="5">
        <f>SUM(C173:L173)</f>
        <v/>
      </c>
      <c r="C173" s="5">
        <f>-IF(C$88=$B$5,$B$24*(1-$B$49)*(1-$B$25),0)</f>
        <v/>
      </c>
      <c r="D173" s="5">
        <f>-IF(D$88=$B$5,$B$24*(1-$B$49)*(1-$B$25),0)</f>
        <v/>
      </c>
      <c r="E173" s="5">
        <f>-IF(E$88=$B$5,$B$24*(1-$B$49)*(1-$B$25),0)</f>
        <v/>
      </c>
      <c r="F173" s="5">
        <f>-IF(F$88=$B$5,$B$24*(1-$B$49)*(1-$B$25),0)</f>
        <v/>
      </c>
      <c r="G173" s="5">
        <f>-IF(G$88=$B$5,$B$24*(1-$B$49)*(1-$B$25),0)</f>
        <v/>
      </c>
      <c r="H173" s="5">
        <f>-IF(H$88=$B$5,$B$24*(1-$B$49)*(1-$B$25),0)</f>
        <v/>
      </c>
      <c r="I173" s="5">
        <f>-IF(I$88=$B$5,$B$24*(1-$B$49)*(1-$B$25),0)</f>
        <v/>
      </c>
      <c r="J173" s="5">
        <f>-IF(J$88=$B$5,$B$24*(1-$B$49)*(1-$B$25),0)</f>
        <v/>
      </c>
      <c r="K173" s="5">
        <f>-IF(K$88=$B$5,$B$24*(1-$B$49)*(1-$B$25),0)</f>
        <v/>
      </c>
      <c r="L173" s="5">
        <f>-IF(L$88=$B$5,$B$24*(1-$B$49)*(1-$B$25),0)+MAX(0,L172)*(1-$B$42)</f>
        <v/>
      </c>
    </row>
    <row r="174">
      <c r="A174" t="inlineStr">
        <is>
          <t>Flux du fondateur et de sa holding (apports, sortie théorique an 10)</t>
        </is>
      </c>
      <c r="B174" s="5">
        <f>SUM(C174:L174)</f>
        <v/>
      </c>
      <c r="C174" s="5">
        <f>-IF(C$88=1,$B$23,0)-IF(C$88=$B$5,$B$24*(1-$B$49)*$B$25,0)</f>
        <v/>
      </c>
      <c r="D174" s="5">
        <f>-IF(D$88=1,$B$23,0)-IF(D$88=$B$5,$B$24*(1-$B$49)*$B$25,0)</f>
        <v/>
      </c>
      <c r="E174" s="5">
        <f>-IF(E$88=1,$B$23,0)-IF(E$88=$B$5,$B$24*(1-$B$49)*$B$25,0)</f>
        <v/>
      </c>
      <c r="F174" s="5">
        <f>-IF(F$88=1,$B$23,0)-IF(F$88=$B$5,$B$24*(1-$B$49)*$B$25,0)</f>
        <v/>
      </c>
      <c r="G174" s="5">
        <f>-IF(G$88=1,$B$23,0)-IF(G$88=$B$5,$B$24*(1-$B$49)*$B$25,0)</f>
        <v/>
      </c>
      <c r="H174" s="5">
        <f>-IF(H$88=1,$B$23,0)-IF(H$88=$B$5,$B$24*(1-$B$49)*$B$25,0)</f>
        <v/>
      </c>
      <c r="I174" s="5">
        <f>-IF(I$88=1,$B$23,0)-IF(I$88=$B$5,$B$24*(1-$B$49)*$B$25,0)</f>
        <v/>
      </c>
      <c r="J174" s="5">
        <f>-IF(J$88=1,$B$23,0)-IF(J$88=$B$5,$B$24*(1-$B$49)*$B$25,0)</f>
        <v/>
      </c>
      <c r="K174" s="5">
        <f>-IF(K$88=1,$B$23,0)-IF(K$88=$B$5,$B$24*(1-$B$49)*$B$25,0)</f>
        <v/>
      </c>
      <c r="L174" s="5">
        <f>-IF(L$88=1,$B$23,0)-IF(L$88=$B$5,$B$24*(1-$B$49)*$B$25,0)+MAX(0,L172)*$B$42</f>
        <v/>
      </c>
    </row>
    <row r="176">
      <c r="A176" s="10" t="inlineStr">
        <is>
          <t>8. Indicateurs clés</t>
        </is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</row>
    <row r="177">
      <c r="A177" t="inlineStr">
        <is>
          <t>Emplois totaux (acq. + frais + travaux initiaux)</t>
        </is>
      </c>
      <c r="B177" s="18">
        <f>$B$7*(1+$B$8)+SUM(C127:L127)</f>
        <v/>
      </c>
    </row>
    <row r="178">
      <c r="A178" t="inlineStr">
        <is>
          <t>Ressources externes et apports prévus</t>
        </is>
      </c>
      <c r="B178" s="18">
        <f>$B$23+$B$24*(1-$B$49)+$B$26+$B$27+$B$31+$B$34</f>
        <v/>
      </c>
    </row>
    <row r="179">
      <c r="A179" t="inlineStr">
        <is>
          <t>CA année 5</t>
        </is>
      </c>
      <c r="B179" s="18">
        <f>G105</f>
        <v/>
      </c>
    </row>
    <row r="180">
      <c r="A180" t="inlineStr">
        <is>
          <t>EBITDA année 5</t>
        </is>
      </c>
      <c r="B180" s="18">
        <f>G124</f>
        <v/>
      </c>
    </row>
    <row r="181">
      <c r="A181" t="inlineStr">
        <is>
          <t>EBITDA année 10</t>
        </is>
      </c>
      <c r="B181" s="18">
        <f>L124</f>
        <v/>
      </c>
    </row>
    <row r="182">
      <c r="A182" t="inlineStr">
        <is>
          <t>Part équestre du CA année 5</t>
        </is>
      </c>
      <c r="B182" s="14">
        <f>G107</f>
        <v/>
      </c>
    </row>
    <row r="183">
      <c r="A183" t="inlineStr">
        <is>
          <t>Trésorerie minimale sur 10 ans</t>
        </is>
      </c>
      <c r="B183" s="18">
        <f>MIN(C165:L165)</f>
        <v/>
      </c>
    </row>
    <row r="184">
      <c r="A184" t="inlineStr">
        <is>
          <t>Trésorerie fin année 10</t>
        </is>
      </c>
      <c r="B184" s="18">
        <f>L165</f>
        <v/>
      </c>
    </row>
    <row r="185">
      <c r="A185" t="inlineStr">
        <is>
          <t>DSCR minimal (à partir de la 2e année d'exploitation)</t>
        </is>
      </c>
      <c r="B185" s="19">
        <f>IF(COUNTIFS(C167:L167,"&gt;-1E+300",C90:L90,"&gt;=2")=0,"n/a",_xlfn.MINIFS(C167:L167,C90:L90,"&gt;=2"))</f>
        <v/>
      </c>
    </row>
    <row r="186">
      <c r="A186" t="inlineStr">
        <is>
          <t>Nb d'années à cash-flow libre d'exploitation négatif (à partir de la 2e année d'exploitation)</t>
        </is>
      </c>
      <c r="B186" s="20">
        <f>COUNTIFS(C166:L166,"&lt;0",C90:L90,"&gt;=2")</f>
        <v/>
      </c>
    </row>
    <row r="187">
      <c r="A187" t="inlineStr">
        <is>
          <t>TRI investisseurs (sortie théorique an 10)</t>
        </is>
      </c>
      <c r="B187" s="14">
        <f>IF($B$24*(1-$B$25)=0,"sans objet",IFERROR(IRR(C173:L173,-0.05),"perte quasi totale (TRI non calculable)"))</f>
        <v/>
      </c>
    </row>
    <row r="188">
      <c r="A188" t="inlineStr">
        <is>
          <t>TRI fondateur (sortie théorique an 10)</t>
        </is>
      </c>
      <c r="B188" s="14">
        <f>IFERROR(IRR(C174:L174,-0.05),"perte quasi totale (TRI non calculable)")</f>
        <v/>
      </c>
    </row>
    <row r="189">
      <c r="A189" t="inlineStr">
        <is>
          <t>Dette bancaire soutenable estimée (DSCR 1,2 sur (EBITDA − gros entretien) an 10, taux et durée du scénario)</t>
        </is>
      </c>
      <c r="B189" s="18">
        <f>MAX(0,PV($B$28,$B$29,-(L124+L125-L129)/1.2))</f>
        <v/>
      </c>
    </row>
    <row r="190">
      <c r="A190" t="inlineStr">
        <is>
          <t>Fonds propres nécessaires (emplois + réserve + pertes d'exploitation cumulées − dette soutenable)</t>
        </is>
      </c>
      <c r="B190" s="18">
        <f>$B$7*(1+$B$8)+SUM(C127:L127)+$B$39-SUMIF(C158:L158,"&lt;0")-$B$189</f>
        <v/>
      </c>
    </row>
    <row r="191">
      <c r="A191" t="inlineStr">
        <is>
          <t>Part du capital du fondateur</t>
        </is>
      </c>
      <c r="B191" s="14">
        <f>$B$42</f>
        <v/>
      </c>
    </row>
    <row r="192">
      <c r="A192" t="inlineStr">
        <is>
          <t>Droits de vote du fondateur</t>
        </is>
      </c>
      <c r="B192" s="14">
        <f>$B$38</f>
        <v/>
      </c>
    </row>
    <row r="193">
      <c r="A193" s="4" t="inlineStr">
        <is>
          <t>Verdict (trésorerie ≥ 0 et ≥ réserve an 10, DSCR ≥ 1,2, cash-flow libre ≥ 0 dès la 2e année d'exploitation, TRI investisseurs extérieurs ≥ cible, dirigeant payé)</t>
        </is>
      </c>
      <c r="B193" s="4">
        <f>IF($B$183&lt;0,"NON VIABLE (trésorerie négative)",IF(AND($B$184&gt;=$B$39,OR($B$185="n/a",$B$185&gt;=1.2),$B$186=0),IF(NOT(OR($B$187="sans objet",AND(ISNUMBER($B$187),N($B$187)&gt;=$B$40))),"FRAGILE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B — Crédit-vendeur : apport 250 k€, crédit-vendeur 1,5 M€ sur 12 ans (montage 3) — cas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330000</v>
      </c>
      <c r="C23" t="inlineStr">
        <is>
          <t>€</t>
        </is>
      </c>
      <c r="D23" t="inlineStr">
        <is>
          <t>S2 250 k€ + prêts d'honneur 80 k€ [A2 montage 3]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1100000</v>
      </c>
      <c r="C27" t="inlineStr">
        <is>
          <t>€</t>
        </is>
      </c>
      <c r="D27" t="inlineStr">
        <is>
          <t>NON ACQUIS — banque 15 ans (750 k€) + prêt OpCo garanti (350 k€) regroupés [A2]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15</v>
      </c>
      <c r="C29" t="inlineStr">
        <is>
          <t>ans</t>
        </is>
      </c>
      <c r="D29" t="inlineStr">
        <is>
          <t>A2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1500000</v>
      </c>
      <c r="C31" t="inlineStr">
        <is>
          <t>€</t>
        </is>
      </c>
      <c r="D31" t="inlineStr">
        <is>
          <t>NON ACQUIS — vendeur coopératif à trouver ; clause résolutoire [A2 montage 3]</t>
        </is>
      </c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A2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A2</t>
        </is>
      </c>
    </row>
    <row r="34">
      <c r="A34" t="inlineStr">
        <is>
          <t>Obligations / quasi-fonds propres (in fine)</t>
        </is>
      </c>
      <c r="B34" s="12" t="n">
        <v>500000</v>
      </c>
      <c r="C34" t="inlineStr">
        <is>
          <t>€</t>
        </is>
      </c>
      <c r="D34" t="inlineStr">
        <is>
          <t>NON ACQUIS — obligations PSFP in fine 5 ans [A2]</t>
        </is>
      </c>
    </row>
    <row r="35">
      <c r="A35" t="inlineStr">
        <is>
          <t>Coupon annuel des obligations</t>
        </is>
      </c>
      <c r="B35" s="13" t="n">
        <v>0.08</v>
      </c>
      <c r="C35" t="inlineStr">
        <is>
          <t>%</t>
        </is>
      </c>
      <c r="D35" t="inlineStr">
        <is>
          <t>A2 : 7-9 %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Remboursement in fine en année 6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/ agent d'entretien (1 ETP au Smic chargé)</t>
        </is>
      </c>
      <c r="B77" s="12" t="n">
        <v>27000</v>
      </c>
      <c r="C77" s="16" t="n">
        <v>1</v>
      </c>
      <c r="G77" t="inlineStr">
        <is>
          <t>PL : Smic 2026 22 404 € brut/an [A4 §11] ; EST charges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Soigneurs (2 ETP au Smic chargés)</t>
        </is>
      </c>
      <c r="B79" s="12" t="n">
        <v>60000</v>
      </c>
      <c r="C79" s="16" t="n">
        <v>0</v>
      </c>
      <c r="G79" t="inlineStr">
        <is>
          <t>PL : Smic 1 867 €/mois, grille IDCC 7026 inférieure ; 1 ETP / 17-20 équidés [A3 H13-H14] ; ~54 équidés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5">
      <c r="A85" t="inlineStr">
        <is>
          <t>Rémunération du dirigeant (chargée)</t>
        </is>
      </c>
      <c r="B85" s="12" t="n">
        <v>35000</v>
      </c>
      <c r="C85" s="16" t="n">
        <v>0</v>
      </c>
      <c r="G85" t="inlineStr">
        <is>
          <t>EST : minimum ; le dirigeant paie en plus 18 k€ de loyer privé</t>
        </is>
      </c>
    </row>
    <row r="87">
      <c r="A87" s="10" t="inlineStr">
        <is>
          <t>7. Calcul sur 10 ans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4" t="inlineStr">
        <is>
          <t>Année</t>
        </is>
      </c>
      <c r="B88" s="4" t="inlineStr">
        <is>
          <t>Total / réf.</t>
        </is>
      </c>
      <c r="C88" s="4" t="n">
        <v>1</v>
      </c>
      <c r="D88" s="4" t="n">
        <v>2</v>
      </c>
      <c r="E88" s="4" t="n">
        <v>3</v>
      </c>
      <c r="F88" s="4" t="n">
        <v>4</v>
      </c>
      <c r="G88" s="4" t="n">
        <v>5</v>
      </c>
      <c r="H88" s="4" t="n">
        <v>6</v>
      </c>
      <c r="I88" s="4" t="n">
        <v>7</v>
      </c>
      <c r="J88" s="4" t="n">
        <v>8</v>
      </c>
      <c r="K88" s="4" t="n">
        <v>9</v>
      </c>
      <c r="L88" s="4" t="n">
        <v>10</v>
      </c>
    </row>
    <row r="89">
      <c r="A89" t="inlineStr">
        <is>
          <t>Année d'ouverture effective</t>
        </is>
      </c>
      <c r="C89" s="8">
        <f>$B$6+$B$47</f>
        <v/>
      </c>
      <c r="D89" s="8">
        <f>$B$6+$B$47</f>
        <v/>
      </c>
      <c r="E89" s="8">
        <f>$B$6+$B$47</f>
        <v/>
      </c>
      <c r="F89" s="8">
        <f>$B$6+$B$47</f>
        <v/>
      </c>
      <c r="G89" s="8">
        <f>$B$6+$B$47</f>
        <v/>
      </c>
      <c r="H89" s="8">
        <f>$B$6+$B$47</f>
        <v/>
      </c>
      <c r="I89" s="8">
        <f>$B$6+$B$47</f>
        <v/>
      </c>
      <c r="J89" s="8">
        <f>$B$6+$B$47</f>
        <v/>
      </c>
      <c r="K89" s="8">
        <f>$B$6+$B$47</f>
        <v/>
      </c>
      <c r="L89" s="8">
        <f>$B$6+$B$47</f>
        <v/>
      </c>
    </row>
    <row r="90">
      <c r="A90" t="inlineStr">
        <is>
          <t>Rang de l'année d'exploitation</t>
        </is>
      </c>
      <c r="C90" s="8">
        <f>MAX(0,C$88-C89+1)</f>
        <v/>
      </c>
      <c r="D90" s="8">
        <f>MAX(0,D$88-D89+1)</f>
        <v/>
      </c>
      <c r="E90" s="8">
        <f>MAX(0,E$88-E89+1)</f>
        <v/>
      </c>
      <c r="F90" s="8">
        <f>MAX(0,F$88-F89+1)</f>
        <v/>
      </c>
      <c r="G90" s="8">
        <f>MAX(0,G$88-G89+1)</f>
        <v/>
      </c>
      <c r="H90" s="8">
        <f>MAX(0,H$88-H89+1)</f>
        <v/>
      </c>
      <c r="I90" s="8">
        <f>MAX(0,I$88-I89+1)</f>
        <v/>
      </c>
      <c r="J90" s="8">
        <f>MAX(0,J$88-J89+1)</f>
        <v/>
      </c>
      <c r="K90" s="8">
        <f>MAX(0,K$88-K89+1)</f>
        <v/>
      </c>
      <c r="L90" s="8">
        <f>MAX(0,L$88-L89+1)</f>
        <v/>
      </c>
    </row>
    <row r="91">
      <c r="A91" t="inlineStr">
        <is>
          <t>Coefficient de montée en charge</t>
        </is>
      </c>
      <c r="C91" s="6">
        <f>IF(C90=0,0,IF(C90=1,$B$53,IF(C90=2,$B$54,IF(C90=3,$B$55,1))))</f>
        <v/>
      </c>
      <c r="D91" s="6">
        <f>IF(D90=0,0,IF(D90=1,$B$53,IF(D90=2,$B$54,IF(D90=3,$B$55,1))))</f>
        <v/>
      </c>
      <c r="E91" s="6">
        <f>IF(E90=0,0,IF(E90=1,$B$53,IF(E90=2,$B$54,IF(E90=3,$B$55,1))))</f>
        <v/>
      </c>
      <c r="F91" s="6">
        <f>IF(F90=0,0,IF(F90=1,$B$53,IF(F90=2,$B$54,IF(F90=3,$B$55,1))))</f>
        <v/>
      </c>
      <c r="G91" s="6">
        <f>IF(G90=0,0,IF(G90=1,$B$53,IF(G90=2,$B$54,IF(G90=3,$B$55,1))))</f>
        <v/>
      </c>
      <c r="H91" s="6">
        <f>IF(H90=0,0,IF(H90=1,$B$53,IF(H90=2,$B$54,IF(H90=3,$B$55,1))))</f>
        <v/>
      </c>
      <c r="I91" s="6">
        <f>IF(I90=0,0,IF(I90=1,$B$53,IF(I90=2,$B$54,IF(I90=3,$B$55,1))))</f>
        <v/>
      </c>
      <c r="J91" s="6">
        <f>IF(J90=0,0,IF(J90=1,$B$53,IF(J90=2,$B$54,IF(J90=3,$B$55,1))))</f>
        <v/>
      </c>
      <c r="K91" s="6">
        <f>IF(K90=0,0,IF(K90=1,$B$53,IF(K90=2,$B$54,IF(K90=3,$B$55,1))))</f>
        <v/>
      </c>
      <c r="L91" s="6">
        <f>IF(L90=0,0,IF(L90=1,$B$53,IF(L90=2,$B$54,IF(L90=3,$B$55,1))))</f>
        <v/>
      </c>
    </row>
    <row r="92">
      <c r="A92" t="inlineStr">
        <is>
          <t>Indice prix</t>
        </is>
      </c>
      <c r="C92" s="17">
        <f>(1+$B$56)^(C$88-1)</f>
        <v/>
      </c>
      <c r="D92" s="17">
        <f>(1+$B$56)^(D$88-1)</f>
        <v/>
      </c>
      <c r="E92" s="17">
        <f>(1+$B$56)^(E$88-1)</f>
        <v/>
      </c>
      <c r="F92" s="17">
        <f>(1+$B$56)^(F$88-1)</f>
        <v/>
      </c>
      <c r="G92" s="17">
        <f>(1+$B$56)^(G$88-1)</f>
        <v/>
      </c>
      <c r="H92" s="17">
        <f>(1+$B$56)^(H$88-1)</f>
        <v/>
      </c>
      <c r="I92" s="17">
        <f>(1+$B$56)^(I$88-1)</f>
        <v/>
      </c>
      <c r="J92" s="17">
        <f>(1+$B$56)^(J$88-1)</f>
        <v/>
      </c>
      <c r="K92" s="17">
        <f>(1+$B$56)^(K$88-1)</f>
        <v/>
      </c>
      <c r="L92" s="17">
        <f>(1+$B$56)^(L$88-1)</f>
        <v/>
      </c>
    </row>
    <row r="93">
      <c r="A93" t="inlineStr">
        <is>
          <t>Indice charges</t>
        </is>
      </c>
      <c r="C93" s="17">
        <f>(1+$B$57)^(C$88-1)</f>
        <v/>
      </c>
      <c r="D93" s="17">
        <f>(1+$B$57)^(D$88-1)</f>
        <v/>
      </c>
      <c r="E93" s="17">
        <f>(1+$B$57)^(E$88-1)</f>
        <v/>
      </c>
      <c r="F93" s="17">
        <f>(1+$B$57)^(F$88-1)</f>
        <v/>
      </c>
      <c r="G93" s="17">
        <f>(1+$B$57)^(G$88-1)</f>
        <v/>
      </c>
      <c r="H93" s="17">
        <f>(1+$B$57)^(H$88-1)</f>
        <v/>
      </c>
      <c r="I93" s="17">
        <f>(1+$B$57)^(I$88-1)</f>
        <v/>
      </c>
      <c r="J93" s="17">
        <f>(1+$B$57)^(J$88-1)</f>
        <v/>
      </c>
      <c r="K93" s="17">
        <f>(1+$B$57)^(K$88-1)</f>
        <v/>
      </c>
      <c r="L93" s="17">
        <f>(1+$B$57)^(L$88-1)</f>
        <v/>
      </c>
    </row>
    <row r="94">
      <c r="A94" t="inlineStr">
        <is>
          <t>Murs détenus (1/0)</t>
        </is>
      </c>
      <c r="C94" s="8">
        <f>IF(C$88&gt;=$B$5,1,0)</f>
        <v/>
      </c>
      <c r="D94" s="8">
        <f>IF(D$88&gt;=$B$5,1,0)</f>
        <v/>
      </c>
      <c r="E94" s="8">
        <f>IF(E$88&gt;=$B$5,1,0)</f>
        <v/>
      </c>
      <c r="F94" s="8">
        <f>IF(F$88&gt;=$B$5,1,0)</f>
        <v/>
      </c>
      <c r="G94" s="8">
        <f>IF(G$88&gt;=$B$5,1,0)</f>
        <v/>
      </c>
      <c r="H94" s="8">
        <f>IF(H$88&gt;=$B$5,1,0)</f>
        <v/>
      </c>
      <c r="I94" s="8">
        <f>IF(I$88&gt;=$B$5,1,0)</f>
        <v/>
      </c>
      <c r="J94" s="8">
        <f>IF(J$88&gt;=$B$5,1,0)</f>
        <v/>
      </c>
      <c r="K94" s="8">
        <f>IF(K$88&gt;=$B$5,1,0)</f>
        <v/>
      </c>
      <c r="L94" s="8">
        <f>IF(L$88&gt;=$B$5,1,0)</f>
        <v/>
      </c>
    </row>
    <row r="96">
      <c r="A96" s="4" t="inlineStr">
        <is>
          <t>Compte de résultat</t>
        </is>
      </c>
    </row>
    <row r="97">
      <c r="A97" t="inlineStr">
        <is>
          <t xml:space="preserve">  Pension box premium (places occupées)</t>
        </is>
      </c>
      <c r="B97" s="5">
        <f>SUM(C97:L97)</f>
        <v/>
      </c>
      <c r="C97" s="5">
        <f>$B$63*$C$63*C91*C92*$B$45*(1-$E$63*$B$50)</f>
        <v/>
      </c>
      <c r="D97" s="5">
        <f>$B$63*$C$63*D91*D92*$B$45*(1-$E$63*$B$50)</f>
        <v/>
      </c>
      <c r="E97" s="5">
        <f>$B$63*$C$63*E91*E92*$B$45*(1-$E$63*$B$50)</f>
        <v/>
      </c>
      <c r="F97" s="5">
        <f>$B$63*$C$63*F91*F92*$B$45*(1-$E$63*$B$50)</f>
        <v/>
      </c>
      <c r="G97" s="5">
        <f>$B$63*$C$63*G91*G92*$B$45*(1-$E$63*$B$50)</f>
        <v/>
      </c>
      <c r="H97" s="5">
        <f>$B$63*$C$63*H91*H92*$B$45*(1-$E$63*$B$50)</f>
        <v/>
      </c>
      <c r="I97" s="5">
        <f>$B$63*$C$63*I91*I92*$B$45*(1-$E$63*$B$50)</f>
        <v/>
      </c>
      <c r="J97" s="5">
        <f>$B$63*$C$63*J91*J92*$B$45*(1-$E$63*$B$50)</f>
        <v/>
      </c>
      <c r="K97" s="5">
        <f>$B$63*$C$63*K91*K92*$B$45*(1-$E$63*$B$50)</f>
        <v/>
      </c>
      <c r="L97" s="5">
        <f>$B$63*$C$63*L91*L92*$B$45*(1-$E$63*$B$50)</f>
        <v/>
      </c>
    </row>
    <row r="98">
      <c r="A98" t="inlineStr">
        <is>
          <t xml:space="preserve">  Pension au pré (places occupées)</t>
        </is>
      </c>
      <c r="B98" s="5">
        <f>SUM(C98:L98)</f>
        <v/>
      </c>
      <c r="C98" s="5">
        <f>$B$64*$C$64*C91*C92*$B$45*(1-$E$64*$B$50)</f>
        <v/>
      </c>
      <c r="D98" s="5">
        <f>$B$64*$C$64*D91*D92*$B$45*(1-$E$64*$B$50)</f>
        <v/>
      </c>
      <c r="E98" s="5">
        <f>$B$64*$C$64*E91*E92*$B$45*(1-$E$64*$B$50)</f>
        <v/>
      </c>
      <c r="F98" s="5">
        <f>$B$64*$C$64*F91*F92*$B$45*(1-$E$64*$B$50)</f>
        <v/>
      </c>
      <c r="G98" s="5">
        <f>$B$64*$C$64*G91*G92*$B$45*(1-$E$64*$B$50)</f>
        <v/>
      </c>
      <c r="H98" s="5">
        <f>$B$64*$C$64*H91*H92*$B$45*(1-$E$64*$B$50)</f>
        <v/>
      </c>
      <c r="I98" s="5">
        <f>$B$64*$C$64*I91*I92*$B$45*(1-$E$64*$B$50)</f>
        <v/>
      </c>
      <c r="J98" s="5">
        <f>$B$64*$C$64*J91*J92*$B$45*(1-$E$64*$B$50)</f>
        <v/>
      </c>
      <c r="K98" s="5">
        <f>$B$64*$C$64*K91*K92*$B$45*(1-$E$64*$B$50)</f>
        <v/>
      </c>
      <c r="L98" s="5">
        <f>$B$64*$C$64*L91*L92*$B$45*(1-$E$64*$B$50)</f>
        <v/>
      </c>
    </row>
    <row r="99">
      <c r="A99" t="inlineStr">
        <is>
          <t xml:space="preserve">  Pension retraite / convalescence (places occupées)</t>
        </is>
      </c>
      <c r="B99" s="5">
        <f>SUM(C99:L99)</f>
        <v/>
      </c>
      <c r="C99" s="5">
        <f>$B$65*$C$65*C91*C92*$B$45*(1-$E$65*$B$50)</f>
        <v/>
      </c>
      <c r="D99" s="5">
        <f>$B$65*$C$65*D91*D92*$B$45*(1-$E$65*$B$50)</f>
        <v/>
      </c>
      <c r="E99" s="5">
        <f>$B$65*$C$65*E91*E92*$B$45*(1-$E$65*$B$50)</f>
        <v/>
      </c>
      <c r="F99" s="5">
        <f>$B$65*$C$65*F91*F92*$B$45*(1-$E$65*$B$50)</f>
        <v/>
      </c>
      <c r="G99" s="5">
        <f>$B$65*$C$65*G91*G92*$B$45*(1-$E$65*$B$50)</f>
        <v/>
      </c>
      <c r="H99" s="5">
        <f>$B$65*$C$65*H91*H92*$B$45*(1-$E$65*$B$50)</f>
        <v/>
      </c>
      <c r="I99" s="5">
        <f>$B$65*$C$65*I91*I92*$B$45*(1-$E$65*$B$50)</f>
        <v/>
      </c>
      <c r="J99" s="5">
        <f>$B$65*$C$65*J91*J92*$B$45*(1-$E$65*$B$50)</f>
        <v/>
      </c>
      <c r="K99" s="5">
        <f>$B$65*$C$65*K91*K92*$B$45*(1-$E$65*$B$50)</f>
        <v/>
      </c>
      <c r="L99" s="5">
        <f>$B$65*$C$65*L91*L92*$B$45*(1-$E$65*$B$50)</f>
        <v/>
      </c>
    </row>
    <row r="100">
      <c r="A100" t="inlineStr">
        <is>
          <t xml:space="preserve">  Mariages (location du lieu + hébergement 15 couchages)</t>
        </is>
      </c>
      <c r="B100" s="5">
        <f>SUM(C100:L100)</f>
        <v/>
      </c>
      <c r="C100" s="5">
        <f>$B$66*$C$66*C91*C92*$B$45*(1-$E$66*$B$50)</f>
        <v/>
      </c>
      <c r="D100" s="5">
        <f>$B$66*$C$66*D91*D92*$B$45*(1-$E$66*$B$50)</f>
        <v/>
      </c>
      <c r="E100" s="5">
        <f>$B$66*$C$66*E91*E92*$B$45*(1-$E$66*$B$50)</f>
        <v/>
      </c>
      <c r="F100" s="5">
        <f>$B$66*$C$66*F91*F92*$B$45*(1-$E$66*$B$50)</f>
        <v/>
      </c>
      <c r="G100" s="5">
        <f>$B$66*$C$66*G91*G92*$B$45*(1-$E$66*$B$50)</f>
        <v/>
      </c>
      <c r="H100" s="5">
        <f>$B$66*$C$66*H91*H92*$B$45*(1-$E$66*$B$50)</f>
        <v/>
      </c>
      <c r="I100" s="5">
        <f>$B$66*$C$66*I91*I92*$B$45*(1-$E$66*$B$50)</f>
        <v/>
      </c>
      <c r="J100" s="5">
        <f>$B$66*$C$66*J91*J92*$B$45*(1-$E$66*$B$50)</f>
        <v/>
      </c>
      <c r="K100" s="5">
        <f>$B$66*$C$66*K91*K92*$B$45*(1-$E$66*$B$50)</f>
        <v/>
      </c>
      <c r="L100" s="5">
        <f>$B$66*$C$66*L91*L92*$B$45*(1-$E$66*$B$50)</f>
        <v/>
      </c>
    </row>
    <row r="101">
      <c r="A101" t="inlineStr">
        <is>
          <t xml:space="preserve">  Gîte 15 couchages hors mariages (nuits)</t>
        </is>
      </c>
      <c r="B101" s="5">
        <f>SUM(C101:L101)</f>
        <v/>
      </c>
      <c r="C101" s="5">
        <f>$B$67*$C$67*C91*C92*$B$45*(1-$E$67*$B$50)</f>
        <v/>
      </c>
      <c r="D101" s="5">
        <f>$B$67*$C$67*D91*D92*$B$45*(1-$E$67*$B$50)</f>
        <v/>
      </c>
      <c r="E101" s="5">
        <f>$B$67*$C$67*E91*E92*$B$45*(1-$E$67*$B$50)</f>
        <v/>
      </c>
      <c r="F101" s="5">
        <f>$B$67*$C$67*F91*F92*$B$45*(1-$E$67*$B$50)</f>
        <v/>
      </c>
      <c r="G101" s="5">
        <f>$B$67*$C$67*G91*G92*$B$45*(1-$E$67*$B$50)</f>
        <v/>
      </c>
      <c r="H101" s="5">
        <f>$B$67*$C$67*H91*H92*$B$45*(1-$E$67*$B$50)</f>
        <v/>
      </c>
      <c r="I101" s="5">
        <f>$B$67*$C$67*I91*I92*$B$45*(1-$E$67*$B$50)</f>
        <v/>
      </c>
      <c r="J101" s="5">
        <f>$B$67*$C$67*J91*J92*$B$45*(1-$E$67*$B$50)</f>
        <v/>
      </c>
      <c r="K101" s="5">
        <f>$B$67*$C$67*K91*K92*$B$45*(1-$E$67*$B$50)</f>
        <v/>
      </c>
      <c r="L101" s="5">
        <f>$B$67*$C$67*L91*L92*$B$45*(1-$E$67*$B$50)</f>
        <v/>
      </c>
    </row>
    <row r="102">
      <c r="A102" t="inlineStr">
        <is>
          <t xml:space="preserve">  Séminaires à la journée (jours)</t>
        </is>
      </c>
      <c r="B102" s="5">
        <f>SUM(C102:L102)</f>
        <v/>
      </c>
      <c r="C102" s="5">
        <f>$B$68*$C$68*C91*C92*$B$45*(1-$E$68*$B$50)</f>
        <v/>
      </c>
      <c r="D102" s="5">
        <f>$B$68*$C$68*D91*D92*$B$45*(1-$E$68*$B$50)</f>
        <v/>
      </c>
      <c r="E102" s="5">
        <f>$B$68*$C$68*E91*E92*$B$45*(1-$E$68*$B$50)</f>
        <v/>
      </c>
      <c r="F102" s="5">
        <f>$B$68*$C$68*F91*F92*$B$45*(1-$E$68*$B$50)</f>
        <v/>
      </c>
      <c r="G102" s="5">
        <f>$B$68*$C$68*G91*G92*$B$45*(1-$E$68*$B$50)</f>
        <v/>
      </c>
      <c r="H102" s="5">
        <f>$B$68*$C$68*H91*H92*$B$45*(1-$E$68*$B$50)</f>
        <v/>
      </c>
      <c r="I102" s="5">
        <f>$B$68*$C$68*I91*I92*$B$45*(1-$E$68*$B$50)</f>
        <v/>
      </c>
      <c r="J102" s="5">
        <f>$B$68*$C$68*J91*J92*$B$45*(1-$E$68*$B$50)</f>
        <v/>
      </c>
      <c r="K102" s="5">
        <f>$B$68*$C$68*K91*K92*$B$45*(1-$E$68*$B$50)</f>
        <v/>
      </c>
      <c r="L102" s="5">
        <f>$B$68*$C$68*L91*L92*$B$45*(1-$E$68*$B$50)</f>
        <v/>
      </c>
    </row>
    <row r="103">
      <c r="A103" t="inlineStr">
        <is>
          <t xml:space="preserve">  Tournages / shootings (jours)</t>
        </is>
      </c>
      <c r="B103" s="5">
        <f>SUM(C103:L103)</f>
        <v/>
      </c>
      <c r="C103" s="5">
        <f>$B$69*$C$69*C91*C92*$B$45*(1-$E$69*$B$50)</f>
        <v/>
      </c>
      <c r="D103" s="5">
        <f>$B$69*$C$69*D91*D92*$B$45*(1-$E$69*$B$50)</f>
        <v/>
      </c>
      <c r="E103" s="5">
        <f>$B$69*$C$69*E91*E92*$B$45*(1-$E$69*$B$50)</f>
        <v/>
      </c>
      <c r="F103" s="5">
        <f>$B$69*$C$69*F91*F92*$B$45*(1-$E$69*$B$50)</f>
        <v/>
      </c>
      <c r="G103" s="5">
        <f>$B$69*$C$69*G91*G92*$B$45*(1-$E$69*$B$50)</f>
        <v/>
      </c>
      <c r="H103" s="5">
        <f>$B$69*$C$69*H91*H92*$B$45*(1-$E$69*$B$50)</f>
        <v/>
      </c>
      <c r="I103" s="5">
        <f>$B$69*$C$69*I91*I92*$B$45*(1-$E$69*$B$50)</f>
        <v/>
      </c>
      <c r="J103" s="5">
        <f>$B$69*$C$69*J91*J92*$B$45*(1-$E$69*$B$50)</f>
        <v/>
      </c>
      <c r="K103" s="5">
        <f>$B$69*$C$69*K91*K92*$B$45*(1-$E$69*$B$50)</f>
        <v/>
      </c>
      <c r="L103" s="5">
        <f>$B$69*$C$69*L91*L92*$B$45*(1-$E$69*$B$50)</f>
        <v/>
      </c>
    </row>
    <row r="104">
      <c r="A104" t="inlineStr">
        <is>
          <t xml:space="preserve">  Fermage / vente d'herbe (ha)</t>
        </is>
      </c>
      <c r="B104" s="5">
        <f>SUM(C104:L104)</f>
        <v/>
      </c>
      <c r="C104" s="5">
        <f>$B$70*$C$70*C91*C92*$B$45*(1-$E$70*$B$50)</f>
        <v/>
      </c>
      <c r="D104" s="5">
        <f>$B$70*$C$70*D91*D92*$B$45*(1-$E$70*$B$50)</f>
        <v/>
      </c>
      <c r="E104" s="5">
        <f>$B$70*$C$70*E91*E92*$B$45*(1-$E$70*$B$50)</f>
        <v/>
      </c>
      <c r="F104" s="5">
        <f>$B$70*$C$70*F91*F92*$B$45*(1-$E$70*$B$50)</f>
        <v/>
      </c>
      <c r="G104" s="5">
        <f>$B$70*$C$70*G91*G92*$B$45*(1-$E$70*$B$50)</f>
        <v/>
      </c>
      <c r="H104" s="5">
        <f>$B$70*$C$70*H91*H92*$B$45*(1-$E$70*$B$50)</f>
        <v/>
      </c>
      <c r="I104" s="5">
        <f>$B$70*$C$70*I91*I92*$B$45*(1-$E$70*$B$50)</f>
        <v/>
      </c>
      <c r="J104" s="5">
        <f>$B$70*$C$70*J91*J92*$B$45*(1-$E$70*$B$50)</f>
        <v/>
      </c>
      <c r="K104" s="5">
        <f>$B$70*$C$70*K91*K92*$B$45*(1-$E$70*$B$50)</f>
        <v/>
      </c>
      <c r="L104" s="5">
        <f>$B$70*$C$70*L91*L92*$B$45*(1-$E$70*$B$50)</f>
        <v/>
      </c>
    </row>
    <row r="105">
      <c r="A105" s="4" t="inlineStr">
        <is>
          <t>Chiffre d'affaires total</t>
        </is>
      </c>
      <c r="B105" s="18">
        <f>SUM(C105:L105)</f>
        <v/>
      </c>
      <c r="C105" s="18">
        <f>C97+C98+C99+C100+C101+C102+C103+C104</f>
        <v/>
      </c>
      <c r="D105" s="18">
        <f>D97+D98+D99+D100+D101+D102+D103+D104</f>
        <v/>
      </c>
      <c r="E105" s="18">
        <f>E97+E98+E99+E100+E101+E102+E103+E104</f>
        <v/>
      </c>
      <c r="F105" s="18">
        <f>F97+F98+F99+F100+F101+F102+F103+F104</f>
        <v/>
      </c>
      <c r="G105" s="18">
        <f>G97+G98+G99+G100+G101+G102+G103+G104</f>
        <v/>
      </c>
      <c r="H105" s="18">
        <f>H97+H98+H99+H100+H101+H102+H103+H104</f>
        <v/>
      </c>
      <c r="I105" s="18">
        <f>I97+I98+I99+I100+I101+I102+I103+I104</f>
        <v/>
      </c>
      <c r="J105" s="18">
        <f>J97+J98+J99+J100+J101+J102+J103+J104</f>
        <v/>
      </c>
      <c r="K105" s="18">
        <f>K97+K98+K99+K100+K101+K102+K103+K104</f>
        <v/>
      </c>
      <c r="L105" s="18">
        <f>L97+L98+L99+L100+L101+L102+L103+L104</f>
        <v/>
      </c>
    </row>
    <row r="106">
      <c r="A106" t="inlineStr">
        <is>
          <t xml:space="preserve">  dont équestre</t>
        </is>
      </c>
      <c r="B106" s="5">
        <f>SUM(C106:L106)</f>
        <v/>
      </c>
      <c r="C106" s="5">
        <f>C97*$F$63+C98*$F$64+C99*$F$65+C100*$F$66+C101*$F$67+C102*$F$68+C103*$F$69+C104*$F$70</f>
        <v/>
      </c>
      <c r="D106" s="5">
        <f>D97*$F$63+D98*$F$64+D99*$F$65+D100*$F$66+D101*$F$67+D102*$F$68+D103*$F$69+D104*$F$70</f>
        <v/>
      </c>
      <c r="E106" s="5">
        <f>E97*$F$63+E98*$F$64+E99*$F$65+E100*$F$66+E101*$F$67+E102*$F$68+E103*$F$69+E104*$F$70</f>
        <v/>
      </c>
      <c r="F106" s="5">
        <f>F97*$F$63+F98*$F$64+F99*$F$65+F100*$F$66+F101*$F$67+F102*$F$68+F103*$F$69+F104*$F$70</f>
        <v/>
      </c>
      <c r="G106" s="5">
        <f>G97*$F$63+G98*$F$64+G99*$F$65+G100*$F$66+G101*$F$67+G102*$F$68+G103*$F$69+G104*$F$70</f>
        <v/>
      </c>
      <c r="H106" s="5">
        <f>H97*$F$63+H98*$F$64+H99*$F$65+H100*$F$66+H101*$F$67+H102*$F$68+H103*$F$69+H104*$F$70</f>
        <v/>
      </c>
      <c r="I106" s="5">
        <f>I97*$F$63+I98*$F$64+I99*$F$65+I100*$F$66+I101*$F$67+I102*$F$68+I103*$F$69+I104*$F$70</f>
        <v/>
      </c>
      <c r="J106" s="5">
        <f>J97*$F$63+J98*$F$64+J99*$F$65+J100*$F$66+J101*$F$67+J102*$F$68+J103*$F$69+J104*$F$70</f>
        <v/>
      </c>
      <c r="K106" s="5">
        <f>K97*$F$63+K98*$F$64+K99*$F$65+K100*$F$66+K101*$F$67+K102*$F$68+K103*$F$69+K104*$F$70</f>
        <v/>
      </c>
      <c r="L106" s="5">
        <f>L97*$F$63+L98*$F$64+L99*$F$65+L100*$F$66+L101*$F$67+L102*$F$68+L103*$F$69+L104*$F$70</f>
        <v/>
      </c>
    </row>
    <row r="107">
      <c r="A107" t="inlineStr">
        <is>
          <t xml:space="preserve">  Part équestre du CA</t>
        </is>
      </c>
      <c r="C107" s="6">
        <f>IF(C105=0,0,C106/C105)</f>
        <v/>
      </c>
      <c r="D107" s="6">
        <f>IF(D105=0,0,D106/D105)</f>
        <v/>
      </c>
      <c r="E107" s="6">
        <f>IF(E105=0,0,E106/E105)</f>
        <v/>
      </c>
      <c r="F107" s="6">
        <f>IF(F105=0,0,F106/F105)</f>
        <v/>
      </c>
      <c r="G107" s="6">
        <f>IF(G105=0,0,G106/G105)</f>
        <v/>
      </c>
      <c r="H107" s="6">
        <f>IF(H105=0,0,H106/H105)</f>
        <v/>
      </c>
      <c r="I107" s="6">
        <f>IF(I105=0,0,I106/I105)</f>
        <v/>
      </c>
      <c r="J107" s="6">
        <f>IF(J105=0,0,J106/J105)</f>
        <v/>
      </c>
      <c r="K107" s="6">
        <f>IF(K105=0,0,K106/K105)</f>
        <v/>
      </c>
      <c r="L107" s="6">
        <f>IF(L105=0,0,L106/L105)</f>
        <v/>
      </c>
    </row>
    <row r="108">
      <c r="A108" t="inlineStr">
        <is>
          <t>Coûts variables</t>
        </is>
      </c>
      <c r="B108" s="5">
        <f>SUM(C108:L108)</f>
        <v/>
      </c>
      <c r="C108" s="5">
        <f>-(C97*$D$63+C98*$D$64+C99*$D$65+C100*$D$66+C101*$D$67+C102*$D$68+C103*$D$69+C104*$D$70)</f>
        <v/>
      </c>
      <c r="D108" s="5">
        <f>-(D97*$D$63+D98*$D$64+D99*$D$65+D100*$D$66+D101*$D$67+D102*$D$68+D103*$D$69+D104*$D$70)</f>
        <v/>
      </c>
      <c r="E108" s="5">
        <f>-(E97*$D$63+E98*$D$64+E99*$D$65+E100*$D$66+E101*$D$67+E102*$D$68+E103*$D$69+E104*$D$70)</f>
        <v/>
      </c>
      <c r="F108" s="5">
        <f>-(F97*$D$63+F98*$D$64+F99*$D$65+F100*$D$66+F101*$D$67+F102*$D$68+F103*$D$69+F104*$D$70)</f>
        <v/>
      </c>
      <c r="G108" s="5">
        <f>-(G97*$D$63+G98*$D$64+G99*$D$65+G100*$D$66+G101*$D$67+G102*$D$68+G103*$D$69+G104*$D$70)</f>
        <v/>
      </c>
      <c r="H108" s="5">
        <f>-(H97*$D$63+H98*$D$64+H99*$D$65+H100*$D$66+H101*$D$67+H102*$D$68+H103*$D$69+H104*$D$70)</f>
        <v/>
      </c>
      <c r="I108" s="5">
        <f>-(I97*$D$63+I98*$D$64+I99*$D$65+I100*$D$66+I101*$D$67+I102*$D$68+I103*$D$69+I104*$D$70)</f>
        <v/>
      </c>
      <c r="J108" s="5">
        <f>-(J97*$D$63+J98*$D$64+J99*$D$65+J100*$D$66+J101*$D$67+J102*$D$68+J103*$D$69+J104*$D$70)</f>
        <v/>
      </c>
      <c r="K108" s="5">
        <f>-(K97*$D$63+K98*$D$64+K99*$D$65+K100*$D$66+K101*$D$67+K102*$D$68+K103*$D$69+K104*$D$70)</f>
        <v/>
      </c>
      <c r="L108" s="5">
        <f>-(L97*$D$63+L98*$D$64+L99*$D$65+L100*$D$66+L101*$D$67+L102*$D$68+L103*$D$69+L104*$D$70)</f>
        <v/>
      </c>
    </row>
    <row r="109">
      <c r="A109" s="4" t="inlineStr">
        <is>
          <t>Marge sur coûts variables</t>
        </is>
      </c>
      <c r="B109" s="18">
        <f>SUM(C109:L109)</f>
        <v/>
      </c>
      <c r="C109" s="18">
        <f>C105+C108</f>
        <v/>
      </c>
      <c r="D109" s="18">
        <f>D105+D108</f>
        <v/>
      </c>
      <c r="E109" s="18">
        <f>E105+E108</f>
        <v/>
      </c>
      <c r="F109" s="18">
        <f>F105+F108</f>
        <v/>
      </c>
      <c r="G109" s="18">
        <f>G105+G108</f>
        <v/>
      </c>
      <c r="H109" s="18">
        <f>H105+H108</f>
        <v/>
      </c>
      <c r="I109" s="18">
        <f>I105+I108</f>
        <v/>
      </c>
      <c r="J109" s="18">
        <f>J105+J108</f>
        <v/>
      </c>
      <c r="K109" s="18">
        <f>K105+K108</f>
        <v/>
      </c>
      <c r="L109" s="18">
        <f>L105+L108</f>
        <v/>
      </c>
    </row>
    <row r="110">
      <c r="A110" t="inlineStr">
        <is>
          <t xml:space="preserve">  Taxe foncière</t>
        </is>
      </c>
      <c r="B110" s="5">
        <f>SUM(C110:L110)</f>
        <v/>
      </c>
      <c r="C110" s="5">
        <f>-$B$74*C93*IF($C$74=1,C94,IF(C90&gt;0,1,0))</f>
        <v/>
      </c>
      <c r="D110" s="5">
        <f>-$B$74*D93*IF($C$74=1,D94,IF(D90&gt;0,1,0))</f>
        <v/>
      </c>
      <c r="E110" s="5">
        <f>-$B$74*E93*IF($C$74=1,E94,IF(E90&gt;0,1,0))</f>
        <v/>
      </c>
      <c r="F110" s="5">
        <f>-$B$74*F93*IF($C$74=1,F94,IF(F90&gt;0,1,0))</f>
        <v/>
      </c>
      <c r="G110" s="5">
        <f>-$B$74*G93*IF($C$74=1,G94,IF(G90&gt;0,1,0))</f>
        <v/>
      </c>
      <c r="H110" s="5">
        <f>-$B$74*H93*IF($C$74=1,H94,IF(H90&gt;0,1,0))</f>
        <v/>
      </c>
      <c r="I110" s="5">
        <f>-$B$74*I93*IF($C$74=1,I94,IF(I90&gt;0,1,0))</f>
        <v/>
      </c>
      <c r="J110" s="5">
        <f>-$B$74*J93*IF($C$74=1,J94,IF(J90&gt;0,1,0))</f>
        <v/>
      </c>
      <c r="K110" s="5">
        <f>-$B$74*K93*IF($C$74=1,K94,IF(K90&gt;0,1,0))</f>
        <v/>
      </c>
      <c r="L110" s="5">
        <f>-$B$74*L93*IF($C$74=1,L94,IF(L90&gt;0,1,0))</f>
        <v/>
      </c>
    </row>
    <row r="111">
      <c r="A111" t="inlineStr">
        <is>
          <t xml:space="preserve">  Assurance multirisque château</t>
        </is>
      </c>
      <c r="B111" s="5">
        <f>SUM(C111:L111)</f>
        <v/>
      </c>
      <c r="C111" s="5">
        <f>-$B$75*C93*IF($C$75=1,C94,IF(C90&gt;0,1,0))</f>
        <v/>
      </c>
      <c r="D111" s="5">
        <f>-$B$75*D93*IF($C$75=1,D94,IF(D90&gt;0,1,0))</f>
        <v/>
      </c>
      <c r="E111" s="5">
        <f>-$B$75*E93*IF($C$75=1,E94,IF(E90&gt;0,1,0))</f>
        <v/>
      </c>
      <c r="F111" s="5">
        <f>-$B$75*F93*IF($C$75=1,F94,IF(F90&gt;0,1,0))</f>
        <v/>
      </c>
      <c r="G111" s="5">
        <f>-$B$75*G93*IF($C$75=1,G94,IF(G90&gt;0,1,0))</f>
        <v/>
      </c>
      <c r="H111" s="5">
        <f>-$B$75*H93*IF($C$75=1,H94,IF(H90&gt;0,1,0))</f>
        <v/>
      </c>
      <c r="I111" s="5">
        <f>-$B$75*I93*IF($C$75=1,I94,IF(I90&gt;0,1,0))</f>
        <v/>
      </c>
      <c r="J111" s="5">
        <f>-$B$75*J93*IF($C$75=1,J94,IF(J90&gt;0,1,0))</f>
        <v/>
      </c>
      <c r="K111" s="5">
        <f>-$B$75*K93*IF($C$75=1,K94,IF(K90&gt;0,1,0))</f>
        <v/>
      </c>
      <c r="L111" s="5">
        <f>-$B$75*L93*IF($C$75=1,L94,IF(L90&gt;0,1,0))</f>
        <v/>
      </c>
    </row>
    <row r="112">
      <c r="A112" t="inlineStr">
        <is>
          <t xml:space="preserve">  Énergie (chauffage partiel, électricité, eau)</t>
        </is>
      </c>
      <c r="B112" s="5">
        <f>SUM(C112:L112)</f>
        <v/>
      </c>
      <c r="C112" s="5">
        <f>-$B$76*C93*IF($C$76=1,C94,IF(C90&gt;0,1,0))</f>
        <v/>
      </c>
      <c r="D112" s="5">
        <f>-$B$76*D93*IF($C$76=1,D94,IF(D90&gt;0,1,0))</f>
        <v/>
      </c>
      <c r="E112" s="5">
        <f>-$B$76*E93*IF($C$76=1,E94,IF(E90&gt;0,1,0))</f>
        <v/>
      </c>
      <c r="F112" s="5">
        <f>-$B$76*F93*IF($C$76=1,F94,IF(F90&gt;0,1,0))</f>
        <v/>
      </c>
      <c r="G112" s="5">
        <f>-$B$76*G93*IF($C$76=1,G94,IF(G90&gt;0,1,0))</f>
        <v/>
      </c>
      <c r="H112" s="5">
        <f>-$B$76*H93*IF($C$76=1,H94,IF(H90&gt;0,1,0))</f>
        <v/>
      </c>
      <c r="I112" s="5">
        <f>-$B$76*I93*IF($C$76=1,I94,IF(I90&gt;0,1,0))</f>
        <v/>
      </c>
      <c r="J112" s="5">
        <f>-$B$76*J93*IF($C$76=1,J94,IF(J90&gt;0,1,0))</f>
        <v/>
      </c>
      <c r="K112" s="5">
        <f>-$B$76*K93*IF($C$76=1,K94,IF(K90&gt;0,1,0))</f>
        <v/>
      </c>
      <c r="L112" s="5">
        <f>-$B$76*L93*IF($C$76=1,L94,IF(L90&gt;0,1,0))</f>
        <v/>
      </c>
    </row>
    <row r="113">
      <c r="A113" t="inlineStr">
        <is>
          <t xml:space="preserve">  Jardinier / agent d'entretien (1 ETP au Smic chargé)</t>
        </is>
      </c>
      <c r="B113" s="5">
        <f>SUM(C113:L113)</f>
        <v/>
      </c>
      <c r="C113" s="5">
        <f>-$B$77*C93*IF($C$77=1,C94,IF(C90&gt;0,1,0))</f>
        <v/>
      </c>
      <c r="D113" s="5">
        <f>-$B$77*D93*IF($C$77=1,D94,IF(D90&gt;0,1,0))</f>
        <v/>
      </c>
      <c r="E113" s="5">
        <f>-$B$77*E93*IF($C$77=1,E94,IF(E90&gt;0,1,0))</f>
        <v/>
      </c>
      <c r="F113" s="5">
        <f>-$B$77*F93*IF($C$77=1,F94,IF(F90&gt;0,1,0))</f>
        <v/>
      </c>
      <c r="G113" s="5">
        <f>-$B$77*G93*IF($C$77=1,G94,IF(G90&gt;0,1,0))</f>
        <v/>
      </c>
      <c r="H113" s="5">
        <f>-$B$77*H93*IF($C$77=1,H94,IF(H90&gt;0,1,0))</f>
        <v/>
      </c>
      <c r="I113" s="5">
        <f>-$B$77*I93*IF($C$77=1,I94,IF(I90&gt;0,1,0))</f>
        <v/>
      </c>
      <c r="J113" s="5">
        <f>-$B$77*J93*IF($C$77=1,J94,IF(J90&gt;0,1,0))</f>
        <v/>
      </c>
      <c r="K113" s="5">
        <f>-$B$77*K93*IF($C$77=1,K94,IF(K90&gt;0,1,0))</f>
        <v/>
      </c>
      <c r="L113" s="5">
        <f>-$B$77*L93*IF($C$77=1,L94,IF(L90&gt;0,1,0))</f>
        <v/>
      </c>
    </row>
    <row r="114">
      <c r="A114" t="inlineStr">
        <is>
          <t xml:space="preserve">  Divers (abonnements, petit matériel, véhicule, honoraires)</t>
        </is>
      </c>
      <c r="B114" s="5">
        <f>SUM(C114:L114)</f>
        <v/>
      </c>
      <c r="C114" s="5">
        <f>-$B$78*C93*IF($C$78=1,C94,IF(C90&gt;0,1,0))</f>
        <v/>
      </c>
      <c r="D114" s="5">
        <f>-$B$78*D93*IF($C$78=1,D94,IF(D90&gt;0,1,0))</f>
        <v/>
      </c>
      <c r="E114" s="5">
        <f>-$B$78*E93*IF($C$78=1,E94,IF(E90&gt;0,1,0))</f>
        <v/>
      </c>
      <c r="F114" s="5">
        <f>-$B$78*F93*IF($C$78=1,F94,IF(F90&gt;0,1,0))</f>
        <v/>
      </c>
      <c r="G114" s="5">
        <f>-$B$78*G93*IF($C$78=1,G94,IF(G90&gt;0,1,0))</f>
        <v/>
      </c>
      <c r="H114" s="5">
        <f>-$B$78*H93*IF($C$78=1,H94,IF(H90&gt;0,1,0))</f>
        <v/>
      </c>
      <c r="I114" s="5">
        <f>-$B$78*I93*IF($C$78=1,I94,IF(I90&gt;0,1,0))</f>
        <v/>
      </c>
      <c r="J114" s="5">
        <f>-$B$78*J93*IF($C$78=1,J94,IF(J90&gt;0,1,0))</f>
        <v/>
      </c>
      <c r="K114" s="5">
        <f>-$B$78*K93*IF($C$78=1,K94,IF(K90&gt;0,1,0))</f>
        <v/>
      </c>
      <c r="L114" s="5">
        <f>-$B$78*L93*IF($C$78=1,L94,IF(L90&gt;0,1,0))</f>
        <v/>
      </c>
    </row>
    <row r="115">
      <c r="A115" t="inlineStr">
        <is>
          <t xml:space="preserve">  Soigneurs (2 ETP au Smic chargés)</t>
        </is>
      </c>
      <c r="B115" s="5">
        <f>SUM(C115:L115)</f>
        <v/>
      </c>
      <c r="C115" s="5">
        <f>-$B$79*C93*IF($C$79=1,C94,IF(C90&gt;0,1,0))</f>
        <v/>
      </c>
      <c r="D115" s="5">
        <f>-$B$79*D93*IF($C$79=1,D94,IF(D90&gt;0,1,0))</f>
        <v/>
      </c>
      <c r="E115" s="5">
        <f>-$B$79*E93*IF($C$79=1,E94,IF(E90&gt;0,1,0))</f>
        <v/>
      </c>
      <c r="F115" s="5">
        <f>-$B$79*F93*IF($C$79=1,F94,IF(F90&gt;0,1,0))</f>
        <v/>
      </c>
      <c r="G115" s="5">
        <f>-$B$79*G93*IF($C$79=1,G94,IF(G90&gt;0,1,0))</f>
        <v/>
      </c>
      <c r="H115" s="5">
        <f>-$B$79*H93*IF($C$79=1,H94,IF(H90&gt;0,1,0))</f>
        <v/>
      </c>
      <c r="I115" s="5">
        <f>-$B$79*I93*IF($C$79=1,I94,IF(I90&gt;0,1,0))</f>
        <v/>
      </c>
      <c r="J115" s="5">
        <f>-$B$79*J93*IF($C$79=1,J94,IF(J90&gt;0,1,0))</f>
        <v/>
      </c>
      <c r="K115" s="5">
        <f>-$B$79*K93*IF($C$79=1,K94,IF(K90&gt;0,1,0))</f>
        <v/>
      </c>
      <c r="L115" s="5">
        <f>-$B$79*L93*IF($C$79=1,L94,IF(L90&gt;0,1,0))</f>
        <v/>
      </c>
    </row>
    <row r="116">
      <c r="A116" t="inlineStr">
        <is>
          <t xml:space="preserve">  Autres charges de structure équestres (entretien installations, matériel, assurance RC, énergie écuries)</t>
        </is>
      </c>
      <c r="B116" s="5">
        <f>SUM(C116:L116)</f>
        <v/>
      </c>
      <c r="C116" s="5">
        <f>-$B$80*C93*IF($C$80=1,C94,IF(C90&gt;0,1,0))</f>
        <v/>
      </c>
      <c r="D116" s="5">
        <f>-$B$80*D93*IF($C$80=1,D94,IF(D90&gt;0,1,0))</f>
        <v/>
      </c>
      <c r="E116" s="5">
        <f>-$B$80*E93*IF($C$80=1,E94,IF(E90&gt;0,1,0))</f>
        <v/>
      </c>
      <c r="F116" s="5">
        <f>-$B$80*F93*IF($C$80=1,F94,IF(F90&gt;0,1,0))</f>
        <v/>
      </c>
      <c r="G116" s="5">
        <f>-$B$80*G93*IF($C$80=1,G94,IF(G90&gt;0,1,0))</f>
        <v/>
      </c>
      <c r="H116" s="5">
        <f>-$B$80*H93*IF($C$80=1,H94,IF(H90&gt;0,1,0))</f>
        <v/>
      </c>
      <c r="I116" s="5">
        <f>-$B$80*I93*IF($C$80=1,I94,IF(I90&gt;0,1,0))</f>
        <v/>
      </c>
      <c r="J116" s="5">
        <f>-$B$80*J93*IF($C$80=1,J94,IF(J90&gt;0,1,0))</f>
        <v/>
      </c>
      <c r="K116" s="5">
        <f>-$B$80*K93*IF($C$80=1,K94,IF(K90&gt;0,1,0))</f>
        <v/>
      </c>
      <c r="L116" s="5">
        <f>-$B$80*L93*IF($C$80=1,L94,IF(L90&gt;0,1,0))</f>
        <v/>
      </c>
    </row>
    <row r="117">
      <c r="A117" t="inlineStr">
        <is>
          <t xml:space="preserve">  Coûts fixes mariages (coordination, nettoyage, publicité)</t>
        </is>
      </c>
      <c r="B117" s="5">
        <f>SUM(C117:L117)</f>
        <v/>
      </c>
      <c r="C117" s="5">
        <f>-$B$81*C93*IF($C$81=1,C94,IF(C90&gt;0,1,0))</f>
        <v/>
      </c>
      <c r="D117" s="5">
        <f>-$B$81*D93*IF($C$81=1,D94,IF(D90&gt;0,1,0))</f>
        <v/>
      </c>
      <c r="E117" s="5">
        <f>-$B$81*E93*IF($C$81=1,E94,IF(E90&gt;0,1,0))</f>
        <v/>
      </c>
      <c r="F117" s="5">
        <f>-$B$81*F93*IF($C$81=1,F94,IF(F90&gt;0,1,0))</f>
        <v/>
      </c>
      <c r="G117" s="5">
        <f>-$B$81*G93*IF($C$81=1,G94,IF(G90&gt;0,1,0))</f>
        <v/>
      </c>
      <c r="H117" s="5">
        <f>-$B$81*H93*IF($C$81=1,H94,IF(H90&gt;0,1,0))</f>
        <v/>
      </c>
      <c r="I117" s="5">
        <f>-$B$81*I93*IF($C$81=1,I94,IF(I90&gt;0,1,0))</f>
        <v/>
      </c>
      <c r="J117" s="5">
        <f>-$B$81*J93*IF($C$81=1,J94,IF(J90&gt;0,1,0))</f>
        <v/>
      </c>
      <c r="K117" s="5">
        <f>-$B$81*K93*IF($C$81=1,K94,IF(K90&gt;0,1,0))</f>
        <v/>
      </c>
      <c r="L117" s="5">
        <f>-$B$81*L93*IF($C$81=1,L94,IF(L90&gt;0,1,0))</f>
        <v/>
      </c>
    </row>
    <row r="118">
      <c r="A118" t="inlineStr">
        <is>
          <t xml:space="preserve">  Coûts fixes du gîte</t>
        </is>
      </c>
      <c r="B118" s="5">
        <f>SUM(C118:L118)</f>
        <v/>
      </c>
      <c r="C118" s="5">
        <f>-$B$82*C93*IF($C$82=1,C94,IF(C90&gt;0,1,0))</f>
        <v/>
      </c>
      <c r="D118" s="5">
        <f>-$B$82*D93*IF($C$82=1,D94,IF(D90&gt;0,1,0))</f>
        <v/>
      </c>
      <c r="E118" s="5">
        <f>-$B$82*E93*IF($C$82=1,E94,IF(E90&gt;0,1,0))</f>
        <v/>
      </c>
      <c r="F118" s="5">
        <f>-$B$82*F93*IF($C$82=1,F94,IF(F90&gt;0,1,0))</f>
        <v/>
      </c>
      <c r="G118" s="5">
        <f>-$B$82*G93*IF($C$82=1,G94,IF(G90&gt;0,1,0))</f>
        <v/>
      </c>
      <c r="H118" s="5">
        <f>-$B$82*H93*IF($C$82=1,H94,IF(H90&gt;0,1,0))</f>
        <v/>
      </c>
      <c r="I118" s="5">
        <f>-$B$82*I93*IF($C$82=1,I94,IF(I90&gt;0,1,0))</f>
        <v/>
      </c>
      <c r="J118" s="5">
        <f>-$B$82*J93*IF($C$82=1,J94,IF(J90&gt;0,1,0))</f>
        <v/>
      </c>
      <c r="K118" s="5">
        <f>-$B$82*K93*IF($C$82=1,K94,IF(K90&gt;0,1,0))</f>
        <v/>
      </c>
      <c r="L118" s="5">
        <f>-$B$82*L93*IF($C$82=1,L94,IF(L90&gt;0,1,0))</f>
        <v/>
      </c>
    </row>
    <row r="119">
      <c r="A119" t="inlineStr">
        <is>
          <t xml:space="preserve">  Commercial, site, salons</t>
        </is>
      </c>
      <c r="B119" s="5">
        <f>SUM(C119:L119)</f>
        <v/>
      </c>
      <c r="C119" s="5">
        <f>-$B$83*C93*IF($C$83=1,C94,IF(C90&gt;0,1,0))</f>
        <v/>
      </c>
      <c r="D119" s="5">
        <f>-$B$83*D93*IF($C$83=1,D94,IF(D90&gt;0,1,0))</f>
        <v/>
      </c>
      <c r="E119" s="5">
        <f>-$B$83*E93*IF($C$83=1,E94,IF(E90&gt;0,1,0))</f>
        <v/>
      </c>
      <c r="F119" s="5">
        <f>-$B$83*F93*IF($C$83=1,F94,IF(F90&gt;0,1,0))</f>
        <v/>
      </c>
      <c r="G119" s="5">
        <f>-$B$83*G93*IF($C$83=1,G94,IF(G90&gt;0,1,0))</f>
        <v/>
      </c>
      <c r="H119" s="5">
        <f>-$B$83*H93*IF($C$83=1,H94,IF(H90&gt;0,1,0))</f>
        <v/>
      </c>
      <c r="I119" s="5">
        <f>-$B$83*I93*IF($C$83=1,I94,IF(I90&gt;0,1,0))</f>
        <v/>
      </c>
      <c r="J119" s="5">
        <f>-$B$83*J93*IF($C$83=1,J94,IF(J90&gt;0,1,0))</f>
        <v/>
      </c>
      <c r="K119" s="5">
        <f>-$B$83*K93*IF($C$83=1,K94,IF(K90&gt;0,1,0))</f>
        <v/>
      </c>
      <c r="L119" s="5">
        <f>-$B$83*L93*IF($C$83=1,L94,IF(L90&gt;0,1,0))</f>
        <v/>
      </c>
    </row>
    <row r="120">
      <c r="A120" t="inlineStr">
        <is>
          <t xml:space="preserve">  Comptabilité, juridique, banque, logiciels</t>
        </is>
      </c>
      <c r="B120" s="5">
        <f>SUM(C120:L120)</f>
        <v/>
      </c>
      <c r="C120" s="5">
        <f>-$B$84*C93*IF($C$84=1,C94,IF(C90&gt;0,1,0))</f>
        <v/>
      </c>
      <c r="D120" s="5">
        <f>-$B$84*D93*IF($C$84=1,D94,IF(D90&gt;0,1,0))</f>
        <v/>
      </c>
      <c r="E120" s="5">
        <f>-$B$84*E93*IF($C$84=1,E94,IF(E90&gt;0,1,0))</f>
        <v/>
      </c>
      <c r="F120" s="5">
        <f>-$B$84*F93*IF($C$84=1,F94,IF(F90&gt;0,1,0))</f>
        <v/>
      </c>
      <c r="G120" s="5">
        <f>-$B$84*G93*IF($C$84=1,G94,IF(G90&gt;0,1,0))</f>
        <v/>
      </c>
      <c r="H120" s="5">
        <f>-$B$84*H93*IF($C$84=1,H94,IF(H90&gt;0,1,0))</f>
        <v/>
      </c>
      <c r="I120" s="5">
        <f>-$B$84*I93*IF($C$84=1,I94,IF(I90&gt;0,1,0))</f>
        <v/>
      </c>
      <c r="J120" s="5">
        <f>-$B$84*J93*IF($C$84=1,J94,IF(J90&gt;0,1,0))</f>
        <v/>
      </c>
      <c r="K120" s="5">
        <f>-$B$84*K93*IF($C$84=1,K94,IF(K90&gt;0,1,0))</f>
        <v/>
      </c>
      <c r="L120" s="5">
        <f>-$B$84*L93*IF($C$84=1,L94,IF(L90&gt;0,1,0))</f>
        <v/>
      </c>
    </row>
    <row r="121">
      <c r="A121" t="inlineStr">
        <is>
          <t xml:space="preserve">  Rémunération du dirigeant (chargée)</t>
        </is>
      </c>
      <c r="B121" s="5">
        <f>SUM(C121:L121)</f>
        <v/>
      </c>
      <c r="C121" s="5">
        <f>-$B$85*C93*IF($C$85=1,C94,IF(C90&gt;0,1,0))</f>
        <v/>
      </c>
      <c r="D121" s="5">
        <f>-$B$85*D93*IF($C$85=1,D94,IF(D90&gt;0,1,0))</f>
        <v/>
      </c>
      <c r="E121" s="5">
        <f>-$B$85*E93*IF($C$85=1,E94,IF(E90&gt;0,1,0))</f>
        <v/>
      </c>
      <c r="F121" s="5">
        <f>-$B$85*F93*IF($C$85=1,F94,IF(F90&gt;0,1,0))</f>
        <v/>
      </c>
      <c r="G121" s="5">
        <f>-$B$85*G93*IF($C$85=1,G94,IF(G90&gt;0,1,0))</f>
        <v/>
      </c>
      <c r="H121" s="5">
        <f>-$B$85*H93*IF($C$85=1,H94,IF(H90&gt;0,1,0))</f>
        <v/>
      </c>
      <c r="I121" s="5">
        <f>-$B$85*I93*IF($C$85=1,I94,IF(I90&gt;0,1,0))</f>
        <v/>
      </c>
      <c r="J121" s="5">
        <f>-$B$85*J93*IF($C$85=1,J94,IF(J90&gt;0,1,0))</f>
        <v/>
      </c>
      <c r="K121" s="5">
        <f>-$B$85*K93*IF($C$85=1,K94,IF(K90&gt;0,1,0))</f>
        <v/>
      </c>
      <c r="L121" s="5">
        <f>-$B$85*L93*IF($C$85=1,L94,IF(L90&gt;0,1,0))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C110+C111+C112+C113+C114+C115+C116+C117+C118+C119+C120+C121</f>
        <v/>
      </c>
      <c r="D122" s="18">
        <f>D110+D111+D112+D113+D114+D115+D116+D117+D118+D119+D120+D121</f>
        <v/>
      </c>
      <c r="E122" s="18">
        <f>E110+E111+E112+E113+E114+E115+E116+E117+E118+E119+E120+E121</f>
        <v/>
      </c>
      <c r="F122" s="18">
        <f>F110+F111+F112+F113+F114+F115+F116+F117+F118+F119+F120+F121</f>
        <v/>
      </c>
      <c r="G122" s="18">
        <f>G110+G111+G112+G113+G114+G115+G116+G117+G118+G119+G120+G121</f>
        <v/>
      </c>
      <c r="H122" s="18">
        <f>H110+H111+H112+H113+H114+H115+H116+H117+H118+H119+H120+H121</f>
        <v/>
      </c>
      <c r="I122" s="18">
        <f>I110+I111+I112+I113+I114+I115+I116+I117+I118+I119+I120+I121</f>
        <v/>
      </c>
      <c r="J122" s="18">
        <f>J110+J111+J112+J113+J114+J115+J116+J117+J118+J119+J120+J121</f>
        <v/>
      </c>
      <c r="K122" s="18">
        <f>K110+K111+K112+K113+K114+K115+K116+K117+K118+K119+K120+K121</f>
        <v/>
      </c>
      <c r="L122" s="18">
        <f>L110+L111+L112+L113+L114+L115+L116+L117+L118+L119+L120+L121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-IF(C94=0,IF(C$88&gt;=$B$6,$B$18*C93,0),0)</f>
        <v/>
      </c>
      <c r="D123" s="5">
        <f>-IF(D94=0,IF(D$88&gt;=$B$6,$B$18*D93,0),0)</f>
        <v/>
      </c>
      <c r="E123" s="5">
        <f>-IF(E94=0,IF(E$88&gt;=$B$6,$B$18*E93,0),0)</f>
        <v/>
      </c>
      <c r="F123" s="5">
        <f>-IF(F94=0,IF(F$88&gt;=$B$6,$B$18*F93,0),0)</f>
        <v/>
      </c>
      <c r="G123" s="5">
        <f>-IF(G94=0,IF(G$88&gt;=$B$6,$B$18*G93,0),0)</f>
        <v/>
      </c>
      <c r="H123" s="5">
        <f>-IF(H94=0,IF(H$88&gt;=$B$6,$B$18*H93,0),0)</f>
        <v/>
      </c>
      <c r="I123" s="5">
        <f>-IF(I94=0,IF(I$88&gt;=$B$6,$B$18*I93,0),0)</f>
        <v/>
      </c>
      <c r="J123" s="5">
        <f>-IF(J94=0,IF(J$88&gt;=$B$6,$B$18*J93,0),0)</f>
        <v/>
      </c>
      <c r="K123" s="5">
        <f>-IF(K94=0,IF(K$88&gt;=$B$6,$B$18*K93,0),0)</f>
        <v/>
      </c>
      <c r="L123" s="5">
        <f>-IF(L94=0,IF(L$88&gt;=$B$6,$B$18*L93,0),0)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C109+C122+C123</f>
        <v/>
      </c>
      <c r="D124" s="18">
        <f>D109+D122+D123</f>
        <v/>
      </c>
      <c r="E124" s="18">
        <f>E109+E122+E123</f>
        <v/>
      </c>
      <c r="F124" s="18">
        <f>F109+F122+F123</f>
        <v/>
      </c>
      <c r="G124" s="18">
        <f>G109+G122+G123</f>
        <v/>
      </c>
      <c r="H124" s="18">
        <f>H109+H122+H123</f>
        <v/>
      </c>
      <c r="I124" s="18">
        <f>I109+I122+I123</f>
        <v/>
      </c>
      <c r="J124" s="18">
        <f>J109+J122+J123</f>
        <v/>
      </c>
      <c r="K124" s="18">
        <f>K109+K122+K123</f>
        <v/>
      </c>
      <c r="L124" s="18">
        <f>L109+L122+L123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C94*$B$20*C93</f>
        <v/>
      </c>
      <c r="D125" s="5">
        <f>D94*$B$20*D93</f>
        <v/>
      </c>
      <c r="E125" s="5">
        <f>E94*$B$20*E93</f>
        <v/>
      </c>
      <c r="F125" s="5">
        <f>F94*$B$20*F93</f>
        <v/>
      </c>
      <c r="G125" s="5">
        <f>G94*$B$20*G93</f>
        <v/>
      </c>
      <c r="H125" s="5">
        <f>H94*$B$20*H93</f>
        <v/>
      </c>
      <c r="I125" s="5">
        <f>I94*$B$20*I93</f>
        <v/>
      </c>
      <c r="J125" s="5">
        <f>J94*$B$20*J93</f>
        <v/>
      </c>
      <c r="K125" s="5">
        <f>K94*$B$20*K93</f>
        <v/>
      </c>
      <c r="L125" s="5">
        <f>L94*$B$20*L93</f>
        <v/>
      </c>
    </row>
    <row r="126">
      <c r="A126" t="inlineStr">
        <is>
          <t xml:space="preserve">  Marge d'EBITDA</t>
        </is>
      </c>
      <c r="C126" s="6">
        <f>IF(C105=0,0,C124/C105)</f>
        <v/>
      </c>
      <c r="D126" s="6">
        <f>IF(D105=0,0,D124/D105)</f>
        <v/>
      </c>
      <c r="E126" s="6">
        <f>IF(E105=0,0,E124/E105)</f>
        <v/>
      </c>
      <c r="F126" s="6">
        <f>IF(F105=0,0,F124/F105)</f>
        <v/>
      </c>
      <c r="G126" s="6">
        <f>IF(G105=0,0,G124/G105)</f>
        <v/>
      </c>
      <c r="H126" s="6">
        <f>IF(H105=0,0,H124/H105)</f>
        <v/>
      </c>
      <c r="I126" s="6">
        <f>IF(I105=0,0,I124/I105)</f>
        <v/>
      </c>
      <c r="J126" s="6">
        <f>IF(J105=0,0,J124/J105)</f>
        <v/>
      </c>
      <c r="K126" s="6">
        <f>IF(K105=0,0,K124/K105)</f>
        <v/>
      </c>
      <c r="L126" s="6">
        <f>IF(L105=0,0,L124/L105)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($B$10+$B$11+$B$12)*$B$46*IF(C$88=$B$5,$B$13,IF(C$88=$B$5+1,$B$14,IF(C$88=$B$5+2,$B$15,0)))*C93</f>
        <v/>
      </c>
      <c r="D127" s="5">
        <f>($B$10+$B$11+$B$12)*$B$46*IF(D$88=$B$5,$B$13,IF(D$88=$B$5+1,$B$14,IF(D$88=$B$5+2,$B$15,0)))*D93</f>
        <v/>
      </c>
      <c r="E127" s="5">
        <f>($B$10+$B$11+$B$12)*$B$46*IF(E$88=$B$5,$B$13,IF(E$88=$B$5+1,$B$14,IF(E$88=$B$5+2,$B$15,0)))*E93</f>
        <v/>
      </c>
      <c r="F127" s="5">
        <f>($B$10+$B$11+$B$12)*$B$46*IF(F$88=$B$5,$B$13,IF(F$88=$B$5+1,$B$14,IF(F$88=$B$5+2,$B$15,0)))*F93</f>
        <v/>
      </c>
      <c r="G127" s="5">
        <f>($B$10+$B$11+$B$12)*$B$46*IF(G$88=$B$5,$B$13,IF(G$88=$B$5+1,$B$14,IF(G$88=$B$5+2,$B$15,0)))*G93</f>
        <v/>
      </c>
      <c r="H127" s="5">
        <f>($B$10+$B$11+$B$12)*$B$46*IF(H$88=$B$5,$B$13,IF(H$88=$B$5+1,$B$14,IF(H$88=$B$5+2,$B$15,0)))*H93</f>
        <v/>
      </c>
      <c r="I127" s="5">
        <f>($B$10+$B$11+$B$12)*$B$46*IF(I$88=$B$5,$B$13,IF(I$88=$B$5+1,$B$14,IF(I$88=$B$5+2,$B$15,0)))*I93</f>
        <v/>
      </c>
      <c r="J127" s="5">
        <f>($B$10+$B$11+$B$12)*$B$46*IF(J$88=$B$5,$B$13,IF(J$88=$B$5+1,$B$14,IF(J$88=$B$5+2,$B$15,0)))*J93</f>
        <v/>
      </c>
      <c r="K127" s="5">
        <f>($B$10+$B$11+$B$12)*$B$46*IF(K$88=$B$5,$B$13,IF(K$88=$B$5+1,$B$14,IF(K$88=$B$5+2,$B$15,0)))*K93</f>
        <v/>
      </c>
      <c r="L127" s="5">
        <f>($B$10+$B$11+$B$12)*$B$46*IF(L$88=$B$5,$B$13,IF(L$88=$B$5+1,$B$14,IF(L$88=$B$5+2,$B$15,0)))*L93</f>
        <v/>
      </c>
    </row>
    <row r="128">
      <c r="A128" t="inlineStr">
        <is>
          <t>Acquisition (prix + frais)</t>
        </is>
      </c>
      <c r="B128" s="5">
        <f>SUM(C128:L128)</f>
        <v/>
      </c>
      <c r="C128" s="5">
        <f>IF(C$88=$B$5,$B$7*(1+$B$8),0)</f>
        <v/>
      </c>
      <c r="D128" s="5">
        <f>IF(D$88=$B$5,$B$7*(1+$B$8),0)</f>
        <v/>
      </c>
      <c r="E128" s="5">
        <f>IF(E$88=$B$5,$B$7*(1+$B$8),0)</f>
        <v/>
      </c>
      <c r="F128" s="5">
        <f>IF(F$88=$B$5,$B$7*(1+$B$8),0)</f>
        <v/>
      </c>
      <c r="G128" s="5">
        <f>IF(G$88=$B$5,$B$7*(1+$B$8),0)</f>
        <v/>
      </c>
      <c r="H128" s="5">
        <f>IF(H$88=$B$5,$B$7*(1+$B$8),0)</f>
        <v/>
      </c>
      <c r="I128" s="5">
        <f>IF(I$88=$B$5,$B$7*(1+$B$8),0)</f>
        <v/>
      </c>
      <c r="J128" s="5">
        <f>IF(J$88=$B$5,$B$7*(1+$B$8),0)</f>
        <v/>
      </c>
      <c r="K128" s="5">
        <f>IF(K$88=$B$5,$B$7*(1+$B$8),0)</f>
        <v/>
      </c>
      <c r="L128" s="5">
        <f>IF(L$88=$B$5,$B$7*(1+$B$8),0)</f>
        <v/>
      </c>
    </row>
    <row r="129">
      <c r="A129" t="inlineStr">
        <is>
          <t>Gros entretien patrimonial récurrent</t>
        </is>
      </c>
      <c r="B129" s="5">
        <f>SUM(C129:L129)</f>
        <v/>
      </c>
      <c r="C129" s="5">
        <f>IF(C$88&gt;=$B$5+3,$B$16*($B$7+($B$10+$B$11+$B$12)*$B$46)*C93,0)</f>
        <v/>
      </c>
      <c r="D129" s="5">
        <f>IF(D$88&gt;=$B$5+3,$B$16*($B$7+($B$10+$B$11+$B$12)*$B$46)*D93,0)</f>
        <v/>
      </c>
      <c r="E129" s="5">
        <f>IF(E$88&gt;=$B$5+3,$B$16*($B$7+($B$10+$B$11+$B$12)*$B$46)*E93,0)</f>
        <v/>
      </c>
      <c r="F129" s="5">
        <f>IF(F$88&gt;=$B$5+3,$B$16*($B$7+($B$10+$B$11+$B$12)*$B$46)*F93,0)</f>
        <v/>
      </c>
      <c r="G129" s="5">
        <f>IF(G$88&gt;=$B$5+3,$B$16*($B$7+($B$10+$B$11+$B$12)*$B$46)*G93,0)</f>
        <v/>
      </c>
      <c r="H129" s="5">
        <f>IF(H$88&gt;=$B$5+3,$B$16*($B$7+($B$10+$B$11+$B$12)*$B$46)*H93,0)</f>
        <v/>
      </c>
      <c r="I129" s="5">
        <f>IF(I$88&gt;=$B$5+3,$B$16*($B$7+($B$10+$B$11+$B$12)*$B$46)*I93,0)</f>
        <v/>
      </c>
      <c r="J129" s="5">
        <f>IF(J$88&gt;=$B$5+3,$B$16*($B$7+($B$10+$B$11+$B$12)*$B$46)*J93,0)</f>
        <v/>
      </c>
      <c r="K129" s="5">
        <f>IF(K$88&gt;=$B$5+3,$B$16*($B$7+($B$10+$B$11+$B$12)*$B$46)*K93,0)</f>
        <v/>
      </c>
      <c r="L129" s="5">
        <f>IF(L$88&gt;=$B$5+3,$B$16*($B$7+($B$10+$B$11+$B$12)*$B$46)*L93,0)</f>
        <v/>
      </c>
    </row>
    <row r="130">
      <c r="A130" t="inlineStr">
        <is>
          <t>Investissements amortissables cumulés</t>
        </is>
      </c>
      <c r="C130" s="5">
        <f>C127+C129</f>
        <v/>
      </c>
      <c r="D130" s="5">
        <f>C130+D127+D129</f>
        <v/>
      </c>
      <c r="E130" s="5">
        <f>D130+E127+E129</f>
        <v/>
      </c>
      <c r="F130" s="5">
        <f>E130+F127+F129</f>
        <v/>
      </c>
      <c r="G130" s="5">
        <f>F130+G127+G129</f>
        <v/>
      </c>
      <c r="H130" s="5">
        <f>G130+H127+H129</f>
        <v/>
      </c>
      <c r="I130" s="5">
        <f>H130+I127+I129</f>
        <v/>
      </c>
      <c r="J130" s="5">
        <f>I130+J127+J129</f>
        <v/>
      </c>
      <c r="K130" s="5">
        <f>J130+K127+K129</f>
        <v/>
      </c>
      <c r="L130" s="5">
        <f>K130+L127+L129</f>
        <v/>
      </c>
    </row>
    <row r="131">
      <c r="A131" t="inlineStr">
        <is>
          <t>Dotations aux amortissements (bâti 30 ans, travaux 15 ans)</t>
        </is>
      </c>
      <c r="B131" s="5">
        <f>SUM(C131:L131)</f>
        <v/>
      </c>
      <c r="C131" s="5">
        <f>-(C94*$B$7*(1+$B$8)*$B$9/30+C130/15)</f>
        <v/>
      </c>
      <c r="D131" s="5">
        <f>-(D94*$B$7*(1+$B$8)*$B$9/30+D130/15)</f>
        <v/>
      </c>
      <c r="E131" s="5">
        <f>-(E94*$B$7*(1+$B$8)*$B$9/30+E130/15)</f>
        <v/>
      </c>
      <c r="F131" s="5">
        <f>-(F94*$B$7*(1+$B$8)*$B$9/30+F130/15)</f>
        <v/>
      </c>
      <c r="G131" s="5">
        <f>-(G94*$B$7*(1+$B$8)*$B$9/30+G130/15)</f>
        <v/>
      </c>
      <c r="H131" s="5">
        <f>-(H94*$B$7*(1+$B$8)*$B$9/30+H130/15)</f>
        <v/>
      </c>
      <c r="I131" s="5">
        <f>-(I94*$B$7*(1+$B$8)*$B$9/30+I130/15)</f>
        <v/>
      </c>
      <c r="J131" s="5">
        <f>-(J94*$B$7*(1+$B$8)*$B$9/30+J130/15)</f>
        <v/>
      </c>
      <c r="K131" s="5">
        <f>-(K94*$B$7*(1+$B$8)*$B$9/30+K130/15)</f>
        <v/>
      </c>
      <c r="L131" s="5">
        <f>-(L94*$B$7*(1+$B$8)*$B$9/30+L130/15)</f>
        <v/>
      </c>
    </row>
    <row r="132">
      <c r="A132" s="4" t="inlineStr">
        <is>
          <t>Résultat d'exploitation</t>
        </is>
      </c>
      <c r="B132" s="18">
        <f>SUM(C132:L132)</f>
        <v/>
      </c>
      <c r="C132" s="18">
        <f>C124+C131</f>
        <v/>
      </c>
      <c r="D132" s="18">
        <f>D124+D131</f>
        <v/>
      </c>
      <c r="E132" s="18">
        <f>E124+E131</f>
        <v/>
      </c>
      <c r="F132" s="18">
        <f>F124+F131</f>
        <v/>
      </c>
      <c r="G132" s="18">
        <f>G124+G131</f>
        <v/>
      </c>
      <c r="H132" s="18">
        <f>H124+H131</f>
        <v/>
      </c>
      <c r="I132" s="18">
        <f>I124+I131</f>
        <v/>
      </c>
      <c r="J132" s="18">
        <f>J124+J131</f>
        <v/>
      </c>
      <c r="K132" s="18">
        <f>K124+K131</f>
        <v/>
      </c>
      <c r="L132" s="18">
        <f>L124+L131</f>
        <v/>
      </c>
    </row>
    <row r="134">
      <c r="A134" s="4" t="inlineStr">
        <is>
          <t>Échéancier des emprunts</t>
        </is>
      </c>
    </row>
    <row r="135">
      <c r="A135" t="inlineStr">
        <is>
          <t>Taux bancaire effectif</t>
        </is>
      </c>
      <c r="C135" s="6">
        <f>$B$28+$B$48</f>
        <v/>
      </c>
      <c r="D135" s="6">
        <f>$B$28+$B$48</f>
        <v/>
      </c>
      <c r="E135" s="6">
        <f>$B$28+$B$48</f>
        <v/>
      </c>
      <c r="F135" s="6">
        <f>$B$28+$B$48</f>
        <v/>
      </c>
      <c r="G135" s="6">
        <f>$B$28+$B$48</f>
        <v/>
      </c>
      <c r="H135" s="6">
        <f>$B$28+$B$48</f>
        <v/>
      </c>
      <c r="I135" s="6">
        <f>$B$28+$B$48</f>
        <v/>
      </c>
      <c r="J135" s="6">
        <f>$B$28+$B$48</f>
        <v/>
      </c>
      <c r="K135" s="6">
        <f>$B$28+$B$48</f>
        <v/>
      </c>
      <c r="L135" s="6">
        <f>$B$28+$B$48</f>
        <v/>
      </c>
    </row>
    <row r="136">
      <c r="A136" t="inlineStr">
        <is>
          <t>Rang de l'année d'emprunt</t>
        </is>
      </c>
      <c r="C136" s="8">
        <f>MAX(0,C$88-$B$5+1)</f>
        <v/>
      </c>
      <c r="D136" s="8">
        <f>MAX(0,D$88-$B$5+1)</f>
        <v/>
      </c>
      <c r="E136" s="8">
        <f>MAX(0,E$88-$B$5+1)</f>
        <v/>
      </c>
      <c r="F136" s="8">
        <f>MAX(0,F$88-$B$5+1)</f>
        <v/>
      </c>
      <c r="G136" s="8">
        <f>MAX(0,G$88-$B$5+1)</f>
        <v/>
      </c>
      <c r="H136" s="8">
        <f>MAX(0,H$88-$B$5+1)</f>
        <v/>
      </c>
      <c r="I136" s="8">
        <f>MAX(0,I$88-$B$5+1)</f>
        <v/>
      </c>
      <c r="J136" s="8">
        <f>MAX(0,J$88-$B$5+1)</f>
        <v/>
      </c>
      <c r="K136" s="8">
        <f>MAX(0,K$88-$B$5+1)</f>
        <v/>
      </c>
      <c r="L136" s="8">
        <f>MAX(0,L$88-$B$5+1)</f>
        <v/>
      </c>
    </row>
    <row r="137">
      <c r="A137" t="inlineStr">
        <is>
          <t>Dette bancaire — capital début</t>
        </is>
      </c>
      <c r="C137" s="5">
        <f>IF(C136=1,$B$27,0)</f>
        <v/>
      </c>
      <c r="D137" s="5">
        <f>IF(D136=1,$B$27,C140)</f>
        <v/>
      </c>
      <c r="E137" s="5">
        <f>IF(E136=1,$B$27,D140)</f>
        <v/>
      </c>
      <c r="F137" s="5">
        <f>IF(F136=1,$B$27,E140)</f>
        <v/>
      </c>
      <c r="G137" s="5">
        <f>IF(G136=1,$B$27,F140)</f>
        <v/>
      </c>
      <c r="H137" s="5">
        <f>IF(H136=1,$B$27,G140)</f>
        <v/>
      </c>
      <c r="I137" s="5">
        <f>IF(I136=1,$B$27,H140)</f>
        <v/>
      </c>
      <c r="J137" s="5">
        <f>IF(J136=1,$B$27,I140)</f>
        <v/>
      </c>
      <c r="K137" s="5">
        <f>IF(K136=1,$B$27,J140)</f>
        <v/>
      </c>
      <c r="L137" s="5">
        <f>IF(L136=1,$B$27,K140)</f>
        <v/>
      </c>
    </row>
    <row r="138">
      <c r="A138" t="inlineStr">
        <is>
          <t xml:space="preserve">  Intérêts</t>
        </is>
      </c>
      <c r="B138" s="5">
        <f>SUM(C138:L138)</f>
        <v/>
      </c>
      <c r="C138" s="5">
        <f>C137*C135</f>
        <v/>
      </c>
      <c r="D138" s="5">
        <f>D137*D135</f>
        <v/>
      </c>
      <c r="E138" s="5">
        <f>E137*E135</f>
        <v/>
      </c>
      <c r="F138" s="5">
        <f>F137*F135</f>
        <v/>
      </c>
      <c r="G138" s="5">
        <f>G137*G135</f>
        <v/>
      </c>
      <c r="H138" s="5">
        <f>H137*H135</f>
        <v/>
      </c>
      <c r="I138" s="5">
        <f>I137*I135</f>
        <v/>
      </c>
      <c r="J138" s="5">
        <f>J137*J135</f>
        <v/>
      </c>
      <c r="K138" s="5">
        <f>K137*K135</f>
        <v/>
      </c>
      <c r="L138" s="5">
        <f>L137*L135</f>
        <v/>
      </c>
    </row>
    <row r="139">
      <c r="A139" t="inlineStr">
        <is>
          <t xml:space="preserve">  Amortissement du capital</t>
        </is>
      </c>
      <c r="B139" s="5">
        <f>SUM(C139:L139)</f>
        <v/>
      </c>
      <c r="C139" s="5">
        <f>IF(OR(C136=0,C136&lt;=$B$30,C137&lt;=0),0,MIN(C137,PMT(C135,$B$29-$B$30,-$B$27)-C138))</f>
        <v/>
      </c>
      <c r="D139" s="5">
        <f>IF(OR(D136=0,D136&lt;=$B$30,D137&lt;=0),0,MIN(D137,PMT(D135,$B$29-$B$30,-$B$27)-D138))</f>
        <v/>
      </c>
      <c r="E139" s="5">
        <f>IF(OR(E136=0,E136&lt;=$B$30,E137&lt;=0),0,MIN(E137,PMT(E135,$B$29-$B$30,-$B$27)-E138))</f>
        <v/>
      </c>
      <c r="F139" s="5">
        <f>IF(OR(F136=0,F136&lt;=$B$30,F137&lt;=0),0,MIN(F137,PMT(F135,$B$29-$B$30,-$B$27)-F138))</f>
        <v/>
      </c>
      <c r="G139" s="5">
        <f>IF(OR(G136=0,G136&lt;=$B$30,G137&lt;=0),0,MIN(G137,PMT(G135,$B$29-$B$30,-$B$27)-G138))</f>
        <v/>
      </c>
      <c r="H139" s="5">
        <f>IF(OR(H136=0,H136&lt;=$B$30,H137&lt;=0),0,MIN(H137,PMT(H135,$B$29-$B$30,-$B$27)-H138))</f>
        <v/>
      </c>
      <c r="I139" s="5">
        <f>IF(OR(I136=0,I136&lt;=$B$30,I137&lt;=0),0,MIN(I137,PMT(I135,$B$29-$B$30,-$B$27)-I138))</f>
        <v/>
      </c>
      <c r="J139" s="5">
        <f>IF(OR(J136=0,J136&lt;=$B$30,J137&lt;=0),0,MIN(J137,PMT(J135,$B$29-$B$30,-$B$27)-J138))</f>
        <v/>
      </c>
      <c r="K139" s="5">
        <f>IF(OR(K136=0,K136&lt;=$B$30,K137&lt;=0),0,MIN(K137,PMT(K135,$B$29-$B$30,-$B$27)-K138))</f>
        <v/>
      </c>
      <c r="L139" s="5">
        <f>IF(OR(L136=0,L136&lt;=$B$30,L137&lt;=0),0,MIN(L137,PMT(L135,$B$29-$B$30,-$B$27)-L138))</f>
        <v/>
      </c>
    </row>
    <row r="140">
      <c r="A140" t="inlineStr">
        <is>
          <t>Dette bancaire — capital fin</t>
        </is>
      </c>
      <c r="C140" s="5">
        <f>C137-C139</f>
        <v/>
      </c>
      <c r="D140" s="5">
        <f>D137-D139</f>
        <v/>
      </c>
      <c r="E140" s="5">
        <f>E137-E139</f>
        <v/>
      </c>
      <c r="F140" s="5">
        <f>F137-F139</f>
        <v/>
      </c>
      <c r="G140" s="5">
        <f>G137-G139</f>
        <v/>
      </c>
      <c r="H140" s="5">
        <f>H137-H139</f>
        <v/>
      </c>
      <c r="I140" s="5">
        <f>I137-I139</f>
        <v/>
      </c>
      <c r="J140" s="5">
        <f>J137-J139</f>
        <v/>
      </c>
      <c r="K140" s="5">
        <f>K137-K139</f>
        <v/>
      </c>
      <c r="L140" s="5">
        <f>L137-L139</f>
        <v/>
      </c>
    </row>
    <row r="141">
      <c r="A141" t="inlineStr">
        <is>
          <t>Crédit-vendeur — capital début</t>
        </is>
      </c>
      <c r="C141" s="5">
        <f>IF(C136=1,$B$31,0)</f>
        <v/>
      </c>
      <c r="D141" s="5">
        <f>IF(D136=1,$B$31,C144)</f>
        <v/>
      </c>
      <c r="E141" s="5">
        <f>IF(E136=1,$B$31,D144)</f>
        <v/>
      </c>
      <c r="F141" s="5">
        <f>IF(F136=1,$B$31,E144)</f>
        <v/>
      </c>
      <c r="G141" s="5">
        <f>IF(G136=1,$B$31,F144)</f>
        <v/>
      </c>
      <c r="H141" s="5">
        <f>IF(H136=1,$B$31,G144)</f>
        <v/>
      </c>
      <c r="I141" s="5">
        <f>IF(I136=1,$B$31,H144)</f>
        <v/>
      </c>
      <c r="J141" s="5">
        <f>IF(J136=1,$B$31,I144)</f>
        <v/>
      </c>
      <c r="K141" s="5">
        <f>IF(K136=1,$B$31,J144)</f>
        <v/>
      </c>
      <c r="L141" s="5">
        <f>IF(L136=1,$B$31,K144)</f>
        <v/>
      </c>
    </row>
    <row r="142">
      <c r="A142" t="inlineStr">
        <is>
          <t xml:space="preserve">  Intérêts crédit-vendeur</t>
        </is>
      </c>
      <c r="B142" s="5">
        <f>SUM(C142:L142)</f>
        <v/>
      </c>
      <c r="C142" s="5">
        <f>C141*$B$32</f>
        <v/>
      </c>
      <c r="D142" s="5">
        <f>D141*$B$32</f>
        <v/>
      </c>
      <c r="E142" s="5">
        <f>E141*$B$32</f>
        <v/>
      </c>
      <c r="F142" s="5">
        <f>F141*$B$32</f>
        <v/>
      </c>
      <c r="G142" s="5">
        <f>G141*$B$32</f>
        <v/>
      </c>
      <c r="H142" s="5">
        <f>H141*$B$32</f>
        <v/>
      </c>
      <c r="I142" s="5">
        <f>I141*$B$32</f>
        <v/>
      </c>
      <c r="J142" s="5">
        <f>J141*$B$32</f>
        <v/>
      </c>
      <c r="K142" s="5">
        <f>K141*$B$32</f>
        <v/>
      </c>
      <c r="L142" s="5">
        <f>L141*$B$32</f>
        <v/>
      </c>
    </row>
    <row r="143">
      <c r="A143" t="inlineStr">
        <is>
          <t xml:space="preserve">  Amortissement crédit-vendeur</t>
        </is>
      </c>
      <c r="B143" s="5">
        <f>SUM(C143:L143)</f>
        <v/>
      </c>
      <c r="C143" s="5">
        <f>IF(OR(C136=0,C141&lt;=0),0,MIN(C141,IF($B$32=0,$B$31/$B$33,PMT($B$32,$B$33,-$B$31)-C142)))</f>
        <v/>
      </c>
      <c r="D143" s="5">
        <f>IF(OR(D136=0,D141&lt;=0),0,MIN(D141,IF($B$32=0,$B$31/$B$33,PMT($B$32,$B$33,-$B$31)-D142)))</f>
        <v/>
      </c>
      <c r="E143" s="5">
        <f>IF(OR(E136=0,E141&lt;=0),0,MIN(E141,IF($B$32=0,$B$31/$B$33,PMT($B$32,$B$33,-$B$31)-E142)))</f>
        <v/>
      </c>
      <c r="F143" s="5">
        <f>IF(OR(F136=0,F141&lt;=0),0,MIN(F141,IF($B$32=0,$B$31/$B$33,PMT($B$32,$B$33,-$B$31)-F142)))</f>
        <v/>
      </c>
      <c r="G143" s="5">
        <f>IF(OR(G136=0,G141&lt;=0),0,MIN(G141,IF($B$32=0,$B$31/$B$33,PMT($B$32,$B$33,-$B$31)-G142)))</f>
        <v/>
      </c>
      <c r="H143" s="5">
        <f>IF(OR(H136=0,H141&lt;=0),0,MIN(H141,IF($B$32=0,$B$31/$B$33,PMT($B$32,$B$33,-$B$31)-H142)))</f>
        <v/>
      </c>
      <c r="I143" s="5">
        <f>IF(OR(I136=0,I141&lt;=0),0,MIN(I141,IF($B$32=0,$B$31/$B$33,PMT($B$32,$B$33,-$B$31)-I142)))</f>
        <v/>
      </c>
      <c r="J143" s="5">
        <f>IF(OR(J136=0,J141&lt;=0),0,MIN(J141,IF($B$32=0,$B$31/$B$33,PMT($B$32,$B$33,-$B$31)-J142)))</f>
        <v/>
      </c>
      <c r="K143" s="5">
        <f>IF(OR(K136=0,K141&lt;=0),0,MIN(K141,IF($B$32=0,$B$31/$B$33,PMT($B$32,$B$33,-$B$31)-K142)))</f>
        <v/>
      </c>
      <c r="L143" s="5">
        <f>IF(OR(L136=0,L141&lt;=0),0,MIN(L141,IF($B$32=0,$B$31/$B$33,PMT($B$32,$B$33,-$B$31)-L142)))</f>
        <v/>
      </c>
    </row>
    <row r="144">
      <c r="A144" t="inlineStr">
        <is>
          <t>Crédit-vendeur — capital fin</t>
        </is>
      </c>
      <c r="C144" s="5">
        <f>C141-C143</f>
        <v/>
      </c>
      <c r="D144" s="5">
        <f>D141-D143</f>
        <v/>
      </c>
      <c r="E144" s="5">
        <f>E141-E143</f>
        <v/>
      </c>
      <c r="F144" s="5">
        <f>F141-F143</f>
        <v/>
      </c>
      <c r="G144" s="5">
        <f>G141-G143</f>
        <v/>
      </c>
      <c r="H144" s="5">
        <f>H141-H143</f>
        <v/>
      </c>
      <c r="I144" s="5">
        <f>I141-I143</f>
        <v/>
      </c>
      <c r="J144" s="5">
        <f>J141-J143</f>
        <v/>
      </c>
      <c r="K144" s="5">
        <f>K141-K143</f>
        <v/>
      </c>
      <c r="L144" s="5">
        <f>L141-L143</f>
        <v/>
      </c>
    </row>
    <row r="145">
      <c r="A145" t="inlineStr">
        <is>
          <t>Obligations — encours</t>
        </is>
      </c>
      <c r="C145" s="5">
        <f>IF(AND(C$88&gt;=$B$5,C$88&lt;=$B$36),$B$34,0)</f>
        <v/>
      </c>
      <c r="D145" s="5">
        <f>IF(AND(D$88&gt;=$B$5,D$88&lt;=$B$36),$B$34,0)</f>
        <v/>
      </c>
      <c r="E145" s="5">
        <f>IF(AND(E$88&gt;=$B$5,E$88&lt;=$B$36),$B$34,0)</f>
        <v/>
      </c>
      <c r="F145" s="5">
        <f>IF(AND(F$88&gt;=$B$5,F$88&lt;=$B$36),$B$34,0)</f>
        <v/>
      </c>
      <c r="G145" s="5">
        <f>IF(AND(G$88&gt;=$B$5,G$88&lt;=$B$36),$B$34,0)</f>
        <v/>
      </c>
      <c r="H145" s="5">
        <f>IF(AND(H$88&gt;=$B$5,H$88&lt;=$B$36),$B$34,0)</f>
        <v/>
      </c>
      <c r="I145" s="5">
        <f>IF(AND(I$88&gt;=$B$5,I$88&lt;=$B$36),$B$34,0)</f>
        <v/>
      </c>
      <c r="J145" s="5">
        <f>IF(AND(J$88&gt;=$B$5,J$88&lt;=$B$36),$B$34,0)</f>
        <v/>
      </c>
      <c r="K145" s="5">
        <f>IF(AND(K$88&gt;=$B$5,K$88&lt;=$B$36),$B$34,0)</f>
        <v/>
      </c>
      <c r="L145" s="5">
        <f>IF(AND(L$88&gt;=$B$5,L$88&lt;=$B$36),$B$34,0)</f>
        <v/>
      </c>
    </row>
    <row r="146">
      <c r="A146" t="inlineStr">
        <is>
          <t xml:space="preserve">  Coupons obligataires</t>
        </is>
      </c>
      <c r="B146" s="5">
        <f>SUM(C146:L146)</f>
        <v/>
      </c>
      <c r="C146" s="5">
        <f>C145*$B$35</f>
        <v/>
      </c>
      <c r="D146" s="5">
        <f>D145*$B$35</f>
        <v/>
      </c>
      <c r="E146" s="5">
        <f>E145*$B$35</f>
        <v/>
      </c>
      <c r="F146" s="5">
        <f>F145*$B$35</f>
        <v/>
      </c>
      <c r="G146" s="5">
        <f>G145*$B$35</f>
        <v/>
      </c>
      <c r="H146" s="5">
        <f>H145*$B$35</f>
        <v/>
      </c>
      <c r="I146" s="5">
        <f>I145*$B$35</f>
        <v/>
      </c>
      <c r="J146" s="5">
        <f>J145*$B$35</f>
        <v/>
      </c>
      <c r="K146" s="5">
        <f>K145*$B$35</f>
        <v/>
      </c>
      <c r="L146" s="5">
        <f>L145*$B$35</f>
        <v/>
      </c>
    </row>
    <row r="147">
      <c r="A147" t="inlineStr">
        <is>
          <t xml:space="preserve">  Remboursement obligations</t>
        </is>
      </c>
      <c r="B147" s="5">
        <f>SUM(C147:L147)</f>
        <v/>
      </c>
      <c r="C147" s="5">
        <f>IF(C$88=$B$36,$B$34,0)</f>
        <v/>
      </c>
      <c r="D147" s="5">
        <f>IF(D$88=$B$36,$B$34,0)</f>
        <v/>
      </c>
      <c r="E147" s="5">
        <f>IF(E$88=$B$36,$B$34,0)</f>
        <v/>
      </c>
      <c r="F147" s="5">
        <f>IF(F$88=$B$36,$B$34,0)</f>
        <v/>
      </c>
      <c r="G147" s="5">
        <f>IF(G$88=$B$36,$B$34,0)</f>
        <v/>
      </c>
      <c r="H147" s="5">
        <f>IF(H$88=$B$36,$B$34,0)</f>
        <v/>
      </c>
      <c r="I147" s="5">
        <f>IF(I$88=$B$36,$B$34,0)</f>
        <v/>
      </c>
      <c r="J147" s="5">
        <f>IF(J$88=$B$36,$B$34,0)</f>
        <v/>
      </c>
      <c r="K147" s="5">
        <f>IF(K$88=$B$36,$B$34,0)</f>
        <v/>
      </c>
      <c r="L147" s="5">
        <f>IF(L$88=$B$36,$B$34,0)</f>
        <v/>
      </c>
    </row>
    <row r="149">
      <c r="A149" t="inlineStr">
        <is>
          <t>Charges financières</t>
        </is>
      </c>
      <c r="B149" s="5">
        <f>SUM(C149:L149)</f>
        <v/>
      </c>
      <c r="C149" s="5">
        <f>-(C138+C142+C146)</f>
        <v/>
      </c>
      <c r="D149" s="5">
        <f>-(D138+D142+D146)</f>
        <v/>
      </c>
      <c r="E149" s="5">
        <f>-(E138+E142+E146)</f>
        <v/>
      </c>
      <c r="F149" s="5">
        <f>-(F138+F142+F146)</f>
        <v/>
      </c>
      <c r="G149" s="5">
        <f>-(G138+G142+G146)</f>
        <v/>
      </c>
      <c r="H149" s="5">
        <f>-(H138+H142+H146)</f>
        <v/>
      </c>
      <c r="I149" s="5">
        <f>-(I138+I142+I146)</f>
        <v/>
      </c>
      <c r="J149" s="5">
        <f>-(J138+J142+J146)</f>
        <v/>
      </c>
      <c r="K149" s="5">
        <f>-(K138+K142+K146)</f>
        <v/>
      </c>
      <c r="L149" s="5">
        <f>-(L138+L142+L146)</f>
        <v/>
      </c>
    </row>
    <row r="150">
      <c r="A150" s="4" t="inlineStr">
        <is>
          <t>Résultat avant impôt</t>
        </is>
      </c>
      <c r="B150" s="18">
        <f>SUM(C150:L150)</f>
        <v/>
      </c>
      <c r="C150" s="18">
        <f>C132+C149+C125</f>
        <v/>
      </c>
      <c r="D150" s="18">
        <f>D132+D149+D125</f>
        <v/>
      </c>
      <c r="E150" s="18">
        <f>E132+E149+E125</f>
        <v/>
      </c>
      <c r="F150" s="18">
        <f>F132+F149+F125</f>
        <v/>
      </c>
      <c r="G150" s="18">
        <f>G132+G149+G125</f>
        <v/>
      </c>
      <c r="H150" s="18">
        <f>H132+H149+H125</f>
        <v/>
      </c>
      <c r="I150" s="18">
        <f>I132+I149+I125</f>
        <v/>
      </c>
      <c r="J150" s="18">
        <f>J132+J149+J125</f>
        <v/>
      </c>
      <c r="K150" s="18">
        <f>K132+K149+K125</f>
        <v/>
      </c>
      <c r="L150" s="18">
        <f>L132+L149+L125</f>
        <v/>
      </c>
    </row>
    <row r="151">
      <c r="A151" t="inlineStr">
        <is>
          <t>Stock de déficits reportables (fin d'année)</t>
        </is>
      </c>
      <c r="C151" s="5">
        <f>MAX(0,-C150)</f>
        <v/>
      </c>
      <c r="D151" s="5">
        <f>MAX(0,C151-D150)</f>
        <v/>
      </c>
      <c r="E151" s="5">
        <f>MAX(0,D151-E150)</f>
        <v/>
      </c>
      <c r="F151" s="5">
        <f>MAX(0,E151-F150)</f>
        <v/>
      </c>
      <c r="G151" s="5">
        <f>MAX(0,F151-G150)</f>
        <v/>
      </c>
      <c r="H151" s="5">
        <f>MAX(0,G151-H150)</f>
        <v/>
      </c>
      <c r="I151" s="5">
        <f>MAX(0,H151-I150)</f>
        <v/>
      </c>
      <c r="J151" s="5">
        <f>MAX(0,I151-J150)</f>
        <v/>
      </c>
      <c r="K151" s="5">
        <f>MAX(0,J151-K150)</f>
        <v/>
      </c>
      <c r="L151" s="5">
        <f>MAX(0,K151-L150)</f>
        <v/>
      </c>
    </row>
    <row r="152">
      <c r="A152" t="inlineStr">
        <is>
          <t>Impôt sur les sociétés</t>
        </is>
      </c>
      <c r="B152" s="5">
        <f>SUM(C152:L152)</f>
        <v/>
      </c>
      <c r="C152" s="5">
        <f>-MAX(0,C150)*$B$59</f>
        <v/>
      </c>
      <c r="D152" s="5">
        <f>-MAX(0,D150-C151)*$B$59</f>
        <v/>
      </c>
      <c r="E152" s="5">
        <f>-MAX(0,E150-D151)*$B$59</f>
        <v/>
      </c>
      <c r="F152" s="5">
        <f>-MAX(0,F150-E151)*$B$59</f>
        <v/>
      </c>
      <c r="G152" s="5">
        <f>-MAX(0,G150-F151)*$B$59</f>
        <v/>
      </c>
      <c r="H152" s="5">
        <f>-MAX(0,H150-G151)*$B$59</f>
        <v/>
      </c>
      <c r="I152" s="5">
        <f>-MAX(0,I150-H151)*$B$59</f>
        <v/>
      </c>
      <c r="J152" s="5">
        <f>-MAX(0,J150-I151)*$B$59</f>
        <v/>
      </c>
      <c r="K152" s="5">
        <f>-MAX(0,K150-J151)*$B$59</f>
        <v/>
      </c>
      <c r="L152" s="5">
        <f>-MAX(0,L150-K151)*$B$59</f>
        <v/>
      </c>
    </row>
    <row r="153">
      <c r="A153" s="4" t="inlineStr">
        <is>
          <t>Résultat net</t>
        </is>
      </c>
      <c r="B153" s="18">
        <f>SUM(C153:L153)</f>
        <v/>
      </c>
      <c r="C153" s="18">
        <f>C150+C152</f>
        <v/>
      </c>
      <c r="D153" s="18">
        <f>D150+D152</f>
        <v/>
      </c>
      <c r="E153" s="18">
        <f>E150+E152</f>
        <v/>
      </c>
      <c r="F153" s="18">
        <f>F150+F152</f>
        <v/>
      </c>
      <c r="G153" s="18">
        <f>G150+G152</f>
        <v/>
      </c>
      <c r="H153" s="18">
        <f>H150+H152</f>
        <v/>
      </c>
      <c r="I153" s="18">
        <f>I150+I152</f>
        <v/>
      </c>
      <c r="J153" s="18">
        <f>J150+J152</f>
        <v/>
      </c>
      <c r="K153" s="18">
        <f>K150+K152</f>
        <v/>
      </c>
      <c r="L153" s="18">
        <f>L150+L152</f>
        <v/>
      </c>
    </row>
    <row r="155">
      <c r="A155" s="4" t="inlineStr">
        <is>
          <t>Tableau des flux de trésorerie</t>
        </is>
      </c>
    </row>
    <row r="156">
      <c r="A156" t="inlineStr">
        <is>
          <t>BFR (niveau)</t>
        </is>
      </c>
      <c r="C156" s="5">
        <f>C105*$B$58</f>
        <v/>
      </c>
      <c r="D156" s="5">
        <f>D105*$B$58</f>
        <v/>
      </c>
      <c r="E156" s="5">
        <f>E105*$B$58</f>
        <v/>
      </c>
      <c r="F156" s="5">
        <f>F105*$B$58</f>
        <v/>
      </c>
      <c r="G156" s="5">
        <f>G105*$B$58</f>
        <v/>
      </c>
      <c r="H156" s="5">
        <f>H105*$B$58</f>
        <v/>
      </c>
      <c r="I156" s="5">
        <f>I105*$B$58</f>
        <v/>
      </c>
      <c r="J156" s="5">
        <f>J105*$B$58</f>
        <v/>
      </c>
      <c r="K156" s="5">
        <f>K105*$B$58</f>
        <v/>
      </c>
      <c r="L156" s="5">
        <f>L105*$B$58</f>
        <v/>
      </c>
    </row>
    <row r="157">
      <c r="A157" t="inlineStr">
        <is>
          <t>Variation du BFR</t>
        </is>
      </c>
      <c r="B157" s="5">
        <f>SUM(C157:L157)</f>
        <v/>
      </c>
      <c r="C157" s="5">
        <f>-C156</f>
        <v/>
      </c>
      <c r="D157" s="5">
        <f>-(D156-C156)</f>
        <v/>
      </c>
      <c r="E157" s="5">
        <f>-(E156-D156)</f>
        <v/>
      </c>
      <c r="F157" s="5">
        <f>-(F156-E156)</f>
        <v/>
      </c>
      <c r="G157" s="5">
        <f>-(G156-F156)</f>
        <v/>
      </c>
      <c r="H157" s="5">
        <f>-(H156-G156)</f>
        <v/>
      </c>
      <c r="I157" s="5">
        <f>-(I156-H156)</f>
        <v/>
      </c>
      <c r="J157" s="5">
        <f>-(J156-I156)</f>
        <v/>
      </c>
      <c r="K157" s="5">
        <f>-(K156-J156)</f>
        <v/>
      </c>
      <c r="L157" s="5">
        <f>-(L156-K156)</f>
        <v/>
      </c>
    </row>
    <row r="158">
      <c r="A158" s="4" t="inlineStr">
        <is>
          <t>Flux d'exploitation (EBITDA + loyer privé − IS − ΔBFR)</t>
        </is>
      </c>
      <c r="B158" s="18">
        <f>SUM(C158:L158)</f>
        <v/>
      </c>
      <c r="C158" s="18">
        <f>C124+C125+C152+C157</f>
        <v/>
      </c>
      <c r="D158" s="18">
        <f>D124+D125+D152+D157</f>
        <v/>
      </c>
      <c r="E158" s="18">
        <f>E124+E125+E152+E157</f>
        <v/>
      </c>
      <c r="F158" s="18">
        <f>F124+F125+F152+F157</f>
        <v/>
      </c>
      <c r="G158" s="18">
        <f>G124+G125+G152+G157</f>
        <v/>
      </c>
      <c r="H158" s="18">
        <f>H124+H125+H152+H157</f>
        <v/>
      </c>
      <c r="I158" s="18">
        <f>I124+I125+I152+I157</f>
        <v/>
      </c>
      <c r="J158" s="18">
        <f>J124+J125+J152+J157</f>
        <v/>
      </c>
      <c r="K158" s="18">
        <f>K124+K125+K152+K157</f>
        <v/>
      </c>
      <c r="L158" s="18">
        <f>L124+L125+L152+L157</f>
        <v/>
      </c>
    </row>
    <row r="159">
      <c r="A159" s="4" t="inlineStr">
        <is>
          <t>Flux d'investissement</t>
        </is>
      </c>
      <c r="B159" s="18">
        <f>SUM(C159:L159)</f>
        <v/>
      </c>
      <c r="C159" s="18">
        <f>-(C128+C127+C129)</f>
        <v/>
      </c>
      <c r="D159" s="18">
        <f>-(D128+D127+D129)</f>
        <v/>
      </c>
      <c r="E159" s="18">
        <f>-(E128+E127+E129)</f>
        <v/>
      </c>
      <c r="F159" s="18">
        <f>-(F128+F127+F129)</f>
        <v/>
      </c>
      <c r="G159" s="18">
        <f>-(G128+G127+G129)</f>
        <v/>
      </c>
      <c r="H159" s="18">
        <f>-(H128+H127+H129)</f>
        <v/>
      </c>
      <c r="I159" s="18">
        <f>-(I128+I127+I129)</f>
        <v/>
      </c>
      <c r="J159" s="18">
        <f>-(J128+J127+J129)</f>
        <v/>
      </c>
      <c r="K159" s="18">
        <f>-(K128+K127+K129)</f>
        <v/>
      </c>
      <c r="L159" s="18">
        <f>-(L128+L127+L129)</f>
        <v/>
      </c>
    </row>
    <row r="160">
      <c r="A160" t="inlineStr">
        <is>
          <t xml:space="preserve">  Apports en fonds propres + subventions</t>
        </is>
      </c>
      <c r="B160" s="5">
        <f>SUM(C160:L160)</f>
        <v/>
      </c>
      <c r="C160" s="5">
        <f>IF(C$88=1,$B$23,0)+IF(C$88=$B$5,$B$24*(1-$B$49)+$B$26,0)</f>
        <v/>
      </c>
      <c r="D160" s="5">
        <f>IF(D$88=1,$B$23,0)+IF(D$88=$B$5,$B$24*(1-$B$49)+$B$26,0)</f>
        <v/>
      </c>
      <c r="E160" s="5">
        <f>IF(E$88=1,$B$23,0)+IF(E$88=$B$5,$B$24*(1-$B$49)+$B$26,0)</f>
        <v/>
      </c>
      <c r="F160" s="5">
        <f>IF(F$88=1,$B$23,0)+IF(F$88=$B$5,$B$24*(1-$B$49)+$B$26,0)</f>
        <v/>
      </c>
      <c r="G160" s="5">
        <f>IF(G$88=1,$B$23,0)+IF(G$88=$B$5,$B$24*(1-$B$49)+$B$26,0)</f>
        <v/>
      </c>
      <c r="H160" s="5">
        <f>IF(H$88=1,$B$23,0)+IF(H$88=$B$5,$B$24*(1-$B$49)+$B$26,0)</f>
        <v/>
      </c>
      <c r="I160" s="5">
        <f>IF(I$88=1,$B$23,0)+IF(I$88=$B$5,$B$24*(1-$B$49)+$B$26,0)</f>
        <v/>
      </c>
      <c r="J160" s="5">
        <f>IF(J$88=1,$B$23,0)+IF(J$88=$B$5,$B$24*(1-$B$49)+$B$26,0)</f>
        <v/>
      </c>
      <c r="K160" s="5">
        <f>IF(K$88=1,$B$23,0)+IF(K$88=$B$5,$B$24*(1-$B$49)+$B$26,0)</f>
        <v/>
      </c>
      <c r="L160" s="5">
        <f>IF(L$88=1,$B$23,0)+IF(L$88=$B$5,$B$24*(1-$B$49)+$B$26,0)</f>
        <v/>
      </c>
    </row>
    <row r="161">
      <c r="A161" t="inlineStr">
        <is>
          <t xml:space="preserve">  Tirages dette + crédit-vendeur + obligations</t>
        </is>
      </c>
      <c r="B161" s="5">
        <f>SUM(C161:L161)</f>
        <v/>
      </c>
      <c r="C161" s="5">
        <f>IF(C$88=$B$5,$B$27+$B$31+$B$34,0)</f>
        <v/>
      </c>
      <c r="D161" s="5">
        <f>IF(D$88=$B$5,$B$27+$B$31+$B$34,0)</f>
        <v/>
      </c>
      <c r="E161" s="5">
        <f>IF(E$88=$B$5,$B$27+$B$31+$B$34,0)</f>
        <v/>
      </c>
      <c r="F161" s="5">
        <f>IF(F$88=$B$5,$B$27+$B$31+$B$34,0)</f>
        <v/>
      </c>
      <c r="G161" s="5">
        <f>IF(G$88=$B$5,$B$27+$B$31+$B$34,0)</f>
        <v/>
      </c>
      <c r="H161" s="5">
        <f>IF(H$88=$B$5,$B$27+$B$31+$B$34,0)</f>
        <v/>
      </c>
      <c r="I161" s="5">
        <f>IF(I$88=$B$5,$B$27+$B$31+$B$34,0)</f>
        <v/>
      </c>
      <c r="J161" s="5">
        <f>IF(J$88=$B$5,$B$27+$B$31+$B$34,0)</f>
        <v/>
      </c>
      <c r="K161" s="5">
        <f>IF(K$88=$B$5,$B$27+$B$31+$B$34,0)</f>
        <v/>
      </c>
      <c r="L161" s="5">
        <f>IF(L$88=$B$5,$B$27+$B$31+$B$34,0)</f>
        <v/>
      </c>
    </row>
    <row r="162">
      <c r="A162" t="inlineStr">
        <is>
          <t xml:space="preserve">  Service de la dette (intérêts + capital + coupons + rembt obligations)</t>
        </is>
      </c>
      <c r="B162" s="5">
        <f>SUM(C162:L162)</f>
        <v/>
      </c>
      <c r="C162" s="5">
        <f>-(C138+C139+C142+C143+C146+C147)</f>
        <v/>
      </c>
      <c r="D162" s="5">
        <f>-(D138+D139+D142+D143+D146+D147)</f>
        <v/>
      </c>
      <c r="E162" s="5">
        <f>-(E138+E139+E142+E143+E146+E147)</f>
        <v/>
      </c>
      <c r="F162" s="5">
        <f>-(F138+F139+F142+F143+F146+F147)</f>
        <v/>
      </c>
      <c r="G162" s="5">
        <f>-(G138+G139+G142+G143+G146+G147)</f>
        <v/>
      </c>
      <c r="H162" s="5">
        <f>-(H138+H139+H142+H143+H146+H147)</f>
        <v/>
      </c>
      <c r="I162" s="5">
        <f>-(I138+I139+I142+I143+I146+I147)</f>
        <v/>
      </c>
      <c r="J162" s="5">
        <f>-(J138+J139+J142+J143+J146+J147)</f>
        <v/>
      </c>
      <c r="K162" s="5">
        <f>-(K138+K139+K142+K143+K146+K147)</f>
        <v/>
      </c>
      <c r="L162" s="5">
        <f>-(L138+L139+L142+L143+L146+L147)</f>
        <v/>
      </c>
    </row>
    <row r="163">
      <c r="A163" s="4" t="inlineStr">
        <is>
          <t>Flux de financement</t>
        </is>
      </c>
      <c r="B163" s="18">
        <f>SUM(C163:L163)</f>
        <v/>
      </c>
      <c r="C163" s="18">
        <f>C160+C161+C162</f>
        <v/>
      </c>
      <c r="D163" s="18">
        <f>D160+D161+D162</f>
        <v/>
      </c>
      <c r="E163" s="18">
        <f>E160+E161+E162</f>
        <v/>
      </c>
      <c r="F163" s="18">
        <f>F160+F161+F162</f>
        <v/>
      </c>
      <c r="G163" s="18">
        <f>G160+G161+G162</f>
        <v/>
      </c>
      <c r="H163" s="18">
        <f>H160+H161+H162</f>
        <v/>
      </c>
      <c r="I163" s="18">
        <f>I160+I161+I162</f>
        <v/>
      </c>
      <c r="J163" s="18">
        <f>J160+J161+J162</f>
        <v/>
      </c>
      <c r="K163" s="18">
        <f>K160+K161+K162</f>
        <v/>
      </c>
      <c r="L163" s="18">
        <f>L160+L161+L162</f>
        <v/>
      </c>
    </row>
    <row r="164">
      <c r="A164" s="4" t="inlineStr">
        <is>
          <t>Variation de trésorerie</t>
        </is>
      </c>
      <c r="B164" s="18">
        <f>SUM(C164:L164)</f>
        <v/>
      </c>
      <c r="C164" s="18">
        <f>C158+C159+C163</f>
        <v/>
      </c>
      <c r="D164" s="18">
        <f>D158+D159+D163</f>
        <v/>
      </c>
      <c r="E164" s="18">
        <f>E158+E159+E163</f>
        <v/>
      </c>
      <c r="F164" s="18">
        <f>F158+F159+F163</f>
        <v/>
      </c>
      <c r="G164" s="18">
        <f>G158+G159+G163</f>
        <v/>
      </c>
      <c r="H164" s="18">
        <f>H158+H159+H163</f>
        <v/>
      </c>
      <c r="I164" s="18">
        <f>I158+I159+I163</f>
        <v/>
      </c>
      <c r="J164" s="18">
        <f>J158+J159+J163</f>
        <v/>
      </c>
      <c r="K164" s="18">
        <f>K158+K159+K163</f>
        <v/>
      </c>
      <c r="L164" s="18">
        <f>L158+L159+L163</f>
        <v/>
      </c>
    </row>
    <row r="165">
      <c r="A165" s="4" t="inlineStr">
        <is>
          <t>Trésorerie fin d'année</t>
        </is>
      </c>
      <c r="C165" s="18">
        <f>C164</f>
        <v/>
      </c>
      <c r="D165" s="18">
        <f>C165+D164</f>
        <v/>
      </c>
      <c r="E165" s="18">
        <f>D165+E164</f>
        <v/>
      </c>
      <c r="F165" s="18">
        <f>E165+F164</f>
        <v/>
      </c>
      <c r="G165" s="18">
        <f>F165+G164</f>
        <v/>
      </c>
      <c r="H165" s="18">
        <f>G165+H164</f>
        <v/>
      </c>
      <c r="I165" s="18">
        <f>H165+I164</f>
        <v/>
      </c>
      <c r="J165" s="18">
        <f>I165+J164</f>
        <v/>
      </c>
      <c r="K165" s="18">
        <f>J165+K164</f>
        <v/>
      </c>
      <c r="L165" s="18">
        <f>K165+L164</f>
        <v/>
      </c>
    </row>
    <row r="166">
      <c r="A166" t="inlineStr">
        <is>
          <t>Cash-flow libre d'exploitation (CFO − gros entretien − service dette hors obligations in fine)</t>
        </is>
      </c>
      <c r="B166" s="5">
        <f>SUM(C166:L166)</f>
        <v/>
      </c>
      <c r="C166" s="5">
        <f>C158-C129-(C138+C139+C142+C143+C146)</f>
        <v/>
      </c>
      <c r="D166" s="5">
        <f>D158-D129-(D138+D139+D142+D143+D146)</f>
        <v/>
      </c>
      <c r="E166" s="5">
        <f>E158-E129-(E138+E139+E142+E143+E146)</f>
        <v/>
      </c>
      <c r="F166" s="5">
        <f>F158-F129-(F138+F139+F142+F143+F146)</f>
        <v/>
      </c>
      <c r="G166" s="5">
        <f>G158-G129-(G138+G139+G142+G143+G146)</f>
        <v/>
      </c>
      <c r="H166" s="5">
        <f>H158-H129-(H138+H139+H142+H143+H146)</f>
        <v/>
      </c>
      <c r="I166" s="5">
        <f>I158-I129-(I138+I139+I142+I143+I146)</f>
        <v/>
      </c>
      <c r="J166" s="5">
        <f>J158-J129-(J138+J139+J142+J143+J146)</f>
        <v/>
      </c>
      <c r="K166" s="5">
        <f>K158-K129-(K138+K139+K142+K143+K146)</f>
        <v/>
      </c>
      <c r="L166" s="5">
        <f>L158-L129-(L138+L139+L142+L143+L146)</f>
        <v/>
      </c>
    </row>
    <row r="167">
      <c r="A167" t="inlineStr">
        <is>
          <t>DSCR ((EBITDA + loyer privé − IS − gros entretien) / service de la dette)</t>
        </is>
      </c>
      <c r="C167" s="7">
        <f>IF((C138+C139+C142+C143+C146)=0,"",(C124+C125+C152-C129)/(C138+C139+C142+C143+C146))</f>
        <v/>
      </c>
      <c r="D167" s="7">
        <f>IF((D138+D139+D142+D143+D146)=0,"",(D124+D125+D152-D129)/(D138+D139+D142+D143+D146))</f>
        <v/>
      </c>
      <c r="E167" s="7">
        <f>IF((E138+E139+E142+E143+E146)=0,"",(E124+E125+E152-E129)/(E138+E139+E142+E143+E146))</f>
        <v/>
      </c>
      <c r="F167" s="7">
        <f>IF((F138+F139+F142+F143+F146)=0,"",(F124+F125+F152-F129)/(F138+F139+F142+F143+F146))</f>
        <v/>
      </c>
      <c r="G167" s="7">
        <f>IF((G138+G139+G142+G143+G146)=0,"",(G124+G125+G152-G129)/(G138+G139+G142+G143+G146))</f>
        <v/>
      </c>
      <c r="H167" s="7">
        <f>IF((H138+H139+H142+H143+H146)=0,"",(H124+H125+H152-H129)/(H138+H139+H142+H143+H146))</f>
        <v/>
      </c>
      <c r="I167" s="7">
        <f>IF((I138+I139+I142+I143+I146)=0,"",(I124+I125+I152-I129)/(I138+I139+I142+I143+I146))</f>
        <v/>
      </c>
      <c r="J167" s="7">
        <f>IF((J138+J139+J142+J143+J146)=0,"",(J124+J125+J152-J129)/(J138+J139+J142+J143+J146))</f>
        <v/>
      </c>
      <c r="K167" s="7">
        <f>IF((K138+K139+K142+K143+K146)=0,"",(K124+K125+K152-K129)/(K138+K139+K142+K143+K146))</f>
        <v/>
      </c>
      <c r="L167" s="7">
        <f>IF((L138+L139+L142+L143+L146)=0,"",(L124+L125+L152-L129)/(L138+L139+L142+L143+L146))</f>
        <v/>
      </c>
    </row>
    <row r="169">
      <c r="A169" s="4" t="inlineStr">
        <is>
          <t>Rentabilité des investisseurs et contrôle</t>
        </is>
      </c>
    </row>
    <row r="170">
      <c r="A170" t="inlineStr">
        <is>
          <t>Dettes financières totales fin d'année</t>
        </is>
      </c>
      <c r="C170" s="5">
        <f>C140+C144+C145-C147</f>
        <v/>
      </c>
      <c r="D170" s="5">
        <f>D140+D144+D145-D147</f>
        <v/>
      </c>
      <c r="E170" s="5">
        <f>E140+E144+E145-E147</f>
        <v/>
      </c>
      <c r="F170" s="5">
        <f>F140+F144+F145-F147</f>
        <v/>
      </c>
      <c r="G170" s="5">
        <f>G140+G144+G145-G147</f>
        <v/>
      </c>
      <c r="H170" s="5">
        <f>H140+H144+H145-H147</f>
        <v/>
      </c>
      <c r="I170" s="5">
        <f>I140+I144+I145-I147</f>
        <v/>
      </c>
      <c r="J170" s="5">
        <f>J140+J144+J145-J147</f>
        <v/>
      </c>
      <c r="K170" s="5">
        <f>K140+K144+K145-K147</f>
        <v/>
      </c>
      <c r="L170" s="5">
        <f>L140+L144+L145-L147</f>
        <v/>
      </c>
    </row>
    <row r="171">
      <c r="A171" t="inlineStr">
        <is>
          <t>Valeur estimée de l'actif (si cédé cette année)</t>
        </is>
      </c>
      <c r="C171" s="5">
        <f>C94*($B$7+C130)*$B$17*(1-$B$19)</f>
        <v/>
      </c>
      <c r="D171" s="5">
        <f>D94*($B$7+D130)*$B$17*(1-$B$19)</f>
        <v/>
      </c>
      <c r="E171" s="5">
        <f>E94*($B$7+E130)*$B$17*(1-$B$19)</f>
        <v/>
      </c>
      <c r="F171" s="5">
        <f>F94*($B$7+F130)*$B$17*(1-$B$19)</f>
        <v/>
      </c>
      <c r="G171" s="5">
        <f>G94*($B$7+G130)*$B$17*(1-$B$19)</f>
        <v/>
      </c>
      <c r="H171" s="5">
        <f>H94*($B$7+H130)*$B$17*(1-$B$19)</f>
        <v/>
      </c>
      <c r="I171" s="5">
        <f>I94*($B$7+I130)*$B$17*(1-$B$19)</f>
        <v/>
      </c>
      <c r="J171" s="5">
        <f>J94*($B$7+J130)*$B$17*(1-$B$19)</f>
        <v/>
      </c>
      <c r="K171" s="5">
        <f>K94*($B$7+K130)*$B$17*(1-$B$19)</f>
        <v/>
      </c>
      <c r="L171" s="5">
        <f>L94*($B$7+L130)*$B$17*(1-$B$19)</f>
        <v/>
      </c>
    </row>
    <row r="172">
      <c r="A172" t="inlineStr">
        <is>
          <t>Valeur des fonds propres (actif + trésorerie − dettes)</t>
        </is>
      </c>
      <c r="C172" s="5">
        <f>C171+C165-C170</f>
        <v/>
      </c>
      <c r="D172" s="5">
        <f>D171+D165-D170</f>
        <v/>
      </c>
      <c r="E172" s="5">
        <f>E171+E165-E170</f>
        <v/>
      </c>
      <c r="F172" s="5">
        <f>F171+F165-F170</f>
        <v/>
      </c>
      <c r="G172" s="5">
        <f>G171+G165-G170</f>
        <v/>
      </c>
      <c r="H172" s="5">
        <f>H171+H165-H170</f>
        <v/>
      </c>
      <c r="I172" s="5">
        <f>I171+I165-I170</f>
        <v/>
      </c>
      <c r="J172" s="5">
        <f>J171+J165-J170</f>
        <v/>
      </c>
      <c r="K172" s="5">
        <f>K171+K165-K170</f>
        <v/>
      </c>
      <c r="L172" s="5">
        <f>L171+L165-L170</f>
        <v/>
      </c>
    </row>
    <row r="173">
      <c r="A173" t="inlineStr">
        <is>
          <t>Flux des investisseurs (entrée an d'acq., sortie an 10)</t>
        </is>
      </c>
      <c r="B173" s="5">
        <f>SUM(C173:L173)</f>
        <v/>
      </c>
      <c r="C173" s="5">
        <f>-IF(C$88=$B$5,$B$24*(1-$B$49)*(1-$B$25),0)</f>
        <v/>
      </c>
      <c r="D173" s="5">
        <f>-IF(D$88=$B$5,$B$24*(1-$B$49)*(1-$B$25),0)</f>
        <v/>
      </c>
      <c r="E173" s="5">
        <f>-IF(E$88=$B$5,$B$24*(1-$B$49)*(1-$B$25),0)</f>
        <v/>
      </c>
      <c r="F173" s="5">
        <f>-IF(F$88=$B$5,$B$24*(1-$B$49)*(1-$B$25),0)</f>
        <v/>
      </c>
      <c r="G173" s="5">
        <f>-IF(G$88=$B$5,$B$24*(1-$B$49)*(1-$B$25),0)</f>
        <v/>
      </c>
      <c r="H173" s="5">
        <f>-IF(H$88=$B$5,$B$24*(1-$B$49)*(1-$B$25),0)</f>
        <v/>
      </c>
      <c r="I173" s="5">
        <f>-IF(I$88=$B$5,$B$24*(1-$B$49)*(1-$B$25),0)</f>
        <v/>
      </c>
      <c r="J173" s="5">
        <f>-IF(J$88=$B$5,$B$24*(1-$B$49)*(1-$B$25),0)</f>
        <v/>
      </c>
      <c r="K173" s="5">
        <f>-IF(K$88=$B$5,$B$24*(1-$B$49)*(1-$B$25),0)</f>
        <v/>
      </c>
      <c r="L173" s="5">
        <f>-IF(L$88=$B$5,$B$24*(1-$B$49)*(1-$B$25),0)+MAX(0,L172)*(1-$B$42)</f>
        <v/>
      </c>
    </row>
    <row r="174">
      <c r="A174" t="inlineStr">
        <is>
          <t>Flux du fondateur et de sa holding (apports, sortie théorique an 10)</t>
        </is>
      </c>
      <c r="B174" s="5">
        <f>SUM(C174:L174)</f>
        <v/>
      </c>
      <c r="C174" s="5">
        <f>-IF(C$88=1,$B$23,0)-IF(C$88=$B$5,$B$24*(1-$B$49)*$B$25,0)</f>
        <v/>
      </c>
      <c r="D174" s="5">
        <f>-IF(D$88=1,$B$23,0)-IF(D$88=$B$5,$B$24*(1-$B$49)*$B$25,0)</f>
        <v/>
      </c>
      <c r="E174" s="5">
        <f>-IF(E$88=1,$B$23,0)-IF(E$88=$B$5,$B$24*(1-$B$49)*$B$25,0)</f>
        <v/>
      </c>
      <c r="F174" s="5">
        <f>-IF(F$88=1,$B$23,0)-IF(F$88=$B$5,$B$24*(1-$B$49)*$B$25,0)</f>
        <v/>
      </c>
      <c r="G174" s="5">
        <f>-IF(G$88=1,$B$23,0)-IF(G$88=$B$5,$B$24*(1-$B$49)*$B$25,0)</f>
        <v/>
      </c>
      <c r="H174" s="5">
        <f>-IF(H$88=1,$B$23,0)-IF(H$88=$B$5,$B$24*(1-$B$49)*$B$25,0)</f>
        <v/>
      </c>
      <c r="I174" s="5">
        <f>-IF(I$88=1,$B$23,0)-IF(I$88=$B$5,$B$24*(1-$B$49)*$B$25,0)</f>
        <v/>
      </c>
      <c r="J174" s="5">
        <f>-IF(J$88=1,$B$23,0)-IF(J$88=$B$5,$B$24*(1-$B$49)*$B$25,0)</f>
        <v/>
      </c>
      <c r="K174" s="5">
        <f>-IF(K$88=1,$B$23,0)-IF(K$88=$B$5,$B$24*(1-$B$49)*$B$25,0)</f>
        <v/>
      </c>
      <c r="L174" s="5">
        <f>-IF(L$88=1,$B$23,0)-IF(L$88=$B$5,$B$24*(1-$B$49)*$B$25,0)+MAX(0,L172)*$B$42</f>
        <v/>
      </c>
    </row>
    <row r="176">
      <c r="A176" s="10" t="inlineStr">
        <is>
          <t>8. Indicateurs clés</t>
        </is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</row>
    <row r="177">
      <c r="A177" t="inlineStr">
        <is>
          <t>Emplois totaux (acq. + frais + travaux initiaux)</t>
        </is>
      </c>
      <c r="B177" s="18">
        <f>$B$7*(1+$B$8)+SUM(C127:L127)</f>
        <v/>
      </c>
    </row>
    <row r="178">
      <c r="A178" t="inlineStr">
        <is>
          <t>Ressources externes et apports prévus</t>
        </is>
      </c>
      <c r="B178" s="18">
        <f>$B$23+$B$24*(1-$B$49)+$B$26+$B$27+$B$31+$B$34</f>
        <v/>
      </c>
    </row>
    <row r="179">
      <c r="A179" t="inlineStr">
        <is>
          <t>CA année 5</t>
        </is>
      </c>
      <c r="B179" s="18">
        <f>G105</f>
        <v/>
      </c>
    </row>
    <row r="180">
      <c r="A180" t="inlineStr">
        <is>
          <t>EBITDA année 5</t>
        </is>
      </c>
      <c r="B180" s="18">
        <f>G124</f>
        <v/>
      </c>
    </row>
    <row r="181">
      <c r="A181" t="inlineStr">
        <is>
          <t>EBITDA année 10</t>
        </is>
      </c>
      <c r="B181" s="18">
        <f>L124</f>
        <v/>
      </c>
    </row>
    <row r="182">
      <c r="A182" t="inlineStr">
        <is>
          <t>Part équestre du CA année 5</t>
        </is>
      </c>
      <c r="B182" s="14">
        <f>G107</f>
        <v/>
      </c>
    </row>
    <row r="183">
      <c r="A183" t="inlineStr">
        <is>
          <t>Trésorerie minimale sur 10 ans</t>
        </is>
      </c>
      <c r="B183" s="18">
        <f>MIN(C165:L165)</f>
        <v/>
      </c>
    </row>
    <row r="184">
      <c r="A184" t="inlineStr">
        <is>
          <t>Trésorerie fin année 10</t>
        </is>
      </c>
      <c r="B184" s="18">
        <f>L165</f>
        <v/>
      </c>
    </row>
    <row r="185">
      <c r="A185" t="inlineStr">
        <is>
          <t>DSCR minimal (à partir de la 2e année d'exploitation)</t>
        </is>
      </c>
      <c r="B185" s="19">
        <f>IF(COUNTIFS(C167:L167,"&gt;-1E+300",C90:L90,"&gt;=2")=0,"n/a",_xlfn.MINIFS(C167:L167,C90:L90,"&gt;=2"))</f>
        <v/>
      </c>
    </row>
    <row r="186">
      <c r="A186" t="inlineStr">
        <is>
          <t>Nb d'années à cash-flow libre d'exploitation négatif (à partir de la 2e année d'exploitation)</t>
        </is>
      </c>
      <c r="B186" s="20">
        <f>COUNTIFS(C166:L166,"&lt;0",C90:L90,"&gt;=2")</f>
        <v/>
      </c>
    </row>
    <row r="187">
      <c r="A187" t="inlineStr">
        <is>
          <t>TRI investisseurs (sortie théorique an 10)</t>
        </is>
      </c>
      <c r="B187" s="14">
        <f>IF($B$24*(1-$B$25)=0,"sans objet",IFERROR(IRR(C173:L173,-0.05),"perte quasi totale (TRI non calculable)"))</f>
        <v/>
      </c>
    </row>
    <row r="188">
      <c r="A188" t="inlineStr">
        <is>
          <t>TRI fondateur (sortie théorique an 10)</t>
        </is>
      </c>
      <c r="B188" s="14">
        <f>IFERROR(IRR(C174:L174,-0.05),"perte quasi totale (TRI non calculable)")</f>
        <v/>
      </c>
    </row>
    <row r="189">
      <c r="A189" t="inlineStr">
        <is>
          <t>Dette bancaire soutenable estimée (DSCR 1,2 sur (EBITDA − gros entretien) an 10, taux et durée du scénario)</t>
        </is>
      </c>
      <c r="B189" s="18">
        <f>MAX(0,PV($B$28,$B$29,-(L124+L125-L129)/1.2))</f>
        <v/>
      </c>
    </row>
    <row r="190">
      <c r="A190" t="inlineStr">
        <is>
          <t>Fonds propres nécessaires (emplois + réserve + pertes d'exploitation cumulées − dette soutenable)</t>
        </is>
      </c>
      <c r="B190" s="18">
        <f>$B$7*(1+$B$8)+SUM(C127:L127)+$B$39-SUMIF(C158:L158,"&lt;0")-$B$189</f>
        <v/>
      </c>
    </row>
    <row r="191">
      <c r="A191" t="inlineStr">
        <is>
          <t>Part du capital du fondateur</t>
        </is>
      </c>
      <c r="B191" s="14">
        <f>$B$42</f>
        <v/>
      </c>
    </row>
    <row r="192">
      <c r="A192" t="inlineStr">
        <is>
          <t>Droits de vote du fondateur</t>
        </is>
      </c>
      <c r="B192" s="14">
        <f>$B$38</f>
        <v/>
      </c>
    </row>
    <row r="193">
      <c r="A193" s="4" t="inlineStr">
        <is>
          <t>Verdict (trésorerie ≥ 0 et ≥ réserve an 10, DSCR ≥ 1,2, cash-flow libre ≥ 0 dès la 2e année d'exploitation, TRI investisseurs extérieurs ≥ cible, dirigeant payé)</t>
        </is>
      </c>
      <c r="B193" s="4">
        <f>IF($B$183&lt;0,"NON VIABLE (trésorerie négative)",IF(AND($B$184&gt;=$B$39,OR($B$185="n/a",$B$185&gt;=1.2),$B$186=0),IF(NOT(OR($B$187="sans objet",AND(ISNUMBER($B$187),N($B$187)&gt;=$B$40))),"FRAGILE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exploitation B sans aucune dette (tout en fonds propres)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/ agent d'entretien (1 ETP au Smic chargé)</t>
        </is>
      </c>
      <c r="B77" s="12" t="n">
        <v>27000</v>
      </c>
      <c r="C77" s="16" t="n">
        <v>1</v>
      </c>
      <c r="G77" t="inlineStr">
        <is>
          <t>PL : Smic 2026 22 404 € brut/an [A4 §11] ; EST charges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Soigneurs (2 ETP au Smic chargés)</t>
        </is>
      </c>
      <c r="B79" s="12" t="n">
        <v>60000</v>
      </c>
      <c r="C79" s="16" t="n">
        <v>0</v>
      </c>
      <c r="G79" t="inlineStr">
        <is>
          <t>PL : Smic 1 867 €/mois, grille IDCC 7026 inférieure ; 1 ETP / 17-20 équidés [A3 H13-H14] ; ~54 équidés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5">
      <c r="A85" t="inlineStr">
        <is>
          <t>Rémunération du dirigeant (chargée)</t>
        </is>
      </c>
      <c r="B85" s="12" t="n">
        <v>35000</v>
      </c>
      <c r="C85" s="16" t="n">
        <v>0</v>
      </c>
      <c r="G85" t="inlineStr">
        <is>
          <t>EST : minimum ; le dirigeant paie en plus 18 k€ de loyer privé</t>
        </is>
      </c>
    </row>
    <row r="87">
      <c r="A87" s="10" t="inlineStr">
        <is>
          <t>7. Calcul sur 10 ans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4" t="inlineStr">
        <is>
          <t>Année</t>
        </is>
      </c>
      <c r="B88" s="4" t="inlineStr">
        <is>
          <t>Total / réf.</t>
        </is>
      </c>
      <c r="C88" s="4" t="n">
        <v>1</v>
      </c>
      <c r="D88" s="4" t="n">
        <v>2</v>
      </c>
      <c r="E88" s="4" t="n">
        <v>3</v>
      </c>
      <c r="F88" s="4" t="n">
        <v>4</v>
      </c>
      <c r="G88" s="4" t="n">
        <v>5</v>
      </c>
      <c r="H88" s="4" t="n">
        <v>6</v>
      </c>
      <c r="I88" s="4" t="n">
        <v>7</v>
      </c>
      <c r="J88" s="4" t="n">
        <v>8</v>
      </c>
      <c r="K88" s="4" t="n">
        <v>9</v>
      </c>
      <c r="L88" s="4" t="n">
        <v>10</v>
      </c>
    </row>
    <row r="89">
      <c r="A89" t="inlineStr">
        <is>
          <t>Année d'ouverture effective</t>
        </is>
      </c>
      <c r="C89" s="8">
        <f>$B$6+$B$47</f>
        <v/>
      </c>
      <c r="D89" s="8">
        <f>$B$6+$B$47</f>
        <v/>
      </c>
      <c r="E89" s="8">
        <f>$B$6+$B$47</f>
        <v/>
      </c>
      <c r="F89" s="8">
        <f>$B$6+$B$47</f>
        <v/>
      </c>
      <c r="G89" s="8">
        <f>$B$6+$B$47</f>
        <v/>
      </c>
      <c r="H89" s="8">
        <f>$B$6+$B$47</f>
        <v/>
      </c>
      <c r="I89" s="8">
        <f>$B$6+$B$47</f>
        <v/>
      </c>
      <c r="J89" s="8">
        <f>$B$6+$B$47</f>
        <v/>
      </c>
      <c r="K89" s="8">
        <f>$B$6+$B$47</f>
        <v/>
      </c>
      <c r="L89" s="8">
        <f>$B$6+$B$47</f>
        <v/>
      </c>
    </row>
    <row r="90">
      <c r="A90" t="inlineStr">
        <is>
          <t>Rang de l'année d'exploitation</t>
        </is>
      </c>
      <c r="C90" s="8">
        <f>MAX(0,C$88-C89+1)</f>
        <v/>
      </c>
      <c r="D90" s="8">
        <f>MAX(0,D$88-D89+1)</f>
        <v/>
      </c>
      <c r="E90" s="8">
        <f>MAX(0,E$88-E89+1)</f>
        <v/>
      </c>
      <c r="F90" s="8">
        <f>MAX(0,F$88-F89+1)</f>
        <v/>
      </c>
      <c r="G90" s="8">
        <f>MAX(0,G$88-G89+1)</f>
        <v/>
      </c>
      <c r="H90" s="8">
        <f>MAX(0,H$88-H89+1)</f>
        <v/>
      </c>
      <c r="I90" s="8">
        <f>MAX(0,I$88-I89+1)</f>
        <v/>
      </c>
      <c r="J90" s="8">
        <f>MAX(0,J$88-J89+1)</f>
        <v/>
      </c>
      <c r="K90" s="8">
        <f>MAX(0,K$88-K89+1)</f>
        <v/>
      </c>
      <c r="L90" s="8">
        <f>MAX(0,L$88-L89+1)</f>
        <v/>
      </c>
    </row>
    <row r="91">
      <c r="A91" t="inlineStr">
        <is>
          <t>Coefficient de montée en charge</t>
        </is>
      </c>
      <c r="C91" s="6">
        <f>IF(C90=0,0,IF(C90=1,$B$53,IF(C90=2,$B$54,IF(C90=3,$B$55,1))))</f>
        <v/>
      </c>
      <c r="D91" s="6">
        <f>IF(D90=0,0,IF(D90=1,$B$53,IF(D90=2,$B$54,IF(D90=3,$B$55,1))))</f>
        <v/>
      </c>
      <c r="E91" s="6">
        <f>IF(E90=0,0,IF(E90=1,$B$53,IF(E90=2,$B$54,IF(E90=3,$B$55,1))))</f>
        <v/>
      </c>
      <c r="F91" s="6">
        <f>IF(F90=0,0,IF(F90=1,$B$53,IF(F90=2,$B$54,IF(F90=3,$B$55,1))))</f>
        <v/>
      </c>
      <c r="G91" s="6">
        <f>IF(G90=0,0,IF(G90=1,$B$53,IF(G90=2,$B$54,IF(G90=3,$B$55,1))))</f>
        <v/>
      </c>
      <c r="H91" s="6">
        <f>IF(H90=0,0,IF(H90=1,$B$53,IF(H90=2,$B$54,IF(H90=3,$B$55,1))))</f>
        <v/>
      </c>
      <c r="I91" s="6">
        <f>IF(I90=0,0,IF(I90=1,$B$53,IF(I90=2,$B$54,IF(I90=3,$B$55,1))))</f>
        <v/>
      </c>
      <c r="J91" s="6">
        <f>IF(J90=0,0,IF(J90=1,$B$53,IF(J90=2,$B$54,IF(J90=3,$B$55,1))))</f>
        <v/>
      </c>
      <c r="K91" s="6">
        <f>IF(K90=0,0,IF(K90=1,$B$53,IF(K90=2,$B$54,IF(K90=3,$B$55,1))))</f>
        <v/>
      </c>
      <c r="L91" s="6">
        <f>IF(L90=0,0,IF(L90=1,$B$53,IF(L90=2,$B$54,IF(L90=3,$B$55,1))))</f>
        <v/>
      </c>
    </row>
    <row r="92">
      <c r="A92" t="inlineStr">
        <is>
          <t>Indice prix</t>
        </is>
      </c>
      <c r="C92" s="17">
        <f>(1+$B$56)^(C$88-1)</f>
        <v/>
      </c>
      <c r="D92" s="17">
        <f>(1+$B$56)^(D$88-1)</f>
        <v/>
      </c>
      <c r="E92" s="17">
        <f>(1+$B$56)^(E$88-1)</f>
        <v/>
      </c>
      <c r="F92" s="17">
        <f>(1+$B$56)^(F$88-1)</f>
        <v/>
      </c>
      <c r="G92" s="17">
        <f>(1+$B$56)^(G$88-1)</f>
        <v/>
      </c>
      <c r="H92" s="17">
        <f>(1+$B$56)^(H$88-1)</f>
        <v/>
      </c>
      <c r="I92" s="17">
        <f>(1+$B$56)^(I$88-1)</f>
        <v/>
      </c>
      <c r="J92" s="17">
        <f>(1+$B$56)^(J$88-1)</f>
        <v/>
      </c>
      <c r="K92" s="17">
        <f>(1+$B$56)^(K$88-1)</f>
        <v/>
      </c>
      <c r="L92" s="17">
        <f>(1+$B$56)^(L$88-1)</f>
        <v/>
      </c>
    </row>
    <row r="93">
      <c r="A93" t="inlineStr">
        <is>
          <t>Indice charges</t>
        </is>
      </c>
      <c r="C93" s="17">
        <f>(1+$B$57)^(C$88-1)</f>
        <v/>
      </c>
      <c r="D93" s="17">
        <f>(1+$B$57)^(D$88-1)</f>
        <v/>
      </c>
      <c r="E93" s="17">
        <f>(1+$B$57)^(E$88-1)</f>
        <v/>
      </c>
      <c r="F93" s="17">
        <f>(1+$B$57)^(F$88-1)</f>
        <v/>
      </c>
      <c r="G93" s="17">
        <f>(1+$B$57)^(G$88-1)</f>
        <v/>
      </c>
      <c r="H93" s="17">
        <f>(1+$B$57)^(H$88-1)</f>
        <v/>
      </c>
      <c r="I93" s="17">
        <f>(1+$B$57)^(I$88-1)</f>
        <v/>
      </c>
      <c r="J93" s="17">
        <f>(1+$B$57)^(J$88-1)</f>
        <v/>
      </c>
      <c r="K93" s="17">
        <f>(1+$B$57)^(K$88-1)</f>
        <v/>
      </c>
      <c r="L93" s="17">
        <f>(1+$B$57)^(L$88-1)</f>
        <v/>
      </c>
    </row>
    <row r="94">
      <c r="A94" t="inlineStr">
        <is>
          <t>Murs détenus (1/0)</t>
        </is>
      </c>
      <c r="C94" s="8">
        <f>IF(C$88&gt;=$B$5,1,0)</f>
        <v/>
      </c>
      <c r="D94" s="8">
        <f>IF(D$88&gt;=$B$5,1,0)</f>
        <v/>
      </c>
      <c r="E94" s="8">
        <f>IF(E$88&gt;=$B$5,1,0)</f>
        <v/>
      </c>
      <c r="F94" s="8">
        <f>IF(F$88&gt;=$B$5,1,0)</f>
        <v/>
      </c>
      <c r="G94" s="8">
        <f>IF(G$88&gt;=$B$5,1,0)</f>
        <v/>
      </c>
      <c r="H94" s="8">
        <f>IF(H$88&gt;=$B$5,1,0)</f>
        <v/>
      </c>
      <c r="I94" s="8">
        <f>IF(I$88&gt;=$B$5,1,0)</f>
        <v/>
      </c>
      <c r="J94" s="8">
        <f>IF(J$88&gt;=$B$5,1,0)</f>
        <v/>
      </c>
      <c r="K94" s="8">
        <f>IF(K$88&gt;=$B$5,1,0)</f>
        <v/>
      </c>
      <c r="L94" s="8">
        <f>IF(L$88&gt;=$B$5,1,0)</f>
        <v/>
      </c>
    </row>
    <row r="96">
      <c r="A96" s="4" t="inlineStr">
        <is>
          <t>Compte de résultat</t>
        </is>
      </c>
    </row>
    <row r="97">
      <c r="A97" t="inlineStr">
        <is>
          <t xml:space="preserve">  Pension box premium (places occupées)</t>
        </is>
      </c>
      <c r="B97" s="5">
        <f>SUM(C97:L97)</f>
        <v/>
      </c>
      <c r="C97" s="5">
        <f>$B$63*$C$63*C91*C92*$B$45*(1-$E$63*$B$50)</f>
        <v/>
      </c>
      <c r="D97" s="5">
        <f>$B$63*$C$63*D91*D92*$B$45*(1-$E$63*$B$50)</f>
        <v/>
      </c>
      <c r="E97" s="5">
        <f>$B$63*$C$63*E91*E92*$B$45*(1-$E$63*$B$50)</f>
        <v/>
      </c>
      <c r="F97" s="5">
        <f>$B$63*$C$63*F91*F92*$B$45*(1-$E$63*$B$50)</f>
        <v/>
      </c>
      <c r="G97" s="5">
        <f>$B$63*$C$63*G91*G92*$B$45*(1-$E$63*$B$50)</f>
        <v/>
      </c>
      <c r="H97" s="5">
        <f>$B$63*$C$63*H91*H92*$B$45*(1-$E$63*$B$50)</f>
        <v/>
      </c>
      <c r="I97" s="5">
        <f>$B$63*$C$63*I91*I92*$B$45*(1-$E$63*$B$50)</f>
        <v/>
      </c>
      <c r="J97" s="5">
        <f>$B$63*$C$63*J91*J92*$B$45*(1-$E$63*$B$50)</f>
        <v/>
      </c>
      <c r="K97" s="5">
        <f>$B$63*$C$63*K91*K92*$B$45*(1-$E$63*$B$50)</f>
        <v/>
      </c>
      <c r="L97" s="5">
        <f>$B$63*$C$63*L91*L92*$B$45*(1-$E$63*$B$50)</f>
        <v/>
      </c>
    </row>
    <row r="98">
      <c r="A98" t="inlineStr">
        <is>
          <t xml:space="preserve">  Pension au pré (places occupées)</t>
        </is>
      </c>
      <c r="B98" s="5">
        <f>SUM(C98:L98)</f>
        <v/>
      </c>
      <c r="C98" s="5">
        <f>$B$64*$C$64*C91*C92*$B$45*(1-$E$64*$B$50)</f>
        <v/>
      </c>
      <c r="D98" s="5">
        <f>$B$64*$C$64*D91*D92*$B$45*(1-$E$64*$B$50)</f>
        <v/>
      </c>
      <c r="E98" s="5">
        <f>$B$64*$C$64*E91*E92*$B$45*(1-$E$64*$B$50)</f>
        <v/>
      </c>
      <c r="F98" s="5">
        <f>$B$64*$C$64*F91*F92*$B$45*(1-$E$64*$B$50)</f>
        <v/>
      </c>
      <c r="G98" s="5">
        <f>$B$64*$C$64*G91*G92*$B$45*(1-$E$64*$B$50)</f>
        <v/>
      </c>
      <c r="H98" s="5">
        <f>$B$64*$C$64*H91*H92*$B$45*(1-$E$64*$B$50)</f>
        <v/>
      </c>
      <c r="I98" s="5">
        <f>$B$64*$C$64*I91*I92*$B$45*(1-$E$64*$B$50)</f>
        <v/>
      </c>
      <c r="J98" s="5">
        <f>$B$64*$C$64*J91*J92*$B$45*(1-$E$64*$B$50)</f>
        <v/>
      </c>
      <c r="K98" s="5">
        <f>$B$64*$C$64*K91*K92*$B$45*(1-$E$64*$B$50)</f>
        <v/>
      </c>
      <c r="L98" s="5">
        <f>$B$64*$C$64*L91*L92*$B$45*(1-$E$64*$B$50)</f>
        <v/>
      </c>
    </row>
    <row r="99">
      <c r="A99" t="inlineStr">
        <is>
          <t xml:space="preserve">  Pension retraite / convalescence (places occupées)</t>
        </is>
      </c>
      <c r="B99" s="5">
        <f>SUM(C99:L99)</f>
        <v/>
      </c>
      <c r="C99" s="5">
        <f>$B$65*$C$65*C91*C92*$B$45*(1-$E$65*$B$50)</f>
        <v/>
      </c>
      <c r="D99" s="5">
        <f>$B$65*$C$65*D91*D92*$B$45*(1-$E$65*$B$50)</f>
        <v/>
      </c>
      <c r="E99" s="5">
        <f>$B$65*$C$65*E91*E92*$B$45*(1-$E$65*$B$50)</f>
        <v/>
      </c>
      <c r="F99" s="5">
        <f>$B$65*$C$65*F91*F92*$B$45*(1-$E$65*$B$50)</f>
        <v/>
      </c>
      <c r="G99" s="5">
        <f>$B$65*$C$65*G91*G92*$B$45*(1-$E$65*$B$50)</f>
        <v/>
      </c>
      <c r="H99" s="5">
        <f>$B$65*$C$65*H91*H92*$B$45*(1-$E$65*$B$50)</f>
        <v/>
      </c>
      <c r="I99" s="5">
        <f>$B$65*$C$65*I91*I92*$B$45*(1-$E$65*$B$50)</f>
        <v/>
      </c>
      <c r="J99" s="5">
        <f>$B$65*$C$65*J91*J92*$B$45*(1-$E$65*$B$50)</f>
        <v/>
      </c>
      <c r="K99" s="5">
        <f>$B$65*$C$65*K91*K92*$B$45*(1-$E$65*$B$50)</f>
        <v/>
      </c>
      <c r="L99" s="5">
        <f>$B$65*$C$65*L91*L92*$B$45*(1-$E$65*$B$50)</f>
        <v/>
      </c>
    </row>
    <row r="100">
      <c r="A100" t="inlineStr">
        <is>
          <t xml:space="preserve">  Mariages (location du lieu + hébergement 15 couchages)</t>
        </is>
      </c>
      <c r="B100" s="5">
        <f>SUM(C100:L100)</f>
        <v/>
      </c>
      <c r="C100" s="5">
        <f>$B$66*$C$66*C91*C92*$B$45*(1-$E$66*$B$50)</f>
        <v/>
      </c>
      <c r="D100" s="5">
        <f>$B$66*$C$66*D91*D92*$B$45*(1-$E$66*$B$50)</f>
        <v/>
      </c>
      <c r="E100" s="5">
        <f>$B$66*$C$66*E91*E92*$B$45*(1-$E$66*$B$50)</f>
        <v/>
      </c>
      <c r="F100" s="5">
        <f>$B$66*$C$66*F91*F92*$B$45*(1-$E$66*$B$50)</f>
        <v/>
      </c>
      <c r="G100" s="5">
        <f>$B$66*$C$66*G91*G92*$B$45*(1-$E$66*$B$50)</f>
        <v/>
      </c>
      <c r="H100" s="5">
        <f>$B$66*$C$66*H91*H92*$B$45*(1-$E$66*$B$50)</f>
        <v/>
      </c>
      <c r="I100" s="5">
        <f>$B$66*$C$66*I91*I92*$B$45*(1-$E$66*$B$50)</f>
        <v/>
      </c>
      <c r="J100" s="5">
        <f>$B$66*$C$66*J91*J92*$B$45*(1-$E$66*$B$50)</f>
        <v/>
      </c>
      <c r="K100" s="5">
        <f>$B$66*$C$66*K91*K92*$B$45*(1-$E$66*$B$50)</f>
        <v/>
      </c>
      <c r="L100" s="5">
        <f>$B$66*$C$66*L91*L92*$B$45*(1-$E$66*$B$50)</f>
        <v/>
      </c>
    </row>
    <row r="101">
      <c r="A101" t="inlineStr">
        <is>
          <t xml:space="preserve">  Gîte 15 couchages hors mariages (nuits)</t>
        </is>
      </c>
      <c r="B101" s="5">
        <f>SUM(C101:L101)</f>
        <v/>
      </c>
      <c r="C101" s="5">
        <f>$B$67*$C$67*C91*C92*$B$45*(1-$E$67*$B$50)</f>
        <v/>
      </c>
      <c r="D101" s="5">
        <f>$B$67*$C$67*D91*D92*$B$45*(1-$E$67*$B$50)</f>
        <v/>
      </c>
      <c r="E101" s="5">
        <f>$B$67*$C$67*E91*E92*$B$45*(1-$E$67*$B$50)</f>
        <v/>
      </c>
      <c r="F101" s="5">
        <f>$B$67*$C$67*F91*F92*$B$45*(1-$E$67*$B$50)</f>
        <v/>
      </c>
      <c r="G101" s="5">
        <f>$B$67*$C$67*G91*G92*$B$45*(1-$E$67*$B$50)</f>
        <v/>
      </c>
      <c r="H101" s="5">
        <f>$B$67*$C$67*H91*H92*$B$45*(1-$E$67*$B$50)</f>
        <v/>
      </c>
      <c r="I101" s="5">
        <f>$B$67*$C$67*I91*I92*$B$45*(1-$E$67*$B$50)</f>
        <v/>
      </c>
      <c r="J101" s="5">
        <f>$B$67*$C$67*J91*J92*$B$45*(1-$E$67*$B$50)</f>
        <v/>
      </c>
      <c r="K101" s="5">
        <f>$B$67*$C$67*K91*K92*$B$45*(1-$E$67*$B$50)</f>
        <v/>
      </c>
      <c r="L101" s="5">
        <f>$B$67*$C$67*L91*L92*$B$45*(1-$E$67*$B$50)</f>
        <v/>
      </c>
    </row>
    <row r="102">
      <c r="A102" t="inlineStr">
        <is>
          <t xml:space="preserve">  Séminaires à la journée (jours)</t>
        </is>
      </c>
      <c r="B102" s="5">
        <f>SUM(C102:L102)</f>
        <v/>
      </c>
      <c r="C102" s="5">
        <f>$B$68*$C$68*C91*C92*$B$45*(1-$E$68*$B$50)</f>
        <v/>
      </c>
      <c r="D102" s="5">
        <f>$B$68*$C$68*D91*D92*$B$45*(1-$E$68*$B$50)</f>
        <v/>
      </c>
      <c r="E102" s="5">
        <f>$B$68*$C$68*E91*E92*$B$45*(1-$E$68*$B$50)</f>
        <v/>
      </c>
      <c r="F102" s="5">
        <f>$B$68*$C$68*F91*F92*$B$45*(1-$E$68*$B$50)</f>
        <v/>
      </c>
      <c r="G102" s="5">
        <f>$B$68*$C$68*G91*G92*$B$45*(1-$E$68*$B$50)</f>
        <v/>
      </c>
      <c r="H102" s="5">
        <f>$B$68*$C$68*H91*H92*$B$45*(1-$E$68*$B$50)</f>
        <v/>
      </c>
      <c r="I102" s="5">
        <f>$B$68*$C$68*I91*I92*$B$45*(1-$E$68*$B$50)</f>
        <v/>
      </c>
      <c r="J102" s="5">
        <f>$B$68*$C$68*J91*J92*$B$45*(1-$E$68*$B$50)</f>
        <v/>
      </c>
      <c r="K102" s="5">
        <f>$B$68*$C$68*K91*K92*$B$45*(1-$E$68*$B$50)</f>
        <v/>
      </c>
      <c r="L102" s="5">
        <f>$B$68*$C$68*L91*L92*$B$45*(1-$E$68*$B$50)</f>
        <v/>
      </c>
    </row>
    <row r="103">
      <c r="A103" t="inlineStr">
        <is>
          <t xml:space="preserve">  Tournages / shootings (jours)</t>
        </is>
      </c>
      <c r="B103" s="5">
        <f>SUM(C103:L103)</f>
        <v/>
      </c>
      <c r="C103" s="5">
        <f>$B$69*$C$69*C91*C92*$B$45*(1-$E$69*$B$50)</f>
        <v/>
      </c>
      <c r="D103" s="5">
        <f>$B$69*$C$69*D91*D92*$B$45*(1-$E$69*$B$50)</f>
        <v/>
      </c>
      <c r="E103" s="5">
        <f>$B$69*$C$69*E91*E92*$B$45*(1-$E$69*$B$50)</f>
        <v/>
      </c>
      <c r="F103" s="5">
        <f>$B$69*$C$69*F91*F92*$B$45*(1-$E$69*$B$50)</f>
        <v/>
      </c>
      <c r="G103" s="5">
        <f>$B$69*$C$69*G91*G92*$B$45*(1-$E$69*$B$50)</f>
        <v/>
      </c>
      <c r="H103" s="5">
        <f>$B$69*$C$69*H91*H92*$B$45*(1-$E$69*$B$50)</f>
        <v/>
      </c>
      <c r="I103" s="5">
        <f>$B$69*$C$69*I91*I92*$B$45*(1-$E$69*$B$50)</f>
        <v/>
      </c>
      <c r="J103" s="5">
        <f>$B$69*$C$69*J91*J92*$B$45*(1-$E$69*$B$50)</f>
        <v/>
      </c>
      <c r="K103" s="5">
        <f>$B$69*$C$69*K91*K92*$B$45*(1-$E$69*$B$50)</f>
        <v/>
      </c>
      <c r="L103" s="5">
        <f>$B$69*$C$69*L91*L92*$B$45*(1-$E$69*$B$50)</f>
        <v/>
      </c>
    </row>
    <row r="104">
      <c r="A104" t="inlineStr">
        <is>
          <t xml:space="preserve">  Fermage / vente d'herbe (ha)</t>
        </is>
      </c>
      <c r="B104" s="5">
        <f>SUM(C104:L104)</f>
        <v/>
      </c>
      <c r="C104" s="5">
        <f>$B$70*$C$70*C91*C92*$B$45*(1-$E$70*$B$50)</f>
        <v/>
      </c>
      <c r="D104" s="5">
        <f>$B$70*$C$70*D91*D92*$B$45*(1-$E$70*$B$50)</f>
        <v/>
      </c>
      <c r="E104" s="5">
        <f>$B$70*$C$70*E91*E92*$B$45*(1-$E$70*$B$50)</f>
        <v/>
      </c>
      <c r="F104" s="5">
        <f>$B$70*$C$70*F91*F92*$B$45*(1-$E$70*$B$50)</f>
        <v/>
      </c>
      <c r="G104" s="5">
        <f>$B$70*$C$70*G91*G92*$B$45*(1-$E$70*$B$50)</f>
        <v/>
      </c>
      <c r="H104" s="5">
        <f>$B$70*$C$70*H91*H92*$B$45*(1-$E$70*$B$50)</f>
        <v/>
      </c>
      <c r="I104" s="5">
        <f>$B$70*$C$70*I91*I92*$B$45*(1-$E$70*$B$50)</f>
        <v/>
      </c>
      <c r="J104" s="5">
        <f>$B$70*$C$70*J91*J92*$B$45*(1-$E$70*$B$50)</f>
        <v/>
      </c>
      <c r="K104" s="5">
        <f>$B$70*$C$70*K91*K92*$B$45*(1-$E$70*$B$50)</f>
        <v/>
      </c>
      <c r="L104" s="5">
        <f>$B$70*$C$70*L91*L92*$B$45*(1-$E$70*$B$50)</f>
        <v/>
      </c>
    </row>
    <row r="105">
      <c r="A105" s="4" t="inlineStr">
        <is>
          <t>Chiffre d'affaires total</t>
        </is>
      </c>
      <c r="B105" s="18">
        <f>SUM(C105:L105)</f>
        <v/>
      </c>
      <c r="C105" s="18">
        <f>C97+C98+C99+C100+C101+C102+C103+C104</f>
        <v/>
      </c>
      <c r="D105" s="18">
        <f>D97+D98+D99+D100+D101+D102+D103+D104</f>
        <v/>
      </c>
      <c r="E105" s="18">
        <f>E97+E98+E99+E100+E101+E102+E103+E104</f>
        <v/>
      </c>
      <c r="F105" s="18">
        <f>F97+F98+F99+F100+F101+F102+F103+F104</f>
        <v/>
      </c>
      <c r="G105" s="18">
        <f>G97+G98+G99+G100+G101+G102+G103+G104</f>
        <v/>
      </c>
      <c r="H105" s="18">
        <f>H97+H98+H99+H100+H101+H102+H103+H104</f>
        <v/>
      </c>
      <c r="I105" s="18">
        <f>I97+I98+I99+I100+I101+I102+I103+I104</f>
        <v/>
      </c>
      <c r="J105" s="18">
        <f>J97+J98+J99+J100+J101+J102+J103+J104</f>
        <v/>
      </c>
      <c r="K105" s="18">
        <f>K97+K98+K99+K100+K101+K102+K103+K104</f>
        <v/>
      </c>
      <c r="L105" s="18">
        <f>L97+L98+L99+L100+L101+L102+L103+L104</f>
        <v/>
      </c>
    </row>
    <row r="106">
      <c r="A106" t="inlineStr">
        <is>
          <t xml:space="preserve">  dont équestre</t>
        </is>
      </c>
      <c r="B106" s="5">
        <f>SUM(C106:L106)</f>
        <v/>
      </c>
      <c r="C106" s="5">
        <f>C97*$F$63+C98*$F$64+C99*$F$65+C100*$F$66+C101*$F$67+C102*$F$68+C103*$F$69+C104*$F$70</f>
        <v/>
      </c>
      <c r="D106" s="5">
        <f>D97*$F$63+D98*$F$64+D99*$F$65+D100*$F$66+D101*$F$67+D102*$F$68+D103*$F$69+D104*$F$70</f>
        <v/>
      </c>
      <c r="E106" s="5">
        <f>E97*$F$63+E98*$F$64+E99*$F$65+E100*$F$66+E101*$F$67+E102*$F$68+E103*$F$69+E104*$F$70</f>
        <v/>
      </c>
      <c r="F106" s="5">
        <f>F97*$F$63+F98*$F$64+F99*$F$65+F100*$F$66+F101*$F$67+F102*$F$68+F103*$F$69+F104*$F$70</f>
        <v/>
      </c>
      <c r="G106" s="5">
        <f>G97*$F$63+G98*$F$64+G99*$F$65+G100*$F$66+G101*$F$67+G102*$F$68+G103*$F$69+G104*$F$70</f>
        <v/>
      </c>
      <c r="H106" s="5">
        <f>H97*$F$63+H98*$F$64+H99*$F$65+H100*$F$66+H101*$F$67+H102*$F$68+H103*$F$69+H104*$F$70</f>
        <v/>
      </c>
      <c r="I106" s="5">
        <f>I97*$F$63+I98*$F$64+I99*$F$65+I100*$F$66+I101*$F$67+I102*$F$68+I103*$F$69+I104*$F$70</f>
        <v/>
      </c>
      <c r="J106" s="5">
        <f>J97*$F$63+J98*$F$64+J99*$F$65+J100*$F$66+J101*$F$67+J102*$F$68+J103*$F$69+J104*$F$70</f>
        <v/>
      </c>
      <c r="K106" s="5">
        <f>K97*$F$63+K98*$F$64+K99*$F$65+K100*$F$66+K101*$F$67+K102*$F$68+K103*$F$69+K104*$F$70</f>
        <v/>
      </c>
      <c r="L106" s="5">
        <f>L97*$F$63+L98*$F$64+L99*$F$65+L100*$F$66+L101*$F$67+L102*$F$68+L103*$F$69+L104*$F$70</f>
        <v/>
      </c>
    </row>
    <row r="107">
      <c r="A107" t="inlineStr">
        <is>
          <t xml:space="preserve">  Part équestre du CA</t>
        </is>
      </c>
      <c r="C107" s="6">
        <f>IF(C105=0,0,C106/C105)</f>
        <v/>
      </c>
      <c r="D107" s="6">
        <f>IF(D105=0,0,D106/D105)</f>
        <v/>
      </c>
      <c r="E107" s="6">
        <f>IF(E105=0,0,E106/E105)</f>
        <v/>
      </c>
      <c r="F107" s="6">
        <f>IF(F105=0,0,F106/F105)</f>
        <v/>
      </c>
      <c r="G107" s="6">
        <f>IF(G105=0,0,G106/G105)</f>
        <v/>
      </c>
      <c r="H107" s="6">
        <f>IF(H105=0,0,H106/H105)</f>
        <v/>
      </c>
      <c r="I107" s="6">
        <f>IF(I105=0,0,I106/I105)</f>
        <v/>
      </c>
      <c r="J107" s="6">
        <f>IF(J105=0,0,J106/J105)</f>
        <v/>
      </c>
      <c r="K107" s="6">
        <f>IF(K105=0,0,K106/K105)</f>
        <v/>
      </c>
      <c r="L107" s="6">
        <f>IF(L105=0,0,L106/L105)</f>
        <v/>
      </c>
    </row>
    <row r="108">
      <c r="A108" t="inlineStr">
        <is>
          <t>Coûts variables</t>
        </is>
      </c>
      <c r="B108" s="5">
        <f>SUM(C108:L108)</f>
        <v/>
      </c>
      <c r="C108" s="5">
        <f>-(C97*$D$63+C98*$D$64+C99*$D$65+C100*$D$66+C101*$D$67+C102*$D$68+C103*$D$69+C104*$D$70)</f>
        <v/>
      </c>
      <c r="D108" s="5">
        <f>-(D97*$D$63+D98*$D$64+D99*$D$65+D100*$D$66+D101*$D$67+D102*$D$68+D103*$D$69+D104*$D$70)</f>
        <v/>
      </c>
      <c r="E108" s="5">
        <f>-(E97*$D$63+E98*$D$64+E99*$D$65+E100*$D$66+E101*$D$67+E102*$D$68+E103*$D$69+E104*$D$70)</f>
        <v/>
      </c>
      <c r="F108" s="5">
        <f>-(F97*$D$63+F98*$D$64+F99*$D$65+F100*$D$66+F101*$D$67+F102*$D$68+F103*$D$69+F104*$D$70)</f>
        <v/>
      </c>
      <c r="G108" s="5">
        <f>-(G97*$D$63+G98*$D$64+G99*$D$65+G100*$D$66+G101*$D$67+G102*$D$68+G103*$D$69+G104*$D$70)</f>
        <v/>
      </c>
      <c r="H108" s="5">
        <f>-(H97*$D$63+H98*$D$64+H99*$D$65+H100*$D$66+H101*$D$67+H102*$D$68+H103*$D$69+H104*$D$70)</f>
        <v/>
      </c>
      <c r="I108" s="5">
        <f>-(I97*$D$63+I98*$D$64+I99*$D$65+I100*$D$66+I101*$D$67+I102*$D$68+I103*$D$69+I104*$D$70)</f>
        <v/>
      </c>
      <c r="J108" s="5">
        <f>-(J97*$D$63+J98*$D$64+J99*$D$65+J100*$D$66+J101*$D$67+J102*$D$68+J103*$D$69+J104*$D$70)</f>
        <v/>
      </c>
      <c r="K108" s="5">
        <f>-(K97*$D$63+K98*$D$64+K99*$D$65+K100*$D$66+K101*$D$67+K102*$D$68+K103*$D$69+K104*$D$70)</f>
        <v/>
      </c>
      <c r="L108" s="5">
        <f>-(L97*$D$63+L98*$D$64+L99*$D$65+L100*$D$66+L101*$D$67+L102*$D$68+L103*$D$69+L104*$D$70)</f>
        <v/>
      </c>
    </row>
    <row r="109">
      <c r="A109" s="4" t="inlineStr">
        <is>
          <t>Marge sur coûts variables</t>
        </is>
      </c>
      <c r="B109" s="18">
        <f>SUM(C109:L109)</f>
        <v/>
      </c>
      <c r="C109" s="18">
        <f>C105+C108</f>
        <v/>
      </c>
      <c r="D109" s="18">
        <f>D105+D108</f>
        <v/>
      </c>
      <c r="E109" s="18">
        <f>E105+E108</f>
        <v/>
      </c>
      <c r="F109" s="18">
        <f>F105+F108</f>
        <v/>
      </c>
      <c r="G109" s="18">
        <f>G105+G108</f>
        <v/>
      </c>
      <c r="H109" s="18">
        <f>H105+H108</f>
        <v/>
      </c>
      <c r="I109" s="18">
        <f>I105+I108</f>
        <v/>
      </c>
      <c r="J109" s="18">
        <f>J105+J108</f>
        <v/>
      </c>
      <c r="K109" s="18">
        <f>K105+K108</f>
        <v/>
      </c>
      <c r="L109" s="18">
        <f>L105+L108</f>
        <v/>
      </c>
    </row>
    <row r="110">
      <c r="A110" t="inlineStr">
        <is>
          <t xml:space="preserve">  Taxe foncière</t>
        </is>
      </c>
      <c r="B110" s="5">
        <f>SUM(C110:L110)</f>
        <v/>
      </c>
      <c r="C110" s="5">
        <f>-$B$74*C93*IF($C$74=1,C94,IF(C90&gt;0,1,0))</f>
        <v/>
      </c>
      <c r="D110" s="5">
        <f>-$B$74*D93*IF($C$74=1,D94,IF(D90&gt;0,1,0))</f>
        <v/>
      </c>
      <c r="E110" s="5">
        <f>-$B$74*E93*IF($C$74=1,E94,IF(E90&gt;0,1,0))</f>
        <v/>
      </c>
      <c r="F110" s="5">
        <f>-$B$74*F93*IF($C$74=1,F94,IF(F90&gt;0,1,0))</f>
        <v/>
      </c>
      <c r="G110" s="5">
        <f>-$B$74*G93*IF($C$74=1,G94,IF(G90&gt;0,1,0))</f>
        <v/>
      </c>
      <c r="H110" s="5">
        <f>-$B$74*H93*IF($C$74=1,H94,IF(H90&gt;0,1,0))</f>
        <v/>
      </c>
      <c r="I110" s="5">
        <f>-$B$74*I93*IF($C$74=1,I94,IF(I90&gt;0,1,0))</f>
        <v/>
      </c>
      <c r="J110" s="5">
        <f>-$B$74*J93*IF($C$74=1,J94,IF(J90&gt;0,1,0))</f>
        <v/>
      </c>
      <c r="K110" s="5">
        <f>-$B$74*K93*IF($C$74=1,K94,IF(K90&gt;0,1,0))</f>
        <v/>
      </c>
      <c r="L110" s="5">
        <f>-$B$74*L93*IF($C$74=1,L94,IF(L90&gt;0,1,0))</f>
        <v/>
      </c>
    </row>
    <row r="111">
      <c r="A111" t="inlineStr">
        <is>
          <t xml:space="preserve">  Assurance multirisque château</t>
        </is>
      </c>
      <c r="B111" s="5">
        <f>SUM(C111:L111)</f>
        <v/>
      </c>
      <c r="C111" s="5">
        <f>-$B$75*C93*IF($C$75=1,C94,IF(C90&gt;0,1,0))</f>
        <v/>
      </c>
      <c r="D111" s="5">
        <f>-$B$75*D93*IF($C$75=1,D94,IF(D90&gt;0,1,0))</f>
        <v/>
      </c>
      <c r="E111" s="5">
        <f>-$B$75*E93*IF($C$75=1,E94,IF(E90&gt;0,1,0))</f>
        <v/>
      </c>
      <c r="F111" s="5">
        <f>-$B$75*F93*IF($C$75=1,F94,IF(F90&gt;0,1,0))</f>
        <v/>
      </c>
      <c r="G111" s="5">
        <f>-$B$75*G93*IF($C$75=1,G94,IF(G90&gt;0,1,0))</f>
        <v/>
      </c>
      <c r="H111" s="5">
        <f>-$B$75*H93*IF($C$75=1,H94,IF(H90&gt;0,1,0))</f>
        <v/>
      </c>
      <c r="I111" s="5">
        <f>-$B$75*I93*IF($C$75=1,I94,IF(I90&gt;0,1,0))</f>
        <v/>
      </c>
      <c r="J111" s="5">
        <f>-$B$75*J93*IF($C$75=1,J94,IF(J90&gt;0,1,0))</f>
        <v/>
      </c>
      <c r="K111" s="5">
        <f>-$B$75*K93*IF($C$75=1,K94,IF(K90&gt;0,1,0))</f>
        <v/>
      </c>
      <c r="L111" s="5">
        <f>-$B$75*L93*IF($C$75=1,L94,IF(L90&gt;0,1,0))</f>
        <v/>
      </c>
    </row>
    <row r="112">
      <c r="A112" t="inlineStr">
        <is>
          <t xml:space="preserve">  Énergie (chauffage partiel, électricité, eau)</t>
        </is>
      </c>
      <c r="B112" s="5">
        <f>SUM(C112:L112)</f>
        <v/>
      </c>
      <c r="C112" s="5">
        <f>-$B$76*C93*IF($C$76=1,C94,IF(C90&gt;0,1,0))</f>
        <v/>
      </c>
      <c r="D112" s="5">
        <f>-$B$76*D93*IF($C$76=1,D94,IF(D90&gt;0,1,0))</f>
        <v/>
      </c>
      <c r="E112" s="5">
        <f>-$B$76*E93*IF($C$76=1,E94,IF(E90&gt;0,1,0))</f>
        <v/>
      </c>
      <c r="F112" s="5">
        <f>-$B$76*F93*IF($C$76=1,F94,IF(F90&gt;0,1,0))</f>
        <v/>
      </c>
      <c r="G112" s="5">
        <f>-$B$76*G93*IF($C$76=1,G94,IF(G90&gt;0,1,0))</f>
        <v/>
      </c>
      <c r="H112" s="5">
        <f>-$B$76*H93*IF($C$76=1,H94,IF(H90&gt;0,1,0))</f>
        <v/>
      </c>
      <c r="I112" s="5">
        <f>-$B$76*I93*IF($C$76=1,I94,IF(I90&gt;0,1,0))</f>
        <v/>
      </c>
      <c r="J112" s="5">
        <f>-$B$76*J93*IF($C$76=1,J94,IF(J90&gt;0,1,0))</f>
        <v/>
      </c>
      <c r="K112" s="5">
        <f>-$B$76*K93*IF($C$76=1,K94,IF(K90&gt;0,1,0))</f>
        <v/>
      </c>
      <c r="L112" s="5">
        <f>-$B$76*L93*IF($C$76=1,L94,IF(L90&gt;0,1,0))</f>
        <v/>
      </c>
    </row>
    <row r="113">
      <c r="A113" t="inlineStr">
        <is>
          <t xml:space="preserve">  Jardinier / agent d'entretien (1 ETP au Smic chargé)</t>
        </is>
      </c>
      <c r="B113" s="5">
        <f>SUM(C113:L113)</f>
        <v/>
      </c>
      <c r="C113" s="5">
        <f>-$B$77*C93*IF($C$77=1,C94,IF(C90&gt;0,1,0))</f>
        <v/>
      </c>
      <c r="D113" s="5">
        <f>-$B$77*D93*IF($C$77=1,D94,IF(D90&gt;0,1,0))</f>
        <v/>
      </c>
      <c r="E113" s="5">
        <f>-$B$77*E93*IF($C$77=1,E94,IF(E90&gt;0,1,0))</f>
        <v/>
      </c>
      <c r="F113" s="5">
        <f>-$B$77*F93*IF($C$77=1,F94,IF(F90&gt;0,1,0))</f>
        <v/>
      </c>
      <c r="G113" s="5">
        <f>-$B$77*G93*IF($C$77=1,G94,IF(G90&gt;0,1,0))</f>
        <v/>
      </c>
      <c r="H113" s="5">
        <f>-$B$77*H93*IF($C$77=1,H94,IF(H90&gt;0,1,0))</f>
        <v/>
      </c>
      <c r="I113" s="5">
        <f>-$B$77*I93*IF($C$77=1,I94,IF(I90&gt;0,1,0))</f>
        <v/>
      </c>
      <c r="J113" s="5">
        <f>-$B$77*J93*IF($C$77=1,J94,IF(J90&gt;0,1,0))</f>
        <v/>
      </c>
      <c r="K113" s="5">
        <f>-$B$77*K93*IF($C$77=1,K94,IF(K90&gt;0,1,0))</f>
        <v/>
      </c>
      <c r="L113" s="5">
        <f>-$B$77*L93*IF($C$77=1,L94,IF(L90&gt;0,1,0))</f>
        <v/>
      </c>
    </row>
    <row r="114">
      <c r="A114" t="inlineStr">
        <is>
          <t xml:space="preserve">  Divers (abonnements, petit matériel, véhicule, honoraires)</t>
        </is>
      </c>
      <c r="B114" s="5">
        <f>SUM(C114:L114)</f>
        <v/>
      </c>
      <c r="C114" s="5">
        <f>-$B$78*C93*IF($C$78=1,C94,IF(C90&gt;0,1,0))</f>
        <v/>
      </c>
      <c r="D114" s="5">
        <f>-$B$78*D93*IF($C$78=1,D94,IF(D90&gt;0,1,0))</f>
        <v/>
      </c>
      <c r="E114" s="5">
        <f>-$B$78*E93*IF($C$78=1,E94,IF(E90&gt;0,1,0))</f>
        <v/>
      </c>
      <c r="F114" s="5">
        <f>-$B$78*F93*IF($C$78=1,F94,IF(F90&gt;0,1,0))</f>
        <v/>
      </c>
      <c r="G114" s="5">
        <f>-$B$78*G93*IF($C$78=1,G94,IF(G90&gt;0,1,0))</f>
        <v/>
      </c>
      <c r="H114" s="5">
        <f>-$B$78*H93*IF($C$78=1,H94,IF(H90&gt;0,1,0))</f>
        <v/>
      </c>
      <c r="I114" s="5">
        <f>-$B$78*I93*IF($C$78=1,I94,IF(I90&gt;0,1,0))</f>
        <v/>
      </c>
      <c r="J114" s="5">
        <f>-$B$78*J93*IF($C$78=1,J94,IF(J90&gt;0,1,0))</f>
        <v/>
      </c>
      <c r="K114" s="5">
        <f>-$B$78*K93*IF($C$78=1,K94,IF(K90&gt;0,1,0))</f>
        <v/>
      </c>
      <c r="L114" s="5">
        <f>-$B$78*L93*IF($C$78=1,L94,IF(L90&gt;0,1,0))</f>
        <v/>
      </c>
    </row>
    <row r="115">
      <c r="A115" t="inlineStr">
        <is>
          <t xml:space="preserve">  Soigneurs (2 ETP au Smic chargés)</t>
        </is>
      </c>
      <c r="B115" s="5">
        <f>SUM(C115:L115)</f>
        <v/>
      </c>
      <c r="C115" s="5">
        <f>-$B$79*C93*IF($C$79=1,C94,IF(C90&gt;0,1,0))</f>
        <v/>
      </c>
      <c r="D115" s="5">
        <f>-$B$79*D93*IF($C$79=1,D94,IF(D90&gt;0,1,0))</f>
        <v/>
      </c>
      <c r="E115" s="5">
        <f>-$B$79*E93*IF($C$79=1,E94,IF(E90&gt;0,1,0))</f>
        <v/>
      </c>
      <c r="F115" s="5">
        <f>-$B$79*F93*IF($C$79=1,F94,IF(F90&gt;0,1,0))</f>
        <v/>
      </c>
      <c r="G115" s="5">
        <f>-$B$79*G93*IF($C$79=1,G94,IF(G90&gt;0,1,0))</f>
        <v/>
      </c>
      <c r="H115" s="5">
        <f>-$B$79*H93*IF($C$79=1,H94,IF(H90&gt;0,1,0))</f>
        <v/>
      </c>
      <c r="I115" s="5">
        <f>-$B$79*I93*IF($C$79=1,I94,IF(I90&gt;0,1,0))</f>
        <v/>
      </c>
      <c r="J115" s="5">
        <f>-$B$79*J93*IF($C$79=1,J94,IF(J90&gt;0,1,0))</f>
        <v/>
      </c>
      <c r="K115" s="5">
        <f>-$B$79*K93*IF($C$79=1,K94,IF(K90&gt;0,1,0))</f>
        <v/>
      </c>
      <c r="L115" s="5">
        <f>-$B$79*L93*IF($C$79=1,L94,IF(L90&gt;0,1,0))</f>
        <v/>
      </c>
    </row>
    <row r="116">
      <c r="A116" t="inlineStr">
        <is>
          <t xml:space="preserve">  Autres charges de structure équestres (entretien installations, matériel, assurance RC, énergie écuries)</t>
        </is>
      </c>
      <c r="B116" s="5">
        <f>SUM(C116:L116)</f>
        <v/>
      </c>
      <c r="C116" s="5">
        <f>-$B$80*C93*IF($C$80=1,C94,IF(C90&gt;0,1,0))</f>
        <v/>
      </c>
      <c r="D116" s="5">
        <f>-$B$80*D93*IF($C$80=1,D94,IF(D90&gt;0,1,0))</f>
        <v/>
      </c>
      <c r="E116" s="5">
        <f>-$B$80*E93*IF($C$80=1,E94,IF(E90&gt;0,1,0))</f>
        <v/>
      </c>
      <c r="F116" s="5">
        <f>-$B$80*F93*IF($C$80=1,F94,IF(F90&gt;0,1,0))</f>
        <v/>
      </c>
      <c r="G116" s="5">
        <f>-$B$80*G93*IF($C$80=1,G94,IF(G90&gt;0,1,0))</f>
        <v/>
      </c>
      <c r="H116" s="5">
        <f>-$B$80*H93*IF($C$80=1,H94,IF(H90&gt;0,1,0))</f>
        <v/>
      </c>
      <c r="I116" s="5">
        <f>-$B$80*I93*IF($C$80=1,I94,IF(I90&gt;0,1,0))</f>
        <v/>
      </c>
      <c r="J116" s="5">
        <f>-$B$80*J93*IF($C$80=1,J94,IF(J90&gt;0,1,0))</f>
        <v/>
      </c>
      <c r="K116" s="5">
        <f>-$B$80*K93*IF($C$80=1,K94,IF(K90&gt;0,1,0))</f>
        <v/>
      </c>
      <c r="L116" s="5">
        <f>-$B$80*L93*IF($C$80=1,L94,IF(L90&gt;0,1,0))</f>
        <v/>
      </c>
    </row>
    <row r="117">
      <c r="A117" t="inlineStr">
        <is>
          <t xml:space="preserve">  Coûts fixes mariages (coordination, nettoyage, publicité)</t>
        </is>
      </c>
      <c r="B117" s="5">
        <f>SUM(C117:L117)</f>
        <v/>
      </c>
      <c r="C117" s="5">
        <f>-$B$81*C93*IF($C$81=1,C94,IF(C90&gt;0,1,0))</f>
        <v/>
      </c>
      <c r="D117" s="5">
        <f>-$B$81*D93*IF($C$81=1,D94,IF(D90&gt;0,1,0))</f>
        <v/>
      </c>
      <c r="E117" s="5">
        <f>-$B$81*E93*IF($C$81=1,E94,IF(E90&gt;0,1,0))</f>
        <v/>
      </c>
      <c r="F117" s="5">
        <f>-$B$81*F93*IF($C$81=1,F94,IF(F90&gt;0,1,0))</f>
        <v/>
      </c>
      <c r="G117" s="5">
        <f>-$B$81*G93*IF($C$81=1,G94,IF(G90&gt;0,1,0))</f>
        <v/>
      </c>
      <c r="H117" s="5">
        <f>-$B$81*H93*IF($C$81=1,H94,IF(H90&gt;0,1,0))</f>
        <v/>
      </c>
      <c r="I117" s="5">
        <f>-$B$81*I93*IF($C$81=1,I94,IF(I90&gt;0,1,0))</f>
        <v/>
      </c>
      <c r="J117" s="5">
        <f>-$B$81*J93*IF($C$81=1,J94,IF(J90&gt;0,1,0))</f>
        <v/>
      </c>
      <c r="K117" s="5">
        <f>-$B$81*K93*IF($C$81=1,K94,IF(K90&gt;0,1,0))</f>
        <v/>
      </c>
      <c r="L117" s="5">
        <f>-$B$81*L93*IF($C$81=1,L94,IF(L90&gt;0,1,0))</f>
        <v/>
      </c>
    </row>
    <row r="118">
      <c r="A118" t="inlineStr">
        <is>
          <t xml:space="preserve">  Coûts fixes du gîte</t>
        </is>
      </c>
      <c r="B118" s="5">
        <f>SUM(C118:L118)</f>
        <v/>
      </c>
      <c r="C118" s="5">
        <f>-$B$82*C93*IF($C$82=1,C94,IF(C90&gt;0,1,0))</f>
        <v/>
      </c>
      <c r="D118" s="5">
        <f>-$B$82*D93*IF($C$82=1,D94,IF(D90&gt;0,1,0))</f>
        <v/>
      </c>
      <c r="E118" s="5">
        <f>-$B$82*E93*IF($C$82=1,E94,IF(E90&gt;0,1,0))</f>
        <v/>
      </c>
      <c r="F118" s="5">
        <f>-$B$82*F93*IF($C$82=1,F94,IF(F90&gt;0,1,0))</f>
        <v/>
      </c>
      <c r="G118" s="5">
        <f>-$B$82*G93*IF($C$82=1,G94,IF(G90&gt;0,1,0))</f>
        <v/>
      </c>
      <c r="H118" s="5">
        <f>-$B$82*H93*IF($C$82=1,H94,IF(H90&gt;0,1,0))</f>
        <v/>
      </c>
      <c r="I118" s="5">
        <f>-$B$82*I93*IF($C$82=1,I94,IF(I90&gt;0,1,0))</f>
        <v/>
      </c>
      <c r="J118" s="5">
        <f>-$B$82*J93*IF($C$82=1,J94,IF(J90&gt;0,1,0))</f>
        <v/>
      </c>
      <c r="K118" s="5">
        <f>-$B$82*K93*IF($C$82=1,K94,IF(K90&gt;0,1,0))</f>
        <v/>
      </c>
      <c r="L118" s="5">
        <f>-$B$82*L93*IF($C$82=1,L94,IF(L90&gt;0,1,0))</f>
        <v/>
      </c>
    </row>
    <row r="119">
      <c r="A119" t="inlineStr">
        <is>
          <t xml:space="preserve">  Commercial, site, salons</t>
        </is>
      </c>
      <c r="B119" s="5">
        <f>SUM(C119:L119)</f>
        <v/>
      </c>
      <c r="C119" s="5">
        <f>-$B$83*C93*IF($C$83=1,C94,IF(C90&gt;0,1,0))</f>
        <v/>
      </c>
      <c r="D119" s="5">
        <f>-$B$83*D93*IF($C$83=1,D94,IF(D90&gt;0,1,0))</f>
        <v/>
      </c>
      <c r="E119" s="5">
        <f>-$B$83*E93*IF($C$83=1,E94,IF(E90&gt;0,1,0))</f>
        <v/>
      </c>
      <c r="F119" s="5">
        <f>-$B$83*F93*IF($C$83=1,F94,IF(F90&gt;0,1,0))</f>
        <v/>
      </c>
      <c r="G119" s="5">
        <f>-$B$83*G93*IF($C$83=1,G94,IF(G90&gt;0,1,0))</f>
        <v/>
      </c>
      <c r="H119" s="5">
        <f>-$B$83*H93*IF($C$83=1,H94,IF(H90&gt;0,1,0))</f>
        <v/>
      </c>
      <c r="I119" s="5">
        <f>-$B$83*I93*IF($C$83=1,I94,IF(I90&gt;0,1,0))</f>
        <v/>
      </c>
      <c r="J119" s="5">
        <f>-$B$83*J93*IF($C$83=1,J94,IF(J90&gt;0,1,0))</f>
        <v/>
      </c>
      <c r="K119" s="5">
        <f>-$B$83*K93*IF($C$83=1,K94,IF(K90&gt;0,1,0))</f>
        <v/>
      </c>
      <c r="L119" s="5">
        <f>-$B$83*L93*IF($C$83=1,L94,IF(L90&gt;0,1,0))</f>
        <v/>
      </c>
    </row>
    <row r="120">
      <c r="A120" t="inlineStr">
        <is>
          <t xml:space="preserve">  Comptabilité, juridique, banque, logiciels</t>
        </is>
      </c>
      <c r="B120" s="5">
        <f>SUM(C120:L120)</f>
        <v/>
      </c>
      <c r="C120" s="5">
        <f>-$B$84*C93*IF($C$84=1,C94,IF(C90&gt;0,1,0))</f>
        <v/>
      </c>
      <c r="D120" s="5">
        <f>-$B$84*D93*IF($C$84=1,D94,IF(D90&gt;0,1,0))</f>
        <v/>
      </c>
      <c r="E120" s="5">
        <f>-$B$84*E93*IF($C$84=1,E94,IF(E90&gt;0,1,0))</f>
        <v/>
      </c>
      <c r="F120" s="5">
        <f>-$B$84*F93*IF($C$84=1,F94,IF(F90&gt;0,1,0))</f>
        <v/>
      </c>
      <c r="G120" s="5">
        <f>-$B$84*G93*IF($C$84=1,G94,IF(G90&gt;0,1,0))</f>
        <v/>
      </c>
      <c r="H120" s="5">
        <f>-$B$84*H93*IF($C$84=1,H94,IF(H90&gt;0,1,0))</f>
        <v/>
      </c>
      <c r="I120" s="5">
        <f>-$B$84*I93*IF($C$84=1,I94,IF(I90&gt;0,1,0))</f>
        <v/>
      </c>
      <c r="J120" s="5">
        <f>-$B$84*J93*IF($C$84=1,J94,IF(J90&gt;0,1,0))</f>
        <v/>
      </c>
      <c r="K120" s="5">
        <f>-$B$84*K93*IF($C$84=1,K94,IF(K90&gt;0,1,0))</f>
        <v/>
      </c>
      <c r="L120" s="5">
        <f>-$B$84*L93*IF($C$84=1,L94,IF(L90&gt;0,1,0))</f>
        <v/>
      </c>
    </row>
    <row r="121">
      <c r="A121" t="inlineStr">
        <is>
          <t xml:space="preserve">  Rémunération du dirigeant (chargée)</t>
        </is>
      </c>
      <c r="B121" s="5">
        <f>SUM(C121:L121)</f>
        <v/>
      </c>
      <c r="C121" s="5">
        <f>-$B$85*C93*IF($C$85=1,C94,IF(C90&gt;0,1,0))</f>
        <v/>
      </c>
      <c r="D121" s="5">
        <f>-$B$85*D93*IF($C$85=1,D94,IF(D90&gt;0,1,0))</f>
        <v/>
      </c>
      <c r="E121" s="5">
        <f>-$B$85*E93*IF($C$85=1,E94,IF(E90&gt;0,1,0))</f>
        <v/>
      </c>
      <c r="F121" s="5">
        <f>-$B$85*F93*IF($C$85=1,F94,IF(F90&gt;0,1,0))</f>
        <v/>
      </c>
      <c r="G121" s="5">
        <f>-$B$85*G93*IF($C$85=1,G94,IF(G90&gt;0,1,0))</f>
        <v/>
      </c>
      <c r="H121" s="5">
        <f>-$B$85*H93*IF($C$85=1,H94,IF(H90&gt;0,1,0))</f>
        <v/>
      </c>
      <c r="I121" s="5">
        <f>-$B$85*I93*IF($C$85=1,I94,IF(I90&gt;0,1,0))</f>
        <v/>
      </c>
      <c r="J121" s="5">
        <f>-$B$85*J93*IF($C$85=1,J94,IF(J90&gt;0,1,0))</f>
        <v/>
      </c>
      <c r="K121" s="5">
        <f>-$B$85*K93*IF($C$85=1,K94,IF(K90&gt;0,1,0))</f>
        <v/>
      </c>
      <c r="L121" s="5">
        <f>-$B$85*L93*IF($C$85=1,L94,IF(L90&gt;0,1,0))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C110+C111+C112+C113+C114+C115+C116+C117+C118+C119+C120+C121</f>
        <v/>
      </c>
      <c r="D122" s="18">
        <f>D110+D111+D112+D113+D114+D115+D116+D117+D118+D119+D120+D121</f>
        <v/>
      </c>
      <c r="E122" s="18">
        <f>E110+E111+E112+E113+E114+E115+E116+E117+E118+E119+E120+E121</f>
        <v/>
      </c>
      <c r="F122" s="18">
        <f>F110+F111+F112+F113+F114+F115+F116+F117+F118+F119+F120+F121</f>
        <v/>
      </c>
      <c r="G122" s="18">
        <f>G110+G111+G112+G113+G114+G115+G116+G117+G118+G119+G120+G121</f>
        <v/>
      </c>
      <c r="H122" s="18">
        <f>H110+H111+H112+H113+H114+H115+H116+H117+H118+H119+H120+H121</f>
        <v/>
      </c>
      <c r="I122" s="18">
        <f>I110+I111+I112+I113+I114+I115+I116+I117+I118+I119+I120+I121</f>
        <v/>
      </c>
      <c r="J122" s="18">
        <f>J110+J111+J112+J113+J114+J115+J116+J117+J118+J119+J120+J121</f>
        <v/>
      </c>
      <c r="K122" s="18">
        <f>K110+K111+K112+K113+K114+K115+K116+K117+K118+K119+K120+K121</f>
        <v/>
      </c>
      <c r="L122" s="18">
        <f>L110+L111+L112+L113+L114+L115+L116+L117+L118+L119+L120+L121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-IF(C94=0,IF(C$88&gt;=$B$6,$B$18*C93,0),0)</f>
        <v/>
      </c>
      <c r="D123" s="5">
        <f>-IF(D94=0,IF(D$88&gt;=$B$6,$B$18*D93,0),0)</f>
        <v/>
      </c>
      <c r="E123" s="5">
        <f>-IF(E94=0,IF(E$88&gt;=$B$6,$B$18*E93,0),0)</f>
        <v/>
      </c>
      <c r="F123" s="5">
        <f>-IF(F94=0,IF(F$88&gt;=$B$6,$B$18*F93,0),0)</f>
        <v/>
      </c>
      <c r="G123" s="5">
        <f>-IF(G94=0,IF(G$88&gt;=$B$6,$B$18*G93,0),0)</f>
        <v/>
      </c>
      <c r="H123" s="5">
        <f>-IF(H94=0,IF(H$88&gt;=$B$6,$B$18*H93,0),0)</f>
        <v/>
      </c>
      <c r="I123" s="5">
        <f>-IF(I94=0,IF(I$88&gt;=$B$6,$B$18*I93,0),0)</f>
        <v/>
      </c>
      <c r="J123" s="5">
        <f>-IF(J94=0,IF(J$88&gt;=$B$6,$B$18*J93,0),0)</f>
        <v/>
      </c>
      <c r="K123" s="5">
        <f>-IF(K94=0,IF(K$88&gt;=$B$6,$B$18*K93,0),0)</f>
        <v/>
      </c>
      <c r="L123" s="5">
        <f>-IF(L94=0,IF(L$88&gt;=$B$6,$B$18*L93,0),0)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C109+C122+C123</f>
        <v/>
      </c>
      <c r="D124" s="18">
        <f>D109+D122+D123</f>
        <v/>
      </c>
      <c r="E124" s="18">
        <f>E109+E122+E123</f>
        <v/>
      </c>
      <c r="F124" s="18">
        <f>F109+F122+F123</f>
        <v/>
      </c>
      <c r="G124" s="18">
        <f>G109+G122+G123</f>
        <v/>
      </c>
      <c r="H124" s="18">
        <f>H109+H122+H123</f>
        <v/>
      </c>
      <c r="I124" s="18">
        <f>I109+I122+I123</f>
        <v/>
      </c>
      <c r="J124" s="18">
        <f>J109+J122+J123</f>
        <v/>
      </c>
      <c r="K124" s="18">
        <f>K109+K122+K123</f>
        <v/>
      </c>
      <c r="L124" s="18">
        <f>L109+L122+L123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C94*$B$20*C93</f>
        <v/>
      </c>
      <c r="D125" s="5">
        <f>D94*$B$20*D93</f>
        <v/>
      </c>
      <c r="E125" s="5">
        <f>E94*$B$20*E93</f>
        <v/>
      </c>
      <c r="F125" s="5">
        <f>F94*$B$20*F93</f>
        <v/>
      </c>
      <c r="G125" s="5">
        <f>G94*$B$20*G93</f>
        <v/>
      </c>
      <c r="H125" s="5">
        <f>H94*$B$20*H93</f>
        <v/>
      </c>
      <c r="I125" s="5">
        <f>I94*$B$20*I93</f>
        <v/>
      </c>
      <c r="J125" s="5">
        <f>J94*$B$20*J93</f>
        <v/>
      </c>
      <c r="K125" s="5">
        <f>K94*$B$20*K93</f>
        <v/>
      </c>
      <c r="L125" s="5">
        <f>L94*$B$20*L93</f>
        <v/>
      </c>
    </row>
    <row r="126">
      <c r="A126" t="inlineStr">
        <is>
          <t xml:space="preserve">  Marge d'EBITDA</t>
        </is>
      </c>
      <c r="C126" s="6">
        <f>IF(C105=0,0,C124/C105)</f>
        <v/>
      </c>
      <c r="D126" s="6">
        <f>IF(D105=0,0,D124/D105)</f>
        <v/>
      </c>
      <c r="E126" s="6">
        <f>IF(E105=0,0,E124/E105)</f>
        <v/>
      </c>
      <c r="F126" s="6">
        <f>IF(F105=0,0,F124/F105)</f>
        <v/>
      </c>
      <c r="G126" s="6">
        <f>IF(G105=0,0,G124/G105)</f>
        <v/>
      </c>
      <c r="H126" s="6">
        <f>IF(H105=0,0,H124/H105)</f>
        <v/>
      </c>
      <c r="I126" s="6">
        <f>IF(I105=0,0,I124/I105)</f>
        <v/>
      </c>
      <c r="J126" s="6">
        <f>IF(J105=0,0,J124/J105)</f>
        <v/>
      </c>
      <c r="K126" s="6">
        <f>IF(K105=0,0,K124/K105)</f>
        <v/>
      </c>
      <c r="L126" s="6">
        <f>IF(L105=0,0,L124/L105)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($B$10+$B$11+$B$12)*$B$46*IF(C$88=$B$5,$B$13,IF(C$88=$B$5+1,$B$14,IF(C$88=$B$5+2,$B$15,0)))*C93</f>
        <v/>
      </c>
      <c r="D127" s="5">
        <f>($B$10+$B$11+$B$12)*$B$46*IF(D$88=$B$5,$B$13,IF(D$88=$B$5+1,$B$14,IF(D$88=$B$5+2,$B$15,0)))*D93</f>
        <v/>
      </c>
      <c r="E127" s="5">
        <f>($B$10+$B$11+$B$12)*$B$46*IF(E$88=$B$5,$B$13,IF(E$88=$B$5+1,$B$14,IF(E$88=$B$5+2,$B$15,0)))*E93</f>
        <v/>
      </c>
      <c r="F127" s="5">
        <f>($B$10+$B$11+$B$12)*$B$46*IF(F$88=$B$5,$B$13,IF(F$88=$B$5+1,$B$14,IF(F$88=$B$5+2,$B$15,0)))*F93</f>
        <v/>
      </c>
      <c r="G127" s="5">
        <f>($B$10+$B$11+$B$12)*$B$46*IF(G$88=$B$5,$B$13,IF(G$88=$B$5+1,$B$14,IF(G$88=$B$5+2,$B$15,0)))*G93</f>
        <v/>
      </c>
      <c r="H127" s="5">
        <f>($B$10+$B$11+$B$12)*$B$46*IF(H$88=$B$5,$B$13,IF(H$88=$B$5+1,$B$14,IF(H$88=$B$5+2,$B$15,0)))*H93</f>
        <v/>
      </c>
      <c r="I127" s="5">
        <f>($B$10+$B$11+$B$12)*$B$46*IF(I$88=$B$5,$B$13,IF(I$88=$B$5+1,$B$14,IF(I$88=$B$5+2,$B$15,0)))*I93</f>
        <v/>
      </c>
      <c r="J127" s="5">
        <f>($B$10+$B$11+$B$12)*$B$46*IF(J$88=$B$5,$B$13,IF(J$88=$B$5+1,$B$14,IF(J$88=$B$5+2,$B$15,0)))*J93</f>
        <v/>
      </c>
      <c r="K127" s="5">
        <f>($B$10+$B$11+$B$12)*$B$46*IF(K$88=$B$5,$B$13,IF(K$88=$B$5+1,$B$14,IF(K$88=$B$5+2,$B$15,0)))*K93</f>
        <v/>
      </c>
      <c r="L127" s="5">
        <f>($B$10+$B$11+$B$12)*$B$46*IF(L$88=$B$5,$B$13,IF(L$88=$B$5+1,$B$14,IF(L$88=$B$5+2,$B$15,0)))*L93</f>
        <v/>
      </c>
    </row>
    <row r="128">
      <c r="A128" t="inlineStr">
        <is>
          <t>Acquisition (prix + frais)</t>
        </is>
      </c>
      <c r="B128" s="5">
        <f>SUM(C128:L128)</f>
        <v/>
      </c>
      <c r="C128" s="5">
        <f>IF(C$88=$B$5,$B$7*(1+$B$8),0)</f>
        <v/>
      </c>
      <c r="D128" s="5">
        <f>IF(D$88=$B$5,$B$7*(1+$B$8),0)</f>
        <v/>
      </c>
      <c r="E128" s="5">
        <f>IF(E$88=$B$5,$B$7*(1+$B$8),0)</f>
        <v/>
      </c>
      <c r="F128" s="5">
        <f>IF(F$88=$B$5,$B$7*(1+$B$8),0)</f>
        <v/>
      </c>
      <c r="G128" s="5">
        <f>IF(G$88=$B$5,$B$7*(1+$B$8),0)</f>
        <v/>
      </c>
      <c r="H128" s="5">
        <f>IF(H$88=$B$5,$B$7*(1+$B$8),0)</f>
        <v/>
      </c>
      <c r="I128" s="5">
        <f>IF(I$88=$B$5,$B$7*(1+$B$8),0)</f>
        <v/>
      </c>
      <c r="J128" s="5">
        <f>IF(J$88=$B$5,$B$7*(1+$B$8),0)</f>
        <v/>
      </c>
      <c r="K128" s="5">
        <f>IF(K$88=$B$5,$B$7*(1+$B$8),0)</f>
        <v/>
      </c>
      <c r="L128" s="5">
        <f>IF(L$88=$B$5,$B$7*(1+$B$8),0)</f>
        <v/>
      </c>
    </row>
    <row r="129">
      <c r="A129" t="inlineStr">
        <is>
          <t>Gros entretien patrimonial récurrent</t>
        </is>
      </c>
      <c r="B129" s="5">
        <f>SUM(C129:L129)</f>
        <v/>
      </c>
      <c r="C129" s="5">
        <f>IF(C$88&gt;=$B$5+3,$B$16*($B$7+($B$10+$B$11+$B$12)*$B$46)*C93,0)</f>
        <v/>
      </c>
      <c r="D129" s="5">
        <f>IF(D$88&gt;=$B$5+3,$B$16*($B$7+($B$10+$B$11+$B$12)*$B$46)*D93,0)</f>
        <v/>
      </c>
      <c r="E129" s="5">
        <f>IF(E$88&gt;=$B$5+3,$B$16*($B$7+($B$10+$B$11+$B$12)*$B$46)*E93,0)</f>
        <v/>
      </c>
      <c r="F129" s="5">
        <f>IF(F$88&gt;=$B$5+3,$B$16*($B$7+($B$10+$B$11+$B$12)*$B$46)*F93,0)</f>
        <v/>
      </c>
      <c r="G129" s="5">
        <f>IF(G$88&gt;=$B$5+3,$B$16*($B$7+($B$10+$B$11+$B$12)*$B$46)*G93,0)</f>
        <v/>
      </c>
      <c r="H129" s="5">
        <f>IF(H$88&gt;=$B$5+3,$B$16*($B$7+($B$10+$B$11+$B$12)*$B$46)*H93,0)</f>
        <v/>
      </c>
      <c r="I129" s="5">
        <f>IF(I$88&gt;=$B$5+3,$B$16*($B$7+($B$10+$B$11+$B$12)*$B$46)*I93,0)</f>
        <v/>
      </c>
      <c r="J129" s="5">
        <f>IF(J$88&gt;=$B$5+3,$B$16*($B$7+($B$10+$B$11+$B$12)*$B$46)*J93,0)</f>
        <v/>
      </c>
      <c r="K129" s="5">
        <f>IF(K$88&gt;=$B$5+3,$B$16*($B$7+($B$10+$B$11+$B$12)*$B$46)*K93,0)</f>
        <v/>
      </c>
      <c r="L129" s="5">
        <f>IF(L$88&gt;=$B$5+3,$B$16*($B$7+($B$10+$B$11+$B$12)*$B$46)*L93,0)</f>
        <v/>
      </c>
    </row>
    <row r="130">
      <c r="A130" t="inlineStr">
        <is>
          <t>Investissements amortissables cumulés</t>
        </is>
      </c>
      <c r="C130" s="5">
        <f>C127+C129</f>
        <v/>
      </c>
      <c r="D130" s="5">
        <f>C130+D127+D129</f>
        <v/>
      </c>
      <c r="E130" s="5">
        <f>D130+E127+E129</f>
        <v/>
      </c>
      <c r="F130" s="5">
        <f>E130+F127+F129</f>
        <v/>
      </c>
      <c r="G130" s="5">
        <f>F130+G127+G129</f>
        <v/>
      </c>
      <c r="H130" s="5">
        <f>G130+H127+H129</f>
        <v/>
      </c>
      <c r="I130" s="5">
        <f>H130+I127+I129</f>
        <v/>
      </c>
      <c r="J130" s="5">
        <f>I130+J127+J129</f>
        <v/>
      </c>
      <c r="K130" s="5">
        <f>J130+K127+K129</f>
        <v/>
      </c>
      <c r="L130" s="5">
        <f>K130+L127+L129</f>
        <v/>
      </c>
    </row>
    <row r="131">
      <c r="A131" t="inlineStr">
        <is>
          <t>Dotations aux amortissements (bâti 30 ans, travaux 15 ans)</t>
        </is>
      </c>
      <c r="B131" s="5">
        <f>SUM(C131:L131)</f>
        <v/>
      </c>
      <c r="C131" s="5">
        <f>-(C94*$B$7*(1+$B$8)*$B$9/30+C130/15)</f>
        <v/>
      </c>
      <c r="D131" s="5">
        <f>-(D94*$B$7*(1+$B$8)*$B$9/30+D130/15)</f>
        <v/>
      </c>
      <c r="E131" s="5">
        <f>-(E94*$B$7*(1+$B$8)*$B$9/30+E130/15)</f>
        <v/>
      </c>
      <c r="F131" s="5">
        <f>-(F94*$B$7*(1+$B$8)*$B$9/30+F130/15)</f>
        <v/>
      </c>
      <c r="G131" s="5">
        <f>-(G94*$B$7*(1+$B$8)*$B$9/30+G130/15)</f>
        <v/>
      </c>
      <c r="H131" s="5">
        <f>-(H94*$B$7*(1+$B$8)*$B$9/30+H130/15)</f>
        <v/>
      </c>
      <c r="I131" s="5">
        <f>-(I94*$B$7*(1+$B$8)*$B$9/30+I130/15)</f>
        <v/>
      </c>
      <c r="J131" s="5">
        <f>-(J94*$B$7*(1+$B$8)*$B$9/30+J130/15)</f>
        <v/>
      </c>
      <c r="K131" s="5">
        <f>-(K94*$B$7*(1+$B$8)*$B$9/30+K130/15)</f>
        <v/>
      </c>
      <c r="L131" s="5">
        <f>-(L94*$B$7*(1+$B$8)*$B$9/30+L130/15)</f>
        <v/>
      </c>
    </row>
    <row r="132">
      <c r="A132" s="4" t="inlineStr">
        <is>
          <t>Résultat d'exploitation</t>
        </is>
      </c>
      <c r="B132" s="18">
        <f>SUM(C132:L132)</f>
        <v/>
      </c>
      <c r="C132" s="18">
        <f>C124+C131</f>
        <v/>
      </c>
      <c r="D132" s="18">
        <f>D124+D131</f>
        <v/>
      </c>
      <c r="E132" s="18">
        <f>E124+E131</f>
        <v/>
      </c>
      <c r="F132" s="18">
        <f>F124+F131</f>
        <v/>
      </c>
      <c r="G132" s="18">
        <f>G124+G131</f>
        <v/>
      </c>
      <c r="H132" s="18">
        <f>H124+H131</f>
        <v/>
      </c>
      <c r="I132" s="18">
        <f>I124+I131</f>
        <v/>
      </c>
      <c r="J132" s="18">
        <f>J124+J131</f>
        <v/>
      </c>
      <c r="K132" s="18">
        <f>K124+K131</f>
        <v/>
      </c>
      <c r="L132" s="18">
        <f>L124+L131</f>
        <v/>
      </c>
    </row>
    <row r="134">
      <c r="A134" s="4" t="inlineStr">
        <is>
          <t>Échéancier des emprunts</t>
        </is>
      </c>
    </row>
    <row r="135">
      <c r="A135" t="inlineStr">
        <is>
          <t>Taux bancaire effectif</t>
        </is>
      </c>
      <c r="C135" s="6">
        <f>$B$28+$B$48</f>
        <v/>
      </c>
      <c r="D135" s="6">
        <f>$B$28+$B$48</f>
        <v/>
      </c>
      <c r="E135" s="6">
        <f>$B$28+$B$48</f>
        <v/>
      </c>
      <c r="F135" s="6">
        <f>$B$28+$B$48</f>
        <v/>
      </c>
      <c r="G135" s="6">
        <f>$B$28+$B$48</f>
        <v/>
      </c>
      <c r="H135" s="6">
        <f>$B$28+$B$48</f>
        <v/>
      </c>
      <c r="I135" s="6">
        <f>$B$28+$B$48</f>
        <v/>
      </c>
      <c r="J135" s="6">
        <f>$B$28+$B$48</f>
        <v/>
      </c>
      <c r="K135" s="6">
        <f>$B$28+$B$48</f>
        <v/>
      </c>
      <c r="L135" s="6">
        <f>$B$28+$B$48</f>
        <v/>
      </c>
    </row>
    <row r="136">
      <c r="A136" t="inlineStr">
        <is>
          <t>Rang de l'année d'emprunt</t>
        </is>
      </c>
      <c r="C136" s="8">
        <f>MAX(0,C$88-$B$5+1)</f>
        <v/>
      </c>
      <c r="D136" s="8">
        <f>MAX(0,D$88-$B$5+1)</f>
        <v/>
      </c>
      <c r="E136" s="8">
        <f>MAX(0,E$88-$B$5+1)</f>
        <v/>
      </c>
      <c r="F136" s="8">
        <f>MAX(0,F$88-$B$5+1)</f>
        <v/>
      </c>
      <c r="G136" s="8">
        <f>MAX(0,G$88-$B$5+1)</f>
        <v/>
      </c>
      <c r="H136" s="8">
        <f>MAX(0,H$88-$B$5+1)</f>
        <v/>
      </c>
      <c r="I136" s="8">
        <f>MAX(0,I$88-$B$5+1)</f>
        <v/>
      </c>
      <c r="J136" s="8">
        <f>MAX(0,J$88-$B$5+1)</f>
        <v/>
      </c>
      <c r="K136" s="8">
        <f>MAX(0,K$88-$B$5+1)</f>
        <v/>
      </c>
      <c r="L136" s="8">
        <f>MAX(0,L$88-$B$5+1)</f>
        <v/>
      </c>
    </row>
    <row r="137">
      <c r="A137" t="inlineStr">
        <is>
          <t>Dette bancaire — capital début</t>
        </is>
      </c>
      <c r="C137" s="5">
        <f>IF(C136=1,$B$27,0)</f>
        <v/>
      </c>
      <c r="D137" s="5">
        <f>IF(D136=1,$B$27,C140)</f>
        <v/>
      </c>
      <c r="E137" s="5">
        <f>IF(E136=1,$B$27,D140)</f>
        <v/>
      </c>
      <c r="F137" s="5">
        <f>IF(F136=1,$B$27,E140)</f>
        <v/>
      </c>
      <c r="G137" s="5">
        <f>IF(G136=1,$B$27,F140)</f>
        <v/>
      </c>
      <c r="H137" s="5">
        <f>IF(H136=1,$B$27,G140)</f>
        <v/>
      </c>
      <c r="I137" s="5">
        <f>IF(I136=1,$B$27,H140)</f>
        <v/>
      </c>
      <c r="J137" s="5">
        <f>IF(J136=1,$B$27,I140)</f>
        <v/>
      </c>
      <c r="K137" s="5">
        <f>IF(K136=1,$B$27,J140)</f>
        <v/>
      </c>
      <c r="L137" s="5">
        <f>IF(L136=1,$B$27,K140)</f>
        <v/>
      </c>
    </row>
    <row r="138">
      <c r="A138" t="inlineStr">
        <is>
          <t xml:space="preserve">  Intérêts</t>
        </is>
      </c>
      <c r="B138" s="5">
        <f>SUM(C138:L138)</f>
        <v/>
      </c>
      <c r="C138" s="5">
        <f>C137*C135</f>
        <v/>
      </c>
      <c r="D138" s="5">
        <f>D137*D135</f>
        <v/>
      </c>
      <c r="E138" s="5">
        <f>E137*E135</f>
        <v/>
      </c>
      <c r="F138" s="5">
        <f>F137*F135</f>
        <v/>
      </c>
      <c r="G138" s="5">
        <f>G137*G135</f>
        <v/>
      </c>
      <c r="H138" s="5">
        <f>H137*H135</f>
        <v/>
      </c>
      <c r="I138" s="5">
        <f>I137*I135</f>
        <v/>
      </c>
      <c r="J138" s="5">
        <f>J137*J135</f>
        <v/>
      </c>
      <c r="K138" s="5">
        <f>K137*K135</f>
        <v/>
      </c>
      <c r="L138" s="5">
        <f>L137*L135</f>
        <v/>
      </c>
    </row>
    <row r="139">
      <c r="A139" t="inlineStr">
        <is>
          <t xml:space="preserve">  Amortissement du capital</t>
        </is>
      </c>
      <c r="B139" s="5">
        <f>SUM(C139:L139)</f>
        <v/>
      </c>
      <c r="C139" s="5">
        <f>IF(OR(C136=0,C136&lt;=$B$30,C137&lt;=0),0,MIN(C137,PMT(C135,$B$29-$B$30,-$B$27)-C138))</f>
        <v/>
      </c>
      <c r="D139" s="5">
        <f>IF(OR(D136=0,D136&lt;=$B$30,D137&lt;=0),0,MIN(D137,PMT(D135,$B$29-$B$30,-$B$27)-D138))</f>
        <v/>
      </c>
      <c r="E139" s="5">
        <f>IF(OR(E136=0,E136&lt;=$B$30,E137&lt;=0),0,MIN(E137,PMT(E135,$B$29-$B$30,-$B$27)-E138))</f>
        <v/>
      </c>
      <c r="F139" s="5">
        <f>IF(OR(F136=0,F136&lt;=$B$30,F137&lt;=0),0,MIN(F137,PMT(F135,$B$29-$B$30,-$B$27)-F138))</f>
        <v/>
      </c>
      <c r="G139" s="5">
        <f>IF(OR(G136=0,G136&lt;=$B$30,G137&lt;=0),0,MIN(G137,PMT(G135,$B$29-$B$30,-$B$27)-G138))</f>
        <v/>
      </c>
      <c r="H139" s="5">
        <f>IF(OR(H136=0,H136&lt;=$B$30,H137&lt;=0),0,MIN(H137,PMT(H135,$B$29-$B$30,-$B$27)-H138))</f>
        <v/>
      </c>
      <c r="I139" s="5">
        <f>IF(OR(I136=0,I136&lt;=$B$30,I137&lt;=0),0,MIN(I137,PMT(I135,$B$29-$B$30,-$B$27)-I138))</f>
        <v/>
      </c>
      <c r="J139" s="5">
        <f>IF(OR(J136=0,J136&lt;=$B$30,J137&lt;=0),0,MIN(J137,PMT(J135,$B$29-$B$30,-$B$27)-J138))</f>
        <v/>
      </c>
      <c r="K139" s="5">
        <f>IF(OR(K136=0,K136&lt;=$B$30,K137&lt;=0),0,MIN(K137,PMT(K135,$B$29-$B$30,-$B$27)-K138))</f>
        <v/>
      </c>
      <c r="L139" s="5">
        <f>IF(OR(L136=0,L136&lt;=$B$30,L137&lt;=0),0,MIN(L137,PMT(L135,$B$29-$B$30,-$B$27)-L138))</f>
        <v/>
      </c>
    </row>
    <row r="140">
      <c r="A140" t="inlineStr">
        <is>
          <t>Dette bancaire — capital fin</t>
        </is>
      </c>
      <c r="C140" s="5">
        <f>C137-C139</f>
        <v/>
      </c>
      <c r="D140" s="5">
        <f>D137-D139</f>
        <v/>
      </c>
      <c r="E140" s="5">
        <f>E137-E139</f>
        <v/>
      </c>
      <c r="F140" s="5">
        <f>F137-F139</f>
        <v/>
      </c>
      <c r="G140" s="5">
        <f>G137-G139</f>
        <v/>
      </c>
      <c r="H140" s="5">
        <f>H137-H139</f>
        <v/>
      </c>
      <c r="I140" s="5">
        <f>I137-I139</f>
        <v/>
      </c>
      <c r="J140" s="5">
        <f>J137-J139</f>
        <v/>
      </c>
      <c r="K140" s="5">
        <f>K137-K139</f>
        <v/>
      </c>
      <c r="L140" s="5">
        <f>L137-L139</f>
        <v/>
      </c>
    </row>
    <row r="141">
      <c r="A141" t="inlineStr">
        <is>
          <t>Crédit-vendeur — capital début</t>
        </is>
      </c>
      <c r="C141" s="5">
        <f>IF(C136=1,$B$31,0)</f>
        <v/>
      </c>
      <c r="D141" s="5">
        <f>IF(D136=1,$B$31,C144)</f>
        <v/>
      </c>
      <c r="E141" s="5">
        <f>IF(E136=1,$B$31,D144)</f>
        <v/>
      </c>
      <c r="F141" s="5">
        <f>IF(F136=1,$B$31,E144)</f>
        <v/>
      </c>
      <c r="G141" s="5">
        <f>IF(G136=1,$B$31,F144)</f>
        <v/>
      </c>
      <c r="H141" s="5">
        <f>IF(H136=1,$B$31,G144)</f>
        <v/>
      </c>
      <c r="I141" s="5">
        <f>IF(I136=1,$B$31,H144)</f>
        <v/>
      </c>
      <c r="J141" s="5">
        <f>IF(J136=1,$B$31,I144)</f>
        <v/>
      </c>
      <c r="K141" s="5">
        <f>IF(K136=1,$B$31,J144)</f>
        <v/>
      </c>
      <c r="L141" s="5">
        <f>IF(L136=1,$B$31,K144)</f>
        <v/>
      </c>
    </row>
    <row r="142">
      <c r="A142" t="inlineStr">
        <is>
          <t xml:space="preserve">  Intérêts crédit-vendeur</t>
        </is>
      </c>
      <c r="B142" s="5">
        <f>SUM(C142:L142)</f>
        <v/>
      </c>
      <c r="C142" s="5">
        <f>C141*$B$32</f>
        <v/>
      </c>
      <c r="D142" s="5">
        <f>D141*$B$32</f>
        <v/>
      </c>
      <c r="E142" s="5">
        <f>E141*$B$32</f>
        <v/>
      </c>
      <c r="F142" s="5">
        <f>F141*$B$32</f>
        <v/>
      </c>
      <c r="G142" s="5">
        <f>G141*$B$32</f>
        <v/>
      </c>
      <c r="H142" s="5">
        <f>H141*$B$32</f>
        <v/>
      </c>
      <c r="I142" s="5">
        <f>I141*$B$32</f>
        <v/>
      </c>
      <c r="J142" s="5">
        <f>J141*$B$32</f>
        <v/>
      </c>
      <c r="K142" s="5">
        <f>K141*$B$32</f>
        <v/>
      </c>
      <c r="L142" s="5">
        <f>L141*$B$32</f>
        <v/>
      </c>
    </row>
    <row r="143">
      <c r="A143" t="inlineStr">
        <is>
          <t xml:space="preserve">  Amortissement crédit-vendeur</t>
        </is>
      </c>
      <c r="B143" s="5">
        <f>SUM(C143:L143)</f>
        <v/>
      </c>
      <c r="C143" s="5">
        <f>IF(OR(C136=0,C141&lt;=0),0,MIN(C141,IF($B$32=0,$B$31/$B$33,PMT($B$32,$B$33,-$B$31)-C142)))</f>
        <v/>
      </c>
      <c r="D143" s="5">
        <f>IF(OR(D136=0,D141&lt;=0),0,MIN(D141,IF($B$32=0,$B$31/$B$33,PMT($B$32,$B$33,-$B$31)-D142)))</f>
        <v/>
      </c>
      <c r="E143" s="5">
        <f>IF(OR(E136=0,E141&lt;=0),0,MIN(E141,IF($B$32=0,$B$31/$B$33,PMT($B$32,$B$33,-$B$31)-E142)))</f>
        <v/>
      </c>
      <c r="F143" s="5">
        <f>IF(OR(F136=0,F141&lt;=0),0,MIN(F141,IF($B$32=0,$B$31/$B$33,PMT($B$32,$B$33,-$B$31)-F142)))</f>
        <v/>
      </c>
      <c r="G143" s="5">
        <f>IF(OR(G136=0,G141&lt;=0),0,MIN(G141,IF($B$32=0,$B$31/$B$33,PMT($B$32,$B$33,-$B$31)-G142)))</f>
        <v/>
      </c>
      <c r="H143" s="5">
        <f>IF(OR(H136=0,H141&lt;=0),0,MIN(H141,IF($B$32=0,$B$31/$B$33,PMT($B$32,$B$33,-$B$31)-H142)))</f>
        <v/>
      </c>
      <c r="I143" s="5">
        <f>IF(OR(I136=0,I141&lt;=0),0,MIN(I141,IF($B$32=0,$B$31/$B$33,PMT($B$32,$B$33,-$B$31)-I142)))</f>
        <v/>
      </c>
      <c r="J143" s="5">
        <f>IF(OR(J136=0,J141&lt;=0),0,MIN(J141,IF($B$32=0,$B$31/$B$33,PMT($B$32,$B$33,-$B$31)-J142)))</f>
        <v/>
      </c>
      <c r="K143" s="5">
        <f>IF(OR(K136=0,K141&lt;=0),0,MIN(K141,IF($B$32=0,$B$31/$B$33,PMT($B$32,$B$33,-$B$31)-K142)))</f>
        <v/>
      </c>
      <c r="L143" s="5">
        <f>IF(OR(L136=0,L141&lt;=0),0,MIN(L141,IF($B$32=0,$B$31/$B$33,PMT($B$32,$B$33,-$B$31)-L142)))</f>
        <v/>
      </c>
    </row>
    <row r="144">
      <c r="A144" t="inlineStr">
        <is>
          <t>Crédit-vendeur — capital fin</t>
        </is>
      </c>
      <c r="C144" s="5">
        <f>C141-C143</f>
        <v/>
      </c>
      <c r="D144" s="5">
        <f>D141-D143</f>
        <v/>
      </c>
      <c r="E144" s="5">
        <f>E141-E143</f>
        <v/>
      </c>
      <c r="F144" s="5">
        <f>F141-F143</f>
        <v/>
      </c>
      <c r="G144" s="5">
        <f>G141-G143</f>
        <v/>
      </c>
      <c r="H144" s="5">
        <f>H141-H143</f>
        <v/>
      </c>
      <c r="I144" s="5">
        <f>I141-I143</f>
        <v/>
      </c>
      <c r="J144" s="5">
        <f>J141-J143</f>
        <v/>
      </c>
      <c r="K144" s="5">
        <f>K141-K143</f>
        <v/>
      </c>
      <c r="L144" s="5">
        <f>L141-L143</f>
        <v/>
      </c>
    </row>
    <row r="145">
      <c r="A145" t="inlineStr">
        <is>
          <t>Obligations — encours</t>
        </is>
      </c>
      <c r="C145" s="5">
        <f>IF(AND(C$88&gt;=$B$5,C$88&lt;=$B$36),$B$34,0)</f>
        <v/>
      </c>
      <c r="D145" s="5">
        <f>IF(AND(D$88&gt;=$B$5,D$88&lt;=$B$36),$B$34,0)</f>
        <v/>
      </c>
      <c r="E145" s="5">
        <f>IF(AND(E$88&gt;=$B$5,E$88&lt;=$B$36),$B$34,0)</f>
        <v/>
      </c>
      <c r="F145" s="5">
        <f>IF(AND(F$88&gt;=$B$5,F$88&lt;=$B$36),$B$34,0)</f>
        <v/>
      </c>
      <c r="G145" s="5">
        <f>IF(AND(G$88&gt;=$B$5,G$88&lt;=$B$36),$B$34,0)</f>
        <v/>
      </c>
      <c r="H145" s="5">
        <f>IF(AND(H$88&gt;=$B$5,H$88&lt;=$B$36),$B$34,0)</f>
        <v/>
      </c>
      <c r="I145" s="5">
        <f>IF(AND(I$88&gt;=$B$5,I$88&lt;=$B$36),$B$34,0)</f>
        <v/>
      </c>
      <c r="J145" s="5">
        <f>IF(AND(J$88&gt;=$B$5,J$88&lt;=$B$36),$B$34,0)</f>
        <v/>
      </c>
      <c r="K145" s="5">
        <f>IF(AND(K$88&gt;=$B$5,K$88&lt;=$B$36),$B$34,0)</f>
        <v/>
      </c>
      <c r="L145" s="5">
        <f>IF(AND(L$88&gt;=$B$5,L$88&lt;=$B$36),$B$34,0)</f>
        <v/>
      </c>
    </row>
    <row r="146">
      <c r="A146" t="inlineStr">
        <is>
          <t xml:space="preserve">  Coupons obligataires</t>
        </is>
      </c>
      <c r="B146" s="5">
        <f>SUM(C146:L146)</f>
        <v/>
      </c>
      <c r="C146" s="5">
        <f>C145*$B$35</f>
        <v/>
      </c>
      <c r="D146" s="5">
        <f>D145*$B$35</f>
        <v/>
      </c>
      <c r="E146" s="5">
        <f>E145*$B$35</f>
        <v/>
      </c>
      <c r="F146" s="5">
        <f>F145*$B$35</f>
        <v/>
      </c>
      <c r="G146" s="5">
        <f>G145*$B$35</f>
        <v/>
      </c>
      <c r="H146" s="5">
        <f>H145*$B$35</f>
        <v/>
      </c>
      <c r="I146" s="5">
        <f>I145*$B$35</f>
        <v/>
      </c>
      <c r="J146" s="5">
        <f>J145*$B$35</f>
        <v/>
      </c>
      <c r="K146" s="5">
        <f>K145*$B$35</f>
        <v/>
      </c>
      <c r="L146" s="5">
        <f>L145*$B$35</f>
        <v/>
      </c>
    </row>
    <row r="147">
      <c r="A147" t="inlineStr">
        <is>
          <t xml:space="preserve">  Remboursement obligations</t>
        </is>
      </c>
      <c r="B147" s="5">
        <f>SUM(C147:L147)</f>
        <v/>
      </c>
      <c r="C147" s="5">
        <f>IF(C$88=$B$36,$B$34,0)</f>
        <v/>
      </c>
      <c r="D147" s="5">
        <f>IF(D$88=$B$36,$B$34,0)</f>
        <v/>
      </c>
      <c r="E147" s="5">
        <f>IF(E$88=$B$36,$B$34,0)</f>
        <v/>
      </c>
      <c r="F147" s="5">
        <f>IF(F$88=$B$36,$B$34,0)</f>
        <v/>
      </c>
      <c r="G147" s="5">
        <f>IF(G$88=$B$36,$B$34,0)</f>
        <v/>
      </c>
      <c r="H147" s="5">
        <f>IF(H$88=$B$36,$B$34,0)</f>
        <v/>
      </c>
      <c r="I147" s="5">
        <f>IF(I$88=$B$36,$B$34,0)</f>
        <v/>
      </c>
      <c r="J147" s="5">
        <f>IF(J$88=$B$36,$B$34,0)</f>
        <v/>
      </c>
      <c r="K147" s="5">
        <f>IF(K$88=$B$36,$B$34,0)</f>
        <v/>
      </c>
      <c r="L147" s="5">
        <f>IF(L$88=$B$36,$B$34,0)</f>
        <v/>
      </c>
    </row>
    <row r="149">
      <c r="A149" t="inlineStr">
        <is>
          <t>Charges financières</t>
        </is>
      </c>
      <c r="B149" s="5">
        <f>SUM(C149:L149)</f>
        <v/>
      </c>
      <c r="C149" s="5">
        <f>-(C138+C142+C146)</f>
        <v/>
      </c>
      <c r="D149" s="5">
        <f>-(D138+D142+D146)</f>
        <v/>
      </c>
      <c r="E149" s="5">
        <f>-(E138+E142+E146)</f>
        <v/>
      </c>
      <c r="F149" s="5">
        <f>-(F138+F142+F146)</f>
        <v/>
      </c>
      <c r="G149" s="5">
        <f>-(G138+G142+G146)</f>
        <v/>
      </c>
      <c r="H149" s="5">
        <f>-(H138+H142+H146)</f>
        <v/>
      </c>
      <c r="I149" s="5">
        <f>-(I138+I142+I146)</f>
        <v/>
      </c>
      <c r="J149" s="5">
        <f>-(J138+J142+J146)</f>
        <v/>
      </c>
      <c r="K149" s="5">
        <f>-(K138+K142+K146)</f>
        <v/>
      </c>
      <c r="L149" s="5">
        <f>-(L138+L142+L146)</f>
        <v/>
      </c>
    </row>
    <row r="150">
      <c r="A150" s="4" t="inlineStr">
        <is>
          <t>Résultat avant impôt</t>
        </is>
      </c>
      <c r="B150" s="18">
        <f>SUM(C150:L150)</f>
        <v/>
      </c>
      <c r="C150" s="18">
        <f>C132+C149+C125</f>
        <v/>
      </c>
      <c r="D150" s="18">
        <f>D132+D149+D125</f>
        <v/>
      </c>
      <c r="E150" s="18">
        <f>E132+E149+E125</f>
        <v/>
      </c>
      <c r="F150" s="18">
        <f>F132+F149+F125</f>
        <v/>
      </c>
      <c r="G150" s="18">
        <f>G132+G149+G125</f>
        <v/>
      </c>
      <c r="H150" s="18">
        <f>H132+H149+H125</f>
        <v/>
      </c>
      <c r="I150" s="18">
        <f>I132+I149+I125</f>
        <v/>
      </c>
      <c r="J150" s="18">
        <f>J132+J149+J125</f>
        <v/>
      </c>
      <c r="K150" s="18">
        <f>K132+K149+K125</f>
        <v/>
      </c>
      <c r="L150" s="18">
        <f>L132+L149+L125</f>
        <v/>
      </c>
    </row>
    <row r="151">
      <c r="A151" t="inlineStr">
        <is>
          <t>Stock de déficits reportables (fin d'année)</t>
        </is>
      </c>
      <c r="C151" s="5">
        <f>MAX(0,-C150)</f>
        <v/>
      </c>
      <c r="D151" s="5">
        <f>MAX(0,C151-D150)</f>
        <v/>
      </c>
      <c r="E151" s="5">
        <f>MAX(0,D151-E150)</f>
        <v/>
      </c>
      <c r="F151" s="5">
        <f>MAX(0,E151-F150)</f>
        <v/>
      </c>
      <c r="G151" s="5">
        <f>MAX(0,F151-G150)</f>
        <v/>
      </c>
      <c r="H151" s="5">
        <f>MAX(0,G151-H150)</f>
        <v/>
      </c>
      <c r="I151" s="5">
        <f>MAX(0,H151-I150)</f>
        <v/>
      </c>
      <c r="J151" s="5">
        <f>MAX(0,I151-J150)</f>
        <v/>
      </c>
      <c r="K151" s="5">
        <f>MAX(0,J151-K150)</f>
        <v/>
      </c>
      <c r="L151" s="5">
        <f>MAX(0,K151-L150)</f>
        <v/>
      </c>
    </row>
    <row r="152">
      <c r="A152" t="inlineStr">
        <is>
          <t>Impôt sur les sociétés</t>
        </is>
      </c>
      <c r="B152" s="5">
        <f>SUM(C152:L152)</f>
        <v/>
      </c>
      <c r="C152" s="5">
        <f>-MAX(0,C150)*$B$59</f>
        <v/>
      </c>
      <c r="D152" s="5">
        <f>-MAX(0,D150-C151)*$B$59</f>
        <v/>
      </c>
      <c r="E152" s="5">
        <f>-MAX(0,E150-D151)*$B$59</f>
        <v/>
      </c>
      <c r="F152" s="5">
        <f>-MAX(0,F150-E151)*$B$59</f>
        <v/>
      </c>
      <c r="G152" s="5">
        <f>-MAX(0,G150-F151)*$B$59</f>
        <v/>
      </c>
      <c r="H152" s="5">
        <f>-MAX(0,H150-G151)*$B$59</f>
        <v/>
      </c>
      <c r="I152" s="5">
        <f>-MAX(0,I150-H151)*$B$59</f>
        <v/>
      </c>
      <c r="J152" s="5">
        <f>-MAX(0,J150-I151)*$B$59</f>
        <v/>
      </c>
      <c r="K152" s="5">
        <f>-MAX(0,K150-J151)*$B$59</f>
        <v/>
      </c>
      <c r="L152" s="5">
        <f>-MAX(0,L150-K151)*$B$59</f>
        <v/>
      </c>
    </row>
    <row r="153">
      <c r="A153" s="4" t="inlineStr">
        <is>
          <t>Résultat net</t>
        </is>
      </c>
      <c r="B153" s="18">
        <f>SUM(C153:L153)</f>
        <v/>
      </c>
      <c r="C153" s="18">
        <f>C150+C152</f>
        <v/>
      </c>
      <c r="D153" s="18">
        <f>D150+D152</f>
        <v/>
      </c>
      <c r="E153" s="18">
        <f>E150+E152</f>
        <v/>
      </c>
      <c r="F153" s="18">
        <f>F150+F152</f>
        <v/>
      </c>
      <c r="G153" s="18">
        <f>G150+G152</f>
        <v/>
      </c>
      <c r="H153" s="18">
        <f>H150+H152</f>
        <v/>
      </c>
      <c r="I153" s="18">
        <f>I150+I152</f>
        <v/>
      </c>
      <c r="J153" s="18">
        <f>J150+J152</f>
        <v/>
      </c>
      <c r="K153" s="18">
        <f>K150+K152</f>
        <v/>
      </c>
      <c r="L153" s="18">
        <f>L150+L152</f>
        <v/>
      </c>
    </row>
    <row r="155">
      <c r="A155" s="4" t="inlineStr">
        <is>
          <t>Tableau des flux de trésorerie</t>
        </is>
      </c>
    </row>
    <row r="156">
      <c r="A156" t="inlineStr">
        <is>
          <t>BFR (niveau)</t>
        </is>
      </c>
      <c r="C156" s="5">
        <f>C105*$B$58</f>
        <v/>
      </c>
      <c r="D156" s="5">
        <f>D105*$B$58</f>
        <v/>
      </c>
      <c r="E156" s="5">
        <f>E105*$B$58</f>
        <v/>
      </c>
      <c r="F156" s="5">
        <f>F105*$B$58</f>
        <v/>
      </c>
      <c r="G156" s="5">
        <f>G105*$B$58</f>
        <v/>
      </c>
      <c r="H156" s="5">
        <f>H105*$B$58</f>
        <v/>
      </c>
      <c r="I156" s="5">
        <f>I105*$B$58</f>
        <v/>
      </c>
      <c r="J156" s="5">
        <f>J105*$B$58</f>
        <v/>
      </c>
      <c r="K156" s="5">
        <f>K105*$B$58</f>
        <v/>
      </c>
      <c r="L156" s="5">
        <f>L105*$B$58</f>
        <v/>
      </c>
    </row>
    <row r="157">
      <c r="A157" t="inlineStr">
        <is>
          <t>Variation du BFR</t>
        </is>
      </c>
      <c r="B157" s="5">
        <f>SUM(C157:L157)</f>
        <v/>
      </c>
      <c r="C157" s="5">
        <f>-C156</f>
        <v/>
      </c>
      <c r="D157" s="5">
        <f>-(D156-C156)</f>
        <v/>
      </c>
      <c r="E157" s="5">
        <f>-(E156-D156)</f>
        <v/>
      </c>
      <c r="F157" s="5">
        <f>-(F156-E156)</f>
        <v/>
      </c>
      <c r="G157" s="5">
        <f>-(G156-F156)</f>
        <v/>
      </c>
      <c r="H157" s="5">
        <f>-(H156-G156)</f>
        <v/>
      </c>
      <c r="I157" s="5">
        <f>-(I156-H156)</f>
        <v/>
      </c>
      <c r="J157" s="5">
        <f>-(J156-I156)</f>
        <v/>
      </c>
      <c r="K157" s="5">
        <f>-(K156-J156)</f>
        <v/>
      </c>
      <c r="L157" s="5">
        <f>-(L156-K156)</f>
        <v/>
      </c>
    </row>
    <row r="158">
      <c r="A158" s="4" t="inlineStr">
        <is>
          <t>Flux d'exploitation (EBITDA + loyer privé − IS − ΔBFR)</t>
        </is>
      </c>
      <c r="B158" s="18">
        <f>SUM(C158:L158)</f>
        <v/>
      </c>
      <c r="C158" s="18">
        <f>C124+C125+C152+C157</f>
        <v/>
      </c>
      <c r="D158" s="18">
        <f>D124+D125+D152+D157</f>
        <v/>
      </c>
      <c r="E158" s="18">
        <f>E124+E125+E152+E157</f>
        <v/>
      </c>
      <c r="F158" s="18">
        <f>F124+F125+F152+F157</f>
        <v/>
      </c>
      <c r="G158" s="18">
        <f>G124+G125+G152+G157</f>
        <v/>
      </c>
      <c r="H158" s="18">
        <f>H124+H125+H152+H157</f>
        <v/>
      </c>
      <c r="I158" s="18">
        <f>I124+I125+I152+I157</f>
        <v/>
      </c>
      <c r="J158" s="18">
        <f>J124+J125+J152+J157</f>
        <v/>
      </c>
      <c r="K158" s="18">
        <f>K124+K125+K152+K157</f>
        <v/>
      </c>
      <c r="L158" s="18">
        <f>L124+L125+L152+L157</f>
        <v/>
      </c>
    </row>
    <row r="159">
      <c r="A159" s="4" t="inlineStr">
        <is>
          <t>Flux d'investissement</t>
        </is>
      </c>
      <c r="B159" s="18">
        <f>SUM(C159:L159)</f>
        <v/>
      </c>
      <c r="C159" s="18">
        <f>-(C128+C127+C129)</f>
        <v/>
      </c>
      <c r="D159" s="18">
        <f>-(D128+D127+D129)</f>
        <v/>
      </c>
      <c r="E159" s="18">
        <f>-(E128+E127+E129)</f>
        <v/>
      </c>
      <c r="F159" s="18">
        <f>-(F128+F127+F129)</f>
        <v/>
      </c>
      <c r="G159" s="18">
        <f>-(G128+G127+G129)</f>
        <v/>
      </c>
      <c r="H159" s="18">
        <f>-(H128+H127+H129)</f>
        <v/>
      </c>
      <c r="I159" s="18">
        <f>-(I128+I127+I129)</f>
        <v/>
      </c>
      <c r="J159" s="18">
        <f>-(J128+J127+J129)</f>
        <v/>
      </c>
      <c r="K159" s="18">
        <f>-(K128+K127+K129)</f>
        <v/>
      </c>
      <c r="L159" s="18">
        <f>-(L128+L127+L129)</f>
        <v/>
      </c>
    </row>
    <row r="160">
      <c r="A160" t="inlineStr">
        <is>
          <t xml:space="preserve">  Apports en fonds propres + subventions</t>
        </is>
      </c>
      <c r="B160" s="5">
        <f>SUM(C160:L160)</f>
        <v/>
      </c>
      <c r="C160" s="5">
        <f>IF(C$88=1,$B$23,0)+IF(C$88=$B$5,$B$24*(1-$B$49)+$B$26,0)</f>
        <v/>
      </c>
      <c r="D160" s="5">
        <f>IF(D$88=1,$B$23,0)+IF(D$88=$B$5,$B$24*(1-$B$49)+$B$26,0)</f>
        <v/>
      </c>
      <c r="E160" s="5">
        <f>IF(E$88=1,$B$23,0)+IF(E$88=$B$5,$B$24*(1-$B$49)+$B$26,0)</f>
        <v/>
      </c>
      <c r="F160" s="5">
        <f>IF(F$88=1,$B$23,0)+IF(F$88=$B$5,$B$24*(1-$B$49)+$B$26,0)</f>
        <v/>
      </c>
      <c r="G160" s="5">
        <f>IF(G$88=1,$B$23,0)+IF(G$88=$B$5,$B$24*(1-$B$49)+$B$26,0)</f>
        <v/>
      </c>
      <c r="H160" s="5">
        <f>IF(H$88=1,$B$23,0)+IF(H$88=$B$5,$B$24*(1-$B$49)+$B$26,0)</f>
        <v/>
      </c>
      <c r="I160" s="5">
        <f>IF(I$88=1,$B$23,0)+IF(I$88=$B$5,$B$24*(1-$B$49)+$B$26,0)</f>
        <v/>
      </c>
      <c r="J160" s="5">
        <f>IF(J$88=1,$B$23,0)+IF(J$88=$B$5,$B$24*(1-$B$49)+$B$26,0)</f>
        <v/>
      </c>
      <c r="K160" s="5">
        <f>IF(K$88=1,$B$23,0)+IF(K$88=$B$5,$B$24*(1-$B$49)+$B$26,0)</f>
        <v/>
      </c>
      <c r="L160" s="5">
        <f>IF(L$88=1,$B$23,0)+IF(L$88=$B$5,$B$24*(1-$B$49)+$B$26,0)</f>
        <v/>
      </c>
    </row>
    <row r="161">
      <c r="A161" t="inlineStr">
        <is>
          <t xml:space="preserve">  Tirages dette + crédit-vendeur + obligations</t>
        </is>
      </c>
      <c r="B161" s="5">
        <f>SUM(C161:L161)</f>
        <v/>
      </c>
      <c r="C161" s="5">
        <f>IF(C$88=$B$5,$B$27+$B$31+$B$34,0)</f>
        <v/>
      </c>
      <c r="D161" s="5">
        <f>IF(D$88=$B$5,$B$27+$B$31+$B$34,0)</f>
        <v/>
      </c>
      <c r="E161" s="5">
        <f>IF(E$88=$B$5,$B$27+$B$31+$B$34,0)</f>
        <v/>
      </c>
      <c r="F161" s="5">
        <f>IF(F$88=$B$5,$B$27+$B$31+$B$34,0)</f>
        <v/>
      </c>
      <c r="G161" s="5">
        <f>IF(G$88=$B$5,$B$27+$B$31+$B$34,0)</f>
        <v/>
      </c>
      <c r="H161" s="5">
        <f>IF(H$88=$B$5,$B$27+$B$31+$B$34,0)</f>
        <v/>
      </c>
      <c r="I161" s="5">
        <f>IF(I$88=$B$5,$B$27+$B$31+$B$34,0)</f>
        <v/>
      </c>
      <c r="J161" s="5">
        <f>IF(J$88=$B$5,$B$27+$B$31+$B$34,0)</f>
        <v/>
      </c>
      <c r="K161" s="5">
        <f>IF(K$88=$B$5,$B$27+$B$31+$B$34,0)</f>
        <v/>
      </c>
      <c r="L161" s="5">
        <f>IF(L$88=$B$5,$B$27+$B$31+$B$34,0)</f>
        <v/>
      </c>
    </row>
    <row r="162">
      <c r="A162" t="inlineStr">
        <is>
          <t xml:space="preserve">  Service de la dette (intérêts + capital + coupons + rembt obligations)</t>
        </is>
      </c>
      <c r="B162" s="5">
        <f>SUM(C162:L162)</f>
        <v/>
      </c>
      <c r="C162" s="5">
        <f>-(C138+C139+C142+C143+C146+C147)</f>
        <v/>
      </c>
      <c r="D162" s="5">
        <f>-(D138+D139+D142+D143+D146+D147)</f>
        <v/>
      </c>
      <c r="E162" s="5">
        <f>-(E138+E139+E142+E143+E146+E147)</f>
        <v/>
      </c>
      <c r="F162" s="5">
        <f>-(F138+F139+F142+F143+F146+F147)</f>
        <v/>
      </c>
      <c r="G162" s="5">
        <f>-(G138+G139+G142+G143+G146+G147)</f>
        <v/>
      </c>
      <c r="H162" s="5">
        <f>-(H138+H139+H142+H143+H146+H147)</f>
        <v/>
      </c>
      <c r="I162" s="5">
        <f>-(I138+I139+I142+I143+I146+I147)</f>
        <v/>
      </c>
      <c r="J162" s="5">
        <f>-(J138+J139+J142+J143+J146+J147)</f>
        <v/>
      </c>
      <c r="K162" s="5">
        <f>-(K138+K139+K142+K143+K146+K147)</f>
        <v/>
      </c>
      <c r="L162" s="5">
        <f>-(L138+L139+L142+L143+L146+L147)</f>
        <v/>
      </c>
    </row>
    <row r="163">
      <c r="A163" s="4" t="inlineStr">
        <is>
          <t>Flux de financement</t>
        </is>
      </c>
      <c r="B163" s="18">
        <f>SUM(C163:L163)</f>
        <v/>
      </c>
      <c r="C163" s="18">
        <f>C160+C161+C162</f>
        <v/>
      </c>
      <c r="D163" s="18">
        <f>D160+D161+D162</f>
        <v/>
      </c>
      <c r="E163" s="18">
        <f>E160+E161+E162</f>
        <v/>
      </c>
      <c r="F163" s="18">
        <f>F160+F161+F162</f>
        <v/>
      </c>
      <c r="G163" s="18">
        <f>G160+G161+G162</f>
        <v/>
      </c>
      <c r="H163" s="18">
        <f>H160+H161+H162</f>
        <v/>
      </c>
      <c r="I163" s="18">
        <f>I160+I161+I162</f>
        <v/>
      </c>
      <c r="J163" s="18">
        <f>J160+J161+J162</f>
        <v/>
      </c>
      <c r="K163" s="18">
        <f>K160+K161+K162</f>
        <v/>
      </c>
      <c r="L163" s="18">
        <f>L160+L161+L162</f>
        <v/>
      </c>
    </row>
    <row r="164">
      <c r="A164" s="4" t="inlineStr">
        <is>
          <t>Variation de trésorerie</t>
        </is>
      </c>
      <c r="B164" s="18">
        <f>SUM(C164:L164)</f>
        <v/>
      </c>
      <c r="C164" s="18">
        <f>C158+C159+C163</f>
        <v/>
      </c>
      <c r="D164" s="18">
        <f>D158+D159+D163</f>
        <v/>
      </c>
      <c r="E164" s="18">
        <f>E158+E159+E163</f>
        <v/>
      </c>
      <c r="F164" s="18">
        <f>F158+F159+F163</f>
        <v/>
      </c>
      <c r="G164" s="18">
        <f>G158+G159+G163</f>
        <v/>
      </c>
      <c r="H164" s="18">
        <f>H158+H159+H163</f>
        <v/>
      </c>
      <c r="I164" s="18">
        <f>I158+I159+I163</f>
        <v/>
      </c>
      <c r="J164" s="18">
        <f>J158+J159+J163</f>
        <v/>
      </c>
      <c r="K164" s="18">
        <f>K158+K159+K163</f>
        <v/>
      </c>
      <c r="L164" s="18">
        <f>L158+L159+L163</f>
        <v/>
      </c>
    </row>
    <row r="165">
      <c r="A165" s="4" t="inlineStr">
        <is>
          <t>Trésorerie fin d'année</t>
        </is>
      </c>
      <c r="C165" s="18">
        <f>C164</f>
        <v/>
      </c>
      <c r="D165" s="18">
        <f>C165+D164</f>
        <v/>
      </c>
      <c r="E165" s="18">
        <f>D165+E164</f>
        <v/>
      </c>
      <c r="F165" s="18">
        <f>E165+F164</f>
        <v/>
      </c>
      <c r="G165" s="18">
        <f>F165+G164</f>
        <v/>
      </c>
      <c r="H165" s="18">
        <f>G165+H164</f>
        <v/>
      </c>
      <c r="I165" s="18">
        <f>H165+I164</f>
        <v/>
      </c>
      <c r="J165" s="18">
        <f>I165+J164</f>
        <v/>
      </c>
      <c r="K165" s="18">
        <f>J165+K164</f>
        <v/>
      </c>
      <c r="L165" s="18">
        <f>K165+L164</f>
        <v/>
      </c>
    </row>
    <row r="166">
      <c r="A166" t="inlineStr">
        <is>
          <t>Cash-flow libre d'exploitation (CFO − gros entretien − service dette hors obligations in fine)</t>
        </is>
      </c>
      <c r="B166" s="5">
        <f>SUM(C166:L166)</f>
        <v/>
      </c>
      <c r="C166" s="5">
        <f>C158-C129-(C138+C139+C142+C143+C146)</f>
        <v/>
      </c>
      <c r="D166" s="5">
        <f>D158-D129-(D138+D139+D142+D143+D146)</f>
        <v/>
      </c>
      <c r="E166" s="5">
        <f>E158-E129-(E138+E139+E142+E143+E146)</f>
        <v/>
      </c>
      <c r="F166" s="5">
        <f>F158-F129-(F138+F139+F142+F143+F146)</f>
        <v/>
      </c>
      <c r="G166" s="5">
        <f>G158-G129-(G138+G139+G142+G143+G146)</f>
        <v/>
      </c>
      <c r="H166" s="5">
        <f>H158-H129-(H138+H139+H142+H143+H146)</f>
        <v/>
      </c>
      <c r="I166" s="5">
        <f>I158-I129-(I138+I139+I142+I143+I146)</f>
        <v/>
      </c>
      <c r="J166" s="5">
        <f>J158-J129-(J138+J139+J142+J143+J146)</f>
        <v/>
      </c>
      <c r="K166" s="5">
        <f>K158-K129-(K138+K139+K142+K143+K146)</f>
        <v/>
      </c>
      <c r="L166" s="5">
        <f>L158-L129-(L138+L139+L142+L143+L146)</f>
        <v/>
      </c>
    </row>
    <row r="167">
      <c r="A167" t="inlineStr">
        <is>
          <t>DSCR ((EBITDA + loyer privé − IS − gros entretien) / service de la dette)</t>
        </is>
      </c>
      <c r="C167" s="7">
        <f>IF((C138+C139+C142+C143+C146)=0,"",(C124+C125+C152-C129)/(C138+C139+C142+C143+C146))</f>
        <v/>
      </c>
      <c r="D167" s="7">
        <f>IF((D138+D139+D142+D143+D146)=0,"",(D124+D125+D152-D129)/(D138+D139+D142+D143+D146))</f>
        <v/>
      </c>
      <c r="E167" s="7">
        <f>IF((E138+E139+E142+E143+E146)=0,"",(E124+E125+E152-E129)/(E138+E139+E142+E143+E146))</f>
        <v/>
      </c>
      <c r="F167" s="7">
        <f>IF((F138+F139+F142+F143+F146)=0,"",(F124+F125+F152-F129)/(F138+F139+F142+F143+F146))</f>
        <v/>
      </c>
      <c r="G167" s="7">
        <f>IF((G138+G139+G142+G143+G146)=0,"",(G124+G125+G152-G129)/(G138+G139+G142+G143+G146))</f>
        <v/>
      </c>
      <c r="H167" s="7">
        <f>IF((H138+H139+H142+H143+H146)=0,"",(H124+H125+H152-H129)/(H138+H139+H142+H143+H146))</f>
        <v/>
      </c>
      <c r="I167" s="7">
        <f>IF((I138+I139+I142+I143+I146)=0,"",(I124+I125+I152-I129)/(I138+I139+I142+I143+I146))</f>
        <v/>
      </c>
      <c r="J167" s="7">
        <f>IF((J138+J139+J142+J143+J146)=0,"",(J124+J125+J152-J129)/(J138+J139+J142+J143+J146))</f>
        <v/>
      </c>
      <c r="K167" s="7">
        <f>IF((K138+K139+K142+K143+K146)=0,"",(K124+K125+K152-K129)/(K138+K139+K142+K143+K146))</f>
        <v/>
      </c>
      <c r="L167" s="7">
        <f>IF((L138+L139+L142+L143+L146)=0,"",(L124+L125+L152-L129)/(L138+L139+L142+L143+L146))</f>
        <v/>
      </c>
    </row>
    <row r="169">
      <c r="A169" s="4" t="inlineStr">
        <is>
          <t>Rentabilité des investisseurs et contrôle</t>
        </is>
      </c>
    </row>
    <row r="170">
      <c r="A170" t="inlineStr">
        <is>
          <t>Dettes financières totales fin d'année</t>
        </is>
      </c>
      <c r="C170" s="5">
        <f>C140+C144+C145-C147</f>
        <v/>
      </c>
      <c r="D170" s="5">
        <f>D140+D144+D145-D147</f>
        <v/>
      </c>
      <c r="E170" s="5">
        <f>E140+E144+E145-E147</f>
        <v/>
      </c>
      <c r="F170" s="5">
        <f>F140+F144+F145-F147</f>
        <v/>
      </c>
      <c r="G170" s="5">
        <f>G140+G144+G145-G147</f>
        <v/>
      </c>
      <c r="H170" s="5">
        <f>H140+H144+H145-H147</f>
        <v/>
      </c>
      <c r="I170" s="5">
        <f>I140+I144+I145-I147</f>
        <v/>
      </c>
      <c r="J170" s="5">
        <f>J140+J144+J145-J147</f>
        <v/>
      </c>
      <c r="K170" s="5">
        <f>K140+K144+K145-K147</f>
        <v/>
      </c>
      <c r="L170" s="5">
        <f>L140+L144+L145-L147</f>
        <v/>
      </c>
    </row>
    <row r="171">
      <c r="A171" t="inlineStr">
        <is>
          <t>Valeur estimée de l'actif (si cédé cette année)</t>
        </is>
      </c>
      <c r="C171" s="5">
        <f>C94*($B$7+C130)*$B$17*(1-$B$19)</f>
        <v/>
      </c>
      <c r="D171" s="5">
        <f>D94*($B$7+D130)*$B$17*(1-$B$19)</f>
        <v/>
      </c>
      <c r="E171" s="5">
        <f>E94*($B$7+E130)*$B$17*(1-$B$19)</f>
        <v/>
      </c>
      <c r="F171" s="5">
        <f>F94*($B$7+F130)*$B$17*(1-$B$19)</f>
        <v/>
      </c>
      <c r="G171" s="5">
        <f>G94*($B$7+G130)*$B$17*(1-$B$19)</f>
        <v/>
      </c>
      <c r="H171" s="5">
        <f>H94*($B$7+H130)*$B$17*(1-$B$19)</f>
        <v/>
      </c>
      <c r="I171" s="5">
        <f>I94*($B$7+I130)*$B$17*(1-$B$19)</f>
        <v/>
      </c>
      <c r="J171" s="5">
        <f>J94*($B$7+J130)*$B$17*(1-$B$19)</f>
        <v/>
      </c>
      <c r="K171" s="5">
        <f>K94*($B$7+K130)*$B$17*(1-$B$19)</f>
        <v/>
      </c>
      <c r="L171" s="5">
        <f>L94*($B$7+L130)*$B$17*(1-$B$19)</f>
        <v/>
      </c>
    </row>
    <row r="172">
      <c r="A172" t="inlineStr">
        <is>
          <t>Valeur des fonds propres (actif + trésorerie − dettes)</t>
        </is>
      </c>
      <c r="C172" s="5">
        <f>C171+C165-C170</f>
        <v/>
      </c>
      <c r="D172" s="5">
        <f>D171+D165-D170</f>
        <v/>
      </c>
      <c r="E172" s="5">
        <f>E171+E165-E170</f>
        <v/>
      </c>
      <c r="F172" s="5">
        <f>F171+F165-F170</f>
        <v/>
      </c>
      <c r="G172" s="5">
        <f>G171+G165-G170</f>
        <v/>
      </c>
      <c r="H172" s="5">
        <f>H171+H165-H170</f>
        <v/>
      </c>
      <c r="I172" s="5">
        <f>I171+I165-I170</f>
        <v/>
      </c>
      <c r="J172" s="5">
        <f>J171+J165-J170</f>
        <v/>
      </c>
      <c r="K172" s="5">
        <f>K171+K165-K170</f>
        <v/>
      </c>
      <c r="L172" s="5">
        <f>L171+L165-L170</f>
        <v/>
      </c>
    </row>
    <row r="173">
      <c r="A173" t="inlineStr">
        <is>
          <t>Flux des investisseurs (entrée an d'acq., sortie an 10)</t>
        </is>
      </c>
      <c r="B173" s="5">
        <f>SUM(C173:L173)</f>
        <v/>
      </c>
      <c r="C173" s="5">
        <f>-IF(C$88=$B$5,$B$24*(1-$B$49)*(1-$B$25),0)</f>
        <v/>
      </c>
      <c r="D173" s="5">
        <f>-IF(D$88=$B$5,$B$24*(1-$B$49)*(1-$B$25),0)</f>
        <v/>
      </c>
      <c r="E173" s="5">
        <f>-IF(E$88=$B$5,$B$24*(1-$B$49)*(1-$B$25),0)</f>
        <v/>
      </c>
      <c r="F173" s="5">
        <f>-IF(F$88=$B$5,$B$24*(1-$B$49)*(1-$B$25),0)</f>
        <v/>
      </c>
      <c r="G173" s="5">
        <f>-IF(G$88=$B$5,$B$24*(1-$B$49)*(1-$B$25),0)</f>
        <v/>
      </c>
      <c r="H173" s="5">
        <f>-IF(H$88=$B$5,$B$24*(1-$B$49)*(1-$B$25),0)</f>
        <v/>
      </c>
      <c r="I173" s="5">
        <f>-IF(I$88=$B$5,$B$24*(1-$B$49)*(1-$B$25),0)</f>
        <v/>
      </c>
      <c r="J173" s="5">
        <f>-IF(J$88=$B$5,$B$24*(1-$B$49)*(1-$B$25),0)</f>
        <v/>
      </c>
      <c r="K173" s="5">
        <f>-IF(K$88=$B$5,$B$24*(1-$B$49)*(1-$B$25),0)</f>
        <v/>
      </c>
      <c r="L173" s="5">
        <f>-IF(L$88=$B$5,$B$24*(1-$B$49)*(1-$B$25),0)+MAX(0,L172)*(1-$B$42)</f>
        <v/>
      </c>
    </row>
    <row r="174">
      <c r="A174" t="inlineStr">
        <is>
          <t>Flux du fondateur et de sa holding (apports, sortie théorique an 10)</t>
        </is>
      </c>
      <c r="B174" s="5">
        <f>SUM(C174:L174)</f>
        <v/>
      </c>
      <c r="C174" s="5">
        <f>-IF(C$88=1,$B$23,0)-IF(C$88=$B$5,$B$24*(1-$B$49)*$B$25,0)</f>
        <v/>
      </c>
      <c r="D174" s="5">
        <f>-IF(D$88=1,$B$23,0)-IF(D$88=$B$5,$B$24*(1-$B$49)*$B$25,0)</f>
        <v/>
      </c>
      <c r="E174" s="5">
        <f>-IF(E$88=1,$B$23,0)-IF(E$88=$B$5,$B$24*(1-$B$49)*$B$25,0)</f>
        <v/>
      </c>
      <c r="F174" s="5">
        <f>-IF(F$88=1,$B$23,0)-IF(F$88=$B$5,$B$24*(1-$B$49)*$B$25,0)</f>
        <v/>
      </c>
      <c r="G174" s="5">
        <f>-IF(G$88=1,$B$23,0)-IF(G$88=$B$5,$B$24*(1-$B$49)*$B$25,0)</f>
        <v/>
      </c>
      <c r="H174" s="5">
        <f>-IF(H$88=1,$B$23,0)-IF(H$88=$B$5,$B$24*(1-$B$49)*$B$25,0)</f>
        <v/>
      </c>
      <c r="I174" s="5">
        <f>-IF(I$88=1,$B$23,0)-IF(I$88=$B$5,$B$24*(1-$B$49)*$B$25,0)</f>
        <v/>
      </c>
      <c r="J174" s="5">
        <f>-IF(J$88=1,$B$23,0)-IF(J$88=$B$5,$B$24*(1-$B$49)*$B$25,0)</f>
        <v/>
      </c>
      <c r="K174" s="5">
        <f>-IF(K$88=1,$B$23,0)-IF(K$88=$B$5,$B$24*(1-$B$49)*$B$25,0)</f>
        <v/>
      </c>
      <c r="L174" s="5">
        <f>-IF(L$88=1,$B$23,0)-IF(L$88=$B$5,$B$24*(1-$B$49)*$B$25,0)+MAX(0,L172)*$B$42</f>
        <v/>
      </c>
    </row>
    <row r="176">
      <c r="A176" s="10" t="inlineStr">
        <is>
          <t>8. Indicateurs clés</t>
        </is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</row>
    <row r="177">
      <c r="A177" t="inlineStr">
        <is>
          <t>Emplois totaux (acq. + frais + travaux initiaux)</t>
        </is>
      </c>
      <c r="B177" s="18">
        <f>$B$7*(1+$B$8)+SUM(C127:L127)</f>
        <v/>
      </c>
    </row>
    <row r="178">
      <c r="A178" t="inlineStr">
        <is>
          <t>Ressources externes et apports prévus</t>
        </is>
      </c>
      <c r="B178" s="18">
        <f>$B$23+$B$24*(1-$B$49)+$B$26+$B$27+$B$31+$B$34</f>
        <v/>
      </c>
    </row>
    <row r="179">
      <c r="A179" t="inlineStr">
        <is>
          <t>CA année 5</t>
        </is>
      </c>
      <c r="B179" s="18">
        <f>G105</f>
        <v/>
      </c>
    </row>
    <row r="180">
      <c r="A180" t="inlineStr">
        <is>
          <t>EBITDA année 5</t>
        </is>
      </c>
      <c r="B180" s="18">
        <f>G124</f>
        <v/>
      </c>
    </row>
    <row r="181">
      <c r="A181" t="inlineStr">
        <is>
          <t>EBITDA année 10</t>
        </is>
      </c>
      <c r="B181" s="18">
        <f>L124</f>
        <v/>
      </c>
    </row>
    <row r="182">
      <c r="A182" t="inlineStr">
        <is>
          <t>Part équestre du CA année 5</t>
        </is>
      </c>
      <c r="B182" s="14">
        <f>G107</f>
        <v/>
      </c>
    </row>
    <row r="183">
      <c r="A183" t="inlineStr">
        <is>
          <t>Trésorerie minimale sur 10 ans</t>
        </is>
      </c>
      <c r="B183" s="18">
        <f>MIN(C165:L165)</f>
        <v/>
      </c>
    </row>
    <row r="184">
      <c r="A184" t="inlineStr">
        <is>
          <t>Trésorerie fin année 10</t>
        </is>
      </c>
      <c r="B184" s="18">
        <f>L165</f>
        <v/>
      </c>
    </row>
    <row r="185">
      <c r="A185" t="inlineStr">
        <is>
          <t>DSCR minimal (à partir de la 2e année d'exploitation)</t>
        </is>
      </c>
      <c r="B185" s="19">
        <f>IF(COUNTIFS(C167:L167,"&gt;-1E+300",C90:L90,"&gt;=2")=0,"n/a",_xlfn.MINIFS(C167:L167,C90:L90,"&gt;=2"))</f>
        <v/>
      </c>
    </row>
    <row r="186">
      <c r="A186" t="inlineStr">
        <is>
          <t>Nb d'années à cash-flow libre d'exploitation négatif (à partir de la 2e année d'exploitation)</t>
        </is>
      </c>
      <c r="B186" s="20">
        <f>COUNTIFS(C166:L166,"&lt;0",C90:L90,"&gt;=2")</f>
        <v/>
      </c>
    </row>
    <row r="187">
      <c r="A187" t="inlineStr">
        <is>
          <t>TRI investisseurs (sortie théorique an 10)</t>
        </is>
      </c>
      <c r="B187" s="14">
        <f>IF($B$24*(1-$B$25)=0,"sans objet",IFERROR(IRR(C173:L173,-0.05),"perte quasi totale (TRI non calculable)"))</f>
        <v/>
      </c>
    </row>
    <row r="188">
      <c r="A188" t="inlineStr">
        <is>
          <t>TRI fondateur (sortie théorique an 10)</t>
        </is>
      </c>
      <c r="B188" s="14">
        <f>IFERROR(IRR(C174:L174,-0.05),"perte quasi totale (TRI non calculable)")</f>
        <v/>
      </c>
    </row>
    <row r="189">
      <c r="A189" t="inlineStr">
        <is>
          <t>Dette bancaire soutenable estimée (DSCR 1,2 sur (EBITDA − gros entretien) an 10, taux et durée du scénario)</t>
        </is>
      </c>
      <c r="B189" s="18">
        <f>MAX(0,PV($B$28,$B$29,-(L124+L125-L129)/1.2))</f>
        <v/>
      </c>
    </row>
    <row r="190">
      <c r="A190" t="inlineStr">
        <is>
          <t>Fonds propres nécessaires (emplois + réserve + pertes d'exploitation cumulées − dette soutenable)</t>
        </is>
      </c>
      <c r="B190" s="18">
        <f>$B$7*(1+$B$8)+SUM(C127:L127)+$B$39-SUMIF(C158:L158,"&lt;0")-$B$189</f>
        <v/>
      </c>
    </row>
    <row r="191">
      <c r="A191" t="inlineStr">
        <is>
          <t>Part du capital du fondateur</t>
        </is>
      </c>
      <c r="B191" s="14">
        <f>$B$42</f>
        <v/>
      </c>
    </row>
    <row r="192">
      <c r="A192" t="inlineStr">
        <is>
          <t>Droits de vote du fondateur</t>
        </is>
      </c>
      <c r="B192" s="14">
        <f>$B$38</f>
        <v/>
      </c>
    </row>
    <row r="193">
      <c r="A193" s="4" t="inlineStr">
        <is>
          <t>Verdict (trésorerie ≥ 0 et ≥ réserve an 10, DSCR ≥ 1,2, cash-flow libre ≥ 0 dès la 2e année d'exploitation, TRI investisseurs extérieurs ≥ cible, dirigeant payé)</t>
        </is>
      </c>
      <c r="B193" s="4">
        <f>IF($B$183&lt;0,"NON VIABLE (trésorerie négative)",IF(AND($B$184&gt;=$B$39,OR($B$185="n/a",$B$185&gt;=1.2),$B$186=0),IF(NOT(OR($B$187="sans objet",AND(ISNUMBER($B$187),N($B$187)&gt;=$B$40))),"FRAGILE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B frugal — fondateur non rémunéré, même financement bancaire que B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A frugal — fondateur cavalier non rémunéré, même financement que A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350000</v>
      </c>
      <c r="C11" t="inlineStr">
        <is>
          <t>€</t>
        </is>
      </c>
      <c r="D11" t="inlineStr">
        <is>
          <t>EST : marcheur 35 k€, carrière 35 €/m², barn 200 €/m² (PL [A3 H19]) + 10 box supplémentaires</t>
        </is>
      </c>
    </row>
    <row r="12">
      <c r="A12" t="inlineStr">
        <is>
          <t>Investissements événementiel / hébergement</t>
        </is>
      </c>
      <c r="B12" s="12" t="n">
        <v>80000</v>
      </c>
      <c r="C12" t="inlineStr">
        <is>
          <t>€</t>
        </is>
      </c>
      <c r="D12" t="inlineStr">
        <is>
          <t>EST : salon de réception pour ventes privées, pas de salle ERP &gt; 50 pers.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travail (chevaux de sport, places occupées)</t>
        </is>
      </c>
      <c r="B63" s="15" t="n">
        <v>18</v>
      </c>
      <c r="C63" s="12" t="n">
        <v>6560</v>
      </c>
      <c r="D63" s="13" t="n">
        <v>0.26</v>
      </c>
      <c r="E63" s="16" t="n">
        <v>0</v>
      </c>
      <c r="F63" s="16" t="n">
        <v>1</v>
      </c>
      <c r="G63" t="inlineStr">
        <is>
          <t>PL : 656 € TTC/mois (cas-type CSO 2025) → 547 € HT à TVA 20 % (entraînement/valorisation, BOFiP) [A3 H5, H9] ; 20 places × 90 % ; coûts op. 1 729 €/an [A3 §4]</t>
        </is>
      </c>
    </row>
    <row r="64">
      <c r="A64" t="inlineStr">
        <is>
          <t>Pension box premium (places occupées)</t>
        </is>
      </c>
      <c r="B64" s="15" t="n">
        <v>9</v>
      </c>
      <c r="C64" s="12" t="n">
        <v>5915</v>
      </c>
      <c r="D64" s="13" t="n">
        <v>0.2</v>
      </c>
      <c r="E64" s="16" t="n">
        <v>0</v>
      </c>
      <c r="F64" s="16" t="n">
        <v>1</v>
      </c>
      <c r="G64" t="inlineStr">
        <is>
          <t>Cf. B ; 10 places × 90 %</t>
        </is>
      </c>
    </row>
    <row r="65">
      <c r="A65" t="inlineStr">
        <is>
          <t>Pension au pré (places occupées)</t>
        </is>
      </c>
      <c r="B65" s="15" t="n">
        <v>14</v>
      </c>
      <c r="C65" s="12" t="n">
        <v>2616</v>
      </c>
      <c r="D65" s="13" t="n">
        <v>0.23</v>
      </c>
      <c r="E65" s="16" t="n">
        <v>0</v>
      </c>
      <c r="F65" s="16" t="n">
        <v>1</v>
      </c>
      <c r="G65" t="inlineStr">
        <is>
          <t>Cf. B ; 15 places × 92 %</t>
        </is>
      </c>
    </row>
    <row r="66">
      <c r="A66" t="inlineStr">
        <is>
          <t>Valorisation et vente de jeunes chevaux (marge nette par cheval vendu)</t>
        </is>
      </c>
      <c r="B66" s="15" t="n">
        <v>3</v>
      </c>
      <c r="C66" s="12" t="n">
        <v>9975</v>
      </c>
      <c r="D66" s="13" t="n">
        <v>0.1</v>
      </c>
      <c r="E66" s="16" t="n">
        <v>0</v>
      </c>
      <c r="F66" s="16" t="n">
        <v>1</v>
      </c>
      <c r="G66" t="inlineStr">
        <is>
          <t>PL : cas-type 2 chevaux/an, 36,75 k€ vendus − 16,8 k€ achetés [A3 §8] ; 3/an EST ; risque élevé</t>
        </is>
      </c>
    </row>
    <row r="67">
      <c r="A67" t="inlineStr">
        <is>
          <t>Organisation de concours (produit annuel)</t>
        </is>
      </c>
      <c r="B67" s="15" t="n">
        <v>1</v>
      </c>
      <c r="C67" s="12" t="n">
        <v>16076</v>
      </c>
      <c r="D67" s="13" t="n">
        <v>0.5</v>
      </c>
      <c r="E67" s="16" t="n">
        <v>1</v>
      </c>
      <c r="F67" s="16" t="n">
        <v>1</v>
      </c>
      <c r="G67" t="inlineStr">
        <is>
          <t>PL : produit moyen « organisation de concours » d'une pension travail 16 076 €/an [A3 §4] ; marge EST</t>
        </is>
      </c>
    </row>
    <row r="68">
      <c r="A68" t="inlineStr">
        <is>
          <t>Ventes privées / showcases B2B (soirées)</t>
        </is>
      </c>
      <c r="B68" s="15" t="n">
        <v>3</v>
      </c>
      <c r="C68" s="12" t="n">
        <v>3000</v>
      </c>
      <c r="D68" s="13" t="n">
        <v>0.4</v>
      </c>
      <c r="E68" s="16" t="n">
        <v>1</v>
      </c>
      <c r="F68" s="16" t="n">
        <v>1</v>
      </c>
      <c r="G68" t="inlineStr">
        <is>
          <t>INC : aucun tarif de location publié [A3 §8 n°10] ; EST</t>
        </is>
      </c>
    </row>
    <row r="69">
      <c r="A69" t="inlineStr">
        <is>
          <t>Gains de compétition</t>
        </is>
      </c>
      <c r="B69" s="15" t="n">
        <v>1</v>
      </c>
      <c r="C69" s="12" t="n">
        <v>12250</v>
      </c>
      <c r="D69" s="13" t="n">
        <v>0</v>
      </c>
      <c r="E69" s="16" t="n">
        <v>1</v>
      </c>
      <c r="F69" s="16" t="n">
        <v>1</v>
      </c>
      <c r="G69" t="inlineStr">
        <is>
          <t>PL : cas-type CSO 2025 12 250 € [A3 §4]</t>
        </is>
      </c>
    </row>
    <row r="70">
      <c r="A70" t="inlineStr">
        <is>
          <t>Gîte 15 couchages hors mariages (nuits)</t>
        </is>
      </c>
      <c r="B70" s="15" t="n">
        <v>92</v>
      </c>
      <c r="C70" s="12" t="n">
        <v>450</v>
      </c>
      <c r="D70" s="13" t="n">
        <v>0.45</v>
      </c>
      <c r="E70" s="16" t="n">
        <v>0</v>
      </c>
      <c r="F70" s="16" t="n">
        <v>0</v>
      </c>
      <c r="G70" t="inlineStr">
        <is>
          <t>PL : fourchettes de prix [A4 §4.2] ; 92 nuits EST (occupation annuelle ≈ 33 % observée en Normandie hors saison) [A4 §4.3]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7000</v>
      </c>
      <c r="C77" s="16" t="n">
        <v>1</v>
      </c>
      <c r="G77" t="inlineStr">
        <is>
          <t>PL : « rarement &lt; 2 500 € », hausse 2026 de 7,5-8 % [A4 §11] ; EST 5-10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 (1 ETP + extras week-end)</t>
        </is>
      </c>
      <c r="B81" s="12" t="n">
        <v>36000</v>
      </c>
      <c r="C81" s="16" t="n">
        <v>0</v>
      </c>
      <c r="G81" t="inlineStr">
        <is>
          <t>Variante frugale : le fondateur assure une partie des soins</t>
        </is>
      </c>
    </row>
    <row r="82">
      <c r="A82" t="inlineStr">
        <is>
          <t>Autres charges de structure équestres</t>
        </is>
      </c>
      <c r="B82" s="12" t="n">
        <v>35000</v>
      </c>
      <c r="C82" s="16" t="n">
        <v>0</v>
      </c>
      <c r="G82" t="inlineStr">
        <is>
          <t>EST : réf. structure pension travail 2 471 €/équidé [A3 §4] (salaires inclus) → calibrage</t>
        </is>
      </c>
    </row>
    <row r="83">
      <c r="A83" t="inlineStr">
        <is>
          <t>Coûts fixes du gîte</t>
        </is>
      </c>
      <c r="B83" s="12" t="n">
        <v>4400</v>
      </c>
      <c r="C83" s="16" t="n">
        <v>0</v>
      </c>
      <c r="G83" t="inlineStr">
        <is>
          <t>EST [A4 §13.1]</t>
        </is>
      </c>
    </row>
    <row r="84">
      <c r="A84" t="inlineStr">
        <is>
          <t>Commercial, site, salons</t>
        </is>
      </c>
      <c r="B84" s="12" t="n">
        <v>12000</v>
      </c>
      <c r="C84" s="16" t="n">
        <v>0</v>
      </c>
      <c r="G84" t="inlineStr">
        <is>
          <t>EST</t>
        </is>
      </c>
    </row>
    <row r="85">
      <c r="A85" t="inlineStr">
        <is>
          <t>Comptabilité, juridique, banque, logiciels</t>
        </is>
      </c>
      <c r="B85" s="12" t="n">
        <v>12000</v>
      </c>
      <c r="C85" s="16" t="n">
        <v>0</v>
      </c>
      <c r="G85" t="inlineStr">
        <is>
          <t>EST</t>
        </is>
      </c>
    </row>
    <row r="87">
      <c r="A87" s="10" t="inlineStr">
        <is>
          <t>7. Calcul sur 10 ans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4" t="inlineStr">
        <is>
          <t>Année</t>
        </is>
      </c>
      <c r="B88" s="4" t="inlineStr">
        <is>
          <t>Total / réf.</t>
        </is>
      </c>
      <c r="C88" s="4" t="n">
        <v>1</v>
      </c>
      <c r="D88" s="4" t="n">
        <v>2</v>
      </c>
      <c r="E88" s="4" t="n">
        <v>3</v>
      </c>
      <c r="F88" s="4" t="n">
        <v>4</v>
      </c>
      <c r="G88" s="4" t="n">
        <v>5</v>
      </c>
      <c r="H88" s="4" t="n">
        <v>6</v>
      </c>
      <c r="I88" s="4" t="n">
        <v>7</v>
      </c>
      <c r="J88" s="4" t="n">
        <v>8</v>
      </c>
      <c r="K88" s="4" t="n">
        <v>9</v>
      </c>
      <c r="L88" s="4" t="n">
        <v>10</v>
      </c>
    </row>
    <row r="89">
      <c r="A89" t="inlineStr">
        <is>
          <t>Année d'ouverture effective</t>
        </is>
      </c>
      <c r="C89" s="8">
        <f>$B$6+$B$47</f>
        <v/>
      </c>
      <c r="D89" s="8">
        <f>$B$6+$B$47</f>
        <v/>
      </c>
      <c r="E89" s="8">
        <f>$B$6+$B$47</f>
        <v/>
      </c>
      <c r="F89" s="8">
        <f>$B$6+$B$47</f>
        <v/>
      </c>
      <c r="G89" s="8">
        <f>$B$6+$B$47</f>
        <v/>
      </c>
      <c r="H89" s="8">
        <f>$B$6+$B$47</f>
        <v/>
      </c>
      <c r="I89" s="8">
        <f>$B$6+$B$47</f>
        <v/>
      </c>
      <c r="J89" s="8">
        <f>$B$6+$B$47</f>
        <v/>
      </c>
      <c r="K89" s="8">
        <f>$B$6+$B$47</f>
        <v/>
      </c>
      <c r="L89" s="8">
        <f>$B$6+$B$47</f>
        <v/>
      </c>
    </row>
    <row r="90">
      <c r="A90" t="inlineStr">
        <is>
          <t>Rang de l'année d'exploitation</t>
        </is>
      </c>
      <c r="C90" s="8">
        <f>MAX(0,C$88-C89+1)</f>
        <v/>
      </c>
      <c r="D90" s="8">
        <f>MAX(0,D$88-D89+1)</f>
        <v/>
      </c>
      <c r="E90" s="8">
        <f>MAX(0,E$88-E89+1)</f>
        <v/>
      </c>
      <c r="F90" s="8">
        <f>MAX(0,F$88-F89+1)</f>
        <v/>
      </c>
      <c r="G90" s="8">
        <f>MAX(0,G$88-G89+1)</f>
        <v/>
      </c>
      <c r="H90" s="8">
        <f>MAX(0,H$88-H89+1)</f>
        <v/>
      </c>
      <c r="I90" s="8">
        <f>MAX(0,I$88-I89+1)</f>
        <v/>
      </c>
      <c r="J90" s="8">
        <f>MAX(0,J$88-J89+1)</f>
        <v/>
      </c>
      <c r="K90" s="8">
        <f>MAX(0,K$88-K89+1)</f>
        <v/>
      </c>
      <c r="L90" s="8">
        <f>MAX(0,L$88-L89+1)</f>
        <v/>
      </c>
    </row>
    <row r="91">
      <c r="A91" t="inlineStr">
        <is>
          <t>Coefficient de montée en charge</t>
        </is>
      </c>
      <c r="C91" s="6">
        <f>IF(C90=0,0,IF(C90=1,$B$53,IF(C90=2,$B$54,IF(C90=3,$B$55,1))))</f>
        <v/>
      </c>
      <c r="D91" s="6">
        <f>IF(D90=0,0,IF(D90=1,$B$53,IF(D90=2,$B$54,IF(D90=3,$B$55,1))))</f>
        <v/>
      </c>
      <c r="E91" s="6">
        <f>IF(E90=0,0,IF(E90=1,$B$53,IF(E90=2,$B$54,IF(E90=3,$B$55,1))))</f>
        <v/>
      </c>
      <c r="F91" s="6">
        <f>IF(F90=0,0,IF(F90=1,$B$53,IF(F90=2,$B$54,IF(F90=3,$B$55,1))))</f>
        <v/>
      </c>
      <c r="G91" s="6">
        <f>IF(G90=0,0,IF(G90=1,$B$53,IF(G90=2,$B$54,IF(G90=3,$B$55,1))))</f>
        <v/>
      </c>
      <c r="H91" s="6">
        <f>IF(H90=0,0,IF(H90=1,$B$53,IF(H90=2,$B$54,IF(H90=3,$B$55,1))))</f>
        <v/>
      </c>
      <c r="I91" s="6">
        <f>IF(I90=0,0,IF(I90=1,$B$53,IF(I90=2,$B$54,IF(I90=3,$B$55,1))))</f>
        <v/>
      </c>
      <c r="J91" s="6">
        <f>IF(J90=0,0,IF(J90=1,$B$53,IF(J90=2,$B$54,IF(J90=3,$B$55,1))))</f>
        <v/>
      </c>
      <c r="K91" s="6">
        <f>IF(K90=0,0,IF(K90=1,$B$53,IF(K90=2,$B$54,IF(K90=3,$B$55,1))))</f>
        <v/>
      </c>
      <c r="L91" s="6">
        <f>IF(L90=0,0,IF(L90=1,$B$53,IF(L90=2,$B$54,IF(L90=3,$B$55,1))))</f>
        <v/>
      </c>
    </row>
    <row r="92">
      <c r="A92" t="inlineStr">
        <is>
          <t>Indice prix</t>
        </is>
      </c>
      <c r="C92" s="17">
        <f>(1+$B$56)^(C$88-1)</f>
        <v/>
      </c>
      <c r="D92" s="17">
        <f>(1+$B$56)^(D$88-1)</f>
        <v/>
      </c>
      <c r="E92" s="17">
        <f>(1+$B$56)^(E$88-1)</f>
        <v/>
      </c>
      <c r="F92" s="17">
        <f>(1+$B$56)^(F$88-1)</f>
        <v/>
      </c>
      <c r="G92" s="17">
        <f>(1+$B$56)^(G$88-1)</f>
        <v/>
      </c>
      <c r="H92" s="17">
        <f>(1+$B$56)^(H$88-1)</f>
        <v/>
      </c>
      <c r="I92" s="17">
        <f>(1+$B$56)^(I$88-1)</f>
        <v/>
      </c>
      <c r="J92" s="17">
        <f>(1+$B$56)^(J$88-1)</f>
        <v/>
      </c>
      <c r="K92" s="17">
        <f>(1+$B$56)^(K$88-1)</f>
        <v/>
      </c>
      <c r="L92" s="17">
        <f>(1+$B$56)^(L$88-1)</f>
        <v/>
      </c>
    </row>
    <row r="93">
      <c r="A93" t="inlineStr">
        <is>
          <t>Indice charges</t>
        </is>
      </c>
      <c r="C93" s="17">
        <f>(1+$B$57)^(C$88-1)</f>
        <v/>
      </c>
      <c r="D93" s="17">
        <f>(1+$B$57)^(D$88-1)</f>
        <v/>
      </c>
      <c r="E93" s="17">
        <f>(1+$B$57)^(E$88-1)</f>
        <v/>
      </c>
      <c r="F93" s="17">
        <f>(1+$B$57)^(F$88-1)</f>
        <v/>
      </c>
      <c r="G93" s="17">
        <f>(1+$B$57)^(G$88-1)</f>
        <v/>
      </c>
      <c r="H93" s="17">
        <f>(1+$B$57)^(H$88-1)</f>
        <v/>
      </c>
      <c r="I93" s="17">
        <f>(1+$B$57)^(I$88-1)</f>
        <v/>
      </c>
      <c r="J93" s="17">
        <f>(1+$B$57)^(J$88-1)</f>
        <v/>
      </c>
      <c r="K93" s="17">
        <f>(1+$B$57)^(K$88-1)</f>
        <v/>
      </c>
      <c r="L93" s="17">
        <f>(1+$B$57)^(L$88-1)</f>
        <v/>
      </c>
    </row>
    <row r="94">
      <c r="A94" t="inlineStr">
        <is>
          <t>Murs détenus (1/0)</t>
        </is>
      </c>
      <c r="C94" s="8">
        <f>IF(C$88&gt;=$B$5,1,0)</f>
        <v/>
      </c>
      <c r="D94" s="8">
        <f>IF(D$88&gt;=$B$5,1,0)</f>
        <v/>
      </c>
      <c r="E94" s="8">
        <f>IF(E$88&gt;=$B$5,1,0)</f>
        <v/>
      </c>
      <c r="F94" s="8">
        <f>IF(F$88&gt;=$B$5,1,0)</f>
        <v/>
      </c>
      <c r="G94" s="8">
        <f>IF(G$88&gt;=$B$5,1,0)</f>
        <v/>
      </c>
      <c r="H94" s="8">
        <f>IF(H$88&gt;=$B$5,1,0)</f>
        <v/>
      </c>
      <c r="I94" s="8">
        <f>IF(I$88&gt;=$B$5,1,0)</f>
        <v/>
      </c>
      <c r="J94" s="8">
        <f>IF(J$88&gt;=$B$5,1,0)</f>
        <v/>
      </c>
      <c r="K94" s="8">
        <f>IF(K$88&gt;=$B$5,1,0)</f>
        <v/>
      </c>
      <c r="L94" s="8">
        <f>IF(L$88&gt;=$B$5,1,0)</f>
        <v/>
      </c>
    </row>
    <row r="96">
      <c r="A96" s="4" t="inlineStr">
        <is>
          <t>Compte de résultat</t>
        </is>
      </c>
    </row>
    <row r="97">
      <c r="A97" t="inlineStr">
        <is>
          <t xml:space="preserve">  Pension travail (chevaux de sport, places occupées)</t>
        </is>
      </c>
      <c r="B97" s="5">
        <f>SUM(C97:L97)</f>
        <v/>
      </c>
      <c r="C97" s="5">
        <f>$B$63*$C$63*C91*C92*$B$45*(1-$E$63*$B$50)</f>
        <v/>
      </c>
      <c r="D97" s="5">
        <f>$B$63*$C$63*D91*D92*$B$45*(1-$E$63*$B$50)</f>
        <v/>
      </c>
      <c r="E97" s="5">
        <f>$B$63*$C$63*E91*E92*$B$45*(1-$E$63*$B$50)</f>
        <v/>
      </c>
      <c r="F97" s="5">
        <f>$B$63*$C$63*F91*F92*$B$45*(1-$E$63*$B$50)</f>
        <v/>
      </c>
      <c r="G97" s="5">
        <f>$B$63*$C$63*G91*G92*$B$45*(1-$E$63*$B$50)</f>
        <v/>
      </c>
      <c r="H97" s="5">
        <f>$B$63*$C$63*H91*H92*$B$45*(1-$E$63*$B$50)</f>
        <v/>
      </c>
      <c r="I97" s="5">
        <f>$B$63*$C$63*I91*I92*$B$45*(1-$E$63*$B$50)</f>
        <v/>
      </c>
      <c r="J97" s="5">
        <f>$B$63*$C$63*J91*J92*$B$45*(1-$E$63*$B$50)</f>
        <v/>
      </c>
      <c r="K97" s="5">
        <f>$B$63*$C$63*K91*K92*$B$45*(1-$E$63*$B$50)</f>
        <v/>
      </c>
      <c r="L97" s="5">
        <f>$B$63*$C$63*L91*L92*$B$45*(1-$E$63*$B$50)</f>
        <v/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$B$64*$C$64*C91*C92*$B$45*(1-$E$64*$B$50)</f>
        <v/>
      </c>
      <c r="D98" s="5">
        <f>$B$64*$C$64*D91*D92*$B$45*(1-$E$64*$B$50)</f>
        <v/>
      </c>
      <c r="E98" s="5">
        <f>$B$64*$C$64*E91*E92*$B$45*(1-$E$64*$B$50)</f>
        <v/>
      </c>
      <c r="F98" s="5">
        <f>$B$64*$C$64*F91*F92*$B$45*(1-$E$64*$B$50)</f>
        <v/>
      </c>
      <c r="G98" s="5">
        <f>$B$64*$C$64*G91*G92*$B$45*(1-$E$64*$B$50)</f>
        <v/>
      </c>
      <c r="H98" s="5">
        <f>$B$64*$C$64*H91*H92*$B$45*(1-$E$64*$B$50)</f>
        <v/>
      </c>
      <c r="I98" s="5">
        <f>$B$64*$C$64*I91*I92*$B$45*(1-$E$64*$B$50)</f>
        <v/>
      </c>
      <c r="J98" s="5">
        <f>$B$64*$C$64*J91*J92*$B$45*(1-$E$64*$B$50)</f>
        <v/>
      </c>
      <c r="K98" s="5">
        <f>$B$64*$C$64*K91*K92*$B$45*(1-$E$64*$B$50)</f>
        <v/>
      </c>
      <c r="L98" s="5">
        <f>$B$64*$C$64*L91*L92*$B$45*(1-$E$64*$B$50)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$B$65*$C$65*C91*C92*$B$45*(1-$E$65*$B$50)</f>
        <v/>
      </c>
      <c r="D99" s="5">
        <f>$B$65*$C$65*D91*D92*$B$45*(1-$E$65*$B$50)</f>
        <v/>
      </c>
      <c r="E99" s="5">
        <f>$B$65*$C$65*E91*E92*$B$45*(1-$E$65*$B$50)</f>
        <v/>
      </c>
      <c r="F99" s="5">
        <f>$B$65*$C$65*F91*F92*$B$45*(1-$E$65*$B$50)</f>
        <v/>
      </c>
      <c r="G99" s="5">
        <f>$B$65*$C$65*G91*G92*$B$45*(1-$E$65*$B$50)</f>
        <v/>
      </c>
      <c r="H99" s="5">
        <f>$B$65*$C$65*H91*H92*$B$45*(1-$E$65*$B$50)</f>
        <v/>
      </c>
      <c r="I99" s="5">
        <f>$B$65*$C$65*I91*I92*$B$45*(1-$E$65*$B$50)</f>
        <v/>
      </c>
      <c r="J99" s="5">
        <f>$B$65*$C$65*J91*J92*$B$45*(1-$E$65*$B$50)</f>
        <v/>
      </c>
      <c r="K99" s="5">
        <f>$B$65*$C$65*K91*K92*$B$45*(1-$E$65*$B$50)</f>
        <v/>
      </c>
      <c r="L99" s="5">
        <f>$B$65*$C$65*L91*L92*$B$45*(1-$E$65*$B$50)</f>
        <v/>
      </c>
    </row>
    <row r="100">
      <c r="A100" t="inlineStr">
        <is>
          <t xml:space="preserve">  Valorisation et vente de jeunes chevaux (marge nette par cheval vendu)</t>
        </is>
      </c>
      <c r="B100" s="5">
        <f>SUM(C100:L100)</f>
        <v/>
      </c>
      <c r="C100" s="5">
        <f>$B$66*$C$66*C91*C92*$B$45*(1-$E$66*$B$50)</f>
        <v/>
      </c>
      <c r="D100" s="5">
        <f>$B$66*$C$66*D91*D92*$B$45*(1-$E$66*$B$50)</f>
        <v/>
      </c>
      <c r="E100" s="5">
        <f>$B$66*$C$66*E91*E92*$B$45*(1-$E$66*$B$50)</f>
        <v/>
      </c>
      <c r="F100" s="5">
        <f>$B$66*$C$66*F91*F92*$B$45*(1-$E$66*$B$50)</f>
        <v/>
      </c>
      <c r="G100" s="5">
        <f>$B$66*$C$66*G91*G92*$B$45*(1-$E$66*$B$50)</f>
        <v/>
      </c>
      <c r="H100" s="5">
        <f>$B$66*$C$66*H91*H92*$B$45*(1-$E$66*$B$50)</f>
        <v/>
      </c>
      <c r="I100" s="5">
        <f>$B$66*$C$66*I91*I92*$B$45*(1-$E$66*$B$50)</f>
        <v/>
      </c>
      <c r="J100" s="5">
        <f>$B$66*$C$66*J91*J92*$B$45*(1-$E$66*$B$50)</f>
        <v/>
      </c>
      <c r="K100" s="5">
        <f>$B$66*$C$66*K91*K92*$B$45*(1-$E$66*$B$50)</f>
        <v/>
      </c>
      <c r="L100" s="5">
        <f>$B$66*$C$66*L91*L92*$B$45*(1-$E$66*$B$50)</f>
        <v/>
      </c>
    </row>
    <row r="101">
      <c r="A101" t="inlineStr">
        <is>
          <t xml:space="preserve">  Organisation de concours (produit annuel)</t>
        </is>
      </c>
      <c r="B101" s="5">
        <f>SUM(C101:L101)</f>
        <v/>
      </c>
      <c r="C101" s="5">
        <f>$B$67*$C$67*C91*C92*$B$45*(1-$E$67*$B$50)</f>
        <v/>
      </c>
      <c r="D101" s="5">
        <f>$B$67*$C$67*D91*D92*$B$45*(1-$E$67*$B$50)</f>
        <v/>
      </c>
      <c r="E101" s="5">
        <f>$B$67*$C$67*E91*E92*$B$45*(1-$E$67*$B$50)</f>
        <v/>
      </c>
      <c r="F101" s="5">
        <f>$B$67*$C$67*F91*F92*$B$45*(1-$E$67*$B$50)</f>
        <v/>
      </c>
      <c r="G101" s="5">
        <f>$B$67*$C$67*G91*G92*$B$45*(1-$E$67*$B$50)</f>
        <v/>
      </c>
      <c r="H101" s="5">
        <f>$B$67*$C$67*H91*H92*$B$45*(1-$E$67*$B$50)</f>
        <v/>
      </c>
      <c r="I101" s="5">
        <f>$B$67*$C$67*I91*I92*$B$45*(1-$E$67*$B$50)</f>
        <v/>
      </c>
      <c r="J101" s="5">
        <f>$B$67*$C$67*J91*J92*$B$45*(1-$E$67*$B$50)</f>
        <v/>
      </c>
      <c r="K101" s="5">
        <f>$B$67*$C$67*K91*K92*$B$45*(1-$E$67*$B$50)</f>
        <v/>
      </c>
      <c r="L101" s="5">
        <f>$B$67*$C$67*L91*L92*$B$45*(1-$E$67*$B$50)</f>
        <v/>
      </c>
    </row>
    <row r="102">
      <c r="A102" t="inlineStr">
        <is>
          <t xml:space="preserve">  Ventes privées / showcases B2B (soirées)</t>
        </is>
      </c>
      <c r="B102" s="5">
        <f>SUM(C102:L102)</f>
        <v/>
      </c>
      <c r="C102" s="5">
        <f>$B$68*$C$68*C91*C92*$B$45*(1-$E$68*$B$50)</f>
        <v/>
      </c>
      <c r="D102" s="5">
        <f>$B$68*$C$68*D91*D92*$B$45*(1-$E$68*$B$50)</f>
        <v/>
      </c>
      <c r="E102" s="5">
        <f>$B$68*$C$68*E91*E92*$B$45*(1-$E$68*$B$50)</f>
        <v/>
      </c>
      <c r="F102" s="5">
        <f>$B$68*$C$68*F91*F92*$B$45*(1-$E$68*$B$50)</f>
        <v/>
      </c>
      <c r="G102" s="5">
        <f>$B$68*$C$68*G91*G92*$B$45*(1-$E$68*$B$50)</f>
        <v/>
      </c>
      <c r="H102" s="5">
        <f>$B$68*$C$68*H91*H92*$B$45*(1-$E$68*$B$50)</f>
        <v/>
      </c>
      <c r="I102" s="5">
        <f>$B$68*$C$68*I91*I92*$B$45*(1-$E$68*$B$50)</f>
        <v/>
      </c>
      <c r="J102" s="5">
        <f>$B$68*$C$68*J91*J92*$B$45*(1-$E$68*$B$50)</f>
        <v/>
      </c>
      <c r="K102" s="5">
        <f>$B$68*$C$68*K91*K92*$B$45*(1-$E$68*$B$50)</f>
        <v/>
      </c>
      <c r="L102" s="5">
        <f>$B$68*$C$68*L91*L92*$B$45*(1-$E$68*$B$50)</f>
        <v/>
      </c>
    </row>
    <row r="103">
      <c r="A103" t="inlineStr">
        <is>
          <t xml:space="preserve">  Gains de compétition</t>
        </is>
      </c>
      <c r="B103" s="5">
        <f>SUM(C103:L103)</f>
        <v/>
      </c>
      <c r="C103" s="5">
        <f>$B$69*$C$69*C91*C92*$B$45*(1-$E$69*$B$50)</f>
        <v/>
      </c>
      <c r="D103" s="5">
        <f>$B$69*$C$69*D91*D92*$B$45*(1-$E$69*$B$50)</f>
        <v/>
      </c>
      <c r="E103" s="5">
        <f>$B$69*$C$69*E91*E92*$B$45*(1-$E$69*$B$50)</f>
        <v/>
      </c>
      <c r="F103" s="5">
        <f>$B$69*$C$69*F91*F92*$B$45*(1-$E$69*$B$50)</f>
        <v/>
      </c>
      <c r="G103" s="5">
        <f>$B$69*$C$69*G91*G92*$B$45*(1-$E$69*$B$50)</f>
        <v/>
      </c>
      <c r="H103" s="5">
        <f>$B$69*$C$69*H91*H92*$B$45*(1-$E$69*$B$50)</f>
        <v/>
      </c>
      <c r="I103" s="5">
        <f>$B$69*$C$69*I91*I92*$B$45*(1-$E$69*$B$50)</f>
        <v/>
      </c>
      <c r="J103" s="5">
        <f>$B$69*$C$69*J91*J92*$B$45*(1-$E$69*$B$50)</f>
        <v/>
      </c>
      <c r="K103" s="5">
        <f>$B$69*$C$69*K91*K92*$B$45*(1-$E$69*$B$50)</f>
        <v/>
      </c>
      <c r="L103" s="5">
        <f>$B$69*$C$69*L91*L92*$B$45*(1-$E$69*$B$50)</f>
        <v/>
      </c>
    </row>
    <row r="104">
      <c r="A104" t="inlineStr">
        <is>
          <t xml:space="preserve">  Gîte 15 couchages hors mariages (nuits)</t>
        </is>
      </c>
      <c r="B104" s="5">
        <f>SUM(C104:L104)</f>
        <v/>
      </c>
      <c r="C104" s="5">
        <f>$B$70*$C$70*C91*C92*$B$45*(1-$E$70*$B$50)</f>
        <v/>
      </c>
      <c r="D104" s="5">
        <f>$B$70*$C$70*D91*D92*$B$45*(1-$E$70*$B$50)</f>
        <v/>
      </c>
      <c r="E104" s="5">
        <f>$B$70*$C$70*E91*E92*$B$45*(1-$E$70*$B$50)</f>
        <v/>
      </c>
      <c r="F104" s="5">
        <f>$B$70*$C$70*F91*F92*$B$45*(1-$E$70*$B$50)</f>
        <v/>
      </c>
      <c r="G104" s="5">
        <f>$B$70*$C$70*G91*G92*$B$45*(1-$E$70*$B$50)</f>
        <v/>
      </c>
      <c r="H104" s="5">
        <f>$B$70*$C$70*H91*H92*$B$45*(1-$E$70*$B$50)</f>
        <v/>
      </c>
      <c r="I104" s="5">
        <f>$B$70*$C$70*I91*I92*$B$45*(1-$E$70*$B$50)</f>
        <v/>
      </c>
      <c r="J104" s="5">
        <f>$B$70*$C$70*J91*J92*$B$45*(1-$E$70*$B$50)</f>
        <v/>
      </c>
      <c r="K104" s="5">
        <f>$B$70*$C$70*K91*K92*$B$45*(1-$E$70*$B$50)</f>
        <v/>
      </c>
      <c r="L104" s="5">
        <f>$B$70*$C$70*L91*L92*$B$45*(1-$E$70*$B$50)</f>
        <v/>
      </c>
    </row>
    <row r="105">
      <c r="A105" t="inlineStr">
        <is>
          <t xml:space="preserve">  Tournages / shootings (jours)</t>
        </is>
      </c>
      <c r="B105" s="5">
        <f>SUM(C105:L105)</f>
        <v/>
      </c>
      <c r="C105" s="5">
        <f>$B$71*$C$71*C91*C92*$B$45*(1-$E$71*$B$50)</f>
        <v/>
      </c>
      <c r="D105" s="5">
        <f>$B$71*$C$71*D91*D92*$B$45*(1-$E$71*$B$50)</f>
        <v/>
      </c>
      <c r="E105" s="5">
        <f>$B$71*$C$71*E91*E92*$B$45*(1-$E$71*$B$50)</f>
        <v/>
      </c>
      <c r="F105" s="5">
        <f>$B$71*$C$71*F91*F92*$B$45*(1-$E$71*$B$50)</f>
        <v/>
      </c>
      <c r="G105" s="5">
        <f>$B$71*$C$71*G91*G92*$B$45*(1-$E$71*$B$50)</f>
        <v/>
      </c>
      <c r="H105" s="5">
        <f>$B$71*$C$71*H91*H92*$B$45*(1-$E$71*$B$50)</f>
        <v/>
      </c>
      <c r="I105" s="5">
        <f>$B$71*$C$71*I91*I92*$B$45*(1-$E$71*$B$50)</f>
        <v/>
      </c>
      <c r="J105" s="5">
        <f>$B$71*$C$71*J91*J92*$B$45*(1-$E$71*$B$50)</f>
        <v/>
      </c>
      <c r="K105" s="5">
        <f>$B$71*$C$71*K91*K92*$B$45*(1-$E$71*$B$50)</f>
        <v/>
      </c>
      <c r="L105" s="5">
        <f>$B$71*$C$71*L91*L92*$B$45*(1-$E$71*$B$50)</f>
        <v/>
      </c>
    </row>
    <row r="106">
      <c r="A106" t="inlineStr">
        <is>
          <t xml:space="preserve">  Fermage / vente d'herbe (ha)</t>
        </is>
      </c>
      <c r="B106" s="5">
        <f>SUM(C106:L106)</f>
        <v/>
      </c>
      <c r="C106" s="5">
        <f>$B$72*$C$72*C91*C92*$B$45*(1-$E$72*$B$50)</f>
        <v/>
      </c>
      <c r="D106" s="5">
        <f>$B$72*$C$72*D91*D92*$B$45*(1-$E$72*$B$50)</f>
        <v/>
      </c>
      <c r="E106" s="5">
        <f>$B$72*$C$72*E91*E92*$B$45*(1-$E$72*$B$50)</f>
        <v/>
      </c>
      <c r="F106" s="5">
        <f>$B$72*$C$72*F91*F92*$B$45*(1-$E$72*$B$50)</f>
        <v/>
      </c>
      <c r="G106" s="5">
        <f>$B$72*$C$72*G91*G92*$B$45*(1-$E$72*$B$50)</f>
        <v/>
      </c>
      <c r="H106" s="5">
        <f>$B$72*$C$72*H91*H92*$B$45*(1-$E$72*$B$50)</f>
        <v/>
      </c>
      <c r="I106" s="5">
        <f>$B$72*$C$72*I91*I92*$B$45*(1-$E$72*$B$50)</f>
        <v/>
      </c>
      <c r="J106" s="5">
        <f>$B$72*$C$72*J91*J92*$B$45*(1-$E$72*$B$50)</f>
        <v/>
      </c>
      <c r="K106" s="5">
        <f>$B$72*$C$72*K91*K92*$B$45*(1-$E$72*$B$50)</f>
        <v/>
      </c>
      <c r="L106" s="5">
        <f>$B$72*$C$72*L91*L92*$B$45*(1-$E$72*$B$50)</f>
        <v/>
      </c>
    </row>
    <row r="107">
      <c r="A107" s="4" t="inlineStr">
        <is>
          <t>Chiffre d'affaires total</t>
        </is>
      </c>
      <c r="B107" s="18">
        <f>SUM(C107:L107)</f>
        <v/>
      </c>
      <c r="C107" s="18">
        <f>C97+C98+C99+C100+C101+C102+C103+C104+C105+C106</f>
        <v/>
      </c>
      <c r="D107" s="18">
        <f>D97+D98+D99+D100+D101+D102+D103+D104+D105+D106</f>
        <v/>
      </c>
      <c r="E107" s="18">
        <f>E97+E98+E99+E100+E101+E102+E103+E104+E105+E106</f>
        <v/>
      </c>
      <c r="F107" s="18">
        <f>F97+F98+F99+F100+F101+F102+F103+F104+F105+F106</f>
        <v/>
      </c>
      <c r="G107" s="18">
        <f>G97+G98+G99+G100+G101+G102+G103+G104+G105+G106</f>
        <v/>
      </c>
      <c r="H107" s="18">
        <f>H97+H98+H99+H100+H101+H102+H103+H104+H105+H106</f>
        <v/>
      </c>
      <c r="I107" s="18">
        <f>I97+I98+I99+I100+I101+I102+I103+I104+I105+I106</f>
        <v/>
      </c>
      <c r="J107" s="18">
        <f>J97+J98+J99+J100+J101+J102+J103+J104+J105+J106</f>
        <v/>
      </c>
      <c r="K107" s="18">
        <f>K97+K98+K99+K100+K101+K102+K103+K104+K105+K106</f>
        <v/>
      </c>
      <c r="L107" s="18">
        <f>L97+L98+L99+L100+L101+L102+L103+L104+L105+L106</f>
        <v/>
      </c>
    </row>
    <row r="108">
      <c r="A108" t="inlineStr">
        <is>
          <t xml:space="preserve">  dont équestre</t>
        </is>
      </c>
      <c r="B108" s="5">
        <f>SUM(C108:L108)</f>
        <v/>
      </c>
      <c r="C108" s="5">
        <f>C97*$F$63+C98*$F$64+C99*$F$65+C100*$F$66+C101*$F$67+C102*$F$68+C103*$F$69+C104*$F$70+C105*$F$71+C106*$F$72</f>
        <v/>
      </c>
      <c r="D108" s="5">
        <f>D97*$F$63+D98*$F$64+D99*$F$65+D100*$F$66+D101*$F$67+D102*$F$68+D103*$F$69+D104*$F$70+D105*$F$71+D106*$F$72</f>
        <v/>
      </c>
      <c r="E108" s="5">
        <f>E97*$F$63+E98*$F$64+E99*$F$65+E100*$F$66+E101*$F$67+E102*$F$68+E103*$F$69+E104*$F$70+E105*$F$71+E106*$F$72</f>
        <v/>
      </c>
      <c r="F108" s="5">
        <f>F97*$F$63+F98*$F$64+F99*$F$65+F100*$F$66+F101*$F$67+F102*$F$68+F103*$F$69+F104*$F$70+F105*$F$71+F106*$F$72</f>
        <v/>
      </c>
      <c r="G108" s="5">
        <f>G97*$F$63+G98*$F$64+G99*$F$65+G100*$F$66+G101*$F$67+G102*$F$68+G103*$F$69+G104*$F$70+G105*$F$71+G106*$F$72</f>
        <v/>
      </c>
      <c r="H108" s="5">
        <f>H97*$F$63+H98*$F$64+H99*$F$65+H100*$F$66+H101*$F$67+H102*$F$68+H103*$F$69+H104*$F$70+H105*$F$71+H106*$F$72</f>
        <v/>
      </c>
      <c r="I108" s="5">
        <f>I97*$F$63+I98*$F$64+I99*$F$65+I100*$F$66+I101*$F$67+I102*$F$68+I103*$F$69+I104*$F$70+I105*$F$71+I106*$F$72</f>
        <v/>
      </c>
      <c r="J108" s="5">
        <f>J97*$F$63+J98*$F$64+J99*$F$65+J100*$F$66+J101*$F$67+J102*$F$68+J103*$F$69+J104*$F$70+J105*$F$71+J106*$F$72</f>
        <v/>
      </c>
      <c r="K108" s="5">
        <f>K97*$F$63+K98*$F$64+K99*$F$65+K100*$F$66+K101*$F$67+K102*$F$68+K103*$F$69+K104*$F$70+K105*$F$71+K106*$F$72</f>
        <v/>
      </c>
      <c r="L108" s="5">
        <f>L97*$F$63+L98*$F$64+L99*$F$65+L100*$F$66+L101*$F$67+L102*$F$68+L103*$F$69+L104*$F$70+L105*$F$71+L106*$F$72</f>
        <v/>
      </c>
    </row>
    <row r="109">
      <c r="A109" t="inlineStr">
        <is>
          <t xml:space="preserve">  Part équestre du CA</t>
        </is>
      </c>
      <c r="C109" s="6">
        <f>IF(C107=0,0,C108/C107)</f>
        <v/>
      </c>
      <c r="D109" s="6">
        <f>IF(D107=0,0,D108/D107)</f>
        <v/>
      </c>
      <c r="E109" s="6">
        <f>IF(E107=0,0,E108/E107)</f>
        <v/>
      </c>
      <c r="F109" s="6">
        <f>IF(F107=0,0,F108/F107)</f>
        <v/>
      </c>
      <c r="G109" s="6">
        <f>IF(G107=0,0,G108/G107)</f>
        <v/>
      </c>
      <c r="H109" s="6">
        <f>IF(H107=0,0,H108/H107)</f>
        <v/>
      </c>
      <c r="I109" s="6">
        <f>IF(I107=0,0,I108/I107)</f>
        <v/>
      </c>
      <c r="J109" s="6">
        <f>IF(J107=0,0,J108/J107)</f>
        <v/>
      </c>
      <c r="K109" s="6">
        <f>IF(K107=0,0,K108/K107)</f>
        <v/>
      </c>
      <c r="L109" s="6">
        <f>IF(L107=0,0,L108/L107)</f>
        <v/>
      </c>
    </row>
    <row r="110">
      <c r="A110" t="inlineStr">
        <is>
          <t>Coûts variables</t>
        </is>
      </c>
      <c r="B110" s="5">
        <f>SUM(C110:L110)</f>
        <v/>
      </c>
      <c r="C110" s="5">
        <f>-(C97*$D$63+C98*$D$64+C99*$D$65+C100*$D$66+C101*$D$67+C102*$D$68+C103*$D$69+C104*$D$70+C105*$D$71+C106*$D$72)</f>
        <v/>
      </c>
      <c r="D110" s="5">
        <f>-(D97*$D$63+D98*$D$64+D99*$D$65+D100*$D$66+D101*$D$67+D102*$D$68+D103*$D$69+D104*$D$70+D105*$D$71+D106*$D$72)</f>
        <v/>
      </c>
      <c r="E110" s="5">
        <f>-(E97*$D$63+E98*$D$64+E99*$D$65+E100*$D$66+E101*$D$67+E102*$D$68+E103*$D$69+E104*$D$70+E105*$D$71+E106*$D$72)</f>
        <v/>
      </c>
      <c r="F110" s="5">
        <f>-(F97*$D$63+F98*$D$64+F99*$D$65+F100*$D$66+F101*$D$67+F102*$D$68+F103*$D$69+F104*$D$70+F105*$D$71+F106*$D$72)</f>
        <v/>
      </c>
      <c r="G110" s="5">
        <f>-(G97*$D$63+G98*$D$64+G99*$D$65+G100*$D$66+G101*$D$67+G102*$D$68+G103*$D$69+G104*$D$70+G105*$D$71+G106*$D$72)</f>
        <v/>
      </c>
      <c r="H110" s="5">
        <f>-(H97*$D$63+H98*$D$64+H99*$D$65+H100*$D$66+H101*$D$67+H102*$D$68+H103*$D$69+H104*$D$70+H105*$D$71+H106*$D$72)</f>
        <v/>
      </c>
      <c r="I110" s="5">
        <f>-(I97*$D$63+I98*$D$64+I99*$D$65+I100*$D$66+I101*$D$67+I102*$D$68+I103*$D$69+I104*$D$70+I105*$D$71+I106*$D$72)</f>
        <v/>
      </c>
      <c r="J110" s="5">
        <f>-(J97*$D$63+J98*$D$64+J99*$D$65+J100*$D$66+J101*$D$67+J102*$D$68+J103*$D$69+J104*$D$70+J105*$D$71+J106*$D$72)</f>
        <v/>
      </c>
      <c r="K110" s="5">
        <f>-(K97*$D$63+K98*$D$64+K99*$D$65+K100*$D$66+K101*$D$67+K102*$D$68+K103*$D$69+K104*$D$70+K105*$D$71+K106*$D$72)</f>
        <v/>
      </c>
      <c r="L110" s="5">
        <f>-(L97*$D$63+L98*$D$64+L99*$D$65+L100*$D$66+L101*$D$67+L102*$D$68+L103*$D$69+L104*$D$70+L105*$D$71+L106*$D$72)</f>
        <v/>
      </c>
    </row>
    <row r="111">
      <c r="A111" s="4" t="inlineStr">
        <is>
          <t>Marge sur coûts variables</t>
        </is>
      </c>
      <c r="B111" s="18">
        <f>SUM(C111:L111)</f>
        <v/>
      </c>
      <c r="C111" s="18">
        <f>C107+C110</f>
        <v/>
      </c>
      <c r="D111" s="18">
        <f>D107+D110</f>
        <v/>
      </c>
      <c r="E111" s="18">
        <f>E107+E110</f>
        <v/>
      </c>
      <c r="F111" s="18">
        <f>F107+F110</f>
        <v/>
      </c>
      <c r="G111" s="18">
        <f>G107+G110</f>
        <v/>
      </c>
      <c r="H111" s="18">
        <f>H107+H110</f>
        <v/>
      </c>
      <c r="I111" s="18">
        <f>I107+I110</f>
        <v/>
      </c>
      <c r="J111" s="18">
        <f>J107+J110</f>
        <v/>
      </c>
      <c r="K111" s="18">
        <f>K107+K110</f>
        <v/>
      </c>
      <c r="L111" s="18">
        <f>L107+L110</f>
        <v/>
      </c>
    </row>
    <row r="112">
      <c r="A112" t="inlineStr">
        <is>
          <t xml:space="preserve">  Taxe foncière</t>
        </is>
      </c>
      <c r="B112" s="5">
        <f>SUM(C112:L112)</f>
        <v/>
      </c>
      <c r="C112" s="5">
        <f>-$B$76*C93*IF($C$76=1,C94,IF(C90&gt;0,1,0))</f>
        <v/>
      </c>
      <c r="D112" s="5">
        <f>-$B$76*D93*IF($C$76=1,D94,IF(D90&gt;0,1,0))</f>
        <v/>
      </c>
      <c r="E112" s="5">
        <f>-$B$76*E93*IF($C$76=1,E94,IF(E90&gt;0,1,0))</f>
        <v/>
      </c>
      <c r="F112" s="5">
        <f>-$B$76*F93*IF($C$76=1,F94,IF(F90&gt;0,1,0))</f>
        <v/>
      </c>
      <c r="G112" s="5">
        <f>-$B$76*G93*IF($C$76=1,G94,IF(G90&gt;0,1,0))</f>
        <v/>
      </c>
      <c r="H112" s="5">
        <f>-$B$76*H93*IF($C$76=1,H94,IF(H90&gt;0,1,0))</f>
        <v/>
      </c>
      <c r="I112" s="5">
        <f>-$B$76*I93*IF($C$76=1,I94,IF(I90&gt;0,1,0))</f>
        <v/>
      </c>
      <c r="J112" s="5">
        <f>-$B$76*J93*IF($C$76=1,J94,IF(J90&gt;0,1,0))</f>
        <v/>
      </c>
      <c r="K112" s="5">
        <f>-$B$76*K93*IF($C$76=1,K94,IF(K90&gt;0,1,0))</f>
        <v/>
      </c>
      <c r="L112" s="5">
        <f>-$B$76*L93*IF($C$76=1,L94,IF(L90&gt;0,1,0))</f>
        <v/>
      </c>
    </row>
    <row r="113">
      <c r="A113" t="inlineStr">
        <is>
          <t xml:space="preserve">  Assurance multirisque château</t>
        </is>
      </c>
      <c r="B113" s="5">
        <f>SUM(C113:L113)</f>
        <v/>
      </c>
      <c r="C113" s="5">
        <f>-$B$77*C93*IF($C$77=1,C94,IF(C90&gt;0,1,0))</f>
        <v/>
      </c>
      <c r="D113" s="5">
        <f>-$B$77*D93*IF($C$77=1,D94,IF(D90&gt;0,1,0))</f>
        <v/>
      </c>
      <c r="E113" s="5">
        <f>-$B$77*E93*IF($C$77=1,E94,IF(E90&gt;0,1,0))</f>
        <v/>
      </c>
      <c r="F113" s="5">
        <f>-$B$77*F93*IF($C$77=1,F94,IF(F90&gt;0,1,0))</f>
        <v/>
      </c>
      <c r="G113" s="5">
        <f>-$B$77*G93*IF($C$77=1,G94,IF(G90&gt;0,1,0))</f>
        <v/>
      </c>
      <c r="H113" s="5">
        <f>-$B$77*H93*IF($C$77=1,H94,IF(H90&gt;0,1,0))</f>
        <v/>
      </c>
      <c r="I113" s="5">
        <f>-$B$77*I93*IF($C$77=1,I94,IF(I90&gt;0,1,0))</f>
        <v/>
      </c>
      <c r="J113" s="5">
        <f>-$B$77*J93*IF($C$77=1,J94,IF(J90&gt;0,1,0))</f>
        <v/>
      </c>
      <c r="K113" s="5">
        <f>-$B$77*K93*IF($C$77=1,K94,IF(K90&gt;0,1,0))</f>
        <v/>
      </c>
      <c r="L113" s="5">
        <f>-$B$77*L93*IF($C$77=1,L94,IF(L90&gt;0,1,0))</f>
        <v/>
      </c>
    </row>
    <row r="114">
      <c r="A114" t="inlineStr">
        <is>
          <t xml:space="preserve">  Énergie (chauffage partiel, électricité, eau)</t>
        </is>
      </c>
      <c r="B114" s="5">
        <f>SUM(C114:L114)</f>
        <v/>
      </c>
      <c r="C114" s="5">
        <f>-$B$78*C93*IF($C$78=1,C94,IF(C90&gt;0,1,0))</f>
        <v/>
      </c>
      <c r="D114" s="5">
        <f>-$B$78*D93*IF($C$78=1,D94,IF(D90&gt;0,1,0))</f>
        <v/>
      </c>
      <c r="E114" s="5">
        <f>-$B$78*E93*IF($C$78=1,E94,IF(E90&gt;0,1,0))</f>
        <v/>
      </c>
      <c r="F114" s="5">
        <f>-$B$78*F93*IF($C$78=1,F94,IF(F90&gt;0,1,0))</f>
        <v/>
      </c>
      <c r="G114" s="5">
        <f>-$B$78*G93*IF($C$78=1,G94,IF(G90&gt;0,1,0))</f>
        <v/>
      </c>
      <c r="H114" s="5">
        <f>-$B$78*H93*IF($C$78=1,H94,IF(H90&gt;0,1,0))</f>
        <v/>
      </c>
      <c r="I114" s="5">
        <f>-$B$78*I93*IF($C$78=1,I94,IF(I90&gt;0,1,0))</f>
        <v/>
      </c>
      <c r="J114" s="5">
        <f>-$B$78*J93*IF($C$78=1,J94,IF(J90&gt;0,1,0))</f>
        <v/>
      </c>
      <c r="K114" s="5">
        <f>-$B$78*K93*IF($C$78=1,K94,IF(K90&gt;0,1,0))</f>
        <v/>
      </c>
      <c r="L114" s="5">
        <f>-$B$78*L93*IF($C$78=1,L94,IF(L90&gt;0,1,0))</f>
        <v/>
      </c>
    </row>
    <row r="115">
      <c r="A115" t="inlineStr">
        <is>
          <t xml:space="preserve">  Jardinier à mi-temps / prestataire</t>
        </is>
      </c>
      <c r="B115" s="5">
        <f>SUM(C115:L115)</f>
        <v/>
      </c>
      <c r="C115" s="5">
        <f>-$B$79*C93*IF($C$79=1,C94,IF(C90&gt;0,1,0))</f>
        <v/>
      </c>
      <c r="D115" s="5">
        <f>-$B$79*D93*IF($C$79=1,D94,IF(D90&gt;0,1,0))</f>
        <v/>
      </c>
      <c r="E115" s="5">
        <f>-$B$79*E93*IF($C$79=1,E94,IF(E90&gt;0,1,0))</f>
        <v/>
      </c>
      <c r="F115" s="5">
        <f>-$B$79*F93*IF($C$79=1,F94,IF(F90&gt;0,1,0))</f>
        <v/>
      </c>
      <c r="G115" s="5">
        <f>-$B$79*G93*IF($C$79=1,G94,IF(G90&gt;0,1,0))</f>
        <v/>
      </c>
      <c r="H115" s="5">
        <f>-$B$79*H93*IF($C$79=1,H94,IF(H90&gt;0,1,0))</f>
        <v/>
      </c>
      <c r="I115" s="5">
        <f>-$B$79*I93*IF($C$79=1,I94,IF(I90&gt;0,1,0))</f>
        <v/>
      </c>
      <c r="J115" s="5">
        <f>-$B$79*J93*IF($C$79=1,J94,IF(J90&gt;0,1,0))</f>
        <v/>
      </c>
      <c r="K115" s="5">
        <f>-$B$79*K93*IF($C$79=1,K94,IF(K90&gt;0,1,0))</f>
        <v/>
      </c>
      <c r="L115" s="5">
        <f>-$B$79*L93*IF($C$79=1,L94,IF(L90&gt;0,1,0))</f>
        <v/>
      </c>
    </row>
    <row r="116">
      <c r="A116" t="inlineStr">
        <is>
          <t xml:space="preserve">  Divers (abonnements, petit matériel, véhicule, honoraires)</t>
        </is>
      </c>
      <c r="B116" s="5">
        <f>SUM(C116:L116)</f>
        <v/>
      </c>
      <c r="C116" s="5">
        <f>-$B$80*C93*IF($C$80=1,C94,IF(C90&gt;0,1,0))</f>
        <v/>
      </c>
      <c r="D116" s="5">
        <f>-$B$80*D93*IF($C$80=1,D94,IF(D90&gt;0,1,0))</f>
        <v/>
      </c>
      <c r="E116" s="5">
        <f>-$B$80*E93*IF($C$80=1,E94,IF(E90&gt;0,1,0))</f>
        <v/>
      </c>
      <c r="F116" s="5">
        <f>-$B$80*F93*IF($C$80=1,F94,IF(F90&gt;0,1,0))</f>
        <v/>
      </c>
      <c r="G116" s="5">
        <f>-$B$80*G93*IF($C$80=1,G94,IF(G90&gt;0,1,0))</f>
        <v/>
      </c>
      <c r="H116" s="5">
        <f>-$B$80*H93*IF($C$80=1,H94,IF(H90&gt;0,1,0))</f>
        <v/>
      </c>
      <c r="I116" s="5">
        <f>-$B$80*I93*IF($C$80=1,I94,IF(I90&gt;0,1,0))</f>
        <v/>
      </c>
      <c r="J116" s="5">
        <f>-$B$80*J93*IF($C$80=1,J94,IF(J90&gt;0,1,0))</f>
        <v/>
      </c>
      <c r="K116" s="5">
        <f>-$B$80*K93*IF($C$80=1,K94,IF(K90&gt;0,1,0))</f>
        <v/>
      </c>
      <c r="L116" s="5">
        <f>-$B$80*L93*IF($C$80=1,L94,IF(L90&gt;0,1,0))</f>
        <v/>
      </c>
    </row>
    <row r="117">
      <c r="A117" t="inlineStr">
        <is>
          <t xml:space="preserve">  Soigneur (1 ETP + extras week-end)</t>
        </is>
      </c>
      <c r="B117" s="5">
        <f>SUM(C117:L117)</f>
        <v/>
      </c>
      <c r="C117" s="5">
        <f>-$B$81*C93*IF($C$81=1,C94,IF(C90&gt;0,1,0))</f>
        <v/>
      </c>
      <c r="D117" s="5">
        <f>-$B$81*D93*IF($C$81=1,D94,IF(D90&gt;0,1,0))</f>
        <v/>
      </c>
      <c r="E117" s="5">
        <f>-$B$81*E93*IF($C$81=1,E94,IF(E90&gt;0,1,0))</f>
        <v/>
      </c>
      <c r="F117" s="5">
        <f>-$B$81*F93*IF($C$81=1,F94,IF(F90&gt;0,1,0))</f>
        <v/>
      </c>
      <c r="G117" s="5">
        <f>-$B$81*G93*IF($C$81=1,G94,IF(G90&gt;0,1,0))</f>
        <v/>
      </c>
      <c r="H117" s="5">
        <f>-$B$81*H93*IF($C$81=1,H94,IF(H90&gt;0,1,0))</f>
        <v/>
      </c>
      <c r="I117" s="5">
        <f>-$B$81*I93*IF($C$81=1,I94,IF(I90&gt;0,1,0))</f>
        <v/>
      </c>
      <c r="J117" s="5">
        <f>-$B$81*J93*IF($C$81=1,J94,IF(J90&gt;0,1,0))</f>
        <v/>
      </c>
      <c r="K117" s="5">
        <f>-$B$81*K93*IF($C$81=1,K94,IF(K90&gt;0,1,0))</f>
        <v/>
      </c>
      <c r="L117" s="5">
        <f>-$B$81*L93*IF($C$81=1,L94,IF(L90&gt;0,1,0))</f>
        <v/>
      </c>
    </row>
    <row r="118">
      <c r="A118" t="inlineStr">
        <is>
          <t xml:space="preserve">  Autres charges de structure équestres</t>
        </is>
      </c>
      <c r="B118" s="5">
        <f>SUM(C118:L118)</f>
        <v/>
      </c>
      <c r="C118" s="5">
        <f>-$B$82*C93*IF($C$82=1,C94,IF(C90&gt;0,1,0))</f>
        <v/>
      </c>
      <c r="D118" s="5">
        <f>-$B$82*D93*IF($C$82=1,D94,IF(D90&gt;0,1,0))</f>
        <v/>
      </c>
      <c r="E118" s="5">
        <f>-$B$82*E93*IF($C$82=1,E94,IF(E90&gt;0,1,0))</f>
        <v/>
      </c>
      <c r="F118" s="5">
        <f>-$B$82*F93*IF($C$82=1,F94,IF(F90&gt;0,1,0))</f>
        <v/>
      </c>
      <c r="G118" s="5">
        <f>-$B$82*G93*IF($C$82=1,G94,IF(G90&gt;0,1,0))</f>
        <v/>
      </c>
      <c r="H118" s="5">
        <f>-$B$82*H93*IF($C$82=1,H94,IF(H90&gt;0,1,0))</f>
        <v/>
      </c>
      <c r="I118" s="5">
        <f>-$B$82*I93*IF($C$82=1,I94,IF(I90&gt;0,1,0))</f>
        <v/>
      </c>
      <c r="J118" s="5">
        <f>-$B$82*J93*IF($C$82=1,J94,IF(J90&gt;0,1,0))</f>
        <v/>
      </c>
      <c r="K118" s="5">
        <f>-$B$82*K93*IF($C$82=1,K94,IF(K90&gt;0,1,0))</f>
        <v/>
      </c>
      <c r="L118" s="5">
        <f>-$B$82*L93*IF($C$82=1,L94,IF(L90&gt;0,1,0))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-$B$83*C93*IF($C$83=1,C94,IF(C90&gt;0,1,0))</f>
        <v/>
      </c>
      <c r="D119" s="5">
        <f>-$B$83*D93*IF($C$83=1,D94,IF(D90&gt;0,1,0))</f>
        <v/>
      </c>
      <c r="E119" s="5">
        <f>-$B$83*E93*IF($C$83=1,E94,IF(E90&gt;0,1,0))</f>
        <v/>
      </c>
      <c r="F119" s="5">
        <f>-$B$83*F93*IF($C$83=1,F94,IF(F90&gt;0,1,0))</f>
        <v/>
      </c>
      <c r="G119" s="5">
        <f>-$B$83*G93*IF($C$83=1,G94,IF(G90&gt;0,1,0))</f>
        <v/>
      </c>
      <c r="H119" s="5">
        <f>-$B$83*H93*IF($C$83=1,H94,IF(H90&gt;0,1,0))</f>
        <v/>
      </c>
      <c r="I119" s="5">
        <f>-$B$83*I93*IF($C$83=1,I94,IF(I90&gt;0,1,0))</f>
        <v/>
      </c>
      <c r="J119" s="5">
        <f>-$B$83*J93*IF($C$83=1,J94,IF(J90&gt;0,1,0))</f>
        <v/>
      </c>
      <c r="K119" s="5">
        <f>-$B$83*K93*IF($C$83=1,K94,IF(K90&gt;0,1,0))</f>
        <v/>
      </c>
      <c r="L119" s="5">
        <f>-$B$83*L93*IF($C$83=1,L94,IF(L90&gt;0,1,0))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-$B$84*C93*IF($C$84=1,C94,IF(C90&gt;0,1,0))</f>
        <v/>
      </c>
      <c r="D120" s="5">
        <f>-$B$84*D93*IF($C$84=1,D94,IF(D90&gt;0,1,0))</f>
        <v/>
      </c>
      <c r="E120" s="5">
        <f>-$B$84*E93*IF($C$84=1,E94,IF(E90&gt;0,1,0))</f>
        <v/>
      </c>
      <c r="F120" s="5">
        <f>-$B$84*F93*IF($C$84=1,F94,IF(F90&gt;0,1,0))</f>
        <v/>
      </c>
      <c r="G120" s="5">
        <f>-$B$84*G93*IF($C$84=1,G94,IF(G90&gt;0,1,0))</f>
        <v/>
      </c>
      <c r="H120" s="5">
        <f>-$B$84*H93*IF($C$84=1,H94,IF(H90&gt;0,1,0))</f>
        <v/>
      </c>
      <c r="I120" s="5">
        <f>-$B$84*I93*IF($C$84=1,I94,IF(I90&gt;0,1,0))</f>
        <v/>
      </c>
      <c r="J120" s="5">
        <f>-$B$84*J93*IF($C$84=1,J94,IF(J90&gt;0,1,0))</f>
        <v/>
      </c>
      <c r="K120" s="5">
        <f>-$B$84*K93*IF($C$84=1,K94,IF(K90&gt;0,1,0))</f>
        <v/>
      </c>
      <c r="L120" s="5">
        <f>-$B$84*L93*IF($C$84=1,L94,IF(L90&gt;0,1,0))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-$B$85*C93*IF($C$85=1,C94,IF(C90&gt;0,1,0))</f>
        <v/>
      </c>
      <c r="D121" s="5">
        <f>-$B$85*D93*IF($C$85=1,D94,IF(D90&gt;0,1,0))</f>
        <v/>
      </c>
      <c r="E121" s="5">
        <f>-$B$85*E93*IF($C$85=1,E94,IF(E90&gt;0,1,0))</f>
        <v/>
      </c>
      <c r="F121" s="5">
        <f>-$B$85*F93*IF($C$85=1,F94,IF(F90&gt;0,1,0))</f>
        <v/>
      </c>
      <c r="G121" s="5">
        <f>-$B$85*G93*IF($C$85=1,G94,IF(G90&gt;0,1,0))</f>
        <v/>
      </c>
      <c r="H121" s="5">
        <f>-$B$85*H93*IF($C$85=1,H94,IF(H90&gt;0,1,0))</f>
        <v/>
      </c>
      <c r="I121" s="5">
        <f>-$B$85*I93*IF($C$85=1,I94,IF(I90&gt;0,1,0))</f>
        <v/>
      </c>
      <c r="J121" s="5">
        <f>-$B$85*J93*IF($C$85=1,J94,IF(J90&gt;0,1,0))</f>
        <v/>
      </c>
      <c r="K121" s="5">
        <f>-$B$85*K93*IF($C$85=1,K94,IF(K90&gt;0,1,0))</f>
        <v/>
      </c>
      <c r="L121" s="5">
        <f>-$B$85*L93*IF($C$85=1,L94,IF(L90&gt;0,1,0))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C112+C113+C114+C115+C116+C117+C118+C119+C120+C121</f>
        <v/>
      </c>
      <c r="D122" s="18">
        <f>D112+D113+D114+D115+D116+D117+D118+D119+D120+D121</f>
        <v/>
      </c>
      <c r="E122" s="18">
        <f>E112+E113+E114+E115+E116+E117+E118+E119+E120+E121</f>
        <v/>
      </c>
      <c r="F122" s="18">
        <f>F112+F113+F114+F115+F116+F117+F118+F119+F120+F121</f>
        <v/>
      </c>
      <c r="G122" s="18">
        <f>G112+G113+G114+G115+G116+G117+G118+G119+G120+G121</f>
        <v/>
      </c>
      <c r="H122" s="18">
        <f>H112+H113+H114+H115+H116+H117+H118+H119+H120+H121</f>
        <v/>
      </c>
      <c r="I122" s="18">
        <f>I112+I113+I114+I115+I116+I117+I118+I119+I120+I121</f>
        <v/>
      </c>
      <c r="J122" s="18">
        <f>J112+J113+J114+J115+J116+J117+J118+J119+J120+J121</f>
        <v/>
      </c>
      <c r="K122" s="18">
        <f>K112+K113+K114+K115+K116+K117+K118+K119+K120+K121</f>
        <v/>
      </c>
      <c r="L122" s="18">
        <f>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-IF(C94=0,IF(C$88&gt;=$B$6,$B$18*C93,0),0)</f>
        <v/>
      </c>
      <c r="D123" s="5">
        <f>-IF(D94=0,IF(D$88&gt;=$B$6,$B$18*D93,0),0)</f>
        <v/>
      </c>
      <c r="E123" s="5">
        <f>-IF(E94=0,IF(E$88&gt;=$B$6,$B$18*E93,0),0)</f>
        <v/>
      </c>
      <c r="F123" s="5">
        <f>-IF(F94=0,IF(F$88&gt;=$B$6,$B$18*F93,0),0)</f>
        <v/>
      </c>
      <c r="G123" s="5">
        <f>-IF(G94=0,IF(G$88&gt;=$B$6,$B$18*G93,0),0)</f>
        <v/>
      </c>
      <c r="H123" s="5">
        <f>-IF(H94=0,IF(H$88&gt;=$B$6,$B$18*H93,0),0)</f>
        <v/>
      </c>
      <c r="I123" s="5">
        <f>-IF(I94=0,IF(I$88&gt;=$B$6,$B$18*I93,0),0)</f>
        <v/>
      </c>
      <c r="J123" s="5">
        <f>-IF(J94=0,IF(J$88&gt;=$B$6,$B$18*J93,0),0)</f>
        <v/>
      </c>
      <c r="K123" s="5">
        <f>-IF(K94=0,IF(K$88&gt;=$B$6,$B$18*K93,0),0)</f>
        <v/>
      </c>
      <c r="L123" s="5">
        <f>-IF(L94=0,IF(L$88&gt;=$B$6,$B$18*L93,0),0)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C111+C122+C123</f>
        <v/>
      </c>
      <c r="D124" s="18">
        <f>D111+D122+D123</f>
        <v/>
      </c>
      <c r="E124" s="18">
        <f>E111+E122+E123</f>
        <v/>
      </c>
      <c r="F124" s="18">
        <f>F111+F122+F123</f>
        <v/>
      </c>
      <c r="G124" s="18">
        <f>G111+G122+G123</f>
        <v/>
      </c>
      <c r="H124" s="18">
        <f>H111+H122+H123</f>
        <v/>
      </c>
      <c r="I124" s="18">
        <f>I111+I122+I123</f>
        <v/>
      </c>
      <c r="J124" s="18">
        <f>J111+J122+J123</f>
        <v/>
      </c>
      <c r="K124" s="18">
        <f>K111+K122+K123</f>
        <v/>
      </c>
      <c r="L124" s="18">
        <f>L111+L122+L123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C94*$B$20*C93</f>
        <v/>
      </c>
      <c r="D125" s="5">
        <f>D94*$B$20*D93</f>
        <v/>
      </c>
      <c r="E125" s="5">
        <f>E94*$B$20*E93</f>
        <v/>
      </c>
      <c r="F125" s="5">
        <f>F94*$B$20*F93</f>
        <v/>
      </c>
      <c r="G125" s="5">
        <f>G94*$B$20*G93</f>
        <v/>
      </c>
      <c r="H125" s="5">
        <f>H94*$B$20*H93</f>
        <v/>
      </c>
      <c r="I125" s="5">
        <f>I94*$B$20*I93</f>
        <v/>
      </c>
      <c r="J125" s="5">
        <f>J94*$B$20*J93</f>
        <v/>
      </c>
      <c r="K125" s="5">
        <f>K94*$B$20*K93</f>
        <v/>
      </c>
      <c r="L125" s="5">
        <f>L94*$B$20*L93</f>
        <v/>
      </c>
    </row>
    <row r="126">
      <c r="A126" t="inlineStr">
        <is>
          <t xml:space="preserve">  Marge d'EBITDA</t>
        </is>
      </c>
      <c r="C126" s="6">
        <f>IF(C107=0,0,C124/C107)</f>
        <v/>
      </c>
      <c r="D126" s="6">
        <f>IF(D107=0,0,D124/D107)</f>
        <v/>
      </c>
      <c r="E126" s="6">
        <f>IF(E107=0,0,E124/E107)</f>
        <v/>
      </c>
      <c r="F126" s="6">
        <f>IF(F107=0,0,F124/F107)</f>
        <v/>
      </c>
      <c r="G126" s="6">
        <f>IF(G107=0,0,G124/G107)</f>
        <v/>
      </c>
      <c r="H126" s="6">
        <f>IF(H107=0,0,H124/H107)</f>
        <v/>
      </c>
      <c r="I126" s="6">
        <f>IF(I107=0,0,I124/I107)</f>
        <v/>
      </c>
      <c r="J126" s="6">
        <f>IF(J107=0,0,J124/J107)</f>
        <v/>
      </c>
      <c r="K126" s="6">
        <f>IF(K107=0,0,K124/K107)</f>
        <v/>
      </c>
      <c r="L126" s="6">
        <f>IF(L107=0,0,L124/L107)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($B$10+$B$11+$B$12)*$B$46*IF(C$88=$B$5,$B$13,IF(C$88=$B$5+1,$B$14,IF(C$88=$B$5+2,$B$15,0)))*C93</f>
        <v/>
      </c>
      <c r="D127" s="5">
        <f>($B$10+$B$11+$B$12)*$B$46*IF(D$88=$B$5,$B$13,IF(D$88=$B$5+1,$B$14,IF(D$88=$B$5+2,$B$15,0)))*D93</f>
        <v/>
      </c>
      <c r="E127" s="5">
        <f>($B$10+$B$11+$B$12)*$B$46*IF(E$88=$B$5,$B$13,IF(E$88=$B$5+1,$B$14,IF(E$88=$B$5+2,$B$15,0)))*E93</f>
        <v/>
      </c>
      <c r="F127" s="5">
        <f>($B$10+$B$11+$B$12)*$B$46*IF(F$88=$B$5,$B$13,IF(F$88=$B$5+1,$B$14,IF(F$88=$B$5+2,$B$15,0)))*F93</f>
        <v/>
      </c>
      <c r="G127" s="5">
        <f>($B$10+$B$11+$B$12)*$B$46*IF(G$88=$B$5,$B$13,IF(G$88=$B$5+1,$B$14,IF(G$88=$B$5+2,$B$15,0)))*G93</f>
        <v/>
      </c>
      <c r="H127" s="5">
        <f>($B$10+$B$11+$B$12)*$B$46*IF(H$88=$B$5,$B$13,IF(H$88=$B$5+1,$B$14,IF(H$88=$B$5+2,$B$15,0)))*H93</f>
        <v/>
      </c>
      <c r="I127" s="5">
        <f>($B$10+$B$11+$B$12)*$B$46*IF(I$88=$B$5,$B$13,IF(I$88=$B$5+1,$B$14,IF(I$88=$B$5+2,$B$15,0)))*I93</f>
        <v/>
      </c>
      <c r="J127" s="5">
        <f>($B$10+$B$11+$B$12)*$B$46*IF(J$88=$B$5,$B$13,IF(J$88=$B$5+1,$B$14,IF(J$88=$B$5+2,$B$15,0)))*J93</f>
        <v/>
      </c>
      <c r="K127" s="5">
        <f>($B$10+$B$11+$B$12)*$B$46*IF(K$88=$B$5,$B$13,IF(K$88=$B$5+1,$B$14,IF(K$88=$B$5+2,$B$15,0)))*K93</f>
        <v/>
      </c>
      <c r="L127" s="5">
        <f>($B$10+$B$11+$B$12)*$B$46*IF(L$88=$B$5,$B$13,IF(L$88=$B$5+1,$B$14,IF(L$88=$B$5+2,$B$15,0)))*L93</f>
        <v/>
      </c>
    </row>
    <row r="128">
      <c r="A128" t="inlineStr">
        <is>
          <t>Acquisition (prix + frais)</t>
        </is>
      </c>
      <c r="B128" s="5">
        <f>SUM(C128:L128)</f>
        <v/>
      </c>
      <c r="C128" s="5">
        <f>IF(C$88=$B$5,$B$7*(1+$B$8),0)</f>
        <v/>
      </c>
      <c r="D128" s="5">
        <f>IF(D$88=$B$5,$B$7*(1+$B$8),0)</f>
        <v/>
      </c>
      <c r="E128" s="5">
        <f>IF(E$88=$B$5,$B$7*(1+$B$8),0)</f>
        <v/>
      </c>
      <c r="F128" s="5">
        <f>IF(F$88=$B$5,$B$7*(1+$B$8),0)</f>
        <v/>
      </c>
      <c r="G128" s="5">
        <f>IF(G$88=$B$5,$B$7*(1+$B$8),0)</f>
        <v/>
      </c>
      <c r="H128" s="5">
        <f>IF(H$88=$B$5,$B$7*(1+$B$8),0)</f>
        <v/>
      </c>
      <c r="I128" s="5">
        <f>IF(I$88=$B$5,$B$7*(1+$B$8),0)</f>
        <v/>
      </c>
      <c r="J128" s="5">
        <f>IF(J$88=$B$5,$B$7*(1+$B$8),0)</f>
        <v/>
      </c>
      <c r="K128" s="5">
        <f>IF(K$88=$B$5,$B$7*(1+$B$8),0)</f>
        <v/>
      </c>
      <c r="L128" s="5">
        <f>IF(L$88=$B$5,$B$7*(1+$B$8),0)</f>
        <v/>
      </c>
    </row>
    <row r="129">
      <c r="A129" t="inlineStr">
        <is>
          <t>Gros entretien patrimonial récurrent</t>
        </is>
      </c>
      <c r="B129" s="5">
        <f>SUM(C129:L129)</f>
        <v/>
      </c>
      <c r="C129" s="5">
        <f>IF(C$88&gt;=$B$5+3,$B$16*($B$7+($B$10+$B$11+$B$12)*$B$46)*C93,0)</f>
        <v/>
      </c>
      <c r="D129" s="5">
        <f>IF(D$88&gt;=$B$5+3,$B$16*($B$7+($B$10+$B$11+$B$12)*$B$46)*D93,0)</f>
        <v/>
      </c>
      <c r="E129" s="5">
        <f>IF(E$88&gt;=$B$5+3,$B$16*($B$7+($B$10+$B$11+$B$12)*$B$46)*E93,0)</f>
        <v/>
      </c>
      <c r="F129" s="5">
        <f>IF(F$88&gt;=$B$5+3,$B$16*($B$7+($B$10+$B$11+$B$12)*$B$46)*F93,0)</f>
        <v/>
      </c>
      <c r="G129" s="5">
        <f>IF(G$88&gt;=$B$5+3,$B$16*($B$7+($B$10+$B$11+$B$12)*$B$46)*G93,0)</f>
        <v/>
      </c>
      <c r="H129" s="5">
        <f>IF(H$88&gt;=$B$5+3,$B$16*($B$7+($B$10+$B$11+$B$12)*$B$46)*H93,0)</f>
        <v/>
      </c>
      <c r="I129" s="5">
        <f>IF(I$88&gt;=$B$5+3,$B$16*($B$7+($B$10+$B$11+$B$12)*$B$46)*I93,0)</f>
        <v/>
      </c>
      <c r="J129" s="5">
        <f>IF(J$88&gt;=$B$5+3,$B$16*($B$7+($B$10+$B$11+$B$12)*$B$46)*J93,0)</f>
        <v/>
      </c>
      <c r="K129" s="5">
        <f>IF(K$88&gt;=$B$5+3,$B$16*($B$7+($B$10+$B$11+$B$12)*$B$46)*K93,0)</f>
        <v/>
      </c>
      <c r="L129" s="5">
        <f>IF(L$88&gt;=$B$5+3,$B$16*($B$7+($B$10+$B$11+$B$12)*$B$46)*L93,0)</f>
        <v/>
      </c>
    </row>
    <row r="130">
      <c r="A130" t="inlineStr">
        <is>
          <t>Investissements amortissables cumulés</t>
        </is>
      </c>
      <c r="C130" s="5">
        <f>C127+C129</f>
        <v/>
      </c>
      <c r="D130" s="5">
        <f>C130+D127+D129</f>
        <v/>
      </c>
      <c r="E130" s="5">
        <f>D130+E127+E129</f>
        <v/>
      </c>
      <c r="F130" s="5">
        <f>E130+F127+F129</f>
        <v/>
      </c>
      <c r="G130" s="5">
        <f>F130+G127+G129</f>
        <v/>
      </c>
      <c r="H130" s="5">
        <f>G130+H127+H129</f>
        <v/>
      </c>
      <c r="I130" s="5">
        <f>H130+I127+I129</f>
        <v/>
      </c>
      <c r="J130" s="5">
        <f>I130+J127+J129</f>
        <v/>
      </c>
      <c r="K130" s="5">
        <f>J130+K127+K129</f>
        <v/>
      </c>
      <c r="L130" s="5">
        <f>K130+L127+L129</f>
        <v/>
      </c>
    </row>
    <row r="131">
      <c r="A131" t="inlineStr">
        <is>
          <t>Dotations aux amortissements (bâti 30 ans, travaux 15 ans)</t>
        </is>
      </c>
      <c r="B131" s="5">
        <f>SUM(C131:L131)</f>
        <v/>
      </c>
      <c r="C131" s="5">
        <f>-(C94*$B$7*(1+$B$8)*$B$9/30+C130/15)</f>
        <v/>
      </c>
      <c r="D131" s="5">
        <f>-(D94*$B$7*(1+$B$8)*$B$9/30+D130/15)</f>
        <v/>
      </c>
      <c r="E131" s="5">
        <f>-(E94*$B$7*(1+$B$8)*$B$9/30+E130/15)</f>
        <v/>
      </c>
      <c r="F131" s="5">
        <f>-(F94*$B$7*(1+$B$8)*$B$9/30+F130/15)</f>
        <v/>
      </c>
      <c r="G131" s="5">
        <f>-(G94*$B$7*(1+$B$8)*$B$9/30+G130/15)</f>
        <v/>
      </c>
      <c r="H131" s="5">
        <f>-(H94*$B$7*(1+$B$8)*$B$9/30+H130/15)</f>
        <v/>
      </c>
      <c r="I131" s="5">
        <f>-(I94*$B$7*(1+$B$8)*$B$9/30+I130/15)</f>
        <v/>
      </c>
      <c r="J131" s="5">
        <f>-(J94*$B$7*(1+$B$8)*$B$9/30+J130/15)</f>
        <v/>
      </c>
      <c r="K131" s="5">
        <f>-(K94*$B$7*(1+$B$8)*$B$9/30+K130/15)</f>
        <v/>
      </c>
      <c r="L131" s="5">
        <f>-(L94*$B$7*(1+$B$8)*$B$9/30+L130/15)</f>
        <v/>
      </c>
    </row>
    <row r="132">
      <c r="A132" s="4" t="inlineStr">
        <is>
          <t>Résultat d'exploitation</t>
        </is>
      </c>
      <c r="B132" s="18">
        <f>SUM(C132:L132)</f>
        <v/>
      </c>
      <c r="C132" s="18">
        <f>C124+C131</f>
        <v/>
      </c>
      <c r="D132" s="18">
        <f>D124+D131</f>
        <v/>
      </c>
      <c r="E132" s="18">
        <f>E124+E131</f>
        <v/>
      </c>
      <c r="F132" s="18">
        <f>F124+F131</f>
        <v/>
      </c>
      <c r="G132" s="18">
        <f>G124+G131</f>
        <v/>
      </c>
      <c r="H132" s="18">
        <f>H124+H131</f>
        <v/>
      </c>
      <c r="I132" s="18">
        <f>I124+I131</f>
        <v/>
      </c>
      <c r="J132" s="18">
        <f>J124+J131</f>
        <v/>
      </c>
      <c r="K132" s="18">
        <f>K124+K131</f>
        <v/>
      </c>
      <c r="L132" s="18">
        <f>L124+L131</f>
        <v/>
      </c>
    </row>
    <row r="134">
      <c r="A134" s="4" t="inlineStr">
        <is>
          <t>Échéancier des emprunts</t>
        </is>
      </c>
    </row>
    <row r="135">
      <c r="A135" t="inlineStr">
        <is>
          <t>Taux bancaire effectif</t>
        </is>
      </c>
      <c r="C135" s="6">
        <f>$B$28+$B$48</f>
        <v/>
      </c>
      <c r="D135" s="6">
        <f>$B$28+$B$48</f>
        <v/>
      </c>
      <c r="E135" s="6">
        <f>$B$28+$B$48</f>
        <v/>
      </c>
      <c r="F135" s="6">
        <f>$B$28+$B$48</f>
        <v/>
      </c>
      <c r="G135" s="6">
        <f>$B$28+$B$48</f>
        <v/>
      </c>
      <c r="H135" s="6">
        <f>$B$28+$B$48</f>
        <v/>
      </c>
      <c r="I135" s="6">
        <f>$B$28+$B$48</f>
        <v/>
      </c>
      <c r="J135" s="6">
        <f>$B$28+$B$48</f>
        <v/>
      </c>
      <c r="K135" s="6">
        <f>$B$28+$B$48</f>
        <v/>
      </c>
      <c r="L135" s="6">
        <f>$B$28+$B$48</f>
        <v/>
      </c>
    </row>
    <row r="136">
      <c r="A136" t="inlineStr">
        <is>
          <t>Rang de l'année d'emprunt</t>
        </is>
      </c>
      <c r="C136" s="8">
        <f>MAX(0,C$88-$B$5+1)</f>
        <v/>
      </c>
      <c r="D136" s="8">
        <f>MAX(0,D$88-$B$5+1)</f>
        <v/>
      </c>
      <c r="E136" s="8">
        <f>MAX(0,E$88-$B$5+1)</f>
        <v/>
      </c>
      <c r="F136" s="8">
        <f>MAX(0,F$88-$B$5+1)</f>
        <v/>
      </c>
      <c r="G136" s="8">
        <f>MAX(0,G$88-$B$5+1)</f>
        <v/>
      </c>
      <c r="H136" s="8">
        <f>MAX(0,H$88-$B$5+1)</f>
        <v/>
      </c>
      <c r="I136" s="8">
        <f>MAX(0,I$88-$B$5+1)</f>
        <v/>
      </c>
      <c r="J136" s="8">
        <f>MAX(0,J$88-$B$5+1)</f>
        <v/>
      </c>
      <c r="K136" s="8">
        <f>MAX(0,K$88-$B$5+1)</f>
        <v/>
      </c>
      <c r="L136" s="8">
        <f>MAX(0,L$88-$B$5+1)</f>
        <v/>
      </c>
    </row>
    <row r="137">
      <c r="A137" t="inlineStr">
        <is>
          <t>Dette bancaire — capital début</t>
        </is>
      </c>
      <c r="C137" s="5">
        <f>IF(C136=1,$B$27,0)</f>
        <v/>
      </c>
      <c r="D137" s="5">
        <f>IF(D136=1,$B$27,C140)</f>
        <v/>
      </c>
      <c r="E137" s="5">
        <f>IF(E136=1,$B$27,D140)</f>
        <v/>
      </c>
      <c r="F137" s="5">
        <f>IF(F136=1,$B$27,E140)</f>
        <v/>
      </c>
      <c r="G137" s="5">
        <f>IF(G136=1,$B$27,F140)</f>
        <v/>
      </c>
      <c r="H137" s="5">
        <f>IF(H136=1,$B$27,G140)</f>
        <v/>
      </c>
      <c r="I137" s="5">
        <f>IF(I136=1,$B$27,H140)</f>
        <v/>
      </c>
      <c r="J137" s="5">
        <f>IF(J136=1,$B$27,I140)</f>
        <v/>
      </c>
      <c r="K137" s="5">
        <f>IF(K136=1,$B$27,J140)</f>
        <v/>
      </c>
      <c r="L137" s="5">
        <f>IF(L136=1,$B$27,K140)</f>
        <v/>
      </c>
    </row>
    <row r="138">
      <c r="A138" t="inlineStr">
        <is>
          <t xml:space="preserve">  Intérêts</t>
        </is>
      </c>
      <c r="B138" s="5">
        <f>SUM(C138:L138)</f>
        <v/>
      </c>
      <c r="C138" s="5">
        <f>C137*C135</f>
        <v/>
      </c>
      <c r="D138" s="5">
        <f>D137*D135</f>
        <v/>
      </c>
      <c r="E138" s="5">
        <f>E137*E135</f>
        <v/>
      </c>
      <c r="F138" s="5">
        <f>F137*F135</f>
        <v/>
      </c>
      <c r="G138" s="5">
        <f>G137*G135</f>
        <v/>
      </c>
      <c r="H138" s="5">
        <f>H137*H135</f>
        <v/>
      </c>
      <c r="I138" s="5">
        <f>I137*I135</f>
        <v/>
      </c>
      <c r="J138" s="5">
        <f>J137*J135</f>
        <v/>
      </c>
      <c r="K138" s="5">
        <f>K137*K135</f>
        <v/>
      </c>
      <c r="L138" s="5">
        <f>L137*L135</f>
        <v/>
      </c>
    </row>
    <row r="139">
      <c r="A139" t="inlineStr">
        <is>
          <t xml:space="preserve">  Amortissement du capital</t>
        </is>
      </c>
      <c r="B139" s="5">
        <f>SUM(C139:L139)</f>
        <v/>
      </c>
      <c r="C139" s="5">
        <f>IF(OR(C136=0,C136&lt;=$B$30,C137&lt;=0),0,MIN(C137,PMT(C135,$B$29-$B$30,-$B$27)-C138))</f>
        <v/>
      </c>
      <c r="D139" s="5">
        <f>IF(OR(D136=0,D136&lt;=$B$30,D137&lt;=0),0,MIN(D137,PMT(D135,$B$29-$B$30,-$B$27)-D138))</f>
        <v/>
      </c>
      <c r="E139" s="5">
        <f>IF(OR(E136=0,E136&lt;=$B$30,E137&lt;=0),0,MIN(E137,PMT(E135,$B$29-$B$30,-$B$27)-E138))</f>
        <v/>
      </c>
      <c r="F139" s="5">
        <f>IF(OR(F136=0,F136&lt;=$B$30,F137&lt;=0),0,MIN(F137,PMT(F135,$B$29-$B$30,-$B$27)-F138))</f>
        <v/>
      </c>
      <c r="G139" s="5">
        <f>IF(OR(G136=0,G136&lt;=$B$30,G137&lt;=0),0,MIN(G137,PMT(G135,$B$29-$B$30,-$B$27)-G138))</f>
        <v/>
      </c>
      <c r="H139" s="5">
        <f>IF(OR(H136=0,H136&lt;=$B$30,H137&lt;=0),0,MIN(H137,PMT(H135,$B$29-$B$30,-$B$27)-H138))</f>
        <v/>
      </c>
      <c r="I139" s="5">
        <f>IF(OR(I136=0,I136&lt;=$B$30,I137&lt;=0),0,MIN(I137,PMT(I135,$B$29-$B$30,-$B$27)-I138))</f>
        <v/>
      </c>
      <c r="J139" s="5">
        <f>IF(OR(J136=0,J136&lt;=$B$30,J137&lt;=0),0,MIN(J137,PMT(J135,$B$29-$B$30,-$B$27)-J138))</f>
        <v/>
      </c>
      <c r="K139" s="5">
        <f>IF(OR(K136=0,K136&lt;=$B$30,K137&lt;=0),0,MIN(K137,PMT(K135,$B$29-$B$30,-$B$27)-K138))</f>
        <v/>
      </c>
      <c r="L139" s="5">
        <f>IF(OR(L136=0,L136&lt;=$B$30,L137&lt;=0),0,MIN(L137,PMT(L135,$B$29-$B$30,-$B$27)-L138))</f>
        <v/>
      </c>
    </row>
    <row r="140">
      <c r="A140" t="inlineStr">
        <is>
          <t>Dette bancaire — capital fin</t>
        </is>
      </c>
      <c r="C140" s="5">
        <f>C137-C139</f>
        <v/>
      </c>
      <c r="D140" s="5">
        <f>D137-D139</f>
        <v/>
      </c>
      <c r="E140" s="5">
        <f>E137-E139</f>
        <v/>
      </c>
      <c r="F140" s="5">
        <f>F137-F139</f>
        <v/>
      </c>
      <c r="G140" s="5">
        <f>G137-G139</f>
        <v/>
      </c>
      <c r="H140" s="5">
        <f>H137-H139</f>
        <v/>
      </c>
      <c r="I140" s="5">
        <f>I137-I139</f>
        <v/>
      </c>
      <c r="J140" s="5">
        <f>J137-J139</f>
        <v/>
      </c>
      <c r="K140" s="5">
        <f>K137-K139</f>
        <v/>
      </c>
      <c r="L140" s="5">
        <f>L137-L139</f>
        <v/>
      </c>
    </row>
    <row r="141">
      <c r="A141" t="inlineStr">
        <is>
          <t>Crédit-vendeur — capital début</t>
        </is>
      </c>
      <c r="C141" s="5">
        <f>IF(C136=1,$B$31,0)</f>
        <v/>
      </c>
      <c r="D141" s="5">
        <f>IF(D136=1,$B$31,C144)</f>
        <v/>
      </c>
      <c r="E141" s="5">
        <f>IF(E136=1,$B$31,D144)</f>
        <v/>
      </c>
      <c r="F141" s="5">
        <f>IF(F136=1,$B$31,E144)</f>
        <v/>
      </c>
      <c r="G141" s="5">
        <f>IF(G136=1,$B$31,F144)</f>
        <v/>
      </c>
      <c r="H141" s="5">
        <f>IF(H136=1,$B$31,G144)</f>
        <v/>
      </c>
      <c r="I141" s="5">
        <f>IF(I136=1,$B$31,H144)</f>
        <v/>
      </c>
      <c r="J141" s="5">
        <f>IF(J136=1,$B$31,I144)</f>
        <v/>
      </c>
      <c r="K141" s="5">
        <f>IF(K136=1,$B$31,J144)</f>
        <v/>
      </c>
      <c r="L141" s="5">
        <f>IF(L136=1,$B$31,K144)</f>
        <v/>
      </c>
    </row>
    <row r="142">
      <c r="A142" t="inlineStr">
        <is>
          <t xml:space="preserve">  Intérêts crédit-vendeur</t>
        </is>
      </c>
      <c r="B142" s="5">
        <f>SUM(C142:L142)</f>
        <v/>
      </c>
      <c r="C142" s="5">
        <f>C141*$B$32</f>
        <v/>
      </c>
      <c r="D142" s="5">
        <f>D141*$B$32</f>
        <v/>
      </c>
      <c r="E142" s="5">
        <f>E141*$B$32</f>
        <v/>
      </c>
      <c r="F142" s="5">
        <f>F141*$B$32</f>
        <v/>
      </c>
      <c r="G142" s="5">
        <f>G141*$B$32</f>
        <v/>
      </c>
      <c r="H142" s="5">
        <f>H141*$B$32</f>
        <v/>
      </c>
      <c r="I142" s="5">
        <f>I141*$B$32</f>
        <v/>
      </c>
      <c r="J142" s="5">
        <f>J141*$B$32</f>
        <v/>
      </c>
      <c r="K142" s="5">
        <f>K141*$B$32</f>
        <v/>
      </c>
      <c r="L142" s="5">
        <f>L141*$B$32</f>
        <v/>
      </c>
    </row>
    <row r="143">
      <c r="A143" t="inlineStr">
        <is>
          <t xml:space="preserve">  Amortissement crédit-vendeur</t>
        </is>
      </c>
      <c r="B143" s="5">
        <f>SUM(C143:L143)</f>
        <v/>
      </c>
      <c r="C143" s="5">
        <f>IF(OR(C136=0,C141&lt;=0),0,MIN(C141,IF($B$32=0,$B$31/$B$33,PMT($B$32,$B$33,-$B$31)-C142)))</f>
        <v/>
      </c>
      <c r="D143" s="5">
        <f>IF(OR(D136=0,D141&lt;=0),0,MIN(D141,IF($B$32=0,$B$31/$B$33,PMT($B$32,$B$33,-$B$31)-D142)))</f>
        <v/>
      </c>
      <c r="E143" s="5">
        <f>IF(OR(E136=0,E141&lt;=0),0,MIN(E141,IF($B$32=0,$B$31/$B$33,PMT($B$32,$B$33,-$B$31)-E142)))</f>
        <v/>
      </c>
      <c r="F143" s="5">
        <f>IF(OR(F136=0,F141&lt;=0),0,MIN(F141,IF($B$32=0,$B$31/$B$33,PMT($B$32,$B$33,-$B$31)-F142)))</f>
        <v/>
      </c>
      <c r="G143" s="5">
        <f>IF(OR(G136=0,G141&lt;=0),0,MIN(G141,IF($B$32=0,$B$31/$B$33,PMT($B$32,$B$33,-$B$31)-G142)))</f>
        <v/>
      </c>
      <c r="H143" s="5">
        <f>IF(OR(H136=0,H141&lt;=0),0,MIN(H141,IF($B$32=0,$B$31/$B$33,PMT($B$32,$B$33,-$B$31)-H142)))</f>
        <v/>
      </c>
      <c r="I143" s="5">
        <f>IF(OR(I136=0,I141&lt;=0),0,MIN(I141,IF($B$32=0,$B$31/$B$33,PMT($B$32,$B$33,-$B$31)-I142)))</f>
        <v/>
      </c>
      <c r="J143" s="5">
        <f>IF(OR(J136=0,J141&lt;=0),0,MIN(J141,IF($B$32=0,$B$31/$B$33,PMT($B$32,$B$33,-$B$31)-J142)))</f>
        <v/>
      </c>
      <c r="K143" s="5">
        <f>IF(OR(K136=0,K141&lt;=0),0,MIN(K141,IF($B$32=0,$B$31/$B$33,PMT($B$32,$B$33,-$B$31)-K142)))</f>
        <v/>
      </c>
      <c r="L143" s="5">
        <f>IF(OR(L136=0,L141&lt;=0),0,MIN(L141,IF($B$32=0,$B$31/$B$33,PMT($B$32,$B$33,-$B$31)-L142)))</f>
        <v/>
      </c>
    </row>
    <row r="144">
      <c r="A144" t="inlineStr">
        <is>
          <t>Crédit-vendeur — capital fin</t>
        </is>
      </c>
      <c r="C144" s="5">
        <f>C141-C143</f>
        <v/>
      </c>
      <c r="D144" s="5">
        <f>D141-D143</f>
        <v/>
      </c>
      <c r="E144" s="5">
        <f>E141-E143</f>
        <v/>
      </c>
      <c r="F144" s="5">
        <f>F141-F143</f>
        <v/>
      </c>
      <c r="G144" s="5">
        <f>G141-G143</f>
        <v/>
      </c>
      <c r="H144" s="5">
        <f>H141-H143</f>
        <v/>
      </c>
      <c r="I144" s="5">
        <f>I141-I143</f>
        <v/>
      </c>
      <c r="J144" s="5">
        <f>J141-J143</f>
        <v/>
      </c>
      <c r="K144" s="5">
        <f>K141-K143</f>
        <v/>
      </c>
      <c r="L144" s="5">
        <f>L141-L143</f>
        <v/>
      </c>
    </row>
    <row r="145">
      <c r="A145" t="inlineStr">
        <is>
          <t>Obligations — encours</t>
        </is>
      </c>
      <c r="C145" s="5">
        <f>IF(AND(C$88&gt;=$B$5,C$88&lt;=$B$36),$B$34,0)</f>
        <v/>
      </c>
      <c r="D145" s="5">
        <f>IF(AND(D$88&gt;=$B$5,D$88&lt;=$B$36),$B$34,0)</f>
        <v/>
      </c>
      <c r="E145" s="5">
        <f>IF(AND(E$88&gt;=$B$5,E$88&lt;=$B$36),$B$34,0)</f>
        <v/>
      </c>
      <c r="F145" s="5">
        <f>IF(AND(F$88&gt;=$B$5,F$88&lt;=$B$36),$B$34,0)</f>
        <v/>
      </c>
      <c r="G145" s="5">
        <f>IF(AND(G$88&gt;=$B$5,G$88&lt;=$B$36),$B$34,0)</f>
        <v/>
      </c>
      <c r="H145" s="5">
        <f>IF(AND(H$88&gt;=$B$5,H$88&lt;=$B$36),$B$34,0)</f>
        <v/>
      </c>
      <c r="I145" s="5">
        <f>IF(AND(I$88&gt;=$B$5,I$88&lt;=$B$36),$B$34,0)</f>
        <v/>
      </c>
      <c r="J145" s="5">
        <f>IF(AND(J$88&gt;=$B$5,J$88&lt;=$B$36),$B$34,0)</f>
        <v/>
      </c>
      <c r="K145" s="5">
        <f>IF(AND(K$88&gt;=$B$5,K$88&lt;=$B$36),$B$34,0)</f>
        <v/>
      </c>
      <c r="L145" s="5">
        <f>IF(AND(L$88&gt;=$B$5,L$88&lt;=$B$36),$B$34,0)</f>
        <v/>
      </c>
    </row>
    <row r="146">
      <c r="A146" t="inlineStr">
        <is>
          <t xml:space="preserve">  Coupons obligataires</t>
        </is>
      </c>
      <c r="B146" s="5">
        <f>SUM(C146:L146)</f>
        <v/>
      </c>
      <c r="C146" s="5">
        <f>C145*$B$35</f>
        <v/>
      </c>
      <c r="D146" s="5">
        <f>D145*$B$35</f>
        <v/>
      </c>
      <c r="E146" s="5">
        <f>E145*$B$35</f>
        <v/>
      </c>
      <c r="F146" s="5">
        <f>F145*$B$35</f>
        <v/>
      </c>
      <c r="G146" s="5">
        <f>G145*$B$35</f>
        <v/>
      </c>
      <c r="H146" s="5">
        <f>H145*$B$35</f>
        <v/>
      </c>
      <c r="I146" s="5">
        <f>I145*$B$35</f>
        <v/>
      </c>
      <c r="J146" s="5">
        <f>J145*$B$35</f>
        <v/>
      </c>
      <c r="K146" s="5">
        <f>K145*$B$35</f>
        <v/>
      </c>
      <c r="L146" s="5">
        <f>L145*$B$35</f>
        <v/>
      </c>
    </row>
    <row r="147">
      <c r="A147" t="inlineStr">
        <is>
          <t xml:space="preserve">  Remboursement obligations</t>
        </is>
      </c>
      <c r="B147" s="5">
        <f>SUM(C147:L147)</f>
        <v/>
      </c>
      <c r="C147" s="5">
        <f>IF(C$88=$B$36,$B$34,0)</f>
        <v/>
      </c>
      <c r="D147" s="5">
        <f>IF(D$88=$B$36,$B$34,0)</f>
        <v/>
      </c>
      <c r="E147" s="5">
        <f>IF(E$88=$B$36,$B$34,0)</f>
        <v/>
      </c>
      <c r="F147" s="5">
        <f>IF(F$88=$B$36,$B$34,0)</f>
        <v/>
      </c>
      <c r="G147" s="5">
        <f>IF(G$88=$B$36,$B$34,0)</f>
        <v/>
      </c>
      <c r="H147" s="5">
        <f>IF(H$88=$B$36,$B$34,0)</f>
        <v/>
      </c>
      <c r="I147" s="5">
        <f>IF(I$88=$B$36,$B$34,0)</f>
        <v/>
      </c>
      <c r="J147" s="5">
        <f>IF(J$88=$B$36,$B$34,0)</f>
        <v/>
      </c>
      <c r="K147" s="5">
        <f>IF(K$88=$B$36,$B$34,0)</f>
        <v/>
      </c>
      <c r="L147" s="5">
        <f>IF(L$88=$B$36,$B$34,0)</f>
        <v/>
      </c>
    </row>
    <row r="149">
      <c r="A149" t="inlineStr">
        <is>
          <t>Charges financières</t>
        </is>
      </c>
      <c r="B149" s="5">
        <f>SUM(C149:L149)</f>
        <v/>
      </c>
      <c r="C149" s="5">
        <f>-(C138+C142+C146)</f>
        <v/>
      </c>
      <c r="D149" s="5">
        <f>-(D138+D142+D146)</f>
        <v/>
      </c>
      <c r="E149" s="5">
        <f>-(E138+E142+E146)</f>
        <v/>
      </c>
      <c r="F149" s="5">
        <f>-(F138+F142+F146)</f>
        <v/>
      </c>
      <c r="G149" s="5">
        <f>-(G138+G142+G146)</f>
        <v/>
      </c>
      <c r="H149" s="5">
        <f>-(H138+H142+H146)</f>
        <v/>
      </c>
      <c r="I149" s="5">
        <f>-(I138+I142+I146)</f>
        <v/>
      </c>
      <c r="J149" s="5">
        <f>-(J138+J142+J146)</f>
        <v/>
      </c>
      <c r="K149" s="5">
        <f>-(K138+K142+K146)</f>
        <v/>
      </c>
      <c r="L149" s="5">
        <f>-(L138+L142+L146)</f>
        <v/>
      </c>
    </row>
    <row r="150">
      <c r="A150" s="4" t="inlineStr">
        <is>
          <t>Résultat avant impôt</t>
        </is>
      </c>
      <c r="B150" s="18">
        <f>SUM(C150:L150)</f>
        <v/>
      </c>
      <c r="C150" s="18">
        <f>C132+C149+C125</f>
        <v/>
      </c>
      <c r="D150" s="18">
        <f>D132+D149+D125</f>
        <v/>
      </c>
      <c r="E150" s="18">
        <f>E132+E149+E125</f>
        <v/>
      </c>
      <c r="F150" s="18">
        <f>F132+F149+F125</f>
        <v/>
      </c>
      <c r="G150" s="18">
        <f>G132+G149+G125</f>
        <v/>
      </c>
      <c r="H150" s="18">
        <f>H132+H149+H125</f>
        <v/>
      </c>
      <c r="I150" s="18">
        <f>I132+I149+I125</f>
        <v/>
      </c>
      <c r="J150" s="18">
        <f>J132+J149+J125</f>
        <v/>
      </c>
      <c r="K150" s="18">
        <f>K132+K149+K125</f>
        <v/>
      </c>
      <c r="L150" s="18">
        <f>L132+L149+L125</f>
        <v/>
      </c>
    </row>
    <row r="151">
      <c r="A151" t="inlineStr">
        <is>
          <t>Stock de déficits reportables (fin d'année)</t>
        </is>
      </c>
      <c r="C151" s="5">
        <f>MAX(0,-C150)</f>
        <v/>
      </c>
      <c r="D151" s="5">
        <f>MAX(0,C151-D150)</f>
        <v/>
      </c>
      <c r="E151" s="5">
        <f>MAX(0,D151-E150)</f>
        <v/>
      </c>
      <c r="F151" s="5">
        <f>MAX(0,E151-F150)</f>
        <v/>
      </c>
      <c r="G151" s="5">
        <f>MAX(0,F151-G150)</f>
        <v/>
      </c>
      <c r="H151" s="5">
        <f>MAX(0,G151-H150)</f>
        <v/>
      </c>
      <c r="I151" s="5">
        <f>MAX(0,H151-I150)</f>
        <v/>
      </c>
      <c r="J151" s="5">
        <f>MAX(0,I151-J150)</f>
        <v/>
      </c>
      <c r="K151" s="5">
        <f>MAX(0,J151-K150)</f>
        <v/>
      </c>
      <c r="L151" s="5">
        <f>MAX(0,K151-L150)</f>
        <v/>
      </c>
    </row>
    <row r="152">
      <c r="A152" t="inlineStr">
        <is>
          <t>Impôt sur les sociétés</t>
        </is>
      </c>
      <c r="B152" s="5">
        <f>SUM(C152:L152)</f>
        <v/>
      </c>
      <c r="C152" s="5">
        <f>-MAX(0,C150)*$B$59</f>
        <v/>
      </c>
      <c r="D152" s="5">
        <f>-MAX(0,D150-C151)*$B$59</f>
        <v/>
      </c>
      <c r="E152" s="5">
        <f>-MAX(0,E150-D151)*$B$59</f>
        <v/>
      </c>
      <c r="F152" s="5">
        <f>-MAX(0,F150-E151)*$B$59</f>
        <v/>
      </c>
      <c r="G152" s="5">
        <f>-MAX(0,G150-F151)*$B$59</f>
        <v/>
      </c>
      <c r="H152" s="5">
        <f>-MAX(0,H150-G151)*$B$59</f>
        <v/>
      </c>
      <c r="I152" s="5">
        <f>-MAX(0,I150-H151)*$B$59</f>
        <v/>
      </c>
      <c r="J152" s="5">
        <f>-MAX(0,J150-I151)*$B$59</f>
        <v/>
      </c>
      <c r="K152" s="5">
        <f>-MAX(0,K150-J151)*$B$59</f>
        <v/>
      </c>
      <c r="L152" s="5">
        <f>-MAX(0,L150-K151)*$B$59</f>
        <v/>
      </c>
    </row>
    <row r="153">
      <c r="A153" s="4" t="inlineStr">
        <is>
          <t>Résultat net</t>
        </is>
      </c>
      <c r="B153" s="18">
        <f>SUM(C153:L153)</f>
        <v/>
      </c>
      <c r="C153" s="18">
        <f>C150+C152</f>
        <v/>
      </c>
      <c r="D153" s="18">
        <f>D150+D152</f>
        <v/>
      </c>
      <c r="E153" s="18">
        <f>E150+E152</f>
        <v/>
      </c>
      <c r="F153" s="18">
        <f>F150+F152</f>
        <v/>
      </c>
      <c r="G153" s="18">
        <f>G150+G152</f>
        <v/>
      </c>
      <c r="H153" s="18">
        <f>H150+H152</f>
        <v/>
      </c>
      <c r="I153" s="18">
        <f>I150+I152</f>
        <v/>
      </c>
      <c r="J153" s="18">
        <f>J150+J152</f>
        <v/>
      </c>
      <c r="K153" s="18">
        <f>K150+K152</f>
        <v/>
      </c>
      <c r="L153" s="18">
        <f>L150+L152</f>
        <v/>
      </c>
    </row>
    <row r="155">
      <c r="A155" s="4" t="inlineStr">
        <is>
          <t>Tableau des flux de trésorerie</t>
        </is>
      </c>
    </row>
    <row r="156">
      <c r="A156" t="inlineStr">
        <is>
          <t>BFR (niveau)</t>
        </is>
      </c>
      <c r="C156" s="5">
        <f>C107*$B$58</f>
        <v/>
      </c>
      <c r="D156" s="5">
        <f>D107*$B$58</f>
        <v/>
      </c>
      <c r="E156" s="5">
        <f>E107*$B$58</f>
        <v/>
      </c>
      <c r="F156" s="5">
        <f>F107*$B$58</f>
        <v/>
      </c>
      <c r="G156" s="5">
        <f>G107*$B$58</f>
        <v/>
      </c>
      <c r="H156" s="5">
        <f>H107*$B$58</f>
        <v/>
      </c>
      <c r="I156" s="5">
        <f>I107*$B$58</f>
        <v/>
      </c>
      <c r="J156" s="5">
        <f>J107*$B$58</f>
        <v/>
      </c>
      <c r="K156" s="5">
        <f>K107*$B$58</f>
        <v/>
      </c>
      <c r="L156" s="5">
        <f>L107*$B$58</f>
        <v/>
      </c>
    </row>
    <row r="157">
      <c r="A157" t="inlineStr">
        <is>
          <t>Variation du BFR</t>
        </is>
      </c>
      <c r="B157" s="5">
        <f>SUM(C157:L157)</f>
        <v/>
      </c>
      <c r="C157" s="5">
        <f>-C156</f>
        <v/>
      </c>
      <c r="D157" s="5">
        <f>-(D156-C156)</f>
        <v/>
      </c>
      <c r="E157" s="5">
        <f>-(E156-D156)</f>
        <v/>
      </c>
      <c r="F157" s="5">
        <f>-(F156-E156)</f>
        <v/>
      </c>
      <c r="G157" s="5">
        <f>-(G156-F156)</f>
        <v/>
      </c>
      <c r="H157" s="5">
        <f>-(H156-G156)</f>
        <v/>
      </c>
      <c r="I157" s="5">
        <f>-(I156-H156)</f>
        <v/>
      </c>
      <c r="J157" s="5">
        <f>-(J156-I156)</f>
        <v/>
      </c>
      <c r="K157" s="5">
        <f>-(K156-J156)</f>
        <v/>
      </c>
      <c r="L157" s="5">
        <f>-(L156-K156)</f>
        <v/>
      </c>
    </row>
    <row r="158">
      <c r="A158" s="4" t="inlineStr">
        <is>
          <t>Flux d'exploitation (EBITDA + loyer privé − IS − ΔBFR)</t>
        </is>
      </c>
      <c r="B158" s="18">
        <f>SUM(C158:L158)</f>
        <v/>
      </c>
      <c r="C158" s="18">
        <f>C124+C125+C152+C157</f>
        <v/>
      </c>
      <c r="D158" s="18">
        <f>D124+D125+D152+D157</f>
        <v/>
      </c>
      <c r="E158" s="18">
        <f>E124+E125+E152+E157</f>
        <v/>
      </c>
      <c r="F158" s="18">
        <f>F124+F125+F152+F157</f>
        <v/>
      </c>
      <c r="G158" s="18">
        <f>G124+G125+G152+G157</f>
        <v/>
      </c>
      <c r="H158" s="18">
        <f>H124+H125+H152+H157</f>
        <v/>
      </c>
      <c r="I158" s="18">
        <f>I124+I125+I152+I157</f>
        <v/>
      </c>
      <c r="J158" s="18">
        <f>J124+J125+J152+J157</f>
        <v/>
      </c>
      <c r="K158" s="18">
        <f>K124+K125+K152+K157</f>
        <v/>
      </c>
      <c r="L158" s="18">
        <f>L124+L125+L152+L157</f>
        <v/>
      </c>
    </row>
    <row r="159">
      <c r="A159" s="4" t="inlineStr">
        <is>
          <t>Flux d'investissement</t>
        </is>
      </c>
      <c r="B159" s="18">
        <f>SUM(C159:L159)</f>
        <v/>
      </c>
      <c r="C159" s="18">
        <f>-(C128+C127+C129)</f>
        <v/>
      </c>
      <c r="D159" s="18">
        <f>-(D128+D127+D129)</f>
        <v/>
      </c>
      <c r="E159" s="18">
        <f>-(E128+E127+E129)</f>
        <v/>
      </c>
      <c r="F159" s="18">
        <f>-(F128+F127+F129)</f>
        <v/>
      </c>
      <c r="G159" s="18">
        <f>-(G128+G127+G129)</f>
        <v/>
      </c>
      <c r="H159" s="18">
        <f>-(H128+H127+H129)</f>
        <v/>
      </c>
      <c r="I159" s="18">
        <f>-(I128+I127+I129)</f>
        <v/>
      </c>
      <c r="J159" s="18">
        <f>-(J128+J127+J129)</f>
        <v/>
      </c>
      <c r="K159" s="18">
        <f>-(K128+K127+K129)</f>
        <v/>
      </c>
      <c r="L159" s="18">
        <f>-(L128+L127+L129)</f>
        <v/>
      </c>
    </row>
    <row r="160">
      <c r="A160" t="inlineStr">
        <is>
          <t xml:space="preserve">  Apports en fonds propres + subventions</t>
        </is>
      </c>
      <c r="B160" s="5">
        <f>SUM(C160:L160)</f>
        <v/>
      </c>
      <c r="C160" s="5">
        <f>IF(C$88=1,$B$23,0)+IF(C$88=$B$5,$B$24*(1-$B$49)+$B$26,0)</f>
        <v/>
      </c>
      <c r="D160" s="5">
        <f>IF(D$88=1,$B$23,0)+IF(D$88=$B$5,$B$24*(1-$B$49)+$B$26,0)</f>
        <v/>
      </c>
      <c r="E160" s="5">
        <f>IF(E$88=1,$B$23,0)+IF(E$88=$B$5,$B$24*(1-$B$49)+$B$26,0)</f>
        <v/>
      </c>
      <c r="F160" s="5">
        <f>IF(F$88=1,$B$23,0)+IF(F$88=$B$5,$B$24*(1-$B$49)+$B$26,0)</f>
        <v/>
      </c>
      <c r="G160" s="5">
        <f>IF(G$88=1,$B$23,0)+IF(G$88=$B$5,$B$24*(1-$B$49)+$B$26,0)</f>
        <v/>
      </c>
      <c r="H160" s="5">
        <f>IF(H$88=1,$B$23,0)+IF(H$88=$B$5,$B$24*(1-$B$49)+$B$26,0)</f>
        <v/>
      </c>
      <c r="I160" s="5">
        <f>IF(I$88=1,$B$23,0)+IF(I$88=$B$5,$B$24*(1-$B$49)+$B$26,0)</f>
        <v/>
      </c>
      <c r="J160" s="5">
        <f>IF(J$88=1,$B$23,0)+IF(J$88=$B$5,$B$24*(1-$B$49)+$B$26,0)</f>
        <v/>
      </c>
      <c r="K160" s="5">
        <f>IF(K$88=1,$B$23,0)+IF(K$88=$B$5,$B$24*(1-$B$49)+$B$26,0)</f>
        <v/>
      </c>
      <c r="L160" s="5">
        <f>IF(L$88=1,$B$23,0)+IF(L$88=$B$5,$B$24*(1-$B$49)+$B$26,0)</f>
        <v/>
      </c>
    </row>
    <row r="161">
      <c r="A161" t="inlineStr">
        <is>
          <t xml:space="preserve">  Tirages dette + crédit-vendeur + obligations</t>
        </is>
      </c>
      <c r="B161" s="5">
        <f>SUM(C161:L161)</f>
        <v/>
      </c>
      <c r="C161" s="5">
        <f>IF(C$88=$B$5,$B$27+$B$31+$B$34,0)</f>
        <v/>
      </c>
      <c r="D161" s="5">
        <f>IF(D$88=$B$5,$B$27+$B$31+$B$34,0)</f>
        <v/>
      </c>
      <c r="E161" s="5">
        <f>IF(E$88=$B$5,$B$27+$B$31+$B$34,0)</f>
        <v/>
      </c>
      <c r="F161" s="5">
        <f>IF(F$88=$B$5,$B$27+$B$31+$B$34,0)</f>
        <v/>
      </c>
      <c r="G161" s="5">
        <f>IF(G$88=$B$5,$B$27+$B$31+$B$34,0)</f>
        <v/>
      </c>
      <c r="H161" s="5">
        <f>IF(H$88=$B$5,$B$27+$B$31+$B$34,0)</f>
        <v/>
      </c>
      <c r="I161" s="5">
        <f>IF(I$88=$B$5,$B$27+$B$31+$B$34,0)</f>
        <v/>
      </c>
      <c r="J161" s="5">
        <f>IF(J$88=$B$5,$B$27+$B$31+$B$34,0)</f>
        <v/>
      </c>
      <c r="K161" s="5">
        <f>IF(K$88=$B$5,$B$27+$B$31+$B$34,0)</f>
        <v/>
      </c>
      <c r="L161" s="5">
        <f>IF(L$88=$B$5,$B$27+$B$31+$B$34,0)</f>
        <v/>
      </c>
    </row>
    <row r="162">
      <c r="A162" t="inlineStr">
        <is>
          <t xml:space="preserve">  Service de la dette (intérêts + capital + coupons + rembt obligations)</t>
        </is>
      </c>
      <c r="B162" s="5">
        <f>SUM(C162:L162)</f>
        <v/>
      </c>
      <c r="C162" s="5">
        <f>-(C138+C139+C142+C143+C146+C147)</f>
        <v/>
      </c>
      <c r="D162" s="5">
        <f>-(D138+D139+D142+D143+D146+D147)</f>
        <v/>
      </c>
      <c r="E162" s="5">
        <f>-(E138+E139+E142+E143+E146+E147)</f>
        <v/>
      </c>
      <c r="F162" s="5">
        <f>-(F138+F139+F142+F143+F146+F147)</f>
        <v/>
      </c>
      <c r="G162" s="5">
        <f>-(G138+G139+G142+G143+G146+G147)</f>
        <v/>
      </c>
      <c r="H162" s="5">
        <f>-(H138+H139+H142+H143+H146+H147)</f>
        <v/>
      </c>
      <c r="I162" s="5">
        <f>-(I138+I139+I142+I143+I146+I147)</f>
        <v/>
      </c>
      <c r="J162" s="5">
        <f>-(J138+J139+J142+J143+J146+J147)</f>
        <v/>
      </c>
      <c r="K162" s="5">
        <f>-(K138+K139+K142+K143+K146+K147)</f>
        <v/>
      </c>
      <c r="L162" s="5">
        <f>-(L138+L139+L142+L143+L146+L147)</f>
        <v/>
      </c>
    </row>
    <row r="163">
      <c r="A163" s="4" t="inlineStr">
        <is>
          <t>Flux de financement</t>
        </is>
      </c>
      <c r="B163" s="18">
        <f>SUM(C163:L163)</f>
        <v/>
      </c>
      <c r="C163" s="18">
        <f>C160+C161+C162</f>
        <v/>
      </c>
      <c r="D163" s="18">
        <f>D160+D161+D162</f>
        <v/>
      </c>
      <c r="E163" s="18">
        <f>E160+E161+E162</f>
        <v/>
      </c>
      <c r="F163" s="18">
        <f>F160+F161+F162</f>
        <v/>
      </c>
      <c r="G163" s="18">
        <f>G160+G161+G162</f>
        <v/>
      </c>
      <c r="H163" s="18">
        <f>H160+H161+H162</f>
        <v/>
      </c>
      <c r="I163" s="18">
        <f>I160+I161+I162</f>
        <v/>
      </c>
      <c r="J163" s="18">
        <f>J160+J161+J162</f>
        <v/>
      </c>
      <c r="K163" s="18">
        <f>K160+K161+K162</f>
        <v/>
      </c>
      <c r="L163" s="18">
        <f>L160+L161+L162</f>
        <v/>
      </c>
    </row>
    <row r="164">
      <c r="A164" s="4" t="inlineStr">
        <is>
          <t>Variation de trésorerie</t>
        </is>
      </c>
      <c r="B164" s="18">
        <f>SUM(C164:L164)</f>
        <v/>
      </c>
      <c r="C164" s="18">
        <f>C158+C159+C163</f>
        <v/>
      </c>
      <c r="D164" s="18">
        <f>D158+D159+D163</f>
        <v/>
      </c>
      <c r="E164" s="18">
        <f>E158+E159+E163</f>
        <v/>
      </c>
      <c r="F164" s="18">
        <f>F158+F159+F163</f>
        <v/>
      </c>
      <c r="G164" s="18">
        <f>G158+G159+G163</f>
        <v/>
      </c>
      <c r="H164" s="18">
        <f>H158+H159+H163</f>
        <v/>
      </c>
      <c r="I164" s="18">
        <f>I158+I159+I163</f>
        <v/>
      </c>
      <c r="J164" s="18">
        <f>J158+J159+J163</f>
        <v/>
      </c>
      <c r="K164" s="18">
        <f>K158+K159+K163</f>
        <v/>
      </c>
      <c r="L164" s="18">
        <f>L158+L159+L163</f>
        <v/>
      </c>
    </row>
    <row r="165">
      <c r="A165" s="4" t="inlineStr">
        <is>
          <t>Trésorerie fin d'année</t>
        </is>
      </c>
      <c r="C165" s="18">
        <f>C164</f>
        <v/>
      </c>
      <c r="D165" s="18">
        <f>C165+D164</f>
        <v/>
      </c>
      <c r="E165" s="18">
        <f>D165+E164</f>
        <v/>
      </c>
      <c r="F165" s="18">
        <f>E165+F164</f>
        <v/>
      </c>
      <c r="G165" s="18">
        <f>F165+G164</f>
        <v/>
      </c>
      <c r="H165" s="18">
        <f>G165+H164</f>
        <v/>
      </c>
      <c r="I165" s="18">
        <f>H165+I164</f>
        <v/>
      </c>
      <c r="J165" s="18">
        <f>I165+J164</f>
        <v/>
      </c>
      <c r="K165" s="18">
        <f>J165+K164</f>
        <v/>
      </c>
      <c r="L165" s="18">
        <f>K165+L164</f>
        <v/>
      </c>
    </row>
    <row r="166">
      <c r="A166" t="inlineStr">
        <is>
          <t>Cash-flow libre d'exploitation (CFO − gros entretien − service dette hors obligations in fine)</t>
        </is>
      </c>
      <c r="B166" s="5">
        <f>SUM(C166:L166)</f>
        <v/>
      </c>
      <c r="C166" s="5">
        <f>C158-C129-(C138+C139+C142+C143+C146)</f>
        <v/>
      </c>
      <c r="D166" s="5">
        <f>D158-D129-(D138+D139+D142+D143+D146)</f>
        <v/>
      </c>
      <c r="E166" s="5">
        <f>E158-E129-(E138+E139+E142+E143+E146)</f>
        <v/>
      </c>
      <c r="F166" s="5">
        <f>F158-F129-(F138+F139+F142+F143+F146)</f>
        <v/>
      </c>
      <c r="G166" s="5">
        <f>G158-G129-(G138+G139+G142+G143+G146)</f>
        <v/>
      </c>
      <c r="H166" s="5">
        <f>H158-H129-(H138+H139+H142+H143+H146)</f>
        <v/>
      </c>
      <c r="I166" s="5">
        <f>I158-I129-(I138+I139+I142+I143+I146)</f>
        <v/>
      </c>
      <c r="J166" s="5">
        <f>J158-J129-(J138+J139+J142+J143+J146)</f>
        <v/>
      </c>
      <c r="K166" s="5">
        <f>K158-K129-(K138+K139+K142+K143+K146)</f>
        <v/>
      </c>
      <c r="L166" s="5">
        <f>L158-L129-(L138+L139+L142+L143+L146)</f>
        <v/>
      </c>
    </row>
    <row r="167">
      <c r="A167" t="inlineStr">
        <is>
          <t>DSCR ((EBITDA + loyer privé − IS − gros entretien) / service de la dette)</t>
        </is>
      </c>
      <c r="C167" s="7">
        <f>IF((C138+C139+C142+C143+C146)=0,"",(C124+C125+C152-C129)/(C138+C139+C142+C143+C146))</f>
        <v/>
      </c>
      <c r="D167" s="7">
        <f>IF((D138+D139+D142+D143+D146)=0,"",(D124+D125+D152-D129)/(D138+D139+D142+D143+D146))</f>
        <v/>
      </c>
      <c r="E167" s="7">
        <f>IF((E138+E139+E142+E143+E146)=0,"",(E124+E125+E152-E129)/(E138+E139+E142+E143+E146))</f>
        <v/>
      </c>
      <c r="F167" s="7">
        <f>IF((F138+F139+F142+F143+F146)=0,"",(F124+F125+F152-F129)/(F138+F139+F142+F143+F146))</f>
        <v/>
      </c>
      <c r="G167" s="7">
        <f>IF((G138+G139+G142+G143+G146)=0,"",(G124+G125+G152-G129)/(G138+G139+G142+G143+G146))</f>
        <v/>
      </c>
      <c r="H167" s="7">
        <f>IF((H138+H139+H142+H143+H146)=0,"",(H124+H125+H152-H129)/(H138+H139+H142+H143+H146))</f>
        <v/>
      </c>
      <c r="I167" s="7">
        <f>IF((I138+I139+I142+I143+I146)=0,"",(I124+I125+I152-I129)/(I138+I139+I142+I143+I146))</f>
        <v/>
      </c>
      <c r="J167" s="7">
        <f>IF((J138+J139+J142+J143+J146)=0,"",(J124+J125+J152-J129)/(J138+J139+J142+J143+J146))</f>
        <v/>
      </c>
      <c r="K167" s="7">
        <f>IF((K138+K139+K142+K143+K146)=0,"",(K124+K125+K152-K129)/(K138+K139+K142+K143+K146))</f>
        <v/>
      </c>
      <c r="L167" s="7">
        <f>IF((L138+L139+L142+L143+L146)=0,"",(L124+L125+L152-L129)/(L138+L139+L142+L143+L146))</f>
        <v/>
      </c>
    </row>
    <row r="169">
      <c r="A169" s="4" t="inlineStr">
        <is>
          <t>Rentabilité des investisseurs et contrôle</t>
        </is>
      </c>
    </row>
    <row r="170">
      <c r="A170" t="inlineStr">
        <is>
          <t>Dettes financières totales fin d'année</t>
        </is>
      </c>
      <c r="C170" s="5">
        <f>C140+C144+C145-C147</f>
        <v/>
      </c>
      <c r="D170" s="5">
        <f>D140+D144+D145-D147</f>
        <v/>
      </c>
      <c r="E170" s="5">
        <f>E140+E144+E145-E147</f>
        <v/>
      </c>
      <c r="F170" s="5">
        <f>F140+F144+F145-F147</f>
        <v/>
      </c>
      <c r="G170" s="5">
        <f>G140+G144+G145-G147</f>
        <v/>
      </c>
      <c r="H170" s="5">
        <f>H140+H144+H145-H147</f>
        <v/>
      </c>
      <c r="I170" s="5">
        <f>I140+I144+I145-I147</f>
        <v/>
      </c>
      <c r="J170" s="5">
        <f>J140+J144+J145-J147</f>
        <v/>
      </c>
      <c r="K170" s="5">
        <f>K140+K144+K145-K147</f>
        <v/>
      </c>
      <c r="L170" s="5">
        <f>L140+L144+L145-L147</f>
        <v/>
      </c>
    </row>
    <row r="171">
      <c r="A171" t="inlineStr">
        <is>
          <t>Valeur estimée de l'actif (si cédé cette année)</t>
        </is>
      </c>
      <c r="C171" s="5">
        <f>C94*($B$7+C130)*$B$17*(1-$B$19)</f>
        <v/>
      </c>
      <c r="D171" s="5">
        <f>D94*($B$7+D130)*$B$17*(1-$B$19)</f>
        <v/>
      </c>
      <c r="E171" s="5">
        <f>E94*($B$7+E130)*$B$17*(1-$B$19)</f>
        <v/>
      </c>
      <c r="F171" s="5">
        <f>F94*($B$7+F130)*$B$17*(1-$B$19)</f>
        <v/>
      </c>
      <c r="G171" s="5">
        <f>G94*($B$7+G130)*$B$17*(1-$B$19)</f>
        <v/>
      </c>
      <c r="H171" s="5">
        <f>H94*($B$7+H130)*$B$17*(1-$B$19)</f>
        <v/>
      </c>
      <c r="I171" s="5">
        <f>I94*($B$7+I130)*$B$17*(1-$B$19)</f>
        <v/>
      </c>
      <c r="J171" s="5">
        <f>J94*($B$7+J130)*$B$17*(1-$B$19)</f>
        <v/>
      </c>
      <c r="K171" s="5">
        <f>K94*($B$7+K130)*$B$17*(1-$B$19)</f>
        <v/>
      </c>
      <c r="L171" s="5">
        <f>L94*($B$7+L130)*$B$17*(1-$B$19)</f>
        <v/>
      </c>
    </row>
    <row r="172">
      <c r="A172" t="inlineStr">
        <is>
          <t>Valeur des fonds propres (actif + trésorerie − dettes)</t>
        </is>
      </c>
      <c r="C172" s="5">
        <f>C171+C165-C170</f>
        <v/>
      </c>
      <c r="D172" s="5">
        <f>D171+D165-D170</f>
        <v/>
      </c>
      <c r="E172" s="5">
        <f>E171+E165-E170</f>
        <v/>
      </c>
      <c r="F172" s="5">
        <f>F171+F165-F170</f>
        <v/>
      </c>
      <c r="G172" s="5">
        <f>G171+G165-G170</f>
        <v/>
      </c>
      <c r="H172" s="5">
        <f>H171+H165-H170</f>
        <v/>
      </c>
      <c r="I172" s="5">
        <f>I171+I165-I170</f>
        <v/>
      </c>
      <c r="J172" s="5">
        <f>J171+J165-J170</f>
        <v/>
      </c>
      <c r="K172" s="5">
        <f>K171+K165-K170</f>
        <v/>
      </c>
      <c r="L172" s="5">
        <f>L171+L165-L170</f>
        <v/>
      </c>
    </row>
    <row r="173">
      <c r="A173" t="inlineStr">
        <is>
          <t>Flux des investisseurs (entrée an d'acq., sortie an 10)</t>
        </is>
      </c>
      <c r="B173" s="5">
        <f>SUM(C173:L173)</f>
        <v/>
      </c>
      <c r="C173" s="5">
        <f>-IF(C$88=$B$5,$B$24*(1-$B$49)*(1-$B$25),0)</f>
        <v/>
      </c>
      <c r="D173" s="5">
        <f>-IF(D$88=$B$5,$B$24*(1-$B$49)*(1-$B$25),0)</f>
        <v/>
      </c>
      <c r="E173" s="5">
        <f>-IF(E$88=$B$5,$B$24*(1-$B$49)*(1-$B$25),0)</f>
        <v/>
      </c>
      <c r="F173" s="5">
        <f>-IF(F$88=$B$5,$B$24*(1-$B$49)*(1-$B$25),0)</f>
        <v/>
      </c>
      <c r="G173" s="5">
        <f>-IF(G$88=$B$5,$B$24*(1-$B$49)*(1-$B$25),0)</f>
        <v/>
      </c>
      <c r="H173" s="5">
        <f>-IF(H$88=$B$5,$B$24*(1-$B$49)*(1-$B$25),0)</f>
        <v/>
      </c>
      <c r="I173" s="5">
        <f>-IF(I$88=$B$5,$B$24*(1-$B$49)*(1-$B$25),0)</f>
        <v/>
      </c>
      <c r="J173" s="5">
        <f>-IF(J$88=$B$5,$B$24*(1-$B$49)*(1-$B$25),0)</f>
        <v/>
      </c>
      <c r="K173" s="5">
        <f>-IF(K$88=$B$5,$B$24*(1-$B$49)*(1-$B$25),0)</f>
        <v/>
      </c>
      <c r="L173" s="5">
        <f>-IF(L$88=$B$5,$B$24*(1-$B$49)*(1-$B$25),0)+MAX(0,L172)*(1-$B$42)</f>
        <v/>
      </c>
    </row>
    <row r="174">
      <c r="A174" t="inlineStr">
        <is>
          <t>Flux du fondateur et de sa holding (apports, sortie théorique an 10)</t>
        </is>
      </c>
      <c r="B174" s="5">
        <f>SUM(C174:L174)</f>
        <v/>
      </c>
      <c r="C174" s="5">
        <f>-IF(C$88=1,$B$23,0)-IF(C$88=$B$5,$B$24*(1-$B$49)*$B$25,0)</f>
        <v/>
      </c>
      <c r="D174" s="5">
        <f>-IF(D$88=1,$B$23,0)-IF(D$88=$B$5,$B$24*(1-$B$49)*$B$25,0)</f>
        <v/>
      </c>
      <c r="E174" s="5">
        <f>-IF(E$88=1,$B$23,0)-IF(E$88=$B$5,$B$24*(1-$B$49)*$B$25,0)</f>
        <v/>
      </c>
      <c r="F174" s="5">
        <f>-IF(F$88=1,$B$23,0)-IF(F$88=$B$5,$B$24*(1-$B$49)*$B$25,0)</f>
        <v/>
      </c>
      <c r="G174" s="5">
        <f>-IF(G$88=1,$B$23,0)-IF(G$88=$B$5,$B$24*(1-$B$49)*$B$25,0)</f>
        <v/>
      </c>
      <c r="H174" s="5">
        <f>-IF(H$88=1,$B$23,0)-IF(H$88=$B$5,$B$24*(1-$B$49)*$B$25,0)</f>
        <v/>
      </c>
      <c r="I174" s="5">
        <f>-IF(I$88=1,$B$23,0)-IF(I$88=$B$5,$B$24*(1-$B$49)*$B$25,0)</f>
        <v/>
      </c>
      <c r="J174" s="5">
        <f>-IF(J$88=1,$B$23,0)-IF(J$88=$B$5,$B$24*(1-$B$49)*$B$25,0)</f>
        <v/>
      </c>
      <c r="K174" s="5">
        <f>-IF(K$88=1,$B$23,0)-IF(K$88=$B$5,$B$24*(1-$B$49)*$B$25,0)</f>
        <v/>
      </c>
      <c r="L174" s="5">
        <f>-IF(L$88=1,$B$23,0)-IF(L$88=$B$5,$B$24*(1-$B$49)*$B$25,0)+MAX(0,L172)*$B$42</f>
        <v/>
      </c>
    </row>
    <row r="176">
      <c r="A176" s="10" t="inlineStr">
        <is>
          <t>8. Indicateurs clés</t>
        </is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</row>
    <row r="177">
      <c r="A177" t="inlineStr">
        <is>
          <t>Emplois totaux (acq. + frais + travaux initiaux)</t>
        </is>
      </c>
      <c r="B177" s="18">
        <f>$B$7*(1+$B$8)+SUM(C127:L127)</f>
        <v/>
      </c>
    </row>
    <row r="178">
      <c r="A178" t="inlineStr">
        <is>
          <t>Ressources externes et apports prévus</t>
        </is>
      </c>
      <c r="B178" s="18">
        <f>$B$23+$B$24*(1-$B$49)+$B$26+$B$27+$B$31+$B$34</f>
        <v/>
      </c>
    </row>
    <row r="179">
      <c r="A179" t="inlineStr">
        <is>
          <t>CA année 5</t>
        </is>
      </c>
      <c r="B179" s="18">
        <f>G107</f>
        <v/>
      </c>
    </row>
    <row r="180">
      <c r="A180" t="inlineStr">
        <is>
          <t>EBITDA année 5</t>
        </is>
      </c>
      <c r="B180" s="18">
        <f>G124</f>
        <v/>
      </c>
    </row>
    <row r="181">
      <c r="A181" t="inlineStr">
        <is>
          <t>EBITDA année 10</t>
        </is>
      </c>
      <c r="B181" s="18">
        <f>L124</f>
        <v/>
      </c>
    </row>
    <row r="182">
      <c r="A182" t="inlineStr">
        <is>
          <t>Part équestre du CA année 5</t>
        </is>
      </c>
      <c r="B182" s="14">
        <f>G109</f>
        <v/>
      </c>
    </row>
    <row r="183">
      <c r="A183" t="inlineStr">
        <is>
          <t>Trésorerie minimale sur 10 ans</t>
        </is>
      </c>
      <c r="B183" s="18">
        <f>MIN(C165:L165)</f>
        <v/>
      </c>
    </row>
    <row r="184">
      <c r="A184" t="inlineStr">
        <is>
          <t>Trésorerie fin année 10</t>
        </is>
      </c>
      <c r="B184" s="18">
        <f>L165</f>
        <v/>
      </c>
    </row>
    <row r="185">
      <c r="A185" t="inlineStr">
        <is>
          <t>DSCR minimal (à partir de la 2e année d'exploitation)</t>
        </is>
      </c>
      <c r="B185" s="19">
        <f>IF(COUNTIFS(C167:L167,"&gt;-1E+300",C90:L90,"&gt;=2")=0,"n/a",_xlfn.MINIFS(C167:L167,C90:L90,"&gt;=2"))</f>
        <v/>
      </c>
    </row>
    <row r="186">
      <c r="A186" t="inlineStr">
        <is>
          <t>Nb d'années à cash-flow libre d'exploitation négatif (à partir de la 2e année d'exploitation)</t>
        </is>
      </c>
      <c r="B186" s="20">
        <f>COUNTIFS(C166:L166,"&lt;0",C90:L90,"&gt;=2")</f>
        <v/>
      </c>
    </row>
    <row r="187">
      <c r="A187" t="inlineStr">
        <is>
          <t>TRI investisseurs (sortie théorique an 10)</t>
        </is>
      </c>
      <c r="B187" s="14">
        <f>IF($B$24*(1-$B$25)=0,"sans objet",IFERROR(IRR(C173:L173,-0.05),"perte quasi totale (TRI non calculable)"))</f>
        <v/>
      </c>
    </row>
    <row r="188">
      <c r="A188" t="inlineStr">
        <is>
          <t>TRI fondateur (sortie théorique an 10)</t>
        </is>
      </c>
      <c r="B188" s="14">
        <f>IFERROR(IRR(C174:L174,-0.05),"perte quasi totale (TRI non calculable)")</f>
        <v/>
      </c>
    </row>
    <row r="189">
      <c r="A189" t="inlineStr">
        <is>
          <t>Dette bancaire soutenable estimée (DSCR 1,2 sur (EBITDA − gros entretien) an 10, taux et durée du scénario)</t>
        </is>
      </c>
      <c r="B189" s="18">
        <f>MAX(0,PV($B$28,$B$29,-(L124+L125-L129)/1.2))</f>
        <v/>
      </c>
    </row>
    <row r="190">
      <c r="A190" t="inlineStr">
        <is>
          <t>Fonds propres nécessaires (emplois + réserve + pertes d'exploitation cumulées − dette soutenable)</t>
        </is>
      </c>
      <c r="B190" s="18">
        <f>$B$7*(1+$B$8)+SUM(C127:L127)+$B$39-SUMIF(C158:L158,"&lt;0")-$B$189</f>
        <v/>
      </c>
    </row>
    <row r="191">
      <c r="A191" t="inlineStr">
        <is>
          <t>Part du capital du fondateur</t>
        </is>
      </c>
      <c r="B191" s="14">
        <f>$B$42</f>
        <v/>
      </c>
    </row>
    <row r="192">
      <c r="A192" t="inlineStr">
        <is>
          <t>Droits de vote du fondateur</t>
        </is>
      </c>
      <c r="B192" s="14">
        <f>$B$38</f>
        <v/>
      </c>
    </row>
    <row r="193">
      <c r="A193" s="4" t="inlineStr">
        <is>
          <t>Verdict (trésorerie ≥ 0 et ≥ réserve an 10, DSCR ≥ 1,2, cash-flow libre ≥ 0 dès la 2e année d'exploitation, TRI investisseurs extérieurs ≥ cible, dirigeant payé)</t>
        </is>
      </c>
      <c r="B193" s="4">
        <f>IF($B$183&lt;0,"NON VIABLE (trésorerie négative)",IF(AND($B$184&gt;=$B$39,OR($B$185="n/a",$B$185&gt;=1.2),$B$186=0),IF(NOT(OR($B$187="sans objet",AND(ISNUMBER($B$187),N($B$187)&gt;=$B$40))),"FRAGILE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prudent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625000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187500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312500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0.4</v>
      </c>
      <c r="C53" t="inlineStr">
        <is>
          <t>%</t>
        </is>
      </c>
      <c r="D53" t="inlineStr">
        <is>
          <t>Cas prudent</t>
        </is>
      </c>
    </row>
    <row r="54">
      <c r="A54" t="inlineStr">
        <is>
          <t>Montée en charge : 2e année</t>
        </is>
      </c>
      <c r="B54" s="13" t="n">
        <v>0.65</v>
      </c>
      <c r="C54" t="inlineStr">
        <is>
          <t>%</t>
        </is>
      </c>
      <c r="D54" t="inlineStr">
        <is>
          <t>Cas prudent</t>
        </is>
      </c>
    </row>
    <row r="55">
      <c r="A55" t="inlineStr">
        <is>
          <t>Montée en charge : 3e année</t>
        </is>
      </c>
      <c r="B55" s="13" t="n">
        <v>0.85</v>
      </c>
      <c r="C55" t="inlineStr">
        <is>
          <t>%</t>
        </is>
      </c>
      <c r="D55" t="inlineStr">
        <is>
          <t>Cas prudent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17.6</v>
      </c>
      <c r="C63" s="12" t="n">
        <v>5442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18.4</v>
      </c>
      <c r="C64" s="12" t="n">
        <v>2407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7.2</v>
      </c>
      <c r="C65" s="12" t="n">
        <v>1932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9.6</v>
      </c>
      <c r="C66" s="12" t="n">
        <v>3861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73.59999999999999</v>
      </c>
      <c r="C67" s="12" t="n">
        <v>414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9.6</v>
      </c>
      <c r="C68" s="12" t="n">
        <v>736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2.4</v>
      </c>
      <c r="C69" s="12" t="n">
        <v>1840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8</v>
      </c>
      <c r="C70" s="12" t="n">
        <v>138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6600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7700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22000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15400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8800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39600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33000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12100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4840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13200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13200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optimiste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0.6</v>
      </c>
      <c r="C53" t="inlineStr">
        <is>
          <t>%</t>
        </is>
      </c>
      <c r="D53" t="inlineStr">
        <is>
          <t>Cas optimiste</t>
        </is>
      </c>
    </row>
    <row r="54">
      <c r="A54" t="inlineStr">
        <is>
          <t>Montée en charge : 2e année</t>
        </is>
      </c>
      <c r="B54" s="13" t="n">
        <v>0.9</v>
      </c>
      <c r="C54" t="inlineStr">
        <is>
          <t>%</t>
        </is>
      </c>
      <c r="D54" t="inlineStr">
        <is>
          <t>Cas optimiste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Cas optimiste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25.3</v>
      </c>
      <c r="C63" s="12" t="n">
        <v>6388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26.4</v>
      </c>
      <c r="C64" s="12" t="n">
        <v>2825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10.3</v>
      </c>
      <c r="C65" s="12" t="n">
        <v>2268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13.8</v>
      </c>
      <c r="C66" s="12" t="n">
        <v>4533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105.8</v>
      </c>
      <c r="C67" s="12" t="n">
        <v>486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13.8</v>
      </c>
      <c r="C68" s="12" t="n">
        <v>864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3.4</v>
      </c>
      <c r="C69" s="12" t="n">
        <v>2160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11.5</v>
      </c>
      <c r="C70" s="12" t="n">
        <v>162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5700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6650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19000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13300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7600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34200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28500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10450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4180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11400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11400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−20 %, travaux −30 % (équipements existants)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350000</v>
      </c>
      <c r="C10" t="inlineStr">
        <is>
          <t>€</t>
        </is>
      </c>
      <c r="D10" t="inlineStr">
        <is>
          <t>−30 % : équipements existants — EST</t>
        </is>
      </c>
    </row>
    <row r="11">
      <c r="A11" t="inlineStr">
        <is>
          <t>Investissements équestres (boxes, carrière, manège…)</t>
        </is>
      </c>
      <c r="B11" s="12" t="n">
        <v>105000</v>
      </c>
      <c r="C11" t="inlineStr">
        <is>
          <t>€</t>
        </is>
      </c>
      <c r="D11" t="inlineStr">
        <is>
          <t>−30 % : équipements existants — EST</t>
        </is>
      </c>
    </row>
    <row r="12">
      <c r="A12" t="inlineStr">
        <is>
          <t>Investissements événementiel / hébergement</t>
        </is>
      </c>
      <c r="B12" s="12" t="n">
        <v>175000</v>
      </c>
      <c r="C12" t="inlineStr">
        <is>
          <t>€</t>
        </is>
      </c>
      <c r="D12" t="inlineStr">
        <is>
          <t>−30 % : équipements existants — EST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E — Bail emphytéotique d'un domaine public (contrôle sans propriété) — cas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0</v>
      </c>
      <c r="C7" t="inlineStr">
        <is>
          <t>€</t>
        </is>
      </c>
      <c r="D7" t="inlineStr">
        <is>
          <t>Pas d'achat : droit réel de 50-99 ans ; droit d'entrée INCONNU</t>
        </is>
      </c>
    </row>
    <row r="8">
      <c r="A8" t="inlineStr">
        <is>
          <t>Frais d'acquisition (droits + notaire)</t>
        </is>
      </c>
      <c r="B8" s="13" t="n">
        <v>0</v>
      </c>
      <c r="C8" t="inlineStr">
        <is>
          <t>%</t>
        </is>
      </c>
      <c r="D8" t="inlineStr"/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1200000</v>
      </c>
      <c r="C10" t="inlineStr">
        <is>
          <t>€</t>
        </is>
      </c>
      <c r="D10" t="inlineStr">
        <is>
          <t>A2 montage 4 : travaux à la charge du preneur 1,5 M€, dont ~0,3 M€ subventionnés côté propriétaire public (non acquis)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</t>
        </is>
      </c>
    </row>
    <row r="12">
      <c r="A12" t="inlineStr">
        <is>
          <t>Investissements événementiel / hébergement</t>
        </is>
      </c>
      <c r="B12" s="12" t="n">
        <v>150000</v>
      </c>
      <c r="C12" t="inlineStr">
        <is>
          <t>€</t>
        </is>
      </c>
      <c r="D12" t="inlineStr">
        <is>
          <t>EST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0.025</v>
      </c>
      <c r="C16" t="inlineStr">
        <is>
          <t>%</t>
        </is>
      </c>
      <c r="D16" t="inlineStr">
        <is>
          <t>≈ 40 k€/an sur la base des travaux (le preneur entretient)</t>
        </is>
      </c>
    </row>
    <row r="17">
      <c r="A17" t="inlineStr">
        <is>
          <t>Valeur de sortie an 10 (% prix + travaux cumulés)</t>
        </is>
      </c>
      <c r="B17" s="13" t="n">
        <v>0</v>
      </c>
      <c r="C17" t="inlineStr">
        <is>
          <t>%</t>
        </is>
      </c>
      <c r="D17" t="inlineStr">
        <is>
          <t>Améliorations reviennent au bailleur en fin de bail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330000</v>
      </c>
      <c r="C23" t="inlineStr">
        <is>
          <t>€</t>
        </is>
      </c>
      <c r="D23" t="inlineStr">
        <is>
          <t>S2 250 k€ + prêts d'honneur 80 k€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900000</v>
      </c>
      <c r="C27" t="inlineStr">
        <is>
          <t>€</t>
        </is>
      </c>
      <c r="D27" t="inlineStr">
        <is>
          <t>NON ACQUIS — prêt hypothéqué sur le droit réel (si le bailleur l'autorise) [A2 montage 4]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15</v>
      </c>
      <c r="C29" t="inlineStr">
        <is>
          <t>ans</t>
        </is>
      </c>
      <c r="D29" t="inlineStr">
        <is>
          <t>A2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400000</v>
      </c>
      <c r="C34" t="inlineStr">
        <is>
          <t>€</t>
        </is>
      </c>
      <c r="D34" t="inlineStr">
        <is>
          <t>NON ACQUIS — obligations PSFP [A2 montage 4]</t>
        </is>
      </c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EST</t>
        </is>
      </c>
    </row>
    <row r="36">
      <c r="A36" t="inlineStr">
        <is>
          <t>Année de remboursement des obligations</t>
        </is>
      </c>
      <c r="B36" s="12" t="n">
        <v>7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5">
      <c r="A85" t="inlineStr">
        <is>
          <t>Redevance emphytéotique</t>
        </is>
      </c>
      <c r="B85" s="12" t="n">
        <v>20000</v>
      </c>
      <c r="C85" s="16" t="n">
        <v>1</v>
      </c>
      <c r="G85" t="inlineStr">
        <is>
          <t>INC : Montfort 22,9 k€/an, Neuenbourg 1 €/an (exemples, PL v1) ; Maison Fournaise 80 k€ + 7 % du CA</t>
        </is>
      </c>
    </row>
    <row r="87">
      <c r="A87" s="10" t="inlineStr">
        <is>
          <t>7. Calcul sur 10 ans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4" t="inlineStr">
        <is>
          <t>Année</t>
        </is>
      </c>
      <c r="B88" s="4" t="inlineStr">
        <is>
          <t>Total / réf.</t>
        </is>
      </c>
      <c r="C88" s="4" t="n">
        <v>1</v>
      </c>
      <c r="D88" s="4" t="n">
        <v>2</v>
      </c>
      <c r="E88" s="4" t="n">
        <v>3</v>
      </c>
      <c r="F88" s="4" t="n">
        <v>4</v>
      </c>
      <c r="G88" s="4" t="n">
        <v>5</v>
      </c>
      <c r="H88" s="4" t="n">
        <v>6</v>
      </c>
      <c r="I88" s="4" t="n">
        <v>7</v>
      </c>
      <c r="J88" s="4" t="n">
        <v>8</v>
      </c>
      <c r="K88" s="4" t="n">
        <v>9</v>
      </c>
      <c r="L88" s="4" t="n">
        <v>10</v>
      </c>
    </row>
    <row r="89">
      <c r="A89" t="inlineStr">
        <is>
          <t>Année d'ouverture effective</t>
        </is>
      </c>
      <c r="C89" s="8">
        <f>$B$6+$B$47</f>
        <v/>
      </c>
      <c r="D89" s="8">
        <f>$B$6+$B$47</f>
        <v/>
      </c>
      <c r="E89" s="8">
        <f>$B$6+$B$47</f>
        <v/>
      </c>
      <c r="F89" s="8">
        <f>$B$6+$B$47</f>
        <v/>
      </c>
      <c r="G89" s="8">
        <f>$B$6+$B$47</f>
        <v/>
      </c>
      <c r="H89" s="8">
        <f>$B$6+$B$47</f>
        <v/>
      </c>
      <c r="I89" s="8">
        <f>$B$6+$B$47</f>
        <v/>
      </c>
      <c r="J89" s="8">
        <f>$B$6+$B$47</f>
        <v/>
      </c>
      <c r="K89" s="8">
        <f>$B$6+$B$47</f>
        <v/>
      </c>
      <c r="L89" s="8">
        <f>$B$6+$B$47</f>
        <v/>
      </c>
    </row>
    <row r="90">
      <c r="A90" t="inlineStr">
        <is>
          <t>Rang de l'année d'exploitation</t>
        </is>
      </c>
      <c r="C90" s="8">
        <f>MAX(0,C$88-C89+1)</f>
        <v/>
      </c>
      <c r="D90" s="8">
        <f>MAX(0,D$88-D89+1)</f>
        <v/>
      </c>
      <c r="E90" s="8">
        <f>MAX(0,E$88-E89+1)</f>
        <v/>
      </c>
      <c r="F90" s="8">
        <f>MAX(0,F$88-F89+1)</f>
        <v/>
      </c>
      <c r="G90" s="8">
        <f>MAX(0,G$88-G89+1)</f>
        <v/>
      </c>
      <c r="H90" s="8">
        <f>MAX(0,H$88-H89+1)</f>
        <v/>
      </c>
      <c r="I90" s="8">
        <f>MAX(0,I$88-I89+1)</f>
        <v/>
      </c>
      <c r="J90" s="8">
        <f>MAX(0,J$88-J89+1)</f>
        <v/>
      </c>
      <c r="K90" s="8">
        <f>MAX(0,K$88-K89+1)</f>
        <v/>
      </c>
      <c r="L90" s="8">
        <f>MAX(0,L$88-L89+1)</f>
        <v/>
      </c>
    </row>
    <row r="91">
      <c r="A91" t="inlineStr">
        <is>
          <t>Coefficient de montée en charge</t>
        </is>
      </c>
      <c r="C91" s="6">
        <f>IF(C90=0,0,IF(C90=1,$B$53,IF(C90=2,$B$54,IF(C90=3,$B$55,1))))</f>
        <v/>
      </c>
      <c r="D91" s="6">
        <f>IF(D90=0,0,IF(D90=1,$B$53,IF(D90=2,$B$54,IF(D90=3,$B$55,1))))</f>
        <v/>
      </c>
      <c r="E91" s="6">
        <f>IF(E90=0,0,IF(E90=1,$B$53,IF(E90=2,$B$54,IF(E90=3,$B$55,1))))</f>
        <v/>
      </c>
      <c r="F91" s="6">
        <f>IF(F90=0,0,IF(F90=1,$B$53,IF(F90=2,$B$54,IF(F90=3,$B$55,1))))</f>
        <v/>
      </c>
      <c r="G91" s="6">
        <f>IF(G90=0,0,IF(G90=1,$B$53,IF(G90=2,$B$54,IF(G90=3,$B$55,1))))</f>
        <v/>
      </c>
      <c r="H91" s="6">
        <f>IF(H90=0,0,IF(H90=1,$B$53,IF(H90=2,$B$54,IF(H90=3,$B$55,1))))</f>
        <v/>
      </c>
      <c r="I91" s="6">
        <f>IF(I90=0,0,IF(I90=1,$B$53,IF(I90=2,$B$54,IF(I90=3,$B$55,1))))</f>
        <v/>
      </c>
      <c r="J91" s="6">
        <f>IF(J90=0,0,IF(J90=1,$B$53,IF(J90=2,$B$54,IF(J90=3,$B$55,1))))</f>
        <v/>
      </c>
      <c r="K91" s="6">
        <f>IF(K90=0,0,IF(K90=1,$B$53,IF(K90=2,$B$54,IF(K90=3,$B$55,1))))</f>
        <v/>
      </c>
      <c r="L91" s="6">
        <f>IF(L90=0,0,IF(L90=1,$B$53,IF(L90=2,$B$54,IF(L90=3,$B$55,1))))</f>
        <v/>
      </c>
    </row>
    <row r="92">
      <c r="A92" t="inlineStr">
        <is>
          <t>Indice prix</t>
        </is>
      </c>
      <c r="C92" s="17">
        <f>(1+$B$56)^(C$88-1)</f>
        <v/>
      </c>
      <c r="D92" s="17">
        <f>(1+$B$56)^(D$88-1)</f>
        <v/>
      </c>
      <c r="E92" s="17">
        <f>(1+$B$56)^(E$88-1)</f>
        <v/>
      </c>
      <c r="F92" s="17">
        <f>(1+$B$56)^(F$88-1)</f>
        <v/>
      </c>
      <c r="G92" s="17">
        <f>(1+$B$56)^(G$88-1)</f>
        <v/>
      </c>
      <c r="H92" s="17">
        <f>(1+$B$56)^(H$88-1)</f>
        <v/>
      </c>
      <c r="I92" s="17">
        <f>(1+$B$56)^(I$88-1)</f>
        <v/>
      </c>
      <c r="J92" s="17">
        <f>(1+$B$56)^(J$88-1)</f>
        <v/>
      </c>
      <c r="K92" s="17">
        <f>(1+$B$56)^(K$88-1)</f>
        <v/>
      </c>
      <c r="L92" s="17">
        <f>(1+$B$56)^(L$88-1)</f>
        <v/>
      </c>
    </row>
    <row r="93">
      <c r="A93" t="inlineStr">
        <is>
          <t>Indice charges</t>
        </is>
      </c>
      <c r="C93" s="17">
        <f>(1+$B$57)^(C$88-1)</f>
        <v/>
      </c>
      <c r="D93" s="17">
        <f>(1+$B$57)^(D$88-1)</f>
        <v/>
      </c>
      <c r="E93" s="17">
        <f>(1+$B$57)^(E$88-1)</f>
        <v/>
      </c>
      <c r="F93" s="17">
        <f>(1+$B$57)^(F$88-1)</f>
        <v/>
      </c>
      <c r="G93" s="17">
        <f>(1+$B$57)^(G$88-1)</f>
        <v/>
      </c>
      <c r="H93" s="17">
        <f>(1+$B$57)^(H$88-1)</f>
        <v/>
      </c>
      <c r="I93" s="17">
        <f>(1+$B$57)^(I$88-1)</f>
        <v/>
      </c>
      <c r="J93" s="17">
        <f>(1+$B$57)^(J$88-1)</f>
        <v/>
      </c>
      <c r="K93" s="17">
        <f>(1+$B$57)^(K$88-1)</f>
        <v/>
      </c>
      <c r="L93" s="17">
        <f>(1+$B$57)^(L$88-1)</f>
        <v/>
      </c>
    </row>
    <row r="94">
      <c r="A94" t="inlineStr">
        <is>
          <t>Murs détenus (1/0)</t>
        </is>
      </c>
      <c r="C94" s="8">
        <f>IF(C$88&gt;=$B$5,1,0)</f>
        <v/>
      </c>
      <c r="D94" s="8">
        <f>IF(D$88&gt;=$B$5,1,0)</f>
        <v/>
      </c>
      <c r="E94" s="8">
        <f>IF(E$88&gt;=$B$5,1,0)</f>
        <v/>
      </c>
      <c r="F94" s="8">
        <f>IF(F$88&gt;=$B$5,1,0)</f>
        <v/>
      </c>
      <c r="G94" s="8">
        <f>IF(G$88&gt;=$B$5,1,0)</f>
        <v/>
      </c>
      <c r="H94" s="8">
        <f>IF(H$88&gt;=$B$5,1,0)</f>
        <v/>
      </c>
      <c r="I94" s="8">
        <f>IF(I$88&gt;=$B$5,1,0)</f>
        <v/>
      </c>
      <c r="J94" s="8">
        <f>IF(J$88&gt;=$B$5,1,0)</f>
        <v/>
      </c>
      <c r="K94" s="8">
        <f>IF(K$88&gt;=$B$5,1,0)</f>
        <v/>
      </c>
      <c r="L94" s="8">
        <f>IF(L$88&gt;=$B$5,1,0)</f>
        <v/>
      </c>
    </row>
    <row r="96">
      <c r="A96" s="4" t="inlineStr">
        <is>
          <t>Compte de résultat</t>
        </is>
      </c>
    </row>
    <row r="97">
      <c r="A97" t="inlineStr">
        <is>
          <t xml:space="preserve">  Pension box premium (places occupées)</t>
        </is>
      </c>
      <c r="B97" s="5">
        <f>SUM(C97:L97)</f>
        <v/>
      </c>
      <c r="C97" s="5">
        <f>$B$63*$C$63*C91*C92*$B$45*(1-$E$63*$B$50)</f>
        <v/>
      </c>
      <c r="D97" s="5">
        <f>$B$63*$C$63*D91*D92*$B$45*(1-$E$63*$B$50)</f>
        <v/>
      </c>
      <c r="E97" s="5">
        <f>$B$63*$C$63*E91*E92*$B$45*(1-$E$63*$B$50)</f>
        <v/>
      </c>
      <c r="F97" s="5">
        <f>$B$63*$C$63*F91*F92*$B$45*(1-$E$63*$B$50)</f>
        <v/>
      </c>
      <c r="G97" s="5">
        <f>$B$63*$C$63*G91*G92*$B$45*(1-$E$63*$B$50)</f>
        <v/>
      </c>
      <c r="H97" s="5">
        <f>$B$63*$C$63*H91*H92*$B$45*(1-$E$63*$B$50)</f>
        <v/>
      </c>
      <c r="I97" s="5">
        <f>$B$63*$C$63*I91*I92*$B$45*(1-$E$63*$B$50)</f>
        <v/>
      </c>
      <c r="J97" s="5">
        <f>$B$63*$C$63*J91*J92*$B$45*(1-$E$63*$B$50)</f>
        <v/>
      </c>
      <c r="K97" s="5">
        <f>$B$63*$C$63*K91*K92*$B$45*(1-$E$63*$B$50)</f>
        <v/>
      </c>
      <c r="L97" s="5">
        <f>$B$63*$C$63*L91*L92*$B$45*(1-$E$63*$B$50)</f>
        <v/>
      </c>
    </row>
    <row r="98">
      <c r="A98" t="inlineStr">
        <is>
          <t xml:space="preserve">  Pension au pré (places occupées)</t>
        </is>
      </c>
      <c r="B98" s="5">
        <f>SUM(C98:L98)</f>
        <v/>
      </c>
      <c r="C98" s="5">
        <f>$B$64*$C$64*C91*C92*$B$45*(1-$E$64*$B$50)</f>
        <v/>
      </c>
      <c r="D98" s="5">
        <f>$B$64*$C$64*D91*D92*$B$45*(1-$E$64*$B$50)</f>
        <v/>
      </c>
      <c r="E98" s="5">
        <f>$B$64*$C$64*E91*E92*$B$45*(1-$E$64*$B$50)</f>
        <v/>
      </c>
      <c r="F98" s="5">
        <f>$B$64*$C$64*F91*F92*$B$45*(1-$E$64*$B$50)</f>
        <v/>
      </c>
      <c r="G98" s="5">
        <f>$B$64*$C$64*G91*G92*$B$45*(1-$E$64*$B$50)</f>
        <v/>
      </c>
      <c r="H98" s="5">
        <f>$B$64*$C$64*H91*H92*$B$45*(1-$E$64*$B$50)</f>
        <v/>
      </c>
      <c r="I98" s="5">
        <f>$B$64*$C$64*I91*I92*$B$45*(1-$E$64*$B$50)</f>
        <v/>
      </c>
      <c r="J98" s="5">
        <f>$B$64*$C$64*J91*J92*$B$45*(1-$E$64*$B$50)</f>
        <v/>
      </c>
      <c r="K98" s="5">
        <f>$B$64*$C$64*K91*K92*$B$45*(1-$E$64*$B$50)</f>
        <v/>
      </c>
      <c r="L98" s="5">
        <f>$B$64*$C$64*L91*L92*$B$45*(1-$E$64*$B$50)</f>
        <v/>
      </c>
    </row>
    <row r="99">
      <c r="A99" t="inlineStr">
        <is>
          <t xml:space="preserve">  Pension retraite / convalescence (places occupées)</t>
        </is>
      </c>
      <c r="B99" s="5">
        <f>SUM(C99:L99)</f>
        <v/>
      </c>
      <c r="C99" s="5">
        <f>$B$65*$C$65*C91*C92*$B$45*(1-$E$65*$B$50)</f>
        <v/>
      </c>
      <c r="D99" s="5">
        <f>$B$65*$C$65*D91*D92*$B$45*(1-$E$65*$B$50)</f>
        <v/>
      </c>
      <c r="E99" s="5">
        <f>$B$65*$C$65*E91*E92*$B$45*(1-$E$65*$B$50)</f>
        <v/>
      </c>
      <c r="F99" s="5">
        <f>$B$65*$C$65*F91*F92*$B$45*(1-$E$65*$B$50)</f>
        <v/>
      </c>
      <c r="G99" s="5">
        <f>$B$65*$C$65*G91*G92*$B$45*(1-$E$65*$B$50)</f>
        <v/>
      </c>
      <c r="H99" s="5">
        <f>$B$65*$C$65*H91*H92*$B$45*(1-$E$65*$B$50)</f>
        <v/>
      </c>
      <c r="I99" s="5">
        <f>$B$65*$C$65*I91*I92*$B$45*(1-$E$65*$B$50)</f>
        <v/>
      </c>
      <c r="J99" s="5">
        <f>$B$65*$C$65*J91*J92*$B$45*(1-$E$65*$B$50)</f>
        <v/>
      </c>
      <c r="K99" s="5">
        <f>$B$65*$C$65*K91*K92*$B$45*(1-$E$65*$B$50)</f>
        <v/>
      </c>
      <c r="L99" s="5">
        <f>$B$65*$C$65*L91*L92*$B$45*(1-$E$65*$B$50)</f>
        <v/>
      </c>
    </row>
    <row r="100">
      <c r="A100" t="inlineStr">
        <is>
          <t xml:space="preserve">  Mariages (location du lieu + hébergement 15 couchages)</t>
        </is>
      </c>
      <c r="B100" s="5">
        <f>SUM(C100:L100)</f>
        <v/>
      </c>
      <c r="C100" s="5">
        <f>$B$66*$C$66*C91*C92*$B$45*(1-$E$66*$B$50)</f>
        <v/>
      </c>
      <c r="D100" s="5">
        <f>$B$66*$C$66*D91*D92*$B$45*(1-$E$66*$B$50)</f>
        <v/>
      </c>
      <c r="E100" s="5">
        <f>$B$66*$C$66*E91*E92*$B$45*(1-$E$66*$B$50)</f>
        <v/>
      </c>
      <c r="F100" s="5">
        <f>$B$66*$C$66*F91*F92*$B$45*(1-$E$66*$B$50)</f>
        <v/>
      </c>
      <c r="G100" s="5">
        <f>$B$66*$C$66*G91*G92*$B$45*(1-$E$66*$B$50)</f>
        <v/>
      </c>
      <c r="H100" s="5">
        <f>$B$66*$C$66*H91*H92*$B$45*(1-$E$66*$B$50)</f>
        <v/>
      </c>
      <c r="I100" s="5">
        <f>$B$66*$C$66*I91*I92*$B$45*(1-$E$66*$B$50)</f>
        <v/>
      </c>
      <c r="J100" s="5">
        <f>$B$66*$C$66*J91*J92*$B$45*(1-$E$66*$B$50)</f>
        <v/>
      </c>
      <c r="K100" s="5">
        <f>$B$66*$C$66*K91*K92*$B$45*(1-$E$66*$B$50)</f>
        <v/>
      </c>
      <c r="L100" s="5">
        <f>$B$66*$C$66*L91*L92*$B$45*(1-$E$66*$B$50)</f>
        <v/>
      </c>
    </row>
    <row r="101">
      <c r="A101" t="inlineStr">
        <is>
          <t xml:space="preserve">  Gîte 15 couchages hors mariages (nuits)</t>
        </is>
      </c>
      <c r="B101" s="5">
        <f>SUM(C101:L101)</f>
        <v/>
      </c>
      <c r="C101" s="5">
        <f>$B$67*$C$67*C91*C92*$B$45*(1-$E$67*$B$50)</f>
        <v/>
      </c>
      <c r="D101" s="5">
        <f>$B$67*$C$67*D91*D92*$B$45*(1-$E$67*$B$50)</f>
        <v/>
      </c>
      <c r="E101" s="5">
        <f>$B$67*$C$67*E91*E92*$B$45*(1-$E$67*$B$50)</f>
        <v/>
      </c>
      <c r="F101" s="5">
        <f>$B$67*$C$67*F91*F92*$B$45*(1-$E$67*$B$50)</f>
        <v/>
      </c>
      <c r="G101" s="5">
        <f>$B$67*$C$67*G91*G92*$B$45*(1-$E$67*$B$50)</f>
        <v/>
      </c>
      <c r="H101" s="5">
        <f>$B$67*$C$67*H91*H92*$B$45*(1-$E$67*$B$50)</f>
        <v/>
      </c>
      <c r="I101" s="5">
        <f>$B$67*$C$67*I91*I92*$B$45*(1-$E$67*$B$50)</f>
        <v/>
      </c>
      <c r="J101" s="5">
        <f>$B$67*$C$67*J91*J92*$B$45*(1-$E$67*$B$50)</f>
        <v/>
      </c>
      <c r="K101" s="5">
        <f>$B$67*$C$67*K91*K92*$B$45*(1-$E$67*$B$50)</f>
        <v/>
      </c>
      <c r="L101" s="5">
        <f>$B$67*$C$67*L91*L92*$B$45*(1-$E$67*$B$50)</f>
        <v/>
      </c>
    </row>
    <row r="102">
      <c r="A102" t="inlineStr">
        <is>
          <t xml:space="preserve">  Séminaires à la journée (jours)</t>
        </is>
      </c>
      <c r="B102" s="5">
        <f>SUM(C102:L102)</f>
        <v/>
      </c>
      <c r="C102" s="5">
        <f>$B$68*$C$68*C91*C92*$B$45*(1-$E$68*$B$50)</f>
        <v/>
      </c>
      <c r="D102" s="5">
        <f>$B$68*$C$68*D91*D92*$B$45*(1-$E$68*$B$50)</f>
        <v/>
      </c>
      <c r="E102" s="5">
        <f>$B$68*$C$68*E91*E92*$B$45*(1-$E$68*$B$50)</f>
        <v/>
      </c>
      <c r="F102" s="5">
        <f>$B$68*$C$68*F91*F92*$B$45*(1-$E$68*$B$50)</f>
        <v/>
      </c>
      <c r="G102" s="5">
        <f>$B$68*$C$68*G91*G92*$B$45*(1-$E$68*$B$50)</f>
        <v/>
      </c>
      <c r="H102" s="5">
        <f>$B$68*$C$68*H91*H92*$B$45*(1-$E$68*$B$50)</f>
        <v/>
      </c>
      <c r="I102" s="5">
        <f>$B$68*$C$68*I91*I92*$B$45*(1-$E$68*$B$50)</f>
        <v/>
      </c>
      <c r="J102" s="5">
        <f>$B$68*$C$68*J91*J92*$B$45*(1-$E$68*$B$50)</f>
        <v/>
      </c>
      <c r="K102" s="5">
        <f>$B$68*$C$68*K91*K92*$B$45*(1-$E$68*$B$50)</f>
        <v/>
      </c>
      <c r="L102" s="5">
        <f>$B$68*$C$68*L91*L92*$B$45*(1-$E$68*$B$50)</f>
        <v/>
      </c>
    </row>
    <row r="103">
      <c r="A103" t="inlineStr">
        <is>
          <t xml:space="preserve">  Tournages / shootings (jours)</t>
        </is>
      </c>
      <c r="B103" s="5">
        <f>SUM(C103:L103)</f>
        <v/>
      </c>
      <c r="C103" s="5">
        <f>$B$69*$C$69*C91*C92*$B$45*(1-$E$69*$B$50)</f>
        <v/>
      </c>
      <c r="D103" s="5">
        <f>$B$69*$C$69*D91*D92*$B$45*(1-$E$69*$B$50)</f>
        <v/>
      </c>
      <c r="E103" s="5">
        <f>$B$69*$C$69*E91*E92*$B$45*(1-$E$69*$B$50)</f>
        <v/>
      </c>
      <c r="F103" s="5">
        <f>$B$69*$C$69*F91*F92*$B$45*(1-$E$69*$B$50)</f>
        <v/>
      </c>
      <c r="G103" s="5">
        <f>$B$69*$C$69*G91*G92*$B$45*(1-$E$69*$B$50)</f>
        <v/>
      </c>
      <c r="H103" s="5">
        <f>$B$69*$C$69*H91*H92*$B$45*(1-$E$69*$B$50)</f>
        <v/>
      </c>
      <c r="I103" s="5">
        <f>$B$69*$C$69*I91*I92*$B$45*(1-$E$69*$B$50)</f>
        <v/>
      </c>
      <c r="J103" s="5">
        <f>$B$69*$C$69*J91*J92*$B$45*(1-$E$69*$B$50)</f>
        <v/>
      </c>
      <c r="K103" s="5">
        <f>$B$69*$C$69*K91*K92*$B$45*(1-$E$69*$B$50)</f>
        <v/>
      </c>
      <c r="L103" s="5">
        <f>$B$69*$C$69*L91*L92*$B$45*(1-$E$69*$B$50)</f>
        <v/>
      </c>
    </row>
    <row r="104">
      <c r="A104" t="inlineStr">
        <is>
          <t xml:space="preserve">  Fermage / vente d'herbe (ha)</t>
        </is>
      </c>
      <c r="B104" s="5">
        <f>SUM(C104:L104)</f>
        <v/>
      </c>
      <c r="C104" s="5">
        <f>$B$70*$C$70*C91*C92*$B$45*(1-$E$70*$B$50)</f>
        <v/>
      </c>
      <c r="D104" s="5">
        <f>$B$70*$C$70*D91*D92*$B$45*(1-$E$70*$B$50)</f>
        <v/>
      </c>
      <c r="E104" s="5">
        <f>$B$70*$C$70*E91*E92*$B$45*(1-$E$70*$B$50)</f>
        <v/>
      </c>
      <c r="F104" s="5">
        <f>$B$70*$C$70*F91*F92*$B$45*(1-$E$70*$B$50)</f>
        <v/>
      </c>
      <c r="G104" s="5">
        <f>$B$70*$C$70*G91*G92*$B$45*(1-$E$70*$B$50)</f>
        <v/>
      </c>
      <c r="H104" s="5">
        <f>$B$70*$C$70*H91*H92*$B$45*(1-$E$70*$B$50)</f>
        <v/>
      </c>
      <c r="I104" s="5">
        <f>$B$70*$C$70*I91*I92*$B$45*(1-$E$70*$B$50)</f>
        <v/>
      </c>
      <c r="J104" s="5">
        <f>$B$70*$C$70*J91*J92*$B$45*(1-$E$70*$B$50)</f>
        <v/>
      </c>
      <c r="K104" s="5">
        <f>$B$70*$C$70*K91*K92*$B$45*(1-$E$70*$B$50)</f>
        <v/>
      </c>
      <c r="L104" s="5">
        <f>$B$70*$C$70*L91*L92*$B$45*(1-$E$70*$B$50)</f>
        <v/>
      </c>
    </row>
    <row r="105">
      <c r="A105" s="4" t="inlineStr">
        <is>
          <t>Chiffre d'affaires total</t>
        </is>
      </c>
      <c r="B105" s="18">
        <f>SUM(C105:L105)</f>
        <v/>
      </c>
      <c r="C105" s="18">
        <f>C97+C98+C99+C100+C101+C102+C103+C104</f>
        <v/>
      </c>
      <c r="D105" s="18">
        <f>D97+D98+D99+D100+D101+D102+D103+D104</f>
        <v/>
      </c>
      <c r="E105" s="18">
        <f>E97+E98+E99+E100+E101+E102+E103+E104</f>
        <v/>
      </c>
      <c r="F105" s="18">
        <f>F97+F98+F99+F100+F101+F102+F103+F104</f>
        <v/>
      </c>
      <c r="G105" s="18">
        <f>G97+G98+G99+G100+G101+G102+G103+G104</f>
        <v/>
      </c>
      <c r="H105" s="18">
        <f>H97+H98+H99+H100+H101+H102+H103+H104</f>
        <v/>
      </c>
      <c r="I105" s="18">
        <f>I97+I98+I99+I100+I101+I102+I103+I104</f>
        <v/>
      </c>
      <c r="J105" s="18">
        <f>J97+J98+J99+J100+J101+J102+J103+J104</f>
        <v/>
      </c>
      <c r="K105" s="18">
        <f>K97+K98+K99+K100+K101+K102+K103+K104</f>
        <v/>
      </c>
      <c r="L105" s="18">
        <f>L97+L98+L99+L100+L101+L102+L103+L104</f>
        <v/>
      </c>
    </row>
    <row r="106">
      <c r="A106" t="inlineStr">
        <is>
          <t xml:space="preserve">  dont équestre</t>
        </is>
      </c>
      <c r="B106" s="5">
        <f>SUM(C106:L106)</f>
        <v/>
      </c>
      <c r="C106" s="5">
        <f>C97*$F$63+C98*$F$64+C99*$F$65+C100*$F$66+C101*$F$67+C102*$F$68+C103*$F$69+C104*$F$70</f>
        <v/>
      </c>
      <c r="D106" s="5">
        <f>D97*$F$63+D98*$F$64+D99*$F$65+D100*$F$66+D101*$F$67+D102*$F$68+D103*$F$69+D104*$F$70</f>
        <v/>
      </c>
      <c r="E106" s="5">
        <f>E97*$F$63+E98*$F$64+E99*$F$65+E100*$F$66+E101*$F$67+E102*$F$68+E103*$F$69+E104*$F$70</f>
        <v/>
      </c>
      <c r="F106" s="5">
        <f>F97*$F$63+F98*$F$64+F99*$F$65+F100*$F$66+F101*$F$67+F102*$F$68+F103*$F$69+F104*$F$70</f>
        <v/>
      </c>
      <c r="G106" s="5">
        <f>G97*$F$63+G98*$F$64+G99*$F$65+G100*$F$66+G101*$F$67+G102*$F$68+G103*$F$69+G104*$F$70</f>
        <v/>
      </c>
      <c r="H106" s="5">
        <f>H97*$F$63+H98*$F$64+H99*$F$65+H100*$F$66+H101*$F$67+H102*$F$68+H103*$F$69+H104*$F$70</f>
        <v/>
      </c>
      <c r="I106" s="5">
        <f>I97*$F$63+I98*$F$64+I99*$F$65+I100*$F$66+I101*$F$67+I102*$F$68+I103*$F$69+I104*$F$70</f>
        <v/>
      </c>
      <c r="J106" s="5">
        <f>J97*$F$63+J98*$F$64+J99*$F$65+J100*$F$66+J101*$F$67+J102*$F$68+J103*$F$69+J104*$F$70</f>
        <v/>
      </c>
      <c r="K106" s="5">
        <f>K97*$F$63+K98*$F$64+K99*$F$65+K100*$F$66+K101*$F$67+K102*$F$68+K103*$F$69+K104*$F$70</f>
        <v/>
      </c>
      <c r="L106" s="5">
        <f>L97*$F$63+L98*$F$64+L99*$F$65+L100*$F$66+L101*$F$67+L102*$F$68+L103*$F$69+L104*$F$70</f>
        <v/>
      </c>
    </row>
    <row r="107">
      <c r="A107" t="inlineStr">
        <is>
          <t xml:space="preserve">  Part équestre du CA</t>
        </is>
      </c>
      <c r="C107" s="6">
        <f>IF(C105=0,0,C106/C105)</f>
        <v/>
      </c>
      <c r="D107" s="6">
        <f>IF(D105=0,0,D106/D105)</f>
        <v/>
      </c>
      <c r="E107" s="6">
        <f>IF(E105=0,0,E106/E105)</f>
        <v/>
      </c>
      <c r="F107" s="6">
        <f>IF(F105=0,0,F106/F105)</f>
        <v/>
      </c>
      <c r="G107" s="6">
        <f>IF(G105=0,0,G106/G105)</f>
        <v/>
      </c>
      <c r="H107" s="6">
        <f>IF(H105=0,0,H106/H105)</f>
        <v/>
      </c>
      <c r="I107" s="6">
        <f>IF(I105=0,0,I106/I105)</f>
        <v/>
      </c>
      <c r="J107" s="6">
        <f>IF(J105=0,0,J106/J105)</f>
        <v/>
      </c>
      <c r="K107" s="6">
        <f>IF(K105=0,0,K106/K105)</f>
        <v/>
      </c>
      <c r="L107" s="6">
        <f>IF(L105=0,0,L106/L105)</f>
        <v/>
      </c>
    </row>
    <row r="108">
      <c r="A108" t="inlineStr">
        <is>
          <t>Coûts variables</t>
        </is>
      </c>
      <c r="B108" s="5">
        <f>SUM(C108:L108)</f>
        <v/>
      </c>
      <c r="C108" s="5">
        <f>-(C97*$D$63+C98*$D$64+C99*$D$65+C100*$D$66+C101*$D$67+C102*$D$68+C103*$D$69+C104*$D$70)</f>
        <v/>
      </c>
      <c r="D108" s="5">
        <f>-(D97*$D$63+D98*$D$64+D99*$D$65+D100*$D$66+D101*$D$67+D102*$D$68+D103*$D$69+D104*$D$70)</f>
        <v/>
      </c>
      <c r="E108" s="5">
        <f>-(E97*$D$63+E98*$D$64+E99*$D$65+E100*$D$66+E101*$D$67+E102*$D$68+E103*$D$69+E104*$D$70)</f>
        <v/>
      </c>
      <c r="F108" s="5">
        <f>-(F97*$D$63+F98*$D$64+F99*$D$65+F100*$D$66+F101*$D$67+F102*$D$68+F103*$D$69+F104*$D$70)</f>
        <v/>
      </c>
      <c r="G108" s="5">
        <f>-(G97*$D$63+G98*$D$64+G99*$D$65+G100*$D$66+G101*$D$67+G102*$D$68+G103*$D$69+G104*$D$70)</f>
        <v/>
      </c>
      <c r="H108" s="5">
        <f>-(H97*$D$63+H98*$D$64+H99*$D$65+H100*$D$66+H101*$D$67+H102*$D$68+H103*$D$69+H104*$D$70)</f>
        <v/>
      </c>
      <c r="I108" s="5">
        <f>-(I97*$D$63+I98*$D$64+I99*$D$65+I100*$D$66+I101*$D$67+I102*$D$68+I103*$D$69+I104*$D$70)</f>
        <v/>
      </c>
      <c r="J108" s="5">
        <f>-(J97*$D$63+J98*$D$64+J99*$D$65+J100*$D$66+J101*$D$67+J102*$D$68+J103*$D$69+J104*$D$70)</f>
        <v/>
      </c>
      <c r="K108" s="5">
        <f>-(K97*$D$63+K98*$D$64+K99*$D$65+K100*$D$66+K101*$D$67+K102*$D$68+K103*$D$69+K104*$D$70)</f>
        <v/>
      </c>
      <c r="L108" s="5">
        <f>-(L97*$D$63+L98*$D$64+L99*$D$65+L100*$D$66+L101*$D$67+L102*$D$68+L103*$D$69+L104*$D$70)</f>
        <v/>
      </c>
    </row>
    <row r="109">
      <c r="A109" s="4" t="inlineStr">
        <is>
          <t>Marge sur coûts variables</t>
        </is>
      </c>
      <c r="B109" s="18">
        <f>SUM(C109:L109)</f>
        <v/>
      </c>
      <c r="C109" s="18">
        <f>C105+C108</f>
        <v/>
      </c>
      <c r="D109" s="18">
        <f>D105+D108</f>
        <v/>
      </c>
      <c r="E109" s="18">
        <f>E105+E108</f>
        <v/>
      </c>
      <c r="F109" s="18">
        <f>F105+F108</f>
        <v/>
      </c>
      <c r="G109" s="18">
        <f>G105+G108</f>
        <v/>
      </c>
      <c r="H109" s="18">
        <f>H105+H108</f>
        <v/>
      </c>
      <c r="I109" s="18">
        <f>I105+I108</f>
        <v/>
      </c>
      <c r="J109" s="18">
        <f>J105+J108</f>
        <v/>
      </c>
      <c r="K109" s="18">
        <f>K105+K108</f>
        <v/>
      </c>
      <c r="L109" s="18">
        <f>L105+L108</f>
        <v/>
      </c>
    </row>
    <row r="110">
      <c r="A110" t="inlineStr">
        <is>
          <t xml:space="preserve">  Taxe foncière</t>
        </is>
      </c>
      <c r="B110" s="5">
        <f>SUM(C110:L110)</f>
        <v/>
      </c>
      <c r="C110" s="5">
        <f>-$B$74*C93*IF($C$74=1,C94,IF(C90&gt;0,1,0))</f>
        <v/>
      </c>
      <c r="D110" s="5">
        <f>-$B$74*D93*IF($C$74=1,D94,IF(D90&gt;0,1,0))</f>
        <v/>
      </c>
      <c r="E110" s="5">
        <f>-$B$74*E93*IF($C$74=1,E94,IF(E90&gt;0,1,0))</f>
        <v/>
      </c>
      <c r="F110" s="5">
        <f>-$B$74*F93*IF($C$74=1,F94,IF(F90&gt;0,1,0))</f>
        <v/>
      </c>
      <c r="G110" s="5">
        <f>-$B$74*G93*IF($C$74=1,G94,IF(G90&gt;0,1,0))</f>
        <v/>
      </c>
      <c r="H110" s="5">
        <f>-$B$74*H93*IF($C$74=1,H94,IF(H90&gt;0,1,0))</f>
        <v/>
      </c>
      <c r="I110" s="5">
        <f>-$B$74*I93*IF($C$74=1,I94,IF(I90&gt;0,1,0))</f>
        <v/>
      </c>
      <c r="J110" s="5">
        <f>-$B$74*J93*IF($C$74=1,J94,IF(J90&gt;0,1,0))</f>
        <v/>
      </c>
      <c r="K110" s="5">
        <f>-$B$74*K93*IF($C$74=1,K94,IF(K90&gt;0,1,0))</f>
        <v/>
      </c>
      <c r="L110" s="5">
        <f>-$B$74*L93*IF($C$74=1,L94,IF(L90&gt;0,1,0))</f>
        <v/>
      </c>
    </row>
    <row r="111">
      <c r="A111" t="inlineStr">
        <is>
          <t xml:space="preserve">  Assurance multirisque château</t>
        </is>
      </c>
      <c r="B111" s="5">
        <f>SUM(C111:L111)</f>
        <v/>
      </c>
      <c r="C111" s="5">
        <f>-$B$75*C93*IF($C$75=1,C94,IF(C90&gt;0,1,0))</f>
        <v/>
      </c>
      <c r="D111" s="5">
        <f>-$B$75*D93*IF($C$75=1,D94,IF(D90&gt;0,1,0))</f>
        <v/>
      </c>
      <c r="E111" s="5">
        <f>-$B$75*E93*IF($C$75=1,E94,IF(E90&gt;0,1,0))</f>
        <v/>
      </c>
      <c r="F111" s="5">
        <f>-$B$75*F93*IF($C$75=1,F94,IF(F90&gt;0,1,0))</f>
        <v/>
      </c>
      <c r="G111" s="5">
        <f>-$B$75*G93*IF($C$75=1,G94,IF(G90&gt;0,1,0))</f>
        <v/>
      </c>
      <c r="H111" s="5">
        <f>-$B$75*H93*IF($C$75=1,H94,IF(H90&gt;0,1,0))</f>
        <v/>
      </c>
      <c r="I111" s="5">
        <f>-$B$75*I93*IF($C$75=1,I94,IF(I90&gt;0,1,0))</f>
        <v/>
      </c>
      <c r="J111" s="5">
        <f>-$B$75*J93*IF($C$75=1,J94,IF(J90&gt;0,1,0))</f>
        <v/>
      </c>
      <c r="K111" s="5">
        <f>-$B$75*K93*IF($C$75=1,K94,IF(K90&gt;0,1,0))</f>
        <v/>
      </c>
      <c r="L111" s="5">
        <f>-$B$75*L93*IF($C$75=1,L94,IF(L90&gt;0,1,0))</f>
        <v/>
      </c>
    </row>
    <row r="112">
      <c r="A112" t="inlineStr">
        <is>
          <t xml:space="preserve">  Énergie (chauffage partiel, électricité, eau)</t>
        </is>
      </c>
      <c r="B112" s="5">
        <f>SUM(C112:L112)</f>
        <v/>
      </c>
      <c r="C112" s="5">
        <f>-$B$76*C93*IF($C$76=1,C94,IF(C90&gt;0,1,0))</f>
        <v/>
      </c>
      <c r="D112" s="5">
        <f>-$B$76*D93*IF($C$76=1,D94,IF(D90&gt;0,1,0))</f>
        <v/>
      </c>
      <c r="E112" s="5">
        <f>-$B$76*E93*IF($C$76=1,E94,IF(E90&gt;0,1,0))</f>
        <v/>
      </c>
      <c r="F112" s="5">
        <f>-$B$76*F93*IF($C$76=1,F94,IF(F90&gt;0,1,0))</f>
        <v/>
      </c>
      <c r="G112" s="5">
        <f>-$B$76*G93*IF($C$76=1,G94,IF(G90&gt;0,1,0))</f>
        <v/>
      </c>
      <c r="H112" s="5">
        <f>-$B$76*H93*IF($C$76=1,H94,IF(H90&gt;0,1,0))</f>
        <v/>
      </c>
      <c r="I112" s="5">
        <f>-$B$76*I93*IF($C$76=1,I94,IF(I90&gt;0,1,0))</f>
        <v/>
      </c>
      <c r="J112" s="5">
        <f>-$B$76*J93*IF($C$76=1,J94,IF(J90&gt;0,1,0))</f>
        <v/>
      </c>
      <c r="K112" s="5">
        <f>-$B$76*K93*IF($C$76=1,K94,IF(K90&gt;0,1,0))</f>
        <v/>
      </c>
      <c r="L112" s="5">
        <f>-$B$76*L93*IF($C$76=1,L94,IF(L90&gt;0,1,0))</f>
        <v/>
      </c>
    </row>
    <row r="113">
      <c r="A113" t="inlineStr">
        <is>
          <t xml:space="preserve">  Jardinier à mi-temps / prestataire</t>
        </is>
      </c>
      <c r="B113" s="5">
        <f>SUM(C113:L113)</f>
        <v/>
      </c>
      <c r="C113" s="5">
        <f>-$B$77*C93*IF($C$77=1,C94,IF(C90&gt;0,1,0))</f>
        <v/>
      </c>
      <c r="D113" s="5">
        <f>-$B$77*D93*IF($C$77=1,D94,IF(D90&gt;0,1,0))</f>
        <v/>
      </c>
      <c r="E113" s="5">
        <f>-$B$77*E93*IF($C$77=1,E94,IF(E90&gt;0,1,0))</f>
        <v/>
      </c>
      <c r="F113" s="5">
        <f>-$B$77*F93*IF($C$77=1,F94,IF(F90&gt;0,1,0))</f>
        <v/>
      </c>
      <c r="G113" s="5">
        <f>-$B$77*G93*IF($C$77=1,G94,IF(G90&gt;0,1,0))</f>
        <v/>
      </c>
      <c r="H113" s="5">
        <f>-$B$77*H93*IF($C$77=1,H94,IF(H90&gt;0,1,0))</f>
        <v/>
      </c>
      <c r="I113" s="5">
        <f>-$B$77*I93*IF($C$77=1,I94,IF(I90&gt;0,1,0))</f>
        <v/>
      </c>
      <c r="J113" s="5">
        <f>-$B$77*J93*IF($C$77=1,J94,IF(J90&gt;0,1,0))</f>
        <v/>
      </c>
      <c r="K113" s="5">
        <f>-$B$77*K93*IF($C$77=1,K94,IF(K90&gt;0,1,0))</f>
        <v/>
      </c>
      <c r="L113" s="5">
        <f>-$B$77*L93*IF($C$77=1,L94,IF(L90&gt;0,1,0))</f>
        <v/>
      </c>
    </row>
    <row r="114">
      <c r="A114" t="inlineStr">
        <is>
          <t xml:space="preserve">  Divers (abonnements, petit matériel, véhicule, honoraires)</t>
        </is>
      </c>
      <c r="B114" s="5">
        <f>SUM(C114:L114)</f>
        <v/>
      </c>
      <c r="C114" s="5">
        <f>-$B$78*C93*IF($C$78=1,C94,IF(C90&gt;0,1,0))</f>
        <v/>
      </c>
      <c r="D114" s="5">
        <f>-$B$78*D93*IF($C$78=1,D94,IF(D90&gt;0,1,0))</f>
        <v/>
      </c>
      <c r="E114" s="5">
        <f>-$B$78*E93*IF($C$78=1,E94,IF(E90&gt;0,1,0))</f>
        <v/>
      </c>
      <c r="F114" s="5">
        <f>-$B$78*F93*IF($C$78=1,F94,IF(F90&gt;0,1,0))</f>
        <v/>
      </c>
      <c r="G114" s="5">
        <f>-$B$78*G93*IF($C$78=1,G94,IF(G90&gt;0,1,0))</f>
        <v/>
      </c>
      <c r="H114" s="5">
        <f>-$B$78*H93*IF($C$78=1,H94,IF(H90&gt;0,1,0))</f>
        <v/>
      </c>
      <c r="I114" s="5">
        <f>-$B$78*I93*IF($C$78=1,I94,IF(I90&gt;0,1,0))</f>
        <v/>
      </c>
      <c r="J114" s="5">
        <f>-$B$78*J93*IF($C$78=1,J94,IF(J90&gt;0,1,0))</f>
        <v/>
      </c>
      <c r="K114" s="5">
        <f>-$B$78*K93*IF($C$78=1,K94,IF(K90&gt;0,1,0))</f>
        <v/>
      </c>
      <c r="L114" s="5">
        <f>-$B$78*L93*IF($C$78=1,L94,IF(L90&gt;0,1,0))</f>
        <v/>
      </c>
    </row>
    <row r="115">
      <c r="A115" t="inlineStr">
        <is>
          <t xml:space="preserve">  Soigneur (1 ETP + extras week-end)</t>
        </is>
      </c>
      <c r="B115" s="5">
        <f>SUM(C115:L115)</f>
        <v/>
      </c>
      <c r="C115" s="5">
        <f>-$B$79*C93*IF($C$79=1,C94,IF(C90&gt;0,1,0))</f>
        <v/>
      </c>
      <c r="D115" s="5">
        <f>-$B$79*D93*IF($C$79=1,D94,IF(D90&gt;0,1,0))</f>
        <v/>
      </c>
      <c r="E115" s="5">
        <f>-$B$79*E93*IF($C$79=1,E94,IF(E90&gt;0,1,0))</f>
        <v/>
      </c>
      <c r="F115" s="5">
        <f>-$B$79*F93*IF($C$79=1,F94,IF(F90&gt;0,1,0))</f>
        <v/>
      </c>
      <c r="G115" s="5">
        <f>-$B$79*G93*IF($C$79=1,G94,IF(G90&gt;0,1,0))</f>
        <v/>
      </c>
      <c r="H115" s="5">
        <f>-$B$79*H93*IF($C$79=1,H94,IF(H90&gt;0,1,0))</f>
        <v/>
      </c>
      <c r="I115" s="5">
        <f>-$B$79*I93*IF($C$79=1,I94,IF(I90&gt;0,1,0))</f>
        <v/>
      </c>
      <c r="J115" s="5">
        <f>-$B$79*J93*IF($C$79=1,J94,IF(J90&gt;0,1,0))</f>
        <v/>
      </c>
      <c r="K115" s="5">
        <f>-$B$79*K93*IF($C$79=1,K94,IF(K90&gt;0,1,0))</f>
        <v/>
      </c>
      <c r="L115" s="5">
        <f>-$B$79*L93*IF($C$79=1,L94,IF(L90&gt;0,1,0))</f>
        <v/>
      </c>
    </row>
    <row r="116">
      <c r="A116" t="inlineStr">
        <is>
          <t xml:space="preserve">  Autres charges de structure équestres (entretien installations, matériel, assurance RC, énergie écuries)</t>
        </is>
      </c>
      <c r="B116" s="5">
        <f>SUM(C116:L116)</f>
        <v/>
      </c>
      <c r="C116" s="5">
        <f>-$B$80*C93*IF($C$80=1,C94,IF(C90&gt;0,1,0))</f>
        <v/>
      </c>
      <c r="D116" s="5">
        <f>-$B$80*D93*IF($C$80=1,D94,IF(D90&gt;0,1,0))</f>
        <v/>
      </c>
      <c r="E116" s="5">
        <f>-$B$80*E93*IF($C$80=1,E94,IF(E90&gt;0,1,0))</f>
        <v/>
      </c>
      <c r="F116" s="5">
        <f>-$B$80*F93*IF($C$80=1,F94,IF(F90&gt;0,1,0))</f>
        <v/>
      </c>
      <c r="G116" s="5">
        <f>-$B$80*G93*IF($C$80=1,G94,IF(G90&gt;0,1,0))</f>
        <v/>
      </c>
      <c r="H116" s="5">
        <f>-$B$80*H93*IF($C$80=1,H94,IF(H90&gt;0,1,0))</f>
        <v/>
      </c>
      <c r="I116" s="5">
        <f>-$B$80*I93*IF($C$80=1,I94,IF(I90&gt;0,1,0))</f>
        <v/>
      </c>
      <c r="J116" s="5">
        <f>-$B$80*J93*IF($C$80=1,J94,IF(J90&gt;0,1,0))</f>
        <v/>
      </c>
      <c r="K116" s="5">
        <f>-$B$80*K93*IF($C$80=1,K94,IF(K90&gt;0,1,0))</f>
        <v/>
      </c>
      <c r="L116" s="5">
        <f>-$B$80*L93*IF($C$80=1,L94,IF(L90&gt;0,1,0))</f>
        <v/>
      </c>
    </row>
    <row r="117">
      <c r="A117" t="inlineStr">
        <is>
          <t xml:space="preserve">  Coûts fixes mariages (coordination, nettoyage, publicité)</t>
        </is>
      </c>
      <c r="B117" s="5">
        <f>SUM(C117:L117)</f>
        <v/>
      </c>
      <c r="C117" s="5">
        <f>-$B$81*C93*IF($C$81=1,C94,IF(C90&gt;0,1,0))</f>
        <v/>
      </c>
      <c r="D117" s="5">
        <f>-$B$81*D93*IF($C$81=1,D94,IF(D90&gt;0,1,0))</f>
        <v/>
      </c>
      <c r="E117" s="5">
        <f>-$B$81*E93*IF($C$81=1,E94,IF(E90&gt;0,1,0))</f>
        <v/>
      </c>
      <c r="F117" s="5">
        <f>-$B$81*F93*IF($C$81=1,F94,IF(F90&gt;0,1,0))</f>
        <v/>
      </c>
      <c r="G117" s="5">
        <f>-$B$81*G93*IF($C$81=1,G94,IF(G90&gt;0,1,0))</f>
        <v/>
      </c>
      <c r="H117" s="5">
        <f>-$B$81*H93*IF($C$81=1,H94,IF(H90&gt;0,1,0))</f>
        <v/>
      </c>
      <c r="I117" s="5">
        <f>-$B$81*I93*IF($C$81=1,I94,IF(I90&gt;0,1,0))</f>
        <v/>
      </c>
      <c r="J117" s="5">
        <f>-$B$81*J93*IF($C$81=1,J94,IF(J90&gt;0,1,0))</f>
        <v/>
      </c>
      <c r="K117" s="5">
        <f>-$B$81*K93*IF($C$81=1,K94,IF(K90&gt;0,1,0))</f>
        <v/>
      </c>
      <c r="L117" s="5">
        <f>-$B$81*L93*IF($C$81=1,L94,IF(L90&gt;0,1,0))</f>
        <v/>
      </c>
    </row>
    <row r="118">
      <c r="A118" t="inlineStr">
        <is>
          <t xml:space="preserve">  Coûts fixes du gîte</t>
        </is>
      </c>
      <c r="B118" s="5">
        <f>SUM(C118:L118)</f>
        <v/>
      </c>
      <c r="C118" s="5">
        <f>-$B$82*C93*IF($C$82=1,C94,IF(C90&gt;0,1,0))</f>
        <v/>
      </c>
      <c r="D118" s="5">
        <f>-$B$82*D93*IF($C$82=1,D94,IF(D90&gt;0,1,0))</f>
        <v/>
      </c>
      <c r="E118" s="5">
        <f>-$B$82*E93*IF($C$82=1,E94,IF(E90&gt;0,1,0))</f>
        <v/>
      </c>
      <c r="F118" s="5">
        <f>-$B$82*F93*IF($C$82=1,F94,IF(F90&gt;0,1,0))</f>
        <v/>
      </c>
      <c r="G118" s="5">
        <f>-$B$82*G93*IF($C$82=1,G94,IF(G90&gt;0,1,0))</f>
        <v/>
      </c>
      <c r="H118" s="5">
        <f>-$B$82*H93*IF($C$82=1,H94,IF(H90&gt;0,1,0))</f>
        <v/>
      </c>
      <c r="I118" s="5">
        <f>-$B$82*I93*IF($C$82=1,I94,IF(I90&gt;0,1,0))</f>
        <v/>
      </c>
      <c r="J118" s="5">
        <f>-$B$82*J93*IF($C$82=1,J94,IF(J90&gt;0,1,0))</f>
        <v/>
      </c>
      <c r="K118" s="5">
        <f>-$B$82*K93*IF($C$82=1,K94,IF(K90&gt;0,1,0))</f>
        <v/>
      </c>
      <c r="L118" s="5">
        <f>-$B$82*L93*IF($C$82=1,L94,IF(L90&gt;0,1,0))</f>
        <v/>
      </c>
    </row>
    <row r="119">
      <c r="A119" t="inlineStr">
        <is>
          <t xml:space="preserve">  Commercial, site, salons</t>
        </is>
      </c>
      <c r="B119" s="5">
        <f>SUM(C119:L119)</f>
        <v/>
      </c>
      <c r="C119" s="5">
        <f>-$B$83*C93*IF($C$83=1,C94,IF(C90&gt;0,1,0))</f>
        <v/>
      </c>
      <c r="D119" s="5">
        <f>-$B$83*D93*IF($C$83=1,D94,IF(D90&gt;0,1,0))</f>
        <v/>
      </c>
      <c r="E119" s="5">
        <f>-$B$83*E93*IF($C$83=1,E94,IF(E90&gt;0,1,0))</f>
        <v/>
      </c>
      <c r="F119" s="5">
        <f>-$B$83*F93*IF($C$83=1,F94,IF(F90&gt;0,1,0))</f>
        <v/>
      </c>
      <c r="G119" s="5">
        <f>-$B$83*G93*IF($C$83=1,G94,IF(G90&gt;0,1,0))</f>
        <v/>
      </c>
      <c r="H119" s="5">
        <f>-$B$83*H93*IF($C$83=1,H94,IF(H90&gt;0,1,0))</f>
        <v/>
      </c>
      <c r="I119" s="5">
        <f>-$B$83*I93*IF($C$83=1,I94,IF(I90&gt;0,1,0))</f>
        <v/>
      </c>
      <c r="J119" s="5">
        <f>-$B$83*J93*IF($C$83=1,J94,IF(J90&gt;0,1,0))</f>
        <v/>
      </c>
      <c r="K119" s="5">
        <f>-$B$83*K93*IF($C$83=1,K94,IF(K90&gt;0,1,0))</f>
        <v/>
      </c>
      <c r="L119" s="5">
        <f>-$B$83*L93*IF($C$83=1,L94,IF(L90&gt;0,1,0))</f>
        <v/>
      </c>
    </row>
    <row r="120">
      <c r="A120" t="inlineStr">
        <is>
          <t xml:space="preserve">  Comptabilité, juridique, banque, logiciels</t>
        </is>
      </c>
      <c r="B120" s="5">
        <f>SUM(C120:L120)</f>
        <v/>
      </c>
      <c r="C120" s="5">
        <f>-$B$84*C93*IF($C$84=1,C94,IF(C90&gt;0,1,0))</f>
        <v/>
      </c>
      <c r="D120" s="5">
        <f>-$B$84*D93*IF($C$84=1,D94,IF(D90&gt;0,1,0))</f>
        <v/>
      </c>
      <c r="E120" s="5">
        <f>-$B$84*E93*IF($C$84=1,E94,IF(E90&gt;0,1,0))</f>
        <v/>
      </c>
      <c r="F120" s="5">
        <f>-$B$84*F93*IF($C$84=1,F94,IF(F90&gt;0,1,0))</f>
        <v/>
      </c>
      <c r="G120" s="5">
        <f>-$B$84*G93*IF($C$84=1,G94,IF(G90&gt;0,1,0))</f>
        <v/>
      </c>
      <c r="H120" s="5">
        <f>-$B$84*H93*IF($C$84=1,H94,IF(H90&gt;0,1,0))</f>
        <v/>
      </c>
      <c r="I120" s="5">
        <f>-$B$84*I93*IF($C$84=1,I94,IF(I90&gt;0,1,0))</f>
        <v/>
      </c>
      <c r="J120" s="5">
        <f>-$B$84*J93*IF($C$84=1,J94,IF(J90&gt;0,1,0))</f>
        <v/>
      </c>
      <c r="K120" s="5">
        <f>-$B$84*K93*IF($C$84=1,K94,IF(K90&gt;0,1,0))</f>
        <v/>
      </c>
      <c r="L120" s="5">
        <f>-$B$84*L93*IF($C$84=1,L94,IF(L90&gt;0,1,0))</f>
        <v/>
      </c>
    </row>
    <row r="121">
      <c r="A121" t="inlineStr">
        <is>
          <t xml:space="preserve">  Redevance emphytéotique</t>
        </is>
      </c>
      <c r="B121" s="5">
        <f>SUM(C121:L121)</f>
        <v/>
      </c>
      <c r="C121" s="5">
        <f>-$B$85*C93*IF($C$85=1,C94,IF(C90&gt;0,1,0))</f>
        <v/>
      </c>
      <c r="D121" s="5">
        <f>-$B$85*D93*IF($C$85=1,D94,IF(D90&gt;0,1,0))</f>
        <v/>
      </c>
      <c r="E121" s="5">
        <f>-$B$85*E93*IF($C$85=1,E94,IF(E90&gt;0,1,0))</f>
        <v/>
      </c>
      <c r="F121" s="5">
        <f>-$B$85*F93*IF($C$85=1,F94,IF(F90&gt;0,1,0))</f>
        <v/>
      </c>
      <c r="G121" s="5">
        <f>-$B$85*G93*IF($C$85=1,G94,IF(G90&gt;0,1,0))</f>
        <v/>
      </c>
      <c r="H121" s="5">
        <f>-$B$85*H93*IF($C$85=1,H94,IF(H90&gt;0,1,0))</f>
        <v/>
      </c>
      <c r="I121" s="5">
        <f>-$B$85*I93*IF($C$85=1,I94,IF(I90&gt;0,1,0))</f>
        <v/>
      </c>
      <c r="J121" s="5">
        <f>-$B$85*J93*IF($C$85=1,J94,IF(J90&gt;0,1,0))</f>
        <v/>
      </c>
      <c r="K121" s="5">
        <f>-$B$85*K93*IF($C$85=1,K94,IF(K90&gt;0,1,0))</f>
        <v/>
      </c>
      <c r="L121" s="5">
        <f>-$B$85*L93*IF($C$85=1,L94,IF(L90&gt;0,1,0))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C110+C111+C112+C113+C114+C115+C116+C117+C118+C119+C120+C121</f>
        <v/>
      </c>
      <c r="D122" s="18">
        <f>D110+D111+D112+D113+D114+D115+D116+D117+D118+D119+D120+D121</f>
        <v/>
      </c>
      <c r="E122" s="18">
        <f>E110+E111+E112+E113+E114+E115+E116+E117+E118+E119+E120+E121</f>
        <v/>
      </c>
      <c r="F122" s="18">
        <f>F110+F111+F112+F113+F114+F115+F116+F117+F118+F119+F120+F121</f>
        <v/>
      </c>
      <c r="G122" s="18">
        <f>G110+G111+G112+G113+G114+G115+G116+G117+G118+G119+G120+G121</f>
        <v/>
      </c>
      <c r="H122" s="18">
        <f>H110+H111+H112+H113+H114+H115+H116+H117+H118+H119+H120+H121</f>
        <v/>
      </c>
      <c r="I122" s="18">
        <f>I110+I111+I112+I113+I114+I115+I116+I117+I118+I119+I120+I121</f>
        <v/>
      </c>
      <c r="J122" s="18">
        <f>J110+J111+J112+J113+J114+J115+J116+J117+J118+J119+J120+J121</f>
        <v/>
      </c>
      <c r="K122" s="18">
        <f>K110+K111+K112+K113+K114+K115+K116+K117+K118+K119+K120+K121</f>
        <v/>
      </c>
      <c r="L122" s="18">
        <f>L110+L111+L112+L113+L114+L115+L116+L117+L118+L119+L120+L121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-IF(C94=0,IF(C$88&gt;=$B$6,$B$18*C93,0),0)</f>
        <v/>
      </c>
      <c r="D123" s="5">
        <f>-IF(D94=0,IF(D$88&gt;=$B$6,$B$18*D93,0),0)</f>
        <v/>
      </c>
      <c r="E123" s="5">
        <f>-IF(E94=0,IF(E$88&gt;=$B$6,$B$18*E93,0),0)</f>
        <v/>
      </c>
      <c r="F123" s="5">
        <f>-IF(F94=0,IF(F$88&gt;=$B$6,$B$18*F93,0),0)</f>
        <v/>
      </c>
      <c r="G123" s="5">
        <f>-IF(G94=0,IF(G$88&gt;=$B$6,$B$18*G93,0),0)</f>
        <v/>
      </c>
      <c r="H123" s="5">
        <f>-IF(H94=0,IF(H$88&gt;=$B$6,$B$18*H93,0),0)</f>
        <v/>
      </c>
      <c r="I123" s="5">
        <f>-IF(I94=0,IF(I$88&gt;=$B$6,$B$18*I93,0),0)</f>
        <v/>
      </c>
      <c r="J123" s="5">
        <f>-IF(J94=0,IF(J$88&gt;=$B$6,$B$18*J93,0),0)</f>
        <v/>
      </c>
      <c r="K123" s="5">
        <f>-IF(K94=0,IF(K$88&gt;=$B$6,$B$18*K93,0),0)</f>
        <v/>
      </c>
      <c r="L123" s="5">
        <f>-IF(L94=0,IF(L$88&gt;=$B$6,$B$18*L93,0),0)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C109+C122+C123</f>
        <v/>
      </c>
      <c r="D124" s="18">
        <f>D109+D122+D123</f>
        <v/>
      </c>
      <c r="E124" s="18">
        <f>E109+E122+E123</f>
        <v/>
      </c>
      <c r="F124" s="18">
        <f>F109+F122+F123</f>
        <v/>
      </c>
      <c r="G124" s="18">
        <f>G109+G122+G123</f>
        <v/>
      </c>
      <c r="H124" s="18">
        <f>H109+H122+H123</f>
        <v/>
      </c>
      <c r="I124" s="18">
        <f>I109+I122+I123</f>
        <v/>
      </c>
      <c r="J124" s="18">
        <f>J109+J122+J123</f>
        <v/>
      </c>
      <c r="K124" s="18">
        <f>K109+K122+K123</f>
        <v/>
      </c>
      <c r="L124" s="18">
        <f>L109+L122+L123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C94*$B$20*C93</f>
        <v/>
      </c>
      <c r="D125" s="5">
        <f>D94*$B$20*D93</f>
        <v/>
      </c>
      <c r="E125" s="5">
        <f>E94*$B$20*E93</f>
        <v/>
      </c>
      <c r="F125" s="5">
        <f>F94*$B$20*F93</f>
        <v/>
      </c>
      <c r="G125" s="5">
        <f>G94*$B$20*G93</f>
        <v/>
      </c>
      <c r="H125" s="5">
        <f>H94*$B$20*H93</f>
        <v/>
      </c>
      <c r="I125" s="5">
        <f>I94*$B$20*I93</f>
        <v/>
      </c>
      <c r="J125" s="5">
        <f>J94*$B$20*J93</f>
        <v/>
      </c>
      <c r="K125" s="5">
        <f>K94*$B$20*K93</f>
        <v/>
      </c>
      <c r="L125" s="5">
        <f>L94*$B$20*L93</f>
        <v/>
      </c>
    </row>
    <row r="126">
      <c r="A126" t="inlineStr">
        <is>
          <t xml:space="preserve">  Marge d'EBITDA</t>
        </is>
      </c>
      <c r="C126" s="6">
        <f>IF(C105=0,0,C124/C105)</f>
        <v/>
      </c>
      <c r="D126" s="6">
        <f>IF(D105=0,0,D124/D105)</f>
        <v/>
      </c>
      <c r="E126" s="6">
        <f>IF(E105=0,0,E124/E105)</f>
        <v/>
      </c>
      <c r="F126" s="6">
        <f>IF(F105=0,0,F124/F105)</f>
        <v/>
      </c>
      <c r="G126" s="6">
        <f>IF(G105=0,0,G124/G105)</f>
        <v/>
      </c>
      <c r="H126" s="6">
        <f>IF(H105=0,0,H124/H105)</f>
        <v/>
      </c>
      <c r="I126" s="6">
        <f>IF(I105=0,0,I124/I105)</f>
        <v/>
      </c>
      <c r="J126" s="6">
        <f>IF(J105=0,0,J124/J105)</f>
        <v/>
      </c>
      <c r="K126" s="6">
        <f>IF(K105=0,0,K124/K105)</f>
        <v/>
      </c>
      <c r="L126" s="6">
        <f>IF(L105=0,0,L124/L105)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($B$10+$B$11+$B$12)*$B$46*IF(C$88=$B$5,$B$13,IF(C$88=$B$5+1,$B$14,IF(C$88=$B$5+2,$B$15,0)))*C93</f>
        <v/>
      </c>
      <c r="D127" s="5">
        <f>($B$10+$B$11+$B$12)*$B$46*IF(D$88=$B$5,$B$13,IF(D$88=$B$5+1,$B$14,IF(D$88=$B$5+2,$B$15,0)))*D93</f>
        <v/>
      </c>
      <c r="E127" s="5">
        <f>($B$10+$B$11+$B$12)*$B$46*IF(E$88=$B$5,$B$13,IF(E$88=$B$5+1,$B$14,IF(E$88=$B$5+2,$B$15,0)))*E93</f>
        <v/>
      </c>
      <c r="F127" s="5">
        <f>($B$10+$B$11+$B$12)*$B$46*IF(F$88=$B$5,$B$13,IF(F$88=$B$5+1,$B$14,IF(F$88=$B$5+2,$B$15,0)))*F93</f>
        <v/>
      </c>
      <c r="G127" s="5">
        <f>($B$10+$B$11+$B$12)*$B$46*IF(G$88=$B$5,$B$13,IF(G$88=$B$5+1,$B$14,IF(G$88=$B$5+2,$B$15,0)))*G93</f>
        <v/>
      </c>
      <c r="H127" s="5">
        <f>($B$10+$B$11+$B$12)*$B$46*IF(H$88=$B$5,$B$13,IF(H$88=$B$5+1,$B$14,IF(H$88=$B$5+2,$B$15,0)))*H93</f>
        <v/>
      </c>
      <c r="I127" s="5">
        <f>($B$10+$B$11+$B$12)*$B$46*IF(I$88=$B$5,$B$13,IF(I$88=$B$5+1,$B$14,IF(I$88=$B$5+2,$B$15,0)))*I93</f>
        <v/>
      </c>
      <c r="J127" s="5">
        <f>($B$10+$B$11+$B$12)*$B$46*IF(J$88=$B$5,$B$13,IF(J$88=$B$5+1,$B$14,IF(J$88=$B$5+2,$B$15,0)))*J93</f>
        <v/>
      </c>
      <c r="K127" s="5">
        <f>($B$10+$B$11+$B$12)*$B$46*IF(K$88=$B$5,$B$13,IF(K$88=$B$5+1,$B$14,IF(K$88=$B$5+2,$B$15,0)))*K93</f>
        <v/>
      </c>
      <c r="L127" s="5">
        <f>($B$10+$B$11+$B$12)*$B$46*IF(L$88=$B$5,$B$13,IF(L$88=$B$5+1,$B$14,IF(L$88=$B$5+2,$B$15,0)))*L93</f>
        <v/>
      </c>
    </row>
    <row r="128">
      <c r="A128" t="inlineStr">
        <is>
          <t>Acquisition (prix + frais)</t>
        </is>
      </c>
      <c r="B128" s="5">
        <f>SUM(C128:L128)</f>
        <v/>
      </c>
      <c r="C128" s="5">
        <f>IF(C$88=$B$5,$B$7*(1+$B$8),0)</f>
        <v/>
      </c>
      <c r="D128" s="5">
        <f>IF(D$88=$B$5,$B$7*(1+$B$8),0)</f>
        <v/>
      </c>
      <c r="E128" s="5">
        <f>IF(E$88=$B$5,$B$7*(1+$B$8),0)</f>
        <v/>
      </c>
      <c r="F128" s="5">
        <f>IF(F$88=$B$5,$B$7*(1+$B$8),0)</f>
        <v/>
      </c>
      <c r="G128" s="5">
        <f>IF(G$88=$B$5,$B$7*(1+$B$8),0)</f>
        <v/>
      </c>
      <c r="H128" s="5">
        <f>IF(H$88=$B$5,$B$7*(1+$B$8),0)</f>
        <v/>
      </c>
      <c r="I128" s="5">
        <f>IF(I$88=$B$5,$B$7*(1+$B$8),0)</f>
        <v/>
      </c>
      <c r="J128" s="5">
        <f>IF(J$88=$B$5,$B$7*(1+$B$8),0)</f>
        <v/>
      </c>
      <c r="K128" s="5">
        <f>IF(K$88=$B$5,$B$7*(1+$B$8),0)</f>
        <v/>
      </c>
      <c r="L128" s="5">
        <f>IF(L$88=$B$5,$B$7*(1+$B$8),0)</f>
        <v/>
      </c>
    </row>
    <row r="129">
      <c r="A129" t="inlineStr">
        <is>
          <t>Gros entretien patrimonial récurrent</t>
        </is>
      </c>
      <c r="B129" s="5">
        <f>SUM(C129:L129)</f>
        <v/>
      </c>
      <c r="C129" s="5">
        <f>IF(C$88&gt;=$B$5+3,$B$16*($B$7+($B$10+$B$11+$B$12)*$B$46)*C93,0)</f>
        <v/>
      </c>
      <c r="D129" s="5">
        <f>IF(D$88&gt;=$B$5+3,$B$16*($B$7+($B$10+$B$11+$B$12)*$B$46)*D93,0)</f>
        <v/>
      </c>
      <c r="E129" s="5">
        <f>IF(E$88&gt;=$B$5+3,$B$16*($B$7+($B$10+$B$11+$B$12)*$B$46)*E93,0)</f>
        <v/>
      </c>
      <c r="F129" s="5">
        <f>IF(F$88&gt;=$B$5+3,$B$16*($B$7+($B$10+$B$11+$B$12)*$B$46)*F93,0)</f>
        <v/>
      </c>
      <c r="G129" s="5">
        <f>IF(G$88&gt;=$B$5+3,$B$16*($B$7+($B$10+$B$11+$B$12)*$B$46)*G93,0)</f>
        <v/>
      </c>
      <c r="H129" s="5">
        <f>IF(H$88&gt;=$B$5+3,$B$16*($B$7+($B$10+$B$11+$B$12)*$B$46)*H93,0)</f>
        <v/>
      </c>
      <c r="I129" s="5">
        <f>IF(I$88&gt;=$B$5+3,$B$16*($B$7+($B$10+$B$11+$B$12)*$B$46)*I93,0)</f>
        <v/>
      </c>
      <c r="J129" s="5">
        <f>IF(J$88&gt;=$B$5+3,$B$16*($B$7+($B$10+$B$11+$B$12)*$B$46)*J93,0)</f>
        <v/>
      </c>
      <c r="K129" s="5">
        <f>IF(K$88&gt;=$B$5+3,$B$16*($B$7+($B$10+$B$11+$B$12)*$B$46)*K93,0)</f>
        <v/>
      </c>
      <c r="L129" s="5">
        <f>IF(L$88&gt;=$B$5+3,$B$16*($B$7+($B$10+$B$11+$B$12)*$B$46)*L93,0)</f>
        <v/>
      </c>
    </row>
    <row r="130">
      <c r="A130" t="inlineStr">
        <is>
          <t>Investissements amortissables cumulés</t>
        </is>
      </c>
      <c r="C130" s="5">
        <f>C127+C129</f>
        <v/>
      </c>
      <c r="D130" s="5">
        <f>C130+D127+D129</f>
        <v/>
      </c>
      <c r="E130" s="5">
        <f>D130+E127+E129</f>
        <v/>
      </c>
      <c r="F130" s="5">
        <f>E130+F127+F129</f>
        <v/>
      </c>
      <c r="G130" s="5">
        <f>F130+G127+G129</f>
        <v/>
      </c>
      <c r="H130" s="5">
        <f>G130+H127+H129</f>
        <v/>
      </c>
      <c r="I130" s="5">
        <f>H130+I127+I129</f>
        <v/>
      </c>
      <c r="J130" s="5">
        <f>I130+J127+J129</f>
        <v/>
      </c>
      <c r="K130" s="5">
        <f>J130+K127+K129</f>
        <v/>
      </c>
      <c r="L130" s="5">
        <f>K130+L127+L129</f>
        <v/>
      </c>
    </row>
    <row r="131">
      <c r="A131" t="inlineStr">
        <is>
          <t>Dotations aux amortissements (bâti 30 ans, travaux 15 ans)</t>
        </is>
      </c>
      <c r="B131" s="5">
        <f>SUM(C131:L131)</f>
        <v/>
      </c>
      <c r="C131" s="5">
        <f>-(C94*$B$7*(1+$B$8)*$B$9/30+C130/15)</f>
        <v/>
      </c>
      <c r="D131" s="5">
        <f>-(D94*$B$7*(1+$B$8)*$B$9/30+D130/15)</f>
        <v/>
      </c>
      <c r="E131" s="5">
        <f>-(E94*$B$7*(1+$B$8)*$B$9/30+E130/15)</f>
        <v/>
      </c>
      <c r="F131" s="5">
        <f>-(F94*$B$7*(1+$B$8)*$B$9/30+F130/15)</f>
        <v/>
      </c>
      <c r="G131" s="5">
        <f>-(G94*$B$7*(1+$B$8)*$B$9/30+G130/15)</f>
        <v/>
      </c>
      <c r="H131" s="5">
        <f>-(H94*$B$7*(1+$B$8)*$B$9/30+H130/15)</f>
        <v/>
      </c>
      <c r="I131" s="5">
        <f>-(I94*$B$7*(1+$B$8)*$B$9/30+I130/15)</f>
        <v/>
      </c>
      <c r="J131" s="5">
        <f>-(J94*$B$7*(1+$B$8)*$B$9/30+J130/15)</f>
        <v/>
      </c>
      <c r="K131" s="5">
        <f>-(K94*$B$7*(1+$B$8)*$B$9/30+K130/15)</f>
        <v/>
      </c>
      <c r="L131" s="5">
        <f>-(L94*$B$7*(1+$B$8)*$B$9/30+L130/15)</f>
        <v/>
      </c>
    </row>
    <row r="132">
      <c r="A132" s="4" t="inlineStr">
        <is>
          <t>Résultat d'exploitation</t>
        </is>
      </c>
      <c r="B132" s="18">
        <f>SUM(C132:L132)</f>
        <v/>
      </c>
      <c r="C132" s="18">
        <f>C124+C131</f>
        <v/>
      </c>
      <c r="D132" s="18">
        <f>D124+D131</f>
        <v/>
      </c>
      <c r="E132" s="18">
        <f>E124+E131</f>
        <v/>
      </c>
      <c r="F132" s="18">
        <f>F124+F131</f>
        <v/>
      </c>
      <c r="G132" s="18">
        <f>G124+G131</f>
        <v/>
      </c>
      <c r="H132" s="18">
        <f>H124+H131</f>
        <v/>
      </c>
      <c r="I132" s="18">
        <f>I124+I131</f>
        <v/>
      </c>
      <c r="J132" s="18">
        <f>J124+J131</f>
        <v/>
      </c>
      <c r="K132" s="18">
        <f>K124+K131</f>
        <v/>
      </c>
      <c r="L132" s="18">
        <f>L124+L131</f>
        <v/>
      </c>
    </row>
    <row r="134">
      <c r="A134" s="4" t="inlineStr">
        <is>
          <t>Échéancier des emprunts</t>
        </is>
      </c>
    </row>
    <row r="135">
      <c r="A135" t="inlineStr">
        <is>
          <t>Taux bancaire effectif</t>
        </is>
      </c>
      <c r="C135" s="6">
        <f>$B$28+$B$48</f>
        <v/>
      </c>
      <c r="D135" s="6">
        <f>$B$28+$B$48</f>
        <v/>
      </c>
      <c r="E135" s="6">
        <f>$B$28+$B$48</f>
        <v/>
      </c>
      <c r="F135" s="6">
        <f>$B$28+$B$48</f>
        <v/>
      </c>
      <c r="G135" s="6">
        <f>$B$28+$B$48</f>
        <v/>
      </c>
      <c r="H135" s="6">
        <f>$B$28+$B$48</f>
        <v/>
      </c>
      <c r="I135" s="6">
        <f>$B$28+$B$48</f>
        <v/>
      </c>
      <c r="J135" s="6">
        <f>$B$28+$B$48</f>
        <v/>
      </c>
      <c r="K135" s="6">
        <f>$B$28+$B$48</f>
        <v/>
      </c>
      <c r="L135" s="6">
        <f>$B$28+$B$48</f>
        <v/>
      </c>
    </row>
    <row r="136">
      <c r="A136" t="inlineStr">
        <is>
          <t>Rang de l'année d'emprunt</t>
        </is>
      </c>
      <c r="C136" s="8">
        <f>MAX(0,C$88-$B$5+1)</f>
        <v/>
      </c>
      <c r="D136" s="8">
        <f>MAX(0,D$88-$B$5+1)</f>
        <v/>
      </c>
      <c r="E136" s="8">
        <f>MAX(0,E$88-$B$5+1)</f>
        <v/>
      </c>
      <c r="F136" s="8">
        <f>MAX(0,F$88-$B$5+1)</f>
        <v/>
      </c>
      <c r="G136" s="8">
        <f>MAX(0,G$88-$B$5+1)</f>
        <v/>
      </c>
      <c r="H136" s="8">
        <f>MAX(0,H$88-$B$5+1)</f>
        <v/>
      </c>
      <c r="I136" s="8">
        <f>MAX(0,I$88-$B$5+1)</f>
        <v/>
      </c>
      <c r="J136" s="8">
        <f>MAX(0,J$88-$B$5+1)</f>
        <v/>
      </c>
      <c r="K136" s="8">
        <f>MAX(0,K$88-$B$5+1)</f>
        <v/>
      </c>
      <c r="L136" s="8">
        <f>MAX(0,L$88-$B$5+1)</f>
        <v/>
      </c>
    </row>
    <row r="137">
      <c r="A137" t="inlineStr">
        <is>
          <t>Dette bancaire — capital début</t>
        </is>
      </c>
      <c r="C137" s="5">
        <f>IF(C136=1,$B$27,0)</f>
        <v/>
      </c>
      <c r="D137" s="5">
        <f>IF(D136=1,$B$27,C140)</f>
        <v/>
      </c>
      <c r="E137" s="5">
        <f>IF(E136=1,$B$27,D140)</f>
        <v/>
      </c>
      <c r="F137" s="5">
        <f>IF(F136=1,$B$27,E140)</f>
        <v/>
      </c>
      <c r="G137" s="5">
        <f>IF(G136=1,$B$27,F140)</f>
        <v/>
      </c>
      <c r="H137" s="5">
        <f>IF(H136=1,$B$27,G140)</f>
        <v/>
      </c>
      <c r="I137" s="5">
        <f>IF(I136=1,$B$27,H140)</f>
        <v/>
      </c>
      <c r="J137" s="5">
        <f>IF(J136=1,$B$27,I140)</f>
        <v/>
      </c>
      <c r="K137" s="5">
        <f>IF(K136=1,$B$27,J140)</f>
        <v/>
      </c>
      <c r="L137" s="5">
        <f>IF(L136=1,$B$27,K140)</f>
        <v/>
      </c>
    </row>
    <row r="138">
      <c r="A138" t="inlineStr">
        <is>
          <t xml:space="preserve">  Intérêts</t>
        </is>
      </c>
      <c r="B138" s="5">
        <f>SUM(C138:L138)</f>
        <v/>
      </c>
      <c r="C138" s="5">
        <f>C137*C135</f>
        <v/>
      </c>
      <c r="D138" s="5">
        <f>D137*D135</f>
        <v/>
      </c>
      <c r="E138" s="5">
        <f>E137*E135</f>
        <v/>
      </c>
      <c r="F138" s="5">
        <f>F137*F135</f>
        <v/>
      </c>
      <c r="G138" s="5">
        <f>G137*G135</f>
        <v/>
      </c>
      <c r="H138" s="5">
        <f>H137*H135</f>
        <v/>
      </c>
      <c r="I138" s="5">
        <f>I137*I135</f>
        <v/>
      </c>
      <c r="J138" s="5">
        <f>J137*J135</f>
        <v/>
      </c>
      <c r="K138" s="5">
        <f>K137*K135</f>
        <v/>
      </c>
      <c r="L138" s="5">
        <f>L137*L135</f>
        <v/>
      </c>
    </row>
    <row r="139">
      <c r="A139" t="inlineStr">
        <is>
          <t xml:space="preserve">  Amortissement du capital</t>
        </is>
      </c>
      <c r="B139" s="5">
        <f>SUM(C139:L139)</f>
        <v/>
      </c>
      <c r="C139" s="5">
        <f>IF(OR(C136=0,C136&lt;=$B$30,C137&lt;=0),0,MIN(C137,PMT(C135,$B$29-$B$30,-$B$27)-C138))</f>
        <v/>
      </c>
      <c r="D139" s="5">
        <f>IF(OR(D136=0,D136&lt;=$B$30,D137&lt;=0),0,MIN(D137,PMT(D135,$B$29-$B$30,-$B$27)-D138))</f>
        <v/>
      </c>
      <c r="E139" s="5">
        <f>IF(OR(E136=0,E136&lt;=$B$30,E137&lt;=0),0,MIN(E137,PMT(E135,$B$29-$B$30,-$B$27)-E138))</f>
        <v/>
      </c>
      <c r="F139" s="5">
        <f>IF(OR(F136=0,F136&lt;=$B$30,F137&lt;=0),0,MIN(F137,PMT(F135,$B$29-$B$30,-$B$27)-F138))</f>
        <v/>
      </c>
      <c r="G139" s="5">
        <f>IF(OR(G136=0,G136&lt;=$B$30,G137&lt;=0),0,MIN(G137,PMT(G135,$B$29-$B$30,-$B$27)-G138))</f>
        <v/>
      </c>
      <c r="H139" s="5">
        <f>IF(OR(H136=0,H136&lt;=$B$30,H137&lt;=0),0,MIN(H137,PMT(H135,$B$29-$B$30,-$B$27)-H138))</f>
        <v/>
      </c>
      <c r="I139" s="5">
        <f>IF(OR(I136=0,I136&lt;=$B$30,I137&lt;=0),0,MIN(I137,PMT(I135,$B$29-$B$30,-$B$27)-I138))</f>
        <v/>
      </c>
      <c r="J139" s="5">
        <f>IF(OR(J136=0,J136&lt;=$B$30,J137&lt;=0),0,MIN(J137,PMT(J135,$B$29-$B$30,-$B$27)-J138))</f>
        <v/>
      </c>
      <c r="K139" s="5">
        <f>IF(OR(K136=0,K136&lt;=$B$30,K137&lt;=0),0,MIN(K137,PMT(K135,$B$29-$B$30,-$B$27)-K138))</f>
        <v/>
      </c>
      <c r="L139" s="5">
        <f>IF(OR(L136=0,L136&lt;=$B$30,L137&lt;=0),0,MIN(L137,PMT(L135,$B$29-$B$30,-$B$27)-L138))</f>
        <v/>
      </c>
    </row>
    <row r="140">
      <c r="A140" t="inlineStr">
        <is>
          <t>Dette bancaire — capital fin</t>
        </is>
      </c>
      <c r="C140" s="5">
        <f>C137-C139</f>
        <v/>
      </c>
      <c r="D140" s="5">
        <f>D137-D139</f>
        <v/>
      </c>
      <c r="E140" s="5">
        <f>E137-E139</f>
        <v/>
      </c>
      <c r="F140" s="5">
        <f>F137-F139</f>
        <v/>
      </c>
      <c r="G140" s="5">
        <f>G137-G139</f>
        <v/>
      </c>
      <c r="H140" s="5">
        <f>H137-H139</f>
        <v/>
      </c>
      <c r="I140" s="5">
        <f>I137-I139</f>
        <v/>
      </c>
      <c r="J140" s="5">
        <f>J137-J139</f>
        <v/>
      </c>
      <c r="K140" s="5">
        <f>K137-K139</f>
        <v/>
      </c>
      <c r="L140" s="5">
        <f>L137-L139</f>
        <v/>
      </c>
    </row>
    <row r="141">
      <c r="A141" t="inlineStr">
        <is>
          <t>Crédit-vendeur — capital début</t>
        </is>
      </c>
      <c r="C141" s="5">
        <f>IF(C136=1,$B$31,0)</f>
        <v/>
      </c>
      <c r="D141" s="5">
        <f>IF(D136=1,$B$31,C144)</f>
        <v/>
      </c>
      <c r="E141" s="5">
        <f>IF(E136=1,$B$31,D144)</f>
        <v/>
      </c>
      <c r="F141" s="5">
        <f>IF(F136=1,$B$31,E144)</f>
        <v/>
      </c>
      <c r="G141" s="5">
        <f>IF(G136=1,$B$31,F144)</f>
        <v/>
      </c>
      <c r="H141" s="5">
        <f>IF(H136=1,$B$31,G144)</f>
        <v/>
      </c>
      <c r="I141" s="5">
        <f>IF(I136=1,$B$31,H144)</f>
        <v/>
      </c>
      <c r="J141" s="5">
        <f>IF(J136=1,$B$31,I144)</f>
        <v/>
      </c>
      <c r="K141" s="5">
        <f>IF(K136=1,$B$31,J144)</f>
        <v/>
      </c>
      <c r="L141" s="5">
        <f>IF(L136=1,$B$31,K144)</f>
        <v/>
      </c>
    </row>
    <row r="142">
      <c r="A142" t="inlineStr">
        <is>
          <t xml:space="preserve">  Intérêts crédit-vendeur</t>
        </is>
      </c>
      <c r="B142" s="5">
        <f>SUM(C142:L142)</f>
        <v/>
      </c>
      <c r="C142" s="5">
        <f>C141*$B$32</f>
        <v/>
      </c>
      <c r="D142" s="5">
        <f>D141*$B$32</f>
        <v/>
      </c>
      <c r="E142" s="5">
        <f>E141*$B$32</f>
        <v/>
      </c>
      <c r="F142" s="5">
        <f>F141*$B$32</f>
        <v/>
      </c>
      <c r="G142" s="5">
        <f>G141*$B$32</f>
        <v/>
      </c>
      <c r="H142" s="5">
        <f>H141*$B$32</f>
        <v/>
      </c>
      <c r="I142" s="5">
        <f>I141*$B$32</f>
        <v/>
      </c>
      <c r="J142" s="5">
        <f>J141*$B$32</f>
        <v/>
      </c>
      <c r="K142" s="5">
        <f>K141*$B$32</f>
        <v/>
      </c>
      <c r="L142" s="5">
        <f>L141*$B$32</f>
        <v/>
      </c>
    </row>
    <row r="143">
      <c r="A143" t="inlineStr">
        <is>
          <t xml:space="preserve">  Amortissement crédit-vendeur</t>
        </is>
      </c>
      <c r="B143" s="5">
        <f>SUM(C143:L143)</f>
        <v/>
      </c>
      <c r="C143" s="5">
        <f>IF(OR(C136=0,C141&lt;=0),0,MIN(C141,IF($B$32=0,$B$31/$B$33,PMT($B$32,$B$33,-$B$31)-C142)))</f>
        <v/>
      </c>
      <c r="D143" s="5">
        <f>IF(OR(D136=0,D141&lt;=0),0,MIN(D141,IF($B$32=0,$B$31/$B$33,PMT($B$32,$B$33,-$B$31)-D142)))</f>
        <v/>
      </c>
      <c r="E143" s="5">
        <f>IF(OR(E136=0,E141&lt;=0),0,MIN(E141,IF($B$32=0,$B$31/$B$33,PMT($B$32,$B$33,-$B$31)-E142)))</f>
        <v/>
      </c>
      <c r="F143" s="5">
        <f>IF(OR(F136=0,F141&lt;=0),0,MIN(F141,IF($B$32=0,$B$31/$B$33,PMT($B$32,$B$33,-$B$31)-F142)))</f>
        <v/>
      </c>
      <c r="G143" s="5">
        <f>IF(OR(G136=0,G141&lt;=0),0,MIN(G141,IF($B$32=0,$B$31/$B$33,PMT($B$32,$B$33,-$B$31)-G142)))</f>
        <v/>
      </c>
      <c r="H143" s="5">
        <f>IF(OR(H136=0,H141&lt;=0),0,MIN(H141,IF($B$32=0,$B$31/$B$33,PMT($B$32,$B$33,-$B$31)-H142)))</f>
        <v/>
      </c>
      <c r="I143" s="5">
        <f>IF(OR(I136=0,I141&lt;=0),0,MIN(I141,IF($B$32=0,$B$31/$B$33,PMT($B$32,$B$33,-$B$31)-I142)))</f>
        <v/>
      </c>
      <c r="J143" s="5">
        <f>IF(OR(J136=0,J141&lt;=0),0,MIN(J141,IF($B$32=0,$B$31/$B$33,PMT($B$32,$B$33,-$B$31)-J142)))</f>
        <v/>
      </c>
      <c r="K143" s="5">
        <f>IF(OR(K136=0,K141&lt;=0),0,MIN(K141,IF($B$32=0,$B$31/$B$33,PMT($B$32,$B$33,-$B$31)-K142)))</f>
        <v/>
      </c>
      <c r="L143" s="5">
        <f>IF(OR(L136=0,L141&lt;=0),0,MIN(L141,IF($B$32=0,$B$31/$B$33,PMT($B$32,$B$33,-$B$31)-L142)))</f>
        <v/>
      </c>
    </row>
    <row r="144">
      <c r="A144" t="inlineStr">
        <is>
          <t>Crédit-vendeur — capital fin</t>
        </is>
      </c>
      <c r="C144" s="5">
        <f>C141-C143</f>
        <v/>
      </c>
      <c r="D144" s="5">
        <f>D141-D143</f>
        <v/>
      </c>
      <c r="E144" s="5">
        <f>E141-E143</f>
        <v/>
      </c>
      <c r="F144" s="5">
        <f>F141-F143</f>
        <v/>
      </c>
      <c r="G144" s="5">
        <f>G141-G143</f>
        <v/>
      </c>
      <c r="H144" s="5">
        <f>H141-H143</f>
        <v/>
      </c>
      <c r="I144" s="5">
        <f>I141-I143</f>
        <v/>
      </c>
      <c r="J144" s="5">
        <f>J141-J143</f>
        <v/>
      </c>
      <c r="K144" s="5">
        <f>K141-K143</f>
        <v/>
      </c>
      <c r="L144" s="5">
        <f>L141-L143</f>
        <v/>
      </c>
    </row>
    <row r="145">
      <c r="A145" t="inlineStr">
        <is>
          <t>Obligations — encours</t>
        </is>
      </c>
      <c r="C145" s="5">
        <f>IF(AND(C$88&gt;=$B$5,C$88&lt;=$B$36),$B$34,0)</f>
        <v/>
      </c>
      <c r="D145" s="5">
        <f>IF(AND(D$88&gt;=$B$5,D$88&lt;=$B$36),$B$34,0)</f>
        <v/>
      </c>
      <c r="E145" s="5">
        <f>IF(AND(E$88&gt;=$B$5,E$88&lt;=$B$36),$B$34,0)</f>
        <v/>
      </c>
      <c r="F145" s="5">
        <f>IF(AND(F$88&gt;=$B$5,F$88&lt;=$B$36),$B$34,0)</f>
        <v/>
      </c>
      <c r="G145" s="5">
        <f>IF(AND(G$88&gt;=$B$5,G$88&lt;=$B$36),$B$34,0)</f>
        <v/>
      </c>
      <c r="H145" s="5">
        <f>IF(AND(H$88&gt;=$B$5,H$88&lt;=$B$36),$B$34,0)</f>
        <v/>
      </c>
      <c r="I145" s="5">
        <f>IF(AND(I$88&gt;=$B$5,I$88&lt;=$B$36),$B$34,0)</f>
        <v/>
      </c>
      <c r="J145" s="5">
        <f>IF(AND(J$88&gt;=$B$5,J$88&lt;=$B$36),$B$34,0)</f>
        <v/>
      </c>
      <c r="K145" s="5">
        <f>IF(AND(K$88&gt;=$B$5,K$88&lt;=$B$36),$B$34,0)</f>
        <v/>
      </c>
      <c r="L145" s="5">
        <f>IF(AND(L$88&gt;=$B$5,L$88&lt;=$B$36),$B$34,0)</f>
        <v/>
      </c>
    </row>
    <row r="146">
      <c r="A146" t="inlineStr">
        <is>
          <t xml:space="preserve">  Coupons obligataires</t>
        </is>
      </c>
      <c r="B146" s="5">
        <f>SUM(C146:L146)</f>
        <v/>
      </c>
      <c r="C146" s="5">
        <f>C145*$B$35</f>
        <v/>
      </c>
      <c r="D146" s="5">
        <f>D145*$B$35</f>
        <v/>
      </c>
      <c r="E146" s="5">
        <f>E145*$B$35</f>
        <v/>
      </c>
      <c r="F146" s="5">
        <f>F145*$B$35</f>
        <v/>
      </c>
      <c r="G146" s="5">
        <f>G145*$B$35</f>
        <v/>
      </c>
      <c r="H146" s="5">
        <f>H145*$B$35</f>
        <v/>
      </c>
      <c r="I146" s="5">
        <f>I145*$B$35</f>
        <v/>
      </c>
      <c r="J146" s="5">
        <f>J145*$B$35</f>
        <v/>
      </c>
      <c r="K146" s="5">
        <f>K145*$B$35</f>
        <v/>
      </c>
      <c r="L146" s="5">
        <f>L145*$B$35</f>
        <v/>
      </c>
    </row>
    <row r="147">
      <c r="A147" t="inlineStr">
        <is>
          <t xml:space="preserve">  Remboursement obligations</t>
        </is>
      </c>
      <c r="B147" s="5">
        <f>SUM(C147:L147)</f>
        <v/>
      </c>
      <c r="C147" s="5">
        <f>IF(C$88=$B$36,$B$34,0)</f>
        <v/>
      </c>
      <c r="D147" s="5">
        <f>IF(D$88=$B$36,$B$34,0)</f>
        <v/>
      </c>
      <c r="E147" s="5">
        <f>IF(E$88=$B$36,$B$34,0)</f>
        <v/>
      </c>
      <c r="F147" s="5">
        <f>IF(F$88=$B$36,$B$34,0)</f>
        <v/>
      </c>
      <c r="G147" s="5">
        <f>IF(G$88=$B$36,$B$34,0)</f>
        <v/>
      </c>
      <c r="H147" s="5">
        <f>IF(H$88=$B$36,$B$34,0)</f>
        <v/>
      </c>
      <c r="I147" s="5">
        <f>IF(I$88=$B$36,$B$34,0)</f>
        <v/>
      </c>
      <c r="J147" s="5">
        <f>IF(J$88=$B$36,$B$34,0)</f>
        <v/>
      </c>
      <c r="K147" s="5">
        <f>IF(K$88=$B$36,$B$34,0)</f>
        <v/>
      </c>
      <c r="L147" s="5">
        <f>IF(L$88=$B$36,$B$34,0)</f>
        <v/>
      </c>
    </row>
    <row r="149">
      <c r="A149" t="inlineStr">
        <is>
          <t>Charges financières</t>
        </is>
      </c>
      <c r="B149" s="5">
        <f>SUM(C149:L149)</f>
        <v/>
      </c>
      <c r="C149" s="5">
        <f>-(C138+C142+C146)</f>
        <v/>
      </c>
      <c r="D149" s="5">
        <f>-(D138+D142+D146)</f>
        <v/>
      </c>
      <c r="E149" s="5">
        <f>-(E138+E142+E146)</f>
        <v/>
      </c>
      <c r="F149" s="5">
        <f>-(F138+F142+F146)</f>
        <v/>
      </c>
      <c r="G149" s="5">
        <f>-(G138+G142+G146)</f>
        <v/>
      </c>
      <c r="H149" s="5">
        <f>-(H138+H142+H146)</f>
        <v/>
      </c>
      <c r="I149" s="5">
        <f>-(I138+I142+I146)</f>
        <v/>
      </c>
      <c r="J149" s="5">
        <f>-(J138+J142+J146)</f>
        <v/>
      </c>
      <c r="K149" s="5">
        <f>-(K138+K142+K146)</f>
        <v/>
      </c>
      <c r="L149" s="5">
        <f>-(L138+L142+L146)</f>
        <v/>
      </c>
    </row>
    <row r="150">
      <c r="A150" s="4" t="inlineStr">
        <is>
          <t>Résultat avant impôt</t>
        </is>
      </c>
      <c r="B150" s="18">
        <f>SUM(C150:L150)</f>
        <v/>
      </c>
      <c r="C150" s="18">
        <f>C132+C149+C125</f>
        <v/>
      </c>
      <c r="D150" s="18">
        <f>D132+D149+D125</f>
        <v/>
      </c>
      <c r="E150" s="18">
        <f>E132+E149+E125</f>
        <v/>
      </c>
      <c r="F150" s="18">
        <f>F132+F149+F125</f>
        <v/>
      </c>
      <c r="G150" s="18">
        <f>G132+G149+G125</f>
        <v/>
      </c>
      <c r="H150" s="18">
        <f>H132+H149+H125</f>
        <v/>
      </c>
      <c r="I150" s="18">
        <f>I132+I149+I125</f>
        <v/>
      </c>
      <c r="J150" s="18">
        <f>J132+J149+J125</f>
        <v/>
      </c>
      <c r="K150" s="18">
        <f>K132+K149+K125</f>
        <v/>
      </c>
      <c r="L150" s="18">
        <f>L132+L149+L125</f>
        <v/>
      </c>
    </row>
    <row r="151">
      <c r="A151" t="inlineStr">
        <is>
          <t>Stock de déficits reportables (fin d'année)</t>
        </is>
      </c>
      <c r="C151" s="5">
        <f>MAX(0,-C150)</f>
        <v/>
      </c>
      <c r="D151" s="5">
        <f>MAX(0,C151-D150)</f>
        <v/>
      </c>
      <c r="E151" s="5">
        <f>MAX(0,D151-E150)</f>
        <v/>
      </c>
      <c r="F151" s="5">
        <f>MAX(0,E151-F150)</f>
        <v/>
      </c>
      <c r="G151" s="5">
        <f>MAX(0,F151-G150)</f>
        <v/>
      </c>
      <c r="H151" s="5">
        <f>MAX(0,G151-H150)</f>
        <v/>
      </c>
      <c r="I151" s="5">
        <f>MAX(0,H151-I150)</f>
        <v/>
      </c>
      <c r="J151" s="5">
        <f>MAX(0,I151-J150)</f>
        <v/>
      </c>
      <c r="K151" s="5">
        <f>MAX(0,J151-K150)</f>
        <v/>
      </c>
      <c r="L151" s="5">
        <f>MAX(0,K151-L150)</f>
        <v/>
      </c>
    </row>
    <row r="152">
      <c r="A152" t="inlineStr">
        <is>
          <t>Impôt sur les sociétés</t>
        </is>
      </c>
      <c r="B152" s="5">
        <f>SUM(C152:L152)</f>
        <v/>
      </c>
      <c r="C152" s="5">
        <f>-MAX(0,C150)*$B$59</f>
        <v/>
      </c>
      <c r="D152" s="5">
        <f>-MAX(0,D150-C151)*$B$59</f>
        <v/>
      </c>
      <c r="E152" s="5">
        <f>-MAX(0,E150-D151)*$B$59</f>
        <v/>
      </c>
      <c r="F152" s="5">
        <f>-MAX(0,F150-E151)*$B$59</f>
        <v/>
      </c>
      <c r="G152" s="5">
        <f>-MAX(0,G150-F151)*$B$59</f>
        <v/>
      </c>
      <c r="H152" s="5">
        <f>-MAX(0,H150-G151)*$B$59</f>
        <v/>
      </c>
      <c r="I152" s="5">
        <f>-MAX(0,I150-H151)*$B$59</f>
        <v/>
      </c>
      <c r="J152" s="5">
        <f>-MAX(0,J150-I151)*$B$59</f>
        <v/>
      </c>
      <c r="K152" s="5">
        <f>-MAX(0,K150-J151)*$B$59</f>
        <v/>
      </c>
      <c r="L152" s="5">
        <f>-MAX(0,L150-K151)*$B$59</f>
        <v/>
      </c>
    </row>
    <row r="153">
      <c r="A153" s="4" t="inlineStr">
        <is>
          <t>Résultat net</t>
        </is>
      </c>
      <c r="B153" s="18">
        <f>SUM(C153:L153)</f>
        <v/>
      </c>
      <c r="C153" s="18">
        <f>C150+C152</f>
        <v/>
      </c>
      <c r="D153" s="18">
        <f>D150+D152</f>
        <v/>
      </c>
      <c r="E153" s="18">
        <f>E150+E152</f>
        <v/>
      </c>
      <c r="F153" s="18">
        <f>F150+F152</f>
        <v/>
      </c>
      <c r="G153" s="18">
        <f>G150+G152</f>
        <v/>
      </c>
      <c r="H153" s="18">
        <f>H150+H152</f>
        <v/>
      </c>
      <c r="I153" s="18">
        <f>I150+I152</f>
        <v/>
      </c>
      <c r="J153" s="18">
        <f>J150+J152</f>
        <v/>
      </c>
      <c r="K153" s="18">
        <f>K150+K152</f>
        <v/>
      </c>
      <c r="L153" s="18">
        <f>L150+L152</f>
        <v/>
      </c>
    </row>
    <row r="155">
      <c r="A155" s="4" t="inlineStr">
        <is>
          <t>Tableau des flux de trésorerie</t>
        </is>
      </c>
    </row>
    <row r="156">
      <c r="A156" t="inlineStr">
        <is>
          <t>BFR (niveau)</t>
        </is>
      </c>
      <c r="C156" s="5">
        <f>C105*$B$58</f>
        <v/>
      </c>
      <c r="D156" s="5">
        <f>D105*$B$58</f>
        <v/>
      </c>
      <c r="E156" s="5">
        <f>E105*$B$58</f>
        <v/>
      </c>
      <c r="F156" s="5">
        <f>F105*$B$58</f>
        <v/>
      </c>
      <c r="G156" s="5">
        <f>G105*$B$58</f>
        <v/>
      </c>
      <c r="H156" s="5">
        <f>H105*$B$58</f>
        <v/>
      </c>
      <c r="I156" s="5">
        <f>I105*$B$58</f>
        <v/>
      </c>
      <c r="J156" s="5">
        <f>J105*$B$58</f>
        <v/>
      </c>
      <c r="K156" s="5">
        <f>K105*$B$58</f>
        <v/>
      </c>
      <c r="L156" s="5">
        <f>L105*$B$58</f>
        <v/>
      </c>
    </row>
    <row r="157">
      <c r="A157" t="inlineStr">
        <is>
          <t>Variation du BFR</t>
        </is>
      </c>
      <c r="B157" s="5">
        <f>SUM(C157:L157)</f>
        <v/>
      </c>
      <c r="C157" s="5">
        <f>-C156</f>
        <v/>
      </c>
      <c r="D157" s="5">
        <f>-(D156-C156)</f>
        <v/>
      </c>
      <c r="E157" s="5">
        <f>-(E156-D156)</f>
        <v/>
      </c>
      <c r="F157" s="5">
        <f>-(F156-E156)</f>
        <v/>
      </c>
      <c r="G157" s="5">
        <f>-(G156-F156)</f>
        <v/>
      </c>
      <c r="H157" s="5">
        <f>-(H156-G156)</f>
        <v/>
      </c>
      <c r="I157" s="5">
        <f>-(I156-H156)</f>
        <v/>
      </c>
      <c r="J157" s="5">
        <f>-(J156-I156)</f>
        <v/>
      </c>
      <c r="K157" s="5">
        <f>-(K156-J156)</f>
        <v/>
      </c>
      <c r="L157" s="5">
        <f>-(L156-K156)</f>
        <v/>
      </c>
    </row>
    <row r="158">
      <c r="A158" s="4" t="inlineStr">
        <is>
          <t>Flux d'exploitation (EBITDA + loyer privé − IS − ΔBFR)</t>
        </is>
      </c>
      <c r="B158" s="18">
        <f>SUM(C158:L158)</f>
        <v/>
      </c>
      <c r="C158" s="18">
        <f>C124+C125+C152+C157</f>
        <v/>
      </c>
      <c r="D158" s="18">
        <f>D124+D125+D152+D157</f>
        <v/>
      </c>
      <c r="E158" s="18">
        <f>E124+E125+E152+E157</f>
        <v/>
      </c>
      <c r="F158" s="18">
        <f>F124+F125+F152+F157</f>
        <v/>
      </c>
      <c r="G158" s="18">
        <f>G124+G125+G152+G157</f>
        <v/>
      </c>
      <c r="H158" s="18">
        <f>H124+H125+H152+H157</f>
        <v/>
      </c>
      <c r="I158" s="18">
        <f>I124+I125+I152+I157</f>
        <v/>
      </c>
      <c r="J158" s="18">
        <f>J124+J125+J152+J157</f>
        <v/>
      </c>
      <c r="K158" s="18">
        <f>K124+K125+K152+K157</f>
        <v/>
      </c>
      <c r="L158" s="18">
        <f>L124+L125+L152+L157</f>
        <v/>
      </c>
    </row>
    <row r="159">
      <c r="A159" s="4" t="inlineStr">
        <is>
          <t>Flux d'investissement</t>
        </is>
      </c>
      <c r="B159" s="18">
        <f>SUM(C159:L159)</f>
        <v/>
      </c>
      <c r="C159" s="18">
        <f>-(C128+C127+C129)</f>
        <v/>
      </c>
      <c r="D159" s="18">
        <f>-(D128+D127+D129)</f>
        <v/>
      </c>
      <c r="E159" s="18">
        <f>-(E128+E127+E129)</f>
        <v/>
      </c>
      <c r="F159" s="18">
        <f>-(F128+F127+F129)</f>
        <v/>
      </c>
      <c r="G159" s="18">
        <f>-(G128+G127+G129)</f>
        <v/>
      </c>
      <c r="H159" s="18">
        <f>-(H128+H127+H129)</f>
        <v/>
      </c>
      <c r="I159" s="18">
        <f>-(I128+I127+I129)</f>
        <v/>
      </c>
      <c r="J159" s="18">
        <f>-(J128+J127+J129)</f>
        <v/>
      </c>
      <c r="K159" s="18">
        <f>-(K128+K127+K129)</f>
        <v/>
      </c>
      <c r="L159" s="18">
        <f>-(L128+L127+L129)</f>
        <v/>
      </c>
    </row>
    <row r="160">
      <c r="A160" t="inlineStr">
        <is>
          <t xml:space="preserve">  Apports en fonds propres + subventions</t>
        </is>
      </c>
      <c r="B160" s="5">
        <f>SUM(C160:L160)</f>
        <v/>
      </c>
      <c r="C160" s="5">
        <f>IF(C$88=1,$B$23,0)+IF(C$88=$B$5,$B$24*(1-$B$49)+$B$26,0)</f>
        <v/>
      </c>
      <c r="D160" s="5">
        <f>IF(D$88=1,$B$23,0)+IF(D$88=$B$5,$B$24*(1-$B$49)+$B$26,0)</f>
        <v/>
      </c>
      <c r="E160" s="5">
        <f>IF(E$88=1,$B$23,0)+IF(E$88=$B$5,$B$24*(1-$B$49)+$B$26,0)</f>
        <v/>
      </c>
      <c r="F160" s="5">
        <f>IF(F$88=1,$B$23,0)+IF(F$88=$B$5,$B$24*(1-$B$49)+$B$26,0)</f>
        <v/>
      </c>
      <c r="G160" s="5">
        <f>IF(G$88=1,$B$23,0)+IF(G$88=$B$5,$B$24*(1-$B$49)+$B$26,0)</f>
        <v/>
      </c>
      <c r="H160" s="5">
        <f>IF(H$88=1,$B$23,0)+IF(H$88=$B$5,$B$24*(1-$B$49)+$B$26,0)</f>
        <v/>
      </c>
      <c r="I160" s="5">
        <f>IF(I$88=1,$B$23,0)+IF(I$88=$B$5,$B$24*(1-$B$49)+$B$26,0)</f>
        <v/>
      </c>
      <c r="J160" s="5">
        <f>IF(J$88=1,$B$23,0)+IF(J$88=$B$5,$B$24*(1-$B$49)+$B$26,0)</f>
        <v/>
      </c>
      <c r="K160" s="5">
        <f>IF(K$88=1,$B$23,0)+IF(K$88=$B$5,$B$24*(1-$B$49)+$B$26,0)</f>
        <v/>
      </c>
      <c r="L160" s="5">
        <f>IF(L$88=1,$B$23,0)+IF(L$88=$B$5,$B$24*(1-$B$49)+$B$26,0)</f>
        <v/>
      </c>
    </row>
    <row r="161">
      <c r="A161" t="inlineStr">
        <is>
          <t xml:space="preserve">  Tirages dette + crédit-vendeur + obligations</t>
        </is>
      </c>
      <c r="B161" s="5">
        <f>SUM(C161:L161)</f>
        <v/>
      </c>
      <c r="C161" s="5">
        <f>IF(C$88=$B$5,$B$27+$B$31+$B$34,0)</f>
        <v/>
      </c>
      <c r="D161" s="5">
        <f>IF(D$88=$B$5,$B$27+$B$31+$B$34,0)</f>
        <v/>
      </c>
      <c r="E161" s="5">
        <f>IF(E$88=$B$5,$B$27+$B$31+$B$34,0)</f>
        <v/>
      </c>
      <c r="F161" s="5">
        <f>IF(F$88=$B$5,$B$27+$B$31+$B$34,0)</f>
        <v/>
      </c>
      <c r="G161" s="5">
        <f>IF(G$88=$B$5,$B$27+$B$31+$B$34,0)</f>
        <v/>
      </c>
      <c r="H161" s="5">
        <f>IF(H$88=$B$5,$B$27+$B$31+$B$34,0)</f>
        <v/>
      </c>
      <c r="I161" s="5">
        <f>IF(I$88=$B$5,$B$27+$B$31+$B$34,0)</f>
        <v/>
      </c>
      <c r="J161" s="5">
        <f>IF(J$88=$B$5,$B$27+$B$31+$B$34,0)</f>
        <v/>
      </c>
      <c r="K161" s="5">
        <f>IF(K$88=$B$5,$B$27+$B$31+$B$34,0)</f>
        <v/>
      </c>
      <c r="L161" s="5">
        <f>IF(L$88=$B$5,$B$27+$B$31+$B$34,0)</f>
        <v/>
      </c>
    </row>
    <row r="162">
      <c r="A162" t="inlineStr">
        <is>
          <t xml:space="preserve">  Service de la dette (intérêts + capital + coupons + rembt obligations)</t>
        </is>
      </c>
      <c r="B162" s="5">
        <f>SUM(C162:L162)</f>
        <v/>
      </c>
      <c r="C162" s="5">
        <f>-(C138+C139+C142+C143+C146+C147)</f>
        <v/>
      </c>
      <c r="D162" s="5">
        <f>-(D138+D139+D142+D143+D146+D147)</f>
        <v/>
      </c>
      <c r="E162" s="5">
        <f>-(E138+E139+E142+E143+E146+E147)</f>
        <v/>
      </c>
      <c r="F162" s="5">
        <f>-(F138+F139+F142+F143+F146+F147)</f>
        <v/>
      </c>
      <c r="G162" s="5">
        <f>-(G138+G139+G142+G143+G146+G147)</f>
        <v/>
      </c>
      <c r="H162" s="5">
        <f>-(H138+H139+H142+H143+H146+H147)</f>
        <v/>
      </c>
      <c r="I162" s="5">
        <f>-(I138+I139+I142+I143+I146+I147)</f>
        <v/>
      </c>
      <c r="J162" s="5">
        <f>-(J138+J139+J142+J143+J146+J147)</f>
        <v/>
      </c>
      <c r="K162" s="5">
        <f>-(K138+K139+K142+K143+K146+K147)</f>
        <v/>
      </c>
      <c r="L162" s="5">
        <f>-(L138+L139+L142+L143+L146+L147)</f>
        <v/>
      </c>
    </row>
    <row r="163">
      <c r="A163" s="4" t="inlineStr">
        <is>
          <t>Flux de financement</t>
        </is>
      </c>
      <c r="B163" s="18">
        <f>SUM(C163:L163)</f>
        <v/>
      </c>
      <c r="C163" s="18">
        <f>C160+C161+C162</f>
        <v/>
      </c>
      <c r="D163" s="18">
        <f>D160+D161+D162</f>
        <v/>
      </c>
      <c r="E163" s="18">
        <f>E160+E161+E162</f>
        <v/>
      </c>
      <c r="F163" s="18">
        <f>F160+F161+F162</f>
        <v/>
      </c>
      <c r="G163" s="18">
        <f>G160+G161+G162</f>
        <v/>
      </c>
      <c r="H163" s="18">
        <f>H160+H161+H162</f>
        <v/>
      </c>
      <c r="I163" s="18">
        <f>I160+I161+I162</f>
        <v/>
      </c>
      <c r="J163" s="18">
        <f>J160+J161+J162</f>
        <v/>
      </c>
      <c r="K163" s="18">
        <f>K160+K161+K162</f>
        <v/>
      </c>
      <c r="L163" s="18">
        <f>L160+L161+L162</f>
        <v/>
      </c>
    </row>
    <row r="164">
      <c r="A164" s="4" t="inlineStr">
        <is>
          <t>Variation de trésorerie</t>
        </is>
      </c>
      <c r="B164" s="18">
        <f>SUM(C164:L164)</f>
        <v/>
      </c>
      <c r="C164" s="18">
        <f>C158+C159+C163</f>
        <v/>
      </c>
      <c r="D164" s="18">
        <f>D158+D159+D163</f>
        <v/>
      </c>
      <c r="E164" s="18">
        <f>E158+E159+E163</f>
        <v/>
      </c>
      <c r="F164" s="18">
        <f>F158+F159+F163</f>
        <v/>
      </c>
      <c r="G164" s="18">
        <f>G158+G159+G163</f>
        <v/>
      </c>
      <c r="H164" s="18">
        <f>H158+H159+H163</f>
        <v/>
      </c>
      <c r="I164" s="18">
        <f>I158+I159+I163</f>
        <v/>
      </c>
      <c r="J164" s="18">
        <f>J158+J159+J163</f>
        <v/>
      </c>
      <c r="K164" s="18">
        <f>K158+K159+K163</f>
        <v/>
      </c>
      <c r="L164" s="18">
        <f>L158+L159+L163</f>
        <v/>
      </c>
    </row>
    <row r="165">
      <c r="A165" s="4" t="inlineStr">
        <is>
          <t>Trésorerie fin d'année</t>
        </is>
      </c>
      <c r="C165" s="18">
        <f>C164</f>
        <v/>
      </c>
      <c r="D165" s="18">
        <f>C165+D164</f>
        <v/>
      </c>
      <c r="E165" s="18">
        <f>D165+E164</f>
        <v/>
      </c>
      <c r="F165" s="18">
        <f>E165+F164</f>
        <v/>
      </c>
      <c r="G165" s="18">
        <f>F165+G164</f>
        <v/>
      </c>
      <c r="H165" s="18">
        <f>G165+H164</f>
        <v/>
      </c>
      <c r="I165" s="18">
        <f>H165+I164</f>
        <v/>
      </c>
      <c r="J165" s="18">
        <f>I165+J164</f>
        <v/>
      </c>
      <c r="K165" s="18">
        <f>J165+K164</f>
        <v/>
      </c>
      <c r="L165" s="18">
        <f>K165+L164</f>
        <v/>
      </c>
    </row>
    <row r="166">
      <c r="A166" t="inlineStr">
        <is>
          <t>Cash-flow libre d'exploitation (CFO − gros entretien − service dette hors obligations in fine)</t>
        </is>
      </c>
      <c r="B166" s="5">
        <f>SUM(C166:L166)</f>
        <v/>
      </c>
      <c r="C166" s="5">
        <f>C158-C129-(C138+C139+C142+C143+C146)</f>
        <v/>
      </c>
      <c r="D166" s="5">
        <f>D158-D129-(D138+D139+D142+D143+D146)</f>
        <v/>
      </c>
      <c r="E166" s="5">
        <f>E158-E129-(E138+E139+E142+E143+E146)</f>
        <v/>
      </c>
      <c r="F166" s="5">
        <f>F158-F129-(F138+F139+F142+F143+F146)</f>
        <v/>
      </c>
      <c r="G166" s="5">
        <f>G158-G129-(G138+G139+G142+G143+G146)</f>
        <v/>
      </c>
      <c r="H166" s="5">
        <f>H158-H129-(H138+H139+H142+H143+H146)</f>
        <v/>
      </c>
      <c r="I166" s="5">
        <f>I158-I129-(I138+I139+I142+I143+I146)</f>
        <v/>
      </c>
      <c r="J166" s="5">
        <f>J158-J129-(J138+J139+J142+J143+J146)</f>
        <v/>
      </c>
      <c r="K166" s="5">
        <f>K158-K129-(K138+K139+K142+K143+K146)</f>
        <v/>
      </c>
      <c r="L166" s="5">
        <f>L158-L129-(L138+L139+L142+L143+L146)</f>
        <v/>
      </c>
    </row>
    <row r="167">
      <c r="A167" t="inlineStr">
        <is>
          <t>DSCR ((EBITDA + loyer privé − IS − gros entretien) / service de la dette)</t>
        </is>
      </c>
      <c r="C167" s="7">
        <f>IF((C138+C139+C142+C143+C146)=0,"",(C124+C125+C152-C129)/(C138+C139+C142+C143+C146))</f>
        <v/>
      </c>
      <c r="D167" s="7">
        <f>IF((D138+D139+D142+D143+D146)=0,"",(D124+D125+D152-D129)/(D138+D139+D142+D143+D146))</f>
        <v/>
      </c>
      <c r="E167" s="7">
        <f>IF((E138+E139+E142+E143+E146)=0,"",(E124+E125+E152-E129)/(E138+E139+E142+E143+E146))</f>
        <v/>
      </c>
      <c r="F167" s="7">
        <f>IF((F138+F139+F142+F143+F146)=0,"",(F124+F125+F152-F129)/(F138+F139+F142+F143+F146))</f>
        <v/>
      </c>
      <c r="G167" s="7">
        <f>IF((G138+G139+G142+G143+G146)=0,"",(G124+G125+G152-G129)/(G138+G139+G142+G143+G146))</f>
        <v/>
      </c>
      <c r="H167" s="7">
        <f>IF((H138+H139+H142+H143+H146)=0,"",(H124+H125+H152-H129)/(H138+H139+H142+H143+H146))</f>
        <v/>
      </c>
      <c r="I167" s="7">
        <f>IF((I138+I139+I142+I143+I146)=0,"",(I124+I125+I152-I129)/(I138+I139+I142+I143+I146))</f>
        <v/>
      </c>
      <c r="J167" s="7">
        <f>IF((J138+J139+J142+J143+J146)=0,"",(J124+J125+J152-J129)/(J138+J139+J142+J143+J146))</f>
        <v/>
      </c>
      <c r="K167" s="7">
        <f>IF((K138+K139+K142+K143+K146)=0,"",(K124+K125+K152-K129)/(K138+K139+K142+K143+K146))</f>
        <v/>
      </c>
      <c r="L167" s="7">
        <f>IF((L138+L139+L142+L143+L146)=0,"",(L124+L125+L152-L129)/(L138+L139+L142+L143+L146))</f>
        <v/>
      </c>
    </row>
    <row r="169">
      <c r="A169" s="4" t="inlineStr">
        <is>
          <t>Rentabilité des investisseurs et contrôle</t>
        </is>
      </c>
    </row>
    <row r="170">
      <c r="A170" t="inlineStr">
        <is>
          <t>Dettes financières totales fin d'année</t>
        </is>
      </c>
      <c r="C170" s="5">
        <f>C140+C144+C145-C147</f>
        <v/>
      </c>
      <c r="D170" s="5">
        <f>D140+D144+D145-D147</f>
        <v/>
      </c>
      <c r="E170" s="5">
        <f>E140+E144+E145-E147</f>
        <v/>
      </c>
      <c r="F170" s="5">
        <f>F140+F144+F145-F147</f>
        <v/>
      </c>
      <c r="G170" s="5">
        <f>G140+G144+G145-G147</f>
        <v/>
      </c>
      <c r="H170" s="5">
        <f>H140+H144+H145-H147</f>
        <v/>
      </c>
      <c r="I170" s="5">
        <f>I140+I144+I145-I147</f>
        <v/>
      </c>
      <c r="J170" s="5">
        <f>J140+J144+J145-J147</f>
        <v/>
      </c>
      <c r="K170" s="5">
        <f>K140+K144+K145-K147</f>
        <v/>
      </c>
      <c r="L170" s="5">
        <f>L140+L144+L145-L147</f>
        <v/>
      </c>
    </row>
    <row r="171">
      <c r="A171" t="inlineStr">
        <is>
          <t>Valeur estimée de l'actif (si cédé cette année)</t>
        </is>
      </c>
      <c r="C171" s="5">
        <f>C94*($B$7+C130)*$B$17*(1-$B$19)</f>
        <v/>
      </c>
      <c r="D171" s="5">
        <f>D94*($B$7+D130)*$B$17*(1-$B$19)</f>
        <v/>
      </c>
      <c r="E171" s="5">
        <f>E94*($B$7+E130)*$B$17*(1-$B$19)</f>
        <v/>
      </c>
      <c r="F171" s="5">
        <f>F94*($B$7+F130)*$B$17*(1-$B$19)</f>
        <v/>
      </c>
      <c r="G171" s="5">
        <f>G94*($B$7+G130)*$B$17*(1-$B$19)</f>
        <v/>
      </c>
      <c r="H171" s="5">
        <f>H94*($B$7+H130)*$B$17*(1-$B$19)</f>
        <v/>
      </c>
      <c r="I171" s="5">
        <f>I94*($B$7+I130)*$B$17*(1-$B$19)</f>
        <v/>
      </c>
      <c r="J171" s="5">
        <f>J94*($B$7+J130)*$B$17*(1-$B$19)</f>
        <v/>
      </c>
      <c r="K171" s="5">
        <f>K94*($B$7+K130)*$B$17*(1-$B$19)</f>
        <v/>
      </c>
      <c r="L171" s="5">
        <f>L94*($B$7+L130)*$B$17*(1-$B$19)</f>
        <v/>
      </c>
    </row>
    <row r="172">
      <c r="A172" t="inlineStr">
        <is>
          <t>Valeur des fonds propres (actif + trésorerie − dettes)</t>
        </is>
      </c>
      <c r="C172" s="5">
        <f>C171+C165-C170</f>
        <v/>
      </c>
      <c r="D172" s="5">
        <f>D171+D165-D170</f>
        <v/>
      </c>
      <c r="E172" s="5">
        <f>E171+E165-E170</f>
        <v/>
      </c>
      <c r="F172" s="5">
        <f>F171+F165-F170</f>
        <v/>
      </c>
      <c r="G172" s="5">
        <f>G171+G165-G170</f>
        <v/>
      </c>
      <c r="H172" s="5">
        <f>H171+H165-H170</f>
        <v/>
      </c>
      <c r="I172" s="5">
        <f>I171+I165-I170</f>
        <v/>
      </c>
      <c r="J172" s="5">
        <f>J171+J165-J170</f>
        <v/>
      </c>
      <c r="K172" s="5">
        <f>K171+K165-K170</f>
        <v/>
      </c>
      <c r="L172" s="5">
        <f>L171+L165-L170</f>
        <v/>
      </c>
    </row>
    <row r="173">
      <c r="A173" t="inlineStr">
        <is>
          <t>Flux des investisseurs (entrée an d'acq., sortie an 10)</t>
        </is>
      </c>
      <c r="B173" s="5">
        <f>SUM(C173:L173)</f>
        <v/>
      </c>
      <c r="C173" s="5">
        <f>-IF(C$88=$B$5,$B$24*(1-$B$49)*(1-$B$25),0)</f>
        <v/>
      </c>
      <c r="D173" s="5">
        <f>-IF(D$88=$B$5,$B$24*(1-$B$49)*(1-$B$25),0)</f>
        <v/>
      </c>
      <c r="E173" s="5">
        <f>-IF(E$88=$B$5,$B$24*(1-$B$49)*(1-$B$25),0)</f>
        <v/>
      </c>
      <c r="F173" s="5">
        <f>-IF(F$88=$B$5,$B$24*(1-$B$49)*(1-$B$25),0)</f>
        <v/>
      </c>
      <c r="G173" s="5">
        <f>-IF(G$88=$B$5,$B$24*(1-$B$49)*(1-$B$25),0)</f>
        <v/>
      </c>
      <c r="H173" s="5">
        <f>-IF(H$88=$B$5,$B$24*(1-$B$49)*(1-$B$25),0)</f>
        <v/>
      </c>
      <c r="I173" s="5">
        <f>-IF(I$88=$B$5,$B$24*(1-$B$49)*(1-$B$25),0)</f>
        <v/>
      </c>
      <c r="J173" s="5">
        <f>-IF(J$88=$B$5,$B$24*(1-$B$49)*(1-$B$25),0)</f>
        <v/>
      </c>
      <c r="K173" s="5">
        <f>-IF(K$88=$B$5,$B$24*(1-$B$49)*(1-$B$25),0)</f>
        <v/>
      </c>
      <c r="L173" s="5">
        <f>-IF(L$88=$B$5,$B$24*(1-$B$49)*(1-$B$25),0)+MAX(0,L172)*(1-$B$42)</f>
        <v/>
      </c>
    </row>
    <row r="174">
      <c r="A174" t="inlineStr">
        <is>
          <t>Flux du fondateur et de sa holding (apports, sortie théorique an 10)</t>
        </is>
      </c>
      <c r="B174" s="5">
        <f>SUM(C174:L174)</f>
        <v/>
      </c>
      <c r="C174" s="5">
        <f>-IF(C$88=1,$B$23,0)-IF(C$88=$B$5,$B$24*(1-$B$49)*$B$25,0)</f>
        <v/>
      </c>
      <c r="D174" s="5">
        <f>-IF(D$88=1,$B$23,0)-IF(D$88=$B$5,$B$24*(1-$B$49)*$B$25,0)</f>
        <v/>
      </c>
      <c r="E174" s="5">
        <f>-IF(E$88=1,$B$23,0)-IF(E$88=$B$5,$B$24*(1-$B$49)*$B$25,0)</f>
        <v/>
      </c>
      <c r="F174" s="5">
        <f>-IF(F$88=1,$B$23,0)-IF(F$88=$B$5,$B$24*(1-$B$49)*$B$25,0)</f>
        <v/>
      </c>
      <c r="G174" s="5">
        <f>-IF(G$88=1,$B$23,0)-IF(G$88=$B$5,$B$24*(1-$B$49)*$B$25,0)</f>
        <v/>
      </c>
      <c r="H174" s="5">
        <f>-IF(H$88=1,$B$23,0)-IF(H$88=$B$5,$B$24*(1-$B$49)*$B$25,0)</f>
        <v/>
      </c>
      <c r="I174" s="5">
        <f>-IF(I$88=1,$B$23,0)-IF(I$88=$B$5,$B$24*(1-$B$49)*$B$25,0)</f>
        <v/>
      </c>
      <c r="J174" s="5">
        <f>-IF(J$88=1,$B$23,0)-IF(J$88=$B$5,$B$24*(1-$B$49)*$B$25,0)</f>
        <v/>
      </c>
      <c r="K174" s="5">
        <f>-IF(K$88=1,$B$23,0)-IF(K$88=$B$5,$B$24*(1-$B$49)*$B$25,0)</f>
        <v/>
      </c>
      <c r="L174" s="5">
        <f>-IF(L$88=1,$B$23,0)-IF(L$88=$B$5,$B$24*(1-$B$49)*$B$25,0)+MAX(0,L172)*$B$42</f>
        <v/>
      </c>
    </row>
    <row r="176">
      <c r="A176" s="10" t="inlineStr">
        <is>
          <t>8. Indicateurs clés</t>
        </is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</row>
    <row r="177">
      <c r="A177" t="inlineStr">
        <is>
          <t>Emplois totaux (acq. + frais + travaux initiaux)</t>
        </is>
      </c>
      <c r="B177" s="18">
        <f>$B$7*(1+$B$8)+SUM(C127:L127)</f>
        <v/>
      </c>
    </row>
    <row r="178">
      <c r="A178" t="inlineStr">
        <is>
          <t>Ressources externes et apports prévus</t>
        </is>
      </c>
      <c r="B178" s="18">
        <f>$B$23+$B$24*(1-$B$49)+$B$26+$B$27+$B$31+$B$34</f>
        <v/>
      </c>
    </row>
    <row r="179">
      <c r="A179" t="inlineStr">
        <is>
          <t>CA année 5</t>
        </is>
      </c>
      <c r="B179" s="18">
        <f>G105</f>
        <v/>
      </c>
    </row>
    <row r="180">
      <c r="A180" t="inlineStr">
        <is>
          <t>EBITDA année 5</t>
        </is>
      </c>
      <c r="B180" s="18">
        <f>G124</f>
        <v/>
      </c>
    </row>
    <row r="181">
      <c r="A181" t="inlineStr">
        <is>
          <t>EBITDA année 10</t>
        </is>
      </c>
      <c r="B181" s="18">
        <f>L124</f>
        <v/>
      </c>
    </row>
    <row r="182">
      <c r="A182" t="inlineStr">
        <is>
          <t>Part équestre du CA année 5</t>
        </is>
      </c>
      <c r="B182" s="14">
        <f>G107</f>
        <v/>
      </c>
    </row>
    <row r="183">
      <c r="A183" t="inlineStr">
        <is>
          <t>Trésorerie minimale sur 10 ans</t>
        </is>
      </c>
      <c r="B183" s="18">
        <f>MIN(C165:L165)</f>
        <v/>
      </c>
    </row>
    <row r="184">
      <c r="A184" t="inlineStr">
        <is>
          <t>Trésorerie fin année 10</t>
        </is>
      </c>
      <c r="B184" s="18">
        <f>L165</f>
        <v/>
      </c>
    </row>
    <row r="185">
      <c r="A185" t="inlineStr">
        <is>
          <t>DSCR minimal (à partir de la 2e année d'exploitation)</t>
        </is>
      </c>
      <c r="B185" s="19">
        <f>IF(COUNTIFS(C167:L167,"&gt;-1E+300",C90:L90,"&gt;=2")=0,"n/a",_xlfn.MINIFS(C167:L167,C90:L90,"&gt;=2"))</f>
        <v/>
      </c>
    </row>
    <row r="186">
      <c r="A186" t="inlineStr">
        <is>
          <t>Nb d'années à cash-flow libre d'exploitation négatif (à partir de la 2e année d'exploitation)</t>
        </is>
      </c>
      <c r="B186" s="20">
        <f>COUNTIFS(C166:L166,"&lt;0",C90:L90,"&gt;=2")</f>
        <v/>
      </c>
    </row>
    <row r="187">
      <c r="A187" t="inlineStr">
        <is>
          <t>TRI investisseurs (sortie théorique an 10)</t>
        </is>
      </c>
      <c r="B187" s="14">
        <f>IF($B$24*(1-$B$25)=0,"sans objet",IFERROR(IRR(C173:L173,-0.05),"perte quasi totale (TRI non calculable)"))</f>
        <v/>
      </c>
    </row>
    <row r="188">
      <c r="A188" t="inlineStr">
        <is>
          <t>TRI fondateur (sortie théorique an 10)</t>
        </is>
      </c>
      <c r="B188" s="14">
        <f>IFERROR(IRR(C174:L174,-0.05),"perte quasi totale (TRI non calculable)")</f>
        <v/>
      </c>
    </row>
    <row r="189">
      <c r="A189" t="inlineStr">
        <is>
          <t>Dette bancaire soutenable estimée (DSCR 1,2 sur (EBITDA − gros entretien) an 10, taux et durée du scénario)</t>
        </is>
      </c>
      <c r="B189" s="18">
        <f>MAX(0,PV($B$28,$B$29,-(L124+L125-L129)/1.2))</f>
        <v/>
      </c>
    </row>
    <row r="190">
      <c r="A190" t="inlineStr">
        <is>
          <t>Fonds propres nécessaires (emplois + réserve + pertes d'exploitation cumulées − dette soutenable)</t>
        </is>
      </c>
      <c r="B190" s="18">
        <f>$B$7*(1+$B$8)+SUM(C127:L127)+$B$39-SUMIF(C158:L158,"&lt;0")-$B$189</f>
        <v/>
      </c>
    </row>
    <row r="191">
      <c r="A191" t="inlineStr">
        <is>
          <t>Part du capital du fondateur</t>
        </is>
      </c>
      <c r="B191" s="14">
        <f>$B$42</f>
        <v/>
      </c>
    </row>
    <row r="192">
      <c r="A192" t="inlineStr">
        <is>
          <t>Droits de vote du fondateur</t>
        </is>
      </c>
      <c r="B192" s="14">
        <f>$B$38</f>
        <v/>
      </c>
    </row>
    <row r="193">
      <c r="A193" s="4" t="inlineStr">
        <is>
          <t>Verdict (trésorerie ≥ 0 et ≥ réserve an 10, DSCR ≥ 1,2, cash-flow libre ≥ 0 dès la 2e année d'exploitation, TRI investisseurs extérieurs ≥ cible, dirigeant payé)</t>
        </is>
      </c>
      <c r="B193" s="4">
        <f>IF($B$183&lt;0,"NON VIABLE (trésorerie négative)",IF(AND($B$184&gt;=$B$39,OR($B$185="n/a",$B$185&gt;=1.2),$B$186=0),IF(NOT(OR($B$187="sans objet",AND(ISNUMBER($B$187),N($B$187)&gt;=$B$40))),"FRAGILE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E allégé — bail emphytéotique d'un site en bon état : travaux 0,6 M€, dette 0,3 M€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0</v>
      </c>
      <c r="C7" t="inlineStr">
        <is>
          <t>€</t>
        </is>
      </c>
      <c r="D7" t="inlineStr">
        <is>
          <t>Pas d'achat : droit réel de 50-99 ans ; droit d'entrée INCONNU</t>
        </is>
      </c>
    </row>
    <row r="8">
      <c r="A8" t="inlineStr">
        <is>
          <t>Frais d'acquisition (droits + notaire)</t>
        </is>
      </c>
      <c r="B8" s="13" t="n">
        <v>0</v>
      </c>
      <c r="C8" t="inlineStr">
        <is>
          <t>%</t>
        </is>
      </c>
      <c r="D8" t="inlineStr"/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300000</v>
      </c>
      <c r="C10" t="inlineStr">
        <is>
          <t>€</t>
        </is>
      </c>
      <c r="D10" t="inlineStr">
        <is>
          <t>EST : site public déjà entretenu — hypothèse favorable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</t>
        </is>
      </c>
    </row>
    <row r="12">
      <c r="A12" t="inlineStr">
        <is>
          <t>Investissements événementiel / hébergement</t>
        </is>
      </c>
      <c r="B12" s="12" t="n">
        <v>150000</v>
      </c>
      <c r="C12" t="inlineStr">
        <is>
          <t>€</t>
        </is>
      </c>
      <c r="D12" t="inlineStr">
        <is>
          <t>EST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0.05</v>
      </c>
      <c r="C16" t="inlineStr">
        <is>
          <t>%</t>
        </is>
      </c>
      <c r="D16" t="inlineStr">
        <is>
          <t>≈ 30 k€/an sur la base des travaux</t>
        </is>
      </c>
    </row>
    <row r="17">
      <c r="A17" t="inlineStr">
        <is>
          <t>Valeur de sortie an 10 (% prix + travaux cumulés)</t>
        </is>
      </c>
      <c r="B17" s="13" t="n">
        <v>0</v>
      </c>
      <c r="C17" t="inlineStr">
        <is>
          <t>%</t>
        </is>
      </c>
      <c r="D17" t="inlineStr">
        <is>
          <t>Améliorations reviennent au bailleur en fin de bail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330000</v>
      </c>
      <c r="C23" t="inlineStr">
        <is>
          <t>€</t>
        </is>
      </c>
      <c r="D23" t="inlineStr">
        <is>
          <t>S2 250 k€ + prêts d'honneur 80 k€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300000</v>
      </c>
      <c r="C27" t="inlineStr">
        <is>
          <t>€</t>
        </is>
      </c>
      <c r="D27" t="inlineStr">
        <is>
          <t>NON ACQUIS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15</v>
      </c>
      <c r="C29" t="inlineStr">
        <is>
          <t>ans</t>
        </is>
      </c>
      <c r="D29" t="inlineStr">
        <is>
          <t>A2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EST</t>
        </is>
      </c>
    </row>
    <row r="36">
      <c r="A36" t="inlineStr">
        <is>
          <t>Année de remboursement des obligations</t>
        </is>
      </c>
      <c r="B36" s="12" t="n">
        <v>7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5">
      <c r="A85" t="inlineStr">
        <is>
          <t>Redevance emphytéotique</t>
        </is>
      </c>
      <c r="B85" s="12" t="n">
        <v>20000</v>
      </c>
      <c r="C85" s="16" t="n">
        <v>1</v>
      </c>
      <c r="G85" t="inlineStr">
        <is>
          <t>INC : Montfort 22,9 k€/an, Neuenbourg 1 €/an (exemples, PL v1) ; Maison Fournaise 80 k€ + 7 % du CA</t>
        </is>
      </c>
    </row>
    <row r="87">
      <c r="A87" s="10" t="inlineStr">
        <is>
          <t>7. Calcul sur 10 ans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4" t="inlineStr">
        <is>
          <t>Année</t>
        </is>
      </c>
      <c r="B88" s="4" t="inlineStr">
        <is>
          <t>Total / réf.</t>
        </is>
      </c>
      <c r="C88" s="4" t="n">
        <v>1</v>
      </c>
      <c r="D88" s="4" t="n">
        <v>2</v>
      </c>
      <c r="E88" s="4" t="n">
        <v>3</v>
      </c>
      <c r="F88" s="4" t="n">
        <v>4</v>
      </c>
      <c r="G88" s="4" t="n">
        <v>5</v>
      </c>
      <c r="H88" s="4" t="n">
        <v>6</v>
      </c>
      <c r="I88" s="4" t="n">
        <v>7</v>
      </c>
      <c r="J88" s="4" t="n">
        <v>8</v>
      </c>
      <c r="K88" s="4" t="n">
        <v>9</v>
      </c>
      <c r="L88" s="4" t="n">
        <v>10</v>
      </c>
    </row>
    <row r="89">
      <c r="A89" t="inlineStr">
        <is>
          <t>Année d'ouverture effective</t>
        </is>
      </c>
      <c r="C89" s="8">
        <f>$B$6+$B$47</f>
        <v/>
      </c>
      <c r="D89" s="8">
        <f>$B$6+$B$47</f>
        <v/>
      </c>
      <c r="E89" s="8">
        <f>$B$6+$B$47</f>
        <v/>
      </c>
      <c r="F89" s="8">
        <f>$B$6+$B$47</f>
        <v/>
      </c>
      <c r="G89" s="8">
        <f>$B$6+$B$47</f>
        <v/>
      </c>
      <c r="H89" s="8">
        <f>$B$6+$B$47</f>
        <v/>
      </c>
      <c r="I89" s="8">
        <f>$B$6+$B$47</f>
        <v/>
      </c>
      <c r="J89" s="8">
        <f>$B$6+$B$47</f>
        <v/>
      </c>
      <c r="K89" s="8">
        <f>$B$6+$B$47</f>
        <v/>
      </c>
      <c r="L89" s="8">
        <f>$B$6+$B$47</f>
        <v/>
      </c>
    </row>
    <row r="90">
      <c r="A90" t="inlineStr">
        <is>
          <t>Rang de l'année d'exploitation</t>
        </is>
      </c>
      <c r="C90" s="8">
        <f>MAX(0,C$88-C89+1)</f>
        <v/>
      </c>
      <c r="D90" s="8">
        <f>MAX(0,D$88-D89+1)</f>
        <v/>
      </c>
      <c r="E90" s="8">
        <f>MAX(0,E$88-E89+1)</f>
        <v/>
      </c>
      <c r="F90" s="8">
        <f>MAX(0,F$88-F89+1)</f>
        <v/>
      </c>
      <c r="G90" s="8">
        <f>MAX(0,G$88-G89+1)</f>
        <v/>
      </c>
      <c r="H90" s="8">
        <f>MAX(0,H$88-H89+1)</f>
        <v/>
      </c>
      <c r="I90" s="8">
        <f>MAX(0,I$88-I89+1)</f>
        <v/>
      </c>
      <c r="J90" s="8">
        <f>MAX(0,J$88-J89+1)</f>
        <v/>
      </c>
      <c r="K90" s="8">
        <f>MAX(0,K$88-K89+1)</f>
        <v/>
      </c>
      <c r="L90" s="8">
        <f>MAX(0,L$88-L89+1)</f>
        <v/>
      </c>
    </row>
    <row r="91">
      <c r="A91" t="inlineStr">
        <is>
          <t>Coefficient de montée en charge</t>
        </is>
      </c>
      <c r="C91" s="6">
        <f>IF(C90=0,0,IF(C90=1,$B$53,IF(C90=2,$B$54,IF(C90=3,$B$55,1))))</f>
        <v/>
      </c>
      <c r="D91" s="6">
        <f>IF(D90=0,0,IF(D90=1,$B$53,IF(D90=2,$B$54,IF(D90=3,$B$55,1))))</f>
        <v/>
      </c>
      <c r="E91" s="6">
        <f>IF(E90=0,0,IF(E90=1,$B$53,IF(E90=2,$B$54,IF(E90=3,$B$55,1))))</f>
        <v/>
      </c>
      <c r="F91" s="6">
        <f>IF(F90=0,0,IF(F90=1,$B$53,IF(F90=2,$B$54,IF(F90=3,$B$55,1))))</f>
        <v/>
      </c>
      <c r="G91" s="6">
        <f>IF(G90=0,0,IF(G90=1,$B$53,IF(G90=2,$B$54,IF(G90=3,$B$55,1))))</f>
        <v/>
      </c>
      <c r="H91" s="6">
        <f>IF(H90=0,0,IF(H90=1,$B$53,IF(H90=2,$B$54,IF(H90=3,$B$55,1))))</f>
        <v/>
      </c>
      <c r="I91" s="6">
        <f>IF(I90=0,0,IF(I90=1,$B$53,IF(I90=2,$B$54,IF(I90=3,$B$55,1))))</f>
        <v/>
      </c>
      <c r="J91" s="6">
        <f>IF(J90=0,0,IF(J90=1,$B$53,IF(J90=2,$B$54,IF(J90=3,$B$55,1))))</f>
        <v/>
      </c>
      <c r="K91" s="6">
        <f>IF(K90=0,0,IF(K90=1,$B$53,IF(K90=2,$B$54,IF(K90=3,$B$55,1))))</f>
        <v/>
      </c>
      <c r="L91" s="6">
        <f>IF(L90=0,0,IF(L90=1,$B$53,IF(L90=2,$B$54,IF(L90=3,$B$55,1))))</f>
        <v/>
      </c>
    </row>
    <row r="92">
      <c r="A92" t="inlineStr">
        <is>
          <t>Indice prix</t>
        </is>
      </c>
      <c r="C92" s="17">
        <f>(1+$B$56)^(C$88-1)</f>
        <v/>
      </c>
      <c r="D92" s="17">
        <f>(1+$B$56)^(D$88-1)</f>
        <v/>
      </c>
      <c r="E92" s="17">
        <f>(1+$B$56)^(E$88-1)</f>
        <v/>
      </c>
      <c r="F92" s="17">
        <f>(1+$B$56)^(F$88-1)</f>
        <v/>
      </c>
      <c r="G92" s="17">
        <f>(1+$B$56)^(G$88-1)</f>
        <v/>
      </c>
      <c r="H92" s="17">
        <f>(1+$B$56)^(H$88-1)</f>
        <v/>
      </c>
      <c r="I92" s="17">
        <f>(1+$B$56)^(I$88-1)</f>
        <v/>
      </c>
      <c r="J92" s="17">
        <f>(1+$B$56)^(J$88-1)</f>
        <v/>
      </c>
      <c r="K92" s="17">
        <f>(1+$B$56)^(K$88-1)</f>
        <v/>
      </c>
      <c r="L92" s="17">
        <f>(1+$B$56)^(L$88-1)</f>
        <v/>
      </c>
    </row>
    <row r="93">
      <c r="A93" t="inlineStr">
        <is>
          <t>Indice charges</t>
        </is>
      </c>
      <c r="C93" s="17">
        <f>(1+$B$57)^(C$88-1)</f>
        <v/>
      </c>
      <c r="D93" s="17">
        <f>(1+$B$57)^(D$88-1)</f>
        <v/>
      </c>
      <c r="E93" s="17">
        <f>(1+$B$57)^(E$88-1)</f>
        <v/>
      </c>
      <c r="F93" s="17">
        <f>(1+$B$57)^(F$88-1)</f>
        <v/>
      </c>
      <c r="G93" s="17">
        <f>(1+$B$57)^(G$88-1)</f>
        <v/>
      </c>
      <c r="H93" s="17">
        <f>(1+$B$57)^(H$88-1)</f>
        <v/>
      </c>
      <c r="I93" s="17">
        <f>(1+$B$57)^(I$88-1)</f>
        <v/>
      </c>
      <c r="J93" s="17">
        <f>(1+$B$57)^(J$88-1)</f>
        <v/>
      </c>
      <c r="K93" s="17">
        <f>(1+$B$57)^(K$88-1)</f>
        <v/>
      </c>
      <c r="L93" s="17">
        <f>(1+$B$57)^(L$88-1)</f>
        <v/>
      </c>
    </row>
    <row r="94">
      <c r="A94" t="inlineStr">
        <is>
          <t>Murs détenus (1/0)</t>
        </is>
      </c>
      <c r="C94" s="8">
        <f>IF(C$88&gt;=$B$5,1,0)</f>
        <v/>
      </c>
      <c r="D94" s="8">
        <f>IF(D$88&gt;=$B$5,1,0)</f>
        <v/>
      </c>
      <c r="E94" s="8">
        <f>IF(E$88&gt;=$B$5,1,0)</f>
        <v/>
      </c>
      <c r="F94" s="8">
        <f>IF(F$88&gt;=$B$5,1,0)</f>
        <v/>
      </c>
      <c r="G94" s="8">
        <f>IF(G$88&gt;=$B$5,1,0)</f>
        <v/>
      </c>
      <c r="H94" s="8">
        <f>IF(H$88&gt;=$B$5,1,0)</f>
        <v/>
      </c>
      <c r="I94" s="8">
        <f>IF(I$88&gt;=$B$5,1,0)</f>
        <v/>
      </c>
      <c r="J94" s="8">
        <f>IF(J$88&gt;=$B$5,1,0)</f>
        <v/>
      </c>
      <c r="K94" s="8">
        <f>IF(K$88&gt;=$B$5,1,0)</f>
        <v/>
      </c>
      <c r="L94" s="8">
        <f>IF(L$88&gt;=$B$5,1,0)</f>
        <v/>
      </c>
    </row>
    <row r="96">
      <c r="A96" s="4" t="inlineStr">
        <is>
          <t>Compte de résultat</t>
        </is>
      </c>
    </row>
    <row r="97">
      <c r="A97" t="inlineStr">
        <is>
          <t xml:space="preserve">  Pension box premium (places occupées)</t>
        </is>
      </c>
      <c r="B97" s="5">
        <f>SUM(C97:L97)</f>
        <v/>
      </c>
      <c r="C97" s="5">
        <f>$B$63*$C$63*C91*C92*$B$45*(1-$E$63*$B$50)</f>
        <v/>
      </c>
      <c r="D97" s="5">
        <f>$B$63*$C$63*D91*D92*$B$45*(1-$E$63*$B$50)</f>
        <v/>
      </c>
      <c r="E97" s="5">
        <f>$B$63*$C$63*E91*E92*$B$45*(1-$E$63*$B$50)</f>
        <v/>
      </c>
      <c r="F97" s="5">
        <f>$B$63*$C$63*F91*F92*$B$45*(1-$E$63*$B$50)</f>
        <v/>
      </c>
      <c r="G97" s="5">
        <f>$B$63*$C$63*G91*G92*$B$45*(1-$E$63*$B$50)</f>
        <v/>
      </c>
      <c r="H97" s="5">
        <f>$B$63*$C$63*H91*H92*$B$45*(1-$E$63*$B$50)</f>
        <v/>
      </c>
      <c r="I97" s="5">
        <f>$B$63*$C$63*I91*I92*$B$45*(1-$E$63*$B$50)</f>
        <v/>
      </c>
      <c r="J97" s="5">
        <f>$B$63*$C$63*J91*J92*$B$45*(1-$E$63*$B$50)</f>
        <v/>
      </c>
      <c r="K97" s="5">
        <f>$B$63*$C$63*K91*K92*$B$45*(1-$E$63*$B$50)</f>
        <v/>
      </c>
      <c r="L97" s="5">
        <f>$B$63*$C$63*L91*L92*$B$45*(1-$E$63*$B$50)</f>
        <v/>
      </c>
    </row>
    <row r="98">
      <c r="A98" t="inlineStr">
        <is>
          <t xml:space="preserve">  Pension au pré (places occupées)</t>
        </is>
      </c>
      <c r="B98" s="5">
        <f>SUM(C98:L98)</f>
        <v/>
      </c>
      <c r="C98" s="5">
        <f>$B$64*$C$64*C91*C92*$B$45*(1-$E$64*$B$50)</f>
        <v/>
      </c>
      <c r="D98" s="5">
        <f>$B$64*$C$64*D91*D92*$B$45*(1-$E$64*$B$50)</f>
        <v/>
      </c>
      <c r="E98" s="5">
        <f>$B$64*$C$64*E91*E92*$B$45*(1-$E$64*$B$50)</f>
        <v/>
      </c>
      <c r="F98" s="5">
        <f>$B$64*$C$64*F91*F92*$B$45*(1-$E$64*$B$50)</f>
        <v/>
      </c>
      <c r="G98" s="5">
        <f>$B$64*$C$64*G91*G92*$B$45*(1-$E$64*$B$50)</f>
        <v/>
      </c>
      <c r="H98" s="5">
        <f>$B$64*$C$64*H91*H92*$B$45*(1-$E$64*$B$50)</f>
        <v/>
      </c>
      <c r="I98" s="5">
        <f>$B$64*$C$64*I91*I92*$B$45*(1-$E$64*$B$50)</f>
        <v/>
      </c>
      <c r="J98" s="5">
        <f>$B$64*$C$64*J91*J92*$B$45*(1-$E$64*$B$50)</f>
        <v/>
      </c>
      <c r="K98" s="5">
        <f>$B$64*$C$64*K91*K92*$B$45*(1-$E$64*$B$50)</f>
        <v/>
      </c>
      <c r="L98" s="5">
        <f>$B$64*$C$64*L91*L92*$B$45*(1-$E$64*$B$50)</f>
        <v/>
      </c>
    </row>
    <row r="99">
      <c r="A99" t="inlineStr">
        <is>
          <t xml:space="preserve">  Pension retraite / convalescence (places occupées)</t>
        </is>
      </c>
      <c r="B99" s="5">
        <f>SUM(C99:L99)</f>
        <v/>
      </c>
      <c r="C99" s="5">
        <f>$B$65*$C$65*C91*C92*$B$45*(1-$E$65*$B$50)</f>
        <v/>
      </c>
      <c r="D99" s="5">
        <f>$B$65*$C$65*D91*D92*$B$45*(1-$E$65*$B$50)</f>
        <v/>
      </c>
      <c r="E99" s="5">
        <f>$B$65*$C$65*E91*E92*$B$45*(1-$E$65*$B$50)</f>
        <v/>
      </c>
      <c r="F99" s="5">
        <f>$B$65*$C$65*F91*F92*$B$45*(1-$E$65*$B$50)</f>
        <v/>
      </c>
      <c r="G99" s="5">
        <f>$B$65*$C$65*G91*G92*$B$45*(1-$E$65*$B$50)</f>
        <v/>
      </c>
      <c r="H99" s="5">
        <f>$B$65*$C$65*H91*H92*$B$45*(1-$E$65*$B$50)</f>
        <v/>
      </c>
      <c r="I99" s="5">
        <f>$B$65*$C$65*I91*I92*$B$45*(1-$E$65*$B$50)</f>
        <v/>
      </c>
      <c r="J99" s="5">
        <f>$B$65*$C$65*J91*J92*$B$45*(1-$E$65*$B$50)</f>
        <v/>
      </c>
      <c r="K99" s="5">
        <f>$B$65*$C$65*K91*K92*$B$45*(1-$E$65*$B$50)</f>
        <v/>
      </c>
      <c r="L99" s="5">
        <f>$B$65*$C$65*L91*L92*$B$45*(1-$E$65*$B$50)</f>
        <v/>
      </c>
    </row>
    <row r="100">
      <c r="A100" t="inlineStr">
        <is>
          <t xml:space="preserve">  Mariages (location du lieu + hébergement 15 couchages)</t>
        </is>
      </c>
      <c r="B100" s="5">
        <f>SUM(C100:L100)</f>
        <v/>
      </c>
      <c r="C100" s="5">
        <f>$B$66*$C$66*C91*C92*$B$45*(1-$E$66*$B$50)</f>
        <v/>
      </c>
      <c r="D100" s="5">
        <f>$B$66*$C$66*D91*D92*$B$45*(1-$E$66*$B$50)</f>
        <v/>
      </c>
      <c r="E100" s="5">
        <f>$B$66*$C$66*E91*E92*$B$45*(1-$E$66*$B$50)</f>
        <v/>
      </c>
      <c r="F100" s="5">
        <f>$B$66*$C$66*F91*F92*$B$45*(1-$E$66*$B$50)</f>
        <v/>
      </c>
      <c r="G100" s="5">
        <f>$B$66*$C$66*G91*G92*$B$45*(1-$E$66*$B$50)</f>
        <v/>
      </c>
      <c r="H100" s="5">
        <f>$B$66*$C$66*H91*H92*$B$45*(1-$E$66*$B$50)</f>
        <v/>
      </c>
      <c r="I100" s="5">
        <f>$B$66*$C$66*I91*I92*$B$45*(1-$E$66*$B$50)</f>
        <v/>
      </c>
      <c r="J100" s="5">
        <f>$B$66*$C$66*J91*J92*$B$45*(1-$E$66*$B$50)</f>
        <v/>
      </c>
      <c r="K100" s="5">
        <f>$B$66*$C$66*K91*K92*$B$45*(1-$E$66*$B$50)</f>
        <v/>
      </c>
      <c r="L100" s="5">
        <f>$B$66*$C$66*L91*L92*$B$45*(1-$E$66*$B$50)</f>
        <v/>
      </c>
    </row>
    <row r="101">
      <c r="A101" t="inlineStr">
        <is>
          <t xml:space="preserve">  Gîte 15 couchages hors mariages (nuits)</t>
        </is>
      </c>
      <c r="B101" s="5">
        <f>SUM(C101:L101)</f>
        <v/>
      </c>
      <c r="C101" s="5">
        <f>$B$67*$C$67*C91*C92*$B$45*(1-$E$67*$B$50)</f>
        <v/>
      </c>
      <c r="D101" s="5">
        <f>$B$67*$C$67*D91*D92*$B$45*(1-$E$67*$B$50)</f>
        <v/>
      </c>
      <c r="E101" s="5">
        <f>$B$67*$C$67*E91*E92*$B$45*(1-$E$67*$B$50)</f>
        <v/>
      </c>
      <c r="F101" s="5">
        <f>$B$67*$C$67*F91*F92*$B$45*(1-$E$67*$B$50)</f>
        <v/>
      </c>
      <c r="G101" s="5">
        <f>$B$67*$C$67*G91*G92*$B$45*(1-$E$67*$B$50)</f>
        <v/>
      </c>
      <c r="H101" s="5">
        <f>$B$67*$C$67*H91*H92*$B$45*(1-$E$67*$B$50)</f>
        <v/>
      </c>
      <c r="I101" s="5">
        <f>$B$67*$C$67*I91*I92*$B$45*(1-$E$67*$B$50)</f>
        <v/>
      </c>
      <c r="J101" s="5">
        <f>$B$67*$C$67*J91*J92*$B$45*(1-$E$67*$B$50)</f>
        <v/>
      </c>
      <c r="K101" s="5">
        <f>$B$67*$C$67*K91*K92*$B$45*(1-$E$67*$B$50)</f>
        <v/>
      </c>
      <c r="L101" s="5">
        <f>$B$67*$C$67*L91*L92*$B$45*(1-$E$67*$B$50)</f>
        <v/>
      </c>
    </row>
    <row r="102">
      <c r="A102" t="inlineStr">
        <is>
          <t xml:space="preserve">  Séminaires à la journée (jours)</t>
        </is>
      </c>
      <c r="B102" s="5">
        <f>SUM(C102:L102)</f>
        <v/>
      </c>
      <c r="C102" s="5">
        <f>$B$68*$C$68*C91*C92*$B$45*(1-$E$68*$B$50)</f>
        <v/>
      </c>
      <c r="D102" s="5">
        <f>$B$68*$C$68*D91*D92*$B$45*(1-$E$68*$B$50)</f>
        <v/>
      </c>
      <c r="E102" s="5">
        <f>$B$68*$C$68*E91*E92*$B$45*(1-$E$68*$B$50)</f>
        <v/>
      </c>
      <c r="F102" s="5">
        <f>$B$68*$C$68*F91*F92*$B$45*(1-$E$68*$B$50)</f>
        <v/>
      </c>
      <c r="G102" s="5">
        <f>$B$68*$C$68*G91*G92*$B$45*(1-$E$68*$B$50)</f>
        <v/>
      </c>
      <c r="H102" s="5">
        <f>$B$68*$C$68*H91*H92*$B$45*(1-$E$68*$B$50)</f>
        <v/>
      </c>
      <c r="I102" s="5">
        <f>$B$68*$C$68*I91*I92*$B$45*(1-$E$68*$B$50)</f>
        <v/>
      </c>
      <c r="J102" s="5">
        <f>$B$68*$C$68*J91*J92*$B$45*(1-$E$68*$B$50)</f>
        <v/>
      </c>
      <c r="K102" s="5">
        <f>$B$68*$C$68*K91*K92*$B$45*(1-$E$68*$B$50)</f>
        <v/>
      </c>
      <c r="L102" s="5">
        <f>$B$68*$C$68*L91*L92*$B$45*(1-$E$68*$B$50)</f>
        <v/>
      </c>
    </row>
    <row r="103">
      <c r="A103" t="inlineStr">
        <is>
          <t xml:space="preserve">  Tournages / shootings (jours)</t>
        </is>
      </c>
      <c r="B103" s="5">
        <f>SUM(C103:L103)</f>
        <v/>
      </c>
      <c r="C103" s="5">
        <f>$B$69*$C$69*C91*C92*$B$45*(1-$E$69*$B$50)</f>
        <v/>
      </c>
      <c r="D103" s="5">
        <f>$B$69*$C$69*D91*D92*$B$45*(1-$E$69*$B$50)</f>
        <v/>
      </c>
      <c r="E103" s="5">
        <f>$B$69*$C$69*E91*E92*$B$45*(1-$E$69*$B$50)</f>
        <v/>
      </c>
      <c r="F103" s="5">
        <f>$B$69*$C$69*F91*F92*$B$45*(1-$E$69*$B$50)</f>
        <v/>
      </c>
      <c r="G103" s="5">
        <f>$B$69*$C$69*G91*G92*$B$45*(1-$E$69*$B$50)</f>
        <v/>
      </c>
      <c r="H103" s="5">
        <f>$B$69*$C$69*H91*H92*$B$45*(1-$E$69*$B$50)</f>
        <v/>
      </c>
      <c r="I103" s="5">
        <f>$B$69*$C$69*I91*I92*$B$45*(1-$E$69*$B$50)</f>
        <v/>
      </c>
      <c r="J103" s="5">
        <f>$B$69*$C$69*J91*J92*$B$45*(1-$E$69*$B$50)</f>
        <v/>
      </c>
      <c r="K103" s="5">
        <f>$B$69*$C$69*K91*K92*$B$45*(1-$E$69*$B$50)</f>
        <v/>
      </c>
      <c r="L103" s="5">
        <f>$B$69*$C$69*L91*L92*$B$45*(1-$E$69*$B$50)</f>
        <v/>
      </c>
    </row>
    <row r="104">
      <c r="A104" t="inlineStr">
        <is>
          <t xml:space="preserve">  Fermage / vente d'herbe (ha)</t>
        </is>
      </c>
      <c r="B104" s="5">
        <f>SUM(C104:L104)</f>
        <v/>
      </c>
      <c r="C104" s="5">
        <f>$B$70*$C$70*C91*C92*$B$45*(1-$E$70*$B$50)</f>
        <v/>
      </c>
      <c r="D104" s="5">
        <f>$B$70*$C$70*D91*D92*$B$45*(1-$E$70*$B$50)</f>
        <v/>
      </c>
      <c r="E104" s="5">
        <f>$B$70*$C$70*E91*E92*$B$45*(1-$E$70*$B$50)</f>
        <v/>
      </c>
      <c r="F104" s="5">
        <f>$B$70*$C$70*F91*F92*$B$45*(1-$E$70*$B$50)</f>
        <v/>
      </c>
      <c r="G104" s="5">
        <f>$B$70*$C$70*G91*G92*$B$45*(1-$E$70*$B$50)</f>
        <v/>
      </c>
      <c r="H104" s="5">
        <f>$B$70*$C$70*H91*H92*$B$45*(1-$E$70*$B$50)</f>
        <v/>
      </c>
      <c r="I104" s="5">
        <f>$B$70*$C$70*I91*I92*$B$45*(1-$E$70*$B$50)</f>
        <v/>
      </c>
      <c r="J104" s="5">
        <f>$B$70*$C$70*J91*J92*$B$45*(1-$E$70*$B$50)</f>
        <v/>
      </c>
      <c r="K104" s="5">
        <f>$B$70*$C$70*K91*K92*$B$45*(1-$E$70*$B$50)</f>
        <v/>
      </c>
      <c r="L104" s="5">
        <f>$B$70*$C$70*L91*L92*$B$45*(1-$E$70*$B$50)</f>
        <v/>
      </c>
    </row>
    <row r="105">
      <c r="A105" s="4" t="inlineStr">
        <is>
          <t>Chiffre d'affaires total</t>
        </is>
      </c>
      <c r="B105" s="18">
        <f>SUM(C105:L105)</f>
        <v/>
      </c>
      <c r="C105" s="18">
        <f>C97+C98+C99+C100+C101+C102+C103+C104</f>
        <v/>
      </c>
      <c r="D105" s="18">
        <f>D97+D98+D99+D100+D101+D102+D103+D104</f>
        <v/>
      </c>
      <c r="E105" s="18">
        <f>E97+E98+E99+E100+E101+E102+E103+E104</f>
        <v/>
      </c>
      <c r="F105" s="18">
        <f>F97+F98+F99+F100+F101+F102+F103+F104</f>
        <v/>
      </c>
      <c r="G105" s="18">
        <f>G97+G98+G99+G100+G101+G102+G103+G104</f>
        <v/>
      </c>
      <c r="H105" s="18">
        <f>H97+H98+H99+H100+H101+H102+H103+H104</f>
        <v/>
      </c>
      <c r="I105" s="18">
        <f>I97+I98+I99+I100+I101+I102+I103+I104</f>
        <v/>
      </c>
      <c r="J105" s="18">
        <f>J97+J98+J99+J100+J101+J102+J103+J104</f>
        <v/>
      </c>
      <c r="K105" s="18">
        <f>K97+K98+K99+K100+K101+K102+K103+K104</f>
        <v/>
      </c>
      <c r="L105" s="18">
        <f>L97+L98+L99+L100+L101+L102+L103+L104</f>
        <v/>
      </c>
    </row>
    <row r="106">
      <c r="A106" t="inlineStr">
        <is>
          <t xml:space="preserve">  dont équestre</t>
        </is>
      </c>
      <c r="B106" s="5">
        <f>SUM(C106:L106)</f>
        <v/>
      </c>
      <c r="C106" s="5">
        <f>C97*$F$63+C98*$F$64+C99*$F$65+C100*$F$66+C101*$F$67+C102*$F$68+C103*$F$69+C104*$F$70</f>
        <v/>
      </c>
      <c r="D106" s="5">
        <f>D97*$F$63+D98*$F$64+D99*$F$65+D100*$F$66+D101*$F$67+D102*$F$68+D103*$F$69+D104*$F$70</f>
        <v/>
      </c>
      <c r="E106" s="5">
        <f>E97*$F$63+E98*$F$64+E99*$F$65+E100*$F$66+E101*$F$67+E102*$F$68+E103*$F$69+E104*$F$70</f>
        <v/>
      </c>
      <c r="F106" s="5">
        <f>F97*$F$63+F98*$F$64+F99*$F$65+F100*$F$66+F101*$F$67+F102*$F$68+F103*$F$69+F104*$F$70</f>
        <v/>
      </c>
      <c r="G106" s="5">
        <f>G97*$F$63+G98*$F$64+G99*$F$65+G100*$F$66+G101*$F$67+G102*$F$68+G103*$F$69+G104*$F$70</f>
        <v/>
      </c>
      <c r="H106" s="5">
        <f>H97*$F$63+H98*$F$64+H99*$F$65+H100*$F$66+H101*$F$67+H102*$F$68+H103*$F$69+H104*$F$70</f>
        <v/>
      </c>
      <c r="I106" s="5">
        <f>I97*$F$63+I98*$F$64+I99*$F$65+I100*$F$66+I101*$F$67+I102*$F$68+I103*$F$69+I104*$F$70</f>
        <v/>
      </c>
      <c r="J106" s="5">
        <f>J97*$F$63+J98*$F$64+J99*$F$65+J100*$F$66+J101*$F$67+J102*$F$68+J103*$F$69+J104*$F$70</f>
        <v/>
      </c>
      <c r="K106" s="5">
        <f>K97*$F$63+K98*$F$64+K99*$F$65+K100*$F$66+K101*$F$67+K102*$F$68+K103*$F$69+K104*$F$70</f>
        <v/>
      </c>
      <c r="L106" s="5">
        <f>L97*$F$63+L98*$F$64+L99*$F$65+L100*$F$66+L101*$F$67+L102*$F$68+L103*$F$69+L104*$F$70</f>
        <v/>
      </c>
    </row>
    <row r="107">
      <c r="A107" t="inlineStr">
        <is>
          <t xml:space="preserve">  Part équestre du CA</t>
        </is>
      </c>
      <c r="C107" s="6">
        <f>IF(C105=0,0,C106/C105)</f>
        <v/>
      </c>
      <c r="D107" s="6">
        <f>IF(D105=0,0,D106/D105)</f>
        <v/>
      </c>
      <c r="E107" s="6">
        <f>IF(E105=0,0,E106/E105)</f>
        <v/>
      </c>
      <c r="F107" s="6">
        <f>IF(F105=0,0,F106/F105)</f>
        <v/>
      </c>
      <c r="G107" s="6">
        <f>IF(G105=0,0,G106/G105)</f>
        <v/>
      </c>
      <c r="H107" s="6">
        <f>IF(H105=0,0,H106/H105)</f>
        <v/>
      </c>
      <c r="I107" s="6">
        <f>IF(I105=0,0,I106/I105)</f>
        <v/>
      </c>
      <c r="J107" s="6">
        <f>IF(J105=0,0,J106/J105)</f>
        <v/>
      </c>
      <c r="K107" s="6">
        <f>IF(K105=0,0,K106/K105)</f>
        <v/>
      </c>
      <c r="L107" s="6">
        <f>IF(L105=0,0,L106/L105)</f>
        <v/>
      </c>
    </row>
    <row r="108">
      <c r="A108" t="inlineStr">
        <is>
          <t>Coûts variables</t>
        </is>
      </c>
      <c r="B108" s="5">
        <f>SUM(C108:L108)</f>
        <v/>
      </c>
      <c r="C108" s="5">
        <f>-(C97*$D$63+C98*$D$64+C99*$D$65+C100*$D$66+C101*$D$67+C102*$D$68+C103*$D$69+C104*$D$70)</f>
        <v/>
      </c>
      <c r="D108" s="5">
        <f>-(D97*$D$63+D98*$D$64+D99*$D$65+D100*$D$66+D101*$D$67+D102*$D$68+D103*$D$69+D104*$D$70)</f>
        <v/>
      </c>
      <c r="E108" s="5">
        <f>-(E97*$D$63+E98*$D$64+E99*$D$65+E100*$D$66+E101*$D$67+E102*$D$68+E103*$D$69+E104*$D$70)</f>
        <v/>
      </c>
      <c r="F108" s="5">
        <f>-(F97*$D$63+F98*$D$64+F99*$D$65+F100*$D$66+F101*$D$67+F102*$D$68+F103*$D$69+F104*$D$70)</f>
        <v/>
      </c>
      <c r="G108" s="5">
        <f>-(G97*$D$63+G98*$D$64+G99*$D$65+G100*$D$66+G101*$D$67+G102*$D$68+G103*$D$69+G104*$D$70)</f>
        <v/>
      </c>
      <c r="H108" s="5">
        <f>-(H97*$D$63+H98*$D$64+H99*$D$65+H100*$D$66+H101*$D$67+H102*$D$68+H103*$D$69+H104*$D$70)</f>
        <v/>
      </c>
      <c r="I108" s="5">
        <f>-(I97*$D$63+I98*$D$64+I99*$D$65+I100*$D$66+I101*$D$67+I102*$D$68+I103*$D$69+I104*$D$70)</f>
        <v/>
      </c>
      <c r="J108" s="5">
        <f>-(J97*$D$63+J98*$D$64+J99*$D$65+J100*$D$66+J101*$D$67+J102*$D$68+J103*$D$69+J104*$D$70)</f>
        <v/>
      </c>
      <c r="K108" s="5">
        <f>-(K97*$D$63+K98*$D$64+K99*$D$65+K100*$D$66+K101*$D$67+K102*$D$68+K103*$D$69+K104*$D$70)</f>
        <v/>
      </c>
      <c r="L108" s="5">
        <f>-(L97*$D$63+L98*$D$64+L99*$D$65+L100*$D$66+L101*$D$67+L102*$D$68+L103*$D$69+L104*$D$70)</f>
        <v/>
      </c>
    </row>
    <row r="109">
      <c r="A109" s="4" t="inlineStr">
        <is>
          <t>Marge sur coûts variables</t>
        </is>
      </c>
      <c r="B109" s="18">
        <f>SUM(C109:L109)</f>
        <v/>
      </c>
      <c r="C109" s="18">
        <f>C105+C108</f>
        <v/>
      </c>
      <c r="D109" s="18">
        <f>D105+D108</f>
        <v/>
      </c>
      <c r="E109" s="18">
        <f>E105+E108</f>
        <v/>
      </c>
      <c r="F109" s="18">
        <f>F105+F108</f>
        <v/>
      </c>
      <c r="G109" s="18">
        <f>G105+G108</f>
        <v/>
      </c>
      <c r="H109" s="18">
        <f>H105+H108</f>
        <v/>
      </c>
      <c r="I109" s="18">
        <f>I105+I108</f>
        <v/>
      </c>
      <c r="J109" s="18">
        <f>J105+J108</f>
        <v/>
      </c>
      <c r="K109" s="18">
        <f>K105+K108</f>
        <v/>
      </c>
      <c r="L109" s="18">
        <f>L105+L108</f>
        <v/>
      </c>
    </row>
    <row r="110">
      <c r="A110" t="inlineStr">
        <is>
          <t xml:space="preserve">  Taxe foncière</t>
        </is>
      </c>
      <c r="B110" s="5">
        <f>SUM(C110:L110)</f>
        <v/>
      </c>
      <c r="C110" s="5">
        <f>-$B$74*C93*IF($C$74=1,C94,IF(C90&gt;0,1,0))</f>
        <v/>
      </c>
      <c r="D110" s="5">
        <f>-$B$74*D93*IF($C$74=1,D94,IF(D90&gt;0,1,0))</f>
        <v/>
      </c>
      <c r="E110" s="5">
        <f>-$B$74*E93*IF($C$74=1,E94,IF(E90&gt;0,1,0))</f>
        <v/>
      </c>
      <c r="F110" s="5">
        <f>-$B$74*F93*IF($C$74=1,F94,IF(F90&gt;0,1,0))</f>
        <v/>
      </c>
      <c r="G110" s="5">
        <f>-$B$74*G93*IF($C$74=1,G94,IF(G90&gt;0,1,0))</f>
        <v/>
      </c>
      <c r="H110" s="5">
        <f>-$B$74*H93*IF($C$74=1,H94,IF(H90&gt;0,1,0))</f>
        <v/>
      </c>
      <c r="I110" s="5">
        <f>-$B$74*I93*IF($C$74=1,I94,IF(I90&gt;0,1,0))</f>
        <v/>
      </c>
      <c r="J110" s="5">
        <f>-$B$74*J93*IF($C$74=1,J94,IF(J90&gt;0,1,0))</f>
        <v/>
      </c>
      <c r="K110" s="5">
        <f>-$B$74*K93*IF($C$74=1,K94,IF(K90&gt;0,1,0))</f>
        <v/>
      </c>
      <c r="L110" s="5">
        <f>-$B$74*L93*IF($C$74=1,L94,IF(L90&gt;0,1,0))</f>
        <v/>
      </c>
    </row>
    <row r="111">
      <c r="A111" t="inlineStr">
        <is>
          <t xml:space="preserve">  Assurance multirisque château</t>
        </is>
      </c>
      <c r="B111" s="5">
        <f>SUM(C111:L111)</f>
        <v/>
      </c>
      <c r="C111" s="5">
        <f>-$B$75*C93*IF($C$75=1,C94,IF(C90&gt;0,1,0))</f>
        <v/>
      </c>
      <c r="D111" s="5">
        <f>-$B$75*D93*IF($C$75=1,D94,IF(D90&gt;0,1,0))</f>
        <v/>
      </c>
      <c r="E111" s="5">
        <f>-$B$75*E93*IF($C$75=1,E94,IF(E90&gt;0,1,0))</f>
        <v/>
      </c>
      <c r="F111" s="5">
        <f>-$B$75*F93*IF($C$75=1,F94,IF(F90&gt;0,1,0))</f>
        <v/>
      </c>
      <c r="G111" s="5">
        <f>-$B$75*G93*IF($C$75=1,G94,IF(G90&gt;0,1,0))</f>
        <v/>
      </c>
      <c r="H111" s="5">
        <f>-$B$75*H93*IF($C$75=1,H94,IF(H90&gt;0,1,0))</f>
        <v/>
      </c>
      <c r="I111" s="5">
        <f>-$B$75*I93*IF($C$75=1,I94,IF(I90&gt;0,1,0))</f>
        <v/>
      </c>
      <c r="J111" s="5">
        <f>-$B$75*J93*IF($C$75=1,J94,IF(J90&gt;0,1,0))</f>
        <v/>
      </c>
      <c r="K111" s="5">
        <f>-$B$75*K93*IF($C$75=1,K94,IF(K90&gt;0,1,0))</f>
        <v/>
      </c>
      <c r="L111" s="5">
        <f>-$B$75*L93*IF($C$75=1,L94,IF(L90&gt;0,1,0))</f>
        <v/>
      </c>
    </row>
    <row r="112">
      <c r="A112" t="inlineStr">
        <is>
          <t xml:space="preserve">  Énergie (chauffage partiel, électricité, eau)</t>
        </is>
      </c>
      <c r="B112" s="5">
        <f>SUM(C112:L112)</f>
        <v/>
      </c>
      <c r="C112" s="5">
        <f>-$B$76*C93*IF($C$76=1,C94,IF(C90&gt;0,1,0))</f>
        <v/>
      </c>
      <c r="D112" s="5">
        <f>-$B$76*D93*IF($C$76=1,D94,IF(D90&gt;0,1,0))</f>
        <v/>
      </c>
      <c r="E112" s="5">
        <f>-$B$76*E93*IF($C$76=1,E94,IF(E90&gt;0,1,0))</f>
        <v/>
      </c>
      <c r="F112" s="5">
        <f>-$B$76*F93*IF($C$76=1,F94,IF(F90&gt;0,1,0))</f>
        <v/>
      </c>
      <c r="G112" s="5">
        <f>-$B$76*G93*IF($C$76=1,G94,IF(G90&gt;0,1,0))</f>
        <v/>
      </c>
      <c r="H112" s="5">
        <f>-$B$76*H93*IF($C$76=1,H94,IF(H90&gt;0,1,0))</f>
        <v/>
      </c>
      <c r="I112" s="5">
        <f>-$B$76*I93*IF($C$76=1,I94,IF(I90&gt;0,1,0))</f>
        <v/>
      </c>
      <c r="J112" s="5">
        <f>-$B$76*J93*IF($C$76=1,J94,IF(J90&gt;0,1,0))</f>
        <v/>
      </c>
      <c r="K112" s="5">
        <f>-$B$76*K93*IF($C$76=1,K94,IF(K90&gt;0,1,0))</f>
        <v/>
      </c>
      <c r="L112" s="5">
        <f>-$B$76*L93*IF($C$76=1,L94,IF(L90&gt;0,1,0))</f>
        <v/>
      </c>
    </row>
    <row r="113">
      <c r="A113" t="inlineStr">
        <is>
          <t xml:space="preserve">  Jardinier à mi-temps / prestataire</t>
        </is>
      </c>
      <c r="B113" s="5">
        <f>SUM(C113:L113)</f>
        <v/>
      </c>
      <c r="C113" s="5">
        <f>-$B$77*C93*IF($C$77=1,C94,IF(C90&gt;0,1,0))</f>
        <v/>
      </c>
      <c r="D113" s="5">
        <f>-$B$77*D93*IF($C$77=1,D94,IF(D90&gt;0,1,0))</f>
        <v/>
      </c>
      <c r="E113" s="5">
        <f>-$B$77*E93*IF($C$77=1,E94,IF(E90&gt;0,1,0))</f>
        <v/>
      </c>
      <c r="F113" s="5">
        <f>-$B$77*F93*IF($C$77=1,F94,IF(F90&gt;0,1,0))</f>
        <v/>
      </c>
      <c r="G113" s="5">
        <f>-$B$77*G93*IF($C$77=1,G94,IF(G90&gt;0,1,0))</f>
        <v/>
      </c>
      <c r="H113" s="5">
        <f>-$B$77*H93*IF($C$77=1,H94,IF(H90&gt;0,1,0))</f>
        <v/>
      </c>
      <c r="I113" s="5">
        <f>-$B$77*I93*IF($C$77=1,I94,IF(I90&gt;0,1,0))</f>
        <v/>
      </c>
      <c r="J113" s="5">
        <f>-$B$77*J93*IF($C$77=1,J94,IF(J90&gt;0,1,0))</f>
        <v/>
      </c>
      <c r="K113" s="5">
        <f>-$B$77*K93*IF($C$77=1,K94,IF(K90&gt;0,1,0))</f>
        <v/>
      </c>
      <c r="L113" s="5">
        <f>-$B$77*L93*IF($C$77=1,L94,IF(L90&gt;0,1,0))</f>
        <v/>
      </c>
    </row>
    <row r="114">
      <c r="A114" t="inlineStr">
        <is>
          <t xml:space="preserve">  Divers (abonnements, petit matériel, véhicule, honoraires)</t>
        </is>
      </c>
      <c r="B114" s="5">
        <f>SUM(C114:L114)</f>
        <v/>
      </c>
      <c r="C114" s="5">
        <f>-$B$78*C93*IF($C$78=1,C94,IF(C90&gt;0,1,0))</f>
        <v/>
      </c>
      <c r="D114" s="5">
        <f>-$B$78*D93*IF($C$78=1,D94,IF(D90&gt;0,1,0))</f>
        <v/>
      </c>
      <c r="E114" s="5">
        <f>-$B$78*E93*IF($C$78=1,E94,IF(E90&gt;0,1,0))</f>
        <v/>
      </c>
      <c r="F114" s="5">
        <f>-$B$78*F93*IF($C$78=1,F94,IF(F90&gt;0,1,0))</f>
        <v/>
      </c>
      <c r="G114" s="5">
        <f>-$B$78*G93*IF($C$78=1,G94,IF(G90&gt;0,1,0))</f>
        <v/>
      </c>
      <c r="H114" s="5">
        <f>-$B$78*H93*IF($C$78=1,H94,IF(H90&gt;0,1,0))</f>
        <v/>
      </c>
      <c r="I114" s="5">
        <f>-$B$78*I93*IF($C$78=1,I94,IF(I90&gt;0,1,0))</f>
        <v/>
      </c>
      <c r="J114" s="5">
        <f>-$B$78*J93*IF($C$78=1,J94,IF(J90&gt;0,1,0))</f>
        <v/>
      </c>
      <c r="K114" s="5">
        <f>-$B$78*K93*IF($C$78=1,K94,IF(K90&gt;0,1,0))</f>
        <v/>
      </c>
      <c r="L114" s="5">
        <f>-$B$78*L93*IF($C$78=1,L94,IF(L90&gt;0,1,0))</f>
        <v/>
      </c>
    </row>
    <row r="115">
      <c r="A115" t="inlineStr">
        <is>
          <t xml:space="preserve">  Soigneur (1 ETP + extras week-end)</t>
        </is>
      </c>
      <c r="B115" s="5">
        <f>SUM(C115:L115)</f>
        <v/>
      </c>
      <c r="C115" s="5">
        <f>-$B$79*C93*IF($C$79=1,C94,IF(C90&gt;0,1,0))</f>
        <v/>
      </c>
      <c r="D115" s="5">
        <f>-$B$79*D93*IF($C$79=1,D94,IF(D90&gt;0,1,0))</f>
        <v/>
      </c>
      <c r="E115" s="5">
        <f>-$B$79*E93*IF($C$79=1,E94,IF(E90&gt;0,1,0))</f>
        <v/>
      </c>
      <c r="F115" s="5">
        <f>-$B$79*F93*IF($C$79=1,F94,IF(F90&gt;0,1,0))</f>
        <v/>
      </c>
      <c r="G115" s="5">
        <f>-$B$79*G93*IF($C$79=1,G94,IF(G90&gt;0,1,0))</f>
        <v/>
      </c>
      <c r="H115" s="5">
        <f>-$B$79*H93*IF($C$79=1,H94,IF(H90&gt;0,1,0))</f>
        <v/>
      </c>
      <c r="I115" s="5">
        <f>-$B$79*I93*IF($C$79=1,I94,IF(I90&gt;0,1,0))</f>
        <v/>
      </c>
      <c r="J115" s="5">
        <f>-$B$79*J93*IF($C$79=1,J94,IF(J90&gt;0,1,0))</f>
        <v/>
      </c>
      <c r="K115" s="5">
        <f>-$B$79*K93*IF($C$79=1,K94,IF(K90&gt;0,1,0))</f>
        <v/>
      </c>
      <c r="L115" s="5">
        <f>-$B$79*L93*IF($C$79=1,L94,IF(L90&gt;0,1,0))</f>
        <v/>
      </c>
    </row>
    <row r="116">
      <c r="A116" t="inlineStr">
        <is>
          <t xml:space="preserve">  Autres charges de structure équestres (entretien installations, matériel, assurance RC, énergie écuries)</t>
        </is>
      </c>
      <c r="B116" s="5">
        <f>SUM(C116:L116)</f>
        <v/>
      </c>
      <c r="C116" s="5">
        <f>-$B$80*C93*IF($C$80=1,C94,IF(C90&gt;0,1,0))</f>
        <v/>
      </c>
      <c r="D116" s="5">
        <f>-$B$80*D93*IF($C$80=1,D94,IF(D90&gt;0,1,0))</f>
        <v/>
      </c>
      <c r="E116" s="5">
        <f>-$B$80*E93*IF($C$80=1,E94,IF(E90&gt;0,1,0))</f>
        <v/>
      </c>
      <c r="F116" s="5">
        <f>-$B$80*F93*IF($C$80=1,F94,IF(F90&gt;0,1,0))</f>
        <v/>
      </c>
      <c r="G116" s="5">
        <f>-$B$80*G93*IF($C$80=1,G94,IF(G90&gt;0,1,0))</f>
        <v/>
      </c>
      <c r="H116" s="5">
        <f>-$B$80*H93*IF($C$80=1,H94,IF(H90&gt;0,1,0))</f>
        <v/>
      </c>
      <c r="I116" s="5">
        <f>-$B$80*I93*IF($C$80=1,I94,IF(I90&gt;0,1,0))</f>
        <v/>
      </c>
      <c r="J116" s="5">
        <f>-$B$80*J93*IF($C$80=1,J94,IF(J90&gt;0,1,0))</f>
        <v/>
      </c>
      <c r="K116" s="5">
        <f>-$B$80*K93*IF($C$80=1,K94,IF(K90&gt;0,1,0))</f>
        <v/>
      </c>
      <c r="L116" s="5">
        <f>-$B$80*L93*IF($C$80=1,L94,IF(L90&gt;0,1,0))</f>
        <v/>
      </c>
    </row>
    <row r="117">
      <c r="A117" t="inlineStr">
        <is>
          <t xml:space="preserve">  Coûts fixes mariages (coordination, nettoyage, publicité)</t>
        </is>
      </c>
      <c r="B117" s="5">
        <f>SUM(C117:L117)</f>
        <v/>
      </c>
      <c r="C117" s="5">
        <f>-$B$81*C93*IF($C$81=1,C94,IF(C90&gt;0,1,0))</f>
        <v/>
      </c>
      <c r="D117" s="5">
        <f>-$B$81*D93*IF($C$81=1,D94,IF(D90&gt;0,1,0))</f>
        <v/>
      </c>
      <c r="E117" s="5">
        <f>-$B$81*E93*IF($C$81=1,E94,IF(E90&gt;0,1,0))</f>
        <v/>
      </c>
      <c r="F117" s="5">
        <f>-$B$81*F93*IF($C$81=1,F94,IF(F90&gt;0,1,0))</f>
        <v/>
      </c>
      <c r="G117" s="5">
        <f>-$B$81*G93*IF($C$81=1,G94,IF(G90&gt;0,1,0))</f>
        <v/>
      </c>
      <c r="H117" s="5">
        <f>-$B$81*H93*IF($C$81=1,H94,IF(H90&gt;0,1,0))</f>
        <v/>
      </c>
      <c r="I117" s="5">
        <f>-$B$81*I93*IF($C$81=1,I94,IF(I90&gt;0,1,0))</f>
        <v/>
      </c>
      <c r="J117" s="5">
        <f>-$B$81*J93*IF($C$81=1,J94,IF(J90&gt;0,1,0))</f>
        <v/>
      </c>
      <c r="K117" s="5">
        <f>-$B$81*K93*IF($C$81=1,K94,IF(K90&gt;0,1,0))</f>
        <v/>
      </c>
      <c r="L117" s="5">
        <f>-$B$81*L93*IF($C$81=1,L94,IF(L90&gt;0,1,0))</f>
        <v/>
      </c>
    </row>
    <row r="118">
      <c r="A118" t="inlineStr">
        <is>
          <t xml:space="preserve">  Coûts fixes du gîte</t>
        </is>
      </c>
      <c r="B118" s="5">
        <f>SUM(C118:L118)</f>
        <v/>
      </c>
      <c r="C118" s="5">
        <f>-$B$82*C93*IF($C$82=1,C94,IF(C90&gt;0,1,0))</f>
        <v/>
      </c>
      <c r="D118" s="5">
        <f>-$B$82*D93*IF($C$82=1,D94,IF(D90&gt;0,1,0))</f>
        <v/>
      </c>
      <c r="E118" s="5">
        <f>-$B$82*E93*IF($C$82=1,E94,IF(E90&gt;0,1,0))</f>
        <v/>
      </c>
      <c r="F118" s="5">
        <f>-$B$82*F93*IF($C$82=1,F94,IF(F90&gt;0,1,0))</f>
        <v/>
      </c>
      <c r="G118" s="5">
        <f>-$B$82*G93*IF($C$82=1,G94,IF(G90&gt;0,1,0))</f>
        <v/>
      </c>
      <c r="H118" s="5">
        <f>-$B$82*H93*IF($C$82=1,H94,IF(H90&gt;0,1,0))</f>
        <v/>
      </c>
      <c r="I118" s="5">
        <f>-$B$82*I93*IF($C$82=1,I94,IF(I90&gt;0,1,0))</f>
        <v/>
      </c>
      <c r="J118" s="5">
        <f>-$B$82*J93*IF($C$82=1,J94,IF(J90&gt;0,1,0))</f>
        <v/>
      </c>
      <c r="K118" s="5">
        <f>-$B$82*K93*IF($C$82=1,K94,IF(K90&gt;0,1,0))</f>
        <v/>
      </c>
      <c r="L118" s="5">
        <f>-$B$82*L93*IF($C$82=1,L94,IF(L90&gt;0,1,0))</f>
        <v/>
      </c>
    </row>
    <row r="119">
      <c r="A119" t="inlineStr">
        <is>
          <t xml:space="preserve">  Commercial, site, salons</t>
        </is>
      </c>
      <c r="B119" s="5">
        <f>SUM(C119:L119)</f>
        <v/>
      </c>
      <c r="C119" s="5">
        <f>-$B$83*C93*IF($C$83=1,C94,IF(C90&gt;0,1,0))</f>
        <v/>
      </c>
      <c r="D119" s="5">
        <f>-$B$83*D93*IF($C$83=1,D94,IF(D90&gt;0,1,0))</f>
        <v/>
      </c>
      <c r="E119" s="5">
        <f>-$B$83*E93*IF($C$83=1,E94,IF(E90&gt;0,1,0))</f>
        <v/>
      </c>
      <c r="F119" s="5">
        <f>-$B$83*F93*IF($C$83=1,F94,IF(F90&gt;0,1,0))</f>
        <v/>
      </c>
      <c r="G119" s="5">
        <f>-$B$83*G93*IF($C$83=1,G94,IF(G90&gt;0,1,0))</f>
        <v/>
      </c>
      <c r="H119" s="5">
        <f>-$B$83*H93*IF($C$83=1,H94,IF(H90&gt;0,1,0))</f>
        <v/>
      </c>
      <c r="I119" s="5">
        <f>-$B$83*I93*IF($C$83=1,I94,IF(I90&gt;0,1,0))</f>
        <v/>
      </c>
      <c r="J119" s="5">
        <f>-$B$83*J93*IF($C$83=1,J94,IF(J90&gt;0,1,0))</f>
        <v/>
      </c>
      <c r="K119" s="5">
        <f>-$B$83*K93*IF($C$83=1,K94,IF(K90&gt;0,1,0))</f>
        <v/>
      </c>
      <c r="L119" s="5">
        <f>-$B$83*L93*IF($C$83=1,L94,IF(L90&gt;0,1,0))</f>
        <v/>
      </c>
    </row>
    <row r="120">
      <c r="A120" t="inlineStr">
        <is>
          <t xml:space="preserve">  Comptabilité, juridique, banque, logiciels</t>
        </is>
      </c>
      <c r="B120" s="5">
        <f>SUM(C120:L120)</f>
        <v/>
      </c>
      <c r="C120" s="5">
        <f>-$B$84*C93*IF($C$84=1,C94,IF(C90&gt;0,1,0))</f>
        <v/>
      </c>
      <c r="D120" s="5">
        <f>-$B$84*D93*IF($C$84=1,D94,IF(D90&gt;0,1,0))</f>
        <v/>
      </c>
      <c r="E120" s="5">
        <f>-$B$84*E93*IF($C$84=1,E94,IF(E90&gt;0,1,0))</f>
        <v/>
      </c>
      <c r="F120" s="5">
        <f>-$B$84*F93*IF($C$84=1,F94,IF(F90&gt;0,1,0))</f>
        <v/>
      </c>
      <c r="G120" s="5">
        <f>-$B$84*G93*IF($C$84=1,G94,IF(G90&gt;0,1,0))</f>
        <v/>
      </c>
      <c r="H120" s="5">
        <f>-$B$84*H93*IF($C$84=1,H94,IF(H90&gt;0,1,0))</f>
        <v/>
      </c>
      <c r="I120" s="5">
        <f>-$B$84*I93*IF($C$84=1,I94,IF(I90&gt;0,1,0))</f>
        <v/>
      </c>
      <c r="J120" s="5">
        <f>-$B$84*J93*IF($C$84=1,J94,IF(J90&gt;0,1,0))</f>
        <v/>
      </c>
      <c r="K120" s="5">
        <f>-$B$84*K93*IF($C$84=1,K94,IF(K90&gt;0,1,0))</f>
        <v/>
      </c>
      <c r="L120" s="5">
        <f>-$B$84*L93*IF($C$84=1,L94,IF(L90&gt;0,1,0))</f>
        <v/>
      </c>
    </row>
    <row r="121">
      <c r="A121" t="inlineStr">
        <is>
          <t xml:space="preserve">  Redevance emphytéotique</t>
        </is>
      </c>
      <c r="B121" s="5">
        <f>SUM(C121:L121)</f>
        <v/>
      </c>
      <c r="C121" s="5">
        <f>-$B$85*C93*IF($C$85=1,C94,IF(C90&gt;0,1,0))</f>
        <v/>
      </c>
      <c r="D121" s="5">
        <f>-$B$85*D93*IF($C$85=1,D94,IF(D90&gt;0,1,0))</f>
        <v/>
      </c>
      <c r="E121" s="5">
        <f>-$B$85*E93*IF($C$85=1,E94,IF(E90&gt;0,1,0))</f>
        <v/>
      </c>
      <c r="F121" s="5">
        <f>-$B$85*F93*IF($C$85=1,F94,IF(F90&gt;0,1,0))</f>
        <v/>
      </c>
      <c r="G121" s="5">
        <f>-$B$85*G93*IF($C$85=1,G94,IF(G90&gt;0,1,0))</f>
        <v/>
      </c>
      <c r="H121" s="5">
        <f>-$B$85*H93*IF($C$85=1,H94,IF(H90&gt;0,1,0))</f>
        <v/>
      </c>
      <c r="I121" s="5">
        <f>-$B$85*I93*IF($C$85=1,I94,IF(I90&gt;0,1,0))</f>
        <v/>
      </c>
      <c r="J121" s="5">
        <f>-$B$85*J93*IF($C$85=1,J94,IF(J90&gt;0,1,0))</f>
        <v/>
      </c>
      <c r="K121" s="5">
        <f>-$B$85*K93*IF($C$85=1,K94,IF(K90&gt;0,1,0))</f>
        <v/>
      </c>
      <c r="L121" s="5">
        <f>-$B$85*L93*IF($C$85=1,L94,IF(L90&gt;0,1,0))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C110+C111+C112+C113+C114+C115+C116+C117+C118+C119+C120+C121</f>
        <v/>
      </c>
      <c r="D122" s="18">
        <f>D110+D111+D112+D113+D114+D115+D116+D117+D118+D119+D120+D121</f>
        <v/>
      </c>
      <c r="E122" s="18">
        <f>E110+E111+E112+E113+E114+E115+E116+E117+E118+E119+E120+E121</f>
        <v/>
      </c>
      <c r="F122" s="18">
        <f>F110+F111+F112+F113+F114+F115+F116+F117+F118+F119+F120+F121</f>
        <v/>
      </c>
      <c r="G122" s="18">
        <f>G110+G111+G112+G113+G114+G115+G116+G117+G118+G119+G120+G121</f>
        <v/>
      </c>
      <c r="H122" s="18">
        <f>H110+H111+H112+H113+H114+H115+H116+H117+H118+H119+H120+H121</f>
        <v/>
      </c>
      <c r="I122" s="18">
        <f>I110+I111+I112+I113+I114+I115+I116+I117+I118+I119+I120+I121</f>
        <v/>
      </c>
      <c r="J122" s="18">
        <f>J110+J111+J112+J113+J114+J115+J116+J117+J118+J119+J120+J121</f>
        <v/>
      </c>
      <c r="K122" s="18">
        <f>K110+K111+K112+K113+K114+K115+K116+K117+K118+K119+K120+K121</f>
        <v/>
      </c>
      <c r="L122" s="18">
        <f>L110+L111+L112+L113+L114+L115+L116+L117+L118+L119+L120+L121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-IF(C94=0,IF(C$88&gt;=$B$6,$B$18*C93,0),0)</f>
        <v/>
      </c>
      <c r="D123" s="5">
        <f>-IF(D94=0,IF(D$88&gt;=$B$6,$B$18*D93,0),0)</f>
        <v/>
      </c>
      <c r="E123" s="5">
        <f>-IF(E94=0,IF(E$88&gt;=$B$6,$B$18*E93,0),0)</f>
        <v/>
      </c>
      <c r="F123" s="5">
        <f>-IF(F94=0,IF(F$88&gt;=$B$6,$B$18*F93,0),0)</f>
        <v/>
      </c>
      <c r="G123" s="5">
        <f>-IF(G94=0,IF(G$88&gt;=$B$6,$B$18*G93,0),0)</f>
        <v/>
      </c>
      <c r="H123" s="5">
        <f>-IF(H94=0,IF(H$88&gt;=$B$6,$B$18*H93,0),0)</f>
        <v/>
      </c>
      <c r="I123" s="5">
        <f>-IF(I94=0,IF(I$88&gt;=$B$6,$B$18*I93,0),0)</f>
        <v/>
      </c>
      <c r="J123" s="5">
        <f>-IF(J94=0,IF(J$88&gt;=$B$6,$B$18*J93,0),0)</f>
        <v/>
      </c>
      <c r="K123" s="5">
        <f>-IF(K94=0,IF(K$88&gt;=$B$6,$B$18*K93,0),0)</f>
        <v/>
      </c>
      <c r="L123" s="5">
        <f>-IF(L94=0,IF(L$88&gt;=$B$6,$B$18*L93,0),0)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C109+C122+C123</f>
        <v/>
      </c>
      <c r="D124" s="18">
        <f>D109+D122+D123</f>
        <v/>
      </c>
      <c r="E124" s="18">
        <f>E109+E122+E123</f>
        <v/>
      </c>
      <c r="F124" s="18">
        <f>F109+F122+F123</f>
        <v/>
      </c>
      <c r="G124" s="18">
        <f>G109+G122+G123</f>
        <v/>
      </c>
      <c r="H124" s="18">
        <f>H109+H122+H123</f>
        <v/>
      </c>
      <c r="I124" s="18">
        <f>I109+I122+I123</f>
        <v/>
      </c>
      <c r="J124" s="18">
        <f>J109+J122+J123</f>
        <v/>
      </c>
      <c r="K124" s="18">
        <f>K109+K122+K123</f>
        <v/>
      </c>
      <c r="L124" s="18">
        <f>L109+L122+L123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C94*$B$20*C93</f>
        <v/>
      </c>
      <c r="D125" s="5">
        <f>D94*$B$20*D93</f>
        <v/>
      </c>
      <c r="E125" s="5">
        <f>E94*$B$20*E93</f>
        <v/>
      </c>
      <c r="F125" s="5">
        <f>F94*$B$20*F93</f>
        <v/>
      </c>
      <c r="G125" s="5">
        <f>G94*$B$20*G93</f>
        <v/>
      </c>
      <c r="H125" s="5">
        <f>H94*$B$20*H93</f>
        <v/>
      </c>
      <c r="I125" s="5">
        <f>I94*$B$20*I93</f>
        <v/>
      </c>
      <c r="J125" s="5">
        <f>J94*$B$20*J93</f>
        <v/>
      </c>
      <c r="K125" s="5">
        <f>K94*$B$20*K93</f>
        <v/>
      </c>
      <c r="L125" s="5">
        <f>L94*$B$20*L93</f>
        <v/>
      </c>
    </row>
    <row r="126">
      <c r="A126" t="inlineStr">
        <is>
          <t xml:space="preserve">  Marge d'EBITDA</t>
        </is>
      </c>
      <c r="C126" s="6">
        <f>IF(C105=0,0,C124/C105)</f>
        <v/>
      </c>
      <c r="D126" s="6">
        <f>IF(D105=0,0,D124/D105)</f>
        <v/>
      </c>
      <c r="E126" s="6">
        <f>IF(E105=0,0,E124/E105)</f>
        <v/>
      </c>
      <c r="F126" s="6">
        <f>IF(F105=0,0,F124/F105)</f>
        <v/>
      </c>
      <c r="G126" s="6">
        <f>IF(G105=0,0,G124/G105)</f>
        <v/>
      </c>
      <c r="H126" s="6">
        <f>IF(H105=0,0,H124/H105)</f>
        <v/>
      </c>
      <c r="I126" s="6">
        <f>IF(I105=0,0,I124/I105)</f>
        <v/>
      </c>
      <c r="J126" s="6">
        <f>IF(J105=0,0,J124/J105)</f>
        <v/>
      </c>
      <c r="K126" s="6">
        <f>IF(K105=0,0,K124/K105)</f>
        <v/>
      </c>
      <c r="L126" s="6">
        <f>IF(L105=0,0,L124/L105)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($B$10+$B$11+$B$12)*$B$46*IF(C$88=$B$5,$B$13,IF(C$88=$B$5+1,$B$14,IF(C$88=$B$5+2,$B$15,0)))*C93</f>
        <v/>
      </c>
      <c r="D127" s="5">
        <f>($B$10+$B$11+$B$12)*$B$46*IF(D$88=$B$5,$B$13,IF(D$88=$B$5+1,$B$14,IF(D$88=$B$5+2,$B$15,0)))*D93</f>
        <v/>
      </c>
      <c r="E127" s="5">
        <f>($B$10+$B$11+$B$12)*$B$46*IF(E$88=$B$5,$B$13,IF(E$88=$B$5+1,$B$14,IF(E$88=$B$5+2,$B$15,0)))*E93</f>
        <v/>
      </c>
      <c r="F127" s="5">
        <f>($B$10+$B$11+$B$12)*$B$46*IF(F$88=$B$5,$B$13,IF(F$88=$B$5+1,$B$14,IF(F$88=$B$5+2,$B$15,0)))*F93</f>
        <v/>
      </c>
      <c r="G127" s="5">
        <f>($B$10+$B$11+$B$12)*$B$46*IF(G$88=$B$5,$B$13,IF(G$88=$B$5+1,$B$14,IF(G$88=$B$5+2,$B$15,0)))*G93</f>
        <v/>
      </c>
      <c r="H127" s="5">
        <f>($B$10+$B$11+$B$12)*$B$46*IF(H$88=$B$5,$B$13,IF(H$88=$B$5+1,$B$14,IF(H$88=$B$5+2,$B$15,0)))*H93</f>
        <v/>
      </c>
      <c r="I127" s="5">
        <f>($B$10+$B$11+$B$12)*$B$46*IF(I$88=$B$5,$B$13,IF(I$88=$B$5+1,$B$14,IF(I$88=$B$5+2,$B$15,0)))*I93</f>
        <v/>
      </c>
      <c r="J127" s="5">
        <f>($B$10+$B$11+$B$12)*$B$46*IF(J$88=$B$5,$B$13,IF(J$88=$B$5+1,$B$14,IF(J$88=$B$5+2,$B$15,0)))*J93</f>
        <v/>
      </c>
      <c r="K127" s="5">
        <f>($B$10+$B$11+$B$12)*$B$46*IF(K$88=$B$5,$B$13,IF(K$88=$B$5+1,$B$14,IF(K$88=$B$5+2,$B$15,0)))*K93</f>
        <v/>
      </c>
      <c r="L127" s="5">
        <f>($B$10+$B$11+$B$12)*$B$46*IF(L$88=$B$5,$B$13,IF(L$88=$B$5+1,$B$14,IF(L$88=$B$5+2,$B$15,0)))*L93</f>
        <v/>
      </c>
    </row>
    <row r="128">
      <c r="A128" t="inlineStr">
        <is>
          <t>Acquisition (prix + frais)</t>
        </is>
      </c>
      <c r="B128" s="5">
        <f>SUM(C128:L128)</f>
        <v/>
      </c>
      <c r="C128" s="5">
        <f>IF(C$88=$B$5,$B$7*(1+$B$8),0)</f>
        <v/>
      </c>
      <c r="D128" s="5">
        <f>IF(D$88=$B$5,$B$7*(1+$B$8),0)</f>
        <v/>
      </c>
      <c r="E128" s="5">
        <f>IF(E$88=$B$5,$B$7*(1+$B$8),0)</f>
        <v/>
      </c>
      <c r="F128" s="5">
        <f>IF(F$88=$B$5,$B$7*(1+$B$8),0)</f>
        <v/>
      </c>
      <c r="G128" s="5">
        <f>IF(G$88=$B$5,$B$7*(1+$B$8),0)</f>
        <v/>
      </c>
      <c r="H128" s="5">
        <f>IF(H$88=$B$5,$B$7*(1+$B$8),0)</f>
        <v/>
      </c>
      <c r="I128" s="5">
        <f>IF(I$88=$B$5,$B$7*(1+$B$8),0)</f>
        <v/>
      </c>
      <c r="J128" s="5">
        <f>IF(J$88=$B$5,$B$7*(1+$B$8),0)</f>
        <v/>
      </c>
      <c r="K128" s="5">
        <f>IF(K$88=$B$5,$B$7*(1+$B$8),0)</f>
        <v/>
      </c>
      <c r="L128" s="5">
        <f>IF(L$88=$B$5,$B$7*(1+$B$8),0)</f>
        <v/>
      </c>
    </row>
    <row r="129">
      <c r="A129" t="inlineStr">
        <is>
          <t>Gros entretien patrimonial récurrent</t>
        </is>
      </c>
      <c r="B129" s="5">
        <f>SUM(C129:L129)</f>
        <v/>
      </c>
      <c r="C129" s="5">
        <f>IF(C$88&gt;=$B$5+3,$B$16*($B$7+($B$10+$B$11+$B$12)*$B$46)*C93,0)</f>
        <v/>
      </c>
      <c r="D129" s="5">
        <f>IF(D$88&gt;=$B$5+3,$B$16*($B$7+($B$10+$B$11+$B$12)*$B$46)*D93,0)</f>
        <v/>
      </c>
      <c r="E129" s="5">
        <f>IF(E$88&gt;=$B$5+3,$B$16*($B$7+($B$10+$B$11+$B$12)*$B$46)*E93,0)</f>
        <v/>
      </c>
      <c r="F129" s="5">
        <f>IF(F$88&gt;=$B$5+3,$B$16*($B$7+($B$10+$B$11+$B$12)*$B$46)*F93,0)</f>
        <v/>
      </c>
      <c r="G129" s="5">
        <f>IF(G$88&gt;=$B$5+3,$B$16*($B$7+($B$10+$B$11+$B$12)*$B$46)*G93,0)</f>
        <v/>
      </c>
      <c r="H129" s="5">
        <f>IF(H$88&gt;=$B$5+3,$B$16*($B$7+($B$10+$B$11+$B$12)*$B$46)*H93,0)</f>
        <v/>
      </c>
      <c r="I129" s="5">
        <f>IF(I$88&gt;=$B$5+3,$B$16*($B$7+($B$10+$B$11+$B$12)*$B$46)*I93,0)</f>
        <v/>
      </c>
      <c r="J129" s="5">
        <f>IF(J$88&gt;=$B$5+3,$B$16*($B$7+($B$10+$B$11+$B$12)*$B$46)*J93,0)</f>
        <v/>
      </c>
      <c r="K129" s="5">
        <f>IF(K$88&gt;=$B$5+3,$B$16*($B$7+($B$10+$B$11+$B$12)*$B$46)*K93,0)</f>
        <v/>
      </c>
      <c r="L129" s="5">
        <f>IF(L$88&gt;=$B$5+3,$B$16*($B$7+($B$10+$B$11+$B$12)*$B$46)*L93,0)</f>
        <v/>
      </c>
    </row>
    <row r="130">
      <c r="A130" t="inlineStr">
        <is>
          <t>Investissements amortissables cumulés</t>
        </is>
      </c>
      <c r="C130" s="5">
        <f>C127+C129</f>
        <v/>
      </c>
      <c r="D130" s="5">
        <f>C130+D127+D129</f>
        <v/>
      </c>
      <c r="E130" s="5">
        <f>D130+E127+E129</f>
        <v/>
      </c>
      <c r="F130" s="5">
        <f>E130+F127+F129</f>
        <v/>
      </c>
      <c r="G130" s="5">
        <f>F130+G127+G129</f>
        <v/>
      </c>
      <c r="H130" s="5">
        <f>G130+H127+H129</f>
        <v/>
      </c>
      <c r="I130" s="5">
        <f>H130+I127+I129</f>
        <v/>
      </c>
      <c r="J130" s="5">
        <f>I130+J127+J129</f>
        <v/>
      </c>
      <c r="K130" s="5">
        <f>J130+K127+K129</f>
        <v/>
      </c>
      <c r="L130" s="5">
        <f>K130+L127+L129</f>
        <v/>
      </c>
    </row>
    <row r="131">
      <c r="A131" t="inlineStr">
        <is>
          <t>Dotations aux amortissements (bâti 30 ans, travaux 15 ans)</t>
        </is>
      </c>
      <c r="B131" s="5">
        <f>SUM(C131:L131)</f>
        <v/>
      </c>
      <c r="C131" s="5">
        <f>-(C94*$B$7*(1+$B$8)*$B$9/30+C130/15)</f>
        <v/>
      </c>
      <c r="D131" s="5">
        <f>-(D94*$B$7*(1+$B$8)*$B$9/30+D130/15)</f>
        <v/>
      </c>
      <c r="E131" s="5">
        <f>-(E94*$B$7*(1+$B$8)*$B$9/30+E130/15)</f>
        <v/>
      </c>
      <c r="F131" s="5">
        <f>-(F94*$B$7*(1+$B$8)*$B$9/30+F130/15)</f>
        <v/>
      </c>
      <c r="G131" s="5">
        <f>-(G94*$B$7*(1+$B$8)*$B$9/30+G130/15)</f>
        <v/>
      </c>
      <c r="H131" s="5">
        <f>-(H94*$B$7*(1+$B$8)*$B$9/30+H130/15)</f>
        <v/>
      </c>
      <c r="I131" s="5">
        <f>-(I94*$B$7*(1+$B$8)*$B$9/30+I130/15)</f>
        <v/>
      </c>
      <c r="J131" s="5">
        <f>-(J94*$B$7*(1+$B$8)*$B$9/30+J130/15)</f>
        <v/>
      </c>
      <c r="K131" s="5">
        <f>-(K94*$B$7*(1+$B$8)*$B$9/30+K130/15)</f>
        <v/>
      </c>
      <c r="L131" s="5">
        <f>-(L94*$B$7*(1+$B$8)*$B$9/30+L130/15)</f>
        <v/>
      </c>
    </row>
    <row r="132">
      <c r="A132" s="4" t="inlineStr">
        <is>
          <t>Résultat d'exploitation</t>
        </is>
      </c>
      <c r="B132" s="18">
        <f>SUM(C132:L132)</f>
        <v/>
      </c>
      <c r="C132" s="18">
        <f>C124+C131</f>
        <v/>
      </c>
      <c r="D132" s="18">
        <f>D124+D131</f>
        <v/>
      </c>
      <c r="E132" s="18">
        <f>E124+E131</f>
        <v/>
      </c>
      <c r="F132" s="18">
        <f>F124+F131</f>
        <v/>
      </c>
      <c r="G132" s="18">
        <f>G124+G131</f>
        <v/>
      </c>
      <c r="H132" s="18">
        <f>H124+H131</f>
        <v/>
      </c>
      <c r="I132" s="18">
        <f>I124+I131</f>
        <v/>
      </c>
      <c r="J132" s="18">
        <f>J124+J131</f>
        <v/>
      </c>
      <c r="K132" s="18">
        <f>K124+K131</f>
        <v/>
      </c>
      <c r="L132" s="18">
        <f>L124+L131</f>
        <v/>
      </c>
    </row>
    <row r="134">
      <c r="A134" s="4" t="inlineStr">
        <is>
          <t>Échéancier des emprunts</t>
        </is>
      </c>
    </row>
    <row r="135">
      <c r="A135" t="inlineStr">
        <is>
          <t>Taux bancaire effectif</t>
        </is>
      </c>
      <c r="C135" s="6">
        <f>$B$28+$B$48</f>
        <v/>
      </c>
      <c r="D135" s="6">
        <f>$B$28+$B$48</f>
        <v/>
      </c>
      <c r="E135" s="6">
        <f>$B$28+$B$48</f>
        <v/>
      </c>
      <c r="F135" s="6">
        <f>$B$28+$B$48</f>
        <v/>
      </c>
      <c r="G135" s="6">
        <f>$B$28+$B$48</f>
        <v/>
      </c>
      <c r="H135" s="6">
        <f>$B$28+$B$48</f>
        <v/>
      </c>
      <c r="I135" s="6">
        <f>$B$28+$B$48</f>
        <v/>
      </c>
      <c r="J135" s="6">
        <f>$B$28+$B$48</f>
        <v/>
      </c>
      <c r="K135" s="6">
        <f>$B$28+$B$48</f>
        <v/>
      </c>
      <c r="L135" s="6">
        <f>$B$28+$B$48</f>
        <v/>
      </c>
    </row>
    <row r="136">
      <c r="A136" t="inlineStr">
        <is>
          <t>Rang de l'année d'emprunt</t>
        </is>
      </c>
      <c r="C136" s="8">
        <f>MAX(0,C$88-$B$5+1)</f>
        <v/>
      </c>
      <c r="D136" s="8">
        <f>MAX(0,D$88-$B$5+1)</f>
        <v/>
      </c>
      <c r="E136" s="8">
        <f>MAX(0,E$88-$B$5+1)</f>
        <v/>
      </c>
      <c r="F136" s="8">
        <f>MAX(0,F$88-$B$5+1)</f>
        <v/>
      </c>
      <c r="G136" s="8">
        <f>MAX(0,G$88-$B$5+1)</f>
        <v/>
      </c>
      <c r="H136" s="8">
        <f>MAX(0,H$88-$B$5+1)</f>
        <v/>
      </c>
      <c r="I136" s="8">
        <f>MAX(0,I$88-$B$5+1)</f>
        <v/>
      </c>
      <c r="J136" s="8">
        <f>MAX(0,J$88-$B$5+1)</f>
        <v/>
      </c>
      <c r="K136" s="8">
        <f>MAX(0,K$88-$B$5+1)</f>
        <v/>
      </c>
      <c r="L136" s="8">
        <f>MAX(0,L$88-$B$5+1)</f>
        <v/>
      </c>
    </row>
    <row r="137">
      <c r="A137" t="inlineStr">
        <is>
          <t>Dette bancaire — capital début</t>
        </is>
      </c>
      <c r="C137" s="5">
        <f>IF(C136=1,$B$27,0)</f>
        <v/>
      </c>
      <c r="D137" s="5">
        <f>IF(D136=1,$B$27,C140)</f>
        <v/>
      </c>
      <c r="E137" s="5">
        <f>IF(E136=1,$B$27,D140)</f>
        <v/>
      </c>
      <c r="F137" s="5">
        <f>IF(F136=1,$B$27,E140)</f>
        <v/>
      </c>
      <c r="G137" s="5">
        <f>IF(G136=1,$B$27,F140)</f>
        <v/>
      </c>
      <c r="H137" s="5">
        <f>IF(H136=1,$B$27,G140)</f>
        <v/>
      </c>
      <c r="I137" s="5">
        <f>IF(I136=1,$B$27,H140)</f>
        <v/>
      </c>
      <c r="J137" s="5">
        <f>IF(J136=1,$B$27,I140)</f>
        <v/>
      </c>
      <c r="K137" s="5">
        <f>IF(K136=1,$B$27,J140)</f>
        <v/>
      </c>
      <c r="L137" s="5">
        <f>IF(L136=1,$B$27,K140)</f>
        <v/>
      </c>
    </row>
    <row r="138">
      <c r="A138" t="inlineStr">
        <is>
          <t xml:space="preserve">  Intérêts</t>
        </is>
      </c>
      <c r="B138" s="5">
        <f>SUM(C138:L138)</f>
        <v/>
      </c>
      <c r="C138" s="5">
        <f>C137*C135</f>
        <v/>
      </c>
      <c r="D138" s="5">
        <f>D137*D135</f>
        <v/>
      </c>
      <c r="E138" s="5">
        <f>E137*E135</f>
        <v/>
      </c>
      <c r="F138" s="5">
        <f>F137*F135</f>
        <v/>
      </c>
      <c r="G138" s="5">
        <f>G137*G135</f>
        <v/>
      </c>
      <c r="H138" s="5">
        <f>H137*H135</f>
        <v/>
      </c>
      <c r="I138" s="5">
        <f>I137*I135</f>
        <v/>
      </c>
      <c r="J138" s="5">
        <f>J137*J135</f>
        <v/>
      </c>
      <c r="K138" s="5">
        <f>K137*K135</f>
        <v/>
      </c>
      <c r="L138" s="5">
        <f>L137*L135</f>
        <v/>
      </c>
    </row>
    <row r="139">
      <c r="A139" t="inlineStr">
        <is>
          <t xml:space="preserve">  Amortissement du capital</t>
        </is>
      </c>
      <c r="B139" s="5">
        <f>SUM(C139:L139)</f>
        <v/>
      </c>
      <c r="C139" s="5">
        <f>IF(OR(C136=0,C136&lt;=$B$30,C137&lt;=0),0,MIN(C137,PMT(C135,$B$29-$B$30,-$B$27)-C138))</f>
        <v/>
      </c>
      <c r="D139" s="5">
        <f>IF(OR(D136=0,D136&lt;=$B$30,D137&lt;=0),0,MIN(D137,PMT(D135,$B$29-$B$30,-$B$27)-D138))</f>
        <v/>
      </c>
      <c r="E139" s="5">
        <f>IF(OR(E136=0,E136&lt;=$B$30,E137&lt;=0),0,MIN(E137,PMT(E135,$B$29-$B$30,-$B$27)-E138))</f>
        <v/>
      </c>
      <c r="F139" s="5">
        <f>IF(OR(F136=0,F136&lt;=$B$30,F137&lt;=0),0,MIN(F137,PMT(F135,$B$29-$B$30,-$B$27)-F138))</f>
        <v/>
      </c>
      <c r="G139" s="5">
        <f>IF(OR(G136=0,G136&lt;=$B$30,G137&lt;=0),0,MIN(G137,PMT(G135,$B$29-$B$30,-$B$27)-G138))</f>
        <v/>
      </c>
      <c r="H139" s="5">
        <f>IF(OR(H136=0,H136&lt;=$B$30,H137&lt;=0),0,MIN(H137,PMT(H135,$B$29-$B$30,-$B$27)-H138))</f>
        <v/>
      </c>
      <c r="I139" s="5">
        <f>IF(OR(I136=0,I136&lt;=$B$30,I137&lt;=0),0,MIN(I137,PMT(I135,$B$29-$B$30,-$B$27)-I138))</f>
        <v/>
      </c>
      <c r="J139" s="5">
        <f>IF(OR(J136=0,J136&lt;=$B$30,J137&lt;=0),0,MIN(J137,PMT(J135,$B$29-$B$30,-$B$27)-J138))</f>
        <v/>
      </c>
      <c r="K139" s="5">
        <f>IF(OR(K136=0,K136&lt;=$B$30,K137&lt;=0),0,MIN(K137,PMT(K135,$B$29-$B$30,-$B$27)-K138))</f>
        <v/>
      </c>
      <c r="L139" s="5">
        <f>IF(OR(L136=0,L136&lt;=$B$30,L137&lt;=0),0,MIN(L137,PMT(L135,$B$29-$B$30,-$B$27)-L138))</f>
        <v/>
      </c>
    </row>
    <row r="140">
      <c r="A140" t="inlineStr">
        <is>
          <t>Dette bancaire — capital fin</t>
        </is>
      </c>
      <c r="C140" s="5">
        <f>C137-C139</f>
        <v/>
      </c>
      <c r="D140" s="5">
        <f>D137-D139</f>
        <v/>
      </c>
      <c r="E140" s="5">
        <f>E137-E139</f>
        <v/>
      </c>
      <c r="F140" s="5">
        <f>F137-F139</f>
        <v/>
      </c>
      <c r="G140" s="5">
        <f>G137-G139</f>
        <v/>
      </c>
      <c r="H140" s="5">
        <f>H137-H139</f>
        <v/>
      </c>
      <c r="I140" s="5">
        <f>I137-I139</f>
        <v/>
      </c>
      <c r="J140" s="5">
        <f>J137-J139</f>
        <v/>
      </c>
      <c r="K140" s="5">
        <f>K137-K139</f>
        <v/>
      </c>
      <c r="L140" s="5">
        <f>L137-L139</f>
        <v/>
      </c>
    </row>
    <row r="141">
      <c r="A141" t="inlineStr">
        <is>
          <t>Crédit-vendeur — capital début</t>
        </is>
      </c>
      <c r="C141" s="5">
        <f>IF(C136=1,$B$31,0)</f>
        <v/>
      </c>
      <c r="D141" s="5">
        <f>IF(D136=1,$B$31,C144)</f>
        <v/>
      </c>
      <c r="E141" s="5">
        <f>IF(E136=1,$B$31,D144)</f>
        <v/>
      </c>
      <c r="F141" s="5">
        <f>IF(F136=1,$B$31,E144)</f>
        <v/>
      </c>
      <c r="G141" s="5">
        <f>IF(G136=1,$B$31,F144)</f>
        <v/>
      </c>
      <c r="H141" s="5">
        <f>IF(H136=1,$B$31,G144)</f>
        <v/>
      </c>
      <c r="I141" s="5">
        <f>IF(I136=1,$B$31,H144)</f>
        <v/>
      </c>
      <c r="J141" s="5">
        <f>IF(J136=1,$B$31,I144)</f>
        <v/>
      </c>
      <c r="K141" s="5">
        <f>IF(K136=1,$B$31,J144)</f>
        <v/>
      </c>
      <c r="L141" s="5">
        <f>IF(L136=1,$B$31,K144)</f>
        <v/>
      </c>
    </row>
    <row r="142">
      <c r="A142" t="inlineStr">
        <is>
          <t xml:space="preserve">  Intérêts crédit-vendeur</t>
        </is>
      </c>
      <c r="B142" s="5">
        <f>SUM(C142:L142)</f>
        <v/>
      </c>
      <c r="C142" s="5">
        <f>C141*$B$32</f>
        <v/>
      </c>
      <c r="D142" s="5">
        <f>D141*$B$32</f>
        <v/>
      </c>
      <c r="E142" s="5">
        <f>E141*$B$32</f>
        <v/>
      </c>
      <c r="F142" s="5">
        <f>F141*$B$32</f>
        <v/>
      </c>
      <c r="G142" s="5">
        <f>G141*$B$32</f>
        <v/>
      </c>
      <c r="H142" s="5">
        <f>H141*$B$32</f>
        <v/>
      </c>
      <c r="I142" s="5">
        <f>I141*$B$32</f>
        <v/>
      </c>
      <c r="J142" s="5">
        <f>J141*$B$32</f>
        <v/>
      </c>
      <c r="K142" s="5">
        <f>K141*$B$32</f>
        <v/>
      </c>
      <c r="L142" s="5">
        <f>L141*$B$32</f>
        <v/>
      </c>
    </row>
    <row r="143">
      <c r="A143" t="inlineStr">
        <is>
          <t xml:space="preserve">  Amortissement crédit-vendeur</t>
        </is>
      </c>
      <c r="B143" s="5">
        <f>SUM(C143:L143)</f>
        <v/>
      </c>
      <c r="C143" s="5">
        <f>IF(OR(C136=0,C141&lt;=0),0,MIN(C141,IF($B$32=0,$B$31/$B$33,PMT($B$32,$B$33,-$B$31)-C142)))</f>
        <v/>
      </c>
      <c r="D143" s="5">
        <f>IF(OR(D136=0,D141&lt;=0),0,MIN(D141,IF($B$32=0,$B$31/$B$33,PMT($B$32,$B$33,-$B$31)-D142)))</f>
        <v/>
      </c>
      <c r="E143" s="5">
        <f>IF(OR(E136=0,E141&lt;=0),0,MIN(E141,IF($B$32=0,$B$31/$B$33,PMT($B$32,$B$33,-$B$31)-E142)))</f>
        <v/>
      </c>
      <c r="F143" s="5">
        <f>IF(OR(F136=0,F141&lt;=0),0,MIN(F141,IF($B$32=0,$B$31/$B$33,PMT($B$32,$B$33,-$B$31)-F142)))</f>
        <v/>
      </c>
      <c r="G143" s="5">
        <f>IF(OR(G136=0,G141&lt;=0),0,MIN(G141,IF($B$32=0,$B$31/$B$33,PMT($B$32,$B$33,-$B$31)-G142)))</f>
        <v/>
      </c>
      <c r="H143" s="5">
        <f>IF(OR(H136=0,H141&lt;=0),0,MIN(H141,IF($B$32=0,$B$31/$B$33,PMT($B$32,$B$33,-$B$31)-H142)))</f>
        <v/>
      </c>
      <c r="I143" s="5">
        <f>IF(OR(I136=0,I141&lt;=0),0,MIN(I141,IF($B$32=0,$B$31/$B$33,PMT($B$32,$B$33,-$B$31)-I142)))</f>
        <v/>
      </c>
      <c r="J143" s="5">
        <f>IF(OR(J136=0,J141&lt;=0),0,MIN(J141,IF($B$32=0,$B$31/$B$33,PMT($B$32,$B$33,-$B$31)-J142)))</f>
        <v/>
      </c>
      <c r="K143" s="5">
        <f>IF(OR(K136=0,K141&lt;=0),0,MIN(K141,IF($B$32=0,$B$31/$B$33,PMT($B$32,$B$33,-$B$31)-K142)))</f>
        <v/>
      </c>
      <c r="L143" s="5">
        <f>IF(OR(L136=0,L141&lt;=0),0,MIN(L141,IF($B$32=0,$B$31/$B$33,PMT($B$32,$B$33,-$B$31)-L142)))</f>
        <v/>
      </c>
    </row>
    <row r="144">
      <c r="A144" t="inlineStr">
        <is>
          <t>Crédit-vendeur — capital fin</t>
        </is>
      </c>
      <c r="C144" s="5">
        <f>C141-C143</f>
        <v/>
      </c>
      <c r="D144" s="5">
        <f>D141-D143</f>
        <v/>
      </c>
      <c r="E144" s="5">
        <f>E141-E143</f>
        <v/>
      </c>
      <c r="F144" s="5">
        <f>F141-F143</f>
        <v/>
      </c>
      <c r="G144" s="5">
        <f>G141-G143</f>
        <v/>
      </c>
      <c r="H144" s="5">
        <f>H141-H143</f>
        <v/>
      </c>
      <c r="I144" s="5">
        <f>I141-I143</f>
        <v/>
      </c>
      <c r="J144" s="5">
        <f>J141-J143</f>
        <v/>
      </c>
      <c r="K144" s="5">
        <f>K141-K143</f>
        <v/>
      </c>
      <c r="L144" s="5">
        <f>L141-L143</f>
        <v/>
      </c>
    </row>
    <row r="145">
      <c r="A145" t="inlineStr">
        <is>
          <t>Obligations — encours</t>
        </is>
      </c>
      <c r="C145" s="5">
        <f>IF(AND(C$88&gt;=$B$5,C$88&lt;=$B$36),$B$34,0)</f>
        <v/>
      </c>
      <c r="D145" s="5">
        <f>IF(AND(D$88&gt;=$B$5,D$88&lt;=$B$36),$B$34,0)</f>
        <v/>
      </c>
      <c r="E145" s="5">
        <f>IF(AND(E$88&gt;=$B$5,E$88&lt;=$B$36),$B$34,0)</f>
        <v/>
      </c>
      <c r="F145" s="5">
        <f>IF(AND(F$88&gt;=$B$5,F$88&lt;=$B$36),$B$34,0)</f>
        <v/>
      </c>
      <c r="G145" s="5">
        <f>IF(AND(G$88&gt;=$B$5,G$88&lt;=$B$36),$B$34,0)</f>
        <v/>
      </c>
      <c r="H145" s="5">
        <f>IF(AND(H$88&gt;=$B$5,H$88&lt;=$B$36),$B$34,0)</f>
        <v/>
      </c>
      <c r="I145" s="5">
        <f>IF(AND(I$88&gt;=$B$5,I$88&lt;=$B$36),$B$34,0)</f>
        <v/>
      </c>
      <c r="J145" s="5">
        <f>IF(AND(J$88&gt;=$B$5,J$88&lt;=$B$36),$B$34,0)</f>
        <v/>
      </c>
      <c r="K145" s="5">
        <f>IF(AND(K$88&gt;=$B$5,K$88&lt;=$B$36),$B$34,0)</f>
        <v/>
      </c>
      <c r="L145" s="5">
        <f>IF(AND(L$88&gt;=$B$5,L$88&lt;=$B$36),$B$34,0)</f>
        <v/>
      </c>
    </row>
    <row r="146">
      <c r="A146" t="inlineStr">
        <is>
          <t xml:space="preserve">  Coupons obligataires</t>
        </is>
      </c>
      <c r="B146" s="5">
        <f>SUM(C146:L146)</f>
        <v/>
      </c>
      <c r="C146" s="5">
        <f>C145*$B$35</f>
        <v/>
      </c>
      <c r="D146" s="5">
        <f>D145*$B$35</f>
        <v/>
      </c>
      <c r="E146" s="5">
        <f>E145*$B$35</f>
        <v/>
      </c>
      <c r="F146" s="5">
        <f>F145*$B$35</f>
        <v/>
      </c>
      <c r="G146" s="5">
        <f>G145*$B$35</f>
        <v/>
      </c>
      <c r="H146" s="5">
        <f>H145*$B$35</f>
        <v/>
      </c>
      <c r="I146" s="5">
        <f>I145*$B$35</f>
        <v/>
      </c>
      <c r="J146" s="5">
        <f>J145*$B$35</f>
        <v/>
      </c>
      <c r="K146" s="5">
        <f>K145*$B$35</f>
        <v/>
      </c>
      <c r="L146" s="5">
        <f>L145*$B$35</f>
        <v/>
      </c>
    </row>
    <row r="147">
      <c r="A147" t="inlineStr">
        <is>
          <t xml:space="preserve">  Remboursement obligations</t>
        </is>
      </c>
      <c r="B147" s="5">
        <f>SUM(C147:L147)</f>
        <v/>
      </c>
      <c r="C147" s="5">
        <f>IF(C$88=$B$36,$B$34,0)</f>
        <v/>
      </c>
      <c r="D147" s="5">
        <f>IF(D$88=$B$36,$B$34,0)</f>
        <v/>
      </c>
      <c r="E147" s="5">
        <f>IF(E$88=$B$36,$B$34,0)</f>
        <v/>
      </c>
      <c r="F147" s="5">
        <f>IF(F$88=$B$36,$B$34,0)</f>
        <v/>
      </c>
      <c r="G147" s="5">
        <f>IF(G$88=$B$36,$B$34,0)</f>
        <v/>
      </c>
      <c r="H147" s="5">
        <f>IF(H$88=$B$36,$B$34,0)</f>
        <v/>
      </c>
      <c r="I147" s="5">
        <f>IF(I$88=$B$36,$B$34,0)</f>
        <v/>
      </c>
      <c r="J147" s="5">
        <f>IF(J$88=$B$36,$B$34,0)</f>
        <v/>
      </c>
      <c r="K147" s="5">
        <f>IF(K$88=$B$36,$B$34,0)</f>
        <v/>
      </c>
      <c r="L147" s="5">
        <f>IF(L$88=$B$36,$B$34,0)</f>
        <v/>
      </c>
    </row>
    <row r="149">
      <c r="A149" t="inlineStr">
        <is>
          <t>Charges financières</t>
        </is>
      </c>
      <c r="B149" s="5">
        <f>SUM(C149:L149)</f>
        <v/>
      </c>
      <c r="C149" s="5">
        <f>-(C138+C142+C146)</f>
        <v/>
      </c>
      <c r="D149" s="5">
        <f>-(D138+D142+D146)</f>
        <v/>
      </c>
      <c r="E149" s="5">
        <f>-(E138+E142+E146)</f>
        <v/>
      </c>
      <c r="F149" s="5">
        <f>-(F138+F142+F146)</f>
        <v/>
      </c>
      <c r="G149" s="5">
        <f>-(G138+G142+G146)</f>
        <v/>
      </c>
      <c r="H149" s="5">
        <f>-(H138+H142+H146)</f>
        <v/>
      </c>
      <c r="I149" s="5">
        <f>-(I138+I142+I146)</f>
        <v/>
      </c>
      <c r="J149" s="5">
        <f>-(J138+J142+J146)</f>
        <v/>
      </c>
      <c r="K149" s="5">
        <f>-(K138+K142+K146)</f>
        <v/>
      </c>
      <c r="L149" s="5">
        <f>-(L138+L142+L146)</f>
        <v/>
      </c>
    </row>
    <row r="150">
      <c r="A150" s="4" t="inlineStr">
        <is>
          <t>Résultat avant impôt</t>
        </is>
      </c>
      <c r="B150" s="18">
        <f>SUM(C150:L150)</f>
        <v/>
      </c>
      <c r="C150" s="18">
        <f>C132+C149+C125</f>
        <v/>
      </c>
      <c r="D150" s="18">
        <f>D132+D149+D125</f>
        <v/>
      </c>
      <c r="E150" s="18">
        <f>E132+E149+E125</f>
        <v/>
      </c>
      <c r="F150" s="18">
        <f>F132+F149+F125</f>
        <v/>
      </c>
      <c r="G150" s="18">
        <f>G132+G149+G125</f>
        <v/>
      </c>
      <c r="H150" s="18">
        <f>H132+H149+H125</f>
        <v/>
      </c>
      <c r="I150" s="18">
        <f>I132+I149+I125</f>
        <v/>
      </c>
      <c r="J150" s="18">
        <f>J132+J149+J125</f>
        <v/>
      </c>
      <c r="K150" s="18">
        <f>K132+K149+K125</f>
        <v/>
      </c>
      <c r="L150" s="18">
        <f>L132+L149+L125</f>
        <v/>
      </c>
    </row>
    <row r="151">
      <c r="A151" t="inlineStr">
        <is>
          <t>Stock de déficits reportables (fin d'année)</t>
        </is>
      </c>
      <c r="C151" s="5">
        <f>MAX(0,-C150)</f>
        <v/>
      </c>
      <c r="D151" s="5">
        <f>MAX(0,C151-D150)</f>
        <v/>
      </c>
      <c r="E151" s="5">
        <f>MAX(0,D151-E150)</f>
        <v/>
      </c>
      <c r="F151" s="5">
        <f>MAX(0,E151-F150)</f>
        <v/>
      </c>
      <c r="G151" s="5">
        <f>MAX(0,F151-G150)</f>
        <v/>
      </c>
      <c r="H151" s="5">
        <f>MAX(0,G151-H150)</f>
        <v/>
      </c>
      <c r="I151" s="5">
        <f>MAX(0,H151-I150)</f>
        <v/>
      </c>
      <c r="J151" s="5">
        <f>MAX(0,I151-J150)</f>
        <v/>
      </c>
      <c r="K151" s="5">
        <f>MAX(0,J151-K150)</f>
        <v/>
      </c>
      <c r="L151" s="5">
        <f>MAX(0,K151-L150)</f>
        <v/>
      </c>
    </row>
    <row r="152">
      <c r="A152" t="inlineStr">
        <is>
          <t>Impôt sur les sociétés</t>
        </is>
      </c>
      <c r="B152" s="5">
        <f>SUM(C152:L152)</f>
        <v/>
      </c>
      <c r="C152" s="5">
        <f>-MAX(0,C150)*$B$59</f>
        <v/>
      </c>
      <c r="D152" s="5">
        <f>-MAX(0,D150-C151)*$B$59</f>
        <v/>
      </c>
      <c r="E152" s="5">
        <f>-MAX(0,E150-D151)*$B$59</f>
        <v/>
      </c>
      <c r="F152" s="5">
        <f>-MAX(0,F150-E151)*$B$59</f>
        <v/>
      </c>
      <c r="G152" s="5">
        <f>-MAX(0,G150-F151)*$B$59</f>
        <v/>
      </c>
      <c r="H152" s="5">
        <f>-MAX(0,H150-G151)*$B$59</f>
        <v/>
      </c>
      <c r="I152" s="5">
        <f>-MAX(0,I150-H151)*$B$59</f>
        <v/>
      </c>
      <c r="J152" s="5">
        <f>-MAX(0,J150-I151)*$B$59</f>
        <v/>
      </c>
      <c r="K152" s="5">
        <f>-MAX(0,K150-J151)*$B$59</f>
        <v/>
      </c>
      <c r="L152" s="5">
        <f>-MAX(0,L150-K151)*$B$59</f>
        <v/>
      </c>
    </row>
    <row r="153">
      <c r="A153" s="4" t="inlineStr">
        <is>
          <t>Résultat net</t>
        </is>
      </c>
      <c r="B153" s="18">
        <f>SUM(C153:L153)</f>
        <v/>
      </c>
      <c r="C153" s="18">
        <f>C150+C152</f>
        <v/>
      </c>
      <c r="D153" s="18">
        <f>D150+D152</f>
        <v/>
      </c>
      <c r="E153" s="18">
        <f>E150+E152</f>
        <v/>
      </c>
      <c r="F153" s="18">
        <f>F150+F152</f>
        <v/>
      </c>
      <c r="G153" s="18">
        <f>G150+G152</f>
        <v/>
      </c>
      <c r="H153" s="18">
        <f>H150+H152</f>
        <v/>
      </c>
      <c r="I153" s="18">
        <f>I150+I152</f>
        <v/>
      </c>
      <c r="J153" s="18">
        <f>J150+J152</f>
        <v/>
      </c>
      <c r="K153" s="18">
        <f>K150+K152</f>
        <v/>
      </c>
      <c r="L153" s="18">
        <f>L150+L152</f>
        <v/>
      </c>
    </row>
    <row r="155">
      <c r="A155" s="4" t="inlineStr">
        <is>
          <t>Tableau des flux de trésorerie</t>
        </is>
      </c>
    </row>
    <row r="156">
      <c r="A156" t="inlineStr">
        <is>
          <t>BFR (niveau)</t>
        </is>
      </c>
      <c r="C156" s="5">
        <f>C105*$B$58</f>
        <v/>
      </c>
      <c r="D156" s="5">
        <f>D105*$B$58</f>
        <v/>
      </c>
      <c r="E156" s="5">
        <f>E105*$B$58</f>
        <v/>
      </c>
      <c r="F156" s="5">
        <f>F105*$B$58</f>
        <v/>
      </c>
      <c r="G156" s="5">
        <f>G105*$B$58</f>
        <v/>
      </c>
      <c r="H156" s="5">
        <f>H105*$B$58</f>
        <v/>
      </c>
      <c r="I156" s="5">
        <f>I105*$B$58</f>
        <v/>
      </c>
      <c r="J156" s="5">
        <f>J105*$B$58</f>
        <v/>
      </c>
      <c r="K156" s="5">
        <f>K105*$B$58</f>
        <v/>
      </c>
      <c r="L156" s="5">
        <f>L105*$B$58</f>
        <v/>
      </c>
    </row>
    <row r="157">
      <c r="A157" t="inlineStr">
        <is>
          <t>Variation du BFR</t>
        </is>
      </c>
      <c r="B157" s="5">
        <f>SUM(C157:L157)</f>
        <v/>
      </c>
      <c r="C157" s="5">
        <f>-C156</f>
        <v/>
      </c>
      <c r="D157" s="5">
        <f>-(D156-C156)</f>
        <v/>
      </c>
      <c r="E157" s="5">
        <f>-(E156-D156)</f>
        <v/>
      </c>
      <c r="F157" s="5">
        <f>-(F156-E156)</f>
        <v/>
      </c>
      <c r="G157" s="5">
        <f>-(G156-F156)</f>
        <v/>
      </c>
      <c r="H157" s="5">
        <f>-(H156-G156)</f>
        <v/>
      </c>
      <c r="I157" s="5">
        <f>-(I156-H156)</f>
        <v/>
      </c>
      <c r="J157" s="5">
        <f>-(J156-I156)</f>
        <v/>
      </c>
      <c r="K157" s="5">
        <f>-(K156-J156)</f>
        <v/>
      </c>
      <c r="L157" s="5">
        <f>-(L156-K156)</f>
        <v/>
      </c>
    </row>
    <row r="158">
      <c r="A158" s="4" t="inlineStr">
        <is>
          <t>Flux d'exploitation (EBITDA + loyer privé − IS − ΔBFR)</t>
        </is>
      </c>
      <c r="B158" s="18">
        <f>SUM(C158:L158)</f>
        <v/>
      </c>
      <c r="C158" s="18">
        <f>C124+C125+C152+C157</f>
        <v/>
      </c>
      <c r="D158" s="18">
        <f>D124+D125+D152+D157</f>
        <v/>
      </c>
      <c r="E158" s="18">
        <f>E124+E125+E152+E157</f>
        <v/>
      </c>
      <c r="F158" s="18">
        <f>F124+F125+F152+F157</f>
        <v/>
      </c>
      <c r="G158" s="18">
        <f>G124+G125+G152+G157</f>
        <v/>
      </c>
      <c r="H158" s="18">
        <f>H124+H125+H152+H157</f>
        <v/>
      </c>
      <c r="I158" s="18">
        <f>I124+I125+I152+I157</f>
        <v/>
      </c>
      <c r="J158" s="18">
        <f>J124+J125+J152+J157</f>
        <v/>
      </c>
      <c r="K158" s="18">
        <f>K124+K125+K152+K157</f>
        <v/>
      </c>
      <c r="L158" s="18">
        <f>L124+L125+L152+L157</f>
        <v/>
      </c>
    </row>
    <row r="159">
      <c r="A159" s="4" t="inlineStr">
        <is>
          <t>Flux d'investissement</t>
        </is>
      </c>
      <c r="B159" s="18">
        <f>SUM(C159:L159)</f>
        <v/>
      </c>
      <c r="C159" s="18">
        <f>-(C128+C127+C129)</f>
        <v/>
      </c>
      <c r="D159" s="18">
        <f>-(D128+D127+D129)</f>
        <v/>
      </c>
      <c r="E159" s="18">
        <f>-(E128+E127+E129)</f>
        <v/>
      </c>
      <c r="F159" s="18">
        <f>-(F128+F127+F129)</f>
        <v/>
      </c>
      <c r="G159" s="18">
        <f>-(G128+G127+G129)</f>
        <v/>
      </c>
      <c r="H159" s="18">
        <f>-(H128+H127+H129)</f>
        <v/>
      </c>
      <c r="I159" s="18">
        <f>-(I128+I127+I129)</f>
        <v/>
      </c>
      <c r="J159" s="18">
        <f>-(J128+J127+J129)</f>
        <v/>
      </c>
      <c r="K159" s="18">
        <f>-(K128+K127+K129)</f>
        <v/>
      </c>
      <c r="L159" s="18">
        <f>-(L128+L127+L129)</f>
        <v/>
      </c>
    </row>
    <row r="160">
      <c r="A160" t="inlineStr">
        <is>
          <t xml:space="preserve">  Apports en fonds propres + subventions</t>
        </is>
      </c>
      <c r="B160" s="5">
        <f>SUM(C160:L160)</f>
        <v/>
      </c>
      <c r="C160" s="5">
        <f>IF(C$88=1,$B$23,0)+IF(C$88=$B$5,$B$24*(1-$B$49)+$B$26,0)</f>
        <v/>
      </c>
      <c r="D160" s="5">
        <f>IF(D$88=1,$B$23,0)+IF(D$88=$B$5,$B$24*(1-$B$49)+$B$26,0)</f>
        <v/>
      </c>
      <c r="E160" s="5">
        <f>IF(E$88=1,$B$23,0)+IF(E$88=$B$5,$B$24*(1-$B$49)+$B$26,0)</f>
        <v/>
      </c>
      <c r="F160" s="5">
        <f>IF(F$88=1,$B$23,0)+IF(F$88=$B$5,$B$24*(1-$B$49)+$B$26,0)</f>
        <v/>
      </c>
      <c r="G160" s="5">
        <f>IF(G$88=1,$B$23,0)+IF(G$88=$B$5,$B$24*(1-$B$49)+$B$26,0)</f>
        <v/>
      </c>
      <c r="H160" s="5">
        <f>IF(H$88=1,$B$23,0)+IF(H$88=$B$5,$B$24*(1-$B$49)+$B$26,0)</f>
        <v/>
      </c>
      <c r="I160" s="5">
        <f>IF(I$88=1,$B$23,0)+IF(I$88=$B$5,$B$24*(1-$B$49)+$B$26,0)</f>
        <v/>
      </c>
      <c r="J160" s="5">
        <f>IF(J$88=1,$B$23,0)+IF(J$88=$B$5,$B$24*(1-$B$49)+$B$26,0)</f>
        <v/>
      </c>
      <c r="K160" s="5">
        <f>IF(K$88=1,$B$23,0)+IF(K$88=$B$5,$B$24*(1-$B$49)+$B$26,0)</f>
        <v/>
      </c>
      <c r="L160" s="5">
        <f>IF(L$88=1,$B$23,0)+IF(L$88=$B$5,$B$24*(1-$B$49)+$B$26,0)</f>
        <v/>
      </c>
    </row>
    <row r="161">
      <c r="A161" t="inlineStr">
        <is>
          <t xml:space="preserve">  Tirages dette + crédit-vendeur + obligations</t>
        </is>
      </c>
      <c r="B161" s="5">
        <f>SUM(C161:L161)</f>
        <v/>
      </c>
      <c r="C161" s="5">
        <f>IF(C$88=$B$5,$B$27+$B$31+$B$34,0)</f>
        <v/>
      </c>
      <c r="D161" s="5">
        <f>IF(D$88=$B$5,$B$27+$B$31+$B$34,0)</f>
        <v/>
      </c>
      <c r="E161" s="5">
        <f>IF(E$88=$B$5,$B$27+$B$31+$B$34,0)</f>
        <v/>
      </c>
      <c r="F161" s="5">
        <f>IF(F$88=$B$5,$B$27+$B$31+$B$34,0)</f>
        <v/>
      </c>
      <c r="G161" s="5">
        <f>IF(G$88=$B$5,$B$27+$B$31+$B$34,0)</f>
        <v/>
      </c>
      <c r="H161" s="5">
        <f>IF(H$88=$B$5,$B$27+$B$31+$B$34,0)</f>
        <v/>
      </c>
      <c r="I161" s="5">
        <f>IF(I$88=$B$5,$B$27+$B$31+$B$34,0)</f>
        <v/>
      </c>
      <c r="J161" s="5">
        <f>IF(J$88=$B$5,$B$27+$B$31+$B$34,0)</f>
        <v/>
      </c>
      <c r="K161" s="5">
        <f>IF(K$88=$B$5,$B$27+$B$31+$B$34,0)</f>
        <v/>
      </c>
      <c r="L161" s="5">
        <f>IF(L$88=$B$5,$B$27+$B$31+$B$34,0)</f>
        <v/>
      </c>
    </row>
    <row r="162">
      <c r="A162" t="inlineStr">
        <is>
          <t xml:space="preserve">  Service de la dette (intérêts + capital + coupons + rembt obligations)</t>
        </is>
      </c>
      <c r="B162" s="5">
        <f>SUM(C162:L162)</f>
        <v/>
      </c>
      <c r="C162" s="5">
        <f>-(C138+C139+C142+C143+C146+C147)</f>
        <v/>
      </c>
      <c r="D162" s="5">
        <f>-(D138+D139+D142+D143+D146+D147)</f>
        <v/>
      </c>
      <c r="E162" s="5">
        <f>-(E138+E139+E142+E143+E146+E147)</f>
        <v/>
      </c>
      <c r="F162" s="5">
        <f>-(F138+F139+F142+F143+F146+F147)</f>
        <v/>
      </c>
      <c r="G162" s="5">
        <f>-(G138+G139+G142+G143+G146+G147)</f>
        <v/>
      </c>
      <c r="H162" s="5">
        <f>-(H138+H139+H142+H143+H146+H147)</f>
        <v/>
      </c>
      <c r="I162" s="5">
        <f>-(I138+I139+I142+I143+I146+I147)</f>
        <v/>
      </c>
      <c r="J162" s="5">
        <f>-(J138+J139+J142+J143+J146+J147)</f>
        <v/>
      </c>
      <c r="K162" s="5">
        <f>-(K138+K139+K142+K143+K146+K147)</f>
        <v/>
      </c>
      <c r="L162" s="5">
        <f>-(L138+L139+L142+L143+L146+L147)</f>
        <v/>
      </c>
    </row>
    <row r="163">
      <c r="A163" s="4" t="inlineStr">
        <is>
          <t>Flux de financement</t>
        </is>
      </c>
      <c r="B163" s="18">
        <f>SUM(C163:L163)</f>
        <v/>
      </c>
      <c r="C163" s="18">
        <f>C160+C161+C162</f>
        <v/>
      </c>
      <c r="D163" s="18">
        <f>D160+D161+D162</f>
        <v/>
      </c>
      <c r="E163" s="18">
        <f>E160+E161+E162</f>
        <v/>
      </c>
      <c r="F163" s="18">
        <f>F160+F161+F162</f>
        <v/>
      </c>
      <c r="G163" s="18">
        <f>G160+G161+G162</f>
        <v/>
      </c>
      <c r="H163" s="18">
        <f>H160+H161+H162</f>
        <v/>
      </c>
      <c r="I163" s="18">
        <f>I160+I161+I162</f>
        <v/>
      </c>
      <c r="J163" s="18">
        <f>J160+J161+J162</f>
        <v/>
      </c>
      <c r="K163" s="18">
        <f>K160+K161+K162</f>
        <v/>
      </c>
      <c r="L163" s="18">
        <f>L160+L161+L162</f>
        <v/>
      </c>
    </row>
    <row r="164">
      <c r="A164" s="4" t="inlineStr">
        <is>
          <t>Variation de trésorerie</t>
        </is>
      </c>
      <c r="B164" s="18">
        <f>SUM(C164:L164)</f>
        <v/>
      </c>
      <c r="C164" s="18">
        <f>C158+C159+C163</f>
        <v/>
      </c>
      <c r="D164" s="18">
        <f>D158+D159+D163</f>
        <v/>
      </c>
      <c r="E164" s="18">
        <f>E158+E159+E163</f>
        <v/>
      </c>
      <c r="F164" s="18">
        <f>F158+F159+F163</f>
        <v/>
      </c>
      <c r="G164" s="18">
        <f>G158+G159+G163</f>
        <v/>
      </c>
      <c r="H164" s="18">
        <f>H158+H159+H163</f>
        <v/>
      </c>
      <c r="I164" s="18">
        <f>I158+I159+I163</f>
        <v/>
      </c>
      <c r="J164" s="18">
        <f>J158+J159+J163</f>
        <v/>
      </c>
      <c r="K164" s="18">
        <f>K158+K159+K163</f>
        <v/>
      </c>
      <c r="L164" s="18">
        <f>L158+L159+L163</f>
        <v/>
      </c>
    </row>
    <row r="165">
      <c r="A165" s="4" t="inlineStr">
        <is>
          <t>Trésorerie fin d'année</t>
        </is>
      </c>
      <c r="C165" s="18">
        <f>C164</f>
        <v/>
      </c>
      <c r="D165" s="18">
        <f>C165+D164</f>
        <v/>
      </c>
      <c r="E165" s="18">
        <f>D165+E164</f>
        <v/>
      </c>
      <c r="F165" s="18">
        <f>E165+F164</f>
        <v/>
      </c>
      <c r="G165" s="18">
        <f>F165+G164</f>
        <v/>
      </c>
      <c r="H165" s="18">
        <f>G165+H164</f>
        <v/>
      </c>
      <c r="I165" s="18">
        <f>H165+I164</f>
        <v/>
      </c>
      <c r="J165" s="18">
        <f>I165+J164</f>
        <v/>
      </c>
      <c r="K165" s="18">
        <f>J165+K164</f>
        <v/>
      </c>
      <c r="L165" s="18">
        <f>K165+L164</f>
        <v/>
      </c>
    </row>
    <row r="166">
      <c r="A166" t="inlineStr">
        <is>
          <t>Cash-flow libre d'exploitation (CFO − gros entretien − service dette hors obligations in fine)</t>
        </is>
      </c>
      <c r="B166" s="5">
        <f>SUM(C166:L166)</f>
        <v/>
      </c>
      <c r="C166" s="5">
        <f>C158-C129-(C138+C139+C142+C143+C146)</f>
        <v/>
      </c>
      <c r="D166" s="5">
        <f>D158-D129-(D138+D139+D142+D143+D146)</f>
        <v/>
      </c>
      <c r="E166" s="5">
        <f>E158-E129-(E138+E139+E142+E143+E146)</f>
        <v/>
      </c>
      <c r="F166" s="5">
        <f>F158-F129-(F138+F139+F142+F143+F146)</f>
        <v/>
      </c>
      <c r="G166" s="5">
        <f>G158-G129-(G138+G139+G142+G143+G146)</f>
        <v/>
      </c>
      <c r="H166" s="5">
        <f>H158-H129-(H138+H139+H142+H143+H146)</f>
        <v/>
      </c>
      <c r="I166" s="5">
        <f>I158-I129-(I138+I139+I142+I143+I146)</f>
        <v/>
      </c>
      <c r="J166" s="5">
        <f>J158-J129-(J138+J139+J142+J143+J146)</f>
        <v/>
      </c>
      <c r="K166" s="5">
        <f>K158-K129-(K138+K139+K142+K143+K146)</f>
        <v/>
      </c>
      <c r="L166" s="5">
        <f>L158-L129-(L138+L139+L142+L143+L146)</f>
        <v/>
      </c>
    </row>
    <row r="167">
      <c r="A167" t="inlineStr">
        <is>
          <t>DSCR ((EBITDA + loyer privé − IS − gros entretien) / service de la dette)</t>
        </is>
      </c>
      <c r="C167" s="7">
        <f>IF((C138+C139+C142+C143+C146)=0,"",(C124+C125+C152-C129)/(C138+C139+C142+C143+C146))</f>
        <v/>
      </c>
      <c r="D167" s="7">
        <f>IF((D138+D139+D142+D143+D146)=0,"",(D124+D125+D152-D129)/(D138+D139+D142+D143+D146))</f>
        <v/>
      </c>
      <c r="E167" s="7">
        <f>IF((E138+E139+E142+E143+E146)=0,"",(E124+E125+E152-E129)/(E138+E139+E142+E143+E146))</f>
        <v/>
      </c>
      <c r="F167" s="7">
        <f>IF((F138+F139+F142+F143+F146)=0,"",(F124+F125+F152-F129)/(F138+F139+F142+F143+F146))</f>
        <v/>
      </c>
      <c r="G167" s="7">
        <f>IF((G138+G139+G142+G143+G146)=0,"",(G124+G125+G152-G129)/(G138+G139+G142+G143+G146))</f>
        <v/>
      </c>
      <c r="H167" s="7">
        <f>IF((H138+H139+H142+H143+H146)=0,"",(H124+H125+H152-H129)/(H138+H139+H142+H143+H146))</f>
        <v/>
      </c>
      <c r="I167" s="7">
        <f>IF((I138+I139+I142+I143+I146)=0,"",(I124+I125+I152-I129)/(I138+I139+I142+I143+I146))</f>
        <v/>
      </c>
      <c r="J167" s="7">
        <f>IF((J138+J139+J142+J143+J146)=0,"",(J124+J125+J152-J129)/(J138+J139+J142+J143+J146))</f>
        <v/>
      </c>
      <c r="K167" s="7">
        <f>IF((K138+K139+K142+K143+K146)=0,"",(K124+K125+K152-K129)/(K138+K139+K142+K143+K146))</f>
        <v/>
      </c>
      <c r="L167" s="7">
        <f>IF((L138+L139+L142+L143+L146)=0,"",(L124+L125+L152-L129)/(L138+L139+L142+L143+L146))</f>
        <v/>
      </c>
    </row>
    <row r="169">
      <c r="A169" s="4" t="inlineStr">
        <is>
          <t>Rentabilité des investisseurs et contrôle</t>
        </is>
      </c>
    </row>
    <row r="170">
      <c r="A170" t="inlineStr">
        <is>
          <t>Dettes financières totales fin d'année</t>
        </is>
      </c>
      <c r="C170" s="5">
        <f>C140+C144+C145-C147</f>
        <v/>
      </c>
      <c r="D170" s="5">
        <f>D140+D144+D145-D147</f>
        <v/>
      </c>
      <c r="E170" s="5">
        <f>E140+E144+E145-E147</f>
        <v/>
      </c>
      <c r="F170" s="5">
        <f>F140+F144+F145-F147</f>
        <v/>
      </c>
      <c r="G170" s="5">
        <f>G140+G144+G145-G147</f>
        <v/>
      </c>
      <c r="H170" s="5">
        <f>H140+H144+H145-H147</f>
        <v/>
      </c>
      <c r="I170" s="5">
        <f>I140+I144+I145-I147</f>
        <v/>
      </c>
      <c r="J170" s="5">
        <f>J140+J144+J145-J147</f>
        <v/>
      </c>
      <c r="K170" s="5">
        <f>K140+K144+K145-K147</f>
        <v/>
      </c>
      <c r="L170" s="5">
        <f>L140+L144+L145-L147</f>
        <v/>
      </c>
    </row>
    <row r="171">
      <c r="A171" t="inlineStr">
        <is>
          <t>Valeur estimée de l'actif (si cédé cette année)</t>
        </is>
      </c>
      <c r="C171" s="5">
        <f>C94*($B$7+C130)*$B$17*(1-$B$19)</f>
        <v/>
      </c>
      <c r="D171" s="5">
        <f>D94*($B$7+D130)*$B$17*(1-$B$19)</f>
        <v/>
      </c>
      <c r="E171" s="5">
        <f>E94*($B$7+E130)*$B$17*(1-$B$19)</f>
        <v/>
      </c>
      <c r="F171" s="5">
        <f>F94*($B$7+F130)*$B$17*(1-$B$19)</f>
        <v/>
      </c>
      <c r="G171" s="5">
        <f>G94*($B$7+G130)*$B$17*(1-$B$19)</f>
        <v/>
      </c>
      <c r="H171" s="5">
        <f>H94*($B$7+H130)*$B$17*(1-$B$19)</f>
        <v/>
      </c>
      <c r="I171" s="5">
        <f>I94*($B$7+I130)*$B$17*(1-$B$19)</f>
        <v/>
      </c>
      <c r="J171" s="5">
        <f>J94*($B$7+J130)*$B$17*(1-$B$19)</f>
        <v/>
      </c>
      <c r="K171" s="5">
        <f>K94*($B$7+K130)*$B$17*(1-$B$19)</f>
        <v/>
      </c>
      <c r="L171" s="5">
        <f>L94*($B$7+L130)*$B$17*(1-$B$19)</f>
        <v/>
      </c>
    </row>
    <row r="172">
      <c r="A172" t="inlineStr">
        <is>
          <t>Valeur des fonds propres (actif + trésorerie − dettes)</t>
        </is>
      </c>
      <c r="C172" s="5">
        <f>C171+C165-C170</f>
        <v/>
      </c>
      <c r="D172" s="5">
        <f>D171+D165-D170</f>
        <v/>
      </c>
      <c r="E172" s="5">
        <f>E171+E165-E170</f>
        <v/>
      </c>
      <c r="F172" s="5">
        <f>F171+F165-F170</f>
        <v/>
      </c>
      <c r="G172" s="5">
        <f>G171+G165-G170</f>
        <v/>
      </c>
      <c r="H172" s="5">
        <f>H171+H165-H170</f>
        <v/>
      </c>
      <c r="I172" s="5">
        <f>I171+I165-I170</f>
        <v/>
      </c>
      <c r="J172" s="5">
        <f>J171+J165-J170</f>
        <v/>
      </c>
      <c r="K172" s="5">
        <f>K171+K165-K170</f>
        <v/>
      </c>
      <c r="L172" s="5">
        <f>L171+L165-L170</f>
        <v/>
      </c>
    </row>
    <row r="173">
      <c r="A173" t="inlineStr">
        <is>
          <t>Flux des investisseurs (entrée an d'acq., sortie an 10)</t>
        </is>
      </c>
      <c r="B173" s="5">
        <f>SUM(C173:L173)</f>
        <v/>
      </c>
      <c r="C173" s="5">
        <f>-IF(C$88=$B$5,$B$24*(1-$B$49)*(1-$B$25),0)</f>
        <v/>
      </c>
      <c r="D173" s="5">
        <f>-IF(D$88=$B$5,$B$24*(1-$B$49)*(1-$B$25),0)</f>
        <v/>
      </c>
      <c r="E173" s="5">
        <f>-IF(E$88=$B$5,$B$24*(1-$B$49)*(1-$B$25),0)</f>
        <v/>
      </c>
      <c r="F173" s="5">
        <f>-IF(F$88=$B$5,$B$24*(1-$B$49)*(1-$B$25),0)</f>
        <v/>
      </c>
      <c r="G173" s="5">
        <f>-IF(G$88=$B$5,$B$24*(1-$B$49)*(1-$B$25),0)</f>
        <v/>
      </c>
      <c r="H173" s="5">
        <f>-IF(H$88=$B$5,$B$24*(1-$B$49)*(1-$B$25),0)</f>
        <v/>
      </c>
      <c r="I173" s="5">
        <f>-IF(I$88=$B$5,$B$24*(1-$B$49)*(1-$B$25),0)</f>
        <v/>
      </c>
      <c r="J173" s="5">
        <f>-IF(J$88=$B$5,$B$24*(1-$B$49)*(1-$B$25),0)</f>
        <v/>
      </c>
      <c r="K173" s="5">
        <f>-IF(K$88=$B$5,$B$24*(1-$B$49)*(1-$B$25),0)</f>
        <v/>
      </c>
      <c r="L173" s="5">
        <f>-IF(L$88=$B$5,$B$24*(1-$B$49)*(1-$B$25),0)+MAX(0,L172)*(1-$B$42)</f>
        <v/>
      </c>
    </row>
    <row r="174">
      <c r="A174" t="inlineStr">
        <is>
          <t>Flux du fondateur et de sa holding (apports, sortie théorique an 10)</t>
        </is>
      </c>
      <c r="B174" s="5">
        <f>SUM(C174:L174)</f>
        <v/>
      </c>
      <c r="C174" s="5">
        <f>-IF(C$88=1,$B$23,0)-IF(C$88=$B$5,$B$24*(1-$B$49)*$B$25,0)</f>
        <v/>
      </c>
      <c r="D174" s="5">
        <f>-IF(D$88=1,$B$23,0)-IF(D$88=$B$5,$B$24*(1-$B$49)*$B$25,0)</f>
        <v/>
      </c>
      <c r="E174" s="5">
        <f>-IF(E$88=1,$B$23,0)-IF(E$88=$B$5,$B$24*(1-$B$49)*$B$25,0)</f>
        <v/>
      </c>
      <c r="F174" s="5">
        <f>-IF(F$88=1,$B$23,0)-IF(F$88=$B$5,$B$24*(1-$B$49)*$B$25,0)</f>
        <v/>
      </c>
      <c r="G174" s="5">
        <f>-IF(G$88=1,$B$23,0)-IF(G$88=$B$5,$B$24*(1-$B$49)*$B$25,0)</f>
        <v/>
      </c>
      <c r="H174" s="5">
        <f>-IF(H$88=1,$B$23,0)-IF(H$88=$B$5,$B$24*(1-$B$49)*$B$25,0)</f>
        <v/>
      </c>
      <c r="I174" s="5">
        <f>-IF(I$88=1,$B$23,0)-IF(I$88=$B$5,$B$24*(1-$B$49)*$B$25,0)</f>
        <v/>
      </c>
      <c r="J174" s="5">
        <f>-IF(J$88=1,$B$23,0)-IF(J$88=$B$5,$B$24*(1-$B$49)*$B$25,0)</f>
        <v/>
      </c>
      <c r="K174" s="5">
        <f>-IF(K$88=1,$B$23,0)-IF(K$88=$B$5,$B$24*(1-$B$49)*$B$25,0)</f>
        <v/>
      </c>
      <c r="L174" s="5">
        <f>-IF(L$88=1,$B$23,0)-IF(L$88=$B$5,$B$24*(1-$B$49)*$B$25,0)+MAX(0,L172)*$B$42</f>
        <v/>
      </c>
    </row>
    <row r="176">
      <c r="A176" s="10" t="inlineStr">
        <is>
          <t>8. Indicateurs clés</t>
        </is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</row>
    <row r="177">
      <c r="A177" t="inlineStr">
        <is>
          <t>Emplois totaux (acq. + frais + travaux initiaux)</t>
        </is>
      </c>
      <c r="B177" s="18">
        <f>$B$7*(1+$B$8)+SUM(C127:L127)</f>
        <v/>
      </c>
    </row>
    <row r="178">
      <c r="A178" t="inlineStr">
        <is>
          <t>Ressources externes et apports prévus</t>
        </is>
      </c>
      <c r="B178" s="18">
        <f>$B$23+$B$24*(1-$B$49)+$B$26+$B$27+$B$31+$B$34</f>
        <v/>
      </c>
    </row>
    <row r="179">
      <c r="A179" t="inlineStr">
        <is>
          <t>CA année 5</t>
        </is>
      </c>
      <c r="B179" s="18">
        <f>G105</f>
        <v/>
      </c>
    </row>
    <row r="180">
      <c r="A180" t="inlineStr">
        <is>
          <t>EBITDA année 5</t>
        </is>
      </c>
      <c r="B180" s="18">
        <f>G124</f>
        <v/>
      </c>
    </row>
    <row r="181">
      <c r="A181" t="inlineStr">
        <is>
          <t>EBITDA année 10</t>
        </is>
      </c>
      <c r="B181" s="18">
        <f>L124</f>
        <v/>
      </c>
    </row>
    <row r="182">
      <c r="A182" t="inlineStr">
        <is>
          <t>Part équestre du CA année 5</t>
        </is>
      </c>
      <c r="B182" s="14">
        <f>G107</f>
        <v/>
      </c>
    </row>
    <row r="183">
      <c r="A183" t="inlineStr">
        <is>
          <t>Trésorerie minimale sur 10 ans</t>
        </is>
      </c>
      <c r="B183" s="18">
        <f>MIN(C165:L165)</f>
        <v/>
      </c>
    </row>
    <row r="184">
      <c r="A184" t="inlineStr">
        <is>
          <t>Trésorerie fin année 10</t>
        </is>
      </c>
      <c r="B184" s="18">
        <f>L165</f>
        <v/>
      </c>
    </row>
    <row r="185">
      <c r="A185" t="inlineStr">
        <is>
          <t>DSCR minimal (à partir de la 2e année d'exploitation)</t>
        </is>
      </c>
      <c r="B185" s="19">
        <f>IF(COUNTIFS(C167:L167,"&gt;-1E+300",C90:L90,"&gt;=2")=0,"n/a",_xlfn.MINIFS(C167:L167,C90:L90,"&gt;=2"))</f>
        <v/>
      </c>
    </row>
    <row r="186">
      <c r="A186" t="inlineStr">
        <is>
          <t>Nb d'années à cash-flow libre d'exploitation négatif (à partir de la 2e année d'exploitation)</t>
        </is>
      </c>
      <c r="B186" s="20">
        <f>COUNTIFS(C166:L166,"&lt;0",C90:L90,"&gt;=2")</f>
        <v/>
      </c>
    </row>
    <row r="187">
      <c r="A187" t="inlineStr">
        <is>
          <t>TRI investisseurs (sortie théorique an 10)</t>
        </is>
      </c>
      <c r="B187" s="14">
        <f>IF($B$24*(1-$B$25)=0,"sans objet",IFERROR(IRR(C173:L173,-0.05),"perte quasi totale (TRI non calculable)"))</f>
        <v/>
      </c>
    </row>
    <row r="188">
      <c r="A188" t="inlineStr">
        <is>
          <t>TRI fondateur (sortie théorique an 10)</t>
        </is>
      </c>
      <c r="B188" s="14">
        <f>IFERROR(IRR(C174:L174,-0.05),"perte quasi totale (TRI non calculable)")</f>
        <v/>
      </c>
    </row>
    <row r="189">
      <c r="A189" t="inlineStr">
        <is>
          <t>Dette bancaire soutenable estimée (DSCR 1,2 sur (EBITDA − gros entretien) an 10, taux et durée du scénario)</t>
        </is>
      </c>
      <c r="B189" s="18">
        <f>MAX(0,PV($B$28,$B$29,-(L124+L125-L129)/1.2))</f>
        <v/>
      </c>
    </row>
    <row r="190">
      <c r="A190" t="inlineStr">
        <is>
          <t>Fonds propres nécessaires (emplois + réserve + pertes d'exploitation cumulées − dette soutenable)</t>
        </is>
      </c>
      <c r="B190" s="18">
        <f>$B$7*(1+$B$8)+SUM(C127:L127)+$B$39-SUMIF(C158:L158,"&lt;0")-$B$189</f>
        <v/>
      </c>
    </row>
    <row r="191">
      <c r="A191" t="inlineStr">
        <is>
          <t>Part du capital du fondateur</t>
        </is>
      </c>
      <c r="B191" s="14">
        <f>$B$42</f>
        <v/>
      </c>
    </row>
    <row r="192">
      <c r="A192" t="inlineStr">
        <is>
          <t>Droits de vote du fondateur</t>
        </is>
      </c>
      <c r="B192" s="14">
        <f>$B$38</f>
        <v/>
      </c>
    </row>
    <row r="193">
      <c r="A193" s="4" t="inlineStr">
        <is>
          <t>Verdict (trésorerie ≥ 0 et ≥ réserve an 10, DSCR ≥ 1,2, cash-flow libre ≥ 0 dès la 2e année d'exploitation, TRI investisseurs extérieurs ≥ cible, dirigeant payé)</t>
        </is>
      </c>
      <c r="B193" s="4">
        <f>IF($B$183&lt;0,"NON VIABLE (trésorerie négative)",IF(AND($B$184&gt;=$B$39,OR($B$185="n/a",$B$185&gt;=1.2),$B$186=0),IF(NOT(OR($B$187="sans objet",AND(ISNUMBER($B$187),N($B$187)&gt;=$B$40))),"FRAGILE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CA-30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0.7</v>
      </c>
      <c r="C45" t="inlineStr">
        <is>
          <t>%</t>
        </is>
      </c>
      <c r="D45" t="inlineStr">
        <is>
          <t>Stress test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Travaux+30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1.3</v>
      </c>
      <c r="C46" t="inlineStr">
        <is>
          <t>%</t>
        </is>
      </c>
      <c r="D46" t="inlineStr">
        <is>
          <t>Stress test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Retard12m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1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Taux+2pts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0.02</v>
      </c>
      <c r="C48" t="inlineStr">
        <is>
          <t>%</t>
        </is>
      </c>
      <c r="D48" t="inlineStr">
        <is>
          <t>Stress test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RetraitFP50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0.5</v>
      </c>
      <c r="C49" t="inlineStr">
        <is>
          <t>%</t>
        </is>
      </c>
      <c r="D49" t="inlineStr">
        <is>
          <t>Stress test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Annul40evt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0.4</v>
      </c>
      <c r="C50" t="inlineStr">
        <is>
          <t>%</t>
        </is>
      </c>
      <c r="D50" t="inlineStr">
        <is>
          <t>Stress test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Cumul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0.85</v>
      </c>
      <c r="C45" t="inlineStr">
        <is>
          <t>%</t>
        </is>
      </c>
      <c r="D45" t="inlineStr">
        <is>
          <t>Stress test</t>
        </is>
      </c>
    </row>
    <row r="46">
      <c r="A46" t="inlineStr">
        <is>
          <t>Multiplicateur du budget travaux</t>
        </is>
      </c>
      <c r="B46" s="13" t="n">
        <v>1.15</v>
      </c>
      <c r="C46" t="inlineStr">
        <is>
          <t>%</t>
        </is>
      </c>
      <c r="D46" t="inlineStr">
        <is>
          <t>Stress test</t>
        </is>
      </c>
    </row>
    <row r="47">
      <c r="A47" t="inlineStr">
        <is>
          <t>Retard d'ouverture</t>
        </is>
      </c>
      <c r="B47" s="12" t="n">
        <v>1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0.01</v>
      </c>
      <c r="C48" t="inlineStr">
        <is>
          <t>%</t>
        </is>
      </c>
      <c r="D48" t="inlineStr">
        <is>
          <t>Stress test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−20 %, travaux −30 % (équipements existants) — STRESS CA-30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350000</v>
      </c>
      <c r="C10" t="inlineStr">
        <is>
          <t>€</t>
        </is>
      </c>
      <c r="D10" t="inlineStr">
        <is>
          <t>−30 % : équipements existants — EST</t>
        </is>
      </c>
    </row>
    <row r="11">
      <c r="A11" t="inlineStr">
        <is>
          <t>Investissements équestres (boxes, carrière, manège…)</t>
        </is>
      </c>
      <c r="B11" s="12" t="n">
        <v>105000</v>
      </c>
      <c r="C11" t="inlineStr">
        <is>
          <t>€</t>
        </is>
      </c>
      <c r="D11" t="inlineStr">
        <is>
          <t>−30 % : équipements existants — EST</t>
        </is>
      </c>
    </row>
    <row r="12">
      <c r="A12" t="inlineStr">
        <is>
          <t>Investissements événementiel / hébergement</t>
        </is>
      </c>
      <c r="B12" s="12" t="n">
        <v>175000</v>
      </c>
      <c r="C12" t="inlineStr">
        <is>
          <t>€</t>
        </is>
      </c>
      <c r="D12" t="inlineStr">
        <is>
          <t>−30 % : équipements existants — EST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0.7</v>
      </c>
      <c r="C45" t="inlineStr">
        <is>
          <t>%</t>
        </is>
      </c>
      <c r="D45" t="inlineStr">
        <is>
          <t>Stress test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−20 %, travaux −30 % (équipements existants) — STRESS Travaux+30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350000</v>
      </c>
      <c r="C10" t="inlineStr">
        <is>
          <t>€</t>
        </is>
      </c>
      <c r="D10" t="inlineStr">
        <is>
          <t>−30 % : équipements existants — EST</t>
        </is>
      </c>
    </row>
    <row r="11">
      <c r="A11" t="inlineStr">
        <is>
          <t>Investissements équestres (boxes, carrière, manège…)</t>
        </is>
      </c>
      <c r="B11" s="12" t="n">
        <v>105000</v>
      </c>
      <c r="C11" t="inlineStr">
        <is>
          <t>€</t>
        </is>
      </c>
      <c r="D11" t="inlineStr">
        <is>
          <t>−30 % : équipements existants — EST</t>
        </is>
      </c>
    </row>
    <row r="12">
      <c r="A12" t="inlineStr">
        <is>
          <t>Investissements événementiel / hébergement</t>
        </is>
      </c>
      <c r="B12" s="12" t="n">
        <v>175000</v>
      </c>
      <c r="C12" t="inlineStr">
        <is>
          <t>€</t>
        </is>
      </c>
      <c r="D12" t="inlineStr">
        <is>
          <t>−30 % : équipements existants — EST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1.3</v>
      </c>
      <c r="C46" t="inlineStr">
        <is>
          <t>%</t>
        </is>
      </c>
      <c r="D46" t="inlineStr">
        <is>
          <t>Stress test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−20 %, travaux −30 % (équipements existants) — STRESS Retard12m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350000</v>
      </c>
      <c r="C10" t="inlineStr">
        <is>
          <t>€</t>
        </is>
      </c>
      <c r="D10" t="inlineStr">
        <is>
          <t>−30 % : équipements existants — EST</t>
        </is>
      </c>
    </row>
    <row r="11">
      <c r="A11" t="inlineStr">
        <is>
          <t>Investissements équestres (boxes, carrière, manège…)</t>
        </is>
      </c>
      <c r="B11" s="12" t="n">
        <v>105000</v>
      </c>
      <c r="C11" t="inlineStr">
        <is>
          <t>€</t>
        </is>
      </c>
      <c r="D11" t="inlineStr">
        <is>
          <t>−30 % : équipements existants — EST</t>
        </is>
      </c>
    </row>
    <row r="12">
      <c r="A12" t="inlineStr">
        <is>
          <t>Investissements événementiel / hébergement</t>
        </is>
      </c>
      <c r="B12" s="12" t="n">
        <v>175000</v>
      </c>
      <c r="C12" t="inlineStr">
        <is>
          <t>€</t>
        </is>
      </c>
      <c r="D12" t="inlineStr">
        <is>
          <t>−30 % : équipements existants — EST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1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−20 %, travaux −30 % (équipements existants) — STRESS Taux+2pts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350000</v>
      </c>
      <c r="C10" t="inlineStr">
        <is>
          <t>€</t>
        </is>
      </c>
      <c r="D10" t="inlineStr">
        <is>
          <t>−30 % : équipements existants — EST</t>
        </is>
      </c>
    </row>
    <row r="11">
      <c r="A11" t="inlineStr">
        <is>
          <t>Investissements équestres (boxes, carrière, manège…)</t>
        </is>
      </c>
      <c r="B11" s="12" t="n">
        <v>105000</v>
      </c>
      <c r="C11" t="inlineStr">
        <is>
          <t>€</t>
        </is>
      </c>
      <c r="D11" t="inlineStr">
        <is>
          <t>−30 % : équipements existants — EST</t>
        </is>
      </c>
    </row>
    <row r="12">
      <c r="A12" t="inlineStr">
        <is>
          <t>Investissements événementiel / hébergement</t>
        </is>
      </c>
      <c r="B12" s="12" t="n">
        <v>175000</v>
      </c>
      <c r="C12" t="inlineStr">
        <is>
          <t>€</t>
        </is>
      </c>
      <c r="D12" t="inlineStr">
        <is>
          <t>−30 % : équipements existants — EST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0.02</v>
      </c>
      <c r="C48" t="inlineStr">
        <is>
          <t>%</t>
        </is>
      </c>
      <c r="D48" t="inlineStr">
        <is>
          <t>Stress test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−20 %, travaux −30 % (équipements existants) — STRESS RetraitFP50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350000</v>
      </c>
      <c r="C10" t="inlineStr">
        <is>
          <t>€</t>
        </is>
      </c>
      <c r="D10" t="inlineStr">
        <is>
          <t>−30 % : équipements existants — EST</t>
        </is>
      </c>
    </row>
    <row r="11">
      <c r="A11" t="inlineStr">
        <is>
          <t>Investissements équestres (boxes, carrière, manège…)</t>
        </is>
      </c>
      <c r="B11" s="12" t="n">
        <v>105000</v>
      </c>
      <c r="C11" t="inlineStr">
        <is>
          <t>€</t>
        </is>
      </c>
      <c r="D11" t="inlineStr">
        <is>
          <t>−30 % : équipements existants — EST</t>
        </is>
      </c>
    </row>
    <row r="12">
      <c r="A12" t="inlineStr">
        <is>
          <t>Investissements événementiel / hébergement</t>
        </is>
      </c>
      <c r="B12" s="12" t="n">
        <v>175000</v>
      </c>
      <c r="C12" t="inlineStr">
        <is>
          <t>€</t>
        </is>
      </c>
      <c r="D12" t="inlineStr">
        <is>
          <t>−30 % : équipements existants — EST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0.5</v>
      </c>
      <c r="C49" t="inlineStr">
        <is>
          <t>%</t>
        </is>
      </c>
      <c r="D49" t="inlineStr">
        <is>
          <t>Stress test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−20 %, travaux −30 % (équipements existants) — STRESS Annul40evt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350000</v>
      </c>
      <c r="C10" t="inlineStr">
        <is>
          <t>€</t>
        </is>
      </c>
      <c r="D10" t="inlineStr">
        <is>
          <t>−30 % : équipements existants — EST</t>
        </is>
      </c>
    </row>
    <row r="11">
      <c r="A11" t="inlineStr">
        <is>
          <t>Investissements équestres (boxes, carrière, manège…)</t>
        </is>
      </c>
      <c r="B11" s="12" t="n">
        <v>105000</v>
      </c>
      <c r="C11" t="inlineStr">
        <is>
          <t>€</t>
        </is>
      </c>
      <c r="D11" t="inlineStr">
        <is>
          <t>−30 % : équipements existants — EST</t>
        </is>
      </c>
    </row>
    <row r="12">
      <c r="A12" t="inlineStr">
        <is>
          <t>Investissements événementiel / hébergement</t>
        </is>
      </c>
      <c r="B12" s="12" t="n">
        <v>175000</v>
      </c>
      <c r="C12" t="inlineStr">
        <is>
          <t>€</t>
        </is>
      </c>
      <c r="D12" t="inlineStr">
        <is>
          <t>−30 % : équipements existants — EST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0.4</v>
      </c>
      <c r="C50" t="inlineStr">
        <is>
          <t>%</t>
        </is>
      </c>
      <c r="D50" t="inlineStr">
        <is>
          <t>Stress test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−20 %, travaux −30 % (équipements existants) — STRESS Cumul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350000</v>
      </c>
      <c r="C10" t="inlineStr">
        <is>
          <t>€</t>
        </is>
      </c>
      <c r="D10" t="inlineStr">
        <is>
          <t>−30 % : équipements existants — EST</t>
        </is>
      </c>
    </row>
    <row r="11">
      <c r="A11" t="inlineStr">
        <is>
          <t>Investissements équestres (boxes, carrière, manège…)</t>
        </is>
      </c>
      <c r="B11" s="12" t="n">
        <v>105000</v>
      </c>
      <c r="C11" t="inlineStr">
        <is>
          <t>€</t>
        </is>
      </c>
      <c r="D11" t="inlineStr">
        <is>
          <t>−30 % : équipements existants — EST</t>
        </is>
      </c>
    </row>
    <row r="12">
      <c r="A12" t="inlineStr">
        <is>
          <t>Investissements événementiel / hébergement</t>
        </is>
      </c>
      <c r="B12" s="12" t="n">
        <v>175000</v>
      </c>
      <c r="C12" t="inlineStr">
        <is>
          <t>€</t>
        </is>
      </c>
      <c r="D12" t="inlineStr">
        <is>
          <t>−30 % : équipements existants — EST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0.85</v>
      </c>
      <c r="C45" t="inlineStr">
        <is>
          <t>%</t>
        </is>
      </c>
      <c r="D45" t="inlineStr">
        <is>
          <t>Stress test</t>
        </is>
      </c>
    </row>
    <row r="46">
      <c r="A46" t="inlineStr">
        <is>
          <t>Multiplicateur du budget travaux</t>
        </is>
      </c>
      <c r="B46" s="13" t="n">
        <v>1.15</v>
      </c>
      <c r="C46" t="inlineStr">
        <is>
          <t>%</t>
        </is>
      </c>
      <c r="D46" t="inlineStr">
        <is>
          <t>Stress test</t>
        </is>
      </c>
    </row>
    <row r="47">
      <c r="A47" t="inlineStr">
        <is>
          <t>Retard d'ouverture</t>
        </is>
      </c>
      <c r="B47" s="12" t="n">
        <v>1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0.01</v>
      </c>
      <c r="C48" t="inlineStr">
        <is>
          <t>%</t>
        </is>
      </c>
      <c r="D48" t="inlineStr">
        <is>
          <t>Stress test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CA-30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0.7</v>
      </c>
      <c r="C45" t="inlineStr">
        <is>
          <t>%</t>
        </is>
      </c>
      <c r="D45" t="inlineStr">
        <is>
          <t>Stress test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Travaux+30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1.3</v>
      </c>
      <c r="C46" t="inlineStr">
        <is>
          <t>%</t>
        </is>
      </c>
      <c r="D46" t="inlineStr">
        <is>
          <t>Stress test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Retard12m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1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Taux+2pts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0.02</v>
      </c>
      <c r="C48" t="inlineStr">
        <is>
          <t>%</t>
        </is>
      </c>
      <c r="D48" t="inlineStr">
        <is>
          <t>Stress test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RetraitFP50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0.5</v>
      </c>
      <c r="C49" t="inlineStr">
        <is>
          <t>%</t>
        </is>
      </c>
      <c r="D49" t="inlineStr">
        <is>
          <t>Stress test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Annul40evt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0.4</v>
      </c>
      <c r="C50" t="inlineStr">
        <is>
          <t>%</t>
        </is>
      </c>
      <c r="D50" t="inlineStr">
        <is>
          <t>Stress test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Cumul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0.012</v>
      </c>
      <c r="C16" t="inlineStr">
        <is>
          <t>%</t>
        </is>
      </c>
      <c r="D16" t="inlineStr">
        <is>
          <t>≈ 40 k€/an de provision : Barnes 20-80 k€/an [A4 §11, PL]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18000</v>
      </c>
      <c r="C20" t="inlineStr">
        <is>
          <t>€</t>
        </is>
      </c>
      <c r="D20" t="inlineStr">
        <is>
          <t>EST : loyer de marché de la partie privée, payé par le fondateur sur revenus extérieurs (risque d'abus de biens sociaux sinon)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0.85</v>
      </c>
      <c r="C45" t="inlineStr">
        <is>
          <t>%</t>
        </is>
      </c>
      <c r="D45" t="inlineStr">
        <is>
          <t>Stress test</t>
        </is>
      </c>
    </row>
    <row r="46">
      <c r="A46" t="inlineStr">
        <is>
          <t>Multiplicateur du budget travaux</t>
        </is>
      </c>
      <c r="B46" s="13" t="n">
        <v>1.15</v>
      </c>
      <c r="C46" t="inlineStr">
        <is>
          <t>%</t>
        </is>
      </c>
      <c r="D46" t="inlineStr">
        <is>
          <t>Stress test</t>
        </is>
      </c>
    </row>
    <row r="47">
      <c r="A47" t="inlineStr">
        <is>
          <t>Retard d'ouverture</t>
        </is>
      </c>
      <c r="B47" s="12" t="n">
        <v>1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0.01</v>
      </c>
      <c r="C48" t="inlineStr">
        <is>
          <t>%</t>
        </is>
      </c>
      <c r="D48" t="inlineStr">
        <is>
          <t>Stress test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0.025</v>
      </c>
      <c r="C57" t="inlineStr">
        <is>
          <t>%</t>
        </is>
      </c>
      <c r="D57" t="inlineStr">
        <is>
          <t>EST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d'IS (simplifié, taux normal)</t>
        </is>
      </c>
      <c r="B59" s="13" t="n">
        <v>0.25</v>
      </c>
      <c r="C59" t="inlineStr">
        <is>
          <t>%</t>
        </is>
      </c>
      <c r="D59" t="inlineStr">
        <is>
          <t>Taux normal (équestre en BA hors société : non modélisé)</t>
        </is>
      </c>
    </row>
    <row r="61">
      <c r="A61" s="10" t="inlineStr">
        <is>
          <t>5. Lignes de revenus (à maturité, euros de l'année d'ouverture)</t>
        </is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  <row r="62">
      <c r="A62" s="4" t="inlineStr">
        <is>
          <t>Libellé</t>
        </is>
      </c>
      <c r="B62" s="4" t="inlineStr">
        <is>
          <t>Volume</t>
        </is>
      </c>
      <c r="C62" s="4" t="inlineStr">
        <is>
          <t>Prix unitaire</t>
        </is>
      </c>
      <c r="D62" s="4" t="inlineStr">
        <is>
          <t>Coût var. %</t>
        </is>
      </c>
      <c r="E62" s="4" t="inlineStr">
        <is>
          <t>Événement ?</t>
        </is>
      </c>
      <c r="F62" s="4" t="inlineStr">
        <is>
          <t>Équestre ?</t>
        </is>
      </c>
      <c r="G62" s="4" t="inlineStr">
        <is>
          <t>Unité / source</t>
        </is>
      </c>
    </row>
    <row r="63">
      <c r="A63" t="inlineStr">
        <is>
          <t>Pension box premium (places occupées)</t>
        </is>
      </c>
      <c r="B63" s="15" t="n">
        <v>22</v>
      </c>
      <c r="C63" s="12" t="n">
        <v>5915</v>
      </c>
      <c r="D63" s="13" t="n">
        <v>0.2</v>
      </c>
      <c r="E63" s="16" t="n">
        <v>0</v>
      </c>
      <c r="F63" s="16" t="n">
        <v>1</v>
      </c>
      <c r="G63" t="inlineStr">
        <is>
          <t>PL : 520 € TTC/mois (premium régional ; IdF 540-650) → 493 € HT à TVA 5,5 % [A3 H1-H2, H8] ; 24 box × 92 % ; coûts directs 1 200 €/an EST (réf. 613-1 729) [A3 §4]</t>
        </is>
      </c>
    </row>
    <row r="64">
      <c r="A64" t="inlineStr">
        <is>
          <t>Pension au pré (places occupées)</t>
        </is>
      </c>
      <c r="B64" s="15" t="n">
        <v>23</v>
      </c>
      <c r="C64" s="12" t="n">
        <v>2616</v>
      </c>
      <c r="D64" s="13" t="n">
        <v>0.23</v>
      </c>
      <c r="E64" s="16" t="n">
        <v>0</v>
      </c>
      <c r="F64" s="16" t="n">
        <v>1</v>
      </c>
      <c r="G64" t="inlineStr">
        <is>
          <t>PL : 230 € TTC/mois → 218 € HT [A3 H3] ; 25 places × 92 % ; coûts 613 €/an [A3 §4]</t>
        </is>
      </c>
    </row>
    <row r="65">
      <c r="A65" t="inlineStr">
        <is>
          <t>Pension retraite / convalescence (places occupées)</t>
        </is>
      </c>
      <c r="B65" s="15" t="n">
        <v>9</v>
      </c>
      <c r="C65" s="12" t="n">
        <v>2100</v>
      </c>
      <c r="D65" s="13" t="n">
        <v>0.24</v>
      </c>
      <c r="E65" s="16" t="n">
        <v>0</v>
      </c>
      <c r="F65" s="16" t="n">
        <v>1</v>
      </c>
      <c r="G65" t="inlineStr">
        <is>
          <t>PL : 210 € TTC/mois, TVA 20 % → 175 € HT [A3 H4] ; 10 places × 90 %</t>
        </is>
      </c>
    </row>
    <row r="66">
      <c r="A66" t="inlineStr">
        <is>
          <t>Mariages (location du lieu + hébergement 15 couchages)</t>
        </is>
      </c>
      <c r="B66" s="15" t="n">
        <v>12</v>
      </c>
      <c r="C66" s="12" t="n">
        <v>4197</v>
      </c>
      <c r="D66" s="13" t="n">
        <v>0.43</v>
      </c>
      <c r="E66" s="16" t="n">
        <v>1</v>
      </c>
      <c r="F66" s="16" t="n">
        <v>0</v>
      </c>
      <c r="G66" t="inlineStr">
        <is>
          <t>PL : médiane 3 400 € TTC location (17 châteaux) + 1 500 € TTC hébergement → 4 197 € HT [A4 §13.1] ; 12/an EST ; coût variable 1 450 € + 8 %</t>
        </is>
      </c>
    </row>
    <row r="67">
      <c r="A67" t="inlineStr">
        <is>
          <t>Gîte 15 couchages hors mariages (nuits)</t>
        </is>
      </c>
      <c r="B67" s="15" t="n">
        <v>92</v>
      </c>
      <c r="C67" s="12" t="n">
        <v>450</v>
      </c>
      <c r="D67" s="13" t="n">
        <v>0.45</v>
      </c>
      <c r="E67" s="16" t="n">
        <v>0</v>
      </c>
      <c r="F67" s="16" t="n">
        <v>0</v>
      </c>
      <c r="G67" t="inlineStr">
        <is>
          <t>PL : fourchettes de prix [A4 §4.2] ; 92 nuits EST (occupation annuelle ≈ 33 % observée en Normandie hors saison) [A4 §4.3]</t>
        </is>
      </c>
    </row>
    <row r="68">
      <c r="A68" t="inlineStr">
        <is>
          <t>Séminaires à la journée (jours)</t>
        </is>
      </c>
      <c r="B68" s="15" t="n">
        <v>12</v>
      </c>
      <c r="C68" s="12" t="n">
        <v>800</v>
      </c>
      <c r="D68" s="13" t="n">
        <v>0.19</v>
      </c>
      <c r="E68" s="16" t="n">
        <v>1</v>
      </c>
      <c r="F68" s="16" t="n">
        <v>0</v>
      </c>
      <c r="G68" t="inlineStr">
        <is>
          <t>PL : salle 1 000 €/jour (Feugerets) ; 800 € HT retenu [A4 §3]</t>
        </is>
      </c>
    </row>
    <row r="69">
      <c r="A69" t="inlineStr">
        <is>
          <t>Tournages / shootings (jours)</t>
        </is>
      </c>
      <c r="B69" s="15" t="n">
        <v>3</v>
      </c>
      <c r="C69" s="12" t="n">
        <v>2000</v>
      </c>
      <c r="D69" s="13" t="n">
        <v>0.15</v>
      </c>
      <c r="E69" s="16" t="n">
        <v>1</v>
      </c>
      <c r="F69" s="16" t="n">
        <v>0</v>
      </c>
      <c r="G69" t="inlineStr">
        <is>
          <t>PL : 1 500-4 000 €/jour [A4 §5] ; fréquence EST</t>
        </is>
      </c>
    </row>
    <row r="70">
      <c r="A70" t="inlineStr">
        <is>
          <t>Fermage / vente d'herbe (ha)</t>
        </is>
      </c>
      <c r="B70" s="15" t="n">
        <v>10</v>
      </c>
      <c r="C70" s="12" t="n">
        <v>150</v>
      </c>
      <c r="D70" s="13" t="n">
        <v>0</v>
      </c>
      <c r="E70" s="16" t="n">
        <v>0</v>
      </c>
      <c r="F70" s="16" t="n">
        <v>0</v>
      </c>
      <c r="G70" t="inlineStr">
        <is>
          <t>PL : arrêtés Orne/Calvados 2026-27 : 50-268 €/ha [A4 §8.2]</t>
        </is>
      </c>
    </row>
    <row r="72">
      <c r="A72" s="10" t="inlineStr">
        <is>
          <t>6. Charges fixes annuelles (euros de l'année d'ouverture)</t>
        </is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</row>
    <row r="73">
      <c r="A73" s="4" t="inlineStr">
        <is>
          <t>Libellé</t>
        </is>
      </c>
      <c r="B73" s="4" t="inlineStr">
        <is>
          <t>Montant/an</t>
        </is>
      </c>
      <c r="C73" s="4" t="inlineStr">
        <is>
          <t>Dès l'acq. (1) / dès l'ouverture (0)</t>
        </is>
      </c>
      <c r="G73" s="4" t="inlineStr">
        <is>
          <t>Source / statut</t>
        </is>
      </c>
    </row>
    <row r="74">
      <c r="A74" t="inlineStr">
        <is>
          <t>Taxe foncière</t>
        </is>
      </c>
      <c r="B74" s="12" t="n">
        <v>6000</v>
      </c>
      <c r="C74" s="16" t="n">
        <v>1</v>
      </c>
      <c r="G74" t="inlineStr">
        <is>
          <t>EX : 2,6-4,0 k€ sur 3 annonces ; EST 4-8 k€ [A4 §11]</t>
        </is>
      </c>
    </row>
    <row r="75">
      <c r="A75" t="inlineStr">
        <is>
          <t>Assurance multirisque château</t>
        </is>
      </c>
      <c r="B75" s="12" t="n">
        <v>7000</v>
      </c>
      <c r="C75" s="16" t="n">
        <v>1</v>
      </c>
      <c r="G75" t="inlineStr">
        <is>
          <t>PL : « rarement &lt; 2 500 € », hausse 2026 de 7,5-8 % [A4 §11] ; EST 5-10 k€</t>
        </is>
      </c>
    </row>
    <row r="76">
      <c r="A76" t="inlineStr">
        <is>
          <t>Énergie (chauffage partiel, électricité, eau)</t>
        </is>
      </c>
      <c r="B76" s="12" t="n">
        <v>20000</v>
      </c>
      <c r="C76" s="16" t="n">
        <v>1</v>
      </c>
      <c r="G76" t="inlineStr">
        <is>
          <t>PL : Meung, Louvignies ; EX annonce Montluçon 18-25 k€ [A1, A4 §11] ; EST</t>
        </is>
      </c>
    </row>
    <row r="77">
      <c r="A77" t="inlineStr">
        <is>
          <t>Jardinier à mi-temps / prestataire</t>
        </is>
      </c>
      <c r="B77" s="12" t="n">
        <v>14000</v>
      </c>
      <c r="C77" s="16" t="n">
        <v>1</v>
      </c>
      <c r="G77" t="inlineStr">
        <is>
          <t>Variante frugale — EST</t>
        </is>
      </c>
    </row>
    <row r="78">
      <c r="A78" t="inlineStr">
        <is>
          <t>Divers (abonnements, petit matériel, véhicule, honoraires)</t>
        </is>
      </c>
      <c r="B78" s="12" t="n">
        <v>8000</v>
      </c>
      <c r="C78" s="16" t="n">
        <v>1</v>
      </c>
      <c r="G78" t="inlineStr">
        <is>
          <t>EST</t>
        </is>
      </c>
    </row>
    <row r="79">
      <c r="A79" t="inlineStr">
        <is>
          <t>Soigneur (1 ETP + extras week-end)</t>
        </is>
      </c>
      <c r="B79" s="12" t="n">
        <v>36000</v>
      </c>
      <c r="C79" s="16" t="n">
        <v>0</v>
      </c>
      <c r="G79" t="inlineStr">
        <is>
          <t>Variante frugale : le fondateur assure une partie des soins</t>
        </is>
      </c>
    </row>
    <row r="80">
      <c r="A80" t="inlineStr">
        <is>
          <t>Autres charges de structure équestres (entretien installations, matériel, assurance RC, énergie écuries)</t>
        </is>
      </c>
      <c r="B80" s="12" t="n">
        <v>30000</v>
      </c>
      <c r="C80" s="16" t="n">
        <v>0</v>
      </c>
      <c r="G80" t="inlineStr">
        <is>
          <t>Calibré pour un EBE équestre ≈ 37 % (réf. pension hébergement 36-38 %, PL [A3 H10])</t>
        </is>
      </c>
    </row>
    <row r="81">
      <c r="A81" t="inlineStr">
        <is>
          <t>Coûts fixes mariages (coordination, nettoyage, publicité)</t>
        </is>
      </c>
      <c r="B81" s="12" t="n">
        <v>11000</v>
      </c>
      <c r="C81" s="16" t="n">
        <v>0</v>
      </c>
      <c r="G81" t="inlineStr">
        <is>
          <t>EST [A4 §13.1]</t>
        </is>
      </c>
    </row>
    <row r="82">
      <c r="A82" t="inlineStr">
        <is>
          <t>Coûts fixes du gîte</t>
        </is>
      </c>
      <c r="B82" s="12" t="n">
        <v>4400</v>
      </c>
      <c r="C82" s="16" t="n">
        <v>0</v>
      </c>
      <c r="G82" t="inlineStr">
        <is>
          <t>EST [A4 §13.1]</t>
        </is>
      </c>
    </row>
    <row r="83">
      <c r="A83" t="inlineStr">
        <is>
          <t>Commercial, site, salons</t>
        </is>
      </c>
      <c r="B83" s="12" t="n">
        <v>12000</v>
      </c>
      <c r="C83" s="16" t="n">
        <v>0</v>
      </c>
      <c r="G83" t="inlineStr">
        <is>
          <t>EST</t>
        </is>
      </c>
    </row>
    <row r="84">
      <c r="A84" t="inlineStr">
        <is>
          <t>Comptabilité, juridique, banque, logiciels</t>
        </is>
      </c>
      <c r="B84" s="12" t="n">
        <v>12000</v>
      </c>
      <c r="C84" s="16" t="n">
        <v>0</v>
      </c>
      <c r="G84" t="inlineStr">
        <is>
          <t>EST</t>
        </is>
      </c>
    </row>
    <row r="86">
      <c r="A86" s="10" t="inlineStr">
        <is>
          <t>7. Calcul sur 10 ans</t>
        </is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</row>
    <row r="87">
      <c r="A87" s="4" t="inlineStr">
        <is>
          <t>Année</t>
        </is>
      </c>
      <c r="B87" s="4" t="inlineStr">
        <is>
          <t>Total / réf.</t>
        </is>
      </c>
      <c r="C87" s="4" t="n">
        <v>1</v>
      </c>
      <c r="D87" s="4" t="n">
        <v>2</v>
      </c>
      <c r="E87" s="4" t="n">
        <v>3</v>
      </c>
      <c r="F87" s="4" t="n">
        <v>4</v>
      </c>
      <c r="G87" s="4" t="n">
        <v>5</v>
      </c>
      <c r="H87" s="4" t="n">
        <v>6</v>
      </c>
      <c r="I87" s="4" t="n">
        <v>7</v>
      </c>
      <c r="J87" s="4" t="n">
        <v>8</v>
      </c>
      <c r="K87" s="4" t="n">
        <v>9</v>
      </c>
      <c r="L87" s="4" t="n">
        <v>10</v>
      </c>
    </row>
    <row r="88">
      <c r="A88" t="inlineStr">
        <is>
          <t>Année d'ouverture effective</t>
        </is>
      </c>
      <c r="C88" s="8">
        <f>$B$6+$B$47</f>
        <v/>
      </c>
      <c r="D88" s="8">
        <f>$B$6+$B$47</f>
        <v/>
      </c>
      <c r="E88" s="8">
        <f>$B$6+$B$47</f>
        <v/>
      </c>
      <c r="F88" s="8">
        <f>$B$6+$B$47</f>
        <v/>
      </c>
      <c r="G88" s="8">
        <f>$B$6+$B$47</f>
        <v/>
      </c>
      <c r="H88" s="8">
        <f>$B$6+$B$47</f>
        <v/>
      </c>
      <c r="I88" s="8">
        <f>$B$6+$B$47</f>
        <v/>
      </c>
      <c r="J88" s="8">
        <f>$B$6+$B$47</f>
        <v/>
      </c>
      <c r="K88" s="8">
        <f>$B$6+$B$47</f>
        <v/>
      </c>
      <c r="L88" s="8">
        <f>$B$6+$B$47</f>
        <v/>
      </c>
    </row>
    <row r="89">
      <c r="A89" t="inlineStr">
        <is>
          <t>Rang de l'année d'exploitation</t>
        </is>
      </c>
      <c r="C89" s="8">
        <f>MAX(0,C$87-C88+1)</f>
        <v/>
      </c>
      <c r="D89" s="8">
        <f>MAX(0,D$87-D88+1)</f>
        <v/>
      </c>
      <c r="E89" s="8">
        <f>MAX(0,E$87-E88+1)</f>
        <v/>
      </c>
      <c r="F89" s="8">
        <f>MAX(0,F$87-F88+1)</f>
        <v/>
      </c>
      <c r="G89" s="8">
        <f>MAX(0,G$87-G88+1)</f>
        <v/>
      </c>
      <c r="H89" s="8">
        <f>MAX(0,H$87-H88+1)</f>
        <v/>
      </c>
      <c r="I89" s="8">
        <f>MAX(0,I$87-I88+1)</f>
        <v/>
      </c>
      <c r="J89" s="8">
        <f>MAX(0,J$87-J88+1)</f>
        <v/>
      </c>
      <c r="K89" s="8">
        <f>MAX(0,K$87-K88+1)</f>
        <v/>
      </c>
      <c r="L89" s="8">
        <f>MAX(0,L$87-L88+1)</f>
        <v/>
      </c>
    </row>
    <row r="90">
      <c r="A90" t="inlineStr">
        <is>
          <t>Coefficient de montée en charge</t>
        </is>
      </c>
      <c r="C90" s="6">
        <f>IF(C89=0,0,IF(C89=1,$B$53,IF(C89=2,$B$54,IF(C89=3,$B$55,1))))</f>
        <v/>
      </c>
      <c r="D90" s="6">
        <f>IF(D89=0,0,IF(D89=1,$B$53,IF(D89=2,$B$54,IF(D89=3,$B$55,1))))</f>
        <v/>
      </c>
      <c r="E90" s="6">
        <f>IF(E89=0,0,IF(E89=1,$B$53,IF(E89=2,$B$54,IF(E89=3,$B$55,1))))</f>
        <v/>
      </c>
      <c r="F90" s="6">
        <f>IF(F89=0,0,IF(F89=1,$B$53,IF(F89=2,$B$54,IF(F89=3,$B$55,1))))</f>
        <v/>
      </c>
      <c r="G90" s="6">
        <f>IF(G89=0,0,IF(G89=1,$B$53,IF(G89=2,$B$54,IF(G89=3,$B$55,1))))</f>
        <v/>
      </c>
      <c r="H90" s="6">
        <f>IF(H89=0,0,IF(H89=1,$B$53,IF(H89=2,$B$54,IF(H89=3,$B$55,1))))</f>
        <v/>
      </c>
      <c r="I90" s="6">
        <f>IF(I89=0,0,IF(I89=1,$B$53,IF(I89=2,$B$54,IF(I89=3,$B$55,1))))</f>
        <v/>
      </c>
      <c r="J90" s="6">
        <f>IF(J89=0,0,IF(J89=1,$B$53,IF(J89=2,$B$54,IF(J89=3,$B$55,1))))</f>
        <v/>
      </c>
      <c r="K90" s="6">
        <f>IF(K89=0,0,IF(K89=1,$B$53,IF(K89=2,$B$54,IF(K89=3,$B$55,1))))</f>
        <v/>
      </c>
      <c r="L90" s="6">
        <f>IF(L89=0,0,IF(L89=1,$B$53,IF(L89=2,$B$54,IF(L89=3,$B$55,1))))</f>
        <v/>
      </c>
    </row>
    <row r="91">
      <c r="A91" t="inlineStr">
        <is>
          <t>Indice prix</t>
        </is>
      </c>
      <c r="C91" s="17">
        <f>(1+$B$56)^(C$87-1)</f>
        <v/>
      </c>
      <c r="D91" s="17">
        <f>(1+$B$56)^(D$87-1)</f>
        <v/>
      </c>
      <c r="E91" s="17">
        <f>(1+$B$56)^(E$87-1)</f>
        <v/>
      </c>
      <c r="F91" s="17">
        <f>(1+$B$56)^(F$87-1)</f>
        <v/>
      </c>
      <c r="G91" s="17">
        <f>(1+$B$56)^(G$87-1)</f>
        <v/>
      </c>
      <c r="H91" s="17">
        <f>(1+$B$56)^(H$87-1)</f>
        <v/>
      </c>
      <c r="I91" s="17">
        <f>(1+$B$56)^(I$87-1)</f>
        <v/>
      </c>
      <c r="J91" s="17">
        <f>(1+$B$56)^(J$87-1)</f>
        <v/>
      </c>
      <c r="K91" s="17">
        <f>(1+$B$56)^(K$87-1)</f>
        <v/>
      </c>
      <c r="L91" s="17">
        <f>(1+$B$56)^(L$87-1)</f>
        <v/>
      </c>
    </row>
    <row r="92">
      <c r="A92" t="inlineStr">
        <is>
          <t>Indice charges</t>
        </is>
      </c>
      <c r="C92" s="17">
        <f>(1+$B$57)^(C$87-1)</f>
        <v/>
      </c>
      <c r="D92" s="17">
        <f>(1+$B$57)^(D$87-1)</f>
        <v/>
      </c>
      <c r="E92" s="17">
        <f>(1+$B$57)^(E$87-1)</f>
        <v/>
      </c>
      <c r="F92" s="17">
        <f>(1+$B$57)^(F$87-1)</f>
        <v/>
      </c>
      <c r="G92" s="17">
        <f>(1+$B$57)^(G$87-1)</f>
        <v/>
      </c>
      <c r="H92" s="17">
        <f>(1+$B$57)^(H$87-1)</f>
        <v/>
      </c>
      <c r="I92" s="17">
        <f>(1+$B$57)^(I$87-1)</f>
        <v/>
      </c>
      <c r="J92" s="17">
        <f>(1+$B$57)^(J$87-1)</f>
        <v/>
      </c>
      <c r="K92" s="17">
        <f>(1+$B$57)^(K$87-1)</f>
        <v/>
      </c>
      <c r="L92" s="17">
        <f>(1+$B$57)^(L$87-1)</f>
        <v/>
      </c>
    </row>
    <row r="93">
      <c r="A93" t="inlineStr">
        <is>
          <t>Murs détenus (1/0)</t>
        </is>
      </c>
      <c r="C93" s="8">
        <f>IF(C$87&gt;=$B$5,1,0)</f>
        <v/>
      </c>
      <c r="D93" s="8">
        <f>IF(D$87&gt;=$B$5,1,0)</f>
        <v/>
      </c>
      <c r="E93" s="8">
        <f>IF(E$87&gt;=$B$5,1,0)</f>
        <v/>
      </c>
      <c r="F93" s="8">
        <f>IF(F$87&gt;=$B$5,1,0)</f>
        <v/>
      </c>
      <c r="G93" s="8">
        <f>IF(G$87&gt;=$B$5,1,0)</f>
        <v/>
      </c>
      <c r="H93" s="8">
        <f>IF(H$87&gt;=$B$5,1,0)</f>
        <v/>
      </c>
      <c r="I93" s="8">
        <f>IF(I$87&gt;=$B$5,1,0)</f>
        <v/>
      </c>
      <c r="J93" s="8">
        <f>IF(J$87&gt;=$B$5,1,0)</f>
        <v/>
      </c>
      <c r="K93" s="8">
        <f>IF(K$87&gt;=$B$5,1,0)</f>
        <v/>
      </c>
      <c r="L93" s="8">
        <f>IF(L$87&gt;=$B$5,1,0)</f>
        <v/>
      </c>
    </row>
    <row r="95">
      <c r="A95" s="4" t="inlineStr">
        <is>
          <t>Compte de résultat</t>
        </is>
      </c>
    </row>
    <row r="96">
      <c r="A96" t="inlineStr">
        <is>
          <t xml:space="preserve">  Pension box premium (places occupées)</t>
        </is>
      </c>
      <c r="B96" s="5">
        <f>SUM(C96:L96)</f>
        <v/>
      </c>
      <c r="C96" s="5">
        <f>$B$63*$C$63*C90*C91*$B$45*(1-$E$63*$B$50)</f>
        <v/>
      </c>
      <c r="D96" s="5">
        <f>$B$63*$C$63*D90*D91*$B$45*(1-$E$63*$B$50)</f>
        <v/>
      </c>
      <c r="E96" s="5">
        <f>$B$63*$C$63*E90*E91*$B$45*(1-$E$63*$B$50)</f>
        <v/>
      </c>
      <c r="F96" s="5">
        <f>$B$63*$C$63*F90*F91*$B$45*(1-$E$63*$B$50)</f>
        <v/>
      </c>
      <c r="G96" s="5">
        <f>$B$63*$C$63*G90*G91*$B$45*(1-$E$63*$B$50)</f>
        <v/>
      </c>
      <c r="H96" s="5">
        <f>$B$63*$C$63*H90*H91*$B$45*(1-$E$63*$B$50)</f>
        <v/>
      </c>
      <c r="I96" s="5">
        <f>$B$63*$C$63*I90*I91*$B$45*(1-$E$63*$B$50)</f>
        <v/>
      </c>
      <c r="J96" s="5">
        <f>$B$63*$C$63*J90*J91*$B$45*(1-$E$63*$B$50)</f>
        <v/>
      </c>
      <c r="K96" s="5">
        <f>$B$63*$C$63*K90*K91*$B$45*(1-$E$63*$B$50)</f>
        <v/>
      </c>
      <c r="L96" s="5">
        <f>$B$63*$C$63*L90*L91*$B$45*(1-$E$63*$B$50)</f>
        <v/>
      </c>
    </row>
    <row r="97">
      <c r="A97" t="inlineStr">
        <is>
          <t xml:space="preserve">  Pension au pré (places occupées)</t>
        </is>
      </c>
      <c r="B97" s="5">
        <f>SUM(C97:L97)</f>
        <v/>
      </c>
      <c r="C97" s="5">
        <f>$B$64*$C$64*C90*C91*$B$45*(1-$E$64*$B$50)</f>
        <v/>
      </c>
      <c r="D97" s="5">
        <f>$B$64*$C$64*D90*D91*$B$45*(1-$E$64*$B$50)</f>
        <v/>
      </c>
      <c r="E97" s="5">
        <f>$B$64*$C$64*E90*E91*$B$45*(1-$E$64*$B$50)</f>
        <v/>
      </c>
      <c r="F97" s="5">
        <f>$B$64*$C$64*F90*F91*$B$45*(1-$E$64*$B$50)</f>
        <v/>
      </c>
      <c r="G97" s="5">
        <f>$B$64*$C$64*G90*G91*$B$45*(1-$E$64*$B$50)</f>
        <v/>
      </c>
      <c r="H97" s="5">
        <f>$B$64*$C$64*H90*H91*$B$45*(1-$E$64*$B$50)</f>
        <v/>
      </c>
      <c r="I97" s="5">
        <f>$B$64*$C$64*I90*I91*$B$45*(1-$E$64*$B$50)</f>
        <v/>
      </c>
      <c r="J97" s="5">
        <f>$B$64*$C$64*J90*J91*$B$45*(1-$E$64*$B$50)</f>
        <v/>
      </c>
      <c r="K97" s="5">
        <f>$B$64*$C$64*K90*K91*$B$45*(1-$E$64*$B$50)</f>
        <v/>
      </c>
      <c r="L97" s="5">
        <f>$B$64*$C$64*L90*L91*$B$45*(1-$E$64*$B$50)</f>
        <v/>
      </c>
    </row>
    <row r="98">
      <c r="A98" t="inlineStr">
        <is>
          <t xml:space="preserve">  Pension retraite / convalescence (places occupées)</t>
        </is>
      </c>
      <c r="B98" s="5">
        <f>SUM(C98:L98)</f>
        <v/>
      </c>
      <c r="C98" s="5">
        <f>$B$65*$C$65*C90*C91*$B$45*(1-$E$65*$B$50)</f>
        <v/>
      </c>
      <c r="D98" s="5">
        <f>$B$65*$C$65*D90*D91*$B$45*(1-$E$65*$B$50)</f>
        <v/>
      </c>
      <c r="E98" s="5">
        <f>$B$65*$C$65*E90*E91*$B$45*(1-$E$65*$B$50)</f>
        <v/>
      </c>
      <c r="F98" s="5">
        <f>$B$65*$C$65*F90*F91*$B$45*(1-$E$65*$B$50)</f>
        <v/>
      </c>
      <c r="G98" s="5">
        <f>$B$65*$C$65*G90*G91*$B$45*(1-$E$65*$B$50)</f>
        <v/>
      </c>
      <c r="H98" s="5">
        <f>$B$65*$C$65*H90*H91*$B$45*(1-$E$65*$B$50)</f>
        <v/>
      </c>
      <c r="I98" s="5">
        <f>$B$65*$C$65*I90*I91*$B$45*(1-$E$65*$B$50)</f>
        <v/>
      </c>
      <c r="J98" s="5">
        <f>$B$65*$C$65*J90*J91*$B$45*(1-$E$65*$B$50)</f>
        <v/>
      </c>
      <c r="K98" s="5">
        <f>$B$65*$C$65*K90*K91*$B$45*(1-$E$65*$B$50)</f>
        <v/>
      </c>
      <c r="L98" s="5">
        <f>$B$65*$C$65*L90*L91*$B$45*(1-$E$65*$B$50)</f>
        <v/>
      </c>
    </row>
    <row r="99">
      <c r="A99" t="inlineStr">
        <is>
          <t xml:space="preserve">  Mariages (location du lieu + hébergement 15 couchages)</t>
        </is>
      </c>
      <c r="B99" s="5">
        <f>SUM(C99:L99)</f>
        <v/>
      </c>
      <c r="C99" s="5">
        <f>$B$66*$C$66*C90*C91*$B$45*(1-$E$66*$B$50)</f>
        <v/>
      </c>
      <c r="D99" s="5">
        <f>$B$66*$C$66*D90*D91*$B$45*(1-$E$66*$B$50)</f>
        <v/>
      </c>
      <c r="E99" s="5">
        <f>$B$66*$C$66*E90*E91*$B$45*(1-$E$66*$B$50)</f>
        <v/>
      </c>
      <c r="F99" s="5">
        <f>$B$66*$C$66*F90*F91*$B$45*(1-$E$66*$B$50)</f>
        <v/>
      </c>
      <c r="G99" s="5">
        <f>$B$66*$C$66*G90*G91*$B$45*(1-$E$66*$B$50)</f>
        <v/>
      </c>
      <c r="H99" s="5">
        <f>$B$66*$C$66*H90*H91*$B$45*(1-$E$66*$B$50)</f>
        <v/>
      </c>
      <c r="I99" s="5">
        <f>$B$66*$C$66*I90*I91*$B$45*(1-$E$66*$B$50)</f>
        <v/>
      </c>
      <c r="J99" s="5">
        <f>$B$66*$C$66*J90*J91*$B$45*(1-$E$66*$B$50)</f>
        <v/>
      </c>
      <c r="K99" s="5">
        <f>$B$66*$C$66*K90*K91*$B$45*(1-$E$66*$B$50)</f>
        <v/>
      </c>
      <c r="L99" s="5">
        <f>$B$66*$C$66*L90*L91*$B$45*(1-$E$66*$B$50)</f>
        <v/>
      </c>
    </row>
    <row r="100">
      <c r="A100" t="inlineStr">
        <is>
          <t xml:space="preserve">  Gîte 15 couchages hors mariages (nuits)</t>
        </is>
      </c>
      <c r="B100" s="5">
        <f>SUM(C100:L100)</f>
        <v/>
      </c>
      <c r="C100" s="5">
        <f>$B$67*$C$67*C90*C91*$B$45*(1-$E$67*$B$50)</f>
        <v/>
      </c>
      <c r="D100" s="5">
        <f>$B$67*$C$67*D90*D91*$B$45*(1-$E$67*$B$50)</f>
        <v/>
      </c>
      <c r="E100" s="5">
        <f>$B$67*$C$67*E90*E91*$B$45*(1-$E$67*$B$50)</f>
        <v/>
      </c>
      <c r="F100" s="5">
        <f>$B$67*$C$67*F90*F91*$B$45*(1-$E$67*$B$50)</f>
        <v/>
      </c>
      <c r="G100" s="5">
        <f>$B$67*$C$67*G90*G91*$B$45*(1-$E$67*$B$50)</f>
        <v/>
      </c>
      <c r="H100" s="5">
        <f>$B$67*$C$67*H90*H91*$B$45*(1-$E$67*$B$50)</f>
        <v/>
      </c>
      <c r="I100" s="5">
        <f>$B$67*$C$67*I90*I91*$B$45*(1-$E$67*$B$50)</f>
        <v/>
      </c>
      <c r="J100" s="5">
        <f>$B$67*$C$67*J90*J91*$B$45*(1-$E$67*$B$50)</f>
        <v/>
      </c>
      <c r="K100" s="5">
        <f>$B$67*$C$67*K90*K91*$B$45*(1-$E$67*$B$50)</f>
        <v/>
      </c>
      <c r="L100" s="5">
        <f>$B$67*$C$67*L90*L91*$B$45*(1-$E$67*$B$50)</f>
        <v/>
      </c>
    </row>
    <row r="101">
      <c r="A101" t="inlineStr">
        <is>
          <t xml:space="preserve">  Séminaires à la journée (jours)</t>
        </is>
      </c>
      <c r="B101" s="5">
        <f>SUM(C101:L101)</f>
        <v/>
      </c>
      <c r="C101" s="5">
        <f>$B$68*$C$68*C90*C91*$B$45*(1-$E$68*$B$50)</f>
        <v/>
      </c>
      <c r="D101" s="5">
        <f>$B$68*$C$68*D90*D91*$B$45*(1-$E$68*$B$50)</f>
        <v/>
      </c>
      <c r="E101" s="5">
        <f>$B$68*$C$68*E90*E91*$B$45*(1-$E$68*$B$50)</f>
        <v/>
      </c>
      <c r="F101" s="5">
        <f>$B$68*$C$68*F90*F91*$B$45*(1-$E$68*$B$50)</f>
        <v/>
      </c>
      <c r="G101" s="5">
        <f>$B$68*$C$68*G90*G91*$B$45*(1-$E$68*$B$50)</f>
        <v/>
      </c>
      <c r="H101" s="5">
        <f>$B$68*$C$68*H90*H91*$B$45*(1-$E$68*$B$50)</f>
        <v/>
      </c>
      <c r="I101" s="5">
        <f>$B$68*$C$68*I90*I91*$B$45*(1-$E$68*$B$50)</f>
        <v/>
      </c>
      <c r="J101" s="5">
        <f>$B$68*$C$68*J90*J91*$B$45*(1-$E$68*$B$50)</f>
        <v/>
      </c>
      <c r="K101" s="5">
        <f>$B$68*$C$68*K90*K91*$B$45*(1-$E$68*$B$50)</f>
        <v/>
      </c>
      <c r="L101" s="5">
        <f>$B$68*$C$68*L90*L91*$B$45*(1-$E$68*$B$50)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$B$69*$C$69*C90*C91*$B$45*(1-$E$69*$B$50)</f>
        <v/>
      </c>
      <c r="D102" s="5">
        <f>$B$69*$C$69*D90*D91*$B$45*(1-$E$69*$B$50)</f>
        <v/>
      </c>
      <c r="E102" s="5">
        <f>$B$69*$C$69*E90*E91*$B$45*(1-$E$69*$B$50)</f>
        <v/>
      </c>
      <c r="F102" s="5">
        <f>$B$69*$C$69*F90*F91*$B$45*(1-$E$69*$B$50)</f>
        <v/>
      </c>
      <c r="G102" s="5">
        <f>$B$69*$C$69*G90*G91*$B$45*(1-$E$69*$B$50)</f>
        <v/>
      </c>
      <c r="H102" s="5">
        <f>$B$69*$C$69*H90*H91*$B$45*(1-$E$69*$B$50)</f>
        <v/>
      </c>
      <c r="I102" s="5">
        <f>$B$69*$C$69*I90*I91*$B$45*(1-$E$69*$B$50)</f>
        <v/>
      </c>
      <c r="J102" s="5">
        <f>$B$69*$C$69*J90*J91*$B$45*(1-$E$69*$B$50)</f>
        <v/>
      </c>
      <c r="K102" s="5">
        <f>$B$69*$C$69*K90*K91*$B$45*(1-$E$69*$B$50)</f>
        <v/>
      </c>
      <c r="L102" s="5">
        <f>$B$69*$C$69*L90*L91*$B$45*(1-$E$69*$B$50)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$B$70*$C$70*C90*C91*$B$45*(1-$E$70*$B$50)</f>
        <v/>
      </c>
      <c r="D103" s="5">
        <f>$B$70*$C$70*D90*D91*$B$45*(1-$E$70*$B$50)</f>
        <v/>
      </c>
      <c r="E103" s="5">
        <f>$B$70*$C$70*E90*E91*$B$45*(1-$E$70*$B$50)</f>
        <v/>
      </c>
      <c r="F103" s="5">
        <f>$B$70*$C$70*F90*F91*$B$45*(1-$E$70*$B$50)</f>
        <v/>
      </c>
      <c r="G103" s="5">
        <f>$B$70*$C$70*G90*G91*$B$45*(1-$E$70*$B$50)</f>
        <v/>
      </c>
      <c r="H103" s="5">
        <f>$B$70*$C$70*H90*H91*$B$45*(1-$E$70*$B$50)</f>
        <v/>
      </c>
      <c r="I103" s="5">
        <f>$B$70*$C$70*I90*I91*$B$45*(1-$E$70*$B$50)</f>
        <v/>
      </c>
      <c r="J103" s="5">
        <f>$B$70*$C$70*J90*J91*$B$45*(1-$E$70*$B$50)</f>
        <v/>
      </c>
      <c r="K103" s="5">
        <f>$B$70*$C$70*K90*K91*$B$45*(1-$E$70*$B$50)</f>
        <v/>
      </c>
      <c r="L103" s="5">
        <f>$B$70*$C$70*L90*L91*$B$45*(1-$E$70*$B$50)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C96+C97+C98+C99+C100+C101+C102+C103</f>
        <v/>
      </c>
      <c r="D104" s="18">
        <f>D96+D97+D98+D99+D100+D101+D102+D103</f>
        <v/>
      </c>
      <c r="E104" s="18">
        <f>E96+E97+E98+E99+E100+E101+E102+E103</f>
        <v/>
      </c>
      <c r="F104" s="18">
        <f>F96+F97+F98+F99+F100+F101+F102+F103</f>
        <v/>
      </c>
      <c r="G104" s="18">
        <f>G96+G97+G98+G99+G100+G101+G102+G103</f>
        <v/>
      </c>
      <c r="H104" s="18">
        <f>H96+H97+H98+H99+H100+H101+H102+H103</f>
        <v/>
      </c>
      <c r="I104" s="18">
        <f>I96+I97+I98+I99+I100+I101+I102+I103</f>
        <v/>
      </c>
      <c r="J104" s="18">
        <f>J96+J97+J98+J99+J100+J101+J102+J103</f>
        <v/>
      </c>
      <c r="K104" s="18">
        <f>K96+K97+K98+K99+K100+K101+K102+K103</f>
        <v/>
      </c>
      <c r="L104" s="18">
        <f>L96+L97+L98+L99+L100+L101+L102+L103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C96*$F$63+C97*$F$64+C98*$F$65+C99*$F$66+C100*$F$67+C101*$F$68+C102*$F$69+C103*$F$70</f>
        <v/>
      </c>
      <c r="D105" s="5">
        <f>D96*$F$63+D97*$F$64+D98*$F$65+D99*$F$66+D100*$F$67+D101*$F$68+D102*$F$69+D103*$F$70</f>
        <v/>
      </c>
      <c r="E105" s="5">
        <f>E96*$F$63+E97*$F$64+E98*$F$65+E99*$F$66+E100*$F$67+E101*$F$68+E102*$F$69+E103*$F$70</f>
        <v/>
      </c>
      <c r="F105" s="5">
        <f>F96*$F$63+F97*$F$64+F98*$F$65+F99*$F$66+F100*$F$67+F101*$F$68+F102*$F$69+F103*$F$70</f>
        <v/>
      </c>
      <c r="G105" s="5">
        <f>G96*$F$63+G97*$F$64+G98*$F$65+G99*$F$66+G100*$F$67+G101*$F$68+G102*$F$69+G103*$F$70</f>
        <v/>
      </c>
      <c r="H105" s="5">
        <f>H96*$F$63+H97*$F$64+H98*$F$65+H99*$F$66+H100*$F$67+H101*$F$68+H102*$F$69+H103*$F$70</f>
        <v/>
      </c>
      <c r="I105" s="5">
        <f>I96*$F$63+I97*$F$64+I98*$F$65+I99*$F$66+I100*$F$67+I101*$F$68+I102*$F$69+I103*$F$70</f>
        <v/>
      </c>
      <c r="J105" s="5">
        <f>J96*$F$63+J97*$F$64+J98*$F$65+J99*$F$66+J100*$F$67+J101*$F$68+J102*$F$69+J103*$F$70</f>
        <v/>
      </c>
      <c r="K105" s="5">
        <f>K96*$F$63+K97*$F$64+K98*$F$65+K99*$F$66+K100*$F$67+K101*$F$68+K102*$F$69+K103*$F$70</f>
        <v/>
      </c>
      <c r="L105" s="5">
        <f>L96*$F$63+L97*$F$64+L98*$F$65+L99*$F$66+L100*$F$67+L101*$F$68+L102*$F$69+L103*$F$70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-(C96*$D$63+C97*$D$64+C98*$D$65+C99*$D$66+C100*$D$67+C101*$D$68+C102*$D$69+C103*$D$70)</f>
        <v/>
      </c>
      <c r="D107" s="5">
        <f>-(D96*$D$63+D97*$D$64+D98*$D$65+D99*$D$66+D100*$D$67+D101*$D$68+D102*$D$69+D103*$D$70)</f>
        <v/>
      </c>
      <c r="E107" s="5">
        <f>-(E96*$D$63+E97*$D$64+E98*$D$65+E99*$D$66+E100*$D$67+E101*$D$68+E102*$D$69+E103*$D$70)</f>
        <v/>
      </c>
      <c r="F107" s="5">
        <f>-(F96*$D$63+F97*$D$64+F98*$D$65+F99*$D$66+F100*$D$67+F101*$D$68+F102*$D$69+F103*$D$70)</f>
        <v/>
      </c>
      <c r="G107" s="5">
        <f>-(G96*$D$63+G97*$D$64+G98*$D$65+G99*$D$66+G100*$D$67+G101*$D$68+G102*$D$69+G103*$D$70)</f>
        <v/>
      </c>
      <c r="H107" s="5">
        <f>-(H96*$D$63+H97*$D$64+H98*$D$65+H99*$D$66+H100*$D$67+H101*$D$68+H102*$D$69+H103*$D$70)</f>
        <v/>
      </c>
      <c r="I107" s="5">
        <f>-(I96*$D$63+I97*$D$64+I98*$D$65+I99*$D$66+I100*$D$67+I101*$D$68+I102*$D$69+I103*$D$70)</f>
        <v/>
      </c>
      <c r="J107" s="5">
        <f>-(J96*$D$63+J97*$D$64+J98*$D$65+J99*$D$66+J100*$D$67+J101*$D$68+J102*$D$69+J103*$D$70)</f>
        <v/>
      </c>
      <c r="K107" s="5">
        <f>-(K96*$D$63+K97*$D$64+K98*$D$65+K99*$D$66+K100*$D$67+K101*$D$68+K102*$D$69+K103*$D$70)</f>
        <v/>
      </c>
      <c r="L107" s="5">
        <f>-(L96*$D$63+L97*$D$64+L98*$D$65+L99*$D$66+L100*$D$67+L101*$D$68+L102*$D$69+L103*$D$70)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-$B$74*C92*IF($C$74=1,C93,IF(C89&gt;0,1,0))</f>
        <v/>
      </c>
      <c r="D109" s="5">
        <f>-$B$74*D92*IF($C$74=1,D93,IF(D89&gt;0,1,0))</f>
        <v/>
      </c>
      <c r="E109" s="5">
        <f>-$B$74*E92*IF($C$74=1,E93,IF(E89&gt;0,1,0))</f>
        <v/>
      </c>
      <c r="F109" s="5">
        <f>-$B$74*F92*IF($C$74=1,F93,IF(F89&gt;0,1,0))</f>
        <v/>
      </c>
      <c r="G109" s="5">
        <f>-$B$74*G92*IF($C$74=1,G93,IF(G89&gt;0,1,0))</f>
        <v/>
      </c>
      <c r="H109" s="5">
        <f>-$B$74*H92*IF($C$74=1,H93,IF(H89&gt;0,1,0))</f>
        <v/>
      </c>
      <c r="I109" s="5">
        <f>-$B$74*I92*IF($C$74=1,I93,IF(I89&gt;0,1,0))</f>
        <v/>
      </c>
      <c r="J109" s="5">
        <f>-$B$74*J92*IF($C$74=1,J93,IF(J89&gt;0,1,0))</f>
        <v/>
      </c>
      <c r="K109" s="5">
        <f>-$B$74*K92*IF($C$74=1,K93,IF(K89&gt;0,1,0))</f>
        <v/>
      </c>
      <c r="L109" s="5">
        <f>-$B$74*L92*IF($C$74=1,L93,IF(L89&gt;0,1,0))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-$B$75*C92*IF($C$75=1,C93,IF(C89&gt;0,1,0))</f>
        <v/>
      </c>
      <c r="D110" s="5">
        <f>-$B$75*D92*IF($C$75=1,D93,IF(D89&gt;0,1,0))</f>
        <v/>
      </c>
      <c r="E110" s="5">
        <f>-$B$75*E92*IF($C$75=1,E93,IF(E89&gt;0,1,0))</f>
        <v/>
      </c>
      <c r="F110" s="5">
        <f>-$B$75*F92*IF($C$75=1,F93,IF(F89&gt;0,1,0))</f>
        <v/>
      </c>
      <c r="G110" s="5">
        <f>-$B$75*G92*IF($C$75=1,G93,IF(G89&gt;0,1,0))</f>
        <v/>
      </c>
      <c r="H110" s="5">
        <f>-$B$75*H92*IF($C$75=1,H93,IF(H89&gt;0,1,0))</f>
        <v/>
      </c>
      <c r="I110" s="5">
        <f>-$B$75*I92*IF($C$75=1,I93,IF(I89&gt;0,1,0))</f>
        <v/>
      </c>
      <c r="J110" s="5">
        <f>-$B$75*J92*IF($C$75=1,J93,IF(J89&gt;0,1,0))</f>
        <v/>
      </c>
      <c r="K110" s="5">
        <f>-$B$75*K92*IF($C$75=1,K93,IF(K89&gt;0,1,0))</f>
        <v/>
      </c>
      <c r="L110" s="5">
        <f>-$B$75*L92*IF($C$75=1,L93,IF(L89&gt;0,1,0))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-$B$76*C92*IF($C$76=1,C93,IF(C89&gt;0,1,0))</f>
        <v/>
      </c>
      <c r="D111" s="5">
        <f>-$B$76*D92*IF($C$76=1,D93,IF(D89&gt;0,1,0))</f>
        <v/>
      </c>
      <c r="E111" s="5">
        <f>-$B$76*E92*IF($C$76=1,E93,IF(E89&gt;0,1,0))</f>
        <v/>
      </c>
      <c r="F111" s="5">
        <f>-$B$76*F92*IF($C$76=1,F93,IF(F89&gt;0,1,0))</f>
        <v/>
      </c>
      <c r="G111" s="5">
        <f>-$B$76*G92*IF($C$76=1,G93,IF(G89&gt;0,1,0))</f>
        <v/>
      </c>
      <c r="H111" s="5">
        <f>-$B$76*H92*IF($C$76=1,H93,IF(H89&gt;0,1,0))</f>
        <v/>
      </c>
      <c r="I111" s="5">
        <f>-$B$76*I92*IF($C$76=1,I93,IF(I89&gt;0,1,0))</f>
        <v/>
      </c>
      <c r="J111" s="5">
        <f>-$B$76*J92*IF($C$76=1,J93,IF(J89&gt;0,1,0))</f>
        <v/>
      </c>
      <c r="K111" s="5">
        <f>-$B$76*K92*IF($C$76=1,K93,IF(K89&gt;0,1,0))</f>
        <v/>
      </c>
      <c r="L111" s="5">
        <f>-$B$76*L92*IF($C$76=1,L93,IF(L89&gt;0,1,0))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-$B$77*C92*IF($C$77=1,C93,IF(C89&gt;0,1,0))</f>
        <v/>
      </c>
      <c r="D112" s="5">
        <f>-$B$77*D92*IF($C$77=1,D93,IF(D89&gt;0,1,0))</f>
        <v/>
      </c>
      <c r="E112" s="5">
        <f>-$B$77*E92*IF($C$77=1,E93,IF(E89&gt;0,1,0))</f>
        <v/>
      </c>
      <c r="F112" s="5">
        <f>-$B$77*F92*IF($C$77=1,F93,IF(F89&gt;0,1,0))</f>
        <v/>
      </c>
      <c r="G112" s="5">
        <f>-$B$77*G92*IF($C$77=1,G93,IF(G89&gt;0,1,0))</f>
        <v/>
      </c>
      <c r="H112" s="5">
        <f>-$B$77*H92*IF($C$77=1,H93,IF(H89&gt;0,1,0))</f>
        <v/>
      </c>
      <c r="I112" s="5">
        <f>-$B$77*I92*IF($C$77=1,I93,IF(I89&gt;0,1,0))</f>
        <v/>
      </c>
      <c r="J112" s="5">
        <f>-$B$77*J92*IF($C$77=1,J93,IF(J89&gt;0,1,0))</f>
        <v/>
      </c>
      <c r="K112" s="5">
        <f>-$B$77*K92*IF($C$77=1,K93,IF(K89&gt;0,1,0))</f>
        <v/>
      </c>
      <c r="L112" s="5">
        <f>-$B$77*L92*IF($C$77=1,L93,IF(L89&gt;0,1,0))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-$B$78*C92*IF($C$78=1,C93,IF(C89&gt;0,1,0))</f>
        <v/>
      </c>
      <c r="D113" s="5">
        <f>-$B$78*D92*IF($C$78=1,D93,IF(D89&gt;0,1,0))</f>
        <v/>
      </c>
      <c r="E113" s="5">
        <f>-$B$78*E92*IF($C$78=1,E93,IF(E89&gt;0,1,0))</f>
        <v/>
      </c>
      <c r="F113" s="5">
        <f>-$B$78*F92*IF($C$78=1,F93,IF(F89&gt;0,1,0))</f>
        <v/>
      </c>
      <c r="G113" s="5">
        <f>-$B$78*G92*IF($C$78=1,G93,IF(G89&gt;0,1,0))</f>
        <v/>
      </c>
      <c r="H113" s="5">
        <f>-$B$78*H92*IF($C$78=1,H93,IF(H89&gt;0,1,0))</f>
        <v/>
      </c>
      <c r="I113" s="5">
        <f>-$B$78*I92*IF($C$78=1,I93,IF(I89&gt;0,1,0))</f>
        <v/>
      </c>
      <c r="J113" s="5">
        <f>-$B$78*J92*IF($C$78=1,J93,IF(J89&gt;0,1,0))</f>
        <v/>
      </c>
      <c r="K113" s="5">
        <f>-$B$78*K92*IF($C$78=1,K93,IF(K89&gt;0,1,0))</f>
        <v/>
      </c>
      <c r="L113" s="5">
        <f>-$B$78*L92*IF($C$78=1,L93,IF(L89&gt;0,1,0))</f>
        <v/>
      </c>
    </row>
    <row r="114">
      <c r="A114" t="inlineStr">
        <is>
          <t xml:space="preserve">  Soigneur (1 ETP + extras week-end)</t>
        </is>
      </c>
      <c r="B114" s="5">
        <f>SUM(C114:L114)</f>
        <v/>
      </c>
      <c r="C114" s="5">
        <f>-$B$79*C92*IF($C$79=1,C93,IF(C89&gt;0,1,0))</f>
        <v/>
      </c>
      <c r="D114" s="5">
        <f>-$B$79*D92*IF($C$79=1,D93,IF(D89&gt;0,1,0))</f>
        <v/>
      </c>
      <c r="E114" s="5">
        <f>-$B$79*E92*IF($C$79=1,E93,IF(E89&gt;0,1,0))</f>
        <v/>
      </c>
      <c r="F114" s="5">
        <f>-$B$79*F92*IF($C$79=1,F93,IF(F89&gt;0,1,0))</f>
        <v/>
      </c>
      <c r="G114" s="5">
        <f>-$B$79*G92*IF($C$79=1,G93,IF(G89&gt;0,1,0))</f>
        <v/>
      </c>
      <c r="H114" s="5">
        <f>-$B$79*H92*IF($C$79=1,H93,IF(H89&gt;0,1,0))</f>
        <v/>
      </c>
      <c r="I114" s="5">
        <f>-$B$79*I92*IF($C$79=1,I93,IF(I89&gt;0,1,0))</f>
        <v/>
      </c>
      <c r="J114" s="5">
        <f>-$B$79*J92*IF($C$79=1,J93,IF(J89&gt;0,1,0))</f>
        <v/>
      </c>
      <c r="K114" s="5">
        <f>-$B$79*K92*IF($C$79=1,K93,IF(K89&gt;0,1,0))</f>
        <v/>
      </c>
      <c r="L114" s="5">
        <f>-$B$79*L92*IF($C$79=1,L93,IF(L89&gt;0,1,0))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-$B$80*C92*IF($C$80=1,C93,IF(C89&gt;0,1,0))</f>
        <v/>
      </c>
      <c r="D115" s="5">
        <f>-$B$80*D92*IF($C$80=1,D93,IF(D89&gt;0,1,0))</f>
        <v/>
      </c>
      <c r="E115" s="5">
        <f>-$B$80*E92*IF($C$80=1,E93,IF(E89&gt;0,1,0))</f>
        <v/>
      </c>
      <c r="F115" s="5">
        <f>-$B$80*F92*IF($C$80=1,F93,IF(F89&gt;0,1,0))</f>
        <v/>
      </c>
      <c r="G115" s="5">
        <f>-$B$80*G92*IF($C$80=1,G93,IF(G89&gt;0,1,0))</f>
        <v/>
      </c>
      <c r="H115" s="5">
        <f>-$B$80*H92*IF($C$80=1,H93,IF(H89&gt;0,1,0))</f>
        <v/>
      </c>
      <c r="I115" s="5">
        <f>-$B$80*I92*IF($C$80=1,I93,IF(I89&gt;0,1,0))</f>
        <v/>
      </c>
      <c r="J115" s="5">
        <f>-$B$80*J92*IF($C$80=1,J93,IF(J89&gt;0,1,0))</f>
        <v/>
      </c>
      <c r="K115" s="5">
        <f>-$B$80*K92*IF($C$80=1,K93,IF(K89&gt;0,1,0))</f>
        <v/>
      </c>
      <c r="L115" s="5">
        <f>-$B$80*L92*IF($C$80=1,L93,IF(L89&gt;0,1,0))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-$B$81*C92*IF($C$81=1,C93,IF(C89&gt;0,1,0))</f>
        <v/>
      </c>
      <c r="D116" s="5">
        <f>-$B$81*D92*IF($C$81=1,D93,IF(D89&gt;0,1,0))</f>
        <v/>
      </c>
      <c r="E116" s="5">
        <f>-$B$81*E92*IF($C$81=1,E93,IF(E89&gt;0,1,0))</f>
        <v/>
      </c>
      <c r="F116" s="5">
        <f>-$B$81*F92*IF($C$81=1,F93,IF(F89&gt;0,1,0))</f>
        <v/>
      </c>
      <c r="G116" s="5">
        <f>-$B$81*G92*IF($C$81=1,G93,IF(G89&gt;0,1,0))</f>
        <v/>
      </c>
      <c r="H116" s="5">
        <f>-$B$81*H92*IF($C$81=1,H93,IF(H89&gt;0,1,0))</f>
        <v/>
      </c>
      <c r="I116" s="5">
        <f>-$B$81*I92*IF($C$81=1,I93,IF(I89&gt;0,1,0))</f>
        <v/>
      </c>
      <c r="J116" s="5">
        <f>-$B$81*J92*IF($C$81=1,J93,IF(J89&gt;0,1,0))</f>
        <v/>
      </c>
      <c r="K116" s="5">
        <f>-$B$81*K92*IF($C$81=1,K93,IF(K89&gt;0,1,0))</f>
        <v/>
      </c>
      <c r="L116" s="5">
        <f>-$B$81*L92*IF($C$81=1,L93,IF(L89&gt;0,1,0))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-$B$82*C92*IF($C$82=1,C93,IF(C89&gt;0,1,0))</f>
        <v/>
      </c>
      <c r="D117" s="5">
        <f>-$B$82*D92*IF($C$82=1,D93,IF(D89&gt;0,1,0))</f>
        <v/>
      </c>
      <c r="E117" s="5">
        <f>-$B$82*E92*IF($C$82=1,E93,IF(E89&gt;0,1,0))</f>
        <v/>
      </c>
      <c r="F117" s="5">
        <f>-$B$82*F92*IF($C$82=1,F93,IF(F89&gt;0,1,0))</f>
        <v/>
      </c>
      <c r="G117" s="5">
        <f>-$B$82*G92*IF($C$82=1,G93,IF(G89&gt;0,1,0))</f>
        <v/>
      </c>
      <c r="H117" s="5">
        <f>-$B$82*H92*IF($C$82=1,H93,IF(H89&gt;0,1,0))</f>
        <v/>
      </c>
      <c r="I117" s="5">
        <f>-$B$82*I92*IF($C$82=1,I93,IF(I89&gt;0,1,0))</f>
        <v/>
      </c>
      <c r="J117" s="5">
        <f>-$B$82*J92*IF($C$82=1,J93,IF(J89&gt;0,1,0))</f>
        <v/>
      </c>
      <c r="K117" s="5">
        <f>-$B$82*K92*IF($C$82=1,K93,IF(K89&gt;0,1,0))</f>
        <v/>
      </c>
      <c r="L117" s="5">
        <f>-$B$82*L92*IF($C$82=1,L93,IF(L89&gt;0,1,0))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-$B$83*C92*IF($C$83=1,C93,IF(C89&gt;0,1,0))</f>
        <v/>
      </c>
      <c r="D118" s="5">
        <f>-$B$83*D92*IF($C$83=1,D93,IF(D89&gt;0,1,0))</f>
        <v/>
      </c>
      <c r="E118" s="5">
        <f>-$B$83*E92*IF($C$83=1,E93,IF(E89&gt;0,1,0))</f>
        <v/>
      </c>
      <c r="F118" s="5">
        <f>-$B$83*F92*IF($C$83=1,F93,IF(F89&gt;0,1,0))</f>
        <v/>
      </c>
      <c r="G118" s="5">
        <f>-$B$83*G92*IF($C$83=1,G93,IF(G89&gt;0,1,0))</f>
        <v/>
      </c>
      <c r="H118" s="5">
        <f>-$B$83*H92*IF($C$83=1,H93,IF(H89&gt;0,1,0))</f>
        <v/>
      </c>
      <c r="I118" s="5">
        <f>-$B$83*I92*IF($C$83=1,I93,IF(I89&gt;0,1,0))</f>
        <v/>
      </c>
      <c r="J118" s="5">
        <f>-$B$83*J92*IF($C$83=1,J93,IF(J89&gt;0,1,0))</f>
        <v/>
      </c>
      <c r="K118" s="5">
        <f>-$B$83*K92*IF($C$83=1,K93,IF(K89&gt;0,1,0))</f>
        <v/>
      </c>
      <c r="L118" s="5">
        <f>-$B$83*L92*IF($C$83=1,L93,IF(L89&gt;0,1,0))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-$B$84*C92*IF($C$84=1,C93,IF(C89&gt;0,1,0))</f>
        <v/>
      </c>
      <c r="D119" s="5">
        <f>-$B$84*D92*IF($C$84=1,D93,IF(D89&gt;0,1,0))</f>
        <v/>
      </c>
      <c r="E119" s="5">
        <f>-$B$84*E92*IF($C$84=1,E93,IF(E89&gt;0,1,0))</f>
        <v/>
      </c>
      <c r="F119" s="5">
        <f>-$B$84*F92*IF($C$84=1,F93,IF(F89&gt;0,1,0))</f>
        <v/>
      </c>
      <c r="G119" s="5">
        <f>-$B$84*G92*IF($C$84=1,G93,IF(G89&gt;0,1,0))</f>
        <v/>
      </c>
      <c r="H119" s="5">
        <f>-$B$84*H92*IF($C$84=1,H93,IF(H89&gt;0,1,0))</f>
        <v/>
      </c>
      <c r="I119" s="5">
        <f>-$B$84*I92*IF($C$84=1,I93,IF(I89&gt;0,1,0))</f>
        <v/>
      </c>
      <c r="J119" s="5">
        <f>-$B$84*J92*IF($C$84=1,J93,IF(J89&gt;0,1,0))</f>
        <v/>
      </c>
      <c r="K119" s="5">
        <f>-$B$84*K92*IF($C$84=1,K93,IF(K89&gt;0,1,0))</f>
        <v/>
      </c>
      <c r="L119" s="5">
        <f>-$B$84*L92*IF($C$84=1,L93,IF(L89&gt;0,1,0))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-IF(C93=0,IF(C$87&gt;=$B$6,$B$18*C92,0),0)</f>
        <v/>
      </c>
      <c r="D121" s="5">
        <f>-IF(D93=0,IF(D$87&gt;=$B$6,$B$18*D92,0),0)</f>
        <v/>
      </c>
      <c r="E121" s="5">
        <f>-IF(E93=0,IF(E$87&gt;=$B$6,$B$18*E92,0),0)</f>
        <v/>
      </c>
      <c r="F121" s="5">
        <f>-IF(F93=0,IF(F$87&gt;=$B$6,$B$18*F92,0),0)</f>
        <v/>
      </c>
      <c r="G121" s="5">
        <f>-IF(G93=0,IF(G$87&gt;=$B$6,$B$18*G92,0),0)</f>
        <v/>
      </c>
      <c r="H121" s="5">
        <f>-IF(H93=0,IF(H$87&gt;=$B$6,$B$18*H92,0),0)</f>
        <v/>
      </c>
      <c r="I121" s="5">
        <f>-IF(I93=0,IF(I$87&gt;=$B$6,$B$18*I92,0),0)</f>
        <v/>
      </c>
      <c r="J121" s="5">
        <f>-IF(J93=0,IF(J$87&gt;=$B$6,$B$18*J92,0),0)</f>
        <v/>
      </c>
      <c r="K121" s="5">
        <f>-IF(K93=0,IF(K$87&gt;=$B$6,$B$18*K92,0),0)</f>
        <v/>
      </c>
      <c r="L121" s="5">
        <f>-IF(L93=0,IF(L$87&gt;=$B$6,$B$18*L92,0),0)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C93*$B$20*C92</f>
        <v/>
      </c>
      <c r="D123" s="5">
        <f>D93*$B$20*D92</f>
        <v/>
      </c>
      <c r="E123" s="5">
        <f>E93*$B$20*E92</f>
        <v/>
      </c>
      <c r="F123" s="5">
        <f>F93*$B$20*F92</f>
        <v/>
      </c>
      <c r="G123" s="5">
        <f>G93*$B$20*G92</f>
        <v/>
      </c>
      <c r="H123" s="5">
        <f>H93*$B$20*H92</f>
        <v/>
      </c>
      <c r="I123" s="5">
        <f>I93*$B$20*I92</f>
        <v/>
      </c>
      <c r="J123" s="5">
        <f>J93*$B$20*J92</f>
        <v/>
      </c>
      <c r="K123" s="5">
        <f>K93*$B$20*K92</f>
        <v/>
      </c>
      <c r="L123" s="5">
        <f>L93*$B$20*L92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($B$10+$B$11+$B$12)*$B$46*IF(C$87=$B$5,$B$13,IF(C$87=$B$5+1,$B$14,IF(C$87=$B$5+2,$B$15,0)))*C92</f>
        <v/>
      </c>
      <c r="D125" s="5">
        <f>($B$10+$B$11+$B$12)*$B$46*IF(D$87=$B$5,$B$13,IF(D$87=$B$5+1,$B$14,IF(D$87=$B$5+2,$B$15,0)))*D92</f>
        <v/>
      </c>
      <c r="E125" s="5">
        <f>($B$10+$B$11+$B$12)*$B$46*IF(E$87=$B$5,$B$13,IF(E$87=$B$5+1,$B$14,IF(E$87=$B$5+2,$B$15,0)))*E92</f>
        <v/>
      </c>
      <c r="F125" s="5">
        <f>($B$10+$B$11+$B$12)*$B$46*IF(F$87=$B$5,$B$13,IF(F$87=$B$5+1,$B$14,IF(F$87=$B$5+2,$B$15,0)))*F92</f>
        <v/>
      </c>
      <c r="G125" s="5">
        <f>($B$10+$B$11+$B$12)*$B$46*IF(G$87=$B$5,$B$13,IF(G$87=$B$5+1,$B$14,IF(G$87=$B$5+2,$B$15,0)))*G92</f>
        <v/>
      </c>
      <c r="H125" s="5">
        <f>($B$10+$B$11+$B$12)*$B$46*IF(H$87=$B$5,$B$13,IF(H$87=$B$5+1,$B$14,IF(H$87=$B$5+2,$B$15,0)))*H92</f>
        <v/>
      </c>
      <c r="I125" s="5">
        <f>($B$10+$B$11+$B$12)*$B$46*IF(I$87=$B$5,$B$13,IF(I$87=$B$5+1,$B$14,IF(I$87=$B$5+2,$B$15,0)))*I92</f>
        <v/>
      </c>
      <c r="J125" s="5">
        <f>($B$10+$B$11+$B$12)*$B$46*IF(J$87=$B$5,$B$13,IF(J$87=$B$5+1,$B$14,IF(J$87=$B$5+2,$B$15,0)))*J92</f>
        <v/>
      </c>
      <c r="K125" s="5">
        <f>($B$10+$B$11+$B$12)*$B$46*IF(K$87=$B$5,$B$13,IF(K$87=$B$5+1,$B$14,IF(K$87=$B$5+2,$B$15,0)))*K92</f>
        <v/>
      </c>
      <c r="L125" s="5">
        <f>($B$10+$B$11+$B$12)*$B$46*IF(L$87=$B$5,$B$13,IF(L$87=$B$5+1,$B$14,IF(L$87=$B$5+2,$B$15,0)))*L92</f>
        <v/>
      </c>
    </row>
    <row r="126">
      <c r="A126" t="inlineStr">
        <is>
          <t>Acquisition (prix + frais)</t>
        </is>
      </c>
      <c r="B126" s="5">
        <f>SUM(C126:L126)</f>
        <v/>
      </c>
      <c r="C126" s="5">
        <f>IF(C$87=$B$5,$B$7*(1+$B$8),0)</f>
        <v/>
      </c>
      <c r="D126" s="5">
        <f>IF(D$87=$B$5,$B$7*(1+$B$8),0)</f>
        <v/>
      </c>
      <c r="E126" s="5">
        <f>IF(E$87=$B$5,$B$7*(1+$B$8),0)</f>
        <v/>
      </c>
      <c r="F126" s="5">
        <f>IF(F$87=$B$5,$B$7*(1+$B$8),0)</f>
        <v/>
      </c>
      <c r="G126" s="5">
        <f>IF(G$87=$B$5,$B$7*(1+$B$8),0)</f>
        <v/>
      </c>
      <c r="H126" s="5">
        <f>IF(H$87=$B$5,$B$7*(1+$B$8),0)</f>
        <v/>
      </c>
      <c r="I126" s="5">
        <f>IF(I$87=$B$5,$B$7*(1+$B$8),0)</f>
        <v/>
      </c>
      <c r="J126" s="5">
        <f>IF(J$87=$B$5,$B$7*(1+$B$8),0)</f>
        <v/>
      </c>
      <c r="K126" s="5">
        <f>IF(K$87=$B$5,$B$7*(1+$B$8),0)</f>
        <v/>
      </c>
      <c r="L126" s="5">
        <f>IF(L$87=$B$5,$B$7*(1+$B$8),0)</f>
        <v/>
      </c>
    </row>
    <row r="127">
      <c r="A127" t="inlineStr">
        <is>
          <t>Gros entretien patrimonial récurrent</t>
        </is>
      </c>
      <c r="B127" s="5">
        <f>SUM(C127:L127)</f>
        <v/>
      </c>
      <c r="C127" s="5">
        <f>IF(C$87&gt;=$B$5+3,$B$16*($B$7+($B$10+$B$11+$B$12)*$B$46)*C92,0)</f>
        <v/>
      </c>
      <c r="D127" s="5">
        <f>IF(D$87&gt;=$B$5+3,$B$16*($B$7+($B$10+$B$11+$B$12)*$B$46)*D92,0)</f>
        <v/>
      </c>
      <c r="E127" s="5">
        <f>IF(E$87&gt;=$B$5+3,$B$16*($B$7+($B$10+$B$11+$B$12)*$B$46)*E92,0)</f>
        <v/>
      </c>
      <c r="F127" s="5">
        <f>IF(F$87&gt;=$B$5+3,$B$16*($B$7+($B$10+$B$11+$B$12)*$B$46)*F92,0)</f>
        <v/>
      </c>
      <c r="G127" s="5">
        <f>IF(G$87&gt;=$B$5+3,$B$16*($B$7+($B$10+$B$11+$B$12)*$B$46)*G92,0)</f>
        <v/>
      </c>
      <c r="H127" s="5">
        <f>IF(H$87&gt;=$B$5+3,$B$16*($B$7+($B$10+$B$11+$B$12)*$B$46)*H92,0)</f>
        <v/>
      </c>
      <c r="I127" s="5">
        <f>IF(I$87&gt;=$B$5+3,$B$16*($B$7+($B$10+$B$11+$B$12)*$B$46)*I92,0)</f>
        <v/>
      </c>
      <c r="J127" s="5">
        <f>IF(J$87&gt;=$B$5+3,$B$16*($B$7+($B$10+$B$11+$B$12)*$B$46)*J92,0)</f>
        <v/>
      </c>
      <c r="K127" s="5">
        <f>IF(K$87&gt;=$B$5+3,$B$16*($B$7+($B$10+$B$11+$B$12)*$B$46)*K92,0)</f>
        <v/>
      </c>
      <c r="L127" s="5">
        <f>IF(L$87&gt;=$B$5+3,$B$16*($B$7+($B$10+$B$11+$B$12)*$B$46)*L92,0)</f>
        <v/>
      </c>
    </row>
    <row r="128">
      <c r="A128" t="inlineStr">
        <is>
          <t>Investissements amortissables cumulés</t>
        </is>
      </c>
      <c r="C128" s="5">
        <f>C125+C127</f>
        <v/>
      </c>
      <c r="D128" s="5">
        <f>C128+D125+D127</f>
        <v/>
      </c>
      <c r="E128" s="5">
        <f>D128+E125+E127</f>
        <v/>
      </c>
      <c r="F128" s="5">
        <f>E128+F125+F127</f>
        <v/>
      </c>
      <c r="G128" s="5">
        <f>F128+G125+G127</f>
        <v/>
      </c>
      <c r="H128" s="5">
        <f>G128+H125+H127</f>
        <v/>
      </c>
      <c r="I128" s="5">
        <f>H128+I125+I127</f>
        <v/>
      </c>
      <c r="J128" s="5">
        <f>I128+J125+J127</f>
        <v/>
      </c>
      <c r="K128" s="5">
        <f>J128+K125+K127</f>
        <v/>
      </c>
      <c r="L128" s="5">
        <f>K128+L125+L127</f>
        <v/>
      </c>
    </row>
    <row r="129">
      <c r="A129" t="inlineStr">
        <is>
          <t>Dotations aux amortissements (bâti 30 ans, travaux 15 ans)</t>
        </is>
      </c>
      <c r="B129" s="5">
        <f>SUM(C129:L129)</f>
        <v/>
      </c>
      <c r="C129" s="5">
        <f>-(C93*$B$7*(1+$B$8)*$B$9/30+C128/15)</f>
        <v/>
      </c>
      <c r="D129" s="5">
        <f>-(D93*$B$7*(1+$B$8)*$B$9/30+D128/15)</f>
        <v/>
      </c>
      <c r="E129" s="5">
        <f>-(E93*$B$7*(1+$B$8)*$B$9/30+E128/15)</f>
        <v/>
      </c>
      <c r="F129" s="5">
        <f>-(F93*$B$7*(1+$B$8)*$B$9/30+F128/15)</f>
        <v/>
      </c>
      <c r="G129" s="5">
        <f>-(G93*$B$7*(1+$B$8)*$B$9/30+G128/15)</f>
        <v/>
      </c>
      <c r="H129" s="5">
        <f>-(H93*$B$7*(1+$B$8)*$B$9/30+H128/15)</f>
        <v/>
      </c>
      <c r="I129" s="5">
        <f>-(I93*$B$7*(1+$B$8)*$B$9/30+I128/15)</f>
        <v/>
      </c>
      <c r="J129" s="5">
        <f>-(J93*$B$7*(1+$B$8)*$B$9/30+J128/15)</f>
        <v/>
      </c>
      <c r="K129" s="5">
        <f>-(K93*$B$7*(1+$B$8)*$B$9/30+K128/15)</f>
        <v/>
      </c>
      <c r="L129" s="5">
        <f>-(L93*$B$7*(1+$B$8)*$B$9/30+L128/15)</f>
        <v/>
      </c>
    </row>
    <row r="130">
      <c r="A130" s="4" t="inlineStr">
        <is>
          <t>Résultat d'exploitation</t>
        </is>
      </c>
      <c r="B130" s="18">
        <f>SUM(C130:L130)</f>
        <v/>
      </c>
      <c r="C130" s="18">
        <f>C122+C129</f>
        <v/>
      </c>
      <c r="D130" s="18">
        <f>D122+D129</f>
        <v/>
      </c>
      <c r="E130" s="18">
        <f>E122+E129</f>
        <v/>
      </c>
      <c r="F130" s="18">
        <f>F122+F129</f>
        <v/>
      </c>
      <c r="G130" s="18">
        <f>G122+G129</f>
        <v/>
      </c>
      <c r="H130" s="18">
        <f>H122+H129</f>
        <v/>
      </c>
      <c r="I130" s="18">
        <f>I122+I129</f>
        <v/>
      </c>
      <c r="J130" s="18">
        <f>J122+J129</f>
        <v/>
      </c>
      <c r="K130" s="18">
        <f>K122+K129</f>
        <v/>
      </c>
      <c r="L130" s="18">
        <f>L122+L129</f>
        <v/>
      </c>
    </row>
    <row r="132">
      <c r="A132" s="4" t="inlineStr">
        <is>
          <t>Échéancier des emprunts</t>
        </is>
      </c>
    </row>
    <row r="133">
      <c r="A133" t="inlineStr">
        <is>
          <t>Taux bancaire effectif</t>
        </is>
      </c>
      <c r="C133" s="6">
        <f>$B$28+$B$48</f>
        <v/>
      </c>
      <c r="D133" s="6">
        <f>$B$28+$B$48</f>
        <v/>
      </c>
      <c r="E133" s="6">
        <f>$B$28+$B$48</f>
        <v/>
      </c>
      <c r="F133" s="6">
        <f>$B$28+$B$48</f>
        <v/>
      </c>
      <c r="G133" s="6">
        <f>$B$28+$B$48</f>
        <v/>
      </c>
      <c r="H133" s="6">
        <f>$B$28+$B$48</f>
        <v/>
      </c>
      <c r="I133" s="6">
        <f>$B$28+$B$48</f>
        <v/>
      </c>
      <c r="J133" s="6">
        <f>$B$28+$B$48</f>
        <v/>
      </c>
      <c r="K133" s="6">
        <f>$B$28+$B$48</f>
        <v/>
      </c>
      <c r="L133" s="6">
        <f>$B$28+$B$48</f>
        <v/>
      </c>
    </row>
    <row r="134">
      <c r="A134" t="inlineStr">
        <is>
          <t>Rang de l'année d'emprunt</t>
        </is>
      </c>
      <c r="C134" s="8">
        <f>MAX(0,C$87-$B$5+1)</f>
        <v/>
      </c>
      <c r="D134" s="8">
        <f>MAX(0,D$87-$B$5+1)</f>
        <v/>
      </c>
      <c r="E134" s="8">
        <f>MAX(0,E$87-$B$5+1)</f>
        <v/>
      </c>
      <c r="F134" s="8">
        <f>MAX(0,F$87-$B$5+1)</f>
        <v/>
      </c>
      <c r="G134" s="8">
        <f>MAX(0,G$87-$B$5+1)</f>
        <v/>
      </c>
      <c r="H134" s="8">
        <f>MAX(0,H$87-$B$5+1)</f>
        <v/>
      </c>
      <c r="I134" s="8">
        <f>MAX(0,I$87-$B$5+1)</f>
        <v/>
      </c>
      <c r="J134" s="8">
        <f>MAX(0,J$87-$B$5+1)</f>
        <v/>
      </c>
      <c r="K134" s="8">
        <f>MAX(0,K$87-$B$5+1)</f>
        <v/>
      </c>
      <c r="L134" s="8">
        <f>MAX(0,L$87-$B$5+1)</f>
        <v/>
      </c>
    </row>
    <row r="135">
      <c r="A135" t="inlineStr">
        <is>
          <t>Dette bancaire — capital début</t>
        </is>
      </c>
      <c r="C135" s="5">
        <f>IF(C134=1,$B$27,0)</f>
        <v/>
      </c>
      <c r="D135" s="5">
        <f>IF(D134=1,$B$27,C138)</f>
        <v/>
      </c>
      <c r="E135" s="5">
        <f>IF(E134=1,$B$27,D138)</f>
        <v/>
      </c>
      <c r="F135" s="5">
        <f>IF(F134=1,$B$27,E138)</f>
        <v/>
      </c>
      <c r="G135" s="5">
        <f>IF(G134=1,$B$27,F138)</f>
        <v/>
      </c>
      <c r="H135" s="5">
        <f>IF(H134=1,$B$27,G138)</f>
        <v/>
      </c>
      <c r="I135" s="5">
        <f>IF(I134=1,$B$27,H138)</f>
        <v/>
      </c>
      <c r="J135" s="5">
        <f>IF(J134=1,$B$27,I138)</f>
        <v/>
      </c>
      <c r="K135" s="5">
        <f>IF(K134=1,$B$27,J138)</f>
        <v/>
      </c>
      <c r="L135" s="5">
        <f>IF(L134=1,$B$27,K138)</f>
        <v/>
      </c>
    </row>
    <row r="136">
      <c r="A136" t="inlineStr">
        <is>
          <t xml:space="preserve">  Intérêts</t>
        </is>
      </c>
      <c r="B136" s="5">
        <f>SUM(C136:L136)</f>
        <v/>
      </c>
      <c r="C136" s="5">
        <f>C135*C133</f>
        <v/>
      </c>
      <c r="D136" s="5">
        <f>D135*D133</f>
        <v/>
      </c>
      <c r="E136" s="5">
        <f>E135*E133</f>
        <v/>
      </c>
      <c r="F136" s="5">
        <f>F135*F133</f>
        <v/>
      </c>
      <c r="G136" s="5">
        <f>G135*G133</f>
        <v/>
      </c>
      <c r="H136" s="5">
        <f>H135*H133</f>
        <v/>
      </c>
      <c r="I136" s="5">
        <f>I135*I133</f>
        <v/>
      </c>
      <c r="J136" s="5">
        <f>J135*J133</f>
        <v/>
      </c>
      <c r="K136" s="5">
        <f>K135*K133</f>
        <v/>
      </c>
      <c r="L136" s="5">
        <f>L135*L133</f>
        <v/>
      </c>
    </row>
    <row r="137">
      <c r="A137" t="inlineStr">
        <is>
          <t xml:space="preserve">  Amortissement du capital</t>
        </is>
      </c>
      <c r="B137" s="5">
        <f>SUM(C137:L137)</f>
        <v/>
      </c>
      <c r="C137" s="5">
        <f>IF(OR(C134=0,C134&lt;=$B$30,C135&lt;=0),0,MIN(C135,PMT(C133,$B$29-$B$30,-$B$27)-C136))</f>
        <v/>
      </c>
      <c r="D137" s="5">
        <f>IF(OR(D134=0,D134&lt;=$B$30,D135&lt;=0),0,MIN(D135,PMT(D133,$B$29-$B$30,-$B$27)-D136))</f>
        <v/>
      </c>
      <c r="E137" s="5">
        <f>IF(OR(E134=0,E134&lt;=$B$30,E135&lt;=0),0,MIN(E135,PMT(E133,$B$29-$B$30,-$B$27)-E136))</f>
        <v/>
      </c>
      <c r="F137" s="5">
        <f>IF(OR(F134=0,F134&lt;=$B$30,F135&lt;=0),0,MIN(F135,PMT(F133,$B$29-$B$30,-$B$27)-F136))</f>
        <v/>
      </c>
      <c r="G137" s="5">
        <f>IF(OR(G134=0,G134&lt;=$B$30,G135&lt;=0),0,MIN(G135,PMT(G133,$B$29-$B$30,-$B$27)-G136))</f>
        <v/>
      </c>
      <c r="H137" s="5">
        <f>IF(OR(H134=0,H134&lt;=$B$30,H135&lt;=0),0,MIN(H135,PMT(H133,$B$29-$B$30,-$B$27)-H136))</f>
        <v/>
      </c>
      <c r="I137" s="5">
        <f>IF(OR(I134=0,I134&lt;=$B$30,I135&lt;=0),0,MIN(I135,PMT(I133,$B$29-$B$30,-$B$27)-I136))</f>
        <v/>
      </c>
      <c r="J137" s="5">
        <f>IF(OR(J134=0,J134&lt;=$B$30,J135&lt;=0),0,MIN(J135,PMT(J133,$B$29-$B$30,-$B$27)-J136))</f>
        <v/>
      </c>
      <c r="K137" s="5">
        <f>IF(OR(K134=0,K134&lt;=$B$30,K135&lt;=0),0,MIN(K135,PMT(K133,$B$29-$B$30,-$B$27)-K136))</f>
        <v/>
      </c>
      <c r="L137" s="5">
        <f>IF(OR(L134=0,L134&lt;=$B$30,L135&lt;=0),0,MIN(L135,PMT(L133,$B$29-$B$30,-$B$27)-L136))</f>
        <v/>
      </c>
    </row>
    <row r="138">
      <c r="A138" t="inlineStr">
        <is>
          <t>Dette bancaire — capital fin</t>
        </is>
      </c>
      <c r="C138" s="5">
        <f>C135-C137</f>
        <v/>
      </c>
      <c r="D138" s="5">
        <f>D135-D137</f>
        <v/>
      </c>
      <c r="E138" s="5">
        <f>E135-E137</f>
        <v/>
      </c>
      <c r="F138" s="5">
        <f>F135-F137</f>
        <v/>
      </c>
      <c r="G138" s="5">
        <f>G135-G137</f>
        <v/>
      </c>
      <c r="H138" s="5">
        <f>H135-H137</f>
        <v/>
      </c>
      <c r="I138" s="5">
        <f>I135-I137</f>
        <v/>
      </c>
      <c r="J138" s="5">
        <f>J135-J137</f>
        <v/>
      </c>
      <c r="K138" s="5">
        <f>K135-K137</f>
        <v/>
      </c>
      <c r="L138" s="5">
        <f>L135-L137</f>
        <v/>
      </c>
    </row>
    <row r="139">
      <c r="A139" t="inlineStr">
        <is>
          <t>Crédit-vendeur — capital début</t>
        </is>
      </c>
      <c r="C139" s="5">
        <f>IF(C134=1,$B$31,0)</f>
        <v/>
      </c>
      <c r="D139" s="5">
        <f>IF(D134=1,$B$31,C142)</f>
        <v/>
      </c>
      <c r="E139" s="5">
        <f>IF(E134=1,$B$31,D142)</f>
        <v/>
      </c>
      <c r="F139" s="5">
        <f>IF(F134=1,$B$31,E142)</f>
        <v/>
      </c>
      <c r="G139" s="5">
        <f>IF(G134=1,$B$31,F142)</f>
        <v/>
      </c>
      <c r="H139" s="5">
        <f>IF(H134=1,$B$31,G142)</f>
        <v/>
      </c>
      <c r="I139" s="5">
        <f>IF(I134=1,$B$31,H142)</f>
        <v/>
      </c>
      <c r="J139" s="5">
        <f>IF(J134=1,$B$31,I142)</f>
        <v/>
      </c>
      <c r="K139" s="5">
        <f>IF(K134=1,$B$31,J142)</f>
        <v/>
      </c>
      <c r="L139" s="5">
        <f>IF(L134=1,$B$31,K142)</f>
        <v/>
      </c>
    </row>
    <row r="140">
      <c r="A140" t="inlineStr">
        <is>
          <t xml:space="preserve">  Intérêts crédit-vendeur</t>
        </is>
      </c>
      <c r="B140" s="5">
        <f>SUM(C140:L140)</f>
        <v/>
      </c>
      <c r="C140" s="5">
        <f>C139*$B$32</f>
        <v/>
      </c>
      <c r="D140" s="5">
        <f>D139*$B$32</f>
        <v/>
      </c>
      <c r="E140" s="5">
        <f>E139*$B$32</f>
        <v/>
      </c>
      <c r="F140" s="5">
        <f>F139*$B$32</f>
        <v/>
      </c>
      <c r="G140" s="5">
        <f>G139*$B$32</f>
        <v/>
      </c>
      <c r="H140" s="5">
        <f>H139*$B$32</f>
        <v/>
      </c>
      <c r="I140" s="5">
        <f>I139*$B$32</f>
        <v/>
      </c>
      <c r="J140" s="5">
        <f>J139*$B$32</f>
        <v/>
      </c>
      <c r="K140" s="5">
        <f>K139*$B$32</f>
        <v/>
      </c>
      <c r="L140" s="5">
        <f>L139*$B$32</f>
        <v/>
      </c>
    </row>
    <row r="141">
      <c r="A141" t="inlineStr">
        <is>
          <t xml:space="preserve">  Amortissement crédit-vendeur</t>
        </is>
      </c>
      <c r="B141" s="5">
        <f>SUM(C141:L141)</f>
        <v/>
      </c>
      <c r="C141" s="5">
        <f>IF(OR(C134=0,C139&lt;=0),0,MIN(C139,IF($B$32=0,$B$31/$B$33,PMT($B$32,$B$33,-$B$31)-C140)))</f>
        <v/>
      </c>
      <c r="D141" s="5">
        <f>IF(OR(D134=0,D139&lt;=0),0,MIN(D139,IF($B$32=0,$B$31/$B$33,PMT($B$32,$B$33,-$B$31)-D140)))</f>
        <v/>
      </c>
      <c r="E141" s="5">
        <f>IF(OR(E134=0,E139&lt;=0),0,MIN(E139,IF($B$32=0,$B$31/$B$33,PMT($B$32,$B$33,-$B$31)-E140)))</f>
        <v/>
      </c>
      <c r="F141" s="5">
        <f>IF(OR(F134=0,F139&lt;=0),0,MIN(F139,IF($B$32=0,$B$31/$B$33,PMT($B$32,$B$33,-$B$31)-F140)))</f>
        <v/>
      </c>
      <c r="G141" s="5">
        <f>IF(OR(G134=0,G139&lt;=0),0,MIN(G139,IF($B$32=0,$B$31/$B$33,PMT($B$32,$B$33,-$B$31)-G140)))</f>
        <v/>
      </c>
      <c r="H141" s="5">
        <f>IF(OR(H134=0,H139&lt;=0),0,MIN(H139,IF($B$32=0,$B$31/$B$33,PMT($B$32,$B$33,-$B$31)-H140)))</f>
        <v/>
      </c>
      <c r="I141" s="5">
        <f>IF(OR(I134=0,I139&lt;=0),0,MIN(I139,IF($B$32=0,$B$31/$B$33,PMT($B$32,$B$33,-$B$31)-I140)))</f>
        <v/>
      </c>
      <c r="J141" s="5">
        <f>IF(OR(J134=0,J139&lt;=0),0,MIN(J139,IF($B$32=0,$B$31/$B$33,PMT($B$32,$B$33,-$B$31)-J140)))</f>
        <v/>
      </c>
      <c r="K141" s="5">
        <f>IF(OR(K134=0,K139&lt;=0),0,MIN(K139,IF($B$32=0,$B$31/$B$33,PMT($B$32,$B$33,-$B$31)-K140)))</f>
        <v/>
      </c>
      <c r="L141" s="5">
        <f>IF(OR(L134=0,L139&lt;=0),0,MIN(L139,IF($B$32=0,$B$31/$B$33,PMT($B$32,$B$33,-$B$31)-L140)))</f>
        <v/>
      </c>
    </row>
    <row r="142">
      <c r="A142" t="inlineStr">
        <is>
          <t>Crédit-vendeur — capital fin</t>
        </is>
      </c>
      <c r="C142" s="5">
        <f>C139-C141</f>
        <v/>
      </c>
      <c r="D142" s="5">
        <f>D139-D141</f>
        <v/>
      </c>
      <c r="E142" s="5">
        <f>E139-E141</f>
        <v/>
      </c>
      <c r="F142" s="5">
        <f>F139-F141</f>
        <v/>
      </c>
      <c r="G142" s="5">
        <f>G139-G141</f>
        <v/>
      </c>
      <c r="H142" s="5">
        <f>H139-H141</f>
        <v/>
      </c>
      <c r="I142" s="5">
        <f>I139-I141</f>
        <v/>
      </c>
      <c r="J142" s="5">
        <f>J139-J141</f>
        <v/>
      </c>
      <c r="K142" s="5">
        <f>K139-K141</f>
        <v/>
      </c>
      <c r="L142" s="5">
        <f>L139-L141</f>
        <v/>
      </c>
    </row>
    <row r="143">
      <c r="A143" t="inlineStr">
        <is>
          <t>Obligations — encours</t>
        </is>
      </c>
      <c r="C143" s="5">
        <f>IF(AND(C$87&gt;=$B$5,C$87&lt;=$B$36),$B$34,0)</f>
        <v/>
      </c>
      <c r="D143" s="5">
        <f>IF(AND(D$87&gt;=$B$5,D$87&lt;=$B$36),$B$34,0)</f>
        <v/>
      </c>
      <c r="E143" s="5">
        <f>IF(AND(E$87&gt;=$B$5,E$87&lt;=$B$36),$B$34,0)</f>
        <v/>
      </c>
      <c r="F143" s="5">
        <f>IF(AND(F$87&gt;=$B$5,F$87&lt;=$B$36),$B$34,0)</f>
        <v/>
      </c>
      <c r="G143" s="5">
        <f>IF(AND(G$87&gt;=$B$5,G$87&lt;=$B$36),$B$34,0)</f>
        <v/>
      </c>
      <c r="H143" s="5">
        <f>IF(AND(H$87&gt;=$B$5,H$87&lt;=$B$36),$B$34,0)</f>
        <v/>
      </c>
      <c r="I143" s="5">
        <f>IF(AND(I$87&gt;=$B$5,I$87&lt;=$B$36),$B$34,0)</f>
        <v/>
      </c>
      <c r="J143" s="5">
        <f>IF(AND(J$87&gt;=$B$5,J$87&lt;=$B$36),$B$34,0)</f>
        <v/>
      </c>
      <c r="K143" s="5">
        <f>IF(AND(K$87&gt;=$B$5,K$87&lt;=$B$36),$B$34,0)</f>
        <v/>
      </c>
      <c r="L143" s="5">
        <f>IF(AND(L$87&gt;=$B$5,L$87&lt;=$B$36),$B$34,0)</f>
        <v/>
      </c>
    </row>
    <row r="144">
      <c r="A144" t="inlineStr">
        <is>
          <t xml:space="preserve">  Coupons obligataires</t>
        </is>
      </c>
      <c r="B144" s="5">
        <f>SUM(C144:L144)</f>
        <v/>
      </c>
      <c r="C144" s="5">
        <f>C143*$B$35</f>
        <v/>
      </c>
      <c r="D144" s="5">
        <f>D143*$B$35</f>
        <v/>
      </c>
      <c r="E144" s="5">
        <f>E143*$B$35</f>
        <v/>
      </c>
      <c r="F144" s="5">
        <f>F143*$B$35</f>
        <v/>
      </c>
      <c r="G144" s="5">
        <f>G143*$B$35</f>
        <v/>
      </c>
      <c r="H144" s="5">
        <f>H143*$B$35</f>
        <v/>
      </c>
      <c r="I144" s="5">
        <f>I143*$B$35</f>
        <v/>
      </c>
      <c r="J144" s="5">
        <f>J143*$B$35</f>
        <v/>
      </c>
      <c r="K144" s="5">
        <f>K143*$B$35</f>
        <v/>
      </c>
      <c r="L144" s="5">
        <f>L143*$B$35</f>
        <v/>
      </c>
    </row>
    <row r="145">
      <c r="A145" t="inlineStr">
        <is>
          <t xml:space="preserve">  Remboursement obligations</t>
        </is>
      </c>
      <c r="B145" s="5">
        <f>SUM(C145:L145)</f>
        <v/>
      </c>
      <c r="C145" s="5">
        <f>IF(C$87=$B$36,$B$34,0)</f>
        <v/>
      </c>
      <c r="D145" s="5">
        <f>IF(D$87=$B$36,$B$34,0)</f>
        <v/>
      </c>
      <c r="E145" s="5">
        <f>IF(E$87=$B$36,$B$34,0)</f>
        <v/>
      </c>
      <c r="F145" s="5">
        <f>IF(F$87=$B$36,$B$34,0)</f>
        <v/>
      </c>
      <c r="G145" s="5">
        <f>IF(G$87=$B$36,$B$34,0)</f>
        <v/>
      </c>
      <c r="H145" s="5">
        <f>IF(H$87=$B$36,$B$34,0)</f>
        <v/>
      </c>
      <c r="I145" s="5">
        <f>IF(I$87=$B$36,$B$34,0)</f>
        <v/>
      </c>
      <c r="J145" s="5">
        <f>IF(J$87=$B$36,$B$34,0)</f>
        <v/>
      </c>
      <c r="K145" s="5">
        <f>IF(K$87=$B$36,$B$34,0)</f>
        <v/>
      </c>
      <c r="L145" s="5">
        <f>IF(L$87=$B$36,$B$34,0)</f>
        <v/>
      </c>
    </row>
    <row r="147">
      <c r="A147" t="inlineStr">
        <is>
          <t>Charges financières</t>
        </is>
      </c>
      <c r="B147" s="5">
        <f>SUM(C147:L147)</f>
        <v/>
      </c>
      <c r="C147" s="5">
        <f>-(C136+C140+C144)</f>
        <v/>
      </c>
      <c r="D147" s="5">
        <f>-(D136+D140+D144)</f>
        <v/>
      </c>
      <c r="E147" s="5">
        <f>-(E136+E140+E144)</f>
        <v/>
      </c>
      <c r="F147" s="5">
        <f>-(F136+F140+F144)</f>
        <v/>
      </c>
      <c r="G147" s="5">
        <f>-(G136+G140+G144)</f>
        <v/>
      </c>
      <c r="H147" s="5">
        <f>-(H136+H140+H144)</f>
        <v/>
      </c>
      <c r="I147" s="5">
        <f>-(I136+I140+I144)</f>
        <v/>
      </c>
      <c r="J147" s="5">
        <f>-(J136+J140+J144)</f>
        <v/>
      </c>
      <c r="K147" s="5">
        <f>-(K136+K140+K144)</f>
        <v/>
      </c>
      <c r="L147" s="5">
        <f>-(L136+L140+L144)</f>
        <v/>
      </c>
    </row>
    <row r="148">
      <c r="A148" s="4" t="inlineStr">
        <is>
          <t>Résultat avant impôt</t>
        </is>
      </c>
      <c r="B148" s="18">
        <f>SUM(C148:L148)</f>
        <v/>
      </c>
      <c r="C148" s="18">
        <f>C130+C147+C123</f>
        <v/>
      </c>
      <c r="D148" s="18">
        <f>D130+D147+D123</f>
        <v/>
      </c>
      <c r="E148" s="18">
        <f>E130+E147+E123</f>
        <v/>
      </c>
      <c r="F148" s="18">
        <f>F130+F147+F123</f>
        <v/>
      </c>
      <c r="G148" s="18">
        <f>G130+G147+G123</f>
        <v/>
      </c>
      <c r="H148" s="18">
        <f>H130+H147+H123</f>
        <v/>
      </c>
      <c r="I148" s="18">
        <f>I130+I147+I123</f>
        <v/>
      </c>
      <c r="J148" s="18">
        <f>J130+J147+J123</f>
        <v/>
      </c>
      <c r="K148" s="18">
        <f>K130+K147+K123</f>
        <v/>
      </c>
      <c r="L148" s="18">
        <f>L130+L147+L123</f>
        <v/>
      </c>
    </row>
    <row r="149">
      <c r="A149" t="inlineStr">
        <is>
          <t>Stock de déficits reportables (fin d'année)</t>
        </is>
      </c>
      <c r="C149" s="5">
        <f>MAX(0,-C148)</f>
        <v/>
      </c>
      <c r="D149" s="5">
        <f>MAX(0,C149-D148)</f>
        <v/>
      </c>
      <c r="E149" s="5">
        <f>MAX(0,D149-E148)</f>
        <v/>
      </c>
      <c r="F149" s="5">
        <f>MAX(0,E149-F148)</f>
        <v/>
      </c>
      <c r="G149" s="5">
        <f>MAX(0,F149-G148)</f>
        <v/>
      </c>
      <c r="H149" s="5">
        <f>MAX(0,G149-H148)</f>
        <v/>
      </c>
      <c r="I149" s="5">
        <f>MAX(0,H149-I148)</f>
        <v/>
      </c>
      <c r="J149" s="5">
        <f>MAX(0,I149-J148)</f>
        <v/>
      </c>
      <c r="K149" s="5">
        <f>MAX(0,J149-K148)</f>
        <v/>
      </c>
      <c r="L149" s="5">
        <f>MAX(0,K149-L148)</f>
        <v/>
      </c>
    </row>
    <row r="150">
      <c r="A150" t="inlineStr">
        <is>
          <t>Impôt sur les sociétés</t>
        </is>
      </c>
      <c r="B150" s="5">
        <f>SUM(C150:L150)</f>
        <v/>
      </c>
      <c r="C150" s="5">
        <f>-MAX(0,C148)*$B$59</f>
        <v/>
      </c>
      <c r="D150" s="5">
        <f>-MAX(0,D148-C149)*$B$59</f>
        <v/>
      </c>
      <c r="E150" s="5">
        <f>-MAX(0,E148-D149)*$B$59</f>
        <v/>
      </c>
      <c r="F150" s="5">
        <f>-MAX(0,F148-E149)*$B$59</f>
        <v/>
      </c>
      <c r="G150" s="5">
        <f>-MAX(0,G148-F149)*$B$59</f>
        <v/>
      </c>
      <c r="H150" s="5">
        <f>-MAX(0,H148-G149)*$B$59</f>
        <v/>
      </c>
      <c r="I150" s="5">
        <f>-MAX(0,I148-H149)*$B$59</f>
        <v/>
      </c>
      <c r="J150" s="5">
        <f>-MAX(0,J148-I149)*$B$59</f>
        <v/>
      </c>
      <c r="K150" s="5">
        <f>-MAX(0,K148-J149)*$B$59</f>
        <v/>
      </c>
      <c r="L150" s="5">
        <f>-MAX(0,L148-K149)*$B$59</f>
        <v/>
      </c>
    </row>
    <row r="151">
      <c r="A151" s="4" t="inlineStr">
        <is>
          <t>Résultat net</t>
        </is>
      </c>
      <c r="B151" s="18">
        <f>SUM(C151:L151)</f>
        <v/>
      </c>
      <c r="C151" s="18">
        <f>C148+C150</f>
        <v/>
      </c>
      <c r="D151" s="18">
        <f>D148+D150</f>
        <v/>
      </c>
      <c r="E151" s="18">
        <f>E148+E150</f>
        <v/>
      </c>
      <c r="F151" s="18">
        <f>F148+F150</f>
        <v/>
      </c>
      <c r="G151" s="18">
        <f>G148+G150</f>
        <v/>
      </c>
      <c r="H151" s="18">
        <f>H148+H150</f>
        <v/>
      </c>
      <c r="I151" s="18">
        <f>I148+I150</f>
        <v/>
      </c>
      <c r="J151" s="18">
        <f>J148+J150</f>
        <v/>
      </c>
      <c r="K151" s="18">
        <f>K148+K150</f>
        <v/>
      </c>
      <c r="L151" s="18">
        <f>L148+L150</f>
        <v/>
      </c>
    </row>
    <row r="153">
      <c r="A153" s="4" t="inlineStr">
        <is>
          <t>Tableau des flux de trésorerie</t>
        </is>
      </c>
    </row>
    <row r="154">
      <c r="A154" t="inlineStr">
        <is>
          <t>BFR (niveau)</t>
        </is>
      </c>
      <c r="C154" s="5">
        <f>C104*$B$58</f>
        <v/>
      </c>
      <c r="D154" s="5">
        <f>D104*$B$58</f>
        <v/>
      </c>
      <c r="E154" s="5">
        <f>E104*$B$58</f>
        <v/>
      </c>
      <c r="F154" s="5">
        <f>F104*$B$58</f>
        <v/>
      </c>
      <c r="G154" s="5">
        <f>G104*$B$58</f>
        <v/>
      </c>
      <c r="H154" s="5">
        <f>H104*$B$58</f>
        <v/>
      </c>
      <c r="I154" s="5">
        <f>I104*$B$58</f>
        <v/>
      </c>
      <c r="J154" s="5">
        <f>J104*$B$58</f>
        <v/>
      </c>
      <c r="K154" s="5">
        <f>K104*$B$58</f>
        <v/>
      </c>
      <c r="L154" s="5">
        <f>L104*$B$58</f>
        <v/>
      </c>
    </row>
    <row r="155">
      <c r="A155" t="inlineStr">
        <is>
          <t>Variation du BFR</t>
        </is>
      </c>
      <c r="B155" s="5">
        <f>SUM(C155:L155)</f>
        <v/>
      </c>
      <c r="C155" s="5">
        <f>-C154</f>
        <v/>
      </c>
      <c r="D155" s="5">
        <f>-(D154-C154)</f>
        <v/>
      </c>
      <c r="E155" s="5">
        <f>-(E154-D154)</f>
        <v/>
      </c>
      <c r="F155" s="5">
        <f>-(F154-E154)</f>
        <v/>
      </c>
      <c r="G155" s="5">
        <f>-(G154-F154)</f>
        <v/>
      </c>
      <c r="H155" s="5">
        <f>-(H154-G154)</f>
        <v/>
      </c>
      <c r="I155" s="5">
        <f>-(I154-H154)</f>
        <v/>
      </c>
      <c r="J155" s="5">
        <f>-(J154-I154)</f>
        <v/>
      </c>
      <c r="K155" s="5">
        <f>-(K154-J154)</f>
        <v/>
      </c>
      <c r="L155" s="5">
        <f>-(L154-K154)</f>
        <v/>
      </c>
    </row>
    <row r="156">
      <c r="A156" s="4" t="inlineStr">
        <is>
          <t>Flux d'exploitation (EBITDA + loyer privé − IS − ΔBFR)</t>
        </is>
      </c>
      <c r="B156" s="18">
        <f>SUM(C156:L156)</f>
        <v/>
      </c>
      <c r="C156" s="18">
        <f>C122+C123+C150+C155</f>
        <v/>
      </c>
      <c r="D156" s="18">
        <f>D122+D123+D150+D155</f>
        <v/>
      </c>
      <c r="E156" s="18">
        <f>E122+E123+E150+E155</f>
        <v/>
      </c>
      <c r="F156" s="18">
        <f>F122+F123+F150+F155</f>
        <v/>
      </c>
      <c r="G156" s="18">
        <f>G122+G123+G150+G155</f>
        <v/>
      </c>
      <c r="H156" s="18">
        <f>H122+H123+H150+H155</f>
        <v/>
      </c>
      <c r="I156" s="18">
        <f>I122+I123+I150+I155</f>
        <v/>
      </c>
      <c r="J156" s="18">
        <f>J122+J123+J150+J155</f>
        <v/>
      </c>
      <c r="K156" s="18">
        <f>K122+K123+K150+K155</f>
        <v/>
      </c>
      <c r="L156" s="18">
        <f>L122+L123+L150+L155</f>
        <v/>
      </c>
    </row>
    <row r="157">
      <c r="A157" s="4" t="inlineStr">
        <is>
          <t>Flux d'investissement</t>
        </is>
      </c>
      <c r="B157" s="18">
        <f>SUM(C157:L157)</f>
        <v/>
      </c>
      <c r="C157" s="18">
        <f>-(C126+C125+C127)</f>
        <v/>
      </c>
      <c r="D157" s="18">
        <f>-(D126+D125+D127)</f>
        <v/>
      </c>
      <c r="E157" s="18">
        <f>-(E126+E125+E127)</f>
        <v/>
      </c>
      <c r="F157" s="18">
        <f>-(F126+F125+F127)</f>
        <v/>
      </c>
      <c r="G157" s="18">
        <f>-(G126+G125+G127)</f>
        <v/>
      </c>
      <c r="H157" s="18">
        <f>-(H126+H125+H127)</f>
        <v/>
      </c>
      <c r="I157" s="18">
        <f>-(I126+I125+I127)</f>
        <v/>
      </c>
      <c r="J157" s="18">
        <f>-(J126+J125+J127)</f>
        <v/>
      </c>
      <c r="K157" s="18">
        <f>-(K126+K125+K127)</f>
        <v/>
      </c>
      <c r="L157" s="18">
        <f>-(L126+L125+L127)</f>
        <v/>
      </c>
    </row>
    <row r="158">
      <c r="A158" t="inlineStr">
        <is>
          <t xml:space="preserve">  Apports en fonds propres + subventions</t>
        </is>
      </c>
      <c r="B158" s="5">
        <f>SUM(C158:L158)</f>
        <v/>
      </c>
      <c r="C158" s="5">
        <f>IF(C$87=1,$B$23,0)+IF(C$87=$B$5,$B$24*(1-$B$49)+$B$26,0)</f>
        <v/>
      </c>
      <c r="D158" s="5">
        <f>IF(D$87=1,$B$23,0)+IF(D$87=$B$5,$B$24*(1-$B$49)+$B$26,0)</f>
        <v/>
      </c>
      <c r="E158" s="5">
        <f>IF(E$87=1,$B$23,0)+IF(E$87=$B$5,$B$24*(1-$B$49)+$B$26,0)</f>
        <v/>
      </c>
      <c r="F158" s="5">
        <f>IF(F$87=1,$B$23,0)+IF(F$87=$B$5,$B$24*(1-$B$49)+$B$26,0)</f>
        <v/>
      </c>
      <c r="G158" s="5">
        <f>IF(G$87=1,$B$23,0)+IF(G$87=$B$5,$B$24*(1-$B$49)+$B$26,0)</f>
        <v/>
      </c>
      <c r="H158" s="5">
        <f>IF(H$87=1,$B$23,0)+IF(H$87=$B$5,$B$24*(1-$B$49)+$B$26,0)</f>
        <v/>
      </c>
      <c r="I158" s="5">
        <f>IF(I$87=1,$B$23,0)+IF(I$87=$B$5,$B$24*(1-$B$49)+$B$26,0)</f>
        <v/>
      </c>
      <c r="J158" s="5">
        <f>IF(J$87=1,$B$23,0)+IF(J$87=$B$5,$B$24*(1-$B$49)+$B$26,0)</f>
        <v/>
      </c>
      <c r="K158" s="5">
        <f>IF(K$87=1,$B$23,0)+IF(K$87=$B$5,$B$24*(1-$B$49)+$B$26,0)</f>
        <v/>
      </c>
      <c r="L158" s="5">
        <f>IF(L$87=1,$B$23,0)+IF(L$87=$B$5,$B$24*(1-$B$49)+$B$26,0)</f>
        <v/>
      </c>
    </row>
    <row r="159">
      <c r="A159" t="inlineStr">
        <is>
          <t xml:space="preserve">  Tirages dette + crédit-vendeur + obligations</t>
        </is>
      </c>
      <c r="B159" s="5">
        <f>SUM(C159:L159)</f>
        <v/>
      </c>
      <c r="C159" s="5">
        <f>IF(C$87=$B$5,$B$27+$B$31+$B$34,0)</f>
        <v/>
      </c>
      <c r="D159" s="5">
        <f>IF(D$87=$B$5,$B$27+$B$31+$B$34,0)</f>
        <v/>
      </c>
      <c r="E159" s="5">
        <f>IF(E$87=$B$5,$B$27+$B$31+$B$34,0)</f>
        <v/>
      </c>
      <c r="F159" s="5">
        <f>IF(F$87=$B$5,$B$27+$B$31+$B$34,0)</f>
        <v/>
      </c>
      <c r="G159" s="5">
        <f>IF(G$87=$B$5,$B$27+$B$31+$B$34,0)</f>
        <v/>
      </c>
      <c r="H159" s="5">
        <f>IF(H$87=$B$5,$B$27+$B$31+$B$34,0)</f>
        <v/>
      </c>
      <c r="I159" s="5">
        <f>IF(I$87=$B$5,$B$27+$B$31+$B$34,0)</f>
        <v/>
      </c>
      <c r="J159" s="5">
        <f>IF(J$87=$B$5,$B$27+$B$31+$B$34,0)</f>
        <v/>
      </c>
      <c r="K159" s="5">
        <f>IF(K$87=$B$5,$B$27+$B$31+$B$34,0)</f>
        <v/>
      </c>
      <c r="L159" s="5">
        <f>IF(L$87=$B$5,$B$27+$B$31+$B$34,0)</f>
        <v/>
      </c>
    </row>
    <row r="160">
      <c r="A160" t="inlineStr">
        <is>
          <t xml:space="preserve">  Service de la dette (intérêts + capital + coupons + rembt obligations)</t>
        </is>
      </c>
      <c r="B160" s="5">
        <f>SUM(C160:L160)</f>
        <v/>
      </c>
      <c r="C160" s="5">
        <f>-(C136+C137+C140+C141+C144+C145)</f>
        <v/>
      </c>
      <c r="D160" s="5">
        <f>-(D136+D137+D140+D141+D144+D145)</f>
        <v/>
      </c>
      <c r="E160" s="5">
        <f>-(E136+E137+E140+E141+E144+E145)</f>
        <v/>
      </c>
      <c r="F160" s="5">
        <f>-(F136+F137+F140+F141+F144+F145)</f>
        <v/>
      </c>
      <c r="G160" s="5">
        <f>-(G136+G137+G140+G141+G144+G145)</f>
        <v/>
      </c>
      <c r="H160" s="5">
        <f>-(H136+H137+H140+H141+H144+H145)</f>
        <v/>
      </c>
      <c r="I160" s="5">
        <f>-(I136+I137+I140+I141+I144+I145)</f>
        <v/>
      </c>
      <c r="J160" s="5">
        <f>-(J136+J137+J140+J141+J144+J145)</f>
        <v/>
      </c>
      <c r="K160" s="5">
        <f>-(K136+K137+K140+K141+K144+K145)</f>
        <v/>
      </c>
      <c r="L160" s="5">
        <f>-(L136+L137+L140+L141+L144+L145)</f>
        <v/>
      </c>
    </row>
    <row r="161">
      <c r="A161" s="4" t="inlineStr">
        <is>
          <t>Flux de financement</t>
        </is>
      </c>
      <c r="B161" s="18">
        <f>SUM(C161:L161)</f>
        <v/>
      </c>
      <c r="C161" s="18">
        <f>C158+C159+C160</f>
        <v/>
      </c>
      <c r="D161" s="18">
        <f>D158+D159+D160</f>
        <v/>
      </c>
      <c r="E161" s="18">
        <f>E158+E159+E160</f>
        <v/>
      </c>
      <c r="F161" s="18">
        <f>F158+F159+F160</f>
        <v/>
      </c>
      <c r="G161" s="18">
        <f>G158+G159+G160</f>
        <v/>
      </c>
      <c r="H161" s="18">
        <f>H158+H159+H160</f>
        <v/>
      </c>
      <c r="I161" s="18">
        <f>I158+I159+I160</f>
        <v/>
      </c>
      <c r="J161" s="18">
        <f>J158+J159+J160</f>
        <v/>
      </c>
      <c r="K161" s="18">
        <f>K158+K159+K160</f>
        <v/>
      </c>
      <c r="L161" s="18">
        <f>L158+L159+L160</f>
        <v/>
      </c>
    </row>
    <row r="162">
      <c r="A162" s="4" t="inlineStr">
        <is>
          <t>Variation de trésorerie</t>
        </is>
      </c>
      <c r="B162" s="18">
        <f>SUM(C162:L162)</f>
        <v/>
      </c>
      <c r="C162" s="18">
        <f>C156+C157+C161</f>
        <v/>
      </c>
      <c r="D162" s="18">
        <f>D156+D157+D161</f>
        <v/>
      </c>
      <c r="E162" s="18">
        <f>E156+E157+E161</f>
        <v/>
      </c>
      <c r="F162" s="18">
        <f>F156+F157+F161</f>
        <v/>
      </c>
      <c r="G162" s="18">
        <f>G156+G157+G161</f>
        <v/>
      </c>
      <c r="H162" s="18">
        <f>H156+H157+H161</f>
        <v/>
      </c>
      <c r="I162" s="18">
        <f>I156+I157+I161</f>
        <v/>
      </c>
      <c r="J162" s="18">
        <f>J156+J157+J161</f>
        <v/>
      </c>
      <c r="K162" s="18">
        <f>K156+K157+K161</f>
        <v/>
      </c>
      <c r="L162" s="18">
        <f>L156+L157+L161</f>
        <v/>
      </c>
    </row>
    <row r="163">
      <c r="A163" s="4" t="inlineStr">
        <is>
          <t>Trésorerie fin d'année</t>
        </is>
      </c>
      <c r="C163" s="18">
        <f>C162</f>
        <v/>
      </c>
      <c r="D163" s="18">
        <f>C163+D162</f>
        <v/>
      </c>
      <c r="E163" s="18">
        <f>D163+E162</f>
        <v/>
      </c>
      <c r="F163" s="18">
        <f>E163+F162</f>
        <v/>
      </c>
      <c r="G163" s="18">
        <f>F163+G162</f>
        <v/>
      </c>
      <c r="H163" s="18">
        <f>G163+H162</f>
        <v/>
      </c>
      <c r="I163" s="18">
        <f>H163+I162</f>
        <v/>
      </c>
      <c r="J163" s="18">
        <f>I163+J162</f>
        <v/>
      </c>
      <c r="K163" s="18">
        <f>J163+K162</f>
        <v/>
      </c>
      <c r="L163" s="18">
        <f>K163+L162</f>
        <v/>
      </c>
    </row>
    <row r="164">
      <c r="A164" t="inlineStr">
        <is>
          <t>Cash-flow libre d'exploitation (CFO − gros entretien − service dette hors obligations in fine)</t>
        </is>
      </c>
      <c r="B164" s="5">
        <f>SUM(C164:L164)</f>
        <v/>
      </c>
      <c r="C164" s="5">
        <f>C156-C127-(C136+C137+C140+C141+C144)</f>
        <v/>
      </c>
      <c r="D164" s="5">
        <f>D156-D127-(D136+D137+D140+D141+D144)</f>
        <v/>
      </c>
      <c r="E164" s="5">
        <f>E156-E127-(E136+E137+E140+E141+E144)</f>
        <v/>
      </c>
      <c r="F164" s="5">
        <f>F156-F127-(F136+F137+F140+F141+F144)</f>
        <v/>
      </c>
      <c r="G164" s="5">
        <f>G156-G127-(G136+G137+G140+G141+G144)</f>
        <v/>
      </c>
      <c r="H164" s="5">
        <f>H156-H127-(H136+H137+H140+H141+H144)</f>
        <v/>
      </c>
      <c r="I164" s="5">
        <f>I156-I127-(I136+I137+I140+I141+I144)</f>
        <v/>
      </c>
      <c r="J164" s="5">
        <f>J156-J127-(J136+J137+J140+J141+J144)</f>
        <v/>
      </c>
      <c r="K164" s="5">
        <f>K156-K127-(K136+K137+K140+K141+K144)</f>
        <v/>
      </c>
      <c r="L164" s="5">
        <f>L156-L127-(L136+L137+L140+L141+L144)</f>
        <v/>
      </c>
    </row>
    <row r="165">
      <c r="A165" t="inlineStr">
        <is>
          <t>DSCR ((EBITDA + loyer privé − IS − gros entretien) / service de la dette)</t>
        </is>
      </c>
      <c r="C165" s="7">
        <f>IF((C136+C137+C140+C141+C144)=0,"",(C122+C123+C150-C127)/(C136+C137+C140+C141+C144))</f>
        <v/>
      </c>
      <c r="D165" s="7">
        <f>IF((D136+D137+D140+D141+D144)=0,"",(D122+D123+D150-D127)/(D136+D137+D140+D141+D144))</f>
        <v/>
      </c>
      <c r="E165" s="7">
        <f>IF((E136+E137+E140+E141+E144)=0,"",(E122+E123+E150-E127)/(E136+E137+E140+E141+E144))</f>
        <v/>
      </c>
      <c r="F165" s="7">
        <f>IF((F136+F137+F140+F141+F144)=0,"",(F122+F123+F150-F127)/(F136+F137+F140+F141+F144))</f>
        <v/>
      </c>
      <c r="G165" s="7">
        <f>IF((G136+G137+G140+G141+G144)=0,"",(G122+G123+G150-G127)/(G136+G137+G140+G141+G144))</f>
        <v/>
      </c>
      <c r="H165" s="7">
        <f>IF((H136+H137+H140+H141+H144)=0,"",(H122+H123+H150-H127)/(H136+H137+H140+H141+H144))</f>
        <v/>
      </c>
      <c r="I165" s="7">
        <f>IF((I136+I137+I140+I141+I144)=0,"",(I122+I123+I150-I127)/(I136+I137+I140+I141+I144))</f>
        <v/>
      </c>
      <c r="J165" s="7">
        <f>IF((J136+J137+J140+J141+J144)=0,"",(J122+J123+J150-J127)/(J136+J137+J140+J141+J144))</f>
        <v/>
      </c>
      <c r="K165" s="7">
        <f>IF((K136+K137+K140+K141+K144)=0,"",(K122+K123+K150-K127)/(K136+K137+K140+K141+K144))</f>
        <v/>
      </c>
      <c r="L165" s="7">
        <f>IF((L136+L137+L140+L141+L144)=0,"",(L122+L123+L150-L127)/(L136+L137+L140+L141+L144))</f>
        <v/>
      </c>
    </row>
    <row r="167">
      <c r="A167" s="4" t="inlineStr">
        <is>
          <t>Rentabilité des investisseurs et contrôle</t>
        </is>
      </c>
    </row>
    <row r="168">
      <c r="A168" t="inlineStr">
        <is>
          <t>Dettes financières totales fin d'année</t>
        </is>
      </c>
      <c r="C168" s="5">
        <f>C138+C142+C143-C145</f>
        <v/>
      </c>
      <c r="D168" s="5">
        <f>D138+D142+D143-D145</f>
        <v/>
      </c>
      <c r="E168" s="5">
        <f>E138+E142+E143-E145</f>
        <v/>
      </c>
      <c r="F168" s="5">
        <f>F138+F142+F143-F145</f>
        <v/>
      </c>
      <c r="G168" s="5">
        <f>G138+G142+G143-G145</f>
        <v/>
      </c>
      <c r="H168" s="5">
        <f>H138+H142+H143-H145</f>
        <v/>
      </c>
      <c r="I168" s="5">
        <f>I138+I142+I143-I145</f>
        <v/>
      </c>
      <c r="J168" s="5">
        <f>J138+J142+J143-J145</f>
        <v/>
      </c>
      <c r="K168" s="5">
        <f>K138+K142+K143-K145</f>
        <v/>
      </c>
      <c r="L168" s="5">
        <f>L138+L142+L143-L145</f>
        <v/>
      </c>
    </row>
    <row r="169">
      <c r="A169" t="inlineStr">
        <is>
          <t>Valeur estimée de l'actif (si cédé cette année)</t>
        </is>
      </c>
      <c r="C169" s="5">
        <f>C93*($B$7+C128)*$B$17*(1-$B$19)</f>
        <v/>
      </c>
      <c r="D169" s="5">
        <f>D93*($B$7+D128)*$B$17*(1-$B$19)</f>
        <v/>
      </c>
      <c r="E169" s="5">
        <f>E93*($B$7+E128)*$B$17*(1-$B$19)</f>
        <v/>
      </c>
      <c r="F169" s="5">
        <f>F93*($B$7+F128)*$B$17*(1-$B$19)</f>
        <v/>
      </c>
      <c r="G169" s="5">
        <f>G93*($B$7+G128)*$B$17*(1-$B$19)</f>
        <v/>
      </c>
      <c r="H169" s="5">
        <f>H93*($B$7+H128)*$B$17*(1-$B$19)</f>
        <v/>
      </c>
      <c r="I169" s="5">
        <f>I93*($B$7+I128)*$B$17*(1-$B$19)</f>
        <v/>
      </c>
      <c r="J169" s="5">
        <f>J93*($B$7+J128)*$B$17*(1-$B$19)</f>
        <v/>
      </c>
      <c r="K169" s="5">
        <f>K93*($B$7+K128)*$B$17*(1-$B$19)</f>
        <v/>
      </c>
      <c r="L169" s="5">
        <f>L93*($B$7+L128)*$B$17*(1-$B$19)</f>
        <v/>
      </c>
    </row>
    <row r="170">
      <c r="A170" t="inlineStr">
        <is>
          <t>Valeur des fonds propres (actif + trésorerie − dettes)</t>
        </is>
      </c>
      <c r="C170" s="5">
        <f>C169+C163-C168</f>
        <v/>
      </c>
      <c r="D170" s="5">
        <f>D169+D163-D168</f>
        <v/>
      </c>
      <c r="E170" s="5">
        <f>E169+E163-E168</f>
        <v/>
      </c>
      <c r="F170" s="5">
        <f>F169+F163-F168</f>
        <v/>
      </c>
      <c r="G170" s="5">
        <f>G169+G163-G168</f>
        <v/>
      </c>
      <c r="H170" s="5">
        <f>H169+H163-H168</f>
        <v/>
      </c>
      <c r="I170" s="5">
        <f>I169+I163-I168</f>
        <v/>
      </c>
      <c r="J170" s="5">
        <f>J169+J163-J168</f>
        <v/>
      </c>
      <c r="K170" s="5">
        <f>K169+K163-K168</f>
        <v/>
      </c>
      <c r="L170" s="5">
        <f>L169+L163-L168</f>
        <v/>
      </c>
    </row>
    <row r="171">
      <c r="A171" t="inlineStr">
        <is>
          <t>Flux des investisseurs (entrée an d'acq., sortie an 10)</t>
        </is>
      </c>
      <c r="B171" s="5">
        <f>SUM(C171:L171)</f>
        <v/>
      </c>
      <c r="C171" s="5">
        <f>-IF(C$87=$B$5,$B$24*(1-$B$49)*(1-$B$25),0)</f>
        <v/>
      </c>
      <c r="D171" s="5">
        <f>-IF(D$87=$B$5,$B$24*(1-$B$49)*(1-$B$25),0)</f>
        <v/>
      </c>
      <c r="E171" s="5">
        <f>-IF(E$87=$B$5,$B$24*(1-$B$49)*(1-$B$25),0)</f>
        <v/>
      </c>
      <c r="F171" s="5">
        <f>-IF(F$87=$B$5,$B$24*(1-$B$49)*(1-$B$25),0)</f>
        <v/>
      </c>
      <c r="G171" s="5">
        <f>-IF(G$87=$B$5,$B$24*(1-$B$49)*(1-$B$25),0)</f>
        <v/>
      </c>
      <c r="H171" s="5">
        <f>-IF(H$87=$B$5,$B$24*(1-$B$49)*(1-$B$25),0)</f>
        <v/>
      </c>
      <c r="I171" s="5">
        <f>-IF(I$87=$B$5,$B$24*(1-$B$49)*(1-$B$25),0)</f>
        <v/>
      </c>
      <c r="J171" s="5">
        <f>-IF(J$87=$B$5,$B$24*(1-$B$49)*(1-$B$25),0)</f>
        <v/>
      </c>
      <c r="K171" s="5">
        <f>-IF(K$87=$B$5,$B$24*(1-$B$49)*(1-$B$25),0)</f>
        <v/>
      </c>
      <c r="L171" s="5">
        <f>-IF(L$87=$B$5,$B$24*(1-$B$49)*(1-$B$25),0)+MAX(0,L170)*(1-$B$42)</f>
        <v/>
      </c>
    </row>
    <row r="172">
      <c r="A172" t="inlineStr">
        <is>
          <t>Flux du fondateur et de sa holding (apports, sortie théorique an 10)</t>
        </is>
      </c>
      <c r="B172" s="5">
        <f>SUM(C172:L172)</f>
        <v/>
      </c>
      <c r="C172" s="5">
        <f>-IF(C$87=1,$B$23,0)-IF(C$87=$B$5,$B$24*(1-$B$49)*$B$25,0)</f>
        <v/>
      </c>
      <c r="D172" s="5">
        <f>-IF(D$87=1,$B$23,0)-IF(D$87=$B$5,$B$24*(1-$B$49)*$B$25,0)</f>
        <v/>
      </c>
      <c r="E172" s="5">
        <f>-IF(E$87=1,$B$23,0)-IF(E$87=$B$5,$B$24*(1-$B$49)*$B$25,0)</f>
        <v/>
      </c>
      <c r="F172" s="5">
        <f>-IF(F$87=1,$B$23,0)-IF(F$87=$B$5,$B$24*(1-$B$49)*$B$25,0)</f>
        <v/>
      </c>
      <c r="G172" s="5">
        <f>-IF(G$87=1,$B$23,0)-IF(G$87=$B$5,$B$24*(1-$B$49)*$B$25,0)</f>
        <v/>
      </c>
      <c r="H172" s="5">
        <f>-IF(H$87=1,$B$23,0)-IF(H$87=$B$5,$B$24*(1-$B$49)*$B$25,0)</f>
        <v/>
      </c>
      <c r="I172" s="5">
        <f>-IF(I$87=1,$B$23,0)-IF(I$87=$B$5,$B$24*(1-$B$49)*$B$25,0)</f>
        <v/>
      </c>
      <c r="J172" s="5">
        <f>-IF(J$87=1,$B$23,0)-IF(J$87=$B$5,$B$24*(1-$B$49)*$B$25,0)</f>
        <v/>
      </c>
      <c r="K172" s="5">
        <f>-IF(K$87=1,$B$23,0)-IF(K$87=$B$5,$B$24*(1-$B$49)*$B$25,0)</f>
        <v/>
      </c>
      <c r="L172" s="5">
        <f>-IF(L$87=1,$B$23,0)-IF(L$87=$B$5,$B$24*(1-$B$49)*$B$25,0)+MAX(0,L170)*$B$42</f>
        <v/>
      </c>
    </row>
    <row r="174">
      <c r="A174" s="10" t="inlineStr">
        <is>
          <t>8. Indicateurs clés</t>
        </is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</row>
    <row r="175">
      <c r="A175" t="inlineStr">
        <is>
          <t>Emplois totaux (acq. + frais + travaux initiaux)</t>
        </is>
      </c>
      <c r="B175" s="18">
        <f>$B$7*(1+$B$8)+SUM(C125:L125)</f>
        <v/>
      </c>
    </row>
    <row r="176">
      <c r="A176" t="inlineStr">
        <is>
          <t>Ressources externes et apports prévus</t>
        </is>
      </c>
      <c r="B176" s="18">
        <f>$B$23+$B$24*(1-$B$49)+$B$26+$B$27+$B$31+$B$34</f>
        <v/>
      </c>
    </row>
    <row r="177">
      <c r="A177" t="inlineStr">
        <is>
          <t>CA année 5</t>
        </is>
      </c>
      <c r="B177" s="18">
        <f>G104</f>
        <v/>
      </c>
    </row>
    <row r="178">
      <c r="A178" t="inlineStr">
        <is>
          <t>EBITDA année 5</t>
        </is>
      </c>
      <c r="B178" s="18">
        <f>G122</f>
        <v/>
      </c>
    </row>
    <row r="179">
      <c r="A179" t="inlineStr">
        <is>
          <t>EBITDA année 10</t>
        </is>
      </c>
      <c r="B179" s="18">
        <f>L122</f>
        <v/>
      </c>
    </row>
    <row r="180">
      <c r="A180" t="inlineStr">
        <is>
          <t>Part équestre du CA année 5</t>
        </is>
      </c>
      <c r="B180" s="14">
        <f>G106</f>
        <v/>
      </c>
    </row>
    <row r="181">
      <c r="A181" t="inlineStr">
        <is>
          <t>Trésorerie minimale sur 10 ans</t>
        </is>
      </c>
      <c r="B181" s="18">
        <f>MIN(C163:L163)</f>
        <v/>
      </c>
    </row>
    <row r="182">
      <c r="A182" t="inlineStr">
        <is>
          <t>Trésorerie fin année 10</t>
        </is>
      </c>
      <c r="B182" s="18">
        <f>L163</f>
        <v/>
      </c>
    </row>
    <row r="183">
      <c r="A183" t="inlineStr">
        <is>
          <t>DSCR minimal (à partir de la 2e année d'exploitation)</t>
        </is>
      </c>
      <c r="B183" s="19">
        <f>IF(COUNTIFS(C165:L165,"&gt;-1E+300",C89:L89,"&gt;=2")=0,"n/a",_xlfn.MINIFS(C165:L165,C89:L89,"&gt;=2"))</f>
        <v/>
      </c>
    </row>
    <row r="184">
      <c r="A184" t="inlineStr">
        <is>
          <t>Nb d'années à cash-flow libre d'exploitation négatif (à partir de la 2e année d'exploitation)</t>
        </is>
      </c>
      <c r="B184" s="20">
        <f>COUNTIFS(C164:L164,"&lt;0",C89:L89,"&gt;=2")</f>
        <v/>
      </c>
    </row>
    <row r="185">
      <c r="A185" t="inlineStr">
        <is>
          <t>TRI investisseurs (sortie théorique an 10)</t>
        </is>
      </c>
      <c r="B185" s="14">
        <f>IF($B$24*(1-$B$25)=0,"sans objet",IFERROR(IRR(C171:L171,-0.05),"perte quasi totale (TRI non calculable)"))</f>
        <v/>
      </c>
    </row>
    <row r="186">
      <c r="A186" t="inlineStr">
        <is>
          <t>TRI fondateur (sortie théorique an 10)</t>
        </is>
      </c>
      <c r="B186" s="14">
        <f>IFERROR(IRR(C172:L172,-0.05),"perte quasi totale (TRI non calculable)")</f>
        <v/>
      </c>
    </row>
    <row r="187">
      <c r="A187" t="inlineStr">
        <is>
          <t>Dette bancaire soutenable estimée (DSCR 1,2 sur (EBITDA − gros entretien) an 10, taux et durée du scénario)</t>
        </is>
      </c>
      <c r="B187" s="18">
        <f>MAX(0,PV($B$28,$B$29,-(L122+L123-L127)/1.2))</f>
        <v/>
      </c>
    </row>
    <row r="188">
      <c r="A188" t="inlineStr">
        <is>
          <t>Fonds propres nécessaires (emplois + réserve + pertes d'exploitation cumulées − dette soutenable)</t>
        </is>
      </c>
      <c r="B188" s="18">
        <f>$B$7*(1+$B$8)+SUM(C125:L125)+$B$39-SUMIF(C156:L156,"&lt;0")-$B$187</f>
        <v/>
      </c>
    </row>
    <row r="189">
      <c r="A189" t="inlineStr">
        <is>
          <t>Part du capital du fondateur</t>
        </is>
      </c>
      <c r="B189" s="14">
        <f>$B$42</f>
        <v/>
      </c>
    </row>
    <row r="190">
      <c r="A190" t="inlineStr">
        <is>
          <t>Droits de vote du fondateur</t>
        </is>
      </c>
      <c r="B190" s="14">
        <f>$B$38</f>
        <v/>
      </c>
    </row>
    <row r="191">
      <c r="A191" s="4" t="inlineStr">
        <is>
          <t>Verdict (trésorerie ≥ 0 et ≥ réserve an 10, DSCR ≥ 1,2, cash-flow libre ≥ 0 dès la 2e année d'exploitation, TRI investisseurs extérieurs ≥ cible, dirigeant payé)</t>
        </is>
      </c>
      <c r="B191" s="4">
        <f>IF($B$181&lt;0,"NON VIABLE (trésorerie négative)",IF(AND($B$182&gt;=$B$39,OR($B$183="n/a",$B$183&gt;=1.2),$B$184=0),IF(NOT(OR($B$185="sans objet",AND(ISNUMBER($B$185),N($B$185)&gt;=$B$40))),"FRAGILE (investisseurs non rémunérés)",IF($B$41=0,"VIABLE seulement avec dirigeant bénévole","VIABLE sous hypothèses")),"FRAGILE"))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60" customWidth="1" min="1" max="1"/>
    <col width="100" customWidth="1" min="2" max="2"/>
  </cols>
  <sheetData>
    <row r="1">
      <c r="A1" s="4" t="inlineStr">
        <is>
          <t>Hypothèse</t>
        </is>
      </c>
      <c r="B1" s="4" t="inlineStr">
        <is>
          <t>Source / justification / statut</t>
        </is>
      </c>
    </row>
    <row r="2">
      <c r="A2" t="inlineStr">
        <is>
          <t>Prix du domaine 2,5 M€</t>
        </is>
      </c>
      <c r="B2" s="2" t="inlineStr">
        <is>
          <t>PL : médiane de 19 annonces French-Property de châteaux ≥ 30 ha (quartiles 1,29-3,07 M€), relevées le 2026-10-14 [01_OPPORTUNITES]. Prix total par ha : médiane ≈ 59 k€/ha.</t>
        </is>
      </c>
    </row>
    <row r="3">
      <c r="A3" t="inlineStr">
        <is>
          <t>Frais d'acquisition 7,5 %</t>
        </is>
      </c>
      <c r="B3" s="2" t="inlineStr">
        <is>
          <t>EST : DMTO + notaire ; vente SAFER : frais 8,4 % TTC, exonération des droits si destination agricole maintenue (une annonce, PL).</t>
        </is>
      </c>
    </row>
    <row r="4">
      <c r="A4" t="inlineStr">
        <is>
          <t>Taux 4,0 % / 20 ans</t>
        </is>
      </c>
      <c r="B4" s="2" t="inlineStr">
        <is>
          <t>PL : FBF, crédits aux PME 3,64 % (06/2026) ; EX : BdF 3,66 % (08/2026). Bpifrance : 15 ans avec hypothèque (PL). Critères CRA pour une reprise : ≤ 7 ans, ≤ 70 % du prix (PL).</t>
        </is>
      </c>
    </row>
    <row r="5">
      <c r="A5" t="inlineStr">
        <is>
          <t>Pensions</t>
        </is>
      </c>
      <c r="B5" s="2" t="inlineStr">
        <is>
          <t>PL : annuaire pension-chevaux.com, 402 tarifs de 114 écuries (Normandie, Centre, PdL, IdF) — box 350-450 € TTC (médianes), premium 540-650 €, pré 200-240 €, retraite 170-230 €, travail 535-656 €. TVA 5,5 % (pension liée aux installations) ou 20 % (retraite, valorisation) — BOFiP 2024 (PL), risque de requalification.</t>
        </is>
      </c>
    </row>
    <row r="6">
      <c r="A6" t="inlineStr">
        <is>
          <t>Calibrage équestre</t>
        </is>
      </c>
      <c r="B6" s="2" t="inlineStr">
        <is>
          <t>PL : Réseau Équin (synthèse 2024, données 2022) — EBE/produit brut 36-38 % (pension hébergement), 23-28 % (pension travail, centre équestre) ; échantillon de structures performantes.</t>
        </is>
      </c>
    </row>
    <row r="7">
      <c r="A7" t="inlineStr">
        <is>
          <t>Salaires</t>
        </is>
      </c>
      <c r="B7" s="2" t="inlineStr">
        <is>
          <t>PL : Smic 2026 1 867,02 € brut/mois ; grille IDCC 7026 coef. 100-109 inférieure au Smic ; productivité 1 ETP / 17-20 équidés.</t>
        </is>
      </c>
    </row>
    <row r="8">
      <c r="A8" t="inlineStr">
        <is>
          <t>Mariages</t>
        </is>
      </c>
      <c r="B8" s="2" t="inlineStr">
        <is>
          <t>PL : 1001 Salles, 27 fiches de châteaux — location week-end sans hébergement médiane 3 400 € TTC, avec hébergement 6 800 € TTC. INSEE : 251 000 mariages en 2025, 68 % mai-septembre. Volume 12/an : EST.</t>
        </is>
      </c>
    </row>
    <row r="9">
      <c r="A9" t="inlineStr">
        <is>
          <t>Gîte, séminaires, tournages, fermage</t>
        </is>
      </c>
      <c r="B9" s="2" t="inlineStr">
        <is>
          <t>PL : fourchettes de prix des lieux, arrêtés de fermage Orne/Calvados 2026-27, commission du film des Pays de la Loire. Volumes : EST.</t>
        </is>
      </c>
    </row>
    <row r="10">
      <c r="A10" t="inlineStr">
        <is>
          <t>Charges du château (≈ 68 k€/an + gros entretien ≈ 40 k€)</t>
        </is>
      </c>
      <c r="B10" s="2" t="inlineStr">
        <is>
          <t>Mix PL/EX/EST [A4 §11] : taxe foncière 2,6-4,0 k€ observée, assurance ≥ 2,5 k€, énergie 15-25 k€, Smic, Barnes 20-80 k€/an de charges.</t>
        </is>
      </c>
    </row>
    <row r="11">
      <c r="A11" t="inlineStr">
        <is>
          <t>Travaux</t>
        </is>
      </c>
      <c r="B11" s="2" t="inlineStr">
        <is>
          <t>EST sans visite ni devis : domaine déjà équipé (top 5 de l'agent 1 : 0,1-0,7 M€). Écurie neuve 30 box : 0,78-0,83 M€ HT ; salle ERP + gîte neufs : 0,57-1,24 M€.</t>
        </is>
      </c>
    </row>
    <row r="12">
      <c r="A12" t="inlineStr">
        <is>
          <t>Valeur de sortie 80 %</t>
        </is>
      </c>
      <c r="B12" s="2" t="inlineStr">
        <is>
          <t>EST ; contre-exemple Haras de Hus : CA 1,77 M€, résultat d'exploitation −3,9 M€ (2024, Xerfi, PL), prix affiché 20 → 12,9 M€.</t>
        </is>
      </c>
    </row>
    <row r="13">
      <c r="A13" t="inlineStr">
        <is>
          <t>Cas prudent</t>
        </is>
      </c>
      <c r="B13" s="2" t="inlineStr">
        <is>
          <t>Volumes × 0,8 ; prix × 0,92 ; charges fixes × 1,1 ; travaux × 1,25 ; montée en charge 40/65/85 %.</t>
        </is>
      </c>
    </row>
    <row r="14">
      <c r="A14" t="inlineStr">
        <is>
          <t>Cas optimiste</t>
        </is>
      </c>
      <c r="B14" s="2" t="inlineStr">
        <is>
          <t>Volumes × 1,15 ; prix × 1,08 ; charges fixes × 0,95 ; travaux inchangés ; montée en charge 60/90/100 %.</t>
        </is>
      </c>
    </row>
    <row r="15">
      <c r="A15" t="inlineStr">
        <is>
          <t>Financements</t>
        </is>
      </c>
      <c r="B15" s="2" t="inlineStr">
        <is>
          <t>AUCUN n'est acquis : banques, investisseurs, vendeur, obligataires, holding, subventions. Personne n'a été contacté.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2026-10-14T17:42:49Z</dcterms:created>
  <dcterms:modified xmlns:dcterms="http://purl.org/dc/terms/" xmlns:xsi="http://www.w3.org/2001/XMLSchema-instance" xsi:type="dcterms:W3CDTF">2026-10-14T17:42:50Z</dcterms:modified>
</cp:coreProperties>
</file>