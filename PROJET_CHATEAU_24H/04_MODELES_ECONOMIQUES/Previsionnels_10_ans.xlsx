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Comparaison" sheetId="2" state="visible" r:id="rId2"/>
    <sheet xmlns:r="http://schemas.openxmlformats.org/officeDocument/2006/relationships" name="A_central" sheetId="3" state="visible" r:id="rId3"/>
    <sheet xmlns:r="http://schemas.openxmlformats.org/officeDocument/2006/relationships" name="A_prudent" sheetId="4" state="visible" r:id="rId4"/>
    <sheet xmlns:r="http://schemas.openxmlformats.org/officeDocument/2006/relationships" name="A_optimiste" sheetId="5" state="visible" r:id="rId5"/>
    <sheet xmlns:r="http://schemas.openxmlformats.org/officeDocument/2006/relationships" name="B_central" sheetId="6" state="visible" r:id="rId6"/>
    <sheet xmlns:r="http://schemas.openxmlformats.org/officeDocument/2006/relationships" name="B_prudent" sheetId="7" state="visible" r:id="rId7"/>
    <sheet xmlns:r="http://schemas.openxmlformats.org/officeDocument/2006/relationships" name="B_optimiste" sheetId="8" state="visible" r:id="rId8"/>
    <sheet xmlns:r="http://schemas.openxmlformats.org/officeDocument/2006/relationships" name="B_club_deal" sheetId="9" state="visible" r:id="rId9"/>
    <sheet xmlns:r="http://schemas.openxmlformats.org/officeDocument/2006/relationships" name="B_credit_vendeur" sheetId="10" state="visible" r:id="rId10"/>
    <sheet xmlns:r="http://schemas.openxmlformats.org/officeDocument/2006/relationships" name="B_sans_dette" sheetId="11" state="visible" r:id="rId11"/>
    <sheet xmlns:r="http://schemas.openxmlformats.org/officeDocument/2006/relationships" name="B_frugal" sheetId="12" state="visible" r:id="rId12"/>
    <sheet xmlns:r="http://schemas.openxmlformats.org/officeDocument/2006/relationships" name="B_frugal_sans_dette" sheetId="13" state="visible" r:id="rId13"/>
    <sheet xmlns:r="http://schemas.openxmlformats.org/officeDocument/2006/relationships" name="A_frugal" sheetId="14" state="visible" r:id="rId14"/>
    <sheet xmlns:r="http://schemas.openxmlformats.org/officeDocument/2006/relationships" name="C_central" sheetId="15" state="visible" r:id="rId15"/>
    <sheet xmlns:r="http://schemas.openxmlformats.org/officeDocument/2006/relationships" name="C_prudent" sheetId="16" state="visible" r:id="rId16"/>
    <sheet xmlns:r="http://schemas.openxmlformats.org/officeDocument/2006/relationships" name="C_optimiste" sheetId="17" state="visible" r:id="rId17"/>
    <sheet xmlns:r="http://schemas.openxmlformats.org/officeDocument/2006/relationships" name="C_negocie" sheetId="18" state="visible" r:id="rId18"/>
    <sheet xmlns:r="http://schemas.openxmlformats.org/officeDocument/2006/relationships" name="C_holding_realiste" sheetId="19" state="visible" r:id="rId19"/>
    <sheet xmlns:r="http://schemas.openxmlformats.org/officeDocument/2006/relationships" name="D_chateau_modeste" sheetId="20" state="visible" r:id="rId20"/>
    <sheet xmlns:r="http://schemas.openxmlformats.org/officeDocument/2006/relationships" name="E_bail_emphyteotique" sheetId="21" state="visible" r:id="rId21"/>
    <sheet xmlns:r="http://schemas.openxmlformats.org/officeDocument/2006/relationships" name="E_allege" sheetId="22" state="visible" r:id="rId22"/>
    <sheet xmlns:r="http://schemas.openxmlformats.org/officeDocument/2006/relationships" name="S_Cc_CA-30" sheetId="23" state="visible" r:id="rId23"/>
    <sheet xmlns:r="http://schemas.openxmlformats.org/officeDocument/2006/relationships" name="S_Cc_Travaux+30" sheetId="24" state="visible" r:id="rId24"/>
    <sheet xmlns:r="http://schemas.openxmlformats.org/officeDocument/2006/relationships" name="S_Cc_Retard12m" sheetId="25" state="visible" r:id="rId25"/>
    <sheet xmlns:r="http://schemas.openxmlformats.org/officeDocument/2006/relationships" name="S_Cc_Taux+2pts" sheetId="26" state="visible" r:id="rId26"/>
    <sheet xmlns:r="http://schemas.openxmlformats.org/officeDocument/2006/relationships" name="S_Cc_RetraitFP50" sheetId="27" state="visible" r:id="rId27"/>
    <sheet xmlns:r="http://schemas.openxmlformats.org/officeDocument/2006/relationships" name="S_Cc_Annul40evt" sheetId="28" state="visible" r:id="rId28"/>
    <sheet xmlns:r="http://schemas.openxmlformats.org/officeDocument/2006/relationships" name="S_Cc_Cumul" sheetId="29" state="visible" r:id="rId29"/>
    <sheet xmlns:r="http://schemas.openxmlformats.org/officeDocument/2006/relationships" name="S_Cn_CA-30" sheetId="30" state="visible" r:id="rId30"/>
    <sheet xmlns:r="http://schemas.openxmlformats.org/officeDocument/2006/relationships" name="S_Cn_Travaux+30" sheetId="31" state="visible" r:id="rId31"/>
    <sheet xmlns:r="http://schemas.openxmlformats.org/officeDocument/2006/relationships" name="S_Cn_Retard12m" sheetId="32" state="visible" r:id="rId32"/>
    <sheet xmlns:r="http://schemas.openxmlformats.org/officeDocument/2006/relationships" name="S_Cn_Taux+2pts" sheetId="33" state="visible" r:id="rId33"/>
    <sheet xmlns:r="http://schemas.openxmlformats.org/officeDocument/2006/relationships" name="S_Cn_RetraitFP50" sheetId="34" state="visible" r:id="rId34"/>
    <sheet xmlns:r="http://schemas.openxmlformats.org/officeDocument/2006/relationships" name="S_Cn_Annul40evt" sheetId="35" state="visible" r:id="rId35"/>
    <sheet xmlns:r="http://schemas.openxmlformats.org/officeDocument/2006/relationships" name="S_Cn_Cumul" sheetId="36" state="visible" r:id="rId36"/>
    <sheet xmlns:r="http://schemas.openxmlformats.org/officeDocument/2006/relationships" name="S_Bfsd_CA-30" sheetId="37" state="visible" r:id="rId37"/>
    <sheet xmlns:r="http://schemas.openxmlformats.org/officeDocument/2006/relationships" name="S_Bfsd_Travaux+30" sheetId="38" state="visible" r:id="rId38"/>
    <sheet xmlns:r="http://schemas.openxmlformats.org/officeDocument/2006/relationships" name="S_Bfsd_Retard12m" sheetId="39" state="visible" r:id="rId39"/>
    <sheet xmlns:r="http://schemas.openxmlformats.org/officeDocument/2006/relationships" name="S_Bfsd_Taux+2pts" sheetId="40" state="visible" r:id="rId40"/>
    <sheet xmlns:r="http://schemas.openxmlformats.org/officeDocument/2006/relationships" name="S_Bfsd_RetraitFP50" sheetId="41" state="visible" r:id="rId41"/>
    <sheet xmlns:r="http://schemas.openxmlformats.org/officeDocument/2006/relationships" name="S_Bfsd_Annul40evt" sheetId="42" state="visible" r:id="rId42"/>
    <sheet xmlns:r="http://schemas.openxmlformats.org/officeDocument/2006/relationships" name="S_Bfsd_Cumul" sheetId="43" state="visible" r:id="rId43"/>
    <sheet xmlns:r="http://schemas.openxmlformats.org/officeDocument/2006/relationships" name="H1_une_reprise" sheetId="44" state="visible" r:id="rId44"/>
    <sheet xmlns:r="http://schemas.openxmlformats.org/officeDocument/2006/relationships" name="H2_deux_reprises" sheetId="45" state="visible" r:id="rId45"/>
    <sheet xmlns:r="http://schemas.openxmlformats.org/officeDocument/2006/relationships" name="H3_ambitieux" sheetId="46" state="visible" r:id="rId46"/>
    <sheet xmlns:r="http://schemas.openxmlformats.org/officeDocument/2006/relationships" name="Sources_hypothese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"/>
    <numFmt numFmtId="166" formatCode="0.000"/>
    <numFmt numFmtId="167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i val="1"/>
    </font>
    <font>
      <b val="1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64" fontId="5" fillId="3" borderId="0" pivotButton="0" quotePrefix="0" xfId="0"/>
    <xf numFmtId="165" fontId="5" fillId="3" borderId="0" pivotButton="0" quotePrefix="0" xfId="0"/>
    <xf numFmtId="165" fontId="4" fillId="0" borderId="0" pivotButton="0" quotePrefix="0" xfId="0"/>
    <xf numFmtId="3" fontId="5" fillId="3" borderId="0" pivotButton="0" quotePrefix="0" xfId="0"/>
    <xf numFmtId="0" fontId="5" fillId="3" borderId="0" pivotButton="0" quotePrefix="0" xfId="0"/>
    <xf numFmtId="166" fontId="0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" fontId="4" fillId="0" borderId="0" pivotButton="0" quotePrefix="0" xfId="0"/>
    <xf numFmtId="167" fontId="5" fillId="3" borderId="0" pivotButton="0" quotePrefix="0" xfId="0"/>
    <xf numFmtId="1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Opération Château v2 — Prévisionnels 10 ans</t>
        </is>
      </c>
    </row>
    <row r="2">
      <c r="A2" s="2" t="inlineStr">
        <is>
          <t>Généré le 2026-10-14 par build_model.py à partir de hypotheses.py. Toutes les cellules de calcul sont des formules : modifiez les cellules jaunes (texte bleu) pour recalculer.</t>
        </is>
      </c>
    </row>
    <row r="3">
      <c r="A3" s="2" t="inlineStr">
        <is>
          <t>Statuts des hypothèses (colonne D des blocs, colonne G des tableaux) : PL = page lue, EX = extrait de recherche, EST = estimation, INC = inconnu. Aucun financement, investisseur, vendeur ou subvention n'est acquis.</t>
        </is>
      </c>
    </row>
    <row r="4">
      <c r="A4" s="2" t="inlineStr">
        <is>
          <t>Bien de référence : château + ~40-50 ha + écuries existantes à 2,5 M€ = médiane de 19 annonces de châteaux ≥ 30 ha (agent 1, pages lues). Exemple réel le plus proche : Ygrande (03), 2,65 M€, 40,7 ha, 24 boxes, manège, 16 chambres (vente SAFER, page lue).</t>
        </is>
      </c>
    </row>
    <row r="5">
      <c r="A5" s="2" t="inlineStr">
        <is>
          <t>Scénario A — Château équestre « sport » : pension travail avec cavalier professionnel, valorisation et vente de jeunes chevaux, concours, pension premium. Financement bancaire classique (apport 1 M€).</t>
        </is>
      </c>
    </row>
    <row r="6">
      <c r="A6" s="2" t="inlineStr">
        <is>
          <t>Scénario B — Château multiactivité : pension premium + pré + retraite, mariages plafonnés, gîte, séminaires, tournages. Financement bancaire classique (apport 1 M€).</t>
        </is>
      </c>
    </row>
    <row r="7">
      <c r="A7" s="2" t="inlineStr">
        <is>
          <t>Variantes de financement de B : B_club_deal (apport 250 k€ + investisseurs majoritaires), B_credit_vendeur (apport 250 k€ + crédit-vendeur 1,5 M€), B_sans_dette (diagnostic de l'exploitation seule).</t>
        </is>
      </c>
    </row>
    <row r="8">
      <c r="A8" s="2" t="inlineStr">
        <is>
          <t>Scénario C — Le capital d'abord : holding de reprise de PME 2026-2030, achat en année 5 (2031) presque sans dette, exploitation frugale. Les fonds propres viennent de la holding (NON acquis). C_holding_realiste : la holding n'apporte que ce qu'une reprise unique dégage. Feuilles H1-H3 : moteur de capital (ce que 1 à 3 reprises de PME produisent réellement).</t>
        </is>
      </c>
    </row>
    <row r="9">
      <c r="A9" s="2" t="inlineStr">
        <is>
          <t>Scénario E — Bail emphytéotique : contrôle d'un domaine public pendant 50-99 ans sans propriété ; travaux à la charge du preneur ; redevance INCONNUE ; aucune valeur de sortie (améliorations au bailleur).</t>
        </is>
      </c>
    </row>
    <row r="10">
      <c r="A10" s="2" t="inlineStr">
        <is>
          <t>Cas prudent / optimiste : dérivés du central (volumes, prix, charges, travaux, montée en charge) — voir Sources_hypotheses. Stress tests (feuilles S_*) : appliqués aux configurations non déficitaires.</t>
        </is>
      </c>
    </row>
    <row r="11">
      <c r="A11" s="2" t="inlineStr">
        <is>
          <t>Simplifications : IS 25 % sans taux réduit ni plafonnement des déficits ; montants HT ; amortissements bâti 30 ans / travaux 15 ans ; pas de dividendes avant la sortie ; valeur de sortie = % du coût historique moins frais de cession ; loyer privé du fondateur hors CA d'exploitation.</t>
        </is>
      </c>
    </row>
    <row r="12">
      <c r="A12" s="2" t="inlineStr">
        <is>
          <t>Verdict : VIABLE si trésorerie jamais négative, trésorerie an 10 ≥ réserve, DSCR (après gros entretien) ≥ 1,2 et cash-flow libre ≥ 0 dès la 2e année d'exploitation, TRI des investisseurs extérieurs ≥ 6 % et dirigeant payé par le domaine. NON AUTOFINANCÉ si tout passe sauf la rémunération du dirigeant. Sinon FRAGILE ou NON VIABLE.</t>
        </is>
      </c>
    </row>
    <row r="13">
      <c r="A13" s="2" t="inlineStr">
        <is>
          <t>Corrections après audit (agent 8) : loyer privé retiré ; prix de pension ramenés au 3e quartile hors IdF (box 450 € TTC) ; 3 ETP pour ~54 équidés ; assurance 12 k€ ; gros entretien sur bâti + travaux ; IS 15 %/25 % ; crédit-vendeur aux conditions de marché ; prêts d'honneur comptés en dette ; C négocié limité à −20 % sur le prix ; valeur de sortie hors gros entretien ; indexation des charges = prix.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3" t="inlineStr">
        <is>
          <t>Comparaison des scénarios et stress tests (valeurs liées aux feuilles)</t>
        </is>
      </c>
    </row>
    <row r="3">
      <c r="A3" s="4" t="inlineStr">
        <is>
          <t>Feuille</t>
        </is>
      </c>
      <c r="B3" s="4" t="inlineStr">
        <is>
          <t>Emplois totaux</t>
        </is>
      </c>
      <c r="C3" s="4" t="inlineStr">
        <is>
          <t>Ressources prévues</t>
        </is>
      </c>
      <c r="D3" s="4" t="inlineStr">
        <is>
          <t>CA an 5</t>
        </is>
      </c>
      <c r="E3" s="4" t="inlineStr">
        <is>
          <t>EBITDA an 5</t>
        </is>
      </c>
      <c r="F3" s="4" t="inlineStr">
        <is>
          <t>EBITDA an 10</t>
        </is>
      </c>
      <c r="G3" s="4" t="inlineStr">
        <is>
          <t>Part équestre CA an 5</t>
        </is>
      </c>
      <c r="H3" s="4" t="inlineStr">
        <is>
          <t>Trésorerie min.</t>
        </is>
      </c>
      <c r="I3" s="4" t="inlineStr">
        <is>
          <t>Trésorerie an 10</t>
        </is>
      </c>
      <c r="J3" s="4" t="inlineStr">
        <is>
          <t>DSCR min. (exploitation an 2+)</t>
        </is>
      </c>
      <c r="K3" s="4" t="inlineStr">
        <is>
          <t>Années FCF &lt; 0 (exploitation an 2+)</t>
        </is>
      </c>
      <c r="L3" s="4" t="inlineStr">
        <is>
          <t>Dette soutenable</t>
        </is>
      </c>
      <c r="M3" s="4" t="inlineStr">
        <is>
          <t>Fonds propres nécessaires</t>
        </is>
      </c>
      <c r="N3" s="4" t="inlineStr">
        <is>
          <t>TRI investisseurs</t>
        </is>
      </c>
      <c r="O3" s="4" t="inlineStr">
        <is>
          <t>TRI fondateur</t>
        </is>
      </c>
      <c r="P3" s="4" t="inlineStr">
        <is>
          <t>Capital fondateur</t>
        </is>
      </c>
      <c r="Q3" s="4" t="inlineStr">
        <is>
          <t>Votes fondateur</t>
        </is>
      </c>
      <c r="R3" s="4" t="inlineStr">
        <is>
          <t>Verdict</t>
        </is>
      </c>
    </row>
    <row r="4">
      <c r="A4" t="inlineStr">
        <is>
          <t>A_central</t>
        </is>
      </c>
      <c r="B4" s="5">
        <f>'A_central'!$B$184</f>
        <v/>
      </c>
      <c r="C4" s="5">
        <f>'A_central'!$B$185</f>
        <v/>
      </c>
      <c r="D4" s="5">
        <f>'A_central'!$B$186</f>
        <v/>
      </c>
      <c r="E4" s="5">
        <f>'A_central'!$B$187</f>
        <v/>
      </c>
      <c r="F4" s="5">
        <f>'A_central'!$B$188</f>
        <v/>
      </c>
      <c r="G4" s="6">
        <f>'A_central'!$B$189</f>
        <v/>
      </c>
      <c r="H4" s="5">
        <f>'A_central'!$B$190</f>
        <v/>
      </c>
      <c r="I4" s="5">
        <f>'A_central'!$B$191</f>
        <v/>
      </c>
      <c r="J4" s="7">
        <f>'A_central'!$B$192</f>
        <v/>
      </c>
      <c r="K4" s="8">
        <f>'A_central'!$B$193</f>
        <v/>
      </c>
      <c r="L4" s="5">
        <f>'A_central'!$B$196</f>
        <v/>
      </c>
      <c r="M4" s="5">
        <f>'A_central'!$B$197</f>
        <v/>
      </c>
      <c r="N4" s="6">
        <f>'A_central'!$B$194</f>
        <v/>
      </c>
      <c r="O4" s="6">
        <f>'A_central'!$B$195</f>
        <v/>
      </c>
      <c r="P4" s="6">
        <f>'A_central'!$B$198</f>
        <v/>
      </c>
      <c r="Q4" s="6">
        <f>'A_central'!$B$199</f>
        <v/>
      </c>
      <c r="R4">
        <f>'A_central'!$B$200</f>
        <v/>
      </c>
    </row>
    <row r="5">
      <c r="A5" t="inlineStr">
        <is>
          <t>A_prudent</t>
        </is>
      </c>
      <c r="B5" s="5">
        <f>'A_prudent'!$B$184</f>
        <v/>
      </c>
      <c r="C5" s="5">
        <f>'A_prudent'!$B$185</f>
        <v/>
      </c>
      <c r="D5" s="5">
        <f>'A_prudent'!$B$186</f>
        <v/>
      </c>
      <c r="E5" s="5">
        <f>'A_prudent'!$B$187</f>
        <v/>
      </c>
      <c r="F5" s="5">
        <f>'A_prudent'!$B$188</f>
        <v/>
      </c>
      <c r="G5" s="6">
        <f>'A_prudent'!$B$189</f>
        <v/>
      </c>
      <c r="H5" s="5">
        <f>'A_prudent'!$B$190</f>
        <v/>
      </c>
      <c r="I5" s="5">
        <f>'A_prudent'!$B$191</f>
        <v/>
      </c>
      <c r="J5" s="7">
        <f>'A_prudent'!$B$192</f>
        <v/>
      </c>
      <c r="K5" s="8">
        <f>'A_prudent'!$B$193</f>
        <v/>
      </c>
      <c r="L5" s="5">
        <f>'A_prudent'!$B$196</f>
        <v/>
      </c>
      <c r="M5" s="5">
        <f>'A_prudent'!$B$197</f>
        <v/>
      </c>
      <c r="N5" s="6">
        <f>'A_prudent'!$B$194</f>
        <v/>
      </c>
      <c r="O5" s="6">
        <f>'A_prudent'!$B$195</f>
        <v/>
      </c>
      <c r="P5" s="6">
        <f>'A_prudent'!$B$198</f>
        <v/>
      </c>
      <c r="Q5" s="6">
        <f>'A_prudent'!$B$199</f>
        <v/>
      </c>
      <c r="R5">
        <f>'A_prudent'!$B$200</f>
        <v/>
      </c>
    </row>
    <row r="6">
      <c r="A6" t="inlineStr">
        <is>
          <t>A_optimiste</t>
        </is>
      </c>
      <c r="B6" s="5">
        <f>'A_optimiste'!$B$184</f>
        <v/>
      </c>
      <c r="C6" s="5">
        <f>'A_optimiste'!$B$185</f>
        <v/>
      </c>
      <c r="D6" s="5">
        <f>'A_optimiste'!$B$186</f>
        <v/>
      </c>
      <c r="E6" s="5">
        <f>'A_optimiste'!$B$187</f>
        <v/>
      </c>
      <c r="F6" s="5">
        <f>'A_optimiste'!$B$188</f>
        <v/>
      </c>
      <c r="G6" s="6">
        <f>'A_optimiste'!$B$189</f>
        <v/>
      </c>
      <c r="H6" s="5">
        <f>'A_optimiste'!$B$190</f>
        <v/>
      </c>
      <c r="I6" s="5">
        <f>'A_optimiste'!$B$191</f>
        <v/>
      </c>
      <c r="J6" s="7">
        <f>'A_optimiste'!$B$192</f>
        <v/>
      </c>
      <c r="K6" s="8">
        <f>'A_optimiste'!$B$193</f>
        <v/>
      </c>
      <c r="L6" s="5">
        <f>'A_optimiste'!$B$196</f>
        <v/>
      </c>
      <c r="M6" s="5">
        <f>'A_optimiste'!$B$197</f>
        <v/>
      </c>
      <c r="N6" s="6">
        <f>'A_optimiste'!$B$194</f>
        <v/>
      </c>
      <c r="O6" s="6">
        <f>'A_optimiste'!$B$195</f>
        <v/>
      </c>
      <c r="P6" s="6">
        <f>'A_optimiste'!$B$198</f>
        <v/>
      </c>
      <c r="Q6" s="6">
        <f>'A_optimiste'!$B$199</f>
        <v/>
      </c>
      <c r="R6">
        <f>'A_optimiste'!$B$200</f>
        <v/>
      </c>
    </row>
    <row r="7">
      <c r="A7" t="inlineStr">
        <is>
          <t>B_central</t>
        </is>
      </c>
      <c r="B7" s="5">
        <f>'B_central'!$B$180</f>
        <v/>
      </c>
      <c r="C7" s="5">
        <f>'B_central'!$B$181</f>
        <v/>
      </c>
      <c r="D7" s="5">
        <f>'B_central'!$B$182</f>
        <v/>
      </c>
      <c r="E7" s="5">
        <f>'B_central'!$B$183</f>
        <v/>
      </c>
      <c r="F7" s="5">
        <f>'B_central'!$B$184</f>
        <v/>
      </c>
      <c r="G7" s="6">
        <f>'B_central'!$B$185</f>
        <v/>
      </c>
      <c r="H7" s="5">
        <f>'B_central'!$B$186</f>
        <v/>
      </c>
      <c r="I7" s="5">
        <f>'B_central'!$B$187</f>
        <v/>
      </c>
      <c r="J7" s="7">
        <f>'B_central'!$B$188</f>
        <v/>
      </c>
      <c r="K7" s="8">
        <f>'B_central'!$B$189</f>
        <v/>
      </c>
      <c r="L7" s="5">
        <f>'B_central'!$B$192</f>
        <v/>
      </c>
      <c r="M7" s="5">
        <f>'B_central'!$B$193</f>
        <v/>
      </c>
      <c r="N7" s="6">
        <f>'B_central'!$B$190</f>
        <v/>
      </c>
      <c r="O7" s="6">
        <f>'B_central'!$B$191</f>
        <v/>
      </c>
      <c r="P7" s="6">
        <f>'B_central'!$B$194</f>
        <v/>
      </c>
      <c r="Q7" s="6">
        <f>'B_central'!$B$195</f>
        <v/>
      </c>
      <c r="R7">
        <f>'B_central'!$B$196</f>
        <v/>
      </c>
    </row>
    <row r="8">
      <c r="A8" t="inlineStr">
        <is>
          <t>B_prudent</t>
        </is>
      </c>
      <c r="B8" s="5">
        <f>'B_prudent'!$B$180</f>
        <v/>
      </c>
      <c r="C8" s="5">
        <f>'B_prudent'!$B$181</f>
        <v/>
      </c>
      <c r="D8" s="5">
        <f>'B_prudent'!$B$182</f>
        <v/>
      </c>
      <c r="E8" s="5">
        <f>'B_prudent'!$B$183</f>
        <v/>
      </c>
      <c r="F8" s="5">
        <f>'B_prudent'!$B$184</f>
        <v/>
      </c>
      <c r="G8" s="6">
        <f>'B_prudent'!$B$185</f>
        <v/>
      </c>
      <c r="H8" s="5">
        <f>'B_prudent'!$B$186</f>
        <v/>
      </c>
      <c r="I8" s="5">
        <f>'B_prudent'!$B$187</f>
        <v/>
      </c>
      <c r="J8" s="7">
        <f>'B_prudent'!$B$188</f>
        <v/>
      </c>
      <c r="K8" s="8">
        <f>'B_prudent'!$B$189</f>
        <v/>
      </c>
      <c r="L8" s="5">
        <f>'B_prudent'!$B$192</f>
        <v/>
      </c>
      <c r="M8" s="5">
        <f>'B_prudent'!$B$193</f>
        <v/>
      </c>
      <c r="N8" s="6">
        <f>'B_prudent'!$B$190</f>
        <v/>
      </c>
      <c r="O8" s="6">
        <f>'B_prudent'!$B$191</f>
        <v/>
      </c>
      <c r="P8" s="6">
        <f>'B_prudent'!$B$194</f>
        <v/>
      </c>
      <c r="Q8" s="6">
        <f>'B_prudent'!$B$195</f>
        <v/>
      </c>
      <c r="R8">
        <f>'B_prudent'!$B$196</f>
        <v/>
      </c>
    </row>
    <row r="9">
      <c r="A9" t="inlineStr">
        <is>
          <t>B_optimiste</t>
        </is>
      </c>
      <c r="B9" s="5">
        <f>'B_optimiste'!$B$180</f>
        <v/>
      </c>
      <c r="C9" s="5">
        <f>'B_optimiste'!$B$181</f>
        <v/>
      </c>
      <c r="D9" s="5">
        <f>'B_optimiste'!$B$182</f>
        <v/>
      </c>
      <c r="E9" s="5">
        <f>'B_optimiste'!$B$183</f>
        <v/>
      </c>
      <c r="F9" s="5">
        <f>'B_optimiste'!$B$184</f>
        <v/>
      </c>
      <c r="G9" s="6">
        <f>'B_optimiste'!$B$185</f>
        <v/>
      </c>
      <c r="H9" s="5">
        <f>'B_optimiste'!$B$186</f>
        <v/>
      </c>
      <c r="I9" s="5">
        <f>'B_optimiste'!$B$187</f>
        <v/>
      </c>
      <c r="J9" s="7">
        <f>'B_optimiste'!$B$188</f>
        <v/>
      </c>
      <c r="K9" s="8">
        <f>'B_optimiste'!$B$189</f>
        <v/>
      </c>
      <c r="L9" s="5">
        <f>'B_optimiste'!$B$192</f>
        <v/>
      </c>
      <c r="M9" s="5">
        <f>'B_optimiste'!$B$193</f>
        <v/>
      </c>
      <c r="N9" s="6">
        <f>'B_optimiste'!$B$190</f>
        <v/>
      </c>
      <c r="O9" s="6">
        <f>'B_optimiste'!$B$191</f>
        <v/>
      </c>
      <c r="P9" s="6">
        <f>'B_optimiste'!$B$194</f>
        <v/>
      </c>
      <c r="Q9" s="6">
        <f>'B_optimiste'!$B$195</f>
        <v/>
      </c>
      <c r="R9">
        <f>'B_optimiste'!$B$196</f>
        <v/>
      </c>
    </row>
    <row r="10">
      <c r="A10" t="inlineStr">
        <is>
          <t>B_club_deal</t>
        </is>
      </c>
      <c r="B10" s="5">
        <f>'B_club_deal'!$B$180</f>
        <v/>
      </c>
      <c r="C10" s="5">
        <f>'B_club_deal'!$B$181</f>
        <v/>
      </c>
      <c r="D10" s="5">
        <f>'B_club_deal'!$B$182</f>
        <v/>
      </c>
      <c r="E10" s="5">
        <f>'B_club_deal'!$B$183</f>
        <v/>
      </c>
      <c r="F10" s="5">
        <f>'B_club_deal'!$B$184</f>
        <v/>
      </c>
      <c r="G10" s="6">
        <f>'B_club_deal'!$B$185</f>
        <v/>
      </c>
      <c r="H10" s="5">
        <f>'B_club_deal'!$B$186</f>
        <v/>
      </c>
      <c r="I10" s="5">
        <f>'B_club_deal'!$B$187</f>
        <v/>
      </c>
      <c r="J10" s="7">
        <f>'B_club_deal'!$B$188</f>
        <v/>
      </c>
      <c r="K10" s="8">
        <f>'B_club_deal'!$B$189</f>
        <v/>
      </c>
      <c r="L10" s="5">
        <f>'B_club_deal'!$B$192</f>
        <v/>
      </c>
      <c r="M10" s="5">
        <f>'B_club_deal'!$B$193</f>
        <v/>
      </c>
      <c r="N10" s="6">
        <f>'B_club_deal'!$B$190</f>
        <v/>
      </c>
      <c r="O10" s="6">
        <f>'B_club_deal'!$B$191</f>
        <v/>
      </c>
      <c r="P10" s="6">
        <f>'B_club_deal'!$B$194</f>
        <v/>
      </c>
      <c r="Q10" s="6">
        <f>'B_club_deal'!$B$195</f>
        <v/>
      </c>
      <c r="R10">
        <f>'B_club_deal'!$B$196</f>
        <v/>
      </c>
    </row>
    <row r="11">
      <c r="A11" t="inlineStr">
        <is>
          <t>B_credit_vendeur</t>
        </is>
      </c>
      <c r="B11" s="5">
        <f>'B_credit_vendeur'!$B$180</f>
        <v/>
      </c>
      <c r="C11" s="5">
        <f>'B_credit_vendeur'!$B$181</f>
        <v/>
      </c>
      <c r="D11" s="5">
        <f>'B_credit_vendeur'!$B$182</f>
        <v/>
      </c>
      <c r="E11" s="5">
        <f>'B_credit_vendeur'!$B$183</f>
        <v/>
      </c>
      <c r="F11" s="5">
        <f>'B_credit_vendeur'!$B$184</f>
        <v/>
      </c>
      <c r="G11" s="6">
        <f>'B_credit_vendeur'!$B$185</f>
        <v/>
      </c>
      <c r="H11" s="5">
        <f>'B_credit_vendeur'!$B$186</f>
        <v/>
      </c>
      <c r="I11" s="5">
        <f>'B_credit_vendeur'!$B$187</f>
        <v/>
      </c>
      <c r="J11" s="7">
        <f>'B_credit_vendeur'!$B$188</f>
        <v/>
      </c>
      <c r="K11" s="8">
        <f>'B_credit_vendeur'!$B$189</f>
        <v/>
      </c>
      <c r="L11" s="5">
        <f>'B_credit_vendeur'!$B$192</f>
        <v/>
      </c>
      <c r="M11" s="5">
        <f>'B_credit_vendeur'!$B$193</f>
        <v/>
      </c>
      <c r="N11" s="6">
        <f>'B_credit_vendeur'!$B$190</f>
        <v/>
      </c>
      <c r="O11" s="6">
        <f>'B_credit_vendeur'!$B$191</f>
        <v/>
      </c>
      <c r="P11" s="6">
        <f>'B_credit_vendeur'!$B$194</f>
        <v/>
      </c>
      <c r="Q11" s="6">
        <f>'B_credit_vendeur'!$B$195</f>
        <v/>
      </c>
      <c r="R11">
        <f>'B_credit_vendeur'!$B$196</f>
        <v/>
      </c>
    </row>
    <row r="12">
      <c r="A12" t="inlineStr">
        <is>
          <t>B_sans_dette</t>
        </is>
      </c>
      <c r="B12" s="5">
        <f>'B_sans_dette'!$B$180</f>
        <v/>
      </c>
      <c r="C12" s="5">
        <f>'B_sans_dette'!$B$181</f>
        <v/>
      </c>
      <c r="D12" s="5">
        <f>'B_sans_dette'!$B$182</f>
        <v/>
      </c>
      <c r="E12" s="5">
        <f>'B_sans_dette'!$B$183</f>
        <v/>
      </c>
      <c r="F12" s="5">
        <f>'B_sans_dette'!$B$184</f>
        <v/>
      </c>
      <c r="G12" s="6">
        <f>'B_sans_dette'!$B$185</f>
        <v/>
      </c>
      <c r="H12" s="5">
        <f>'B_sans_dette'!$B$186</f>
        <v/>
      </c>
      <c r="I12" s="5">
        <f>'B_sans_dette'!$B$187</f>
        <v/>
      </c>
      <c r="J12" s="7">
        <f>'B_sans_dette'!$B$188</f>
        <v/>
      </c>
      <c r="K12" s="8">
        <f>'B_sans_dette'!$B$189</f>
        <v/>
      </c>
      <c r="L12" s="5">
        <f>'B_sans_dette'!$B$192</f>
        <v/>
      </c>
      <c r="M12" s="5">
        <f>'B_sans_dette'!$B$193</f>
        <v/>
      </c>
      <c r="N12" s="6">
        <f>'B_sans_dette'!$B$190</f>
        <v/>
      </c>
      <c r="O12" s="6">
        <f>'B_sans_dette'!$B$191</f>
        <v/>
      </c>
      <c r="P12" s="6">
        <f>'B_sans_dette'!$B$194</f>
        <v/>
      </c>
      <c r="Q12" s="6">
        <f>'B_sans_dette'!$B$195</f>
        <v/>
      </c>
      <c r="R12">
        <f>'B_sans_dette'!$B$196</f>
        <v/>
      </c>
    </row>
    <row r="13">
      <c r="A13" t="inlineStr">
        <is>
          <t>B_frugal</t>
        </is>
      </c>
      <c r="B13" s="5">
        <f>'B_frugal'!$B$178</f>
        <v/>
      </c>
      <c r="C13" s="5">
        <f>'B_frugal'!$B$179</f>
        <v/>
      </c>
      <c r="D13" s="5">
        <f>'B_frugal'!$B$180</f>
        <v/>
      </c>
      <c r="E13" s="5">
        <f>'B_frugal'!$B$181</f>
        <v/>
      </c>
      <c r="F13" s="5">
        <f>'B_frugal'!$B$182</f>
        <v/>
      </c>
      <c r="G13" s="6">
        <f>'B_frugal'!$B$183</f>
        <v/>
      </c>
      <c r="H13" s="5">
        <f>'B_frugal'!$B$184</f>
        <v/>
      </c>
      <c r="I13" s="5">
        <f>'B_frugal'!$B$185</f>
        <v/>
      </c>
      <c r="J13" s="7">
        <f>'B_frugal'!$B$186</f>
        <v/>
      </c>
      <c r="K13" s="8">
        <f>'B_frugal'!$B$187</f>
        <v/>
      </c>
      <c r="L13" s="5">
        <f>'B_frugal'!$B$190</f>
        <v/>
      </c>
      <c r="M13" s="5">
        <f>'B_frugal'!$B$191</f>
        <v/>
      </c>
      <c r="N13" s="6">
        <f>'B_frugal'!$B$188</f>
        <v/>
      </c>
      <c r="O13" s="6">
        <f>'B_frugal'!$B$189</f>
        <v/>
      </c>
      <c r="P13" s="6">
        <f>'B_frugal'!$B$192</f>
        <v/>
      </c>
      <c r="Q13" s="6">
        <f>'B_frugal'!$B$193</f>
        <v/>
      </c>
      <c r="R13">
        <f>'B_frugal'!$B$194</f>
        <v/>
      </c>
    </row>
    <row r="14">
      <c r="A14" t="inlineStr">
        <is>
          <t>B_frugal_sans_dette</t>
        </is>
      </c>
      <c r="B14" s="5">
        <f>'B_frugal_sans_dette'!$B$178</f>
        <v/>
      </c>
      <c r="C14" s="5">
        <f>'B_frugal_sans_dette'!$B$179</f>
        <v/>
      </c>
      <c r="D14" s="5">
        <f>'B_frugal_sans_dette'!$B$180</f>
        <v/>
      </c>
      <c r="E14" s="5">
        <f>'B_frugal_sans_dette'!$B$181</f>
        <v/>
      </c>
      <c r="F14" s="5">
        <f>'B_frugal_sans_dette'!$B$182</f>
        <v/>
      </c>
      <c r="G14" s="6">
        <f>'B_frugal_sans_dette'!$B$183</f>
        <v/>
      </c>
      <c r="H14" s="5">
        <f>'B_frugal_sans_dette'!$B$184</f>
        <v/>
      </c>
      <c r="I14" s="5">
        <f>'B_frugal_sans_dette'!$B$185</f>
        <v/>
      </c>
      <c r="J14" s="7">
        <f>'B_frugal_sans_dette'!$B$186</f>
        <v/>
      </c>
      <c r="K14" s="8">
        <f>'B_frugal_sans_dette'!$B$187</f>
        <v/>
      </c>
      <c r="L14" s="5">
        <f>'B_frugal_sans_dette'!$B$190</f>
        <v/>
      </c>
      <c r="M14" s="5">
        <f>'B_frugal_sans_dette'!$B$191</f>
        <v/>
      </c>
      <c r="N14" s="6">
        <f>'B_frugal_sans_dette'!$B$188</f>
        <v/>
      </c>
      <c r="O14" s="6">
        <f>'B_frugal_sans_dette'!$B$189</f>
        <v/>
      </c>
      <c r="P14" s="6">
        <f>'B_frugal_sans_dette'!$B$192</f>
        <v/>
      </c>
      <c r="Q14" s="6">
        <f>'B_frugal_sans_dette'!$B$193</f>
        <v/>
      </c>
      <c r="R14">
        <f>'B_frugal_sans_dette'!$B$194</f>
        <v/>
      </c>
    </row>
    <row r="15">
      <c r="A15" t="inlineStr">
        <is>
          <t>A_frugal</t>
        </is>
      </c>
      <c r="B15" s="5">
        <f>'A_frugal'!$B$180</f>
        <v/>
      </c>
      <c r="C15" s="5">
        <f>'A_frugal'!$B$181</f>
        <v/>
      </c>
      <c r="D15" s="5">
        <f>'A_frugal'!$B$182</f>
        <v/>
      </c>
      <c r="E15" s="5">
        <f>'A_frugal'!$B$183</f>
        <v/>
      </c>
      <c r="F15" s="5">
        <f>'A_frugal'!$B$184</f>
        <v/>
      </c>
      <c r="G15" s="6">
        <f>'A_frugal'!$B$185</f>
        <v/>
      </c>
      <c r="H15" s="5">
        <f>'A_frugal'!$B$186</f>
        <v/>
      </c>
      <c r="I15" s="5">
        <f>'A_frugal'!$B$187</f>
        <v/>
      </c>
      <c r="J15" s="7">
        <f>'A_frugal'!$B$188</f>
        <v/>
      </c>
      <c r="K15" s="8">
        <f>'A_frugal'!$B$189</f>
        <v/>
      </c>
      <c r="L15" s="5">
        <f>'A_frugal'!$B$192</f>
        <v/>
      </c>
      <c r="M15" s="5">
        <f>'A_frugal'!$B$193</f>
        <v/>
      </c>
      <c r="N15" s="6">
        <f>'A_frugal'!$B$190</f>
        <v/>
      </c>
      <c r="O15" s="6">
        <f>'A_frugal'!$B$191</f>
        <v/>
      </c>
      <c r="P15" s="6">
        <f>'A_frugal'!$B$194</f>
        <v/>
      </c>
      <c r="Q15" s="6">
        <f>'A_frugal'!$B$195</f>
        <v/>
      </c>
      <c r="R15">
        <f>'A_frugal'!$B$196</f>
        <v/>
      </c>
    </row>
    <row r="16">
      <c r="A16" t="inlineStr">
        <is>
          <t>C_central</t>
        </is>
      </c>
      <c r="B16" s="5">
        <f>'C_central'!$B$178</f>
        <v/>
      </c>
      <c r="C16" s="5">
        <f>'C_central'!$B$179</f>
        <v/>
      </c>
      <c r="D16" s="5">
        <f>'C_central'!$B$180</f>
        <v/>
      </c>
      <c r="E16" s="5">
        <f>'C_central'!$B$181</f>
        <v/>
      </c>
      <c r="F16" s="5">
        <f>'C_central'!$B$182</f>
        <v/>
      </c>
      <c r="G16" s="6">
        <f>'C_central'!$B$183</f>
        <v/>
      </c>
      <c r="H16" s="5">
        <f>'C_central'!$B$184</f>
        <v/>
      </c>
      <c r="I16" s="5">
        <f>'C_central'!$B$185</f>
        <v/>
      </c>
      <c r="J16" s="7">
        <f>'C_central'!$B$186</f>
        <v/>
      </c>
      <c r="K16" s="8">
        <f>'C_central'!$B$187</f>
        <v/>
      </c>
      <c r="L16" s="5">
        <f>'C_central'!$B$190</f>
        <v/>
      </c>
      <c r="M16" s="5">
        <f>'C_central'!$B$191</f>
        <v/>
      </c>
      <c r="N16" s="6">
        <f>'C_central'!$B$188</f>
        <v/>
      </c>
      <c r="O16" s="6">
        <f>'C_central'!$B$189</f>
        <v/>
      </c>
      <c r="P16" s="6">
        <f>'C_central'!$B$192</f>
        <v/>
      </c>
      <c r="Q16" s="6">
        <f>'C_central'!$B$193</f>
        <v/>
      </c>
      <c r="R16">
        <f>'C_central'!$B$194</f>
        <v/>
      </c>
    </row>
    <row r="17">
      <c r="A17" t="inlineStr">
        <is>
          <t>C_prudent</t>
        </is>
      </c>
      <c r="B17" s="5">
        <f>'C_prudent'!$B$178</f>
        <v/>
      </c>
      <c r="C17" s="5">
        <f>'C_prudent'!$B$179</f>
        <v/>
      </c>
      <c r="D17" s="5">
        <f>'C_prudent'!$B$180</f>
        <v/>
      </c>
      <c r="E17" s="5">
        <f>'C_prudent'!$B$181</f>
        <v/>
      </c>
      <c r="F17" s="5">
        <f>'C_prudent'!$B$182</f>
        <v/>
      </c>
      <c r="G17" s="6">
        <f>'C_prudent'!$B$183</f>
        <v/>
      </c>
      <c r="H17" s="5">
        <f>'C_prudent'!$B$184</f>
        <v/>
      </c>
      <c r="I17" s="5">
        <f>'C_prudent'!$B$185</f>
        <v/>
      </c>
      <c r="J17" s="7">
        <f>'C_prudent'!$B$186</f>
        <v/>
      </c>
      <c r="K17" s="8">
        <f>'C_prudent'!$B$187</f>
        <v/>
      </c>
      <c r="L17" s="5">
        <f>'C_prudent'!$B$190</f>
        <v/>
      </c>
      <c r="M17" s="5">
        <f>'C_prudent'!$B$191</f>
        <v/>
      </c>
      <c r="N17" s="6">
        <f>'C_prudent'!$B$188</f>
        <v/>
      </c>
      <c r="O17" s="6">
        <f>'C_prudent'!$B$189</f>
        <v/>
      </c>
      <c r="P17" s="6">
        <f>'C_prudent'!$B$192</f>
        <v/>
      </c>
      <c r="Q17" s="6">
        <f>'C_prudent'!$B$193</f>
        <v/>
      </c>
      <c r="R17">
        <f>'C_prudent'!$B$194</f>
        <v/>
      </c>
    </row>
    <row r="18">
      <c r="A18" t="inlineStr">
        <is>
          <t>C_optimiste</t>
        </is>
      </c>
      <c r="B18" s="5">
        <f>'C_optimiste'!$B$178</f>
        <v/>
      </c>
      <c r="C18" s="5">
        <f>'C_optimiste'!$B$179</f>
        <v/>
      </c>
      <c r="D18" s="5">
        <f>'C_optimiste'!$B$180</f>
        <v/>
      </c>
      <c r="E18" s="5">
        <f>'C_optimiste'!$B$181</f>
        <v/>
      </c>
      <c r="F18" s="5">
        <f>'C_optimiste'!$B$182</f>
        <v/>
      </c>
      <c r="G18" s="6">
        <f>'C_optimiste'!$B$183</f>
        <v/>
      </c>
      <c r="H18" s="5">
        <f>'C_optimiste'!$B$184</f>
        <v/>
      </c>
      <c r="I18" s="5">
        <f>'C_optimiste'!$B$185</f>
        <v/>
      </c>
      <c r="J18" s="7">
        <f>'C_optimiste'!$B$186</f>
        <v/>
      </c>
      <c r="K18" s="8">
        <f>'C_optimiste'!$B$187</f>
        <v/>
      </c>
      <c r="L18" s="5">
        <f>'C_optimiste'!$B$190</f>
        <v/>
      </c>
      <c r="M18" s="5">
        <f>'C_optimiste'!$B$191</f>
        <v/>
      </c>
      <c r="N18" s="6">
        <f>'C_optimiste'!$B$188</f>
        <v/>
      </c>
      <c r="O18" s="6">
        <f>'C_optimiste'!$B$189</f>
        <v/>
      </c>
      <c r="P18" s="6">
        <f>'C_optimiste'!$B$192</f>
        <v/>
      </c>
      <c r="Q18" s="6">
        <f>'C_optimiste'!$B$193</f>
        <v/>
      </c>
      <c r="R18">
        <f>'C_optimiste'!$B$194</f>
        <v/>
      </c>
    </row>
    <row r="19">
      <c r="A19" t="inlineStr">
        <is>
          <t>C_negocie</t>
        </is>
      </c>
      <c r="B19" s="5">
        <f>'C_negocie'!$B$178</f>
        <v/>
      </c>
      <c r="C19" s="5">
        <f>'C_negocie'!$B$179</f>
        <v/>
      </c>
      <c r="D19" s="5">
        <f>'C_negocie'!$B$180</f>
        <v/>
      </c>
      <c r="E19" s="5">
        <f>'C_negocie'!$B$181</f>
        <v/>
      </c>
      <c r="F19" s="5">
        <f>'C_negocie'!$B$182</f>
        <v/>
      </c>
      <c r="G19" s="6">
        <f>'C_negocie'!$B$183</f>
        <v/>
      </c>
      <c r="H19" s="5">
        <f>'C_negocie'!$B$184</f>
        <v/>
      </c>
      <c r="I19" s="5">
        <f>'C_negocie'!$B$185</f>
        <v/>
      </c>
      <c r="J19" s="7">
        <f>'C_negocie'!$B$186</f>
        <v/>
      </c>
      <c r="K19" s="8">
        <f>'C_negocie'!$B$187</f>
        <v/>
      </c>
      <c r="L19" s="5">
        <f>'C_negocie'!$B$190</f>
        <v/>
      </c>
      <c r="M19" s="5">
        <f>'C_negocie'!$B$191</f>
        <v/>
      </c>
      <c r="N19" s="6">
        <f>'C_negocie'!$B$188</f>
        <v/>
      </c>
      <c r="O19" s="6">
        <f>'C_negocie'!$B$189</f>
        <v/>
      </c>
      <c r="P19" s="6">
        <f>'C_negocie'!$B$192</f>
        <v/>
      </c>
      <c r="Q19" s="6">
        <f>'C_negocie'!$B$193</f>
        <v/>
      </c>
      <c r="R19">
        <f>'C_negocie'!$B$194</f>
        <v/>
      </c>
    </row>
    <row r="20">
      <c r="A20" t="inlineStr">
        <is>
          <t>C_holding_realiste</t>
        </is>
      </c>
      <c r="B20" s="5">
        <f>'C_holding_realiste'!$B$178</f>
        <v/>
      </c>
      <c r="C20" s="5">
        <f>'C_holding_realiste'!$B$179</f>
        <v/>
      </c>
      <c r="D20" s="5">
        <f>'C_holding_realiste'!$B$180</f>
        <v/>
      </c>
      <c r="E20" s="5">
        <f>'C_holding_realiste'!$B$181</f>
        <v/>
      </c>
      <c r="F20" s="5">
        <f>'C_holding_realiste'!$B$182</f>
        <v/>
      </c>
      <c r="G20" s="6">
        <f>'C_holding_realiste'!$B$183</f>
        <v/>
      </c>
      <c r="H20" s="5">
        <f>'C_holding_realiste'!$B$184</f>
        <v/>
      </c>
      <c r="I20" s="5">
        <f>'C_holding_realiste'!$B$185</f>
        <v/>
      </c>
      <c r="J20" s="7">
        <f>'C_holding_realiste'!$B$186</f>
        <v/>
      </c>
      <c r="K20" s="8">
        <f>'C_holding_realiste'!$B$187</f>
        <v/>
      </c>
      <c r="L20" s="5">
        <f>'C_holding_realiste'!$B$190</f>
        <v/>
      </c>
      <c r="M20" s="5">
        <f>'C_holding_realiste'!$B$191</f>
        <v/>
      </c>
      <c r="N20" s="6">
        <f>'C_holding_realiste'!$B$188</f>
        <v/>
      </c>
      <c r="O20" s="6">
        <f>'C_holding_realiste'!$B$189</f>
        <v/>
      </c>
      <c r="P20" s="6">
        <f>'C_holding_realiste'!$B$192</f>
        <v/>
      </c>
      <c r="Q20" s="6">
        <f>'C_holding_realiste'!$B$193</f>
        <v/>
      </c>
      <c r="R20">
        <f>'C_holding_realiste'!$B$194</f>
        <v/>
      </c>
    </row>
    <row r="21">
      <c r="A21" t="inlineStr">
        <is>
          <t>D_chateau_modeste</t>
        </is>
      </c>
      <c r="B21" s="5">
        <f>'D_chateau_modeste'!$B$176</f>
        <v/>
      </c>
      <c r="C21" s="5">
        <f>'D_chateau_modeste'!$B$177</f>
        <v/>
      </c>
      <c r="D21" s="5">
        <f>'D_chateau_modeste'!$B$178</f>
        <v/>
      </c>
      <c r="E21" s="5">
        <f>'D_chateau_modeste'!$B$179</f>
        <v/>
      </c>
      <c r="F21" s="5">
        <f>'D_chateau_modeste'!$B$180</f>
        <v/>
      </c>
      <c r="G21" s="6">
        <f>'D_chateau_modeste'!$B$181</f>
        <v/>
      </c>
      <c r="H21" s="5">
        <f>'D_chateau_modeste'!$B$182</f>
        <v/>
      </c>
      <c r="I21" s="5">
        <f>'D_chateau_modeste'!$B$183</f>
        <v/>
      </c>
      <c r="J21" s="7">
        <f>'D_chateau_modeste'!$B$184</f>
        <v/>
      </c>
      <c r="K21" s="8">
        <f>'D_chateau_modeste'!$B$185</f>
        <v/>
      </c>
      <c r="L21" s="5">
        <f>'D_chateau_modeste'!$B$188</f>
        <v/>
      </c>
      <c r="M21" s="5">
        <f>'D_chateau_modeste'!$B$189</f>
        <v/>
      </c>
      <c r="N21" s="6">
        <f>'D_chateau_modeste'!$B$186</f>
        <v/>
      </c>
      <c r="O21" s="6">
        <f>'D_chateau_modeste'!$B$187</f>
        <v/>
      </c>
      <c r="P21" s="6">
        <f>'D_chateau_modeste'!$B$190</f>
        <v/>
      </c>
      <c r="Q21" s="6">
        <f>'D_chateau_modeste'!$B$191</f>
        <v/>
      </c>
      <c r="R21">
        <f>'D_chateau_modeste'!$B$192</f>
        <v/>
      </c>
    </row>
    <row r="22">
      <c r="A22" t="inlineStr">
        <is>
          <t>E_bail_emphyteotique</t>
        </is>
      </c>
      <c r="B22" s="5">
        <f>'E_bail_emphyteotique'!$B$180</f>
        <v/>
      </c>
      <c r="C22" s="5">
        <f>'E_bail_emphyteotique'!$B$181</f>
        <v/>
      </c>
      <c r="D22" s="5">
        <f>'E_bail_emphyteotique'!$B$182</f>
        <v/>
      </c>
      <c r="E22" s="5">
        <f>'E_bail_emphyteotique'!$B$183</f>
        <v/>
      </c>
      <c r="F22" s="5">
        <f>'E_bail_emphyteotique'!$B$184</f>
        <v/>
      </c>
      <c r="G22" s="6">
        <f>'E_bail_emphyteotique'!$B$185</f>
        <v/>
      </c>
      <c r="H22" s="5">
        <f>'E_bail_emphyteotique'!$B$186</f>
        <v/>
      </c>
      <c r="I22" s="5">
        <f>'E_bail_emphyteotique'!$B$187</f>
        <v/>
      </c>
      <c r="J22" s="7">
        <f>'E_bail_emphyteotique'!$B$188</f>
        <v/>
      </c>
      <c r="K22" s="8">
        <f>'E_bail_emphyteotique'!$B$189</f>
        <v/>
      </c>
      <c r="L22" s="5">
        <f>'E_bail_emphyteotique'!$B$192</f>
        <v/>
      </c>
      <c r="M22" s="5">
        <f>'E_bail_emphyteotique'!$B$193</f>
        <v/>
      </c>
      <c r="N22" s="6">
        <f>'E_bail_emphyteotique'!$B$190</f>
        <v/>
      </c>
      <c r="O22" s="6">
        <f>'E_bail_emphyteotique'!$B$191</f>
        <v/>
      </c>
      <c r="P22" s="6">
        <f>'E_bail_emphyteotique'!$B$194</f>
        <v/>
      </c>
      <c r="Q22" s="6">
        <f>'E_bail_emphyteotique'!$B$195</f>
        <v/>
      </c>
      <c r="R22">
        <f>'E_bail_emphyteotique'!$B$196</f>
        <v/>
      </c>
    </row>
    <row r="23">
      <c r="A23" t="inlineStr">
        <is>
          <t>E_allege</t>
        </is>
      </c>
      <c r="B23" s="5">
        <f>'E_allege'!$B$180</f>
        <v/>
      </c>
      <c r="C23" s="5">
        <f>'E_allege'!$B$181</f>
        <v/>
      </c>
      <c r="D23" s="5">
        <f>'E_allege'!$B$182</f>
        <v/>
      </c>
      <c r="E23" s="5">
        <f>'E_allege'!$B$183</f>
        <v/>
      </c>
      <c r="F23" s="5">
        <f>'E_allege'!$B$184</f>
        <v/>
      </c>
      <c r="G23" s="6">
        <f>'E_allege'!$B$185</f>
        <v/>
      </c>
      <c r="H23" s="5">
        <f>'E_allege'!$B$186</f>
        <v/>
      </c>
      <c r="I23" s="5">
        <f>'E_allege'!$B$187</f>
        <v/>
      </c>
      <c r="J23" s="7">
        <f>'E_allege'!$B$188</f>
        <v/>
      </c>
      <c r="K23" s="8">
        <f>'E_allege'!$B$189</f>
        <v/>
      </c>
      <c r="L23" s="5">
        <f>'E_allege'!$B$192</f>
        <v/>
      </c>
      <c r="M23" s="5">
        <f>'E_allege'!$B$193</f>
        <v/>
      </c>
      <c r="N23" s="6">
        <f>'E_allege'!$B$190</f>
        <v/>
      </c>
      <c r="O23" s="6">
        <f>'E_allege'!$B$191</f>
        <v/>
      </c>
      <c r="P23" s="6">
        <f>'E_allege'!$B$194</f>
        <v/>
      </c>
      <c r="Q23" s="6">
        <f>'E_allege'!$B$195</f>
        <v/>
      </c>
      <c r="R23">
        <f>'E_allege'!$B$196</f>
        <v/>
      </c>
    </row>
    <row r="24">
      <c r="A24" t="inlineStr">
        <is>
          <t>S_Cc_CA-30</t>
        </is>
      </c>
      <c r="B24" s="5">
        <f>'S_Cc_CA-30'!$B$178</f>
        <v/>
      </c>
      <c r="C24" s="5">
        <f>'S_Cc_CA-30'!$B$179</f>
        <v/>
      </c>
      <c r="D24" s="5">
        <f>'S_Cc_CA-30'!$B$180</f>
        <v/>
      </c>
      <c r="E24" s="5">
        <f>'S_Cc_CA-30'!$B$181</f>
        <v/>
      </c>
      <c r="F24" s="5">
        <f>'S_Cc_CA-30'!$B$182</f>
        <v/>
      </c>
      <c r="G24" s="6">
        <f>'S_Cc_CA-30'!$B$183</f>
        <v/>
      </c>
      <c r="H24" s="5">
        <f>'S_Cc_CA-30'!$B$184</f>
        <v/>
      </c>
      <c r="I24" s="5">
        <f>'S_Cc_CA-30'!$B$185</f>
        <v/>
      </c>
      <c r="J24" s="7">
        <f>'S_Cc_CA-30'!$B$186</f>
        <v/>
      </c>
      <c r="K24" s="8">
        <f>'S_Cc_CA-30'!$B$187</f>
        <v/>
      </c>
      <c r="L24" s="5">
        <f>'S_Cc_CA-30'!$B$190</f>
        <v/>
      </c>
      <c r="M24" s="5">
        <f>'S_Cc_CA-30'!$B$191</f>
        <v/>
      </c>
      <c r="N24" s="6">
        <f>'S_Cc_CA-30'!$B$188</f>
        <v/>
      </c>
      <c r="O24" s="6">
        <f>'S_Cc_CA-30'!$B$189</f>
        <v/>
      </c>
      <c r="P24" s="6">
        <f>'S_Cc_CA-30'!$B$192</f>
        <v/>
      </c>
      <c r="Q24" s="6">
        <f>'S_Cc_CA-30'!$B$193</f>
        <v/>
      </c>
      <c r="R24">
        <f>'S_Cc_CA-30'!$B$194</f>
        <v/>
      </c>
    </row>
    <row r="25">
      <c r="A25" t="inlineStr">
        <is>
          <t>S_Cc_Travaux+30</t>
        </is>
      </c>
      <c r="B25" s="5">
        <f>'S_Cc_Travaux+30'!$B$178</f>
        <v/>
      </c>
      <c r="C25" s="5">
        <f>'S_Cc_Travaux+30'!$B$179</f>
        <v/>
      </c>
      <c r="D25" s="5">
        <f>'S_Cc_Travaux+30'!$B$180</f>
        <v/>
      </c>
      <c r="E25" s="5">
        <f>'S_Cc_Travaux+30'!$B$181</f>
        <v/>
      </c>
      <c r="F25" s="5">
        <f>'S_Cc_Travaux+30'!$B$182</f>
        <v/>
      </c>
      <c r="G25" s="6">
        <f>'S_Cc_Travaux+30'!$B$183</f>
        <v/>
      </c>
      <c r="H25" s="5">
        <f>'S_Cc_Travaux+30'!$B$184</f>
        <v/>
      </c>
      <c r="I25" s="5">
        <f>'S_Cc_Travaux+30'!$B$185</f>
        <v/>
      </c>
      <c r="J25" s="7">
        <f>'S_Cc_Travaux+30'!$B$186</f>
        <v/>
      </c>
      <c r="K25" s="8">
        <f>'S_Cc_Travaux+30'!$B$187</f>
        <v/>
      </c>
      <c r="L25" s="5">
        <f>'S_Cc_Travaux+30'!$B$190</f>
        <v/>
      </c>
      <c r="M25" s="5">
        <f>'S_Cc_Travaux+30'!$B$191</f>
        <v/>
      </c>
      <c r="N25" s="6">
        <f>'S_Cc_Travaux+30'!$B$188</f>
        <v/>
      </c>
      <c r="O25" s="6">
        <f>'S_Cc_Travaux+30'!$B$189</f>
        <v/>
      </c>
      <c r="P25" s="6">
        <f>'S_Cc_Travaux+30'!$B$192</f>
        <v/>
      </c>
      <c r="Q25" s="6">
        <f>'S_Cc_Travaux+30'!$B$193</f>
        <v/>
      </c>
      <c r="R25">
        <f>'S_Cc_Travaux+30'!$B$194</f>
        <v/>
      </c>
    </row>
    <row r="26">
      <c r="A26" t="inlineStr">
        <is>
          <t>S_Cc_Retard12m</t>
        </is>
      </c>
      <c r="B26" s="5">
        <f>'S_Cc_Retard12m'!$B$178</f>
        <v/>
      </c>
      <c r="C26" s="5">
        <f>'S_Cc_Retard12m'!$B$179</f>
        <v/>
      </c>
      <c r="D26" s="5">
        <f>'S_Cc_Retard12m'!$B$180</f>
        <v/>
      </c>
      <c r="E26" s="5">
        <f>'S_Cc_Retard12m'!$B$181</f>
        <v/>
      </c>
      <c r="F26" s="5">
        <f>'S_Cc_Retard12m'!$B$182</f>
        <v/>
      </c>
      <c r="G26" s="6">
        <f>'S_Cc_Retard12m'!$B$183</f>
        <v/>
      </c>
      <c r="H26" s="5">
        <f>'S_Cc_Retard12m'!$B$184</f>
        <v/>
      </c>
      <c r="I26" s="5">
        <f>'S_Cc_Retard12m'!$B$185</f>
        <v/>
      </c>
      <c r="J26" s="7">
        <f>'S_Cc_Retard12m'!$B$186</f>
        <v/>
      </c>
      <c r="K26" s="8">
        <f>'S_Cc_Retard12m'!$B$187</f>
        <v/>
      </c>
      <c r="L26" s="5">
        <f>'S_Cc_Retard12m'!$B$190</f>
        <v/>
      </c>
      <c r="M26" s="5">
        <f>'S_Cc_Retard12m'!$B$191</f>
        <v/>
      </c>
      <c r="N26" s="6">
        <f>'S_Cc_Retard12m'!$B$188</f>
        <v/>
      </c>
      <c r="O26" s="6">
        <f>'S_Cc_Retard12m'!$B$189</f>
        <v/>
      </c>
      <c r="P26" s="6">
        <f>'S_Cc_Retard12m'!$B$192</f>
        <v/>
      </c>
      <c r="Q26" s="6">
        <f>'S_Cc_Retard12m'!$B$193</f>
        <v/>
      </c>
      <c r="R26">
        <f>'S_Cc_Retard12m'!$B$194</f>
        <v/>
      </c>
    </row>
    <row r="27">
      <c r="A27" t="inlineStr">
        <is>
          <t>S_Cc_Taux+2pts</t>
        </is>
      </c>
      <c r="B27" s="5">
        <f>'S_Cc_Taux+2pts'!$B$178</f>
        <v/>
      </c>
      <c r="C27" s="5">
        <f>'S_Cc_Taux+2pts'!$B$179</f>
        <v/>
      </c>
      <c r="D27" s="5">
        <f>'S_Cc_Taux+2pts'!$B$180</f>
        <v/>
      </c>
      <c r="E27" s="5">
        <f>'S_Cc_Taux+2pts'!$B$181</f>
        <v/>
      </c>
      <c r="F27" s="5">
        <f>'S_Cc_Taux+2pts'!$B$182</f>
        <v/>
      </c>
      <c r="G27" s="6">
        <f>'S_Cc_Taux+2pts'!$B$183</f>
        <v/>
      </c>
      <c r="H27" s="5">
        <f>'S_Cc_Taux+2pts'!$B$184</f>
        <v/>
      </c>
      <c r="I27" s="5">
        <f>'S_Cc_Taux+2pts'!$B$185</f>
        <v/>
      </c>
      <c r="J27" s="7">
        <f>'S_Cc_Taux+2pts'!$B$186</f>
        <v/>
      </c>
      <c r="K27" s="8">
        <f>'S_Cc_Taux+2pts'!$B$187</f>
        <v/>
      </c>
      <c r="L27" s="5">
        <f>'S_Cc_Taux+2pts'!$B$190</f>
        <v/>
      </c>
      <c r="M27" s="5">
        <f>'S_Cc_Taux+2pts'!$B$191</f>
        <v/>
      </c>
      <c r="N27" s="6">
        <f>'S_Cc_Taux+2pts'!$B$188</f>
        <v/>
      </c>
      <c r="O27" s="6">
        <f>'S_Cc_Taux+2pts'!$B$189</f>
        <v/>
      </c>
      <c r="P27" s="6">
        <f>'S_Cc_Taux+2pts'!$B$192</f>
        <v/>
      </c>
      <c r="Q27" s="6">
        <f>'S_Cc_Taux+2pts'!$B$193</f>
        <v/>
      </c>
      <c r="R27">
        <f>'S_Cc_Taux+2pts'!$B$194</f>
        <v/>
      </c>
    </row>
    <row r="28">
      <c r="A28" t="inlineStr">
        <is>
          <t>S_Cc_RetraitFP50</t>
        </is>
      </c>
      <c r="B28" s="5">
        <f>'S_Cc_RetraitFP50'!$B$178</f>
        <v/>
      </c>
      <c r="C28" s="5">
        <f>'S_Cc_RetraitFP50'!$B$179</f>
        <v/>
      </c>
      <c r="D28" s="5">
        <f>'S_Cc_RetraitFP50'!$B$180</f>
        <v/>
      </c>
      <c r="E28" s="5">
        <f>'S_Cc_RetraitFP50'!$B$181</f>
        <v/>
      </c>
      <c r="F28" s="5">
        <f>'S_Cc_RetraitFP50'!$B$182</f>
        <v/>
      </c>
      <c r="G28" s="6">
        <f>'S_Cc_RetraitFP50'!$B$183</f>
        <v/>
      </c>
      <c r="H28" s="5">
        <f>'S_Cc_RetraitFP50'!$B$184</f>
        <v/>
      </c>
      <c r="I28" s="5">
        <f>'S_Cc_RetraitFP50'!$B$185</f>
        <v/>
      </c>
      <c r="J28" s="7">
        <f>'S_Cc_RetraitFP50'!$B$186</f>
        <v/>
      </c>
      <c r="K28" s="8">
        <f>'S_Cc_RetraitFP50'!$B$187</f>
        <v/>
      </c>
      <c r="L28" s="5">
        <f>'S_Cc_RetraitFP50'!$B$190</f>
        <v/>
      </c>
      <c r="M28" s="5">
        <f>'S_Cc_RetraitFP50'!$B$191</f>
        <v/>
      </c>
      <c r="N28" s="6">
        <f>'S_Cc_RetraitFP50'!$B$188</f>
        <v/>
      </c>
      <c r="O28" s="6">
        <f>'S_Cc_RetraitFP50'!$B$189</f>
        <v/>
      </c>
      <c r="P28" s="6">
        <f>'S_Cc_RetraitFP50'!$B$192</f>
        <v/>
      </c>
      <c r="Q28" s="6">
        <f>'S_Cc_RetraitFP50'!$B$193</f>
        <v/>
      </c>
      <c r="R28">
        <f>'S_Cc_RetraitFP50'!$B$194</f>
        <v/>
      </c>
    </row>
    <row r="29">
      <c r="A29" t="inlineStr">
        <is>
          <t>S_Cc_Annul40evt</t>
        </is>
      </c>
      <c r="B29" s="5">
        <f>'S_Cc_Annul40evt'!$B$178</f>
        <v/>
      </c>
      <c r="C29" s="5">
        <f>'S_Cc_Annul40evt'!$B$179</f>
        <v/>
      </c>
      <c r="D29" s="5">
        <f>'S_Cc_Annul40evt'!$B$180</f>
        <v/>
      </c>
      <c r="E29" s="5">
        <f>'S_Cc_Annul40evt'!$B$181</f>
        <v/>
      </c>
      <c r="F29" s="5">
        <f>'S_Cc_Annul40evt'!$B$182</f>
        <v/>
      </c>
      <c r="G29" s="6">
        <f>'S_Cc_Annul40evt'!$B$183</f>
        <v/>
      </c>
      <c r="H29" s="5">
        <f>'S_Cc_Annul40evt'!$B$184</f>
        <v/>
      </c>
      <c r="I29" s="5">
        <f>'S_Cc_Annul40evt'!$B$185</f>
        <v/>
      </c>
      <c r="J29" s="7">
        <f>'S_Cc_Annul40evt'!$B$186</f>
        <v/>
      </c>
      <c r="K29" s="8">
        <f>'S_Cc_Annul40evt'!$B$187</f>
        <v/>
      </c>
      <c r="L29" s="5">
        <f>'S_Cc_Annul40evt'!$B$190</f>
        <v/>
      </c>
      <c r="M29" s="5">
        <f>'S_Cc_Annul40evt'!$B$191</f>
        <v/>
      </c>
      <c r="N29" s="6">
        <f>'S_Cc_Annul40evt'!$B$188</f>
        <v/>
      </c>
      <c r="O29" s="6">
        <f>'S_Cc_Annul40evt'!$B$189</f>
        <v/>
      </c>
      <c r="P29" s="6">
        <f>'S_Cc_Annul40evt'!$B$192</f>
        <v/>
      </c>
      <c r="Q29" s="6">
        <f>'S_Cc_Annul40evt'!$B$193</f>
        <v/>
      </c>
      <c r="R29">
        <f>'S_Cc_Annul40evt'!$B$194</f>
        <v/>
      </c>
    </row>
    <row r="30">
      <c r="A30" t="inlineStr">
        <is>
          <t>S_Cc_Cumul</t>
        </is>
      </c>
      <c r="B30" s="5">
        <f>'S_Cc_Cumul'!$B$178</f>
        <v/>
      </c>
      <c r="C30" s="5">
        <f>'S_Cc_Cumul'!$B$179</f>
        <v/>
      </c>
      <c r="D30" s="5">
        <f>'S_Cc_Cumul'!$B$180</f>
        <v/>
      </c>
      <c r="E30" s="5">
        <f>'S_Cc_Cumul'!$B$181</f>
        <v/>
      </c>
      <c r="F30" s="5">
        <f>'S_Cc_Cumul'!$B$182</f>
        <v/>
      </c>
      <c r="G30" s="6">
        <f>'S_Cc_Cumul'!$B$183</f>
        <v/>
      </c>
      <c r="H30" s="5">
        <f>'S_Cc_Cumul'!$B$184</f>
        <v/>
      </c>
      <c r="I30" s="5">
        <f>'S_Cc_Cumul'!$B$185</f>
        <v/>
      </c>
      <c r="J30" s="7">
        <f>'S_Cc_Cumul'!$B$186</f>
        <v/>
      </c>
      <c r="K30" s="8">
        <f>'S_Cc_Cumul'!$B$187</f>
        <v/>
      </c>
      <c r="L30" s="5">
        <f>'S_Cc_Cumul'!$B$190</f>
        <v/>
      </c>
      <c r="M30" s="5">
        <f>'S_Cc_Cumul'!$B$191</f>
        <v/>
      </c>
      <c r="N30" s="6">
        <f>'S_Cc_Cumul'!$B$188</f>
        <v/>
      </c>
      <c r="O30" s="6">
        <f>'S_Cc_Cumul'!$B$189</f>
        <v/>
      </c>
      <c r="P30" s="6">
        <f>'S_Cc_Cumul'!$B$192</f>
        <v/>
      </c>
      <c r="Q30" s="6">
        <f>'S_Cc_Cumul'!$B$193</f>
        <v/>
      </c>
      <c r="R30">
        <f>'S_Cc_Cumul'!$B$194</f>
        <v/>
      </c>
    </row>
    <row r="31">
      <c r="A31" t="inlineStr">
        <is>
          <t>S_Cn_CA-30</t>
        </is>
      </c>
      <c r="B31" s="5">
        <f>'S_Cn_CA-30'!$B$178</f>
        <v/>
      </c>
      <c r="C31" s="5">
        <f>'S_Cn_CA-30'!$B$179</f>
        <v/>
      </c>
      <c r="D31" s="5">
        <f>'S_Cn_CA-30'!$B$180</f>
        <v/>
      </c>
      <c r="E31" s="5">
        <f>'S_Cn_CA-30'!$B$181</f>
        <v/>
      </c>
      <c r="F31" s="5">
        <f>'S_Cn_CA-30'!$B$182</f>
        <v/>
      </c>
      <c r="G31" s="6">
        <f>'S_Cn_CA-30'!$B$183</f>
        <v/>
      </c>
      <c r="H31" s="5">
        <f>'S_Cn_CA-30'!$B$184</f>
        <v/>
      </c>
      <c r="I31" s="5">
        <f>'S_Cn_CA-30'!$B$185</f>
        <v/>
      </c>
      <c r="J31" s="7">
        <f>'S_Cn_CA-30'!$B$186</f>
        <v/>
      </c>
      <c r="K31" s="8">
        <f>'S_Cn_CA-30'!$B$187</f>
        <v/>
      </c>
      <c r="L31" s="5">
        <f>'S_Cn_CA-30'!$B$190</f>
        <v/>
      </c>
      <c r="M31" s="5">
        <f>'S_Cn_CA-30'!$B$191</f>
        <v/>
      </c>
      <c r="N31" s="6">
        <f>'S_Cn_CA-30'!$B$188</f>
        <v/>
      </c>
      <c r="O31" s="6">
        <f>'S_Cn_CA-30'!$B$189</f>
        <v/>
      </c>
      <c r="P31" s="6">
        <f>'S_Cn_CA-30'!$B$192</f>
        <v/>
      </c>
      <c r="Q31" s="6">
        <f>'S_Cn_CA-30'!$B$193</f>
        <v/>
      </c>
      <c r="R31">
        <f>'S_Cn_CA-30'!$B$194</f>
        <v/>
      </c>
    </row>
    <row r="32">
      <c r="A32" t="inlineStr">
        <is>
          <t>S_Cn_Travaux+30</t>
        </is>
      </c>
      <c r="B32" s="5">
        <f>'S_Cn_Travaux+30'!$B$178</f>
        <v/>
      </c>
      <c r="C32" s="5">
        <f>'S_Cn_Travaux+30'!$B$179</f>
        <v/>
      </c>
      <c r="D32" s="5">
        <f>'S_Cn_Travaux+30'!$B$180</f>
        <v/>
      </c>
      <c r="E32" s="5">
        <f>'S_Cn_Travaux+30'!$B$181</f>
        <v/>
      </c>
      <c r="F32" s="5">
        <f>'S_Cn_Travaux+30'!$B$182</f>
        <v/>
      </c>
      <c r="G32" s="6">
        <f>'S_Cn_Travaux+30'!$B$183</f>
        <v/>
      </c>
      <c r="H32" s="5">
        <f>'S_Cn_Travaux+30'!$B$184</f>
        <v/>
      </c>
      <c r="I32" s="5">
        <f>'S_Cn_Travaux+30'!$B$185</f>
        <v/>
      </c>
      <c r="J32" s="7">
        <f>'S_Cn_Travaux+30'!$B$186</f>
        <v/>
      </c>
      <c r="K32" s="8">
        <f>'S_Cn_Travaux+30'!$B$187</f>
        <v/>
      </c>
      <c r="L32" s="5">
        <f>'S_Cn_Travaux+30'!$B$190</f>
        <v/>
      </c>
      <c r="M32" s="5">
        <f>'S_Cn_Travaux+30'!$B$191</f>
        <v/>
      </c>
      <c r="N32" s="6">
        <f>'S_Cn_Travaux+30'!$B$188</f>
        <v/>
      </c>
      <c r="O32" s="6">
        <f>'S_Cn_Travaux+30'!$B$189</f>
        <v/>
      </c>
      <c r="P32" s="6">
        <f>'S_Cn_Travaux+30'!$B$192</f>
        <v/>
      </c>
      <c r="Q32" s="6">
        <f>'S_Cn_Travaux+30'!$B$193</f>
        <v/>
      </c>
      <c r="R32">
        <f>'S_Cn_Travaux+30'!$B$194</f>
        <v/>
      </c>
    </row>
    <row r="33">
      <c r="A33" t="inlineStr">
        <is>
          <t>S_Cn_Retard12m</t>
        </is>
      </c>
      <c r="B33" s="5">
        <f>'S_Cn_Retard12m'!$B$178</f>
        <v/>
      </c>
      <c r="C33" s="5">
        <f>'S_Cn_Retard12m'!$B$179</f>
        <v/>
      </c>
      <c r="D33" s="5">
        <f>'S_Cn_Retard12m'!$B$180</f>
        <v/>
      </c>
      <c r="E33" s="5">
        <f>'S_Cn_Retard12m'!$B$181</f>
        <v/>
      </c>
      <c r="F33" s="5">
        <f>'S_Cn_Retard12m'!$B$182</f>
        <v/>
      </c>
      <c r="G33" s="6">
        <f>'S_Cn_Retard12m'!$B$183</f>
        <v/>
      </c>
      <c r="H33" s="5">
        <f>'S_Cn_Retard12m'!$B$184</f>
        <v/>
      </c>
      <c r="I33" s="5">
        <f>'S_Cn_Retard12m'!$B$185</f>
        <v/>
      </c>
      <c r="J33" s="7">
        <f>'S_Cn_Retard12m'!$B$186</f>
        <v/>
      </c>
      <c r="K33" s="8">
        <f>'S_Cn_Retard12m'!$B$187</f>
        <v/>
      </c>
      <c r="L33" s="5">
        <f>'S_Cn_Retard12m'!$B$190</f>
        <v/>
      </c>
      <c r="M33" s="5">
        <f>'S_Cn_Retard12m'!$B$191</f>
        <v/>
      </c>
      <c r="N33" s="6">
        <f>'S_Cn_Retard12m'!$B$188</f>
        <v/>
      </c>
      <c r="O33" s="6">
        <f>'S_Cn_Retard12m'!$B$189</f>
        <v/>
      </c>
      <c r="P33" s="6">
        <f>'S_Cn_Retard12m'!$B$192</f>
        <v/>
      </c>
      <c r="Q33" s="6">
        <f>'S_Cn_Retard12m'!$B$193</f>
        <v/>
      </c>
      <c r="R33">
        <f>'S_Cn_Retard12m'!$B$194</f>
        <v/>
      </c>
    </row>
    <row r="34">
      <c r="A34" t="inlineStr">
        <is>
          <t>S_Cn_Taux+2pts</t>
        </is>
      </c>
      <c r="B34" s="5">
        <f>'S_Cn_Taux+2pts'!$B$178</f>
        <v/>
      </c>
      <c r="C34" s="5">
        <f>'S_Cn_Taux+2pts'!$B$179</f>
        <v/>
      </c>
      <c r="D34" s="5">
        <f>'S_Cn_Taux+2pts'!$B$180</f>
        <v/>
      </c>
      <c r="E34" s="5">
        <f>'S_Cn_Taux+2pts'!$B$181</f>
        <v/>
      </c>
      <c r="F34" s="5">
        <f>'S_Cn_Taux+2pts'!$B$182</f>
        <v/>
      </c>
      <c r="G34" s="6">
        <f>'S_Cn_Taux+2pts'!$B$183</f>
        <v/>
      </c>
      <c r="H34" s="5">
        <f>'S_Cn_Taux+2pts'!$B$184</f>
        <v/>
      </c>
      <c r="I34" s="5">
        <f>'S_Cn_Taux+2pts'!$B$185</f>
        <v/>
      </c>
      <c r="J34" s="7">
        <f>'S_Cn_Taux+2pts'!$B$186</f>
        <v/>
      </c>
      <c r="K34" s="8">
        <f>'S_Cn_Taux+2pts'!$B$187</f>
        <v/>
      </c>
      <c r="L34" s="5">
        <f>'S_Cn_Taux+2pts'!$B$190</f>
        <v/>
      </c>
      <c r="M34" s="5">
        <f>'S_Cn_Taux+2pts'!$B$191</f>
        <v/>
      </c>
      <c r="N34" s="6">
        <f>'S_Cn_Taux+2pts'!$B$188</f>
        <v/>
      </c>
      <c r="O34" s="6">
        <f>'S_Cn_Taux+2pts'!$B$189</f>
        <v/>
      </c>
      <c r="P34" s="6">
        <f>'S_Cn_Taux+2pts'!$B$192</f>
        <v/>
      </c>
      <c r="Q34" s="6">
        <f>'S_Cn_Taux+2pts'!$B$193</f>
        <v/>
      </c>
      <c r="R34">
        <f>'S_Cn_Taux+2pts'!$B$194</f>
        <v/>
      </c>
    </row>
    <row r="35">
      <c r="A35" t="inlineStr">
        <is>
          <t>S_Cn_RetraitFP50</t>
        </is>
      </c>
      <c r="B35" s="5">
        <f>'S_Cn_RetraitFP50'!$B$178</f>
        <v/>
      </c>
      <c r="C35" s="5">
        <f>'S_Cn_RetraitFP50'!$B$179</f>
        <v/>
      </c>
      <c r="D35" s="5">
        <f>'S_Cn_RetraitFP50'!$B$180</f>
        <v/>
      </c>
      <c r="E35" s="5">
        <f>'S_Cn_RetraitFP50'!$B$181</f>
        <v/>
      </c>
      <c r="F35" s="5">
        <f>'S_Cn_RetraitFP50'!$B$182</f>
        <v/>
      </c>
      <c r="G35" s="6">
        <f>'S_Cn_RetraitFP50'!$B$183</f>
        <v/>
      </c>
      <c r="H35" s="5">
        <f>'S_Cn_RetraitFP50'!$B$184</f>
        <v/>
      </c>
      <c r="I35" s="5">
        <f>'S_Cn_RetraitFP50'!$B$185</f>
        <v/>
      </c>
      <c r="J35" s="7">
        <f>'S_Cn_RetraitFP50'!$B$186</f>
        <v/>
      </c>
      <c r="K35" s="8">
        <f>'S_Cn_RetraitFP50'!$B$187</f>
        <v/>
      </c>
      <c r="L35" s="5">
        <f>'S_Cn_RetraitFP50'!$B$190</f>
        <v/>
      </c>
      <c r="M35" s="5">
        <f>'S_Cn_RetraitFP50'!$B$191</f>
        <v/>
      </c>
      <c r="N35" s="6">
        <f>'S_Cn_RetraitFP50'!$B$188</f>
        <v/>
      </c>
      <c r="O35" s="6">
        <f>'S_Cn_RetraitFP50'!$B$189</f>
        <v/>
      </c>
      <c r="P35" s="6">
        <f>'S_Cn_RetraitFP50'!$B$192</f>
        <v/>
      </c>
      <c r="Q35" s="6">
        <f>'S_Cn_RetraitFP50'!$B$193</f>
        <v/>
      </c>
      <c r="R35">
        <f>'S_Cn_RetraitFP50'!$B$194</f>
        <v/>
      </c>
    </row>
    <row r="36">
      <c r="A36" t="inlineStr">
        <is>
          <t>S_Cn_Annul40evt</t>
        </is>
      </c>
      <c r="B36" s="5">
        <f>'S_Cn_Annul40evt'!$B$178</f>
        <v/>
      </c>
      <c r="C36" s="5">
        <f>'S_Cn_Annul40evt'!$B$179</f>
        <v/>
      </c>
      <c r="D36" s="5">
        <f>'S_Cn_Annul40evt'!$B$180</f>
        <v/>
      </c>
      <c r="E36" s="5">
        <f>'S_Cn_Annul40evt'!$B$181</f>
        <v/>
      </c>
      <c r="F36" s="5">
        <f>'S_Cn_Annul40evt'!$B$182</f>
        <v/>
      </c>
      <c r="G36" s="6">
        <f>'S_Cn_Annul40evt'!$B$183</f>
        <v/>
      </c>
      <c r="H36" s="5">
        <f>'S_Cn_Annul40evt'!$B$184</f>
        <v/>
      </c>
      <c r="I36" s="5">
        <f>'S_Cn_Annul40evt'!$B$185</f>
        <v/>
      </c>
      <c r="J36" s="7">
        <f>'S_Cn_Annul40evt'!$B$186</f>
        <v/>
      </c>
      <c r="K36" s="8">
        <f>'S_Cn_Annul40evt'!$B$187</f>
        <v/>
      </c>
      <c r="L36" s="5">
        <f>'S_Cn_Annul40evt'!$B$190</f>
        <v/>
      </c>
      <c r="M36" s="5">
        <f>'S_Cn_Annul40evt'!$B$191</f>
        <v/>
      </c>
      <c r="N36" s="6">
        <f>'S_Cn_Annul40evt'!$B$188</f>
        <v/>
      </c>
      <c r="O36" s="6">
        <f>'S_Cn_Annul40evt'!$B$189</f>
        <v/>
      </c>
      <c r="P36" s="6">
        <f>'S_Cn_Annul40evt'!$B$192</f>
        <v/>
      </c>
      <c r="Q36" s="6">
        <f>'S_Cn_Annul40evt'!$B$193</f>
        <v/>
      </c>
      <c r="R36">
        <f>'S_Cn_Annul40evt'!$B$194</f>
        <v/>
      </c>
    </row>
    <row r="37">
      <c r="A37" t="inlineStr">
        <is>
          <t>S_Cn_Cumul</t>
        </is>
      </c>
      <c r="B37" s="5">
        <f>'S_Cn_Cumul'!$B$178</f>
        <v/>
      </c>
      <c r="C37" s="5">
        <f>'S_Cn_Cumul'!$B$179</f>
        <v/>
      </c>
      <c r="D37" s="5">
        <f>'S_Cn_Cumul'!$B$180</f>
        <v/>
      </c>
      <c r="E37" s="5">
        <f>'S_Cn_Cumul'!$B$181</f>
        <v/>
      </c>
      <c r="F37" s="5">
        <f>'S_Cn_Cumul'!$B$182</f>
        <v/>
      </c>
      <c r="G37" s="6">
        <f>'S_Cn_Cumul'!$B$183</f>
        <v/>
      </c>
      <c r="H37" s="5">
        <f>'S_Cn_Cumul'!$B$184</f>
        <v/>
      </c>
      <c r="I37" s="5">
        <f>'S_Cn_Cumul'!$B$185</f>
        <v/>
      </c>
      <c r="J37" s="7">
        <f>'S_Cn_Cumul'!$B$186</f>
        <v/>
      </c>
      <c r="K37" s="8">
        <f>'S_Cn_Cumul'!$B$187</f>
        <v/>
      </c>
      <c r="L37" s="5">
        <f>'S_Cn_Cumul'!$B$190</f>
        <v/>
      </c>
      <c r="M37" s="5">
        <f>'S_Cn_Cumul'!$B$191</f>
        <v/>
      </c>
      <c r="N37" s="6">
        <f>'S_Cn_Cumul'!$B$188</f>
        <v/>
      </c>
      <c r="O37" s="6">
        <f>'S_Cn_Cumul'!$B$189</f>
        <v/>
      </c>
      <c r="P37" s="6">
        <f>'S_Cn_Cumul'!$B$192</f>
        <v/>
      </c>
      <c r="Q37" s="6">
        <f>'S_Cn_Cumul'!$B$193</f>
        <v/>
      </c>
      <c r="R37">
        <f>'S_Cn_Cumul'!$B$194</f>
        <v/>
      </c>
    </row>
    <row r="38">
      <c r="A38" t="inlineStr">
        <is>
          <t>S_Bfsd_CA-30</t>
        </is>
      </c>
      <c r="B38" s="5">
        <f>'S_Bfsd_CA-30'!$B$178</f>
        <v/>
      </c>
      <c r="C38" s="5">
        <f>'S_Bfsd_CA-30'!$B$179</f>
        <v/>
      </c>
      <c r="D38" s="5">
        <f>'S_Bfsd_CA-30'!$B$180</f>
        <v/>
      </c>
      <c r="E38" s="5">
        <f>'S_Bfsd_CA-30'!$B$181</f>
        <v/>
      </c>
      <c r="F38" s="5">
        <f>'S_Bfsd_CA-30'!$B$182</f>
        <v/>
      </c>
      <c r="G38" s="6">
        <f>'S_Bfsd_CA-30'!$B$183</f>
        <v/>
      </c>
      <c r="H38" s="5">
        <f>'S_Bfsd_CA-30'!$B$184</f>
        <v/>
      </c>
      <c r="I38" s="5">
        <f>'S_Bfsd_CA-30'!$B$185</f>
        <v/>
      </c>
      <c r="J38" s="7">
        <f>'S_Bfsd_CA-30'!$B$186</f>
        <v/>
      </c>
      <c r="K38" s="8">
        <f>'S_Bfsd_CA-30'!$B$187</f>
        <v/>
      </c>
      <c r="L38" s="5">
        <f>'S_Bfsd_CA-30'!$B$190</f>
        <v/>
      </c>
      <c r="M38" s="5">
        <f>'S_Bfsd_CA-30'!$B$191</f>
        <v/>
      </c>
      <c r="N38" s="6">
        <f>'S_Bfsd_CA-30'!$B$188</f>
        <v/>
      </c>
      <c r="O38" s="6">
        <f>'S_Bfsd_CA-30'!$B$189</f>
        <v/>
      </c>
      <c r="P38" s="6">
        <f>'S_Bfsd_CA-30'!$B$192</f>
        <v/>
      </c>
      <c r="Q38" s="6">
        <f>'S_Bfsd_CA-30'!$B$193</f>
        <v/>
      </c>
      <c r="R38">
        <f>'S_Bfsd_CA-30'!$B$194</f>
        <v/>
      </c>
    </row>
    <row r="39">
      <c r="A39" t="inlineStr">
        <is>
          <t>S_Bfsd_Travaux+30</t>
        </is>
      </c>
      <c r="B39" s="5">
        <f>'S_Bfsd_Travaux+30'!$B$178</f>
        <v/>
      </c>
      <c r="C39" s="5">
        <f>'S_Bfsd_Travaux+30'!$B$179</f>
        <v/>
      </c>
      <c r="D39" s="5">
        <f>'S_Bfsd_Travaux+30'!$B$180</f>
        <v/>
      </c>
      <c r="E39" s="5">
        <f>'S_Bfsd_Travaux+30'!$B$181</f>
        <v/>
      </c>
      <c r="F39" s="5">
        <f>'S_Bfsd_Travaux+30'!$B$182</f>
        <v/>
      </c>
      <c r="G39" s="6">
        <f>'S_Bfsd_Travaux+30'!$B$183</f>
        <v/>
      </c>
      <c r="H39" s="5">
        <f>'S_Bfsd_Travaux+30'!$B$184</f>
        <v/>
      </c>
      <c r="I39" s="5">
        <f>'S_Bfsd_Travaux+30'!$B$185</f>
        <v/>
      </c>
      <c r="J39" s="7">
        <f>'S_Bfsd_Travaux+30'!$B$186</f>
        <v/>
      </c>
      <c r="K39" s="8">
        <f>'S_Bfsd_Travaux+30'!$B$187</f>
        <v/>
      </c>
      <c r="L39" s="5">
        <f>'S_Bfsd_Travaux+30'!$B$190</f>
        <v/>
      </c>
      <c r="M39" s="5">
        <f>'S_Bfsd_Travaux+30'!$B$191</f>
        <v/>
      </c>
      <c r="N39" s="6">
        <f>'S_Bfsd_Travaux+30'!$B$188</f>
        <v/>
      </c>
      <c r="O39" s="6">
        <f>'S_Bfsd_Travaux+30'!$B$189</f>
        <v/>
      </c>
      <c r="P39" s="6">
        <f>'S_Bfsd_Travaux+30'!$B$192</f>
        <v/>
      </c>
      <c r="Q39" s="6">
        <f>'S_Bfsd_Travaux+30'!$B$193</f>
        <v/>
      </c>
      <c r="R39">
        <f>'S_Bfsd_Travaux+30'!$B$194</f>
        <v/>
      </c>
    </row>
    <row r="40">
      <c r="A40" t="inlineStr">
        <is>
          <t>S_Bfsd_Retard12m</t>
        </is>
      </c>
      <c r="B40" s="5">
        <f>'S_Bfsd_Retard12m'!$B$178</f>
        <v/>
      </c>
      <c r="C40" s="5">
        <f>'S_Bfsd_Retard12m'!$B$179</f>
        <v/>
      </c>
      <c r="D40" s="5">
        <f>'S_Bfsd_Retard12m'!$B$180</f>
        <v/>
      </c>
      <c r="E40" s="5">
        <f>'S_Bfsd_Retard12m'!$B$181</f>
        <v/>
      </c>
      <c r="F40" s="5">
        <f>'S_Bfsd_Retard12m'!$B$182</f>
        <v/>
      </c>
      <c r="G40" s="6">
        <f>'S_Bfsd_Retard12m'!$B$183</f>
        <v/>
      </c>
      <c r="H40" s="5">
        <f>'S_Bfsd_Retard12m'!$B$184</f>
        <v/>
      </c>
      <c r="I40" s="5">
        <f>'S_Bfsd_Retard12m'!$B$185</f>
        <v/>
      </c>
      <c r="J40" s="7">
        <f>'S_Bfsd_Retard12m'!$B$186</f>
        <v/>
      </c>
      <c r="K40" s="8">
        <f>'S_Bfsd_Retard12m'!$B$187</f>
        <v/>
      </c>
      <c r="L40" s="5">
        <f>'S_Bfsd_Retard12m'!$B$190</f>
        <v/>
      </c>
      <c r="M40" s="5">
        <f>'S_Bfsd_Retard12m'!$B$191</f>
        <v/>
      </c>
      <c r="N40" s="6">
        <f>'S_Bfsd_Retard12m'!$B$188</f>
        <v/>
      </c>
      <c r="O40" s="6">
        <f>'S_Bfsd_Retard12m'!$B$189</f>
        <v/>
      </c>
      <c r="P40" s="6">
        <f>'S_Bfsd_Retard12m'!$B$192</f>
        <v/>
      </c>
      <c r="Q40" s="6">
        <f>'S_Bfsd_Retard12m'!$B$193</f>
        <v/>
      </c>
      <c r="R40">
        <f>'S_Bfsd_Retard12m'!$B$194</f>
        <v/>
      </c>
    </row>
    <row r="41">
      <c r="A41" t="inlineStr">
        <is>
          <t>S_Bfsd_Taux+2pts</t>
        </is>
      </c>
      <c r="B41" s="5">
        <f>'S_Bfsd_Taux+2pts'!$B$178</f>
        <v/>
      </c>
      <c r="C41" s="5">
        <f>'S_Bfsd_Taux+2pts'!$B$179</f>
        <v/>
      </c>
      <c r="D41" s="5">
        <f>'S_Bfsd_Taux+2pts'!$B$180</f>
        <v/>
      </c>
      <c r="E41" s="5">
        <f>'S_Bfsd_Taux+2pts'!$B$181</f>
        <v/>
      </c>
      <c r="F41" s="5">
        <f>'S_Bfsd_Taux+2pts'!$B$182</f>
        <v/>
      </c>
      <c r="G41" s="6">
        <f>'S_Bfsd_Taux+2pts'!$B$183</f>
        <v/>
      </c>
      <c r="H41" s="5">
        <f>'S_Bfsd_Taux+2pts'!$B$184</f>
        <v/>
      </c>
      <c r="I41" s="5">
        <f>'S_Bfsd_Taux+2pts'!$B$185</f>
        <v/>
      </c>
      <c r="J41" s="7">
        <f>'S_Bfsd_Taux+2pts'!$B$186</f>
        <v/>
      </c>
      <c r="K41" s="8">
        <f>'S_Bfsd_Taux+2pts'!$B$187</f>
        <v/>
      </c>
      <c r="L41" s="5">
        <f>'S_Bfsd_Taux+2pts'!$B$190</f>
        <v/>
      </c>
      <c r="M41" s="5">
        <f>'S_Bfsd_Taux+2pts'!$B$191</f>
        <v/>
      </c>
      <c r="N41" s="6">
        <f>'S_Bfsd_Taux+2pts'!$B$188</f>
        <v/>
      </c>
      <c r="O41" s="6">
        <f>'S_Bfsd_Taux+2pts'!$B$189</f>
        <v/>
      </c>
      <c r="P41" s="6">
        <f>'S_Bfsd_Taux+2pts'!$B$192</f>
        <v/>
      </c>
      <c r="Q41" s="6">
        <f>'S_Bfsd_Taux+2pts'!$B$193</f>
        <v/>
      </c>
      <c r="R41">
        <f>'S_Bfsd_Taux+2pts'!$B$194</f>
        <v/>
      </c>
    </row>
    <row r="42">
      <c r="A42" t="inlineStr">
        <is>
          <t>S_Bfsd_RetraitFP50</t>
        </is>
      </c>
      <c r="B42" s="5">
        <f>'S_Bfsd_RetraitFP50'!$B$178</f>
        <v/>
      </c>
      <c r="C42" s="5">
        <f>'S_Bfsd_RetraitFP50'!$B$179</f>
        <v/>
      </c>
      <c r="D42" s="5">
        <f>'S_Bfsd_RetraitFP50'!$B$180</f>
        <v/>
      </c>
      <c r="E42" s="5">
        <f>'S_Bfsd_RetraitFP50'!$B$181</f>
        <v/>
      </c>
      <c r="F42" s="5">
        <f>'S_Bfsd_RetraitFP50'!$B$182</f>
        <v/>
      </c>
      <c r="G42" s="6">
        <f>'S_Bfsd_RetraitFP50'!$B$183</f>
        <v/>
      </c>
      <c r="H42" s="5">
        <f>'S_Bfsd_RetraitFP50'!$B$184</f>
        <v/>
      </c>
      <c r="I42" s="5">
        <f>'S_Bfsd_RetraitFP50'!$B$185</f>
        <v/>
      </c>
      <c r="J42" s="7">
        <f>'S_Bfsd_RetraitFP50'!$B$186</f>
        <v/>
      </c>
      <c r="K42" s="8">
        <f>'S_Bfsd_RetraitFP50'!$B$187</f>
        <v/>
      </c>
      <c r="L42" s="5">
        <f>'S_Bfsd_RetraitFP50'!$B$190</f>
        <v/>
      </c>
      <c r="M42" s="5">
        <f>'S_Bfsd_RetraitFP50'!$B$191</f>
        <v/>
      </c>
      <c r="N42" s="6">
        <f>'S_Bfsd_RetraitFP50'!$B$188</f>
        <v/>
      </c>
      <c r="O42" s="6">
        <f>'S_Bfsd_RetraitFP50'!$B$189</f>
        <v/>
      </c>
      <c r="P42" s="6">
        <f>'S_Bfsd_RetraitFP50'!$B$192</f>
        <v/>
      </c>
      <c r="Q42" s="6">
        <f>'S_Bfsd_RetraitFP50'!$B$193</f>
        <v/>
      </c>
      <c r="R42">
        <f>'S_Bfsd_RetraitFP50'!$B$194</f>
        <v/>
      </c>
    </row>
    <row r="43">
      <c r="A43" t="inlineStr">
        <is>
          <t>S_Bfsd_Annul40evt</t>
        </is>
      </c>
      <c r="B43" s="5">
        <f>'S_Bfsd_Annul40evt'!$B$178</f>
        <v/>
      </c>
      <c r="C43" s="5">
        <f>'S_Bfsd_Annul40evt'!$B$179</f>
        <v/>
      </c>
      <c r="D43" s="5">
        <f>'S_Bfsd_Annul40evt'!$B$180</f>
        <v/>
      </c>
      <c r="E43" s="5">
        <f>'S_Bfsd_Annul40evt'!$B$181</f>
        <v/>
      </c>
      <c r="F43" s="5">
        <f>'S_Bfsd_Annul40evt'!$B$182</f>
        <v/>
      </c>
      <c r="G43" s="6">
        <f>'S_Bfsd_Annul40evt'!$B$183</f>
        <v/>
      </c>
      <c r="H43" s="5">
        <f>'S_Bfsd_Annul40evt'!$B$184</f>
        <v/>
      </c>
      <c r="I43" s="5">
        <f>'S_Bfsd_Annul40evt'!$B$185</f>
        <v/>
      </c>
      <c r="J43" s="7">
        <f>'S_Bfsd_Annul40evt'!$B$186</f>
        <v/>
      </c>
      <c r="K43" s="8">
        <f>'S_Bfsd_Annul40evt'!$B$187</f>
        <v/>
      </c>
      <c r="L43" s="5">
        <f>'S_Bfsd_Annul40evt'!$B$190</f>
        <v/>
      </c>
      <c r="M43" s="5">
        <f>'S_Bfsd_Annul40evt'!$B$191</f>
        <v/>
      </c>
      <c r="N43" s="6">
        <f>'S_Bfsd_Annul40evt'!$B$188</f>
        <v/>
      </c>
      <c r="O43" s="6">
        <f>'S_Bfsd_Annul40evt'!$B$189</f>
        <v/>
      </c>
      <c r="P43" s="6">
        <f>'S_Bfsd_Annul40evt'!$B$192</f>
        <v/>
      </c>
      <c r="Q43" s="6">
        <f>'S_Bfsd_Annul40evt'!$B$193</f>
        <v/>
      </c>
      <c r="R43">
        <f>'S_Bfsd_Annul40evt'!$B$194</f>
        <v/>
      </c>
    </row>
    <row r="44">
      <c r="A44" t="inlineStr">
        <is>
          <t>S_Bfsd_Cumul</t>
        </is>
      </c>
      <c r="B44" s="5">
        <f>'S_Bfsd_Cumul'!$B$178</f>
        <v/>
      </c>
      <c r="C44" s="5">
        <f>'S_Bfsd_Cumul'!$B$179</f>
        <v/>
      </c>
      <c r="D44" s="5">
        <f>'S_Bfsd_Cumul'!$B$180</f>
        <v/>
      </c>
      <c r="E44" s="5">
        <f>'S_Bfsd_Cumul'!$B$181</f>
        <v/>
      </c>
      <c r="F44" s="5">
        <f>'S_Bfsd_Cumul'!$B$182</f>
        <v/>
      </c>
      <c r="G44" s="6">
        <f>'S_Bfsd_Cumul'!$B$183</f>
        <v/>
      </c>
      <c r="H44" s="5">
        <f>'S_Bfsd_Cumul'!$B$184</f>
        <v/>
      </c>
      <c r="I44" s="5">
        <f>'S_Bfsd_Cumul'!$B$185</f>
        <v/>
      </c>
      <c r="J44" s="7">
        <f>'S_Bfsd_Cumul'!$B$186</f>
        <v/>
      </c>
      <c r="K44" s="8">
        <f>'S_Bfsd_Cumul'!$B$187</f>
        <v/>
      </c>
      <c r="L44" s="5">
        <f>'S_Bfsd_Cumul'!$B$190</f>
        <v/>
      </c>
      <c r="M44" s="5">
        <f>'S_Bfsd_Cumul'!$B$191</f>
        <v/>
      </c>
      <c r="N44" s="6">
        <f>'S_Bfsd_Cumul'!$B$188</f>
        <v/>
      </c>
      <c r="O44" s="6">
        <f>'S_Bfsd_Cumul'!$B$189</f>
        <v/>
      </c>
      <c r="P44" s="6">
        <f>'S_Bfsd_Cumul'!$B$192</f>
        <v/>
      </c>
      <c r="Q44" s="6">
        <f>'S_Bfsd_Cumul'!$B$193</f>
        <v/>
      </c>
      <c r="R44">
        <f>'S_Bfsd_Cumul'!$B$194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A — Château équestre « sport »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350000</v>
      </c>
      <c r="C11" t="inlineStr">
        <is>
          <t>€</t>
        </is>
      </c>
      <c r="D11" t="inlineStr">
        <is>
          <t>EST : marcheur 35 k€, carrière 35 €/m², barn 200 €/m² (PL [A3 H19]) + 10 box supplémentaires</t>
        </is>
      </c>
    </row>
    <row r="12">
      <c r="A12" t="inlineStr">
        <is>
          <t>Investissements événementiel / hébergement</t>
        </is>
      </c>
      <c r="B12" s="12" t="n">
        <v>80000</v>
      </c>
      <c r="C12" t="inlineStr">
        <is>
          <t>€</t>
        </is>
      </c>
      <c r="D12" t="inlineStr">
        <is>
          <t>EST : salon de réception pour ventes privées, pas de salle ERP &gt; 50 pers.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travail (chevaux de sport, places occupées)</t>
        </is>
      </c>
      <c r="B65" s="15" t="n">
        <v>18</v>
      </c>
      <c r="C65" s="12" t="n">
        <v>6000</v>
      </c>
      <c r="D65" s="13" t="n">
        <v>0.29</v>
      </c>
      <c r="E65" s="16" t="n">
        <v>0</v>
      </c>
      <c r="F65" s="16" t="n">
        <v>1</v>
      </c>
      <c r="G65" t="inlineStr">
        <is>
          <t>PL : 600 € TTC/mois (médiane hors IdF 535 €, 3e quartile 612 €) [A3, recalcul A8] → 500 € HT à TVA 20 % (entraînement/valorisation) ; 20 places × 90 % ; coûts op. 1 729 €/an</t>
        </is>
      </c>
    </row>
    <row r="66">
      <c r="A66" t="inlineStr">
        <is>
          <t>Pension box premium (places occupées)</t>
        </is>
      </c>
      <c r="B66" s="15" t="n">
        <v>9</v>
      </c>
      <c r="C66" s="12" t="n">
        <v>5915</v>
      </c>
      <c r="D66" s="13" t="n">
        <v>0.2</v>
      </c>
      <c r="E66" s="16" t="n">
        <v>0</v>
      </c>
      <c r="F66" s="16" t="n">
        <v>1</v>
      </c>
      <c r="G66" t="inlineStr">
        <is>
          <t>Cf. B ; 10 places × 90 %</t>
        </is>
      </c>
    </row>
    <row r="67">
      <c r="A67" t="inlineStr">
        <is>
          <t>Pension au pré (places occupées)</t>
        </is>
      </c>
      <c r="B67" s="15" t="n">
        <v>14</v>
      </c>
      <c r="C67" s="12" t="n">
        <v>2616</v>
      </c>
      <c r="D67" s="13" t="n">
        <v>0.23</v>
      </c>
      <c r="E67" s="16" t="n">
        <v>0</v>
      </c>
      <c r="F67" s="16" t="n">
        <v>1</v>
      </c>
      <c r="G67" t="inlineStr">
        <is>
          <t>Cf. B ; 15 places × 92 %</t>
        </is>
      </c>
    </row>
    <row r="68">
      <c r="A68" t="inlineStr">
        <is>
          <t>Valorisation et vente de jeunes chevaux (marge nette par cheval vendu)</t>
        </is>
      </c>
      <c r="B68" s="15" t="n">
        <v>3</v>
      </c>
      <c r="C68" s="12" t="n">
        <v>9975</v>
      </c>
      <c r="D68" s="13" t="n">
        <v>0.1</v>
      </c>
      <c r="E68" s="16" t="n">
        <v>0</v>
      </c>
      <c r="F68" s="16" t="n">
        <v>1</v>
      </c>
      <c r="G68" t="inlineStr">
        <is>
          <t>PL : cas-type 2 chevaux/an, 36,75 k€ vendus − 16,8 k€ achetés [A3 §8] ; 3/an EST ; risque élevé</t>
        </is>
      </c>
    </row>
    <row r="69">
      <c r="A69" t="inlineStr">
        <is>
          <t>Organisation de concours (produit annuel)</t>
        </is>
      </c>
      <c r="B69" s="15" t="n">
        <v>1</v>
      </c>
      <c r="C69" s="12" t="n">
        <v>16076</v>
      </c>
      <c r="D69" s="13" t="n">
        <v>0.5</v>
      </c>
      <c r="E69" s="16" t="n">
        <v>1</v>
      </c>
      <c r="F69" s="16" t="n">
        <v>1</v>
      </c>
      <c r="G69" t="inlineStr">
        <is>
          <t>PL : produit moyen « organisation de concours » d'une pension travail 16 076 €/an [A3 §4] ; marge EST</t>
        </is>
      </c>
    </row>
    <row r="70">
      <c r="A70" t="inlineStr">
        <is>
          <t>Ventes privées / showcases B2B (soirées)</t>
        </is>
      </c>
      <c r="B70" s="15" t="n">
        <v>3</v>
      </c>
      <c r="C70" s="12" t="n">
        <v>3000</v>
      </c>
      <c r="D70" s="13" t="n">
        <v>0.4</v>
      </c>
      <c r="E70" s="16" t="n">
        <v>1</v>
      </c>
      <c r="F70" s="16" t="n">
        <v>1</v>
      </c>
      <c r="G70" t="inlineStr">
        <is>
          <t>INC : aucun tarif de location publié [A3 §8 n°10] ; EST</t>
        </is>
      </c>
    </row>
    <row r="71">
      <c r="A71" t="inlineStr">
        <is>
          <t>Gains de compétition</t>
        </is>
      </c>
      <c r="B71" s="15" t="n">
        <v>1</v>
      </c>
      <c r="C71" s="12" t="n">
        <v>12250</v>
      </c>
      <c r="D71" s="13" t="n">
        <v>0</v>
      </c>
      <c r="E71" s="16" t="n">
        <v>1</v>
      </c>
      <c r="F71" s="16" t="n">
        <v>1</v>
      </c>
      <c r="G71" t="inlineStr">
        <is>
          <t>PL : cas-type CSO 2025 12 250 € [A3 §4]</t>
        </is>
      </c>
    </row>
    <row r="72">
      <c r="A72" t="inlineStr">
        <is>
          <t>Gîte 15 couchages hors mariages (nuits)</t>
        </is>
      </c>
      <c r="B72" s="15" t="n">
        <v>92</v>
      </c>
      <c r="C72" s="12" t="n">
        <v>450</v>
      </c>
      <c r="D72" s="13" t="n">
        <v>0.45</v>
      </c>
      <c r="E72" s="16" t="n">
        <v>0</v>
      </c>
      <c r="F72" s="16" t="n">
        <v>0</v>
      </c>
      <c r="G72" t="inlineStr">
        <is>
          <t>PL : fourchettes de prix [A4 §4.2] ; 92 nuits EST (occupation annuelle ≈ 33 % observée en Normandie hors saison) [A4 §4.3]</t>
        </is>
      </c>
    </row>
    <row r="73">
      <c r="A73" t="inlineStr">
        <is>
          <t>Tournages / shootings (jours)</t>
        </is>
      </c>
      <c r="B73" s="15" t="n">
        <v>3</v>
      </c>
      <c r="C73" s="12" t="n">
        <v>2000</v>
      </c>
      <c r="D73" s="13" t="n">
        <v>0.15</v>
      </c>
      <c r="E73" s="16" t="n">
        <v>1</v>
      </c>
      <c r="F73" s="16" t="n">
        <v>0</v>
      </c>
      <c r="G73" t="inlineStr">
        <is>
          <t>PL : 1 500-4 000 €/jour [A4 §5] ; fréquence EST</t>
        </is>
      </c>
    </row>
    <row r="74">
      <c r="A74" t="inlineStr">
        <is>
          <t>Fermage / vente d'herbe (ha)</t>
        </is>
      </c>
      <c r="B74" s="15" t="n">
        <v>10</v>
      </c>
      <c r="C74" s="12" t="n">
        <v>150</v>
      </c>
      <c r="D74" s="13" t="n">
        <v>0</v>
      </c>
      <c r="E74" s="16" t="n">
        <v>0</v>
      </c>
      <c r="F74" s="16" t="n">
        <v>0</v>
      </c>
      <c r="G74" t="inlineStr">
        <is>
          <t>PL : arrêtés Orne/Calvados 2026-27 : 50-268 €/ha [A4 §8.2]</t>
        </is>
      </c>
    </row>
    <row r="76">
      <c r="A76" s="10" t="inlineStr">
        <is>
          <t>6. Charges fixes annuelles (euros de l'année d'ouverture)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4" t="inlineStr">
        <is>
          <t>Libellé</t>
        </is>
      </c>
      <c r="B77" s="4" t="inlineStr">
        <is>
          <t>Montant/an</t>
        </is>
      </c>
      <c r="C77" s="4" t="inlineStr">
        <is>
          <t>Dès l'acq. (1) / dès l'ouverture (0)</t>
        </is>
      </c>
      <c r="G77" s="4" t="inlineStr">
        <is>
          <t>Source / statut</t>
        </is>
      </c>
    </row>
    <row r="78">
      <c r="A78" t="inlineStr">
        <is>
          <t>Taxe foncière</t>
        </is>
      </c>
      <c r="B78" s="12" t="n">
        <v>6000</v>
      </c>
      <c r="C78" s="16" t="n">
        <v>1</v>
      </c>
      <c r="G78" t="inlineStr">
        <is>
          <t>EX : 2,6-4,0 k€ sur 3 annonces ; EST 4-8 k€ [A4 §11]</t>
        </is>
      </c>
    </row>
    <row r="79">
      <c r="A79" t="inlineStr">
        <is>
          <t>Assurance multirisque château</t>
        </is>
      </c>
      <c r="B79" s="12" t="n">
        <v>12000</v>
      </c>
      <c r="C79" s="16" t="n">
        <v>1</v>
      </c>
      <c r="G79" t="inlineStr">
        <is>
          <t>Correction audit : courtier spécialisé 15-30 k€ (fiabilité moyenne), annonces ≥ 2,5 k€ [A4 §11, A8] ; EST 12 k€</t>
        </is>
      </c>
    </row>
    <row r="80">
      <c r="A80" t="inlineStr">
        <is>
          <t>Énergie (chauffage partiel, électricité, eau)</t>
        </is>
      </c>
      <c r="B80" s="12" t="n">
        <v>20000</v>
      </c>
      <c r="C80" s="16" t="n">
        <v>1</v>
      </c>
      <c r="G80" t="inlineStr">
        <is>
          <t>PL : Meung, Louvignies ; EX annonce Montluçon 18-25 k€ [A1, A4 §11] ; EST</t>
        </is>
      </c>
    </row>
    <row r="81">
      <c r="A81" t="inlineStr">
        <is>
          <t>Jardinier / agent d'entretien (1 ETP au Smic chargé)</t>
        </is>
      </c>
      <c r="B81" s="12" t="n">
        <v>27000</v>
      </c>
      <c r="C81" s="16" t="n">
        <v>1</v>
      </c>
      <c r="G81" t="inlineStr">
        <is>
          <t>PL : Smic 2026 22 404 € brut/an [A4 §11] ; EST charges</t>
        </is>
      </c>
    </row>
    <row r="82">
      <c r="A82" t="inlineStr">
        <is>
          <t>Divers (abonnements, petit matériel, véhicule, honoraires)</t>
        </is>
      </c>
      <c r="B82" s="12" t="n">
        <v>8000</v>
      </c>
      <c r="C82" s="16" t="n">
        <v>1</v>
      </c>
      <c r="G82" t="inlineStr">
        <is>
          <t>EST</t>
        </is>
      </c>
    </row>
    <row r="83">
      <c r="A83" t="inlineStr">
        <is>
          <t>Cavalier professionnel / responsable d'écurie (chargé)</t>
        </is>
      </c>
      <c r="B83" s="12" t="n">
        <v>45000</v>
      </c>
      <c r="C83" s="16" t="n">
        <v>0</v>
      </c>
      <c r="G83" t="inlineStr">
        <is>
          <t>PL : grille 2 108-2 678 € brut (coef. 130-167) [A3 H15] ; EST charges</t>
        </is>
      </c>
    </row>
    <row r="84">
      <c r="A84" t="inlineStr">
        <is>
          <t>Soigneurs / cavaliers-soigneurs (2,5 ETP chargés)</t>
        </is>
      </c>
      <c r="B84" s="12" t="n">
        <v>78000</v>
      </c>
      <c r="C84" s="16" t="n">
        <v>0</v>
      </c>
      <c r="G84" t="inlineStr">
        <is>
          <t>PL [A3 H13-H14] ; 10 chevaux au travail / ETP ; ~45 équidés</t>
        </is>
      </c>
    </row>
    <row r="85">
      <c r="A85" t="inlineStr">
        <is>
          <t>Autres charges de structure équestres</t>
        </is>
      </c>
      <c r="B85" s="12" t="n">
        <v>35000</v>
      </c>
      <c r="C85" s="16" t="n">
        <v>0</v>
      </c>
      <c r="G85" t="inlineStr">
        <is>
          <t>EST : réf. structure pension travail 2 471 €/équidé [A3 §4] (salaires inclus) → calibrage</t>
        </is>
      </c>
    </row>
    <row r="86">
      <c r="A86" t="inlineStr">
        <is>
          <t>Coûts fixes du gîte</t>
        </is>
      </c>
      <c r="B86" s="12" t="n">
        <v>4400</v>
      </c>
      <c r="C86" s="16" t="n">
        <v>0</v>
      </c>
      <c r="G86" t="inlineStr">
        <is>
          <t>EST [A4 §13.1]</t>
        </is>
      </c>
    </row>
    <row r="87">
      <c r="A87" t="inlineStr">
        <is>
          <t>Commercial, site, salons</t>
        </is>
      </c>
      <c r="B87" s="12" t="n">
        <v>12000</v>
      </c>
      <c r="C87" s="16" t="n">
        <v>0</v>
      </c>
      <c r="G87" t="inlineStr">
        <is>
          <t>EST</t>
        </is>
      </c>
    </row>
    <row r="88">
      <c r="A88" t="inlineStr">
        <is>
          <t>Comptabilité, juridique, banque, logiciels</t>
        </is>
      </c>
      <c r="B88" s="12" t="n">
        <v>12000</v>
      </c>
      <c r="C88" s="16" t="n">
        <v>0</v>
      </c>
      <c r="G88" t="inlineStr">
        <is>
          <t>EST</t>
        </is>
      </c>
    </row>
    <row r="89">
      <c r="A89" t="inlineStr">
        <is>
          <t>Rémunération du dirigeant (chargée)</t>
        </is>
      </c>
      <c r="B89" s="12" t="n">
        <v>35000</v>
      </c>
      <c r="C89" s="16" t="n">
        <v>0</v>
      </c>
      <c r="G89" t="inlineStr">
        <is>
          <t>EST : minimum ; le dirigeant paie en plus 18 k€ de loyer privé</t>
        </is>
      </c>
    </row>
    <row r="91">
      <c r="A91" s="10" t="inlineStr">
        <is>
          <t>7. Calcul sur 10 ans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4" t="inlineStr">
        <is>
          <t>Année</t>
        </is>
      </c>
      <c r="B92" s="4" t="inlineStr">
        <is>
          <t>Total / réf.</t>
        </is>
      </c>
      <c r="C92" s="4" t="n">
        <v>1</v>
      </c>
      <c r="D92" s="4" t="n">
        <v>2</v>
      </c>
      <c r="E92" s="4" t="n">
        <v>3</v>
      </c>
      <c r="F92" s="4" t="n">
        <v>4</v>
      </c>
      <c r="G92" s="4" t="n">
        <v>5</v>
      </c>
      <c r="H92" s="4" t="n">
        <v>6</v>
      </c>
      <c r="I92" s="4" t="n">
        <v>7</v>
      </c>
      <c r="J92" s="4" t="n">
        <v>8</v>
      </c>
      <c r="K92" s="4" t="n">
        <v>9</v>
      </c>
      <c r="L92" s="4" t="n">
        <v>10</v>
      </c>
    </row>
    <row r="93">
      <c r="A93" t="inlineStr">
        <is>
          <t>Année d'ouverture effective</t>
        </is>
      </c>
      <c r="C93" s="8">
        <f>$B$6+$B$47</f>
        <v/>
      </c>
      <c r="D93" s="8">
        <f>$B$6+$B$47</f>
        <v/>
      </c>
      <c r="E93" s="8">
        <f>$B$6+$B$47</f>
        <v/>
      </c>
      <c r="F93" s="8">
        <f>$B$6+$B$47</f>
        <v/>
      </c>
      <c r="G93" s="8">
        <f>$B$6+$B$47</f>
        <v/>
      </c>
      <c r="H93" s="8">
        <f>$B$6+$B$47</f>
        <v/>
      </c>
      <c r="I93" s="8">
        <f>$B$6+$B$47</f>
        <v/>
      </c>
      <c r="J93" s="8">
        <f>$B$6+$B$47</f>
        <v/>
      </c>
      <c r="K93" s="8">
        <f>$B$6+$B$47</f>
        <v/>
      </c>
      <c r="L93" s="8">
        <f>$B$6+$B$47</f>
        <v/>
      </c>
    </row>
    <row r="94">
      <c r="A94" t="inlineStr">
        <is>
          <t>Rang de l'année d'exploitation</t>
        </is>
      </c>
      <c r="C94" s="8">
        <f>MAX(0,C$92-C93+1)</f>
        <v/>
      </c>
      <c r="D94" s="8">
        <f>MAX(0,D$92-D93+1)</f>
        <v/>
      </c>
      <c r="E94" s="8">
        <f>MAX(0,E$92-E93+1)</f>
        <v/>
      </c>
      <c r="F94" s="8">
        <f>MAX(0,F$92-F93+1)</f>
        <v/>
      </c>
      <c r="G94" s="8">
        <f>MAX(0,G$92-G93+1)</f>
        <v/>
      </c>
      <c r="H94" s="8">
        <f>MAX(0,H$92-H93+1)</f>
        <v/>
      </c>
      <c r="I94" s="8">
        <f>MAX(0,I$92-I93+1)</f>
        <v/>
      </c>
      <c r="J94" s="8">
        <f>MAX(0,J$92-J93+1)</f>
        <v/>
      </c>
      <c r="K94" s="8">
        <f>MAX(0,K$92-K93+1)</f>
        <v/>
      </c>
      <c r="L94" s="8">
        <f>MAX(0,L$92-L93+1)</f>
        <v/>
      </c>
    </row>
    <row r="95">
      <c r="A95" t="inlineStr">
        <is>
          <t>Coefficient de montée en charge</t>
        </is>
      </c>
      <c r="C95" s="6">
        <f>IF(C94=0,0,IF(C94=1,$B$53,IF(C94=2,$B$54,IF(C94=3,$B$55,1))))</f>
        <v/>
      </c>
      <c r="D95" s="6">
        <f>IF(D94=0,0,IF(D94=1,$B$53,IF(D94=2,$B$54,IF(D94=3,$B$55,1))))</f>
        <v/>
      </c>
      <c r="E95" s="6">
        <f>IF(E94=0,0,IF(E94=1,$B$53,IF(E94=2,$B$54,IF(E94=3,$B$55,1))))</f>
        <v/>
      </c>
      <c r="F95" s="6">
        <f>IF(F94=0,0,IF(F94=1,$B$53,IF(F94=2,$B$54,IF(F94=3,$B$55,1))))</f>
        <v/>
      </c>
      <c r="G95" s="6">
        <f>IF(G94=0,0,IF(G94=1,$B$53,IF(G94=2,$B$54,IF(G94=3,$B$55,1))))</f>
        <v/>
      </c>
      <c r="H95" s="6">
        <f>IF(H94=0,0,IF(H94=1,$B$53,IF(H94=2,$B$54,IF(H94=3,$B$55,1))))</f>
        <v/>
      </c>
      <c r="I95" s="6">
        <f>IF(I94=0,0,IF(I94=1,$B$53,IF(I94=2,$B$54,IF(I94=3,$B$55,1))))</f>
        <v/>
      </c>
      <c r="J95" s="6">
        <f>IF(J94=0,0,IF(J94=1,$B$53,IF(J94=2,$B$54,IF(J94=3,$B$55,1))))</f>
        <v/>
      </c>
      <c r="K95" s="6">
        <f>IF(K94=0,0,IF(K94=1,$B$53,IF(K94=2,$B$54,IF(K94=3,$B$55,1))))</f>
        <v/>
      </c>
      <c r="L95" s="6">
        <f>IF(L94=0,0,IF(L94=1,$B$53,IF(L94=2,$B$54,IF(L94=3,$B$55,1))))</f>
        <v/>
      </c>
    </row>
    <row r="96">
      <c r="A96" t="inlineStr">
        <is>
          <t>Indice prix</t>
        </is>
      </c>
      <c r="C96" s="17">
        <f>(1+$B$56)^(C$92-1)</f>
        <v/>
      </c>
      <c r="D96" s="17">
        <f>(1+$B$56)^(D$92-1)</f>
        <v/>
      </c>
      <c r="E96" s="17">
        <f>(1+$B$56)^(E$92-1)</f>
        <v/>
      </c>
      <c r="F96" s="17">
        <f>(1+$B$56)^(F$92-1)</f>
        <v/>
      </c>
      <c r="G96" s="17">
        <f>(1+$B$56)^(G$92-1)</f>
        <v/>
      </c>
      <c r="H96" s="17">
        <f>(1+$B$56)^(H$92-1)</f>
        <v/>
      </c>
      <c r="I96" s="17">
        <f>(1+$B$56)^(I$92-1)</f>
        <v/>
      </c>
      <c r="J96" s="17">
        <f>(1+$B$56)^(J$92-1)</f>
        <v/>
      </c>
      <c r="K96" s="17">
        <f>(1+$B$56)^(K$92-1)</f>
        <v/>
      </c>
      <c r="L96" s="17">
        <f>(1+$B$56)^(L$92-1)</f>
        <v/>
      </c>
    </row>
    <row r="97">
      <c r="A97" t="inlineStr">
        <is>
          <t>Indice charges</t>
        </is>
      </c>
      <c r="C97" s="17">
        <f>(1+$B$57)^(C$92-1)</f>
        <v/>
      </c>
      <c r="D97" s="17">
        <f>(1+$B$57)^(D$92-1)</f>
        <v/>
      </c>
      <c r="E97" s="17">
        <f>(1+$B$57)^(E$92-1)</f>
        <v/>
      </c>
      <c r="F97" s="17">
        <f>(1+$B$57)^(F$92-1)</f>
        <v/>
      </c>
      <c r="G97" s="17">
        <f>(1+$B$57)^(G$92-1)</f>
        <v/>
      </c>
      <c r="H97" s="17">
        <f>(1+$B$57)^(H$92-1)</f>
        <v/>
      </c>
      <c r="I97" s="17">
        <f>(1+$B$57)^(I$92-1)</f>
        <v/>
      </c>
      <c r="J97" s="17">
        <f>(1+$B$57)^(J$92-1)</f>
        <v/>
      </c>
      <c r="K97" s="17">
        <f>(1+$B$57)^(K$92-1)</f>
        <v/>
      </c>
      <c r="L97" s="17">
        <f>(1+$B$57)^(L$92-1)</f>
        <v/>
      </c>
    </row>
    <row r="98">
      <c r="A98" t="inlineStr">
        <is>
          <t>Murs détenus (1/0)</t>
        </is>
      </c>
      <c r="C98" s="8">
        <f>IF(C$92&gt;=$B$5,1,0)</f>
        <v/>
      </c>
      <c r="D98" s="8">
        <f>IF(D$92&gt;=$B$5,1,0)</f>
        <v/>
      </c>
      <c r="E98" s="8">
        <f>IF(E$92&gt;=$B$5,1,0)</f>
        <v/>
      </c>
      <c r="F98" s="8">
        <f>IF(F$92&gt;=$B$5,1,0)</f>
        <v/>
      </c>
      <c r="G98" s="8">
        <f>IF(G$92&gt;=$B$5,1,0)</f>
        <v/>
      </c>
      <c r="H98" s="8">
        <f>IF(H$92&gt;=$B$5,1,0)</f>
        <v/>
      </c>
      <c r="I98" s="8">
        <f>IF(I$92&gt;=$B$5,1,0)</f>
        <v/>
      </c>
      <c r="J98" s="8">
        <f>IF(J$92&gt;=$B$5,1,0)</f>
        <v/>
      </c>
      <c r="K98" s="8">
        <f>IF(K$92&gt;=$B$5,1,0)</f>
        <v/>
      </c>
      <c r="L98" s="8">
        <f>IF(L$92&gt;=$B$5,1,0)</f>
        <v/>
      </c>
    </row>
    <row r="100">
      <c r="A100" s="4" t="inlineStr">
        <is>
          <t>Compte de résultat</t>
        </is>
      </c>
    </row>
    <row r="101">
      <c r="A101" t="inlineStr">
        <is>
          <t xml:space="preserve">  Pension travail (chevaux de sport, places occupées)</t>
        </is>
      </c>
      <c r="B101" s="5">
        <f>SUM(C101:L101)</f>
        <v/>
      </c>
      <c r="C101" s="5">
        <f>$B$65*$C$65*C95*C96*$B$45*(1-$E$65*$B$50)</f>
        <v/>
      </c>
      <c r="D101" s="5">
        <f>$B$65*$C$65*D95*D96*$B$45*(1-$E$65*$B$50)</f>
        <v/>
      </c>
      <c r="E101" s="5">
        <f>$B$65*$C$65*E95*E96*$B$45*(1-$E$65*$B$50)</f>
        <v/>
      </c>
      <c r="F101" s="5">
        <f>$B$65*$C$65*F95*F96*$B$45*(1-$E$65*$B$50)</f>
        <v/>
      </c>
      <c r="G101" s="5">
        <f>$B$65*$C$65*G95*G96*$B$45*(1-$E$65*$B$50)</f>
        <v/>
      </c>
      <c r="H101" s="5">
        <f>$B$65*$C$65*H95*H96*$B$45*(1-$E$65*$B$50)</f>
        <v/>
      </c>
      <c r="I101" s="5">
        <f>$B$65*$C$65*I95*I96*$B$45*(1-$E$65*$B$50)</f>
        <v/>
      </c>
      <c r="J101" s="5">
        <f>$B$65*$C$65*J95*J96*$B$45*(1-$E$65*$B$50)</f>
        <v/>
      </c>
      <c r="K101" s="5">
        <f>$B$65*$C$65*K95*K96*$B$45*(1-$E$65*$B$50)</f>
        <v/>
      </c>
      <c r="L101" s="5">
        <f>$B$65*$C$65*L95*L96*$B$45*(1-$E$65*$B$50)</f>
        <v/>
      </c>
    </row>
    <row r="102">
      <c r="A102" t="inlineStr">
        <is>
          <t xml:space="preserve">  Pension box premium (places occupées)</t>
        </is>
      </c>
      <c r="B102" s="5">
        <f>SUM(C102:L102)</f>
        <v/>
      </c>
      <c r="C102" s="5">
        <f>$B$66*$C$66*C95*C96*$B$45*(1-$E$66*$B$50)</f>
        <v/>
      </c>
      <c r="D102" s="5">
        <f>$B$66*$C$66*D95*D96*$B$45*(1-$E$66*$B$50)</f>
        <v/>
      </c>
      <c r="E102" s="5">
        <f>$B$66*$C$66*E95*E96*$B$45*(1-$E$66*$B$50)</f>
        <v/>
      </c>
      <c r="F102" s="5">
        <f>$B$66*$C$66*F95*F96*$B$45*(1-$E$66*$B$50)</f>
        <v/>
      </c>
      <c r="G102" s="5">
        <f>$B$66*$C$66*G95*G96*$B$45*(1-$E$66*$B$50)</f>
        <v/>
      </c>
      <c r="H102" s="5">
        <f>$B$66*$C$66*H95*H96*$B$45*(1-$E$66*$B$50)</f>
        <v/>
      </c>
      <c r="I102" s="5">
        <f>$B$66*$C$66*I95*I96*$B$45*(1-$E$66*$B$50)</f>
        <v/>
      </c>
      <c r="J102" s="5">
        <f>$B$66*$C$66*J95*J96*$B$45*(1-$E$66*$B$50)</f>
        <v/>
      </c>
      <c r="K102" s="5">
        <f>$B$66*$C$66*K95*K96*$B$45*(1-$E$66*$B$50)</f>
        <v/>
      </c>
      <c r="L102" s="5">
        <f>$B$66*$C$66*L95*L96*$B$45*(1-$E$66*$B$50)</f>
        <v/>
      </c>
    </row>
    <row r="103">
      <c r="A103" t="inlineStr">
        <is>
          <t xml:space="preserve">  Pension au pré (places occupées)</t>
        </is>
      </c>
      <c r="B103" s="5">
        <f>SUM(C103:L103)</f>
        <v/>
      </c>
      <c r="C103" s="5">
        <f>$B$67*$C$67*C95*C96*$B$45*(1-$E$67*$B$50)</f>
        <v/>
      </c>
      <c r="D103" s="5">
        <f>$B$67*$C$67*D95*D96*$B$45*(1-$E$67*$B$50)</f>
        <v/>
      </c>
      <c r="E103" s="5">
        <f>$B$67*$C$67*E95*E96*$B$45*(1-$E$67*$B$50)</f>
        <v/>
      </c>
      <c r="F103" s="5">
        <f>$B$67*$C$67*F95*F96*$B$45*(1-$E$67*$B$50)</f>
        <v/>
      </c>
      <c r="G103" s="5">
        <f>$B$67*$C$67*G95*G96*$B$45*(1-$E$67*$B$50)</f>
        <v/>
      </c>
      <c r="H103" s="5">
        <f>$B$67*$C$67*H95*H96*$B$45*(1-$E$67*$B$50)</f>
        <v/>
      </c>
      <c r="I103" s="5">
        <f>$B$67*$C$67*I95*I96*$B$45*(1-$E$67*$B$50)</f>
        <v/>
      </c>
      <c r="J103" s="5">
        <f>$B$67*$C$67*J95*J96*$B$45*(1-$E$67*$B$50)</f>
        <v/>
      </c>
      <c r="K103" s="5">
        <f>$B$67*$C$67*K95*K96*$B$45*(1-$E$67*$B$50)</f>
        <v/>
      </c>
      <c r="L103" s="5">
        <f>$B$67*$C$67*L95*L96*$B$45*(1-$E$67*$B$50)</f>
        <v/>
      </c>
    </row>
    <row r="104">
      <c r="A104" t="inlineStr">
        <is>
          <t xml:space="preserve">  Valorisation et vente de jeunes chevaux (marge nette par cheval vendu)</t>
        </is>
      </c>
      <c r="B104" s="5">
        <f>SUM(C104:L104)</f>
        <v/>
      </c>
      <c r="C104" s="5">
        <f>$B$68*$C$68*C95*C96*$B$45*(1-$E$68*$B$50)</f>
        <v/>
      </c>
      <c r="D104" s="5">
        <f>$B$68*$C$68*D95*D96*$B$45*(1-$E$68*$B$50)</f>
        <v/>
      </c>
      <c r="E104" s="5">
        <f>$B$68*$C$68*E95*E96*$B$45*(1-$E$68*$B$50)</f>
        <v/>
      </c>
      <c r="F104" s="5">
        <f>$B$68*$C$68*F95*F96*$B$45*(1-$E$68*$B$50)</f>
        <v/>
      </c>
      <c r="G104" s="5">
        <f>$B$68*$C$68*G95*G96*$B$45*(1-$E$68*$B$50)</f>
        <v/>
      </c>
      <c r="H104" s="5">
        <f>$B$68*$C$68*H95*H96*$B$45*(1-$E$68*$B$50)</f>
        <v/>
      </c>
      <c r="I104" s="5">
        <f>$B$68*$C$68*I95*I96*$B$45*(1-$E$68*$B$50)</f>
        <v/>
      </c>
      <c r="J104" s="5">
        <f>$B$68*$C$68*J95*J96*$B$45*(1-$E$68*$B$50)</f>
        <v/>
      </c>
      <c r="K104" s="5">
        <f>$B$68*$C$68*K95*K96*$B$45*(1-$E$68*$B$50)</f>
        <v/>
      </c>
      <c r="L104" s="5">
        <f>$B$68*$C$68*L95*L96*$B$45*(1-$E$68*$B$50)</f>
        <v/>
      </c>
    </row>
    <row r="105">
      <c r="A105" t="inlineStr">
        <is>
          <t xml:space="preserve">  Organisation de concours (produit annuel)</t>
        </is>
      </c>
      <c r="B105" s="5">
        <f>SUM(C105:L105)</f>
        <v/>
      </c>
      <c r="C105" s="5">
        <f>$B$69*$C$69*C95*C96*$B$45*(1-$E$69*$B$50)</f>
        <v/>
      </c>
      <c r="D105" s="5">
        <f>$B$69*$C$69*D95*D96*$B$45*(1-$E$69*$B$50)</f>
        <v/>
      </c>
      <c r="E105" s="5">
        <f>$B$69*$C$69*E95*E96*$B$45*(1-$E$69*$B$50)</f>
        <v/>
      </c>
      <c r="F105" s="5">
        <f>$B$69*$C$69*F95*F96*$B$45*(1-$E$69*$B$50)</f>
        <v/>
      </c>
      <c r="G105" s="5">
        <f>$B$69*$C$69*G95*G96*$B$45*(1-$E$69*$B$50)</f>
        <v/>
      </c>
      <c r="H105" s="5">
        <f>$B$69*$C$69*H95*H96*$B$45*(1-$E$69*$B$50)</f>
        <v/>
      </c>
      <c r="I105" s="5">
        <f>$B$69*$C$69*I95*I96*$B$45*(1-$E$69*$B$50)</f>
        <v/>
      </c>
      <c r="J105" s="5">
        <f>$B$69*$C$69*J95*J96*$B$45*(1-$E$69*$B$50)</f>
        <v/>
      </c>
      <c r="K105" s="5">
        <f>$B$69*$C$69*K95*K96*$B$45*(1-$E$69*$B$50)</f>
        <v/>
      </c>
      <c r="L105" s="5">
        <f>$B$69*$C$69*L95*L96*$B$45*(1-$E$69*$B$50)</f>
        <v/>
      </c>
    </row>
    <row r="106">
      <c r="A106" t="inlineStr">
        <is>
          <t xml:space="preserve">  Ventes privées / showcases B2B (soirées)</t>
        </is>
      </c>
      <c r="B106" s="5">
        <f>SUM(C106:L106)</f>
        <v/>
      </c>
      <c r="C106" s="5">
        <f>$B$70*$C$70*C95*C96*$B$45*(1-$E$70*$B$50)</f>
        <v/>
      </c>
      <c r="D106" s="5">
        <f>$B$70*$C$70*D95*D96*$B$45*(1-$E$70*$B$50)</f>
        <v/>
      </c>
      <c r="E106" s="5">
        <f>$B$70*$C$70*E95*E96*$B$45*(1-$E$70*$B$50)</f>
        <v/>
      </c>
      <c r="F106" s="5">
        <f>$B$70*$C$70*F95*F96*$B$45*(1-$E$70*$B$50)</f>
        <v/>
      </c>
      <c r="G106" s="5">
        <f>$B$70*$C$70*G95*G96*$B$45*(1-$E$70*$B$50)</f>
        <v/>
      </c>
      <c r="H106" s="5">
        <f>$B$70*$C$70*H95*H96*$B$45*(1-$E$70*$B$50)</f>
        <v/>
      </c>
      <c r="I106" s="5">
        <f>$B$70*$C$70*I95*I96*$B$45*(1-$E$70*$B$50)</f>
        <v/>
      </c>
      <c r="J106" s="5">
        <f>$B$70*$C$70*J95*J96*$B$45*(1-$E$70*$B$50)</f>
        <v/>
      </c>
      <c r="K106" s="5">
        <f>$B$70*$C$70*K95*K96*$B$45*(1-$E$70*$B$50)</f>
        <v/>
      </c>
      <c r="L106" s="5">
        <f>$B$70*$C$70*L95*L96*$B$45*(1-$E$70*$B$50)</f>
        <v/>
      </c>
    </row>
    <row r="107">
      <c r="A107" t="inlineStr">
        <is>
          <t xml:space="preserve">  Gains de compétition</t>
        </is>
      </c>
      <c r="B107" s="5">
        <f>SUM(C107:L107)</f>
        <v/>
      </c>
      <c r="C107" s="5">
        <f>$B$71*$C$71*C95*C96*$B$45*(1-$E$71*$B$50)</f>
        <v/>
      </c>
      <c r="D107" s="5">
        <f>$B$71*$C$71*D95*D96*$B$45*(1-$E$71*$B$50)</f>
        <v/>
      </c>
      <c r="E107" s="5">
        <f>$B$71*$C$71*E95*E96*$B$45*(1-$E$71*$B$50)</f>
        <v/>
      </c>
      <c r="F107" s="5">
        <f>$B$71*$C$71*F95*F96*$B$45*(1-$E$71*$B$50)</f>
        <v/>
      </c>
      <c r="G107" s="5">
        <f>$B$71*$C$71*G95*G96*$B$45*(1-$E$71*$B$50)</f>
        <v/>
      </c>
      <c r="H107" s="5">
        <f>$B$71*$C$71*H95*H96*$B$45*(1-$E$71*$B$50)</f>
        <v/>
      </c>
      <c r="I107" s="5">
        <f>$B$71*$C$71*I95*I96*$B$45*(1-$E$71*$B$50)</f>
        <v/>
      </c>
      <c r="J107" s="5">
        <f>$B$71*$C$71*J95*J96*$B$45*(1-$E$71*$B$50)</f>
        <v/>
      </c>
      <c r="K107" s="5">
        <f>$B$71*$C$71*K95*K96*$B$45*(1-$E$71*$B$50)</f>
        <v/>
      </c>
      <c r="L107" s="5">
        <f>$B$71*$C$71*L95*L96*$B$45*(1-$E$71*$B$50)</f>
        <v/>
      </c>
    </row>
    <row r="108">
      <c r="A108" t="inlineStr">
        <is>
          <t xml:space="preserve">  Gîte 15 couchages hors mariages (nuits)</t>
        </is>
      </c>
      <c r="B108" s="5">
        <f>SUM(C108:L108)</f>
        <v/>
      </c>
      <c r="C108" s="5">
        <f>$B$72*$C$72*C95*C96*$B$45*(1-$E$72*$B$50)</f>
        <v/>
      </c>
      <c r="D108" s="5">
        <f>$B$72*$C$72*D95*D96*$B$45*(1-$E$72*$B$50)</f>
        <v/>
      </c>
      <c r="E108" s="5">
        <f>$B$72*$C$72*E95*E96*$B$45*(1-$E$72*$B$50)</f>
        <v/>
      </c>
      <c r="F108" s="5">
        <f>$B$72*$C$72*F95*F96*$B$45*(1-$E$72*$B$50)</f>
        <v/>
      </c>
      <c r="G108" s="5">
        <f>$B$72*$C$72*G95*G96*$B$45*(1-$E$72*$B$50)</f>
        <v/>
      </c>
      <c r="H108" s="5">
        <f>$B$72*$C$72*H95*H96*$B$45*(1-$E$72*$B$50)</f>
        <v/>
      </c>
      <c r="I108" s="5">
        <f>$B$72*$C$72*I95*I96*$B$45*(1-$E$72*$B$50)</f>
        <v/>
      </c>
      <c r="J108" s="5">
        <f>$B$72*$C$72*J95*J96*$B$45*(1-$E$72*$B$50)</f>
        <v/>
      </c>
      <c r="K108" s="5">
        <f>$B$72*$C$72*K95*K96*$B$45*(1-$E$72*$B$50)</f>
        <v/>
      </c>
      <c r="L108" s="5">
        <f>$B$72*$C$72*L95*L96*$B$45*(1-$E$72*$B$50)</f>
        <v/>
      </c>
    </row>
    <row r="109">
      <c r="A109" t="inlineStr">
        <is>
          <t xml:space="preserve">  Tournages / shootings (jours)</t>
        </is>
      </c>
      <c r="B109" s="5">
        <f>SUM(C109:L109)</f>
        <v/>
      </c>
      <c r="C109" s="5">
        <f>$B$73*$C$73*C95*C96*$B$45*(1-$E$73*$B$50)</f>
        <v/>
      </c>
      <c r="D109" s="5">
        <f>$B$73*$C$73*D95*D96*$B$45*(1-$E$73*$B$50)</f>
        <v/>
      </c>
      <c r="E109" s="5">
        <f>$B$73*$C$73*E95*E96*$B$45*(1-$E$73*$B$50)</f>
        <v/>
      </c>
      <c r="F109" s="5">
        <f>$B$73*$C$73*F95*F96*$B$45*(1-$E$73*$B$50)</f>
        <v/>
      </c>
      <c r="G109" s="5">
        <f>$B$73*$C$73*G95*G96*$B$45*(1-$E$73*$B$50)</f>
        <v/>
      </c>
      <c r="H109" s="5">
        <f>$B$73*$C$73*H95*H96*$B$45*(1-$E$73*$B$50)</f>
        <v/>
      </c>
      <c r="I109" s="5">
        <f>$B$73*$C$73*I95*I96*$B$45*(1-$E$73*$B$50)</f>
        <v/>
      </c>
      <c r="J109" s="5">
        <f>$B$73*$C$73*J95*J96*$B$45*(1-$E$73*$B$50)</f>
        <v/>
      </c>
      <c r="K109" s="5">
        <f>$B$73*$C$73*K95*K96*$B$45*(1-$E$73*$B$50)</f>
        <v/>
      </c>
      <c r="L109" s="5">
        <f>$B$73*$C$73*L95*L96*$B$45*(1-$E$73*$B$50)</f>
        <v/>
      </c>
    </row>
    <row r="110">
      <c r="A110" t="inlineStr">
        <is>
          <t xml:space="preserve">  Fermage / vente d'herbe (ha)</t>
        </is>
      </c>
      <c r="B110" s="5">
        <f>SUM(C110:L110)</f>
        <v/>
      </c>
      <c r="C110" s="5">
        <f>$B$74*$C$74*C95*C96*$B$45*(1-$E$74*$B$50)</f>
        <v/>
      </c>
      <c r="D110" s="5">
        <f>$B$74*$C$74*D95*D96*$B$45*(1-$E$74*$B$50)</f>
        <v/>
      </c>
      <c r="E110" s="5">
        <f>$B$74*$C$74*E95*E96*$B$45*(1-$E$74*$B$50)</f>
        <v/>
      </c>
      <c r="F110" s="5">
        <f>$B$74*$C$74*F95*F96*$B$45*(1-$E$74*$B$50)</f>
        <v/>
      </c>
      <c r="G110" s="5">
        <f>$B$74*$C$74*G95*G96*$B$45*(1-$E$74*$B$50)</f>
        <v/>
      </c>
      <c r="H110" s="5">
        <f>$B$74*$C$74*H95*H96*$B$45*(1-$E$74*$B$50)</f>
        <v/>
      </c>
      <c r="I110" s="5">
        <f>$B$74*$C$74*I95*I96*$B$45*(1-$E$74*$B$50)</f>
        <v/>
      </c>
      <c r="J110" s="5">
        <f>$B$74*$C$74*J95*J96*$B$45*(1-$E$74*$B$50)</f>
        <v/>
      </c>
      <c r="K110" s="5">
        <f>$B$74*$C$74*K95*K96*$B$45*(1-$E$74*$B$50)</f>
        <v/>
      </c>
      <c r="L110" s="5">
        <f>$B$74*$C$74*L95*L96*$B$45*(1-$E$74*$B$50)</f>
        <v/>
      </c>
    </row>
    <row r="111">
      <c r="A111" s="4" t="inlineStr">
        <is>
          <t>Chiffre d'affaires total</t>
        </is>
      </c>
      <c r="B111" s="18">
        <f>SUM(C111:L111)</f>
        <v/>
      </c>
      <c r="C111" s="18">
        <f>C101+C102+C103+C104+C105+C106+C107+C108+C109+C110</f>
        <v/>
      </c>
      <c r="D111" s="18">
        <f>D101+D102+D103+D104+D105+D106+D107+D108+D109+D110</f>
        <v/>
      </c>
      <c r="E111" s="18">
        <f>E101+E102+E103+E104+E105+E106+E107+E108+E109+E110</f>
        <v/>
      </c>
      <c r="F111" s="18">
        <f>F101+F102+F103+F104+F105+F106+F107+F108+F109+F110</f>
        <v/>
      </c>
      <c r="G111" s="18">
        <f>G101+G102+G103+G104+G105+G106+G107+G108+G109+G110</f>
        <v/>
      </c>
      <c r="H111" s="18">
        <f>H101+H102+H103+H104+H105+H106+H107+H108+H109+H110</f>
        <v/>
      </c>
      <c r="I111" s="18">
        <f>I101+I102+I103+I104+I105+I106+I107+I108+I109+I110</f>
        <v/>
      </c>
      <c r="J111" s="18">
        <f>J101+J102+J103+J104+J105+J106+J107+J108+J109+J110</f>
        <v/>
      </c>
      <c r="K111" s="18">
        <f>K101+K102+K103+K104+K105+K106+K107+K108+K109+K110</f>
        <v/>
      </c>
      <c r="L111" s="18">
        <f>L101+L102+L103+L104+L105+L106+L107+L108+L109+L110</f>
        <v/>
      </c>
    </row>
    <row r="112">
      <c r="A112" t="inlineStr">
        <is>
          <t xml:space="preserve">  dont équestre</t>
        </is>
      </c>
      <c r="B112" s="5">
        <f>SUM(C112:L112)</f>
        <v/>
      </c>
      <c r="C112" s="5">
        <f>C101*$F$65+C102*$F$66+C103*$F$67+C104*$F$68+C105*$F$69+C106*$F$70+C107*$F$71+C108*$F$72+C109*$F$73+C110*$F$74</f>
        <v/>
      </c>
      <c r="D112" s="5">
        <f>D101*$F$65+D102*$F$66+D103*$F$67+D104*$F$68+D105*$F$69+D106*$F$70+D107*$F$71+D108*$F$72+D109*$F$73+D110*$F$74</f>
        <v/>
      </c>
      <c r="E112" s="5">
        <f>E101*$F$65+E102*$F$66+E103*$F$67+E104*$F$68+E105*$F$69+E106*$F$70+E107*$F$71+E108*$F$72+E109*$F$73+E110*$F$74</f>
        <v/>
      </c>
      <c r="F112" s="5">
        <f>F101*$F$65+F102*$F$66+F103*$F$67+F104*$F$68+F105*$F$69+F106*$F$70+F107*$F$71+F108*$F$72+F109*$F$73+F110*$F$74</f>
        <v/>
      </c>
      <c r="G112" s="5">
        <f>G101*$F$65+G102*$F$66+G103*$F$67+G104*$F$68+G105*$F$69+G106*$F$70+G107*$F$71+G108*$F$72+G109*$F$73+G110*$F$74</f>
        <v/>
      </c>
      <c r="H112" s="5">
        <f>H101*$F$65+H102*$F$66+H103*$F$67+H104*$F$68+H105*$F$69+H106*$F$70+H107*$F$71+H108*$F$72+H109*$F$73+H110*$F$74</f>
        <v/>
      </c>
      <c r="I112" s="5">
        <f>I101*$F$65+I102*$F$66+I103*$F$67+I104*$F$68+I105*$F$69+I106*$F$70+I107*$F$71+I108*$F$72+I109*$F$73+I110*$F$74</f>
        <v/>
      </c>
      <c r="J112" s="5">
        <f>J101*$F$65+J102*$F$66+J103*$F$67+J104*$F$68+J105*$F$69+J106*$F$70+J107*$F$71+J108*$F$72+J109*$F$73+J110*$F$74</f>
        <v/>
      </c>
      <c r="K112" s="5">
        <f>K101*$F$65+K102*$F$66+K103*$F$67+K104*$F$68+K105*$F$69+K106*$F$70+K107*$F$71+K108*$F$72+K109*$F$73+K110*$F$74</f>
        <v/>
      </c>
      <c r="L112" s="5">
        <f>L101*$F$65+L102*$F$66+L103*$F$67+L104*$F$68+L105*$F$69+L106*$F$70+L107*$F$71+L108*$F$72+L109*$F$73+L110*$F$74</f>
        <v/>
      </c>
    </row>
    <row r="113">
      <c r="A113" t="inlineStr">
        <is>
          <t xml:space="preserve">  Part équestre du CA</t>
        </is>
      </c>
      <c r="C113" s="6">
        <f>IF(C111=0,0,C112/C111)</f>
        <v/>
      </c>
      <c r="D113" s="6">
        <f>IF(D111=0,0,D112/D111)</f>
        <v/>
      </c>
      <c r="E113" s="6">
        <f>IF(E111=0,0,E112/E111)</f>
        <v/>
      </c>
      <c r="F113" s="6">
        <f>IF(F111=0,0,F112/F111)</f>
        <v/>
      </c>
      <c r="G113" s="6">
        <f>IF(G111=0,0,G112/G111)</f>
        <v/>
      </c>
      <c r="H113" s="6">
        <f>IF(H111=0,0,H112/H111)</f>
        <v/>
      </c>
      <c r="I113" s="6">
        <f>IF(I111=0,0,I112/I111)</f>
        <v/>
      </c>
      <c r="J113" s="6">
        <f>IF(J111=0,0,J112/J111)</f>
        <v/>
      </c>
      <c r="K113" s="6">
        <f>IF(K111=0,0,K112/K111)</f>
        <v/>
      </c>
      <c r="L113" s="6">
        <f>IF(L111=0,0,L112/L111)</f>
        <v/>
      </c>
    </row>
    <row r="114">
      <c r="A114" t="inlineStr">
        <is>
          <t>Coûts variables</t>
        </is>
      </c>
      <c r="B114" s="5">
        <f>SUM(C114:L114)</f>
        <v/>
      </c>
      <c r="C114" s="5">
        <f>-(C101*$D$65+C102*$D$66+C103*$D$67+C104*$D$68+C105*$D$69+C106*$D$70+C107*$D$71+C108*$D$72+C109*$D$73+C110*$D$74)</f>
        <v/>
      </c>
      <c r="D114" s="5">
        <f>-(D101*$D$65+D102*$D$66+D103*$D$67+D104*$D$68+D105*$D$69+D106*$D$70+D107*$D$71+D108*$D$72+D109*$D$73+D110*$D$74)</f>
        <v/>
      </c>
      <c r="E114" s="5">
        <f>-(E101*$D$65+E102*$D$66+E103*$D$67+E104*$D$68+E105*$D$69+E106*$D$70+E107*$D$71+E108*$D$72+E109*$D$73+E110*$D$74)</f>
        <v/>
      </c>
      <c r="F114" s="5">
        <f>-(F101*$D$65+F102*$D$66+F103*$D$67+F104*$D$68+F105*$D$69+F106*$D$70+F107*$D$71+F108*$D$72+F109*$D$73+F110*$D$74)</f>
        <v/>
      </c>
      <c r="G114" s="5">
        <f>-(G101*$D$65+G102*$D$66+G103*$D$67+G104*$D$68+G105*$D$69+G106*$D$70+G107*$D$71+G108*$D$72+G109*$D$73+G110*$D$74)</f>
        <v/>
      </c>
      <c r="H114" s="5">
        <f>-(H101*$D$65+H102*$D$66+H103*$D$67+H104*$D$68+H105*$D$69+H106*$D$70+H107*$D$71+H108*$D$72+H109*$D$73+H110*$D$74)</f>
        <v/>
      </c>
      <c r="I114" s="5">
        <f>-(I101*$D$65+I102*$D$66+I103*$D$67+I104*$D$68+I105*$D$69+I106*$D$70+I107*$D$71+I108*$D$72+I109*$D$73+I110*$D$74)</f>
        <v/>
      </c>
      <c r="J114" s="5">
        <f>-(J101*$D$65+J102*$D$66+J103*$D$67+J104*$D$68+J105*$D$69+J106*$D$70+J107*$D$71+J108*$D$72+J109*$D$73+J110*$D$74)</f>
        <v/>
      </c>
      <c r="K114" s="5">
        <f>-(K101*$D$65+K102*$D$66+K103*$D$67+K104*$D$68+K105*$D$69+K106*$D$70+K107*$D$71+K108*$D$72+K109*$D$73+K110*$D$74)</f>
        <v/>
      </c>
      <c r="L114" s="5">
        <f>-(L101*$D$65+L102*$D$66+L103*$D$67+L104*$D$68+L105*$D$69+L106*$D$70+L107*$D$71+L108*$D$72+L109*$D$73+L110*$D$74)</f>
        <v/>
      </c>
    </row>
    <row r="115">
      <c r="A115" s="4" t="inlineStr">
        <is>
          <t>Marge sur coûts variables</t>
        </is>
      </c>
      <c r="B115" s="18">
        <f>SUM(C115:L115)</f>
        <v/>
      </c>
      <c r="C115" s="18">
        <f>C111+C114</f>
        <v/>
      </c>
      <c r="D115" s="18">
        <f>D111+D114</f>
        <v/>
      </c>
      <c r="E115" s="18">
        <f>E111+E114</f>
        <v/>
      </c>
      <c r="F115" s="18">
        <f>F111+F114</f>
        <v/>
      </c>
      <c r="G115" s="18">
        <f>G111+G114</f>
        <v/>
      </c>
      <c r="H115" s="18">
        <f>H111+H114</f>
        <v/>
      </c>
      <c r="I115" s="18">
        <f>I111+I114</f>
        <v/>
      </c>
      <c r="J115" s="18">
        <f>J111+J114</f>
        <v/>
      </c>
      <c r="K115" s="18">
        <f>K111+K114</f>
        <v/>
      </c>
      <c r="L115" s="18">
        <f>L111+L114</f>
        <v/>
      </c>
    </row>
    <row r="116">
      <c r="A116" t="inlineStr">
        <is>
          <t xml:space="preserve">  Taxe foncière</t>
        </is>
      </c>
      <c r="B116" s="5">
        <f>SUM(C116:L116)</f>
        <v/>
      </c>
      <c r="C116" s="5">
        <f>-$B$78*C97*IF($C$78=1,C98,IF(C94&gt;0,1,0))</f>
        <v/>
      </c>
      <c r="D116" s="5">
        <f>-$B$78*D97*IF($C$78=1,D98,IF(D94&gt;0,1,0))</f>
        <v/>
      </c>
      <c r="E116" s="5">
        <f>-$B$78*E97*IF($C$78=1,E98,IF(E94&gt;0,1,0))</f>
        <v/>
      </c>
      <c r="F116" s="5">
        <f>-$B$78*F97*IF($C$78=1,F98,IF(F94&gt;0,1,0))</f>
        <v/>
      </c>
      <c r="G116" s="5">
        <f>-$B$78*G97*IF($C$78=1,G98,IF(G94&gt;0,1,0))</f>
        <v/>
      </c>
      <c r="H116" s="5">
        <f>-$B$78*H97*IF($C$78=1,H98,IF(H94&gt;0,1,0))</f>
        <v/>
      </c>
      <c r="I116" s="5">
        <f>-$B$78*I97*IF($C$78=1,I98,IF(I94&gt;0,1,0))</f>
        <v/>
      </c>
      <c r="J116" s="5">
        <f>-$B$78*J97*IF($C$78=1,J98,IF(J94&gt;0,1,0))</f>
        <v/>
      </c>
      <c r="K116" s="5">
        <f>-$B$78*K97*IF($C$78=1,K98,IF(K94&gt;0,1,0))</f>
        <v/>
      </c>
      <c r="L116" s="5">
        <f>-$B$78*L97*IF($C$78=1,L98,IF(L94&gt;0,1,0))</f>
        <v/>
      </c>
    </row>
    <row r="117">
      <c r="A117" t="inlineStr">
        <is>
          <t xml:space="preserve">  Assurance multirisque château</t>
        </is>
      </c>
      <c r="B117" s="5">
        <f>SUM(C117:L117)</f>
        <v/>
      </c>
      <c r="C117" s="5">
        <f>-$B$79*C97*IF($C$79=1,C98,IF(C94&gt;0,1,0))</f>
        <v/>
      </c>
      <c r="D117" s="5">
        <f>-$B$79*D97*IF($C$79=1,D98,IF(D94&gt;0,1,0))</f>
        <v/>
      </c>
      <c r="E117" s="5">
        <f>-$B$79*E97*IF($C$79=1,E98,IF(E94&gt;0,1,0))</f>
        <v/>
      </c>
      <c r="F117" s="5">
        <f>-$B$79*F97*IF($C$79=1,F98,IF(F94&gt;0,1,0))</f>
        <v/>
      </c>
      <c r="G117" s="5">
        <f>-$B$79*G97*IF($C$79=1,G98,IF(G94&gt;0,1,0))</f>
        <v/>
      </c>
      <c r="H117" s="5">
        <f>-$B$79*H97*IF($C$79=1,H98,IF(H94&gt;0,1,0))</f>
        <v/>
      </c>
      <c r="I117" s="5">
        <f>-$B$79*I97*IF($C$79=1,I98,IF(I94&gt;0,1,0))</f>
        <v/>
      </c>
      <c r="J117" s="5">
        <f>-$B$79*J97*IF($C$79=1,J98,IF(J94&gt;0,1,0))</f>
        <v/>
      </c>
      <c r="K117" s="5">
        <f>-$B$79*K97*IF($C$79=1,K98,IF(K94&gt;0,1,0))</f>
        <v/>
      </c>
      <c r="L117" s="5">
        <f>-$B$79*L97*IF($C$79=1,L98,IF(L94&gt;0,1,0))</f>
        <v/>
      </c>
    </row>
    <row r="118">
      <c r="A118" t="inlineStr">
        <is>
          <t xml:space="preserve">  Énergie (chauffage partiel, électricité, eau)</t>
        </is>
      </c>
      <c r="B118" s="5">
        <f>SUM(C118:L118)</f>
        <v/>
      </c>
      <c r="C118" s="5">
        <f>-$B$80*C97*IF($C$80=1,C98,IF(C94&gt;0,1,0))</f>
        <v/>
      </c>
      <c r="D118" s="5">
        <f>-$B$80*D97*IF($C$80=1,D98,IF(D94&gt;0,1,0))</f>
        <v/>
      </c>
      <c r="E118" s="5">
        <f>-$B$80*E97*IF($C$80=1,E98,IF(E94&gt;0,1,0))</f>
        <v/>
      </c>
      <c r="F118" s="5">
        <f>-$B$80*F97*IF($C$80=1,F98,IF(F94&gt;0,1,0))</f>
        <v/>
      </c>
      <c r="G118" s="5">
        <f>-$B$80*G97*IF($C$80=1,G98,IF(G94&gt;0,1,0))</f>
        <v/>
      </c>
      <c r="H118" s="5">
        <f>-$B$80*H97*IF($C$80=1,H98,IF(H94&gt;0,1,0))</f>
        <v/>
      </c>
      <c r="I118" s="5">
        <f>-$B$80*I97*IF($C$80=1,I98,IF(I94&gt;0,1,0))</f>
        <v/>
      </c>
      <c r="J118" s="5">
        <f>-$B$80*J97*IF($C$80=1,J98,IF(J94&gt;0,1,0))</f>
        <v/>
      </c>
      <c r="K118" s="5">
        <f>-$B$80*K97*IF($C$80=1,K98,IF(K94&gt;0,1,0))</f>
        <v/>
      </c>
      <c r="L118" s="5">
        <f>-$B$80*L97*IF($C$80=1,L98,IF(L94&gt;0,1,0))</f>
        <v/>
      </c>
    </row>
    <row r="119">
      <c r="A119" t="inlineStr">
        <is>
          <t xml:space="preserve">  Jardinier / agent d'entretien (1 ETP au Smic chargé)</t>
        </is>
      </c>
      <c r="B119" s="5">
        <f>SUM(C119:L119)</f>
        <v/>
      </c>
      <c r="C119" s="5">
        <f>-$B$81*C97*IF($C$81=1,C98,IF(C94&gt;0,1,0))</f>
        <v/>
      </c>
      <c r="D119" s="5">
        <f>-$B$81*D97*IF($C$81=1,D98,IF(D94&gt;0,1,0))</f>
        <v/>
      </c>
      <c r="E119" s="5">
        <f>-$B$81*E97*IF($C$81=1,E98,IF(E94&gt;0,1,0))</f>
        <v/>
      </c>
      <c r="F119" s="5">
        <f>-$B$81*F97*IF($C$81=1,F98,IF(F94&gt;0,1,0))</f>
        <v/>
      </c>
      <c r="G119" s="5">
        <f>-$B$81*G97*IF($C$81=1,G98,IF(G94&gt;0,1,0))</f>
        <v/>
      </c>
      <c r="H119" s="5">
        <f>-$B$81*H97*IF($C$81=1,H98,IF(H94&gt;0,1,0))</f>
        <v/>
      </c>
      <c r="I119" s="5">
        <f>-$B$81*I97*IF($C$81=1,I98,IF(I94&gt;0,1,0))</f>
        <v/>
      </c>
      <c r="J119" s="5">
        <f>-$B$81*J97*IF($C$81=1,J98,IF(J94&gt;0,1,0))</f>
        <v/>
      </c>
      <c r="K119" s="5">
        <f>-$B$81*K97*IF($C$81=1,K98,IF(K94&gt;0,1,0))</f>
        <v/>
      </c>
      <c r="L119" s="5">
        <f>-$B$81*L97*IF($C$81=1,L98,IF(L94&gt;0,1,0))</f>
        <v/>
      </c>
    </row>
    <row r="120">
      <c r="A120" t="inlineStr">
        <is>
          <t xml:space="preserve">  Divers (abonnements, petit matériel, véhicule, honoraires)</t>
        </is>
      </c>
      <c r="B120" s="5">
        <f>SUM(C120:L120)</f>
        <v/>
      </c>
      <c r="C120" s="5">
        <f>-$B$82*C97*IF($C$82=1,C98,IF(C94&gt;0,1,0))</f>
        <v/>
      </c>
      <c r="D120" s="5">
        <f>-$B$82*D97*IF($C$82=1,D98,IF(D94&gt;0,1,0))</f>
        <v/>
      </c>
      <c r="E120" s="5">
        <f>-$B$82*E97*IF($C$82=1,E98,IF(E94&gt;0,1,0))</f>
        <v/>
      </c>
      <c r="F120" s="5">
        <f>-$B$82*F97*IF($C$82=1,F98,IF(F94&gt;0,1,0))</f>
        <v/>
      </c>
      <c r="G120" s="5">
        <f>-$B$82*G97*IF($C$82=1,G98,IF(G94&gt;0,1,0))</f>
        <v/>
      </c>
      <c r="H120" s="5">
        <f>-$B$82*H97*IF($C$82=1,H98,IF(H94&gt;0,1,0))</f>
        <v/>
      </c>
      <c r="I120" s="5">
        <f>-$B$82*I97*IF($C$82=1,I98,IF(I94&gt;0,1,0))</f>
        <v/>
      </c>
      <c r="J120" s="5">
        <f>-$B$82*J97*IF($C$82=1,J98,IF(J94&gt;0,1,0))</f>
        <v/>
      </c>
      <c r="K120" s="5">
        <f>-$B$82*K97*IF($C$82=1,K98,IF(K94&gt;0,1,0))</f>
        <v/>
      </c>
      <c r="L120" s="5">
        <f>-$B$82*L97*IF($C$82=1,L98,IF(L94&gt;0,1,0))</f>
        <v/>
      </c>
    </row>
    <row r="121">
      <c r="A121" t="inlineStr">
        <is>
          <t xml:space="preserve">  Cavalier professionnel / responsable d'écurie (chargé)</t>
        </is>
      </c>
      <c r="B121" s="5">
        <f>SUM(C121:L121)</f>
        <v/>
      </c>
      <c r="C121" s="5">
        <f>-$B$83*C97*IF($C$83=1,C98,IF(C94&gt;0,1,0))</f>
        <v/>
      </c>
      <c r="D121" s="5">
        <f>-$B$83*D97*IF($C$83=1,D98,IF(D94&gt;0,1,0))</f>
        <v/>
      </c>
      <c r="E121" s="5">
        <f>-$B$83*E97*IF($C$83=1,E98,IF(E94&gt;0,1,0))</f>
        <v/>
      </c>
      <c r="F121" s="5">
        <f>-$B$83*F97*IF($C$83=1,F98,IF(F94&gt;0,1,0))</f>
        <v/>
      </c>
      <c r="G121" s="5">
        <f>-$B$83*G97*IF($C$83=1,G98,IF(G94&gt;0,1,0))</f>
        <v/>
      </c>
      <c r="H121" s="5">
        <f>-$B$83*H97*IF($C$83=1,H98,IF(H94&gt;0,1,0))</f>
        <v/>
      </c>
      <c r="I121" s="5">
        <f>-$B$83*I97*IF($C$83=1,I98,IF(I94&gt;0,1,0))</f>
        <v/>
      </c>
      <c r="J121" s="5">
        <f>-$B$83*J97*IF($C$83=1,J98,IF(J94&gt;0,1,0))</f>
        <v/>
      </c>
      <c r="K121" s="5">
        <f>-$B$83*K97*IF($C$83=1,K98,IF(K94&gt;0,1,0))</f>
        <v/>
      </c>
      <c r="L121" s="5">
        <f>-$B$83*L97*IF($C$83=1,L98,IF(L94&gt;0,1,0))</f>
        <v/>
      </c>
    </row>
    <row r="122">
      <c r="A122" t="inlineStr">
        <is>
          <t xml:space="preserve">  Soigneurs / cavaliers-soigneurs (2,5 ETP chargés)</t>
        </is>
      </c>
      <c r="B122" s="5">
        <f>SUM(C122:L122)</f>
        <v/>
      </c>
      <c r="C122" s="5">
        <f>-$B$84*C97*IF($C$84=1,C98,IF(C94&gt;0,1,0))</f>
        <v/>
      </c>
      <c r="D122" s="5">
        <f>-$B$84*D97*IF($C$84=1,D98,IF(D94&gt;0,1,0))</f>
        <v/>
      </c>
      <c r="E122" s="5">
        <f>-$B$84*E97*IF($C$84=1,E98,IF(E94&gt;0,1,0))</f>
        <v/>
      </c>
      <c r="F122" s="5">
        <f>-$B$84*F97*IF($C$84=1,F98,IF(F94&gt;0,1,0))</f>
        <v/>
      </c>
      <c r="G122" s="5">
        <f>-$B$84*G97*IF($C$84=1,G98,IF(G94&gt;0,1,0))</f>
        <v/>
      </c>
      <c r="H122" s="5">
        <f>-$B$84*H97*IF($C$84=1,H98,IF(H94&gt;0,1,0))</f>
        <v/>
      </c>
      <c r="I122" s="5">
        <f>-$B$84*I97*IF($C$84=1,I98,IF(I94&gt;0,1,0))</f>
        <v/>
      </c>
      <c r="J122" s="5">
        <f>-$B$84*J97*IF($C$84=1,J98,IF(J94&gt;0,1,0))</f>
        <v/>
      </c>
      <c r="K122" s="5">
        <f>-$B$84*K97*IF($C$84=1,K98,IF(K94&gt;0,1,0))</f>
        <v/>
      </c>
      <c r="L122" s="5">
        <f>-$B$84*L97*IF($C$84=1,L98,IF(L94&gt;0,1,0))</f>
        <v/>
      </c>
    </row>
    <row r="123">
      <c r="A123" t="inlineStr">
        <is>
          <t xml:space="preserve">  Autres charges de structure équestres</t>
        </is>
      </c>
      <c r="B123" s="5">
        <f>SUM(C123:L123)</f>
        <v/>
      </c>
      <c r="C123" s="5">
        <f>-$B$85*C97*IF($C$85=1,C98,IF(C94&gt;0,1,0))</f>
        <v/>
      </c>
      <c r="D123" s="5">
        <f>-$B$85*D97*IF($C$85=1,D98,IF(D94&gt;0,1,0))</f>
        <v/>
      </c>
      <c r="E123" s="5">
        <f>-$B$85*E97*IF($C$85=1,E98,IF(E94&gt;0,1,0))</f>
        <v/>
      </c>
      <c r="F123" s="5">
        <f>-$B$85*F97*IF($C$85=1,F98,IF(F94&gt;0,1,0))</f>
        <v/>
      </c>
      <c r="G123" s="5">
        <f>-$B$85*G97*IF($C$85=1,G98,IF(G94&gt;0,1,0))</f>
        <v/>
      </c>
      <c r="H123" s="5">
        <f>-$B$85*H97*IF($C$85=1,H98,IF(H94&gt;0,1,0))</f>
        <v/>
      </c>
      <c r="I123" s="5">
        <f>-$B$85*I97*IF($C$85=1,I98,IF(I94&gt;0,1,0))</f>
        <v/>
      </c>
      <c r="J123" s="5">
        <f>-$B$85*J97*IF($C$85=1,J98,IF(J94&gt;0,1,0))</f>
        <v/>
      </c>
      <c r="K123" s="5">
        <f>-$B$85*K97*IF($C$85=1,K98,IF(K94&gt;0,1,0))</f>
        <v/>
      </c>
      <c r="L123" s="5">
        <f>-$B$85*L97*IF($C$85=1,L98,IF(L94&gt;0,1,0))</f>
        <v/>
      </c>
    </row>
    <row r="124">
      <c r="A124" t="inlineStr">
        <is>
          <t xml:space="preserve">  Coûts fixes du gîte</t>
        </is>
      </c>
      <c r="B124" s="5">
        <f>SUM(C124:L124)</f>
        <v/>
      </c>
      <c r="C124" s="5">
        <f>-$B$86*C97*IF($C$86=1,C98,IF(C94&gt;0,1,0))</f>
        <v/>
      </c>
      <c r="D124" s="5">
        <f>-$B$86*D97*IF($C$86=1,D98,IF(D94&gt;0,1,0))</f>
        <v/>
      </c>
      <c r="E124" s="5">
        <f>-$B$86*E97*IF($C$86=1,E98,IF(E94&gt;0,1,0))</f>
        <v/>
      </c>
      <c r="F124" s="5">
        <f>-$B$86*F97*IF($C$86=1,F98,IF(F94&gt;0,1,0))</f>
        <v/>
      </c>
      <c r="G124" s="5">
        <f>-$B$86*G97*IF($C$86=1,G98,IF(G94&gt;0,1,0))</f>
        <v/>
      </c>
      <c r="H124" s="5">
        <f>-$B$86*H97*IF($C$86=1,H98,IF(H94&gt;0,1,0))</f>
        <v/>
      </c>
      <c r="I124" s="5">
        <f>-$B$86*I97*IF($C$86=1,I98,IF(I94&gt;0,1,0))</f>
        <v/>
      </c>
      <c r="J124" s="5">
        <f>-$B$86*J97*IF($C$86=1,J98,IF(J94&gt;0,1,0))</f>
        <v/>
      </c>
      <c r="K124" s="5">
        <f>-$B$86*K97*IF($C$86=1,K98,IF(K94&gt;0,1,0))</f>
        <v/>
      </c>
      <c r="L124" s="5">
        <f>-$B$86*L97*IF($C$86=1,L98,IF(L94&gt;0,1,0))</f>
        <v/>
      </c>
    </row>
    <row r="125">
      <c r="A125" t="inlineStr">
        <is>
          <t xml:space="preserve">  Commercial, site, salons</t>
        </is>
      </c>
      <c r="B125" s="5">
        <f>SUM(C125:L125)</f>
        <v/>
      </c>
      <c r="C125" s="5">
        <f>-$B$87*C97*IF($C$87=1,C98,IF(C94&gt;0,1,0))</f>
        <v/>
      </c>
      <c r="D125" s="5">
        <f>-$B$87*D97*IF($C$87=1,D98,IF(D94&gt;0,1,0))</f>
        <v/>
      </c>
      <c r="E125" s="5">
        <f>-$B$87*E97*IF($C$87=1,E98,IF(E94&gt;0,1,0))</f>
        <v/>
      </c>
      <c r="F125" s="5">
        <f>-$B$87*F97*IF($C$87=1,F98,IF(F94&gt;0,1,0))</f>
        <v/>
      </c>
      <c r="G125" s="5">
        <f>-$B$87*G97*IF($C$87=1,G98,IF(G94&gt;0,1,0))</f>
        <v/>
      </c>
      <c r="H125" s="5">
        <f>-$B$87*H97*IF($C$87=1,H98,IF(H94&gt;0,1,0))</f>
        <v/>
      </c>
      <c r="I125" s="5">
        <f>-$B$87*I97*IF($C$87=1,I98,IF(I94&gt;0,1,0))</f>
        <v/>
      </c>
      <c r="J125" s="5">
        <f>-$B$87*J97*IF($C$87=1,J98,IF(J94&gt;0,1,0))</f>
        <v/>
      </c>
      <c r="K125" s="5">
        <f>-$B$87*K97*IF($C$87=1,K98,IF(K94&gt;0,1,0))</f>
        <v/>
      </c>
      <c r="L125" s="5">
        <f>-$B$87*L97*IF($C$87=1,L98,IF(L94&gt;0,1,0))</f>
        <v/>
      </c>
    </row>
    <row r="126">
      <c r="A126" t="inlineStr">
        <is>
          <t xml:space="preserve">  Comptabilité, juridique, banque, logiciels</t>
        </is>
      </c>
      <c r="B126" s="5">
        <f>SUM(C126:L126)</f>
        <v/>
      </c>
      <c r="C126" s="5">
        <f>-$B$88*C97*IF($C$88=1,C98,IF(C94&gt;0,1,0))</f>
        <v/>
      </c>
      <c r="D126" s="5">
        <f>-$B$88*D97*IF($C$88=1,D98,IF(D94&gt;0,1,0))</f>
        <v/>
      </c>
      <c r="E126" s="5">
        <f>-$B$88*E97*IF($C$88=1,E98,IF(E94&gt;0,1,0))</f>
        <v/>
      </c>
      <c r="F126" s="5">
        <f>-$B$88*F97*IF($C$88=1,F98,IF(F94&gt;0,1,0))</f>
        <v/>
      </c>
      <c r="G126" s="5">
        <f>-$B$88*G97*IF($C$88=1,G98,IF(G94&gt;0,1,0))</f>
        <v/>
      </c>
      <c r="H126" s="5">
        <f>-$B$88*H97*IF($C$88=1,H98,IF(H94&gt;0,1,0))</f>
        <v/>
      </c>
      <c r="I126" s="5">
        <f>-$B$88*I97*IF($C$88=1,I98,IF(I94&gt;0,1,0))</f>
        <v/>
      </c>
      <c r="J126" s="5">
        <f>-$B$88*J97*IF($C$88=1,J98,IF(J94&gt;0,1,0))</f>
        <v/>
      </c>
      <c r="K126" s="5">
        <f>-$B$88*K97*IF($C$88=1,K98,IF(K94&gt;0,1,0))</f>
        <v/>
      </c>
      <c r="L126" s="5">
        <f>-$B$88*L97*IF($C$88=1,L98,IF(L94&gt;0,1,0))</f>
        <v/>
      </c>
    </row>
    <row r="127">
      <c r="A127" t="inlineStr">
        <is>
          <t xml:space="preserve">  Rémunération du dirigeant (chargée)</t>
        </is>
      </c>
      <c r="B127" s="5">
        <f>SUM(C127:L127)</f>
        <v/>
      </c>
      <c r="C127" s="5">
        <f>-$B$89*C97*IF($C$89=1,C98,IF(C94&gt;0,1,0))</f>
        <v/>
      </c>
      <c r="D127" s="5">
        <f>-$B$89*D97*IF($C$89=1,D98,IF(D94&gt;0,1,0))</f>
        <v/>
      </c>
      <c r="E127" s="5">
        <f>-$B$89*E97*IF($C$89=1,E98,IF(E94&gt;0,1,0))</f>
        <v/>
      </c>
      <c r="F127" s="5">
        <f>-$B$89*F97*IF($C$89=1,F98,IF(F94&gt;0,1,0))</f>
        <v/>
      </c>
      <c r="G127" s="5">
        <f>-$B$89*G97*IF($C$89=1,G98,IF(G94&gt;0,1,0))</f>
        <v/>
      </c>
      <c r="H127" s="5">
        <f>-$B$89*H97*IF($C$89=1,H98,IF(H94&gt;0,1,0))</f>
        <v/>
      </c>
      <c r="I127" s="5">
        <f>-$B$89*I97*IF($C$89=1,I98,IF(I94&gt;0,1,0))</f>
        <v/>
      </c>
      <c r="J127" s="5">
        <f>-$B$89*J97*IF($C$89=1,J98,IF(J94&gt;0,1,0))</f>
        <v/>
      </c>
      <c r="K127" s="5">
        <f>-$B$89*K97*IF($C$89=1,K98,IF(K94&gt;0,1,0))</f>
        <v/>
      </c>
      <c r="L127" s="5">
        <f>-$B$89*L97*IF($C$89=1,L98,IF(L94&gt;0,1,0))</f>
        <v/>
      </c>
    </row>
    <row r="128">
      <c r="A128" s="4" t="inlineStr">
        <is>
          <t>Charges fixes totales</t>
        </is>
      </c>
      <c r="B128" s="18">
        <f>SUM(C128:L128)</f>
        <v/>
      </c>
      <c r="C128" s="18">
        <f>C116+C117+C118+C119+C120+C121+C122+C123+C124+C125+C126+C127</f>
        <v/>
      </c>
      <c r="D128" s="18">
        <f>D116+D117+D118+D119+D120+D121+D122+D123+D124+D125+D126+D127</f>
        <v/>
      </c>
      <c r="E128" s="18">
        <f>E116+E117+E118+E119+E120+E121+E122+E123+E124+E125+E126+E127</f>
        <v/>
      </c>
      <c r="F128" s="18">
        <f>F116+F117+F118+F119+F120+F121+F122+F123+F124+F125+F126+F127</f>
        <v/>
      </c>
      <c r="G128" s="18">
        <f>G116+G117+G118+G119+G120+G121+G122+G123+G124+G125+G126+G127</f>
        <v/>
      </c>
      <c r="H128" s="18">
        <f>H116+H117+H118+H119+H120+H121+H122+H123+H124+H125+H126+H127</f>
        <v/>
      </c>
      <c r="I128" s="18">
        <f>I116+I117+I118+I119+I120+I121+I122+I123+I124+I125+I126+I127</f>
        <v/>
      </c>
      <c r="J128" s="18">
        <f>J116+J117+J118+J119+J120+J121+J122+J123+J124+J125+J126+J127</f>
        <v/>
      </c>
      <c r="K128" s="18">
        <f>K116+K117+K118+K119+K120+K121+K122+K123+K124+K125+K126+K127</f>
        <v/>
      </c>
      <c r="L128" s="18">
        <f>L116+L117+L118+L119+L120+L121+L122+L123+L124+L125+L126+L127</f>
        <v/>
      </c>
    </row>
    <row r="129">
      <c r="A129" t="inlineStr">
        <is>
          <t>Loyer des murs (avant acquisition)</t>
        </is>
      </c>
      <c r="B129" s="5">
        <f>SUM(C129:L129)</f>
        <v/>
      </c>
      <c r="C129" s="5">
        <f>-IF(C98=0,IF(C$92&gt;=$B$6,$B$18*C97,0),0)</f>
        <v/>
      </c>
      <c r="D129" s="5">
        <f>-IF(D98=0,IF(D$92&gt;=$B$6,$B$18*D97,0),0)</f>
        <v/>
      </c>
      <c r="E129" s="5">
        <f>-IF(E98=0,IF(E$92&gt;=$B$6,$B$18*E97,0),0)</f>
        <v/>
      </c>
      <c r="F129" s="5">
        <f>-IF(F98=0,IF(F$92&gt;=$B$6,$B$18*F97,0),0)</f>
        <v/>
      </c>
      <c r="G129" s="5">
        <f>-IF(G98=0,IF(G$92&gt;=$B$6,$B$18*G97,0),0)</f>
        <v/>
      </c>
      <c r="H129" s="5">
        <f>-IF(H98=0,IF(H$92&gt;=$B$6,$B$18*H97,0),0)</f>
        <v/>
      </c>
      <c r="I129" s="5">
        <f>-IF(I98=0,IF(I$92&gt;=$B$6,$B$18*I97,0),0)</f>
        <v/>
      </c>
      <c r="J129" s="5">
        <f>-IF(J98=0,IF(J$92&gt;=$B$6,$B$18*J97,0),0)</f>
        <v/>
      </c>
      <c r="K129" s="5">
        <f>-IF(K98=0,IF(K$92&gt;=$B$6,$B$18*K97,0),0)</f>
        <v/>
      </c>
      <c r="L129" s="5">
        <f>-IF(L98=0,IF(L$92&gt;=$B$6,$B$18*L97,0),0)</f>
        <v/>
      </c>
    </row>
    <row r="130">
      <c r="A130" s="4" t="inlineStr">
        <is>
          <t>EBITDA</t>
        </is>
      </c>
      <c r="B130" s="18">
        <f>SUM(C130:L130)</f>
        <v/>
      </c>
      <c r="C130" s="18">
        <f>C115+C128+C129</f>
        <v/>
      </c>
      <c r="D130" s="18">
        <f>D115+D128+D129</f>
        <v/>
      </c>
      <c r="E130" s="18">
        <f>E115+E128+E129</f>
        <v/>
      </c>
      <c r="F130" s="18">
        <f>F115+F128+F129</f>
        <v/>
      </c>
      <c r="G130" s="18">
        <f>G115+G128+G129</f>
        <v/>
      </c>
      <c r="H130" s="18">
        <f>H115+H128+H129</f>
        <v/>
      </c>
      <c r="I130" s="18">
        <f>I115+I128+I129</f>
        <v/>
      </c>
      <c r="J130" s="18">
        <f>J115+J128+J129</f>
        <v/>
      </c>
      <c r="K130" s="18">
        <f>K115+K128+K129</f>
        <v/>
      </c>
      <c r="L130" s="18">
        <f>L115+L128+L129</f>
        <v/>
      </c>
    </row>
    <row r="131">
      <c r="A131" t="inlineStr">
        <is>
          <t>Loyer de la partie privée (payé par le fondateur, dès qu'il occupe les murs)</t>
        </is>
      </c>
      <c r="B131" s="5">
        <f>SUM(C131:L131)</f>
        <v/>
      </c>
      <c r="C131" s="5">
        <f>C98*$B$20*C97</f>
        <v/>
      </c>
      <c r="D131" s="5">
        <f>D98*$B$20*D97</f>
        <v/>
      </c>
      <c r="E131" s="5">
        <f>E98*$B$20*E97</f>
        <v/>
      </c>
      <c r="F131" s="5">
        <f>F98*$B$20*F97</f>
        <v/>
      </c>
      <c r="G131" s="5">
        <f>G98*$B$20*G97</f>
        <v/>
      </c>
      <c r="H131" s="5">
        <f>H98*$B$20*H97</f>
        <v/>
      </c>
      <c r="I131" s="5">
        <f>I98*$B$20*I97</f>
        <v/>
      </c>
      <c r="J131" s="5">
        <f>J98*$B$20*J97</f>
        <v/>
      </c>
      <c r="K131" s="5">
        <f>K98*$B$20*K97</f>
        <v/>
      </c>
      <c r="L131" s="5">
        <f>L98*$B$20*L97</f>
        <v/>
      </c>
    </row>
    <row r="132">
      <c r="A132" t="inlineStr">
        <is>
          <t xml:space="preserve">  Marge d'EBITDA</t>
        </is>
      </c>
      <c r="C132" s="6">
        <f>IF(C111=0,0,C130/C111)</f>
        <v/>
      </c>
      <c r="D132" s="6">
        <f>IF(D111=0,0,D130/D111)</f>
        <v/>
      </c>
      <c r="E132" s="6">
        <f>IF(E111=0,0,E130/E111)</f>
        <v/>
      </c>
      <c r="F132" s="6">
        <f>IF(F111=0,0,F130/F111)</f>
        <v/>
      </c>
      <c r="G132" s="6">
        <f>IF(G111=0,0,G130/G111)</f>
        <v/>
      </c>
      <c r="H132" s="6">
        <f>IF(H111=0,0,H130/H111)</f>
        <v/>
      </c>
      <c r="I132" s="6">
        <f>IF(I111=0,0,I130/I111)</f>
        <v/>
      </c>
      <c r="J132" s="6">
        <f>IF(J111=0,0,J130/J111)</f>
        <v/>
      </c>
      <c r="K132" s="6">
        <f>IF(K111=0,0,K130/K111)</f>
        <v/>
      </c>
      <c r="L132" s="6">
        <f>IF(L111=0,0,L130/L111)</f>
        <v/>
      </c>
    </row>
    <row r="133">
      <c r="A133" t="inlineStr">
        <is>
          <t>Travaux et équipements initiaux</t>
        </is>
      </c>
      <c r="B133" s="5">
        <f>SUM(C133:L133)</f>
        <v/>
      </c>
      <c r="C133" s="5">
        <f>($B$10+$B$11+$B$12)*$B$46*IF(C$92=$B$5,$B$13,IF(C$92=$B$5+1,$B$14,IF(C$92=$B$5+2,$B$15,0)))*C97</f>
        <v/>
      </c>
      <c r="D133" s="5">
        <f>($B$10+$B$11+$B$12)*$B$46*IF(D$92=$B$5,$B$13,IF(D$92=$B$5+1,$B$14,IF(D$92=$B$5+2,$B$15,0)))*D97</f>
        <v/>
      </c>
      <c r="E133" s="5">
        <f>($B$10+$B$11+$B$12)*$B$46*IF(E$92=$B$5,$B$13,IF(E$92=$B$5+1,$B$14,IF(E$92=$B$5+2,$B$15,0)))*E97</f>
        <v/>
      </c>
      <c r="F133" s="5">
        <f>($B$10+$B$11+$B$12)*$B$46*IF(F$92=$B$5,$B$13,IF(F$92=$B$5+1,$B$14,IF(F$92=$B$5+2,$B$15,0)))*F97</f>
        <v/>
      </c>
      <c r="G133" s="5">
        <f>($B$10+$B$11+$B$12)*$B$46*IF(G$92=$B$5,$B$13,IF(G$92=$B$5+1,$B$14,IF(G$92=$B$5+2,$B$15,0)))*G97</f>
        <v/>
      </c>
      <c r="H133" s="5">
        <f>($B$10+$B$11+$B$12)*$B$46*IF(H$92=$B$5,$B$13,IF(H$92=$B$5+1,$B$14,IF(H$92=$B$5+2,$B$15,0)))*H97</f>
        <v/>
      </c>
      <c r="I133" s="5">
        <f>($B$10+$B$11+$B$12)*$B$46*IF(I$92=$B$5,$B$13,IF(I$92=$B$5+1,$B$14,IF(I$92=$B$5+2,$B$15,0)))*I97</f>
        <v/>
      </c>
      <c r="J133" s="5">
        <f>($B$10+$B$11+$B$12)*$B$46*IF(J$92=$B$5,$B$13,IF(J$92=$B$5+1,$B$14,IF(J$92=$B$5+2,$B$15,0)))*J97</f>
        <v/>
      </c>
      <c r="K133" s="5">
        <f>($B$10+$B$11+$B$12)*$B$46*IF(K$92=$B$5,$B$13,IF(K$92=$B$5+1,$B$14,IF(K$92=$B$5+2,$B$15,0)))*K97</f>
        <v/>
      </c>
      <c r="L133" s="5">
        <f>($B$10+$B$11+$B$12)*$B$46*IF(L$92=$B$5,$B$13,IF(L$92=$B$5+1,$B$14,IF(L$92=$B$5+2,$B$15,0)))*L97</f>
        <v/>
      </c>
    </row>
    <row r="134">
      <c r="A134" t="inlineStr">
        <is>
          <t>Travaux initiaux cumulés</t>
        </is>
      </c>
      <c r="C134" s="5">
        <f>C133</f>
        <v/>
      </c>
      <c r="D134" s="5">
        <f>C134+D133</f>
        <v/>
      </c>
      <c r="E134" s="5">
        <f>D134+E133</f>
        <v/>
      </c>
      <c r="F134" s="5">
        <f>E134+F133</f>
        <v/>
      </c>
      <c r="G134" s="5">
        <f>F134+G133</f>
        <v/>
      </c>
      <c r="H134" s="5">
        <f>G134+H133</f>
        <v/>
      </c>
      <c r="I134" s="5">
        <f>H134+I133</f>
        <v/>
      </c>
      <c r="J134" s="5">
        <f>I134+J133</f>
        <v/>
      </c>
      <c r="K134" s="5">
        <f>J134+K133</f>
        <v/>
      </c>
      <c r="L134" s="5">
        <f>K134+L133</f>
        <v/>
      </c>
    </row>
    <row r="135">
      <c r="A135" t="inlineStr">
        <is>
          <t>Acquisition (prix + frais)</t>
        </is>
      </c>
      <c r="B135" s="5">
        <f>SUM(C135:L135)</f>
        <v/>
      </c>
      <c r="C135" s="5">
        <f>IF(C$92=$B$5,$B$7*(1+$B$8),0)</f>
        <v/>
      </c>
      <c r="D135" s="5">
        <f>IF(D$92=$B$5,$B$7*(1+$B$8),0)</f>
        <v/>
      </c>
      <c r="E135" s="5">
        <f>IF(E$92=$B$5,$B$7*(1+$B$8),0)</f>
        <v/>
      </c>
      <c r="F135" s="5">
        <f>IF(F$92=$B$5,$B$7*(1+$B$8),0)</f>
        <v/>
      </c>
      <c r="G135" s="5">
        <f>IF(G$92=$B$5,$B$7*(1+$B$8),0)</f>
        <v/>
      </c>
      <c r="H135" s="5">
        <f>IF(H$92=$B$5,$B$7*(1+$B$8),0)</f>
        <v/>
      </c>
      <c r="I135" s="5">
        <f>IF(I$92=$B$5,$B$7*(1+$B$8),0)</f>
        <v/>
      </c>
      <c r="J135" s="5">
        <f>IF(J$92=$B$5,$B$7*(1+$B$8),0)</f>
        <v/>
      </c>
      <c r="K135" s="5">
        <f>IF(K$92=$B$5,$B$7*(1+$B$8),0)</f>
        <v/>
      </c>
      <c r="L135" s="5">
        <f>IF(L$92=$B$5,$B$7*(1+$B$8),0)</f>
        <v/>
      </c>
    </row>
    <row r="136">
      <c r="A136" t="inlineStr">
        <is>
          <t>Gros entretien patrimonial récurrent (% de la valeur du bâti + travaux)</t>
        </is>
      </c>
      <c r="B136" s="5">
        <f>SUM(C136:L136)</f>
        <v/>
      </c>
      <c r="C136" s="5">
        <f>IF(C$92&gt;=$B$5+3,$B$16*($B$7*$B$9+($B$10+$B$11+$B$12)*$B$46)*C97,0)</f>
        <v/>
      </c>
      <c r="D136" s="5">
        <f>IF(D$92&gt;=$B$5+3,$B$16*($B$7*$B$9+($B$10+$B$11+$B$12)*$B$46)*D97,0)</f>
        <v/>
      </c>
      <c r="E136" s="5">
        <f>IF(E$92&gt;=$B$5+3,$B$16*($B$7*$B$9+($B$10+$B$11+$B$12)*$B$46)*E97,0)</f>
        <v/>
      </c>
      <c r="F136" s="5">
        <f>IF(F$92&gt;=$B$5+3,$B$16*($B$7*$B$9+($B$10+$B$11+$B$12)*$B$46)*F97,0)</f>
        <v/>
      </c>
      <c r="G136" s="5">
        <f>IF(G$92&gt;=$B$5+3,$B$16*($B$7*$B$9+($B$10+$B$11+$B$12)*$B$46)*G97,0)</f>
        <v/>
      </c>
      <c r="H136" s="5">
        <f>IF(H$92&gt;=$B$5+3,$B$16*($B$7*$B$9+($B$10+$B$11+$B$12)*$B$46)*H97,0)</f>
        <v/>
      </c>
      <c r="I136" s="5">
        <f>IF(I$92&gt;=$B$5+3,$B$16*($B$7*$B$9+($B$10+$B$11+$B$12)*$B$46)*I97,0)</f>
        <v/>
      </c>
      <c r="J136" s="5">
        <f>IF(J$92&gt;=$B$5+3,$B$16*($B$7*$B$9+($B$10+$B$11+$B$12)*$B$46)*J97,0)</f>
        <v/>
      </c>
      <c r="K136" s="5">
        <f>IF(K$92&gt;=$B$5+3,$B$16*($B$7*$B$9+($B$10+$B$11+$B$12)*$B$46)*K97,0)</f>
        <v/>
      </c>
      <c r="L136" s="5">
        <f>IF(L$92&gt;=$B$5+3,$B$16*($B$7*$B$9+($B$10+$B$11+$B$12)*$B$46)*L97,0)</f>
        <v/>
      </c>
    </row>
    <row r="137">
      <c r="A137" t="inlineStr">
        <is>
          <t>Investissements amortissables cumulés</t>
        </is>
      </c>
      <c r="C137" s="5">
        <f>C133+C136</f>
        <v/>
      </c>
      <c r="D137" s="5">
        <f>C137+D133+D136</f>
        <v/>
      </c>
      <c r="E137" s="5">
        <f>D137+E133+E136</f>
        <v/>
      </c>
      <c r="F137" s="5">
        <f>E137+F133+F136</f>
        <v/>
      </c>
      <c r="G137" s="5">
        <f>F137+G133+G136</f>
        <v/>
      </c>
      <c r="H137" s="5">
        <f>G137+H133+H136</f>
        <v/>
      </c>
      <c r="I137" s="5">
        <f>H137+I133+I136</f>
        <v/>
      </c>
      <c r="J137" s="5">
        <f>I137+J133+J136</f>
        <v/>
      </c>
      <c r="K137" s="5">
        <f>J137+K133+K136</f>
        <v/>
      </c>
      <c r="L137" s="5">
        <f>K137+L133+L136</f>
        <v/>
      </c>
    </row>
    <row r="138">
      <c r="A138" t="inlineStr">
        <is>
          <t>Dotations aux amortissements (bâti 30 ans, travaux 15 ans)</t>
        </is>
      </c>
      <c r="B138" s="5">
        <f>SUM(C138:L138)</f>
        <v/>
      </c>
      <c r="C138" s="5">
        <f>-(C98*$B$7*(1+$B$8)*$B$9/30+C137/15)</f>
        <v/>
      </c>
      <c r="D138" s="5">
        <f>-(D98*$B$7*(1+$B$8)*$B$9/30+D137/15)</f>
        <v/>
      </c>
      <c r="E138" s="5">
        <f>-(E98*$B$7*(1+$B$8)*$B$9/30+E137/15)</f>
        <v/>
      </c>
      <c r="F138" s="5">
        <f>-(F98*$B$7*(1+$B$8)*$B$9/30+F137/15)</f>
        <v/>
      </c>
      <c r="G138" s="5">
        <f>-(G98*$B$7*(1+$B$8)*$B$9/30+G137/15)</f>
        <v/>
      </c>
      <c r="H138" s="5">
        <f>-(H98*$B$7*(1+$B$8)*$B$9/30+H137/15)</f>
        <v/>
      </c>
      <c r="I138" s="5">
        <f>-(I98*$B$7*(1+$B$8)*$B$9/30+I137/15)</f>
        <v/>
      </c>
      <c r="J138" s="5">
        <f>-(J98*$B$7*(1+$B$8)*$B$9/30+J137/15)</f>
        <v/>
      </c>
      <c r="K138" s="5">
        <f>-(K98*$B$7*(1+$B$8)*$B$9/30+K137/15)</f>
        <v/>
      </c>
      <c r="L138" s="5">
        <f>-(L98*$B$7*(1+$B$8)*$B$9/30+L137/15)</f>
        <v/>
      </c>
    </row>
    <row r="139">
      <c r="A139" s="4" t="inlineStr">
        <is>
          <t>Résultat d'exploitation</t>
        </is>
      </c>
      <c r="B139" s="18">
        <f>SUM(C139:L139)</f>
        <v/>
      </c>
      <c r="C139" s="18">
        <f>C130+C138</f>
        <v/>
      </c>
      <c r="D139" s="18">
        <f>D130+D138</f>
        <v/>
      </c>
      <c r="E139" s="18">
        <f>E130+E138</f>
        <v/>
      </c>
      <c r="F139" s="18">
        <f>F130+F138</f>
        <v/>
      </c>
      <c r="G139" s="18">
        <f>G130+G138</f>
        <v/>
      </c>
      <c r="H139" s="18">
        <f>H130+H138</f>
        <v/>
      </c>
      <c r="I139" s="18">
        <f>I130+I138</f>
        <v/>
      </c>
      <c r="J139" s="18">
        <f>J130+J138</f>
        <v/>
      </c>
      <c r="K139" s="18">
        <f>K130+K138</f>
        <v/>
      </c>
      <c r="L139" s="18">
        <f>L130+L138</f>
        <v/>
      </c>
    </row>
    <row r="141">
      <c r="A141" s="4" t="inlineStr">
        <is>
          <t>Échéancier des emprunts</t>
        </is>
      </c>
    </row>
    <row r="142">
      <c r="A142" t="inlineStr">
        <is>
          <t>Taux bancaire effectif</t>
        </is>
      </c>
      <c r="C142" s="6">
        <f>$B$28+$B$48</f>
        <v/>
      </c>
      <c r="D142" s="6">
        <f>$B$28+$B$48</f>
        <v/>
      </c>
      <c r="E142" s="6">
        <f>$B$28+$B$48</f>
        <v/>
      </c>
      <c r="F142" s="6">
        <f>$B$28+$B$48</f>
        <v/>
      </c>
      <c r="G142" s="6">
        <f>$B$28+$B$48</f>
        <v/>
      </c>
      <c r="H142" s="6">
        <f>$B$28+$B$48</f>
        <v/>
      </c>
      <c r="I142" s="6">
        <f>$B$28+$B$48</f>
        <v/>
      </c>
      <c r="J142" s="6">
        <f>$B$28+$B$48</f>
        <v/>
      </c>
      <c r="K142" s="6">
        <f>$B$28+$B$48</f>
        <v/>
      </c>
      <c r="L142" s="6">
        <f>$B$28+$B$48</f>
        <v/>
      </c>
    </row>
    <row r="143">
      <c r="A143" t="inlineStr">
        <is>
          <t>Rang de l'année d'emprunt</t>
        </is>
      </c>
      <c r="C143" s="8">
        <f>MAX(0,C$92-$B$5+1)</f>
        <v/>
      </c>
      <c r="D143" s="8">
        <f>MAX(0,D$92-$B$5+1)</f>
        <v/>
      </c>
      <c r="E143" s="8">
        <f>MAX(0,E$92-$B$5+1)</f>
        <v/>
      </c>
      <c r="F143" s="8">
        <f>MAX(0,F$92-$B$5+1)</f>
        <v/>
      </c>
      <c r="G143" s="8">
        <f>MAX(0,G$92-$B$5+1)</f>
        <v/>
      </c>
      <c r="H143" s="8">
        <f>MAX(0,H$92-$B$5+1)</f>
        <v/>
      </c>
      <c r="I143" s="8">
        <f>MAX(0,I$92-$B$5+1)</f>
        <v/>
      </c>
      <c r="J143" s="8">
        <f>MAX(0,J$92-$B$5+1)</f>
        <v/>
      </c>
      <c r="K143" s="8">
        <f>MAX(0,K$92-$B$5+1)</f>
        <v/>
      </c>
      <c r="L143" s="8">
        <f>MAX(0,L$92-$B$5+1)</f>
        <v/>
      </c>
    </row>
    <row r="144">
      <c r="A144" t="inlineStr">
        <is>
          <t>Dette bancaire — capital début</t>
        </is>
      </c>
      <c r="C144" s="5">
        <f>IF(C143=1,$B$27,0)</f>
        <v/>
      </c>
      <c r="D144" s="5">
        <f>IF(D143=1,$B$27,C147)</f>
        <v/>
      </c>
      <c r="E144" s="5">
        <f>IF(E143=1,$B$27,D147)</f>
        <v/>
      </c>
      <c r="F144" s="5">
        <f>IF(F143=1,$B$27,E147)</f>
        <v/>
      </c>
      <c r="G144" s="5">
        <f>IF(G143=1,$B$27,F147)</f>
        <v/>
      </c>
      <c r="H144" s="5">
        <f>IF(H143=1,$B$27,G147)</f>
        <v/>
      </c>
      <c r="I144" s="5">
        <f>IF(I143=1,$B$27,H147)</f>
        <v/>
      </c>
      <c r="J144" s="5">
        <f>IF(J143=1,$B$27,I147)</f>
        <v/>
      </c>
      <c r="K144" s="5">
        <f>IF(K143=1,$B$27,J147)</f>
        <v/>
      </c>
      <c r="L144" s="5">
        <f>IF(L143=1,$B$27,K147)</f>
        <v/>
      </c>
    </row>
    <row r="145">
      <c r="A145" t="inlineStr">
        <is>
          <t xml:space="preserve">  Intérêts</t>
        </is>
      </c>
      <c r="B145" s="5">
        <f>SUM(C145:L145)</f>
        <v/>
      </c>
      <c r="C145" s="5">
        <f>C144*C142</f>
        <v/>
      </c>
      <c r="D145" s="5">
        <f>D144*D142</f>
        <v/>
      </c>
      <c r="E145" s="5">
        <f>E144*E142</f>
        <v/>
      </c>
      <c r="F145" s="5">
        <f>F144*F142</f>
        <v/>
      </c>
      <c r="G145" s="5">
        <f>G144*G142</f>
        <v/>
      </c>
      <c r="H145" s="5">
        <f>H144*H142</f>
        <v/>
      </c>
      <c r="I145" s="5">
        <f>I144*I142</f>
        <v/>
      </c>
      <c r="J145" s="5">
        <f>J144*J142</f>
        <v/>
      </c>
      <c r="K145" s="5">
        <f>K144*K142</f>
        <v/>
      </c>
      <c r="L145" s="5">
        <f>L144*L142</f>
        <v/>
      </c>
    </row>
    <row r="146">
      <c r="A146" t="inlineStr">
        <is>
          <t xml:space="preserve">  Amortissement du capital</t>
        </is>
      </c>
      <c r="B146" s="5">
        <f>SUM(C146:L146)</f>
        <v/>
      </c>
      <c r="C146" s="5">
        <f>IF(OR(C143=0,C143&lt;=$B$30,C144&lt;=0),0,MIN(C144,PMT(C142,$B$29-$B$30,-$B$27)-C145))</f>
        <v/>
      </c>
      <c r="D146" s="5">
        <f>IF(OR(D143=0,D143&lt;=$B$30,D144&lt;=0),0,MIN(D144,PMT(D142,$B$29-$B$30,-$B$27)-D145))</f>
        <v/>
      </c>
      <c r="E146" s="5">
        <f>IF(OR(E143=0,E143&lt;=$B$30,E144&lt;=0),0,MIN(E144,PMT(E142,$B$29-$B$30,-$B$27)-E145))</f>
        <v/>
      </c>
      <c r="F146" s="5">
        <f>IF(OR(F143=0,F143&lt;=$B$30,F144&lt;=0),0,MIN(F144,PMT(F142,$B$29-$B$30,-$B$27)-F145))</f>
        <v/>
      </c>
      <c r="G146" s="5">
        <f>IF(OR(G143=0,G143&lt;=$B$30,G144&lt;=0),0,MIN(G144,PMT(G142,$B$29-$B$30,-$B$27)-G145))</f>
        <v/>
      </c>
      <c r="H146" s="5">
        <f>IF(OR(H143=0,H143&lt;=$B$30,H144&lt;=0),0,MIN(H144,PMT(H142,$B$29-$B$30,-$B$27)-H145))</f>
        <v/>
      </c>
      <c r="I146" s="5">
        <f>IF(OR(I143=0,I143&lt;=$B$30,I144&lt;=0),0,MIN(I144,PMT(I142,$B$29-$B$30,-$B$27)-I145))</f>
        <v/>
      </c>
      <c r="J146" s="5">
        <f>IF(OR(J143=0,J143&lt;=$B$30,J144&lt;=0),0,MIN(J144,PMT(J142,$B$29-$B$30,-$B$27)-J145))</f>
        <v/>
      </c>
      <c r="K146" s="5">
        <f>IF(OR(K143=0,K143&lt;=$B$30,K144&lt;=0),0,MIN(K144,PMT(K142,$B$29-$B$30,-$B$27)-K145))</f>
        <v/>
      </c>
      <c r="L146" s="5">
        <f>IF(OR(L143=0,L143&lt;=$B$30,L144&lt;=0),0,MIN(L144,PMT(L142,$B$29-$B$30,-$B$27)-L145))</f>
        <v/>
      </c>
    </row>
    <row r="147">
      <c r="A147" t="inlineStr">
        <is>
          <t>Dette bancaire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Crédit-vendeur — capital début</t>
        </is>
      </c>
      <c r="C148" s="5">
        <f>IF(C143=1,$B$31,0)</f>
        <v/>
      </c>
      <c r="D148" s="5">
        <f>IF(D143=1,$B$31,C151)</f>
        <v/>
      </c>
      <c r="E148" s="5">
        <f>IF(E143=1,$B$31,D151)</f>
        <v/>
      </c>
      <c r="F148" s="5">
        <f>IF(F143=1,$B$31,E151)</f>
        <v/>
      </c>
      <c r="G148" s="5">
        <f>IF(G143=1,$B$31,F151)</f>
        <v/>
      </c>
      <c r="H148" s="5">
        <f>IF(H143=1,$B$31,G151)</f>
        <v/>
      </c>
      <c r="I148" s="5">
        <f>IF(I143=1,$B$31,H151)</f>
        <v/>
      </c>
      <c r="J148" s="5">
        <f>IF(J143=1,$B$31,I151)</f>
        <v/>
      </c>
      <c r="K148" s="5">
        <f>IF(K143=1,$B$31,J151)</f>
        <v/>
      </c>
      <c r="L148" s="5">
        <f>IF(L143=1,$B$31,K151)</f>
        <v/>
      </c>
    </row>
    <row r="149">
      <c r="A149" t="inlineStr">
        <is>
          <t xml:space="preserve">  Intérêts crédit-vendeur</t>
        </is>
      </c>
      <c r="B149" s="5">
        <f>SUM(C149:L149)</f>
        <v/>
      </c>
      <c r="C149" s="5">
        <f>C148*$B$32</f>
        <v/>
      </c>
      <c r="D149" s="5">
        <f>D148*$B$32</f>
        <v/>
      </c>
      <c r="E149" s="5">
        <f>E148*$B$32</f>
        <v/>
      </c>
      <c r="F149" s="5">
        <f>F148*$B$32</f>
        <v/>
      </c>
      <c r="G149" s="5">
        <f>G148*$B$32</f>
        <v/>
      </c>
      <c r="H149" s="5">
        <f>H148*$B$32</f>
        <v/>
      </c>
      <c r="I149" s="5">
        <f>I148*$B$32</f>
        <v/>
      </c>
      <c r="J149" s="5">
        <f>J148*$B$32</f>
        <v/>
      </c>
      <c r="K149" s="5">
        <f>K148*$B$32</f>
        <v/>
      </c>
      <c r="L149" s="5">
        <f>L148*$B$32</f>
        <v/>
      </c>
    </row>
    <row r="150">
      <c r="A150" t="inlineStr">
        <is>
          <t xml:space="preserve">  Amortissement crédit-vendeur</t>
        </is>
      </c>
      <c r="B150" s="5">
        <f>SUM(C150:L150)</f>
        <v/>
      </c>
      <c r="C150" s="5">
        <f>IF(OR(C143=0,C148&lt;=0),0,MIN(C148,IF($B$32=0,$B$31/$B$33,PMT($B$32,$B$33,-$B$31)-C149)))</f>
        <v/>
      </c>
      <c r="D150" s="5">
        <f>IF(OR(D143=0,D148&lt;=0),0,MIN(D148,IF($B$32=0,$B$31/$B$33,PMT($B$32,$B$33,-$B$31)-D149)))</f>
        <v/>
      </c>
      <c r="E150" s="5">
        <f>IF(OR(E143=0,E148&lt;=0),0,MIN(E148,IF($B$32=0,$B$31/$B$33,PMT($B$32,$B$33,-$B$31)-E149)))</f>
        <v/>
      </c>
      <c r="F150" s="5">
        <f>IF(OR(F143=0,F148&lt;=0),0,MIN(F148,IF($B$32=0,$B$31/$B$33,PMT($B$32,$B$33,-$B$31)-F149)))</f>
        <v/>
      </c>
      <c r="G150" s="5">
        <f>IF(OR(G143=0,G148&lt;=0),0,MIN(G148,IF($B$32=0,$B$31/$B$33,PMT($B$32,$B$33,-$B$31)-G149)))</f>
        <v/>
      </c>
      <c r="H150" s="5">
        <f>IF(OR(H143=0,H148&lt;=0),0,MIN(H148,IF($B$32=0,$B$31/$B$33,PMT($B$32,$B$33,-$B$31)-H149)))</f>
        <v/>
      </c>
      <c r="I150" s="5">
        <f>IF(OR(I143=0,I148&lt;=0),0,MIN(I148,IF($B$32=0,$B$31/$B$33,PMT($B$32,$B$33,-$B$31)-I149)))</f>
        <v/>
      </c>
      <c r="J150" s="5">
        <f>IF(OR(J143=0,J148&lt;=0),0,MIN(J148,IF($B$32=0,$B$31/$B$33,PMT($B$32,$B$33,-$B$31)-J149)))</f>
        <v/>
      </c>
      <c r="K150" s="5">
        <f>IF(OR(K143=0,K148&lt;=0),0,MIN(K148,IF($B$32=0,$B$31/$B$33,PMT($B$32,$B$33,-$B$31)-K149)))</f>
        <v/>
      </c>
      <c r="L150" s="5">
        <f>IF(OR(L143=0,L148&lt;=0),0,MIN(L148,IF($B$32=0,$B$31/$B$33,PMT($B$32,$B$33,-$B$31)-L149)))</f>
        <v/>
      </c>
    </row>
    <row r="151">
      <c r="A151" t="inlineStr">
        <is>
          <t>Crédit-vendeur — capital fin</t>
        </is>
      </c>
      <c r="C151" s="5">
        <f>C148-C150</f>
        <v/>
      </c>
      <c r="D151" s="5">
        <f>D148-D150</f>
        <v/>
      </c>
      <c r="E151" s="5">
        <f>E148-E150</f>
        <v/>
      </c>
      <c r="F151" s="5">
        <f>F148-F150</f>
        <v/>
      </c>
      <c r="G151" s="5">
        <f>G148-G150</f>
        <v/>
      </c>
      <c r="H151" s="5">
        <f>H148-H150</f>
        <v/>
      </c>
      <c r="I151" s="5">
        <f>I148-I150</f>
        <v/>
      </c>
      <c r="J151" s="5">
        <f>J148-J150</f>
        <v/>
      </c>
      <c r="K151" s="5">
        <f>K148-K150</f>
        <v/>
      </c>
      <c r="L151" s="5">
        <f>L148-L150</f>
        <v/>
      </c>
    </row>
    <row r="152">
      <c r="A152" t="inlineStr">
        <is>
          <t>Obligations — encours</t>
        </is>
      </c>
      <c r="C152" s="5">
        <f>IF(AND(C$92&gt;=$B$5,C$92&lt;=$B$36),$B$34,0)</f>
        <v/>
      </c>
      <c r="D152" s="5">
        <f>IF(AND(D$92&gt;=$B$5,D$92&lt;=$B$36),$B$34,0)</f>
        <v/>
      </c>
      <c r="E152" s="5">
        <f>IF(AND(E$92&gt;=$B$5,E$92&lt;=$B$36),$B$34,0)</f>
        <v/>
      </c>
      <c r="F152" s="5">
        <f>IF(AND(F$92&gt;=$B$5,F$92&lt;=$B$36),$B$34,0)</f>
        <v/>
      </c>
      <c r="G152" s="5">
        <f>IF(AND(G$92&gt;=$B$5,G$92&lt;=$B$36),$B$34,0)</f>
        <v/>
      </c>
      <c r="H152" s="5">
        <f>IF(AND(H$92&gt;=$B$5,H$92&lt;=$B$36),$B$34,0)</f>
        <v/>
      </c>
      <c r="I152" s="5">
        <f>IF(AND(I$92&gt;=$B$5,I$92&lt;=$B$36),$B$34,0)</f>
        <v/>
      </c>
      <c r="J152" s="5">
        <f>IF(AND(J$92&gt;=$B$5,J$92&lt;=$B$36),$B$34,0)</f>
        <v/>
      </c>
      <c r="K152" s="5">
        <f>IF(AND(K$92&gt;=$B$5,K$92&lt;=$B$36),$B$34,0)</f>
        <v/>
      </c>
      <c r="L152" s="5">
        <f>IF(AND(L$92&gt;=$B$5,L$92&lt;=$B$36),$B$34,0)</f>
        <v/>
      </c>
    </row>
    <row r="153">
      <c r="A153" t="inlineStr">
        <is>
          <t xml:space="preserve">  Coupons obligataires</t>
        </is>
      </c>
      <c r="B153" s="5">
        <f>SUM(C153:L153)</f>
        <v/>
      </c>
      <c r="C153" s="5">
        <f>C152*$B$35</f>
        <v/>
      </c>
      <c r="D153" s="5">
        <f>D152*$B$35</f>
        <v/>
      </c>
      <c r="E153" s="5">
        <f>E152*$B$35</f>
        <v/>
      </c>
      <c r="F153" s="5">
        <f>F152*$B$35</f>
        <v/>
      </c>
      <c r="G153" s="5">
        <f>G152*$B$35</f>
        <v/>
      </c>
      <c r="H153" s="5">
        <f>H152*$B$35</f>
        <v/>
      </c>
      <c r="I153" s="5">
        <f>I152*$B$35</f>
        <v/>
      </c>
      <c r="J153" s="5">
        <f>J152*$B$35</f>
        <v/>
      </c>
      <c r="K153" s="5">
        <f>K152*$B$35</f>
        <v/>
      </c>
      <c r="L153" s="5">
        <f>L152*$B$35</f>
        <v/>
      </c>
    </row>
    <row r="154">
      <c r="A154" t="inlineStr">
        <is>
          <t xml:space="preserve">  Remboursement obligations</t>
        </is>
      </c>
      <c r="B154" s="5">
        <f>SUM(C154:L154)</f>
        <v/>
      </c>
      <c r="C154" s="5">
        <f>IF(C$92=$B$36,$B$34,0)</f>
        <v/>
      </c>
      <c r="D154" s="5">
        <f>IF(D$92=$B$36,$B$34,0)</f>
        <v/>
      </c>
      <c r="E154" s="5">
        <f>IF(E$92=$B$36,$B$34,0)</f>
        <v/>
      </c>
      <c r="F154" s="5">
        <f>IF(F$92=$B$36,$B$34,0)</f>
        <v/>
      </c>
      <c r="G154" s="5">
        <f>IF(G$92=$B$36,$B$34,0)</f>
        <v/>
      </c>
      <c r="H154" s="5">
        <f>IF(H$92=$B$36,$B$34,0)</f>
        <v/>
      </c>
      <c r="I154" s="5">
        <f>IF(I$92=$B$36,$B$34,0)</f>
        <v/>
      </c>
      <c r="J154" s="5">
        <f>IF(J$92=$B$36,$B$34,0)</f>
        <v/>
      </c>
      <c r="K154" s="5">
        <f>IF(K$92=$B$36,$B$34,0)</f>
        <v/>
      </c>
      <c r="L154" s="5">
        <f>IF(L$92=$B$36,$B$34,0)</f>
        <v/>
      </c>
    </row>
    <row r="156">
      <c r="A156" t="inlineStr">
        <is>
          <t>Charges financières</t>
        </is>
      </c>
      <c r="B156" s="5">
        <f>SUM(C156:L156)</f>
        <v/>
      </c>
      <c r="C156" s="5">
        <f>-(C145+C149+C153)</f>
        <v/>
      </c>
      <c r="D156" s="5">
        <f>-(D145+D149+D153)</f>
        <v/>
      </c>
      <c r="E156" s="5">
        <f>-(E145+E149+E153)</f>
        <v/>
      </c>
      <c r="F156" s="5">
        <f>-(F145+F149+F153)</f>
        <v/>
      </c>
      <c r="G156" s="5">
        <f>-(G145+G149+G153)</f>
        <v/>
      </c>
      <c r="H156" s="5">
        <f>-(H145+H149+H153)</f>
        <v/>
      </c>
      <c r="I156" s="5">
        <f>-(I145+I149+I153)</f>
        <v/>
      </c>
      <c r="J156" s="5">
        <f>-(J145+J149+J153)</f>
        <v/>
      </c>
      <c r="K156" s="5">
        <f>-(K145+K149+K153)</f>
        <v/>
      </c>
      <c r="L156" s="5">
        <f>-(L145+L149+L153)</f>
        <v/>
      </c>
    </row>
    <row r="157">
      <c r="A157" s="4" t="inlineStr">
        <is>
          <t>Résultat avant impôt</t>
        </is>
      </c>
      <c r="B157" s="18">
        <f>SUM(C157:L157)</f>
        <v/>
      </c>
      <c r="C157" s="18">
        <f>C139+C156+C131</f>
        <v/>
      </c>
      <c r="D157" s="18">
        <f>D139+D156+D131</f>
        <v/>
      </c>
      <c r="E157" s="18">
        <f>E139+E156+E131</f>
        <v/>
      </c>
      <c r="F157" s="18">
        <f>F139+F156+F131</f>
        <v/>
      </c>
      <c r="G157" s="18">
        <f>G139+G156+G131</f>
        <v/>
      </c>
      <c r="H157" s="18">
        <f>H139+H156+H131</f>
        <v/>
      </c>
      <c r="I157" s="18">
        <f>I139+I156+I131</f>
        <v/>
      </c>
      <c r="J157" s="18">
        <f>J139+J156+J131</f>
        <v/>
      </c>
      <c r="K157" s="18">
        <f>K139+K156+K131</f>
        <v/>
      </c>
      <c r="L157" s="18">
        <f>L139+L156+L131</f>
        <v/>
      </c>
    </row>
    <row r="158">
      <c r="A158" t="inlineStr">
        <is>
          <t>Stock de déficits reportables (fin d'année)</t>
        </is>
      </c>
      <c r="C158" s="5">
        <f>MAX(0,-C157)</f>
        <v/>
      </c>
      <c r="D158" s="5">
        <f>MAX(0,C158-D157)</f>
        <v/>
      </c>
      <c r="E158" s="5">
        <f>MAX(0,D158-E157)</f>
        <v/>
      </c>
      <c r="F158" s="5">
        <f>MAX(0,E158-F157)</f>
        <v/>
      </c>
      <c r="G158" s="5">
        <f>MAX(0,F158-G157)</f>
        <v/>
      </c>
      <c r="H158" s="5">
        <f>MAX(0,G158-H157)</f>
        <v/>
      </c>
      <c r="I158" s="5">
        <f>MAX(0,H158-I157)</f>
        <v/>
      </c>
      <c r="J158" s="5">
        <f>MAX(0,I158-J157)</f>
        <v/>
      </c>
      <c r="K158" s="5">
        <f>MAX(0,J158-K157)</f>
        <v/>
      </c>
      <c r="L158" s="5">
        <f>MAX(0,K158-L157)</f>
        <v/>
      </c>
    </row>
    <row r="159">
      <c r="A159" t="inlineStr">
        <is>
          <t>Impôt sur les sociétés</t>
        </is>
      </c>
      <c r="B159" s="5">
        <f>SUM(C159:L159)</f>
        <v/>
      </c>
      <c r="C159" s="5">
        <f>-(MIN(MAX(0,C157),$B$61)*$B$60+MAX(0,MAX(0,C157)-$B$61)*$B$59)</f>
        <v/>
      </c>
      <c r="D159" s="5">
        <f>-(MIN(MAX(0,D157-C158),$B$61)*$B$60+MAX(0,MAX(0,D157-C158)-$B$61)*$B$59)</f>
        <v/>
      </c>
      <c r="E159" s="5">
        <f>-(MIN(MAX(0,E157-D158),$B$61)*$B$60+MAX(0,MAX(0,E157-D158)-$B$61)*$B$59)</f>
        <v/>
      </c>
      <c r="F159" s="5">
        <f>-(MIN(MAX(0,F157-E158),$B$61)*$B$60+MAX(0,MAX(0,F157-E158)-$B$61)*$B$59)</f>
        <v/>
      </c>
      <c r="G159" s="5">
        <f>-(MIN(MAX(0,G157-F158),$B$61)*$B$60+MAX(0,MAX(0,G157-F158)-$B$61)*$B$59)</f>
        <v/>
      </c>
      <c r="H159" s="5">
        <f>-(MIN(MAX(0,H157-G158),$B$61)*$B$60+MAX(0,MAX(0,H157-G158)-$B$61)*$B$59)</f>
        <v/>
      </c>
      <c r="I159" s="5">
        <f>-(MIN(MAX(0,I157-H158),$B$61)*$B$60+MAX(0,MAX(0,I157-H158)-$B$61)*$B$59)</f>
        <v/>
      </c>
      <c r="J159" s="5">
        <f>-(MIN(MAX(0,J157-I158),$B$61)*$B$60+MAX(0,MAX(0,J157-I158)-$B$61)*$B$59)</f>
        <v/>
      </c>
      <c r="K159" s="5">
        <f>-(MIN(MAX(0,K157-J158),$B$61)*$B$60+MAX(0,MAX(0,K157-J158)-$B$61)*$B$59)</f>
        <v/>
      </c>
      <c r="L159" s="5">
        <f>-(MIN(MAX(0,L157-K158),$B$61)*$B$60+MAX(0,MAX(0,L157-K158)-$B$61)*$B$59)</f>
        <v/>
      </c>
    </row>
    <row r="160">
      <c r="A160" s="4" t="inlineStr">
        <is>
          <t>Résultat net</t>
        </is>
      </c>
      <c r="B160" s="18">
        <f>SUM(C160:L160)</f>
        <v/>
      </c>
      <c r="C160" s="18">
        <f>C157+C159</f>
        <v/>
      </c>
      <c r="D160" s="18">
        <f>D157+D159</f>
        <v/>
      </c>
      <c r="E160" s="18">
        <f>E157+E159</f>
        <v/>
      </c>
      <c r="F160" s="18">
        <f>F157+F159</f>
        <v/>
      </c>
      <c r="G160" s="18">
        <f>G157+G159</f>
        <v/>
      </c>
      <c r="H160" s="18">
        <f>H157+H159</f>
        <v/>
      </c>
      <c r="I160" s="18">
        <f>I157+I159</f>
        <v/>
      </c>
      <c r="J160" s="18">
        <f>J157+J159</f>
        <v/>
      </c>
      <c r="K160" s="18">
        <f>K157+K159</f>
        <v/>
      </c>
      <c r="L160" s="18">
        <f>L157+L159</f>
        <v/>
      </c>
    </row>
    <row r="162">
      <c r="A162" s="4" t="inlineStr">
        <is>
          <t>Tableau des flux de trésorerie</t>
        </is>
      </c>
    </row>
    <row r="163">
      <c r="A163" t="inlineStr">
        <is>
          <t>BFR (niveau)</t>
        </is>
      </c>
      <c r="C163" s="5">
        <f>C111*$B$58</f>
        <v/>
      </c>
      <c r="D163" s="5">
        <f>D111*$B$58</f>
        <v/>
      </c>
      <c r="E163" s="5">
        <f>E111*$B$58</f>
        <v/>
      </c>
      <c r="F163" s="5">
        <f>F111*$B$58</f>
        <v/>
      </c>
      <c r="G163" s="5">
        <f>G111*$B$58</f>
        <v/>
      </c>
      <c r="H163" s="5">
        <f>H111*$B$58</f>
        <v/>
      </c>
      <c r="I163" s="5">
        <f>I111*$B$58</f>
        <v/>
      </c>
      <c r="J163" s="5">
        <f>J111*$B$58</f>
        <v/>
      </c>
      <c r="K163" s="5">
        <f>K111*$B$58</f>
        <v/>
      </c>
      <c r="L163" s="5">
        <f>L111*$B$58</f>
        <v/>
      </c>
    </row>
    <row r="164">
      <c r="A164" t="inlineStr">
        <is>
          <t>Variation du BFR</t>
        </is>
      </c>
      <c r="B164" s="5">
        <f>SUM(C164:L164)</f>
        <v/>
      </c>
      <c r="C164" s="5">
        <f>-C163</f>
        <v/>
      </c>
      <c r="D164" s="5">
        <f>-(D163-C163)</f>
        <v/>
      </c>
      <c r="E164" s="5">
        <f>-(E163-D163)</f>
        <v/>
      </c>
      <c r="F164" s="5">
        <f>-(F163-E163)</f>
        <v/>
      </c>
      <c r="G164" s="5">
        <f>-(G163-F163)</f>
        <v/>
      </c>
      <c r="H164" s="5">
        <f>-(H163-G163)</f>
        <v/>
      </c>
      <c r="I164" s="5">
        <f>-(I163-H163)</f>
        <v/>
      </c>
      <c r="J164" s="5">
        <f>-(J163-I163)</f>
        <v/>
      </c>
      <c r="K164" s="5">
        <f>-(K163-J163)</f>
        <v/>
      </c>
      <c r="L164" s="5">
        <f>-(L163-K163)</f>
        <v/>
      </c>
    </row>
    <row r="165">
      <c r="A165" s="4" t="inlineStr">
        <is>
          <t>Flux d'exploitation (EBITDA + loyer privé − IS − ΔBFR)</t>
        </is>
      </c>
      <c r="B165" s="18">
        <f>SUM(C165:L165)</f>
        <v/>
      </c>
      <c r="C165" s="18">
        <f>C130+C131+C159+C164</f>
        <v/>
      </c>
      <c r="D165" s="18">
        <f>D130+D131+D159+D164</f>
        <v/>
      </c>
      <c r="E165" s="18">
        <f>E130+E131+E159+E164</f>
        <v/>
      </c>
      <c r="F165" s="18">
        <f>F130+F131+F159+F164</f>
        <v/>
      </c>
      <c r="G165" s="18">
        <f>G130+G131+G159+G164</f>
        <v/>
      </c>
      <c r="H165" s="18">
        <f>H130+H131+H159+H164</f>
        <v/>
      </c>
      <c r="I165" s="18">
        <f>I130+I131+I159+I164</f>
        <v/>
      </c>
      <c r="J165" s="18">
        <f>J130+J131+J159+J164</f>
        <v/>
      </c>
      <c r="K165" s="18">
        <f>K130+K131+K159+K164</f>
        <v/>
      </c>
      <c r="L165" s="18">
        <f>L130+L131+L159+L164</f>
        <v/>
      </c>
    </row>
    <row r="166">
      <c r="A166" s="4" t="inlineStr">
        <is>
          <t>Flux d'investissement</t>
        </is>
      </c>
      <c r="B166" s="18">
        <f>SUM(C166:L166)</f>
        <v/>
      </c>
      <c r="C166" s="18">
        <f>-(C135+C133+C136)</f>
        <v/>
      </c>
      <c r="D166" s="18">
        <f>-(D135+D133+D136)</f>
        <v/>
      </c>
      <c r="E166" s="18">
        <f>-(E135+E133+E136)</f>
        <v/>
      </c>
      <c r="F166" s="18">
        <f>-(F135+F133+F136)</f>
        <v/>
      </c>
      <c r="G166" s="18">
        <f>-(G135+G133+G136)</f>
        <v/>
      </c>
      <c r="H166" s="18">
        <f>-(H135+H133+H136)</f>
        <v/>
      </c>
      <c r="I166" s="18">
        <f>-(I135+I133+I136)</f>
        <v/>
      </c>
      <c r="J166" s="18">
        <f>-(J135+J133+J136)</f>
        <v/>
      </c>
      <c r="K166" s="18">
        <f>-(K135+K133+K136)</f>
        <v/>
      </c>
      <c r="L166" s="18">
        <f>-(L135+L133+L136)</f>
        <v/>
      </c>
    </row>
    <row r="167">
      <c r="A167" t="inlineStr">
        <is>
          <t xml:space="preserve">  Apports en fonds propres + subventions</t>
        </is>
      </c>
      <c r="B167" s="5">
        <f>SUM(C167:L167)</f>
        <v/>
      </c>
      <c r="C167" s="5">
        <f>IF(C$92=1,$B$23,0)+IF(C$92=$B$5,$B$24*(1-$B$49)+$B$26,0)</f>
        <v/>
      </c>
      <c r="D167" s="5">
        <f>IF(D$92=1,$B$23,0)+IF(D$92=$B$5,$B$24*(1-$B$49)+$B$26,0)</f>
        <v/>
      </c>
      <c r="E167" s="5">
        <f>IF(E$92=1,$B$23,0)+IF(E$92=$B$5,$B$24*(1-$B$49)+$B$26,0)</f>
        <v/>
      </c>
      <c r="F167" s="5">
        <f>IF(F$92=1,$B$23,0)+IF(F$92=$B$5,$B$24*(1-$B$49)+$B$26,0)</f>
        <v/>
      </c>
      <c r="G167" s="5">
        <f>IF(G$92=1,$B$23,0)+IF(G$92=$B$5,$B$24*(1-$B$49)+$B$26,0)</f>
        <v/>
      </c>
      <c r="H167" s="5">
        <f>IF(H$92=1,$B$23,0)+IF(H$92=$B$5,$B$24*(1-$B$49)+$B$26,0)</f>
        <v/>
      </c>
      <c r="I167" s="5">
        <f>IF(I$92=1,$B$23,0)+IF(I$92=$B$5,$B$24*(1-$B$49)+$B$26,0)</f>
        <v/>
      </c>
      <c r="J167" s="5">
        <f>IF(J$92=1,$B$23,0)+IF(J$92=$B$5,$B$24*(1-$B$49)+$B$26,0)</f>
        <v/>
      </c>
      <c r="K167" s="5">
        <f>IF(K$92=1,$B$23,0)+IF(K$92=$B$5,$B$24*(1-$B$49)+$B$26,0)</f>
        <v/>
      </c>
      <c r="L167" s="5">
        <f>IF(L$92=1,$B$23,0)+IF(L$92=$B$5,$B$24*(1-$B$49)+$B$26,0)</f>
        <v/>
      </c>
    </row>
    <row r="168">
      <c r="A168" t="inlineStr">
        <is>
          <t xml:space="preserve">  Tirages dette + crédit-vendeur + obligations</t>
        </is>
      </c>
      <c r="B168" s="5">
        <f>SUM(C168:L168)</f>
        <v/>
      </c>
      <c r="C168" s="5">
        <f>IF(C$92=$B$5,$B$27+$B$31+$B$34,0)</f>
        <v/>
      </c>
      <c r="D168" s="5">
        <f>IF(D$92=$B$5,$B$27+$B$31+$B$34,0)</f>
        <v/>
      </c>
      <c r="E168" s="5">
        <f>IF(E$92=$B$5,$B$27+$B$31+$B$34,0)</f>
        <v/>
      </c>
      <c r="F168" s="5">
        <f>IF(F$92=$B$5,$B$27+$B$31+$B$34,0)</f>
        <v/>
      </c>
      <c r="G168" s="5">
        <f>IF(G$92=$B$5,$B$27+$B$31+$B$34,0)</f>
        <v/>
      </c>
      <c r="H168" s="5">
        <f>IF(H$92=$B$5,$B$27+$B$31+$B$34,0)</f>
        <v/>
      </c>
      <c r="I168" s="5">
        <f>IF(I$92=$B$5,$B$27+$B$31+$B$34,0)</f>
        <v/>
      </c>
      <c r="J168" s="5">
        <f>IF(J$92=$B$5,$B$27+$B$31+$B$34,0)</f>
        <v/>
      </c>
      <c r="K168" s="5">
        <f>IF(K$92=$B$5,$B$27+$B$31+$B$34,0)</f>
        <v/>
      </c>
      <c r="L168" s="5">
        <f>IF(L$92=$B$5,$B$27+$B$31+$B$34,0)</f>
        <v/>
      </c>
    </row>
    <row r="169">
      <c r="A169" t="inlineStr">
        <is>
          <t xml:space="preserve">  Service de la dette (intérêts + capital + coupons + rembt obligations)</t>
        </is>
      </c>
      <c r="B169" s="5">
        <f>SUM(C169:L169)</f>
        <v/>
      </c>
      <c r="C169" s="5">
        <f>-(C145+C146+C149+C150+C153+C154)</f>
        <v/>
      </c>
      <c r="D169" s="5">
        <f>-(D145+D146+D149+D150+D153+D154)</f>
        <v/>
      </c>
      <c r="E169" s="5">
        <f>-(E145+E146+E149+E150+E153+E154)</f>
        <v/>
      </c>
      <c r="F169" s="5">
        <f>-(F145+F146+F149+F150+F153+F154)</f>
        <v/>
      </c>
      <c r="G169" s="5">
        <f>-(G145+G146+G149+G150+G153+G154)</f>
        <v/>
      </c>
      <c r="H169" s="5">
        <f>-(H145+H146+H149+H150+H153+H154)</f>
        <v/>
      </c>
      <c r="I169" s="5">
        <f>-(I145+I146+I149+I150+I153+I154)</f>
        <v/>
      </c>
      <c r="J169" s="5">
        <f>-(J145+J146+J149+J150+J153+J154)</f>
        <v/>
      </c>
      <c r="K169" s="5">
        <f>-(K145+K146+K149+K150+K153+K154)</f>
        <v/>
      </c>
      <c r="L169" s="5">
        <f>-(L145+L146+L149+L150+L153+L154)</f>
        <v/>
      </c>
    </row>
    <row r="170">
      <c r="A170" s="4" t="inlineStr">
        <is>
          <t>Flux de financement</t>
        </is>
      </c>
      <c r="B170" s="18">
        <f>SUM(C170:L170)</f>
        <v/>
      </c>
      <c r="C170" s="18">
        <f>C167+C168+C169</f>
        <v/>
      </c>
      <c r="D170" s="18">
        <f>D167+D168+D169</f>
        <v/>
      </c>
      <c r="E170" s="18">
        <f>E167+E168+E169</f>
        <v/>
      </c>
      <c r="F170" s="18">
        <f>F167+F168+F169</f>
        <v/>
      </c>
      <c r="G170" s="18">
        <f>G167+G168+G169</f>
        <v/>
      </c>
      <c r="H170" s="18">
        <f>H167+H168+H169</f>
        <v/>
      </c>
      <c r="I170" s="18">
        <f>I167+I168+I169</f>
        <v/>
      </c>
      <c r="J170" s="18">
        <f>J167+J168+J169</f>
        <v/>
      </c>
      <c r="K170" s="18">
        <f>K167+K168+K169</f>
        <v/>
      </c>
      <c r="L170" s="18">
        <f>L167+L168+L169</f>
        <v/>
      </c>
    </row>
    <row r="171">
      <c r="A171" s="4" t="inlineStr">
        <is>
          <t>Variation de trésorerie</t>
        </is>
      </c>
      <c r="B171" s="18">
        <f>SUM(C171:L171)</f>
        <v/>
      </c>
      <c r="C171" s="18">
        <f>C165+C166+C170</f>
        <v/>
      </c>
      <c r="D171" s="18">
        <f>D165+D166+D170</f>
        <v/>
      </c>
      <c r="E171" s="18">
        <f>E165+E166+E170</f>
        <v/>
      </c>
      <c r="F171" s="18">
        <f>F165+F166+F170</f>
        <v/>
      </c>
      <c r="G171" s="18">
        <f>G165+G166+G170</f>
        <v/>
      </c>
      <c r="H171" s="18">
        <f>H165+H166+H170</f>
        <v/>
      </c>
      <c r="I171" s="18">
        <f>I165+I166+I170</f>
        <v/>
      </c>
      <c r="J171" s="18">
        <f>J165+J166+J170</f>
        <v/>
      </c>
      <c r="K171" s="18">
        <f>K165+K166+K170</f>
        <v/>
      </c>
      <c r="L171" s="18">
        <f>L165+L166+L170</f>
        <v/>
      </c>
    </row>
    <row r="172">
      <c r="A172" s="4" t="inlineStr">
        <is>
          <t>Trésorerie fin d'année</t>
        </is>
      </c>
      <c r="C172" s="18">
        <f>C171</f>
        <v/>
      </c>
      <c r="D172" s="18">
        <f>C172+D171</f>
        <v/>
      </c>
      <c r="E172" s="18">
        <f>D172+E171</f>
        <v/>
      </c>
      <c r="F172" s="18">
        <f>E172+F171</f>
        <v/>
      </c>
      <c r="G172" s="18">
        <f>F172+G171</f>
        <v/>
      </c>
      <c r="H172" s="18">
        <f>G172+H171</f>
        <v/>
      </c>
      <c r="I172" s="18">
        <f>H172+I171</f>
        <v/>
      </c>
      <c r="J172" s="18">
        <f>I172+J171</f>
        <v/>
      </c>
      <c r="K172" s="18">
        <f>J172+K171</f>
        <v/>
      </c>
      <c r="L172" s="18">
        <f>K172+L171</f>
        <v/>
      </c>
    </row>
    <row r="173">
      <c r="A173" t="inlineStr">
        <is>
          <t>Cash-flow libre d'exploitation (CFO − gros entretien − service dette hors obligations in fine)</t>
        </is>
      </c>
      <c r="B173" s="5">
        <f>SUM(C173:L173)</f>
        <v/>
      </c>
      <c r="C173" s="5">
        <f>C165-C136-(C145+C146+C149+C150+C153)</f>
        <v/>
      </c>
      <c r="D173" s="5">
        <f>D165-D136-(D145+D146+D149+D150+D153)</f>
        <v/>
      </c>
      <c r="E173" s="5">
        <f>E165-E136-(E145+E146+E149+E150+E153)</f>
        <v/>
      </c>
      <c r="F173" s="5">
        <f>F165-F136-(F145+F146+F149+F150+F153)</f>
        <v/>
      </c>
      <c r="G173" s="5">
        <f>G165-G136-(G145+G146+G149+G150+G153)</f>
        <v/>
      </c>
      <c r="H173" s="5">
        <f>H165-H136-(H145+H146+H149+H150+H153)</f>
        <v/>
      </c>
      <c r="I173" s="5">
        <f>I165-I136-(I145+I146+I149+I150+I153)</f>
        <v/>
      </c>
      <c r="J173" s="5">
        <f>J165-J136-(J145+J146+J149+J150+J153)</f>
        <v/>
      </c>
      <c r="K173" s="5">
        <f>K165-K136-(K145+K146+K149+K150+K153)</f>
        <v/>
      </c>
      <c r="L173" s="5">
        <f>L165-L136-(L145+L146+L149+L150+L153)</f>
        <v/>
      </c>
    </row>
    <row r="174">
      <c r="A174" t="inlineStr">
        <is>
          <t>DSCR ((EBITDA + loyer privé − IS − gros entretien) / service de la dette)</t>
        </is>
      </c>
      <c r="C174" s="7">
        <f>IF((C145+C146+C149+C150+C153)=0,"",(C130+C131+C159-C136)/(C145+C146+C149+C150+C153))</f>
        <v/>
      </c>
      <c r="D174" s="7">
        <f>IF((D145+D146+D149+D150+D153)=0,"",(D130+D131+D159-D136)/(D145+D146+D149+D150+D153))</f>
        <v/>
      </c>
      <c r="E174" s="7">
        <f>IF((E145+E146+E149+E150+E153)=0,"",(E130+E131+E159-E136)/(E145+E146+E149+E150+E153))</f>
        <v/>
      </c>
      <c r="F174" s="7">
        <f>IF((F145+F146+F149+F150+F153)=0,"",(F130+F131+F159-F136)/(F145+F146+F149+F150+F153))</f>
        <v/>
      </c>
      <c r="G174" s="7">
        <f>IF((G145+G146+G149+G150+G153)=0,"",(G130+G131+G159-G136)/(G145+G146+G149+G150+G153))</f>
        <v/>
      </c>
      <c r="H174" s="7">
        <f>IF((H145+H146+H149+H150+H153)=0,"",(H130+H131+H159-H136)/(H145+H146+H149+H150+H153))</f>
        <v/>
      </c>
      <c r="I174" s="7">
        <f>IF((I145+I146+I149+I150+I153)=0,"",(I130+I131+I159-I136)/(I145+I146+I149+I150+I153))</f>
        <v/>
      </c>
      <c r="J174" s="7">
        <f>IF((J145+J146+J149+J150+J153)=0,"",(J130+J131+J159-J136)/(J145+J146+J149+J150+J153))</f>
        <v/>
      </c>
      <c r="K174" s="7">
        <f>IF((K145+K146+K149+K150+K153)=0,"",(K130+K131+K159-K136)/(K145+K146+K149+K150+K153))</f>
        <v/>
      </c>
      <c r="L174" s="7">
        <f>IF((L145+L146+L149+L150+L153)=0,"",(L130+L131+L159-L136)/(L145+L146+L149+L150+L153))</f>
        <v/>
      </c>
    </row>
    <row r="176">
      <c r="A176" s="4" t="inlineStr">
        <is>
          <t>Rentabilité des investisseurs et contrôle</t>
        </is>
      </c>
    </row>
    <row r="177">
      <c r="A177" t="inlineStr">
        <is>
          <t>Dettes financières totales fin d'année</t>
        </is>
      </c>
      <c r="C177" s="5">
        <f>C147+C151+C152-C154</f>
        <v/>
      </c>
      <c r="D177" s="5">
        <f>D147+D151+D152-D154</f>
        <v/>
      </c>
      <c r="E177" s="5">
        <f>E147+E151+E152-E154</f>
        <v/>
      </c>
      <c r="F177" s="5">
        <f>F147+F151+F152-F154</f>
        <v/>
      </c>
      <c r="G177" s="5">
        <f>G147+G151+G152-G154</f>
        <v/>
      </c>
      <c r="H177" s="5">
        <f>H147+H151+H152-H154</f>
        <v/>
      </c>
      <c r="I177" s="5">
        <f>I147+I151+I152-I154</f>
        <v/>
      </c>
      <c r="J177" s="5">
        <f>J147+J151+J152-J154</f>
        <v/>
      </c>
      <c r="K177" s="5">
        <f>K147+K151+K152-K154</f>
        <v/>
      </c>
      <c r="L177" s="5">
        <f>L147+L151+L152-L154</f>
        <v/>
      </c>
    </row>
    <row r="178">
      <c r="A178" t="inlineStr">
        <is>
          <t>Valeur estimée de l'actif (si cédé cette année)</t>
        </is>
      </c>
      <c r="C178" s="5">
        <f>C98*($B$7+C134)*$B$17*(1-$B$19)</f>
        <v/>
      </c>
      <c r="D178" s="5">
        <f>D98*($B$7+D134)*$B$17*(1-$B$19)</f>
        <v/>
      </c>
      <c r="E178" s="5">
        <f>E98*($B$7+E134)*$B$17*(1-$B$19)</f>
        <v/>
      </c>
      <c r="F178" s="5">
        <f>F98*($B$7+F134)*$B$17*(1-$B$19)</f>
        <v/>
      </c>
      <c r="G178" s="5">
        <f>G98*($B$7+G134)*$B$17*(1-$B$19)</f>
        <v/>
      </c>
      <c r="H178" s="5">
        <f>H98*($B$7+H134)*$B$17*(1-$B$19)</f>
        <v/>
      </c>
      <c r="I178" s="5">
        <f>I98*($B$7+I134)*$B$17*(1-$B$19)</f>
        <v/>
      </c>
      <c r="J178" s="5">
        <f>J98*($B$7+J134)*$B$17*(1-$B$19)</f>
        <v/>
      </c>
      <c r="K178" s="5">
        <f>K98*($B$7+K134)*$B$17*(1-$B$19)</f>
        <v/>
      </c>
      <c r="L178" s="5">
        <f>L98*($B$7+L134)*$B$17*(1-$B$19)</f>
        <v/>
      </c>
    </row>
    <row r="179">
      <c r="A179" t="inlineStr">
        <is>
          <t>Valeur des fonds propres (actif + trésorerie − dettes)</t>
        </is>
      </c>
      <c r="C179" s="5">
        <f>C178+C172-C177</f>
        <v/>
      </c>
      <c r="D179" s="5">
        <f>D178+D172-D177</f>
        <v/>
      </c>
      <c r="E179" s="5">
        <f>E178+E172-E177</f>
        <v/>
      </c>
      <c r="F179" s="5">
        <f>F178+F172-F177</f>
        <v/>
      </c>
      <c r="G179" s="5">
        <f>G178+G172-G177</f>
        <v/>
      </c>
      <c r="H179" s="5">
        <f>H178+H172-H177</f>
        <v/>
      </c>
      <c r="I179" s="5">
        <f>I178+I172-I177</f>
        <v/>
      </c>
      <c r="J179" s="5">
        <f>J178+J172-J177</f>
        <v/>
      </c>
      <c r="K179" s="5">
        <f>K178+K172-K177</f>
        <v/>
      </c>
      <c r="L179" s="5">
        <f>L178+L172-L177</f>
        <v/>
      </c>
    </row>
    <row r="180">
      <c r="A180" t="inlineStr">
        <is>
          <t>Flux des investisseurs (entrée an d'acq., sortie an 10)</t>
        </is>
      </c>
      <c r="B180" s="5">
        <f>SUM(C180:L180)</f>
        <v/>
      </c>
      <c r="C180" s="5">
        <f>-IF(C$92=$B$5,$B$24*(1-$B$49)*(1-$B$25),0)</f>
        <v/>
      </c>
      <c r="D180" s="5">
        <f>-IF(D$92=$B$5,$B$24*(1-$B$49)*(1-$B$25),0)</f>
        <v/>
      </c>
      <c r="E180" s="5">
        <f>-IF(E$92=$B$5,$B$24*(1-$B$49)*(1-$B$25),0)</f>
        <v/>
      </c>
      <c r="F180" s="5">
        <f>-IF(F$92=$B$5,$B$24*(1-$B$49)*(1-$B$25),0)</f>
        <v/>
      </c>
      <c r="G180" s="5">
        <f>-IF(G$92=$B$5,$B$24*(1-$B$49)*(1-$B$25),0)</f>
        <v/>
      </c>
      <c r="H180" s="5">
        <f>-IF(H$92=$B$5,$B$24*(1-$B$49)*(1-$B$25),0)</f>
        <v/>
      </c>
      <c r="I180" s="5">
        <f>-IF(I$92=$B$5,$B$24*(1-$B$49)*(1-$B$25),0)</f>
        <v/>
      </c>
      <c r="J180" s="5">
        <f>-IF(J$92=$B$5,$B$24*(1-$B$49)*(1-$B$25),0)</f>
        <v/>
      </c>
      <c r="K180" s="5">
        <f>-IF(K$92=$B$5,$B$24*(1-$B$49)*(1-$B$25),0)</f>
        <v/>
      </c>
      <c r="L180" s="5">
        <f>-IF(L$92=$B$5,$B$24*(1-$B$49)*(1-$B$25),0)+MAX(0,L179)*(1-$B$42)</f>
        <v/>
      </c>
    </row>
    <row r="181">
      <c r="A181" t="inlineStr">
        <is>
          <t>Flux du fondateur et de sa holding (apports, sortie théorique an 10)</t>
        </is>
      </c>
      <c r="B181" s="5">
        <f>SUM(C181:L181)</f>
        <v/>
      </c>
      <c r="C181" s="5">
        <f>-IF(C$92=1,$B$23,0)-IF(C$92=$B$5,$B$24*(1-$B$49)*$B$25,0)</f>
        <v/>
      </c>
      <c r="D181" s="5">
        <f>-IF(D$92=1,$B$23,0)-IF(D$92=$B$5,$B$24*(1-$B$49)*$B$25,0)</f>
        <v/>
      </c>
      <c r="E181" s="5">
        <f>-IF(E$92=1,$B$23,0)-IF(E$92=$B$5,$B$24*(1-$B$49)*$B$25,0)</f>
        <v/>
      </c>
      <c r="F181" s="5">
        <f>-IF(F$92=1,$B$23,0)-IF(F$92=$B$5,$B$24*(1-$B$49)*$B$25,0)</f>
        <v/>
      </c>
      <c r="G181" s="5">
        <f>-IF(G$92=1,$B$23,0)-IF(G$92=$B$5,$B$24*(1-$B$49)*$B$25,0)</f>
        <v/>
      </c>
      <c r="H181" s="5">
        <f>-IF(H$92=1,$B$23,0)-IF(H$92=$B$5,$B$24*(1-$B$49)*$B$25,0)</f>
        <v/>
      </c>
      <c r="I181" s="5">
        <f>-IF(I$92=1,$B$23,0)-IF(I$92=$B$5,$B$24*(1-$B$49)*$B$25,0)</f>
        <v/>
      </c>
      <c r="J181" s="5">
        <f>-IF(J$92=1,$B$23,0)-IF(J$92=$B$5,$B$24*(1-$B$49)*$B$25,0)</f>
        <v/>
      </c>
      <c r="K181" s="5">
        <f>-IF(K$92=1,$B$23,0)-IF(K$92=$B$5,$B$24*(1-$B$49)*$B$25,0)</f>
        <v/>
      </c>
      <c r="L181" s="5">
        <f>-IF(L$92=1,$B$23,0)-IF(L$92=$B$5,$B$24*(1-$B$49)*$B$25,0)+MAX(0,L179)*$B$42</f>
        <v/>
      </c>
    </row>
    <row r="183">
      <c r="A183" s="10" t="inlineStr">
        <is>
          <t>8. Indicateurs clés</t>
        </is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t="inlineStr">
        <is>
          <t>Emplois totaux (acq. + frais + travaux initiaux)</t>
        </is>
      </c>
      <c r="B184" s="18">
        <f>$B$7*(1+$B$8)+SUM(C133:L133)</f>
        <v/>
      </c>
    </row>
    <row r="185">
      <c r="A185" t="inlineStr">
        <is>
          <t>Ressources externes et apports prévus</t>
        </is>
      </c>
      <c r="B185" s="18">
        <f>$B$23+$B$24*(1-$B$49)+$B$26+$B$27+$B$31+$B$34</f>
        <v/>
      </c>
    </row>
    <row r="186">
      <c r="A186" t="inlineStr">
        <is>
          <t>CA année 5</t>
        </is>
      </c>
      <c r="B186" s="18">
        <f>G111</f>
        <v/>
      </c>
    </row>
    <row r="187">
      <c r="A187" t="inlineStr">
        <is>
          <t>EBITDA année 5</t>
        </is>
      </c>
      <c r="B187" s="18">
        <f>G130</f>
        <v/>
      </c>
    </row>
    <row r="188">
      <c r="A188" t="inlineStr">
        <is>
          <t>EBITDA année 10</t>
        </is>
      </c>
      <c r="B188" s="18">
        <f>L130</f>
        <v/>
      </c>
    </row>
    <row r="189">
      <c r="A189" t="inlineStr">
        <is>
          <t>Part équestre du CA année 5</t>
        </is>
      </c>
      <c r="B189" s="14">
        <f>G113</f>
        <v/>
      </c>
    </row>
    <row r="190">
      <c r="A190" t="inlineStr">
        <is>
          <t>Trésorerie minimale sur 10 ans</t>
        </is>
      </c>
      <c r="B190" s="18">
        <f>MIN(C172:L172)</f>
        <v/>
      </c>
    </row>
    <row r="191">
      <c r="A191" t="inlineStr">
        <is>
          <t>Trésorerie fin année 10</t>
        </is>
      </c>
      <c r="B191" s="18">
        <f>L172</f>
        <v/>
      </c>
    </row>
    <row r="192">
      <c r="A192" t="inlineStr">
        <is>
          <t>DSCR minimal (à partir de la 2e année d'exploitation)</t>
        </is>
      </c>
      <c r="B192" s="19">
        <f>IF(COUNTIFS(C174:L174,"&gt;-1E+300",C94:L94,"&gt;=2")=0,"n/a",_xlfn.MINIFS(C174:L174,C94:L94,"&gt;=2"))</f>
        <v/>
      </c>
    </row>
    <row r="193">
      <c r="A193" t="inlineStr">
        <is>
          <t>Nb d'années à cash-flow libre d'exploitation négatif (à partir de la 2e année d'exploitation)</t>
        </is>
      </c>
      <c r="B193" s="20">
        <f>COUNTIFS(C173:L173,"&lt;0",C94:L94,"&gt;=2")</f>
        <v/>
      </c>
    </row>
    <row r="194">
      <c r="A194" t="inlineStr">
        <is>
          <t>TRI investisseurs (sortie théorique an 10)</t>
        </is>
      </c>
      <c r="B194" s="14">
        <f>IF($B$24*(1-$B$25)=0,"sans objet",IFERROR(IRR(C180:L180,-0.05),"perte quasi totale (TRI non calculable)"))</f>
        <v/>
      </c>
    </row>
    <row r="195">
      <c r="A195" t="inlineStr">
        <is>
          <t>TRI fondateur (sortie théorique an 10)</t>
        </is>
      </c>
      <c r="B195" s="14">
        <f>IFERROR(IRR(C181:L181,-0.05),"perte quasi totale (TRI non calculable)")</f>
        <v/>
      </c>
    </row>
    <row r="196">
      <c r="A196" t="inlineStr">
        <is>
          <t>Dette bancaire soutenable estimée (DSCR 1,2 sur (EBITDA − IS − gros entretien) an 10, hors loyer privé ; taux et durée du scénario)</t>
        </is>
      </c>
      <c r="B196" s="18">
        <f>MAX(0,PV($B$28,$B$29,-(L130+L159-L136)/1.2))</f>
        <v/>
      </c>
    </row>
    <row r="197">
      <c r="A197" t="inlineStr">
        <is>
          <t>Fonds propres nécessaires (emplois + réserve + pertes d'exploitation cumulées − dette soutenable)</t>
        </is>
      </c>
      <c r="B197" s="18">
        <f>$B$7*(1+$B$8)+SUM(C133:L133)+$B$39-SUMIF(C165:L165,"&lt;0")-$B$196</f>
        <v/>
      </c>
    </row>
    <row r="198">
      <c r="A198" t="inlineStr">
        <is>
          <t>Part du capital du fondateur</t>
        </is>
      </c>
      <c r="B198" s="14">
        <f>$B$42</f>
        <v/>
      </c>
    </row>
    <row r="199">
      <c r="A199" t="inlineStr">
        <is>
          <t>Droits de vote du fondateur</t>
        </is>
      </c>
      <c r="B199" s="14">
        <f>$B$38</f>
        <v/>
      </c>
    </row>
    <row r="200">
      <c r="A200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200" s="4">
        <f>IF($B$190&lt;0,"NON VIABLE (trésorerie négative)",IF(AND($B$191&gt;=$B$39,OR($B$192="n/a",$B$192&gt;=1.2),$B$193=0),IF(NOT(OR($B$194="sans objet",AND(ISNUMBER($B$194),N($B$194)&gt;=$B$40))),"FRAGILE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A — Château équestre « sport » — cas prudent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625000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437500</v>
      </c>
      <c r="C11" t="inlineStr">
        <is>
          <t>€</t>
        </is>
      </c>
      <c r="D11" t="inlineStr">
        <is>
          <t>EST : marcheur 35 k€, carrière 35 €/m², barn 200 €/m² (PL [A3 H19]) + 10 box supplémentaires</t>
        </is>
      </c>
    </row>
    <row r="12">
      <c r="A12" t="inlineStr">
        <is>
          <t>Investissements événementiel / hébergement</t>
        </is>
      </c>
      <c r="B12" s="12" t="n">
        <v>100000</v>
      </c>
      <c r="C12" t="inlineStr">
        <is>
          <t>€</t>
        </is>
      </c>
      <c r="D12" t="inlineStr">
        <is>
          <t>EST : salon de réception pour ventes privées, pas de salle ERP &gt; 50 pers.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0.4</v>
      </c>
      <c r="C53" t="inlineStr">
        <is>
          <t>%</t>
        </is>
      </c>
      <c r="D53" t="inlineStr">
        <is>
          <t>Cas prudent</t>
        </is>
      </c>
    </row>
    <row r="54">
      <c r="A54" t="inlineStr">
        <is>
          <t>Montée en charge : 2e année</t>
        </is>
      </c>
      <c r="B54" s="13" t="n">
        <v>0.65</v>
      </c>
      <c r="C54" t="inlineStr">
        <is>
          <t>%</t>
        </is>
      </c>
      <c r="D54" t="inlineStr">
        <is>
          <t>Cas prudent</t>
        </is>
      </c>
    </row>
    <row r="55">
      <c r="A55" t="inlineStr">
        <is>
          <t>Montée en charge : 3e année</t>
        </is>
      </c>
      <c r="B55" s="13" t="n">
        <v>0.85</v>
      </c>
      <c r="C55" t="inlineStr">
        <is>
          <t>%</t>
        </is>
      </c>
      <c r="D55" t="inlineStr">
        <is>
          <t>Cas prudent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travail (chevaux de sport, places occupées)</t>
        </is>
      </c>
      <c r="B65" s="15" t="n">
        <v>14.4</v>
      </c>
      <c r="C65" s="12" t="n">
        <v>5520</v>
      </c>
      <c r="D65" s="13" t="n">
        <v>0.29</v>
      </c>
      <c r="E65" s="16" t="n">
        <v>0</v>
      </c>
      <c r="F65" s="16" t="n">
        <v>1</v>
      </c>
      <c r="G65" t="inlineStr">
        <is>
          <t>PL : 600 € TTC/mois (médiane hors IdF 535 €, 3e quartile 612 €) [A3, recalcul A8] → 500 € HT à TVA 20 % (entraînement/valorisation) ; 20 places × 90 % ; coûts op. 1 729 €/an</t>
        </is>
      </c>
    </row>
    <row r="66">
      <c r="A66" t="inlineStr">
        <is>
          <t>Pension box premium (places occupées)</t>
        </is>
      </c>
      <c r="B66" s="15" t="n">
        <v>7.2</v>
      </c>
      <c r="C66" s="12" t="n">
        <v>5442</v>
      </c>
      <c r="D66" s="13" t="n">
        <v>0.2</v>
      </c>
      <c r="E66" s="16" t="n">
        <v>0</v>
      </c>
      <c r="F66" s="16" t="n">
        <v>1</v>
      </c>
      <c r="G66" t="inlineStr">
        <is>
          <t>Cf. B ; 10 places × 90 %</t>
        </is>
      </c>
    </row>
    <row r="67">
      <c r="A67" t="inlineStr">
        <is>
          <t>Pension au pré (places occupées)</t>
        </is>
      </c>
      <c r="B67" s="15" t="n">
        <v>11.2</v>
      </c>
      <c r="C67" s="12" t="n">
        <v>2407</v>
      </c>
      <c r="D67" s="13" t="n">
        <v>0.23</v>
      </c>
      <c r="E67" s="16" t="n">
        <v>0</v>
      </c>
      <c r="F67" s="16" t="n">
        <v>1</v>
      </c>
      <c r="G67" t="inlineStr">
        <is>
          <t>Cf. B ; 15 places × 92 %</t>
        </is>
      </c>
    </row>
    <row r="68">
      <c r="A68" t="inlineStr">
        <is>
          <t>Valorisation et vente de jeunes chevaux (marge nette par cheval vendu)</t>
        </is>
      </c>
      <c r="B68" s="15" t="n">
        <v>2.4</v>
      </c>
      <c r="C68" s="12" t="n">
        <v>9177</v>
      </c>
      <c r="D68" s="13" t="n">
        <v>0.1</v>
      </c>
      <c r="E68" s="16" t="n">
        <v>0</v>
      </c>
      <c r="F68" s="16" t="n">
        <v>1</v>
      </c>
      <c r="G68" t="inlineStr">
        <is>
          <t>PL : cas-type 2 chevaux/an, 36,75 k€ vendus − 16,8 k€ achetés [A3 §8] ; 3/an EST ; risque élevé</t>
        </is>
      </c>
    </row>
    <row r="69">
      <c r="A69" t="inlineStr">
        <is>
          <t>Organisation de concours (produit annuel)</t>
        </is>
      </c>
      <c r="B69" s="15" t="n">
        <v>0.8</v>
      </c>
      <c r="C69" s="12" t="n">
        <v>14790</v>
      </c>
      <c r="D69" s="13" t="n">
        <v>0.5</v>
      </c>
      <c r="E69" s="16" t="n">
        <v>1</v>
      </c>
      <c r="F69" s="16" t="n">
        <v>1</v>
      </c>
      <c r="G69" t="inlineStr">
        <is>
          <t>PL : produit moyen « organisation de concours » d'une pension travail 16 076 €/an [A3 §4] ; marge EST</t>
        </is>
      </c>
    </row>
    <row r="70">
      <c r="A70" t="inlineStr">
        <is>
          <t>Ventes privées / showcases B2B (soirées)</t>
        </is>
      </c>
      <c r="B70" s="15" t="n">
        <v>2.4</v>
      </c>
      <c r="C70" s="12" t="n">
        <v>2760</v>
      </c>
      <c r="D70" s="13" t="n">
        <v>0.4</v>
      </c>
      <c r="E70" s="16" t="n">
        <v>1</v>
      </c>
      <c r="F70" s="16" t="n">
        <v>1</v>
      </c>
      <c r="G70" t="inlineStr">
        <is>
          <t>INC : aucun tarif de location publié [A3 §8 n°10] ; EST</t>
        </is>
      </c>
    </row>
    <row r="71">
      <c r="A71" t="inlineStr">
        <is>
          <t>Gains de compétition</t>
        </is>
      </c>
      <c r="B71" s="15" t="n">
        <v>0.8</v>
      </c>
      <c r="C71" s="12" t="n">
        <v>11270</v>
      </c>
      <c r="D71" s="13" t="n">
        <v>0</v>
      </c>
      <c r="E71" s="16" t="n">
        <v>1</v>
      </c>
      <c r="F71" s="16" t="n">
        <v>1</v>
      </c>
      <c r="G71" t="inlineStr">
        <is>
          <t>PL : cas-type CSO 2025 12 250 € [A3 §4]</t>
        </is>
      </c>
    </row>
    <row r="72">
      <c r="A72" t="inlineStr">
        <is>
          <t>Gîte 15 couchages hors mariages (nuits)</t>
        </is>
      </c>
      <c r="B72" s="15" t="n">
        <v>73.59999999999999</v>
      </c>
      <c r="C72" s="12" t="n">
        <v>414</v>
      </c>
      <c r="D72" s="13" t="n">
        <v>0.45</v>
      </c>
      <c r="E72" s="16" t="n">
        <v>0</v>
      </c>
      <c r="F72" s="16" t="n">
        <v>0</v>
      </c>
      <c r="G72" t="inlineStr">
        <is>
          <t>PL : fourchettes de prix [A4 §4.2] ; 92 nuits EST (occupation annuelle ≈ 33 % observée en Normandie hors saison) [A4 §4.3]</t>
        </is>
      </c>
    </row>
    <row r="73">
      <c r="A73" t="inlineStr">
        <is>
          <t>Tournages / shootings (jours)</t>
        </is>
      </c>
      <c r="B73" s="15" t="n">
        <v>2.4</v>
      </c>
      <c r="C73" s="12" t="n">
        <v>1840</v>
      </c>
      <c r="D73" s="13" t="n">
        <v>0.15</v>
      </c>
      <c r="E73" s="16" t="n">
        <v>1</v>
      </c>
      <c r="F73" s="16" t="n">
        <v>0</v>
      </c>
      <c r="G73" t="inlineStr">
        <is>
          <t>PL : 1 500-4 000 €/jour [A4 §5] ; fréquence EST</t>
        </is>
      </c>
    </row>
    <row r="74">
      <c r="A74" t="inlineStr">
        <is>
          <t>Fermage / vente d'herbe (ha)</t>
        </is>
      </c>
      <c r="B74" s="15" t="n">
        <v>8</v>
      </c>
      <c r="C74" s="12" t="n">
        <v>138</v>
      </c>
      <c r="D74" s="13" t="n">
        <v>0</v>
      </c>
      <c r="E74" s="16" t="n">
        <v>0</v>
      </c>
      <c r="F74" s="16" t="n">
        <v>0</v>
      </c>
      <c r="G74" t="inlineStr">
        <is>
          <t>PL : arrêtés Orne/Calvados 2026-27 : 50-268 €/ha [A4 §8.2]</t>
        </is>
      </c>
    </row>
    <row r="76">
      <c r="A76" s="10" t="inlineStr">
        <is>
          <t>6. Charges fixes annuelles (euros de l'année d'ouverture)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4" t="inlineStr">
        <is>
          <t>Libellé</t>
        </is>
      </c>
      <c r="B77" s="4" t="inlineStr">
        <is>
          <t>Montant/an</t>
        </is>
      </c>
      <c r="C77" s="4" t="inlineStr">
        <is>
          <t>Dès l'acq. (1) / dès l'ouverture (0)</t>
        </is>
      </c>
      <c r="G77" s="4" t="inlineStr">
        <is>
          <t>Source / statut</t>
        </is>
      </c>
    </row>
    <row r="78">
      <c r="A78" t="inlineStr">
        <is>
          <t>Taxe foncière</t>
        </is>
      </c>
      <c r="B78" s="12" t="n">
        <v>6600</v>
      </c>
      <c r="C78" s="16" t="n">
        <v>1</v>
      </c>
      <c r="G78" t="inlineStr">
        <is>
          <t>EX : 2,6-4,0 k€ sur 3 annonces ; EST 4-8 k€ [A4 §11]</t>
        </is>
      </c>
    </row>
    <row r="79">
      <c r="A79" t="inlineStr">
        <is>
          <t>Assurance multirisque château</t>
        </is>
      </c>
      <c r="B79" s="12" t="n">
        <v>13200</v>
      </c>
      <c r="C79" s="16" t="n">
        <v>1</v>
      </c>
      <c r="G79" t="inlineStr">
        <is>
          <t>Correction audit : courtier spécialisé 15-30 k€ (fiabilité moyenne), annonces ≥ 2,5 k€ [A4 §11, A8] ; EST 12 k€</t>
        </is>
      </c>
    </row>
    <row r="80">
      <c r="A80" t="inlineStr">
        <is>
          <t>Énergie (chauffage partiel, électricité, eau)</t>
        </is>
      </c>
      <c r="B80" s="12" t="n">
        <v>22000</v>
      </c>
      <c r="C80" s="16" t="n">
        <v>1</v>
      </c>
      <c r="G80" t="inlineStr">
        <is>
          <t>PL : Meung, Louvignies ; EX annonce Montluçon 18-25 k€ [A1, A4 §11] ; EST</t>
        </is>
      </c>
    </row>
    <row r="81">
      <c r="A81" t="inlineStr">
        <is>
          <t>Jardinier / agent d'entretien (1 ETP au Smic chargé)</t>
        </is>
      </c>
      <c r="B81" s="12" t="n">
        <v>29700</v>
      </c>
      <c r="C81" s="16" t="n">
        <v>1</v>
      </c>
      <c r="G81" t="inlineStr">
        <is>
          <t>PL : Smic 2026 22 404 € brut/an [A4 §11] ; EST charges</t>
        </is>
      </c>
    </row>
    <row r="82">
      <c r="A82" t="inlineStr">
        <is>
          <t>Divers (abonnements, petit matériel, véhicule, honoraires)</t>
        </is>
      </c>
      <c r="B82" s="12" t="n">
        <v>8800</v>
      </c>
      <c r="C82" s="16" t="n">
        <v>1</v>
      </c>
      <c r="G82" t="inlineStr">
        <is>
          <t>EST</t>
        </is>
      </c>
    </row>
    <row r="83">
      <c r="A83" t="inlineStr">
        <is>
          <t>Cavalier professionnel / responsable d'écurie (chargé)</t>
        </is>
      </c>
      <c r="B83" s="12" t="n">
        <v>49500</v>
      </c>
      <c r="C83" s="16" t="n">
        <v>0</v>
      </c>
      <c r="G83" t="inlineStr">
        <is>
          <t>PL : grille 2 108-2 678 € brut (coef. 130-167) [A3 H15] ; EST charges</t>
        </is>
      </c>
    </row>
    <row r="84">
      <c r="A84" t="inlineStr">
        <is>
          <t>Soigneurs / cavaliers-soigneurs (2,5 ETP chargés)</t>
        </is>
      </c>
      <c r="B84" s="12" t="n">
        <v>85800</v>
      </c>
      <c r="C84" s="16" t="n">
        <v>0</v>
      </c>
      <c r="G84" t="inlineStr">
        <is>
          <t>PL [A3 H13-H14] ; 10 chevaux au travail / ETP ; ~45 équidés</t>
        </is>
      </c>
    </row>
    <row r="85">
      <c r="A85" t="inlineStr">
        <is>
          <t>Autres charges de structure équestres</t>
        </is>
      </c>
      <c r="B85" s="12" t="n">
        <v>38500</v>
      </c>
      <c r="C85" s="16" t="n">
        <v>0</v>
      </c>
      <c r="G85" t="inlineStr">
        <is>
          <t>EST : réf. structure pension travail 2 471 €/équidé [A3 §4] (salaires inclus) → calibrage</t>
        </is>
      </c>
    </row>
    <row r="86">
      <c r="A86" t="inlineStr">
        <is>
          <t>Coûts fixes du gîte</t>
        </is>
      </c>
      <c r="B86" s="12" t="n">
        <v>4840</v>
      </c>
      <c r="C86" s="16" t="n">
        <v>0</v>
      </c>
      <c r="G86" t="inlineStr">
        <is>
          <t>EST [A4 §13.1]</t>
        </is>
      </c>
    </row>
    <row r="87">
      <c r="A87" t="inlineStr">
        <is>
          <t>Commercial, site, salons</t>
        </is>
      </c>
      <c r="B87" s="12" t="n">
        <v>13200</v>
      </c>
      <c r="C87" s="16" t="n">
        <v>0</v>
      </c>
      <c r="G87" t="inlineStr">
        <is>
          <t>EST</t>
        </is>
      </c>
    </row>
    <row r="88">
      <c r="A88" t="inlineStr">
        <is>
          <t>Comptabilité, juridique, banque, logiciels</t>
        </is>
      </c>
      <c r="B88" s="12" t="n">
        <v>13200</v>
      </c>
      <c r="C88" s="16" t="n">
        <v>0</v>
      </c>
      <c r="G88" t="inlineStr">
        <is>
          <t>EST</t>
        </is>
      </c>
    </row>
    <row r="89">
      <c r="A89" t="inlineStr">
        <is>
          <t>Rémunération du dirigeant (chargée)</t>
        </is>
      </c>
      <c r="B89" s="12" t="n">
        <v>38500</v>
      </c>
      <c r="C89" s="16" t="n">
        <v>0</v>
      </c>
      <c r="G89" t="inlineStr">
        <is>
          <t>EST : minimum ; le dirigeant paie en plus 18 k€ de loyer privé</t>
        </is>
      </c>
    </row>
    <row r="91">
      <c r="A91" s="10" t="inlineStr">
        <is>
          <t>7. Calcul sur 10 ans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4" t="inlineStr">
        <is>
          <t>Année</t>
        </is>
      </c>
      <c r="B92" s="4" t="inlineStr">
        <is>
          <t>Total / réf.</t>
        </is>
      </c>
      <c r="C92" s="4" t="n">
        <v>1</v>
      </c>
      <c r="D92" s="4" t="n">
        <v>2</v>
      </c>
      <c r="E92" s="4" t="n">
        <v>3</v>
      </c>
      <c r="F92" s="4" t="n">
        <v>4</v>
      </c>
      <c r="G92" s="4" t="n">
        <v>5</v>
      </c>
      <c r="H92" s="4" t="n">
        <v>6</v>
      </c>
      <c r="I92" s="4" t="n">
        <v>7</v>
      </c>
      <c r="J92" s="4" t="n">
        <v>8</v>
      </c>
      <c r="K92" s="4" t="n">
        <v>9</v>
      </c>
      <c r="L92" s="4" t="n">
        <v>10</v>
      </c>
    </row>
    <row r="93">
      <c r="A93" t="inlineStr">
        <is>
          <t>Année d'ouverture effective</t>
        </is>
      </c>
      <c r="C93" s="8">
        <f>$B$6+$B$47</f>
        <v/>
      </c>
      <c r="D93" s="8">
        <f>$B$6+$B$47</f>
        <v/>
      </c>
      <c r="E93" s="8">
        <f>$B$6+$B$47</f>
        <v/>
      </c>
      <c r="F93" s="8">
        <f>$B$6+$B$47</f>
        <v/>
      </c>
      <c r="G93" s="8">
        <f>$B$6+$B$47</f>
        <v/>
      </c>
      <c r="H93" s="8">
        <f>$B$6+$B$47</f>
        <v/>
      </c>
      <c r="I93" s="8">
        <f>$B$6+$B$47</f>
        <v/>
      </c>
      <c r="J93" s="8">
        <f>$B$6+$B$47</f>
        <v/>
      </c>
      <c r="K93" s="8">
        <f>$B$6+$B$47</f>
        <v/>
      </c>
      <c r="L93" s="8">
        <f>$B$6+$B$47</f>
        <v/>
      </c>
    </row>
    <row r="94">
      <c r="A94" t="inlineStr">
        <is>
          <t>Rang de l'année d'exploitation</t>
        </is>
      </c>
      <c r="C94" s="8">
        <f>MAX(0,C$92-C93+1)</f>
        <v/>
      </c>
      <c r="D94" s="8">
        <f>MAX(0,D$92-D93+1)</f>
        <v/>
      </c>
      <c r="E94" s="8">
        <f>MAX(0,E$92-E93+1)</f>
        <v/>
      </c>
      <c r="F94" s="8">
        <f>MAX(0,F$92-F93+1)</f>
        <v/>
      </c>
      <c r="G94" s="8">
        <f>MAX(0,G$92-G93+1)</f>
        <v/>
      </c>
      <c r="H94" s="8">
        <f>MAX(0,H$92-H93+1)</f>
        <v/>
      </c>
      <c r="I94" s="8">
        <f>MAX(0,I$92-I93+1)</f>
        <v/>
      </c>
      <c r="J94" s="8">
        <f>MAX(0,J$92-J93+1)</f>
        <v/>
      </c>
      <c r="K94" s="8">
        <f>MAX(0,K$92-K93+1)</f>
        <v/>
      </c>
      <c r="L94" s="8">
        <f>MAX(0,L$92-L93+1)</f>
        <v/>
      </c>
    </row>
    <row r="95">
      <c r="A95" t="inlineStr">
        <is>
          <t>Coefficient de montée en charge</t>
        </is>
      </c>
      <c r="C95" s="6">
        <f>IF(C94=0,0,IF(C94=1,$B$53,IF(C94=2,$B$54,IF(C94=3,$B$55,1))))</f>
        <v/>
      </c>
      <c r="D95" s="6">
        <f>IF(D94=0,0,IF(D94=1,$B$53,IF(D94=2,$B$54,IF(D94=3,$B$55,1))))</f>
        <v/>
      </c>
      <c r="E95" s="6">
        <f>IF(E94=0,0,IF(E94=1,$B$53,IF(E94=2,$B$54,IF(E94=3,$B$55,1))))</f>
        <v/>
      </c>
      <c r="F95" s="6">
        <f>IF(F94=0,0,IF(F94=1,$B$53,IF(F94=2,$B$54,IF(F94=3,$B$55,1))))</f>
        <v/>
      </c>
      <c r="G95" s="6">
        <f>IF(G94=0,0,IF(G94=1,$B$53,IF(G94=2,$B$54,IF(G94=3,$B$55,1))))</f>
        <v/>
      </c>
      <c r="H95" s="6">
        <f>IF(H94=0,0,IF(H94=1,$B$53,IF(H94=2,$B$54,IF(H94=3,$B$55,1))))</f>
        <v/>
      </c>
      <c r="I95" s="6">
        <f>IF(I94=0,0,IF(I94=1,$B$53,IF(I94=2,$B$54,IF(I94=3,$B$55,1))))</f>
        <v/>
      </c>
      <c r="J95" s="6">
        <f>IF(J94=0,0,IF(J94=1,$B$53,IF(J94=2,$B$54,IF(J94=3,$B$55,1))))</f>
        <v/>
      </c>
      <c r="K95" s="6">
        <f>IF(K94=0,0,IF(K94=1,$B$53,IF(K94=2,$B$54,IF(K94=3,$B$55,1))))</f>
        <v/>
      </c>
      <c r="L95" s="6">
        <f>IF(L94=0,0,IF(L94=1,$B$53,IF(L94=2,$B$54,IF(L94=3,$B$55,1))))</f>
        <v/>
      </c>
    </row>
    <row r="96">
      <c r="A96" t="inlineStr">
        <is>
          <t>Indice prix</t>
        </is>
      </c>
      <c r="C96" s="17">
        <f>(1+$B$56)^(C$92-1)</f>
        <v/>
      </c>
      <c r="D96" s="17">
        <f>(1+$B$56)^(D$92-1)</f>
        <v/>
      </c>
      <c r="E96" s="17">
        <f>(1+$B$56)^(E$92-1)</f>
        <v/>
      </c>
      <c r="F96" s="17">
        <f>(1+$B$56)^(F$92-1)</f>
        <v/>
      </c>
      <c r="G96" s="17">
        <f>(1+$B$56)^(G$92-1)</f>
        <v/>
      </c>
      <c r="H96" s="17">
        <f>(1+$B$56)^(H$92-1)</f>
        <v/>
      </c>
      <c r="I96" s="17">
        <f>(1+$B$56)^(I$92-1)</f>
        <v/>
      </c>
      <c r="J96" s="17">
        <f>(1+$B$56)^(J$92-1)</f>
        <v/>
      </c>
      <c r="K96" s="17">
        <f>(1+$B$56)^(K$92-1)</f>
        <v/>
      </c>
      <c r="L96" s="17">
        <f>(1+$B$56)^(L$92-1)</f>
        <v/>
      </c>
    </row>
    <row r="97">
      <c r="A97" t="inlineStr">
        <is>
          <t>Indice charges</t>
        </is>
      </c>
      <c r="C97" s="17">
        <f>(1+$B$57)^(C$92-1)</f>
        <v/>
      </c>
      <c r="D97" s="17">
        <f>(1+$B$57)^(D$92-1)</f>
        <v/>
      </c>
      <c r="E97" s="17">
        <f>(1+$B$57)^(E$92-1)</f>
        <v/>
      </c>
      <c r="F97" s="17">
        <f>(1+$B$57)^(F$92-1)</f>
        <v/>
      </c>
      <c r="G97" s="17">
        <f>(1+$B$57)^(G$92-1)</f>
        <v/>
      </c>
      <c r="H97" s="17">
        <f>(1+$B$57)^(H$92-1)</f>
        <v/>
      </c>
      <c r="I97" s="17">
        <f>(1+$B$57)^(I$92-1)</f>
        <v/>
      </c>
      <c r="J97" s="17">
        <f>(1+$B$57)^(J$92-1)</f>
        <v/>
      </c>
      <c r="K97" s="17">
        <f>(1+$B$57)^(K$92-1)</f>
        <v/>
      </c>
      <c r="L97" s="17">
        <f>(1+$B$57)^(L$92-1)</f>
        <v/>
      </c>
    </row>
    <row r="98">
      <c r="A98" t="inlineStr">
        <is>
          <t>Murs détenus (1/0)</t>
        </is>
      </c>
      <c r="C98" s="8">
        <f>IF(C$92&gt;=$B$5,1,0)</f>
        <v/>
      </c>
      <c r="D98" s="8">
        <f>IF(D$92&gt;=$B$5,1,0)</f>
        <v/>
      </c>
      <c r="E98" s="8">
        <f>IF(E$92&gt;=$B$5,1,0)</f>
        <v/>
      </c>
      <c r="F98" s="8">
        <f>IF(F$92&gt;=$B$5,1,0)</f>
        <v/>
      </c>
      <c r="G98" s="8">
        <f>IF(G$92&gt;=$B$5,1,0)</f>
        <v/>
      </c>
      <c r="H98" s="8">
        <f>IF(H$92&gt;=$B$5,1,0)</f>
        <v/>
      </c>
      <c r="I98" s="8">
        <f>IF(I$92&gt;=$B$5,1,0)</f>
        <v/>
      </c>
      <c r="J98" s="8">
        <f>IF(J$92&gt;=$B$5,1,0)</f>
        <v/>
      </c>
      <c r="K98" s="8">
        <f>IF(K$92&gt;=$B$5,1,0)</f>
        <v/>
      </c>
      <c r="L98" s="8">
        <f>IF(L$92&gt;=$B$5,1,0)</f>
        <v/>
      </c>
    </row>
    <row r="100">
      <c r="A100" s="4" t="inlineStr">
        <is>
          <t>Compte de résultat</t>
        </is>
      </c>
    </row>
    <row r="101">
      <c r="A101" t="inlineStr">
        <is>
          <t xml:space="preserve">  Pension travail (chevaux de sport, places occupées)</t>
        </is>
      </c>
      <c r="B101" s="5">
        <f>SUM(C101:L101)</f>
        <v/>
      </c>
      <c r="C101" s="5">
        <f>$B$65*$C$65*C95*C96*$B$45*(1-$E$65*$B$50)</f>
        <v/>
      </c>
      <c r="D101" s="5">
        <f>$B$65*$C$65*D95*D96*$B$45*(1-$E$65*$B$50)</f>
        <v/>
      </c>
      <c r="E101" s="5">
        <f>$B$65*$C$65*E95*E96*$B$45*(1-$E$65*$B$50)</f>
        <v/>
      </c>
      <c r="F101" s="5">
        <f>$B$65*$C$65*F95*F96*$B$45*(1-$E$65*$B$50)</f>
        <v/>
      </c>
      <c r="G101" s="5">
        <f>$B$65*$C$65*G95*G96*$B$45*(1-$E$65*$B$50)</f>
        <v/>
      </c>
      <c r="H101" s="5">
        <f>$B$65*$C$65*H95*H96*$B$45*(1-$E$65*$B$50)</f>
        <v/>
      </c>
      <c r="I101" s="5">
        <f>$B$65*$C$65*I95*I96*$B$45*(1-$E$65*$B$50)</f>
        <v/>
      </c>
      <c r="J101" s="5">
        <f>$B$65*$C$65*J95*J96*$B$45*(1-$E$65*$B$50)</f>
        <v/>
      </c>
      <c r="K101" s="5">
        <f>$B$65*$C$65*K95*K96*$B$45*(1-$E$65*$B$50)</f>
        <v/>
      </c>
      <c r="L101" s="5">
        <f>$B$65*$C$65*L95*L96*$B$45*(1-$E$65*$B$50)</f>
        <v/>
      </c>
    </row>
    <row r="102">
      <c r="A102" t="inlineStr">
        <is>
          <t xml:space="preserve">  Pension box premium (places occupées)</t>
        </is>
      </c>
      <c r="B102" s="5">
        <f>SUM(C102:L102)</f>
        <v/>
      </c>
      <c r="C102" s="5">
        <f>$B$66*$C$66*C95*C96*$B$45*(1-$E$66*$B$50)</f>
        <v/>
      </c>
      <c r="D102" s="5">
        <f>$B$66*$C$66*D95*D96*$B$45*(1-$E$66*$B$50)</f>
        <v/>
      </c>
      <c r="E102" s="5">
        <f>$B$66*$C$66*E95*E96*$B$45*(1-$E$66*$B$50)</f>
        <v/>
      </c>
      <c r="F102" s="5">
        <f>$B$66*$C$66*F95*F96*$B$45*(1-$E$66*$B$50)</f>
        <v/>
      </c>
      <c r="G102" s="5">
        <f>$B$66*$C$66*G95*G96*$B$45*(1-$E$66*$B$50)</f>
        <v/>
      </c>
      <c r="H102" s="5">
        <f>$B$66*$C$66*H95*H96*$B$45*(1-$E$66*$B$50)</f>
        <v/>
      </c>
      <c r="I102" s="5">
        <f>$B$66*$C$66*I95*I96*$B$45*(1-$E$66*$B$50)</f>
        <v/>
      </c>
      <c r="J102" s="5">
        <f>$B$66*$C$66*J95*J96*$B$45*(1-$E$66*$B$50)</f>
        <v/>
      </c>
      <c r="K102" s="5">
        <f>$B$66*$C$66*K95*K96*$B$45*(1-$E$66*$B$50)</f>
        <v/>
      </c>
      <c r="L102" s="5">
        <f>$B$66*$C$66*L95*L96*$B$45*(1-$E$66*$B$50)</f>
        <v/>
      </c>
    </row>
    <row r="103">
      <c r="A103" t="inlineStr">
        <is>
          <t xml:space="preserve">  Pension au pré (places occupées)</t>
        </is>
      </c>
      <c r="B103" s="5">
        <f>SUM(C103:L103)</f>
        <v/>
      </c>
      <c r="C103" s="5">
        <f>$B$67*$C$67*C95*C96*$B$45*(1-$E$67*$B$50)</f>
        <v/>
      </c>
      <c r="D103" s="5">
        <f>$B$67*$C$67*D95*D96*$B$45*(1-$E$67*$B$50)</f>
        <v/>
      </c>
      <c r="E103" s="5">
        <f>$B$67*$C$67*E95*E96*$B$45*(1-$E$67*$B$50)</f>
        <v/>
      </c>
      <c r="F103" s="5">
        <f>$B$67*$C$67*F95*F96*$B$45*(1-$E$67*$B$50)</f>
        <v/>
      </c>
      <c r="G103" s="5">
        <f>$B$67*$C$67*G95*G96*$B$45*(1-$E$67*$B$50)</f>
        <v/>
      </c>
      <c r="H103" s="5">
        <f>$B$67*$C$67*H95*H96*$B$45*(1-$E$67*$B$50)</f>
        <v/>
      </c>
      <c r="I103" s="5">
        <f>$B$67*$C$67*I95*I96*$B$45*(1-$E$67*$B$50)</f>
        <v/>
      </c>
      <c r="J103" s="5">
        <f>$B$67*$C$67*J95*J96*$B$45*(1-$E$67*$B$50)</f>
        <v/>
      </c>
      <c r="K103" s="5">
        <f>$B$67*$C$67*K95*K96*$B$45*(1-$E$67*$B$50)</f>
        <v/>
      </c>
      <c r="L103" s="5">
        <f>$B$67*$C$67*L95*L96*$B$45*(1-$E$67*$B$50)</f>
        <v/>
      </c>
    </row>
    <row r="104">
      <c r="A104" t="inlineStr">
        <is>
          <t xml:space="preserve">  Valorisation et vente de jeunes chevaux (marge nette par cheval vendu)</t>
        </is>
      </c>
      <c r="B104" s="5">
        <f>SUM(C104:L104)</f>
        <v/>
      </c>
      <c r="C104" s="5">
        <f>$B$68*$C$68*C95*C96*$B$45*(1-$E$68*$B$50)</f>
        <v/>
      </c>
      <c r="D104" s="5">
        <f>$B$68*$C$68*D95*D96*$B$45*(1-$E$68*$B$50)</f>
        <v/>
      </c>
      <c r="E104" s="5">
        <f>$B$68*$C$68*E95*E96*$B$45*(1-$E$68*$B$50)</f>
        <v/>
      </c>
      <c r="F104" s="5">
        <f>$B$68*$C$68*F95*F96*$B$45*(1-$E$68*$B$50)</f>
        <v/>
      </c>
      <c r="G104" s="5">
        <f>$B$68*$C$68*G95*G96*$B$45*(1-$E$68*$B$50)</f>
        <v/>
      </c>
      <c r="H104" s="5">
        <f>$B$68*$C$68*H95*H96*$B$45*(1-$E$68*$B$50)</f>
        <v/>
      </c>
      <c r="I104" s="5">
        <f>$B$68*$C$68*I95*I96*$B$45*(1-$E$68*$B$50)</f>
        <v/>
      </c>
      <c r="J104" s="5">
        <f>$B$68*$C$68*J95*J96*$B$45*(1-$E$68*$B$50)</f>
        <v/>
      </c>
      <c r="K104" s="5">
        <f>$B$68*$C$68*K95*K96*$B$45*(1-$E$68*$B$50)</f>
        <v/>
      </c>
      <c r="L104" s="5">
        <f>$B$68*$C$68*L95*L96*$B$45*(1-$E$68*$B$50)</f>
        <v/>
      </c>
    </row>
    <row r="105">
      <c r="A105" t="inlineStr">
        <is>
          <t xml:space="preserve">  Organisation de concours (produit annuel)</t>
        </is>
      </c>
      <c r="B105" s="5">
        <f>SUM(C105:L105)</f>
        <v/>
      </c>
      <c r="C105" s="5">
        <f>$B$69*$C$69*C95*C96*$B$45*(1-$E$69*$B$50)</f>
        <v/>
      </c>
      <c r="D105" s="5">
        <f>$B$69*$C$69*D95*D96*$B$45*(1-$E$69*$B$50)</f>
        <v/>
      </c>
      <c r="E105" s="5">
        <f>$B$69*$C$69*E95*E96*$B$45*(1-$E$69*$B$50)</f>
        <v/>
      </c>
      <c r="F105" s="5">
        <f>$B$69*$C$69*F95*F96*$B$45*(1-$E$69*$B$50)</f>
        <v/>
      </c>
      <c r="G105" s="5">
        <f>$B$69*$C$69*G95*G96*$B$45*(1-$E$69*$B$50)</f>
        <v/>
      </c>
      <c r="H105" s="5">
        <f>$B$69*$C$69*H95*H96*$B$45*(1-$E$69*$B$50)</f>
        <v/>
      </c>
      <c r="I105" s="5">
        <f>$B$69*$C$69*I95*I96*$B$45*(1-$E$69*$B$50)</f>
        <v/>
      </c>
      <c r="J105" s="5">
        <f>$B$69*$C$69*J95*J96*$B$45*(1-$E$69*$B$50)</f>
        <v/>
      </c>
      <c r="K105" s="5">
        <f>$B$69*$C$69*K95*K96*$B$45*(1-$E$69*$B$50)</f>
        <v/>
      </c>
      <c r="L105" s="5">
        <f>$B$69*$C$69*L95*L96*$B$45*(1-$E$69*$B$50)</f>
        <v/>
      </c>
    </row>
    <row r="106">
      <c r="A106" t="inlineStr">
        <is>
          <t xml:space="preserve">  Ventes privées / showcases B2B (soirées)</t>
        </is>
      </c>
      <c r="B106" s="5">
        <f>SUM(C106:L106)</f>
        <v/>
      </c>
      <c r="C106" s="5">
        <f>$B$70*$C$70*C95*C96*$B$45*(1-$E$70*$B$50)</f>
        <v/>
      </c>
      <c r="D106" s="5">
        <f>$B$70*$C$70*D95*D96*$B$45*(1-$E$70*$B$50)</f>
        <v/>
      </c>
      <c r="E106" s="5">
        <f>$B$70*$C$70*E95*E96*$B$45*(1-$E$70*$B$50)</f>
        <v/>
      </c>
      <c r="F106" s="5">
        <f>$B$70*$C$70*F95*F96*$B$45*(1-$E$70*$B$50)</f>
        <v/>
      </c>
      <c r="G106" s="5">
        <f>$B$70*$C$70*G95*G96*$B$45*(1-$E$70*$B$50)</f>
        <v/>
      </c>
      <c r="H106" s="5">
        <f>$B$70*$C$70*H95*H96*$B$45*(1-$E$70*$B$50)</f>
        <v/>
      </c>
      <c r="I106" s="5">
        <f>$B$70*$C$70*I95*I96*$B$45*(1-$E$70*$B$50)</f>
        <v/>
      </c>
      <c r="J106" s="5">
        <f>$B$70*$C$70*J95*J96*$B$45*(1-$E$70*$B$50)</f>
        <v/>
      </c>
      <c r="K106" s="5">
        <f>$B$70*$C$70*K95*K96*$B$45*(1-$E$70*$B$50)</f>
        <v/>
      </c>
      <c r="L106" s="5">
        <f>$B$70*$C$70*L95*L96*$B$45*(1-$E$70*$B$50)</f>
        <v/>
      </c>
    </row>
    <row r="107">
      <c r="A107" t="inlineStr">
        <is>
          <t xml:space="preserve">  Gains de compétition</t>
        </is>
      </c>
      <c r="B107" s="5">
        <f>SUM(C107:L107)</f>
        <v/>
      </c>
      <c r="C107" s="5">
        <f>$B$71*$C$71*C95*C96*$B$45*(1-$E$71*$B$50)</f>
        <v/>
      </c>
      <c r="D107" s="5">
        <f>$B$71*$C$71*D95*D96*$B$45*(1-$E$71*$B$50)</f>
        <v/>
      </c>
      <c r="E107" s="5">
        <f>$B$71*$C$71*E95*E96*$B$45*(1-$E$71*$B$50)</f>
        <v/>
      </c>
      <c r="F107" s="5">
        <f>$B$71*$C$71*F95*F96*$B$45*(1-$E$71*$B$50)</f>
        <v/>
      </c>
      <c r="G107" s="5">
        <f>$B$71*$C$71*G95*G96*$B$45*(1-$E$71*$B$50)</f>
        <v/>
      </c>
      <c r="H107" s="5">
        <f>$B$71*$C$71*H95*H96*$B$45*(1-$E$71*$B$50)</f>
        <v/>
      </c>
      <c r="I107" s="5">
        <f>$B$71*$C$71*I95*I96*$B$45*(1-$E$71*$B$50)</f>
        <v/>
      </c>
      <c r="J107" s="5">
        <f>$B$71*$C$71*J95*J96*$B$45*(1-$E$71*$B$50)</f>
        <v/>
      </c>
      <c r="K107" s="5">
        <f>$B$71*$C$71*K95*K96*$B$45*(1-$E$71*$B$50)</f>
        <v/>
      </c>
      <c r="L107" s="5">
        <f>$B$71*$C$71*L95*L96*$B$45*(1-$E$71*$B$50)</f>
        <v/>
      </c>
    </row>
    <row r="108">
      <c r="A108" t="inlineStr">
        <is>
          <t xml:space="preserve">  Gîte 15 couchages hors mariages (nuits)</t>
        </is>
      </c>
      <c r="B108" s="5">
        <f>SUM(C108:L108)</f>
        <v/>
      </c>
      <c r="C108" s="5">
        <f>$B$72*$C$72*C95*C96*$B$45*(1-$E$72*$B$50)</f>
        <v/>
      </c>
      <c r="D108" s="5">
        <f>$B$72*$C$72*D95*D96*$B$45*(1-$E$72*$B$50)</f>
        <v/>
      </c>
      <c r="E108" s="5">
        <f>$B$72*$C$72*E95*E96*$B$45*(1-$E$72*$B$50)</f>
        <v/>
      </c>
      <c r="F108" s="5">
        <f>$B$72*$C$72*F95*F96*$B$45*(1-$E$72*$B$50)</f>
        <v/>
      </c>
      <c r="G108" s="5">
        <f>$B$72*$C$72*G95*G96*$B$45*(1-$E$72*$B$50)</f>
        <v/>
      </c>
      <c r="H108" s="5">
        <f>$B$72*$C$72*H95*H96*$B$45*(1-$E$72*$B$50)</f>
        <v/>
      </c>
      <c r="I108" s="5">
        <f>$B$72*$C$72*I95*I96*$B$45*(1-$E$72*$B$50)</f>
        <v/>
      </c>
      <c r="J108" s="5">
        <f>$B$72*$C$72*J95*J96*$B$45*(1-$E$72*$B$50)</f>
        <v/>
      </c>
      <c r="K108" s="5">
        <f>$B$72*$C$72*K95*K96*$B$45*(1-$E$72*$B$50)</f>
        <v/>
      </c>
      <c r="L108" s="5">
        <f>$B$72*$C$72*L95*L96*$B$45*(1-$E$72*$B$50)</f>
        <v/>
      </c>
    </row>
    <row r="109">
      <c r="A109" t="inlineStr">
        <is>
          <t xml:space="preserve">  Tournages / shootings (jours)</t>
        </is>
      </c>
      <c r="B109" s="5">
        <f>SUM(C109:L109)</f>
        <v/>
      </c>
      <c r="C109" s="5">
        <f>$B$73*$C$73*C95*C96*$B$45*(1-$E$73*$B$50)</f>
        <v/>
      </c>
      <c r="D109" s="5">
        <f>$B$73*$C$73*D95*D96*$B$45*(1-$E$73*$B$50)</f>
        <v/>
      </c>
      <c r="E109" s="5">
        <f>$B$73*$C$73*E95*E96*$B$45*(1-$E$73*$B$50)</f>
        <v/>
      </c>
      <c r="F109" s="5">
        <f>$B$73*$C$73*F95*F96*$B$45*(1-$E$73*$B$50)</f>
        <v/>
      </c>
      <c r="G109" s="5">
        <f>$B$73*$C$73*G95*G96*$B$45*(1-$E$73*$B$50)</f>
        <v/>
      </c>
      <c r="H109" s="5">
        <f>$B$73*$C$73*H95*H96*$B$45*(1-$E$73*$B$50)</f>
        <v/>
      </c>
      <c r="I109" s="5">
        <f>$B$73*$C$73*I95*I96*$B$45*(1-$E$73*$B$50)</f>
        <v/>
      </c>
      <c r="J109" s="5">
        <f>$B$73*$C$73*J95*J96*$B$45*(1-$E$73*$B$50)</f>
        <v/>
      </c>
      <c r="K109" s="5">
        <f>$B$73*$C$73*K95*K96*$B$45*(1-$E$73*$B$50)</f>
        <v/>
      </c>
      <c r="L109" s="5">
        <f>$B$73*$C$73*L95*L96*$B$45*(1-$E$73*$B$50)</f>
        <v/>
      </c>
    </row>
    <row r="110">
      <c r="A110" t="inlineStr">
        <is>
          <t xml:space="preserve">  Fermage / vente d'herbe (ha)</t>
        </is>
      </c>
      <c r="B110" s="5">
        <f>SUM(C110:L110)</f>
        <v/>
      </c>
      <c r="C110" s="5">
        <f>$B$74*$C$74*C95*C96*$B$45*(1-$E$74*$B$50)</f>
        <v/>
      </c>
      <c r="D110" s="5">
        <f>$B$74*$C$74*D95*D96*$B$45*(1-$E$74*$B$50)</f>
        <v/>
      </c>
      <c r="E110" s="5">
        <f>$B$74*$C$74*E95*E96*$B$45*(1-$E$74*$B$50)</f>
        <v/>
      </c>
      <c r="F110" s="5">
        <f>$B$74*$C$74*F95*F96*$B$45*(1-$E$74*$B$50)</f>
        <v/>
      </c>
      <c r="G110" s="5">
        <f>$B$74*$C$74*G95*G96*$B$45*(1-$E$74*$B$50)</f>
        <v/>
      </c>
      <c r="H110" s="5">
        <f>$B$74*$C$74*H95*H96*$B$45*(1-$E$74*$B$50)</f>
        <v/>
      </c>
      <c r="I110" s="5">
        <f>$B$74*$C$74*I95*I96*$B$45*(1-$E$74*$B$50)</f>
        <v/>
      </c>
      <c r="J110" s="5">
        <f>$B$74*$C$74*J95*J96*$B$45*(1-$E$74*$B$50)</f>
        <v/>
      </c>
      <c r="K110" s="5">
        <f>$B$74*$C$74*K95*K96*$B$45*(1-$E$74*$B$50)</f>
        <v/>
      </c>
      <c r="L110" s="5">
        <f>$B$74*$C$74*L95*L96*$B$45*(1-$E$74*$B$50)</f>
        <v/>
      </c>
    </row>
    <row r="111">
      <c r="A111" s="4" t="inlineStr">
        <is>
          <t>Chiffre d'affaires total</t>
        </is>
      </c>
      <c r="B111" s="18">
        <f>SUM(C111:L111)</f>
        <v/>
      </c>
      <c r="C111" s="18">
        <f>C101+C102+C103+C104+C105+C106+C107+C108+C109+C110</f>
        <v/>
      </c>
      <c r="D111" s="18">
        <f>D101+D102+D103+D104+D105+D106+D107+D108+D109+D110</f>
        <v/>
      </c>
      <c r="E111" s="18">
        <f>E101+E102+E103+E104+E105+E106+E107+E108+E109+E110</f>
        <v/>
      </c>
      <c r="F111" s="18">
        <f>F101+F102+F103+F104+F105+F106+F107+F108+F109+F110</f>
        <v/>
      </c>
      <c r="G111" s="18">
        <f>G101+G102+G103+G104+G105+G106+G107+G108+G109+G110</f>
        <v/>
      </c>
      <c r="H111" s="18">
        <f>H101+H102+H103+H104+H105+H106+H107+H108+H109+H110</f>
        <v/>
      </c>
      <c r="I111" s="18">
        <f>I101+I102+I103+I104+I105+I106+I107+I108+I109+I110</f>
        <v/>
      </c>
      <c r="J111" s="18">
        <f>J101+J102+J103+J104+J105+J106+J107+J108+J109+J110</f>
        <v/>
      </c>
      <c r="K111" s="18">
        <f>K101+K102+K103+K104+K105+K106+K107+K108+K109+K110</f>
        <v/>
      </c>
      <c r="L111" s="18">
        <f>L101+L102+L103+L104+L105+L106+L107+L108+L109+L110</f>
        <v/>
      </c>
    </row>
    <row r="112">
      <c r="A112" t="inlineStr">
        <is>
          <t xml:space="preserve">  dont équestre</t>
        </is>
      </c>
      <c r="B112" s="5">
        <f>SUM(C112:L112)</f>
        <v/>
      </c>
      <c r="C112" s="5">
        <f>C101*$F$65+C102*$F$66+C103*$F$67+C104*$F$68+C105*$F$69+C106*$F$70+C107*$F$71+C108*$F$72+C109*$F$73+C110*$F$74</f>
        <v/>
      </c>
      <c r="D112" s="5">
        <f>D101*$F$65+D102*$F$66+D103*$F$67+D104*$F$68+D105*$F$69+D106*$F$70+D107*$F$71+D108*$F$72+D109*$F$73+D110*$F$74</f>
        <v/>
      </c>
      <c r="E112" s="5">
        <f>E101*$F$65+E102*$F$66+E103*$F$67+E104*$F$68+E105*$F$69+E106*$F$70+E107*$F$71+E108*$F$72+E109*$F$73+E110*$F$74</f>
        <v/>
      </c>
      <c r="F112" s="5">
        <f>F101*$F$65+F102*$F$66+F103*$F$67+F104*$F$68+F105*$F$69+F106*$F$70+F107*$F$71+F108*$F$72+F109*$F$73+F110*$F$74</f>
        <v/>
      </c>
      <c r="G112" s="5">
        <f>G101*$F$65+G102*$F$66+G103*$F$67+G104*$F$68+G105*$F$69+G106*$F$70+G107*$F$71+G108*$F$72+G109*$F$73+G110*$F$74</f>
        <v/>
      </c>
      <c r="H112" s="5">
        <f>H101*$F$65+H102*$F$66+H103*$F$67+H104*$F$68+H105*$F$69+H106*$F$70+H107*$F$71+H108*$F$72+H109*$F$73+H110*$F$74</f>
        <v/>
      </c>
      <c r="I112" s="5">
        <f>I101*$F$65+I102*$F$66+I103*$F$67+I104*$F$68+I105*$F$69+I106*$F$70+I107*$F$71+I108*$F$72+I109*$F$73+I110*$F$74</f>
        <v/>
      </c>
      <c r="J112" s="5">
        <f>J101*$F$65+J102*$F$66+J103*$F$67+J104*$F$68+J105*$F$69+J106*$F$70+J107*$F$71+J108*$F$72+J109*$F$73+J110*$F$74</f>
        <v/>
      </c>
      <c r="K112" s="5">
        <f>K101*$F$65+K102*$F$66+K103*$F$67+K104*$F$68+K105*$F$69+K106*$F$70+K107*$F$71+K108*$F$72+K109*$F$73+K110*$F$74</f>
        <v/>
      </c>
      <c r="L112" s="5">
        <f>L101*$F$65+L102*$F$66+L103*$F$67+L104*$F$68+L105*$F$69+L106*$F$70+L107*$F$71+L108*$F$72+L109*$F$73+L110*$F$74</f>
        <v/>
      </c>
    </row>
    <row r="113">
      <c r="A113" t="inlineStr">
        <is>
          <t xml:space="preserve">  Part équestre du CA</t>
        </is>
      </c>
      <c r="C113" s="6">
        <f>IF(C111=0,0,C112/C111)</f>
        <v/>
      </c>
      <c r="D113" s="6">
        <f>IF(D111=0,0,D112/D111)</f>
        <v/>
      </c>
      <c r="E113" s="6">
        <f>IF(E111=0,0,E112/E111)</f>
        <v/>
      </c>
      <c r="F113" s="6">
        <f>IF(F111=0,0,F112/F111)</f>
        <v/>
      </c>
      <c r="G113" s="6">
        <f>IF(G111=0,0,G112/G111)</f>
        <v/>
      </c>
      <c r="H113" s="6">
        <f>IF(H111=0,0,H112/H111)</f>
        <v/>
      </c>
      <c r="I113" s="6">
        <f>IF(I111=0,0,I112/I111)</f>
        <v/>
      </c>
      <c r="J113" s="6">
        <f>IF(J111=0,0,J112/J111)</f>
        <v/>
      </c>
      <c r="K113" s="6">
        <f>IF(K111=0,0,K112/K111)</f>
        <v/>
      </c>
      <c r="L113" s="6">
        <f>IF(L111=0,0,L112/L111)</f>
        <v/>
      </c>
    </row>
    <row r="114">
      <c r="A114" t="inlineStr">
        <is>
          <t>Coûts variables</t>
        </is>
      </c>
      <c r="B114" s="5">
        <f>SUM(C114:L114)</f>
        <v/>
      </c>
      <c r="C114" s="5">
        <f>-(C101*$D$65+C102*$D$66+C103*$D$67+C104*$D$68+C105*$D$69+C106*$D$70+C107*$D$71+C108*$D$72+C109*$D$73+C110*$D$74)</f>
        <v/>
      </c>
      <c r="D114" s="5">
        <f>-(D101*$D$65+D102*$D$66+D103*$D$67+D104*$D$68+D105*$D$69+D106*$D$70+D107*$D$71+D108*$D$72+D109*$D$73+D110*$D$74)</f>
        <v/>
      </c>
      <c r="E114" s="5">
        <f>-(E101*$D$65+E102*$D$66+E103*$D$67+E104*$D$68+E105*$D$69+E106*$D$70+E107*$D$71+E108*$D$72+E109*$D$73+E110*$D$74)</f>
        <v/>
      </c>
      <c r="F114" s="5">
        <f>-(F101*$D$65+F102*$D$66+F103*$D$67+F104*$D$68+F105*$D$69+F106*$D$70+F107*$D$71+F108*$D$72+F109*$D$73+F110*$D$74)</f>
        <v/>
      </c>
      <c r="G114" s="5">
        <f>-(G101*$D$65+G102*$D$66+G103*$D$67+G104*$D$68+G105*$D$69+G106*$D$70+G107*$D$71+G108*$D$72+G109*$D$73+G110*$D$74)</f>
        <v/>
      </c>
      <c r="H114" s="5">
        <f>-(H101*$D$65+H102*$D$66+H103*$D$67+H104*$D$68+H105*$D$69+H106*$D$70+H107*$D$71+H108*$D$72+H109*$D$73+H110*$D$74)</f>
        <v/>
      </c>
      <c r="I114" s="5">
        <f>-(I101*$D$65+I102*$D$66+I103*$D$67+I104*$D$68+I105*$D$69+I106*$D$70+I107*$D$71+I108*$D$72+I109*$D$73+I110*$D$74)</f>
        <v/>
      </c>
      <c r="J114" s="5">
        <f>-(J101*$D$65+J102*$D$66+J103*$D$67+J104*$D$68+J105*$D$69+J106*$D$70+J107*$D$71+J108*$D$72+J109*$D$73+J110*$D$74)</f>
        <v/>
      </c>
      <c r="K114" s="5">
        <f>-(K101*$D$65+K102*$D$66+K103*$D$67+K104*$D$68+K105*$D$69+K106*$D$70+K107*$D$71+K108*$D$72+K109*$D$73+K110*$D$74)</f>
        <v/>
      </c>
      <c r="L114" s="5">
        <f>-(L101*$D$65+L102*$D$66+L103*$D$67+L104*$D$68+L105*$D$69+L106*$D$70+L107*$D$71+L108*$D$72+L109*$D$73+L110*$D$74)</f>
        <v/>
      </c>
    </row>
    <row r="115">
      <c r="A115" s="4" t="inlineStr">
        <is>
          <t>Marge sur coûts variables</t>
        </is>
      </c>
      <c r="B115" s="18">
        <f>SUM(C115:L115)</f>
        <v/>
      </c>
      <c r="C115" s="18">
        <f>C111+C114</f>
        <v/>
      </c>
      <c r="D115" s="18">
        <f>D111+D114</f>
        <v/>
      </c>
      <c r="E115" s="18">
        <f>E111+E114</f>
        <v/>
      </c>
      <c r="F115" s="18">
        <f>F111+F114</f>
        <v/>
      </c>
      <c r="G115" s="18">
        <f>G111+G114</f>
        <v/>
      </c>
      <c r="H115" s="18">
        <f>H111+H114</f>
        <v/>
      </c>
      <c r="I115" s="18">
        <f>I111+I114</f>
        <v/>
      </c>
      <c r="J115" s="18">
        <f>J111+J114</f>
        <v/>
      </c>
      <c r="K115" s="18">
        <f>K111+K114</f>
        <v/>
      </c>
      <c r="L115" s="18">
        <f>L111+L114</f>
        <v/>
      </c>
    </row>
    <row r="116">
      <c r="A116" t="inlineStr">
        <is>
          <t xml:space="preserve">  Taxe foncière</t>
        </is>
      </c>
      <c r="B116" s="5">
        <f>SUM(C116:L116)</f>
        <v/>
      </c>
      <c r="C116" s="5">
        <f>-$B$78*C97*IF($C$78=1,C98,IF(C94&gt;0,1,0))</f>
        <v/>
      </c>
      <c r="D116" s="5">
        <f>-$B$78*D97*IF($C$78=1,D98,IF(D94&gt;0,1,0))</f>
        <v/>
      </c>
      <c r="E116" s="5">
        <f>-$B$78*E97*IF($C$78=1,E98,IF(E94&gt;0,1,0))</f>
        <v/>
      </c>
      <c r="F116" s="5">
        <f>-$B$78*F97*IF($C$78=1,F98,IF(F94&gt;0,1,0))</f>
        <v/>
      </c>
      <c r="G116" s="5">
        <f>-$B$78*G97*IF($C$78=1,G98,IF(G94&gt;0,1,0))</f>
        <v/>
      </c>
      <c r="H116" s="5">
        <f>-$B$78*H97*IF($C$78=1,H98,IF(H94&gt;0,1,0))</f>
        <v/>
      </c>
      <c r="I116" s="5">
        <f>-$B$78*I97*IF($C$78=1,I98,IF(I94&gt;0,1,0))</f>
        <v/>
      </c>
      <c r="J116" s="5">
        <f>-$B$78*J97*IF($C$78=1,J98,IF(J94&gt;0,1,0))</f>
        <v/>
      </c>
      <c r="K116" s="5">
        <f>-$B$78*K97*IF($C$78=1,K98,IF(K94&gt;0,1,0))</f>
        <v/>
      </c>
      <c r="L116" s="5">
        <f>-$B$78*L97*IF($C$78=1,L98,IF(L94&gt;0,1,0))</f>
        <v/>
      </c>
    </row>
    <row r="117">
      <c r="A117" t="inlineStr">
        <is>
          <t xml:space="preserve">  Assurance multirisque château</t>
        </is>
      </c>
      <c r="B117" s="5">
        <f>SUM(C117:L117)</f>
        <v/>
      </c>
      <c r="C117" s="5">
        <f>-$B$79*C97*IF($C$79=1,C98,IF(C94&gt;0,1,0))</f>
        <v/>
      </c>
      <c r="D117" s="5">
        <f>-$B$79*D97*IF($C$79=1,D98,IF(D94&gt;0,1,0))</f>
        <v/>
      </c>
      <c r="E117" s="5">
        <f>-$B$79*E97*IF($C$79=1,E98,IF(E94&gt;0,1,0))</f>
        <v/>
      </c>
      <c r="F117" s="5">
        <f>-$B$79*F97*IF($C$79=1,F98,IF(F94&gt;0,1,0))</f>
        <v/>
      </c>
      <c r="G117" s="5">
        <f>-$B$79*G97*IF($C$79=1,G98,IF(G94&gt;0,1,0))</f>
        <v/>
      </c>
      <c r="H117" s="5">
        <f>-$B$79*H97*IF($C$79=1,H98,IF(H94&gt;0,1,0))</f>
        <v/>
      </c>
      <c r="I117" s="5">
        <f>-$B$79*I97*IF($C$79=1,I98,IF(I94&gt;0,1,0))</f>
        <v/>
      </c>
      <c r="J117" s="5">
        <f>-$B$79*J97*IF($C$79=1,J98,IF(J94&gt;0,1,0))</f>
        <v/>
      </c>
      <c r="K117" s="5">
        <f>-$B$79*K97*IF($C$79=1,K98,IF(K94&gt;0,1,0))</f>
        <v/>
      </c>
      <c r="L117" s="5">
        <f>-$B$79*L97*IF($C$79=1,L98,IF(L94&gt;0,1,0))</f>
        <v/>
      </c>
    </row>
    <row r="118">
      <c r="A118" t="inlineStr">
        <is>
          <t xml:space="preserve">  Énergie (chauffage partiel, électricité, eau)</t>
        </is>
      </c>
      <c r="B118" s="5">
        <f>SUM(C118:L118)</f>
        <v/>
      </c>
      <c r="C118" s="5">
        <f>-$B$80*C97*IF($C$80=1,C98,IF(C94&gt;0,1,0))</f>
        <v/>
      </c>
      <c r="D118" s="5">
        <f>-$B$80*D97*IF($C$80=1,D98,IF(D94&gt;0,1,0))</f>
        <v/>
      </c>
      <c r="E118" s="5">
        <f>-$B$80*E97*IF($C$80=1,E98,IF(E94&gt;0,1,0))</f>
        <v/>
      </c>
      <c r="F118" s="5">
        <f>-$B$80*F97*IF($C$80=1,F98,IF(F94&gt;0,1,0))</f>
        <v/>
      </c>
      <c r="G118" s="5">
        <f>-$B$80*G97*IF($C$80=1,G98,IF(G94&gt;0,1,0))</f>
        <v/>
      </c>
      <c r="H118" s="5">
        <f>-$B$80*H97*IF($C$80=1,H98,IF(H94&gt;0,1,0))</f>
        <v/>
      </c>
      <c r="I118" s="5">
        <f>-$B$80*I97*IF($C$80=1,I98,IF(I94&gt;0,1,0))</f>
        <v/>
      </c>
      <c r="J118" s="5">
        <f>-$B$80*J97*IF($C$80=1,J98,IF(J94&gt;0,1,0))</f>
        <v/>
      </c>
      <c r="K118" s="5">
        <f>-$B$80*K97*IF($C$80=1,K98,IF(K94&gt;0,1,0))</f>
        <v/>
      </c>
      <c r="L118" s="5">
        <f>-$B$80*L97*IF($C$80=1,L98,IF(L94&gt;0,1,0))</f>
        <v/>
      </c>
    </row>
    <row r="119">
      <c r="A119" t="inlineStr">
        <is>
          <t xml:space="preserve">  Jardinier / agent d'entretien (1 ETP au Smic chargé)</t>
        </is>
      </c>
      <c r="B119" s="5">
        <f>SUM(C119:L119)</f>
        <v/>
      </c>
      <c r="C119" s="5">
        <f>-$B$81*C97*IF($C$81=1,C98,IF(C94&gt;0,1,0))</f>
        <v/>
      </c>
      <c r="D119" s="5">
        <f>-$B$81*D97*IF($C$81=1,D98,IF(D94&gt;0,1,0))</f>
        <v/>
      </c>
      <c r="E119" s="5">
        <f>-$B$81*E97*IF($C$81=1,E98,IF(E94&gt;0,1,0))</f>
        <v/>
      </c>
      <c r="F119" s="5">
        <f>-$B$81*F97*IF($C$81=1,F98,IF(F94&gt;0,1,0))</f>
        <v/>
      </c>
      <c r="G119" s="5">
        <f>-$B$81*G97*IF($C$81=1,G98,IF(G94&gt;0,1,0))</f>
        <v/>
      </c>
      <c r="H119" s="5">
        <f>-$B$81*H97*IF($C$81=1,H98,IF(H94&gt;0,1,0))</f>
        <v/>
      </c>
      <c r="I119" s="5">
        <f>-$B$81*I97*IF($C$81=1,I98,IF(I94&gt;0,1,0))</f>
        <v/>
      </c>
      <c r="J119" s="5">
        <f>-$B$81*J97*IF($C$81=1,J98,IF(J94&gt;0,1,0))</f>
        <v/>
      </c>
      <c r="K119" s="5">
        <f>-$B$81*K97*IF($C$81=1,K98,IF(K94&gt;0,1,0))</f>
        <v/>
      </c>
      <c r="L119" s="5">
        <f>-$B$81*L97*IF($C$81=1,L98,IF(L94&gt;0,1,0))</f>
        <v/>
      </c>
    </row>
    <row r="120">
      <c r="A120" t="inlineStr">
        <is>
          <t xml:space="preserve">  Divers (abonnements, petit matériel, véhicule, honoraires)</t>
        </is>
      </c>
      <c r="B120" s="5">
        <f>SUM(C120:L120)</f>
        <v/>
      </c>
      <c r="C120" s="5">
        <f>-$B$82*C97*IF($C$82=1,C98,IF(C94&gt;0,1,0))</f>
        <v/>
      </c>
      <c r="D120" s="5">
        <f>-$B$82*D97*IF($C$82=1,D98,IF(D94&gt;0,1,0))</f>
        <v/>
      </c>
      <c r="E120" s="5">
        <f>-$B$82*E97*IF($C$82=1,E98,IF(E94&gt;0,1,0))</f>
        <v/>
      </c>
      <c r="F120" s="5">
        <f>-$B$82*F97*IF($C$82=1,F98,IF(F94&gt;0,1,0))</f>
        <v/>
      </c>
      <c r="G120" s="5">
        <f>-$B$82*G97*IF($C$82=1,G98,IF(G94&gt;0,1,0))</f>
        <v/>
      </c>
      <c r="H120" s="5">
        <f>-$B$82*H97*IF($C$82=1,H98,IF(H94&gt;0,1,0))</f>
        <v/>
      </c>
      <c r="I120" s="5">
        <f>-$B$82*I97*IF($C$82=1,I98,IF(I94&gt;0,1,0))</f>
        <v/>
      </c>
      <c r="J120" s="5">
        <f>-$B$82*J97*IF($C$82=1,J98,IF(J94&gt;0,1,0))</f>
        <v/>
      </c>
      <c r="K120" s="5">
        <f>-$B$82*K97*IF($C$82=1,K98,IF(K94&gt;0,1,0))</f>
        <v/>
      </c>
      <c r="L120" s="5">
        <f>-$B$82*L97*IF($C$82=1,L98,IF(L94&gt;0,1,0))</f>
        <v/>
      </c>
    </row>
    <row r="121">
      <c r="A121" t="inlineStr">
        <is>
          <t xml:space="preserve">  Cavalier professionnel / responsable d'écurie (chargé)</t>
        </is>
      </c>
      <c r="B121" s="5">
        <f>SUM(C121:L121)</f>
        <v/>
      </c>
      <c r="C121" s="5">
        <f>-$B$83*C97*IF($C$83=1,C98,IF(C94&gt;0,1,0))</f>
        <v/>
      </c>
      <c r="D121" s="5">
        <f>-$B$83*D97*IF($C$83=1,D98,IF(D94&gt;0,1,0))</f>
        <v/>
      </c>
      <c r="E121" s="5">
        <f>-$B$83*E97*IF($C$83=1,E98,IF(E94&gt;0,1,0))</f>
        <v/>
      </c>
      <c r="F121" s="5">
        <f>-$B$83*F97*IF($C$83=1,F98,IF(F94&gt;0,1,0))</f>
        <v/>
      </c>
      <c r="G121" s="5">
        <f>-$B$83*G97*IF($C$83=1,G98,IF(G94&gt;0,1,0))</f>
        <v/>
      </c>
      <c r="H121" s="5">
        <f>-$B$83*H97*IF($C$83=1,H98,IF(H94&gt;0,1,0))</f>
        <v/>
      </c>
      <c r="I121" s="5">
        <f>-$B$83*I97*IF($C$83=1,I98,IF(I94&gt;0,1,0))</f>
        <v/>
      </c>
      <c r="J121" s="5">
        <f>-$B$83*J97*IF($C$83=1,J98,IF(J94&gt;0,1,0))</f>
        <v/>
      </c>
      <c r="K121" s="5">
        <f>-$B$83*K97*IF($C$83=1,K98,IF(K94&gt;0,1,0))</f>
        <v/>
      </c>
      <c r="L121" s="5">
        <f>-$B$83*L97*IF($C$83=1,L98,IF(L94&gt;0,1,0))</f>
        <v/>
      </c>
    </row>
    <row r="122">
      <c r="A122" t="inlineStr">
        <is>
          <t xml:space="preserve">  Soigneurs / cavaliers-soigneurs (2,5 ETP chargés)</t>
        </is>
      </c>
      <c r="B122" s="5">
        <f>SUM(C122:L122)</f>
        <v/>
      </c>
      <c r="C122" s="5">
        <f>-$B$84*C97*IF($C$84=1,C98,IF(C94&gt;0,1,0))</f>
        <v/>
      </c>
      <c r="D122" s="5">
        <f>-$B$84*D97*IF($C$84=1,D98,IF(D94&gt;0,1,0))</f>
        <v/>
      </c>
      <c r="E122" s="5">
        <f>-$B$84*E97*IF($C$84=1,E98,IF(E94&gt;0,1,0))</f>
        <v/>
      </c>
      <c r="F122" s="5">
        <f>-$B$84*F97*IF($C$84=1,F98,IF(F94&gt;0,1,0))</f>
        <v/>
      </c>
      <c r="G122" s="5">
        <f>-$B$84*G97*IF($C$84=1,G98,IF(G94&gt;0,1,0))</f>
        <v/>
      </c>
      <c r="H122" s="5">
        <f>-$B$84*H97*IF($C$84=1,H98,IF(H94&gt;0,1,0))</f>
        <v/>
      </c>
      <c r="I122" s="5">
        <f>-$B$84*I97*IF($C$84=1,I98,IF(I94&gt;0,1,0))</f>
        <v/>
      </c>
      <c r="J122" s="5">
        <f>-$B$84*J97*IF($C$84=1,J98,IF(J94&gt;0,1,0))</f>
        <v/>
      </c>
      <c r="K122" s="5">
        <f>-$B$84*K97*IF($C$84=1,K98,IF(K94&gt;0,1,0))</f>
        <v/>
      </c>
      <c r="L122" s="5">
        <f>-$B$84*L97*IF($C$84=1,L98,IF(L94&gt;0,1,0))</f>
        <v/>
      </c>
    </row>
    <row r="123">
      <c r="A123" t="inlineStr">
        <is>
          <t xml:space="preserve">  Autres charges de structure équestres</t>
        </is>
      </c>
      <c r="B123" s="5">
        <f>SUM(C123:L123)</f>
        <v/>
      </c>
      <c r="C123" s="5">
        <f>-$B$85*C97*IF($C$85=1,C98,IF(C94&gt;0,1,0))</f>
        <v/>
      </c>
      <c r="D123" s="5">
        <f>-$B$85*D97*IF($C$85=1,D98,IF(D94&gt;0,1,0))</f>
        <v/>
      </c>
      <c r="E123" s="5">
        <f>-$B$85*E97*IF($C$85=1,E98,IF(E94&gt;0,1,0))</f>
        <v/>
      </c>
      <c r="F123" s="5">
        <f>-$B$85*F97*IF($C$85=1,F98,IF(F94&gt;0,1,0))</f>
        <v/>
      </c>
      <c r="G123" s="5">
        <f>-$B$85*G97*IF($C$85=1,G98,IF(G94&gt;0,1,0))</f>
        <v/>
      </c>
      <c r="H123" s="5">
        <f>-$B$85*H97*IF($C$85=1,H98,IF(H94&gt;0,1,0))</f>
        <v/>
      </c>
      <c r="I123" s="5">
        <f>-$B$85*I97*IF($C$85=1,I98,IF(I94&gt;0,1,0))</f>
        <v/>
      </c>
      <c r="J123" s="5">
        <f>-$B$85*J97*IF($C$85=1,J98,IF(J94&gt;0,1,0))</f>
        <v/>
      </c>
      <c r="K123" s="5">
        <f>-$B$85*K97*IF($C$85=1,K98,IF(K94&gt;0,1,0))</f>
        <v/>
      </c>
      <c r="L123" s="5">
        <f>-$B$85*L97*IF($C$85=1,L98,IF(L94&gt;0,1,0))</f>
        <v/>
      </c>
    </row>
    <row r="124">
      <c r="A124" t="inlineStr">
        <is>
          <t xml:space="preserve">  Coûts fixes du gîte</t>
        </is>
      </c>
      <c r="B124" s="5">
        <f>SUM(C124:L124)</f>
        <v/>
      </c>
      <c r="C124" s="5">
        <f>-$B$86*C97*IF($C$86=1,C98,IF(C94&gt;0,1,0))</f>
        <v/>
      </c>
      <c r="D124" s="5">
        <f>-$B$86*D97*IF($C$86=1,D98,IF(D94&gt;0,1,0))</f>
        <v/>
      </c>
      <c r="E124" s="5">
        <f>-$B$86*E97*IF($C$86=1,E98,IF(E94&gt;0,1,0))</f>
        <v/>
      </c>
      <c r="F124" s="5">
        <f>-$B$86*F97*IF($C$86=1,F98,IF(F94&gt;0,1,0))</f>
        <v/>
      </c>
      <c r="G124" s="5">
        <f>-$B$86*G97*IF($C$86=1,G98,IF(G94&gt;0,1,0))</f>
        <v/>
      </c>
      <c r="H124" s="5">
        <f>-$B$86*H97*IF($C$86=1,H98,IF(H94&gt;0,1,0))</f>
        <v/>
      </c>
      <c r="I124" s="5">
        <f>-$B$86*I97*IF($C$86=1,I98,IF(I94&gt;0,1,0))</f>
        <v/>
      </c>
      <c r="J124" s="5">
        <f>-$B$86*J97*IF($C$86=1,J98,IF(J94&gt;0,1,0))</f>
        <v/>
      </c>
      <c r="K124" s="5">
        <f>-$B$86*K97*IF($C$86=1,K98,IF(K94&gt;0,1,0))</f>
        <v/>
      </c>
      <c r="L124" s="5">
        <f>-$B$86*L97*IF($C$86=1,L98,IF(L94&gt;0,1,0))</f>
        <v/>
      </c>
    </row>
    <row r="125">
      <c r="A125" t="inlineStr">
        <is>
          <t xml:space="preserve">  Commercial, site, salons</t>
        </is>
      </c>
      <c r="B125" s="5">
        <f>SUM(C125:L125)</f>
        <v/>
      </c>
      <c r="C125" s="5">
        <f>-$B$87*C97*IF($C$87=1,C98,IF(C94&gt;0,1,0))</f>
        <v/>
      </c>
      <c r="D125" s="5">
        <f>-$B$87*D97*IF($C$87=1,D98,IF(D94&gt;0,1,0))</f>
        <v/>
      </c>
      <c r="E125" s="5">
        <f>-$B$87*E97*IF($C$87=1,E98,IF(E94&gt;0,1,0))</f>
        <v/>
      </c>
      <c r="F125" s="5">
        <f>-$B$87*F97*IF($C$87=1,F98,IF(F94&gt;0,1,0))</f>
        <v/>
      </c>
      <c r="G125" s="5">
        <f>-$B$87*G97*IF($C$87=1,G98,IF(G94&gt;0,1,0))</f>
        <v/>
      </c>
      <c r="H125" s="5">
        <f>-$B$87*H97*IF($C$87=1,H98,IF(H94&gt;0,1,0))</f>
        <v/>
      </c>
      <c r="I125" s="5">
        <f>-$B$87*I97*IF($C$87=1,I98,IF(I94&gt;0,1,0))</f>
        <v/>
      </c>
      <c r="J125" s="5">
        <f>-$B$87*J97*IF($C$87=1,J98,IF(J94&gt;0,1,0))</f>
        <v/>
      </c>
      <c r="K125" s="5">
        <f>-$B$87*K97*IF($C$87=1,K98,IF(K94&gt;0,1,0))</f>
        <v/>
      </c>
      <c r="L125" s="5">
        <f>-$B$87*L97*IF($C$87=1,L98,IF(L94&gt;0,1,0))</f>
        <v/>
      </c>
    </row>
    <row r="126">
      <c r="A126" t="inlineStr">
        <is>
          <t xml:space="preserve">  Comptabilité, juridique, banque, logiciels</t>
        </is>
      </c>
      <c r="B126" s="5">
        <f>SUM(C126:L126)</f>
        <v/>
      </c>
      <c r="C126" s="5">
        <f>-$B$88*C97*IF($C$88=1,C98,IF(C94&gt;0,1,0))</f>
        <v/>
      </c>
      <c r="D126" s="5">
        <f>-$B$88*D97*IF($C$88=1,D98,IF(D94&gt;0,1,0))</f>
        <v/>
      </c>
      <c r="E126" s="5">
        <f>-$B$88*E97*IF($C$88=1,E98,IF(E94&gt;0,1,0))</f>
        <v/>
      </c>
      <c r="F126" s="5">
        <f>-$B$88*F97*IF($C$88=1,F98,IF(F94&gt;0,1,0))</f>
        <v/>
      </c>
      <c r="G126" s="5">
        <f>-$B$88*G97*IF($C$88=1,G98,IF(G94&gt;0,1,0))</f>
        <v/>
      </c>
      <c r="H126" s="5">
        <f>-$B$88*H97*IF($C$88=1,H98,IF(H94&gt;0,1,0))</f>
        <v/>
      </c>
      <c r="I126" s="5">
        <f>-$B$88*I97*IF($C$88=1,I98,IF(I94&gt;0,1,0))</f>
        <v/>
      </c>
      <c r="J126" s="5">
        <f>-$B$88*J97*IF($C$88=1,J98,IF(J94&gt;0,1,0))</f>
        <v/>
      </c>
      <c r="K126" s="5">
        <f>-$B$88*K97*IF($C$88=1,K98,IF(K94&gt;0,1,0))</f>
        <v/>
      </c>
      <c r="L126" s="5">
        <f>-$B$88*L97*IF($C$88=1,L98,IF(L94&gt;0,1,0))</f>
        <v/>
      </c>
    </row>
    <row r="127">
      <c r="A127" t="inlineStr">
        <is>
          <t xml:space="preserve">  Rémunération du dirigeant (chargée)</t>
        </is>
      </c>
      <c r="B127" s="5">
        <f>SUM(C127:L127)</f>
        <v/>
      </c>
      <c r="C127" s="5">
        <f>-$B$89*C97*IF($C$89=1,C98,IF(C94&gt;0,1,0))</f>
        <v/>
      </c>
      <c r="D127" s="5">
        <f>-$B$89*D97*IF($C$89=1,D98,IF(D94&gt;0,1,0))</f>
        <v/>
      </c>
      <c r="E127" s="5">
        <f>-$B$89*E97*IF($C$89=1,E98,IF(E94&gt;0,1,0))</f>
        <v/>
      </c>
      <c r="F127" s="5">
        <f>-$B$89*F97*IF($C$89=1,F98,IF(F94&gt;0,1,0))</f>
        <v/>
      </c>
      <c r="G127" s="5">
        <f>-$B$89*G97*IF($C$89=1,G98,IF(G94&gt;0,1,0))</f>
        <v/>
      </c>
      <c r="H127" s="5">
        <f>-$B$89*H97*IF($C$89=1,H98,IF(H94&gt;0,1,0))</f>
        <v/>
      </c>
      <c r="I127" s="5">
        <f>-$B$89*I97*IF($C$89=1,I98,IF(I94&gt;0,1,0))</f>
        <v/>
      </c>
      <c r="J127" s="5">
        <f>-$B$89*J97*IF($C$89=1,J98,IF(J94&gt;0,1,0))</f>
        <v/>
      </c>
      <c r="K127" s="5">
        <f>-$B$89*K97*IF($C$89=1,K98,IF(K94&gt;0,1,0))</f>
        <v/>
      </c>
      <c r="L127" s="5">
        <f>-$B$89*L97*IF($C$89=1,L98,IF(L94&gt;0,1,0))</f>
        <v/>
      </c>
    </row>
    <row r="128">
      <c r="A128" s="4" t="inlineStr">
        <is>
          <t>Charges fixes totales</t>
        </is>
      </c>
      <c r="B128" s="18">
        <f>SUM(C128:L128)</f>
        <v/>
      </c>
      <c r="C128" s="18">
        <f>C116+C117+C118+C119+C120+C121+C122+C123+C124+C125+C126+C127</f>
        <v/>
      </c>
      <c r="D128" s="18">
        <f>D116+D117+D118+D119+D120+D121+D122+D123+D124+D125+D126+D127</f>
        <v/>
      </c>
      <c r="E128" s="18">
        <f>E116+E117+E118+E119+E120+E121+E122+E123+E124+E125+E126+E127</f>
        <v/>
      </c>
      <c r="F128" s="18">
        <f>F116+F117+F118+F119+F120+F121+F122+F123+F124+F125+F126+F127</f>
        <v/>
      </c>
      <c r="G128" s="18">
        <f>G116+G117+G118+G119+G120+G121+G122+G123+G124+G125+G126+G127</f>
        <v/>
      </c>
      <c r="H128" s="18">
        <f>H116+H117+H118+H119+H120+H121+H122+H123+H124+H125+H126+H127</f>
        <v/>
      </c>
      <c r="I128" s="18">
        <f>I116+I117+I118+I119+I120+I121+I122+I123+I124+I125+I126+I127</f>
        <v/>
      </c>
      <c r="J128" s="18">
        <f>J116+J117+J118+J119+J120+J121+J122+J123+J124+J125+J126+J127</f>
        <v/>
      </c>
      <c r="K128" s="18">
        <f>K116+K117+K118+K119+K120+K121+K122+K123+K124+K125+K126+K127</f>
        <v/>
      </c>
      <c r="L128" s="18">
        <f>L116+L117+L118+L119+L120+L121+L122+L123+L124+L125+L126+L127</f>
        <v/>
      </c>
    </row>
    <row r="129">
      <c r="A129" t="inlineStr">
        <is>
          <t>Loyer des murs (avant acquisition)</t>
        </is>
      </c>
      <c r="B129" s="5">
        <f>SUM(C129:L129)</f>
        <v/>
      </c>
      <c r="C129" s="5">
        <f>-IF(C98=0,IF(C$92&gt;=$B$6,$B$18*C97,0),0)</f>
        <v/>
      </c>
      <c r="D129" s="5">
        <f>-IF(D98=0,IF(D$92&gt;=$B$6,$B$18*D97,0),0)</f>
        <v/>
      </c>
      <c r="E129" s="5">
        <f>-IF(E98=0,IF(E$92&gt;=$B$6,$B$18*E97,0),0)</f>
        <v/>
      </c>
      <c r="F129" s="5">
        <f>-IF(F98=0,IF(F$92&gt;=$B$6,$B$18*F97,0),0)</f>
        <v/>
      </c>
      <c r="G129" s="5">
        <f>-IF(G98=0,IF(G$92&gt;=$B$6,$B$18*G97,0),0)</f>
        <v/>
      </c>
      <c r="H129" s="5">
        <f>-IF(H98=0,IF(H$92&gt;=$B$6,$B$18*H97,0),0)</f>
        <v/>
      </c>
      <c r="I129" s="5">
        <f>-IF(I98=0,IF(I$92&gt;=$B$6,$B$18*I97,0),0)</f>
        <v/>
      </c>
      <c r="J129" s="5">
        <f>-IF(J98=0,IF(J$92&gt;=$B$6,$B$18*J97,0),0)</f>
        <v/>
      </c>
      <c r="K129" s="5">
        <f>-IF(K98=0,IF(K$92&gt;=$B$6,$B$18*K97,0),0)</f>
        <v/>
      </c>
      <c r="L129" s="5">
        <f>-IF(L98=0,IF(L$92&gt;=$B$6,$B$18*L97,0),0)</f>
        <v/>
      </c>
    </row>
    <row r="130">
      <c r="A130" s="4" t="inlineStr">
        <is>
          <t>EBITDA</t>
        </is>
      </c>
      <c r="B130" s="18">
        <f>SUM(C130:L130)</f>
        <v/>
      </c>
      <c r="C130" s="18">
        <f>C115+C128+C129</f>
        <v/>
      </c>
      <c r="D130" s="18">
        <f>D115+D128+D129</f>
        <v/>
      </c>
      <c r="E130" s="18">
        <f>E115+E128+E129</f>
        <v/>
      </c>
      <c r="F130" s="18">
        <f>F115+F128+F129</f>
        <v/>
      </c>
      <c r="G130" s="18">
        <f>G115+G128+G129</f>
        <v/>
      </c>
      <c r="H130" s="18">
        <f>H115+H128+H129</f>
        <v/>
      </c>
      <c r="I130" s="18">
        <f>I115+I128+I129</f>
        <v/>
      </c>
      <c r="J130" s="18">
        <f>J115+J128+J129</f>
        <v/>
      </c>
      <c r="K130" s="18">
        <f>K115+K128+K129</f>
        <v/>
      </c>
      <c r="L130" s="18">
        <f>L115+L128+L129</f>
        <v/>
      </c>
    </row>
    <row r="131">
      <c r="A131" t="inlineStr">
        <is>
          <t>Loyer de la partie privée (payé par le fondateur, dès qu'il occupe les murs)</t>
        </is>
      </c>
      <c r="B131" s="5">
        <f>SUM(C131:L131)</f>
        <v/>
      </c>
      <c r="C131" s="5">
        <f>C98*$B$20*C97</f>
        <v/>
      </c>
      <c r="D131" s="5">
        <f>D98*$B$20*D97</f>
        <v/>
      </c>
      <c r="E131" s="5">
        <f>E98*$B$20*E97</f>
        <v/>
      </c>
      <c r="F131" s="5">
        <f>F98*$B$20*F97</f>
        <v/>
      </c>
      <c r="G131" s="5">
        <f>G98*$B$20*G97</f>
        <v/>
      </c>
      <c r="H131" s="5">
        <f>H98*$B$20*H97</f>
        <v/>
      </c>
      <c r="I131" s="5">
        <f>I98*$B$20*I97</f>
        <v/>
      </c>
      <c r="J131" s="5">
        <f>J98*$B$20*J97</f>
        <v/>
      </c>
      <c r="K131" s="5">
        <f>K98*$B$20*K97</f>
        <v/>
      </c>
      <c r="L131" s="5">
        <f>L98*$B$20*L97</f>
        <v/>
      </c>
    </row>
    <row r="132">
      <c r="A132" t="inlineStr">
        <is>
          <t xml:space="preserve">  Marge d'EBITDA</t>
        </is>
      </c>
      <c r="C132" s="6">
        <f>IF(C111=0,0,C130/C111)</f>
        <v/>
      </c>
      <c r="D132" s="6">
        <f>IF(D111=0,0,D130/D111)</f>
        <v/>
      </c>
      <c r="E132" s="6">
        <f>IF(E111=0,0,E130/E111)</f>
        <v/>
      </c>
      <c r="F132" s="6">
        <f>IF(F111=0,0,F130/F111)</f>
        <v/>
      </c>
      <c r="G132" s="6">
        <f>IF(G111=0,0,G130/G111)</f>
        <v/>
      </c>
      <c r="H132" s="6">
        <f>IF(H111=0,0,H130/H111)</f>
        <v/>
      </c>
      <c r="I132" s="6">
        <f>IF(I111=0,0,I130/I111)</f>
        <v/>
      </c>
      <c r="J132" s="6">
        <f>IF(J111=0,0,J130/J111)</f>
        <v/>
      </c>
      <c r="K132" s="6">
        <f>IF(K111=0,0,K130/K111)</f>
        <v/>
      </c>
      <c r="L132" s="6">
        <f>IF(L111=0,0,L130/L111)</f>
        <v/>
      </c>
    </row>
    <row r="133">
      <c r="A133" t="inlineStr">
        <is>
          <t>Travaux et équipements initiaux</t>
        </is>
      </c>
      <c r="B133" s="5">
        <f>SUM(C133:L133)</f>
        <v/>
      </c>
      <c r="C133" s="5">
        <f>($B$10+$B$11+$B$12)*$B$46*IF(C$92=$B$5,$B$13,IF(C$92=$B$5+1,$B$14,IF(C$92=$B$5+2,$B$15,0)))*C97</f>
        <v/>
      </c>
      <c r="D133" s="5">
        <f>($B$10+$B$11+$B$12)*$B$46*IF(D$92=$B$5,$B$13,IF(D$92=$B$5+1,$B$14,IF(D$92=$B$5+2,$B$15,0)))*D97</f>
        <v/>
      </c>
      <c r="E133" s="5">
        <f>($B$10+$B$11+$B$12)*$B$46*IF(E$92=$B$5,$B$13,IF(E$92=$B$5+1,$B$14,IF(E$92=$B$5+2,$B$15,0)))*E97</f>
        <v/>
      </c>
      <c r="F133" s="5">
        <f>($B$10+$B$11+$B$12)*$B$46*IF(F$92=$B$5,$B$13,IF(F$92=$B$5+1,$B$14,IF(F$92=$B$5+2,$B$15,0)))*F97</f>
        <v/>
      </c>
      <c r="G133" s="5">
        <f>($B$10+$B$11+$B$12)*$B$46*IF(G$92=$B$5,$B$13,IF(G$92=$B$5+1,$B$14,IF(G$92=$B$5+2,$B$15,0)))*G97</f>
        <v/>
      </c>
      <c r="H133" s="5">
        <f>($B$10+$B$11+$B$12)*$B$46*IF(H$92=$B$5,$B$13,IF(H$92=$B$5+1,$B$14,IF(H$92=$B$5+2,$B$15,0)))*H97</f>
        <v/>
      </c>
      <c r="I133" s="5">
        <f>($B$10+$B$11+$B$12)*$B$46*IF(I$92=$B$5,$B$13,IF(I$92=$B$5+1,$B$14,IF(I$92=$B$5+2,$B$15,0)))*I97</f>
        <v/>
      </c>
      <c r="J133" s="5">
        <f>($B$10+$B$11+$B$12)*$B$46*IF(J$92=$B$5,$B$13,IF(J$92=$B$5+1,$B$14,IF(J$92=$B$5+2,$B$15,0)))*J97</f>
        <v/>
      </c>
      <c r="K133" s="5">
        <f>($B$10+$B$11+$B$12)*$B$46*IF(K$92=$B$5,$B$13,IF(K$92=$B$5+1,$B$14,IF(K$92=$B$5+2,$B$15,0)))*K97</f>
        <v/>
      </c>
      <c r="L133" s="5">
        <f>($B$10+$B$11+$B$12)*$B$46*IF(L$92=$B$5,$B$13,IF(L$92=$B$5+1,$B$14,IF(L$92=$B$5+2,$B$15,0)))*L97</f>
        <v/>
      </c>
    </row>
    <row r="134">
      <c r="A134" t="inlineStr">
        <is>
          <t>Travaux initiaux cumulés</t>
        </is>
      </c>
      <c r="C134" s="5">
        <f>C133</f>
        <v/>
      </c>
      <c r="D134" s="5">
        <f>C134+D133</f>
        <v/>
      </c>
      <c r="E134" s="5">
        <f>D134+E133</f>
        <v/>
      </c>
      <c r="F134" s="5">
        <f>E134+F133</f>
        <v/>
      </c>
      <c r="G134" s="5">
        <f>F134+G133</f>
        <v/>
      </c>
      <c r="H134" s="5">
        <f>G134+H133</f>
        <v/>
      </c>
      <c r="I134" s="5">
        <f>H134+I133</f>
        <v/>
      </c>
      <c r="J134" s="5">
        <f>I134+J133</f>
        <v/>
      </c>
      <c r="K134" s="5">
        <f>J134+K133</f>
        <v/>
      </c>
      <c r="L134" s="5">
        <f>K134+L133</f>
        <v/>
      </c>
    </row>
    <row r="135">
      <c r="A135" t="inlineStr">
        <is>
          <t>Acquisition (prix + frais)</t>
        </is>
      </c>
      <c r="B135" s="5">
        <f>SUM(C135:L135)</f>
        <v/>
      </c>
      <c r="C135" s="5">
        <f>IF(C$92=$B$5,$B$7*(1+$B$8),0)</f>
        <v/>
      </c>
      <c r="D135" s="5">
        <f>IF(D$92=$B$5,$B$7*(1+$B$8),0)</f>
        <v/>
      </c>
      <c r="E135" s="5">
        <f>IF(E$92=$B$5,$B$7*(1+$B$8),0)</f>
        <v/>
      </c>
      <c r="F135" s="5">
        <f>IF(F$92=$B$5,$B$7*(1+$B$8),0)</f>
        <v/>
      </c>
      <c r="G135" s="5">
        <f>IF(G$92=$B$5,$B$7*(1+$B$8),0)</f>
        <v/>
      </c>
      <c r="H135" s="5">
        <f>IF(H$92=$B$5,$B$7*(1+$B$8),0)</f>
        <v/>
      </c>
      <c r="I135" s="5">
        <f>IF(I$92=$B$5,$B$7*(1+$B$8),0)</f>
        <v/>
      </c>
      <c r="J135" s="5">
        <f>IF(J$92=$B$5,$B$7*(1+$B$8),0)</f>
        <v/>
      </c>
      <c r="K135" s="5">
        <f>IF(K$92=$B$5,$B$7*(1+$B$8),0)</f>
        <v/>
      </c>
      <c r="L135" s="5">
        <f>IF(L$92=$B$5,$B$7*(1+$B$8),0)</f>
        <v/>
      </c>
    </row>
    <row r="136">
      <c r="A136" t="inlineStr">
        <is>
          <t>Gros entretien patrimonial récurrent (% de la valeur du bâti + travaux)</t>
        </is>
      </c>
      <c r="B136" s="5">
        <f>SUM(C136:L136)</f>
        <v/>
      </c>
      <c r="C136" s="5">
        <f>IF(C$92&gt;=$B$5+3,$B$16*($B$7*$B$9+($B$10+$B$11+$B$12)*$B$46)*C97,0)</f>
        <v/>
      </c>
      <c r="D136" s="5">
        <f>IF(D$92&gt;=$B$5+3,$B$16*($B$7*$B$9+($B$10+$B$11+$B$12)*$B$46)*D97,0)</f>
        <v/>
      </c>
      <c r="E136" s="5">
        <f>IF(E$92&gt;=$B$5+3,$B$16*($B$7*$B$9+($B$10+$B$11+$B$12)*$B$46)*E97,0)</f>
        <v/>
      </c>
      <c r="F136" s="5">
        <f>IF(F$92&gt;=$B$5+3,$B$16*($B$7*$B$9+($B$10+$B$11+$B$12)*$B$46)*F97,0)</f>
        <v/>
      </c>
      <c r="G136" s="5">
        <f>IF(G$92&gt;=$B$5+3,$B$16*($B$7*$B$9+($B$10+$B$11+$B$12)*$B$46)*G97,0)</f>
        <v/>
      </c>
      <c r="H136" s="5">
        <f>IF(H$92&gt;=$B$5+3,$B$16*($B$7*$B$9+($B$10+$B$11+$B$12)*$B$46)*H97,0)</f>
        <v/>
      </c>
      <c r="I136" s="5">
        <f>IF(I$92&gt;=$B$5+3,$B$16*($B$7*$B$9+($B$10+$B$11+$B$12)*$B$46)*I97,0)</f>
        <v/>
      </c>
      <c r="J136" s="5">
        <f>IF(J$92&gt;=$B$5+3,$B$16*($B$7*$B$9+($B$10+$B$11+$B$12)*$B$46)*J97,0)</f>
        <v/>
      </c>
      <c r="K136" s="5">
        <f>IF(K$92&gt;=$B$5+3,$B$16*($B$7*$B$9+($B$10+$B$11+$B$12)*$B$46)*K97,0)</f>
        <v/>
      </c>
      <c r="L136" s="5">
        <f>IF(L$92&gt;=$B$5+3,$B$16*($B$7*$B$9+($B$10+$B$11+$B$12)*$B$46)*L97,0)</f>
        <v/>
      </c>
    </row>
    <row r="137">
      <c r="A137" t="inlineStr">
        <is>
          <t>Investissements amortissables cumulés</t>
        </is>
      </c>
      <c r="C137" s="5">
        <f>C133+C136</f>
        <v/>
      </c>
      <c r="D137" s="5">
        <f>C137+D133+D136</f>
        <v/>
      </c>
      <c r="E137" s="5">
        <f>D137+E133+E136</f>
        <v/>
      </c>
      <c r="F137" s="5">
        <f>E137+F133+F136</f>
        <v/>
      </c>
      <c r="G137" s="5">
        <f>F137+G133+G136</f>
        <v/>
      </c>
      <c r="H137" s="5">
        <f>G137+H133+H136</f>
        <v/>
      </c>
      <c r="I137" s="5">
        <f>H137+I133+I136</f>
        <v/>
      </c>
      <c r="J137" s="5">
        <f>I137+J133+J136</f>
        <v/>
      </c>
      <c r="K137" s="5">
        <f>J137+K133+K136</f>
        <v/>
      </c>
      <c r="L137" s="5">
        <f>K137+L133+L136</f>
        <v/>
      </c>
    </row>
    <row r="138">
      <c r="A138" t="inlineStr">
        <is>
          <t>Dotations aux amortissements (bâti 30 ans, travaux 15 ans)</t>
        </is>
      </c>
      <c r="B138" s="5">
        <f>SUM(C138:L138)</f>
        <v/>
      </c>
      <c r="C138" s="5">
        <f>-(C98*$B$7*(1+$B$8)*$B$9/30+C137/15)</f>
        <v/>
      </c>
      <c r="D138" s="5">
        <f>-(D98*$B$7*(1+$B$8)*$B$9/30+D137/15)</f>
        <v/>
      </c>
      <c r="E138" s="5">
        <f>-(E98*$B$7*(1+$B$8)*$B$9/30+E137/15)</f>
        <v/>
      </c>
      <c r="F138" s="5">
        <f>-(F98*$B$7*(1+$B$8)*$B$9/30+F137/15)</f>
        <v/>
      </c>
      <c r="G138" s="5">
        <f>-(G98*$B$7*(1+$B$8)*$B$9/30+G137/15)</f>
        <v/>
      </c>
      <c r="H138" s="5">
        <f>-(H98*$B$7*(1+$B$8)*$B$9/30+H137/15)</f>
        <v/>
      </c>
      <c r="I138" s="5">
        <f>-(I98*$B$7*(1+$B$8)*$B$9/30+I137/15)</f>
        <v/>
      </c>
      <c r="J138" s="5">
        <f>-(J98*$B$7*(1+$B$8)*$B$9/30+J137/15)</f>
        <v/>
      </c>
      <c r="K138" s="5">
        <f>-(K98*$B$7*(1+$B$8)*$B$9/30+K137/15)</f>
        <v/>
      </c>
      <c r="L138" s="5">
        <f>-(L98*$B$7*(1+$B$8)*$B$9/30+L137/15)</f>
        <v/>
      </c>
    </row>
    <row r="139">
      <c r="A139" s="4" t="inlineStr">
        <is>
          <t>Résultat d'exploitation</t>
        </is>
      </c>
      <c r="B139" s="18">
        <f>SUM(C139:L139)</f>
        <v/>
      </c>
      <c r="C139" s="18">
        <f>C130+C138</f>
        <v/>
      </c>
      <c r="D139" s="18">
        <f>D130+D138</f>
        <v/>
      </c>
      <c r="E139" s="18">
        <f>E130+E138</f>
        <v/>
      </c>
      <c r="F139" s="18">
        <f>F130+F138</f>
        <v/>
      </c>
      <c r="G139" s="18">
        <f>G130+G138</f>
        <v/>
      </c>
      <c r="H139" s="18">
        <f>H130+H138</f>
        <v/>
      </c>
      <c r="I139" s="18">
        <f>I130+I138</f>
        <v/>
      </c>
      <c r="J139" s="18">
        <f>J130+J138</f>
        <v/>
      </c>
      <c r="K139" s="18">
        <f>K130+K138</f>
        <v/>
      </c>
      <c r="L139" s="18">
        <f>L130+L138</f>
        <v/>
      </c>
    </row>
    <row r="141">
      <c r="A141" s="4" t="inlineStr">
        <is>
          <t>Échéancier des emprunts</t>
        </is>
      </c>
    </row>
    <row r="142">
      <c r="A142" t="inlineStr">
        <is>
          <t>Taux bancaire effectif</t>
        </is>
      </c>
      <c r="C142" s="6">
        <f>$B$28+$B$48</f>
        <v/>
      </c>
      <c r="D142" s="6">
        <f>$B$28+$B$48</f>
        <v/>
      </c>
      <c r="E142" s="6">
        <f>$B$28+$B$48</f>
        <v/>
      </c>
      <c r="F142" s="6">
        <f>$B$28+$B$48</f>
        <v/>
      </c>
      <c r="G142" s="6">
        <f>$B$28+$B$48</f>
        <v/>
      </c>
      <c r="H142" s="6">
        <f>$B$28+$B$48</f>
        <v/>
      </c>
      <c r="I142" s="6">
        <f>$B$28+$B$48</f>
        <v/>
      </c>
      <c r="J142" s="6">
        <f>$B$28+$B$48</f>
        <v/>
      </c>
      <c r="K142" s="6">
        <f>$B$28+$B$48</f>
        <v/>
      </c>
      <c r="L142" s="6">
        <f>$B$28+$B$48</f>
        <v/>
      </c>
    </row>
    <row r="143">
      <c r="A143" t="inlineStr">
        <is>
          <t>Rang de l'année d'emprunt</t>
        </is>
      </c>
      <c r="C143" s="8">
        <f>MAX(0,C$92-$B$5+1)</f>
        <v/>
      </c>
      <c r="D143" s="8">
        <f>MAX(0,D$92-$B$5+1)</f>
        <v/>
      </c>
      <c r="E143" s="8">
        <f>MAX(0,E$92-$B$5+1)</f>
        <v/>
      </c>
      <c r="F143" s="8">
        <f>MAX(0,F$92-$B$5+1)</f>
        <v/>
      </c>
      <c r="G143" s="8">
        <f>MAX(0,G$92-$B$5+1)</f>
        <v/>
      </c>
      <c r="H143" s="8">
        <f>MAX(0,H$92-$B$5+1)</f>
        <v/>
      </c>
      <c r="I143" s="8">
        <f>MAX(0,I$92-$B$5+1)</f>
        <v/>
      </c>
      <c r="J143" s="8">
        <f>MAX(0,J$92-$B$5+1)</f>
        <v/>
      </c>
      <c r="K143" s="8">
        <f>MAX(0,K$92-$B$5+1)</f>
        <v/>
      </c>
      <c r="L143" s="8">
        <f>MAX(0,L$92-$B$5+1)</f>
        <v/>
      </c>
    </row>
    <row r="144">
      <c r="A144" t="inlineStr">
        <is>
          <t>Dette bancaire — capital début</t>
        </is>
      </c>
      <c r="C144" s="5">
        <f>IF(C143=1,$B$27,0)</f>
        <v/>
      </c>
      <c r="D144" s="5">
        <f>IF(D143=1,$B$27,C147)</f>
        <v/>
      </c>
      <c r="E144" s="5">
        <f>IF(E143=1,$B$27,D147)</f>
        <v/>
      </c>
      <c r="F144" s="5">
        <f>IF(F143=1,$B$27,E147)</f>
        <v/>
      </c>
      <c r="G144" s="5">
        <f>IF(G143=1,$B$27,F147)</f>
        <v/>
      </c>
      <c r="H144" s="5">
        <f>IF(H143=1,$B$27,G147)</f>
        <v/>
      </c>
      <c r="I144" s="5">
        <f>IF(I143=1,$B$27,H147)</f>
        <v/>
      </c>
      <c r="J144" s="5">
        <f>IF(J143=1,$B$27,I147)</f>
        <v/>
      </c>
      <c r="K144" s="5">
        <f>IF(K143=1,$B$27,J147)</f>
        <v/>
      </c>
      <c r="L144" s="5">
        <f>IF(L143=1,$B$27,K147)</f>
        <v/>
      </c>
    </row>
    <row r="145">
      <c r="A145" t="inlineStr">
        <is>
          <t xml:space="preserve">  Intérêts</t>
        </is>
      </c>
      <c r="B145" s="5">
        <f>SUM(C145:L145)</f>
        <v/>
      </c>
      <c r="C145" s="5">
        <f>C144*C142</f>
        <v/>
      </c>
      <c r="D145" s="5">
        <f>D144*D142</f>
        <v/>
      </c>
      <c r="E145" s="5">
        <f>E144*E142</f>
        <v/>
      </c>
      <c r="F145" s="5">
        <f>F144*F142</f>
        <v/>
      </c>
      <c r="G145" s="5">
        <f>G144*G142</f>
        <v/>
      </c>
      <c r="H145" s="5">
        <f>H144*H142</f>
        <v/>
      </c>
      <c r="I145" s="5">
        <f>I144*I142</f>
        <v/>
      </c>
      <c r="J145" s="5">
        <f>J144*J142</f>
        <v/>
      </c>
      <c r="K145" s="5">
        <f>K144*K142</f>
        <v/>
      </c>
      <c r="L145" s="5">
        <f>L144*L142</f>
        <v/>
      </c>
    </row>
    <row r="146">
      <c r="A146" t="inlineStr">
        <is>
          <t xml:space="preserve">  Amortissement du capital</t>
        </is>
      </c>
      <c r="B146" s="5">
        <f>SUM(C146:L146)</f>
        <v/>
      </c>
      <c r="C146" s="5">
        <f>IF(OR(C143=0,C143&lt;=$B$30,C144&lt;=0),0,MIN(C144,PMT(C142,$B$29-$B$30,-$B$27)-C145))</f>
        <v/>
      </c>
      <c r="D146" s="5">
        <f>IF(OR(D143=0,D143&lt;=$B$30,D144&lt;=0),0,MIN(D144,PMT(D142,$B$29-$B$30,-$B$27)-D145))</f>
        <v/>
      </c>
      <c r="E146" s="5">
        <f>IF(OR(E143=0,E143&lt;=$B$30,E144&lt;=0),0,MIN(E144,PMT(E142,$B$29-$B$30,-$B$27)-E145))</f>
        <v/>
      </c>
      <c r="F146" s="5">
        <f>IF(OR(F143=0,F143&lt;=$B$30,F144&lt;=0),0,MIN(F144,PMT(F142,$B$29-$B$30,-$B$27)-F145))</f>
        <v/>
      </c>
      <c r="G146" s="5">
        <f>IF(OR(G143=0,G143&lt;=$B$30,G144&lt;=0),0,MIN(G144,PMT(G142,$B$29-$B$30,-$B$27)-G145))</f>
        <v/>
      </c>
      <c r="H146" s="5">
        <f>IF(OR(H143=0,H143&lt;=$B$30,H144&lt;=0),0,MIN(H144,PMT(H142,$B$29-$B$30,-$B$27)-H145))</f>
        <v/>
      </c>
      <c r="I146" s="5">
        <f>IF(OR(I143=0,I143&lt;=$B$30,I144&lt;=0),0,MIN(I144,PMT(I142,$B$29-$B$30,-$B$27)-I145))</f>
        <v/>
      </c>
      <c r="J146" s="5">
        <f>IF(OR(J143=0,J143&lt;=$B$30,J144&lt;=0),0,MIN(J144,PMT(J142,$B$29-$B$30,-$B$27)-J145))</f>
        <v/>
      </c>
      <c r="K146" s="5">
        <f>IF(OR(K143=0,K143&lt;=$B$30,K144&lt;=0),0,MIN(K144,PMT(K142,$B$29-$B$30,-$B$27)-K145))</f>
        <v/>
      </c>
      <c r="L146" s="5">
        <f>IF(OR(L143=0,L143&lt;=$B$30,L144&lt;=0),0,MIN(L144,PMT(L142,$B$29-$B$30,-$B$27)-L145))</f>
        <v/>
      </c>
    </row>
    <row r="147">
      <c r="A147" t="inlineStr">
        <is>
          <t>Dette bancaire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Crédit-vendeur — capital début</t>
        </is>
      </c>
      <c r="C148" s="5">
        <f>IF(C143=1,$B$31,0)</f>
        <v/>
      </c>
      <c r="D148" s="5">
        <f>IF(D143=1,$B$31,C151)</f>
        <v/>
      </c>
      <c r="E148" s="5">
        <f>IF(E143=1,$B$31,D151)</f>
        <v/>
      </c>
      <c r="F148" s="5">
        <f>IF(F143=1,$B$31,E151)</f>
        <v/>
      </c>
      <c r="G148" s="5">
        <f>IF(G143=1,$B$31,F151)</f>
        <v/>
      </c>
      <c r="H148" s="5">
        <f>IF(H143=1,$B$31,G151)</f>
        <v/>
      </c>
      <c r="I148" s="5">
        <f>IF(I143=1,$B$31,H151)</f>
        <v/>
      </c>
      <c r="J148" s="5">
        <f>IF(J143=1,$B$31,I151)</f>
        <v/>
      </c>
      <c r="K148" s="5">
        <f>IF(K143=1,$B$31,J151)</f>
        <v/>
      </c>
      <c r="L148" s="5">
        <f>IF(L143=1,$B$31,K151)</f>
        <v/>
      </c>
    </row>
    <row r="149">
      <c r="A149" t="inlineStr">
        <is>
          <t xml:space="preserve">  Intérêts crédit-vendeur</t>
        </is>
      </c>
      <c r="B149" s="5">
        <f>SUM(C149:L149)</f>
        <v/>
      </c>
      <c r="C149" s="5">
        <f>C148*$B$32</f>
        <v/>
      </c>
      <c r="D149" s="5">
        <f>D148*$B$32</f>
        <v/>
      </c>
      <c r="E149" s="5">
        <f>E148*$B$32</f>
        <v/>
      </c>
      <c r="F149" s="5">
        <f>F148*$B$32</f>
        <v/>
      </c>
      <c r="G149" s="5">
        <f>G148*$B$32</f>
        <v/>
      </c>
      <c r="H149" s="5">
        <f>H148*$B$32</f>
        <v/>
      </c>
      <c r="I149" s="5">
        <f>I148*$B$32</f>
        <v/>
      </c>
      <c r="J149" s="5">
        <f>J148*$B$32</f>
        <v/>
      </c>
      <c r="K149" s="5">
        <f>K148*$B$32</f>
        <v/>
      </c>
      <c r="L149" s="5">
        <f>L148*$B$32</f>
        <v/>
      </c>
    </row>
    <row r="150">
      <c r="A150" t="inlineStr">
        <is>
          <t xml:space="preserve">  Amortissement crédit-vendeur</t>
        </is>
      </c>
      <c r="B150" s="5">
        <f>SUM(C150:L150)</f>
        <v/>
      </c>
      <c r="C150" s="5">
        <f>IF(OR(C143=0,C148&lt;=0),0,MIN(C148,IF($B$32=0,$B$31/$B$33,PMT($B$32,$B$33,-$B$31)-C149)))</f>
        <v/>
      </c>
      <c r="D150" s="5">
        <f>IF(OR(D143=0,D148&lt;=0),0,MIN(D148,IF($B$32=0,$B$31/$B$33,PMT($B$32,$B$33,-$B$31)-D149)))</f>
        <v/>
      </c>
      <c r="E150" s="5">
        <f>IF(OR(E143=0,E148&lt;=0),0,MIN(E148,IF($B$32=0,$B$31/$B$33,PMT($B$32,$B$33,-$B$31)-E149)))</f>
        <v/>
      </c>
      <c r="F150" s="5">
        <f>IF(OR(F143=0,F148&lt;=0),0,MIN(F148,IF($B$32=0,$B$31/$B$33,PMT($B$32,$B$33,-$B$31)-F149)))</f>
        <v/>
      </c>
      <c r="G150" s="5">
        <f>IF(OR(G143=0,G148&lt;=0),0,MIN(G148,IF($B$32=0,$B$31/$B$33,PMT($B$32,$B$33,-$B$31)-G149)))</f>
        <v/>
      </c>
      <c r="H150" s="5">
        <f>IF(OR(H143=0,H148&lt;=0),0,MIN(H148,IF($B$32=0,$B$31/$B$33,PMT($B$32,$B$33,-$B$31)-H149)))</f>
        <v/>
      </c>
      <c r="I150" s="5">
        <f>IF(OR(I143=0,I148&lt;=0),0,MIN(I148,IF($B$32=0,$B$31/$B$33,PMT($B$32,$B$33,-$B$31)-I149)))</f>
        <v/>
      </c>
      <c r="J150" s="5">
        <f>IF(OR(J143=0,J148&lt;=0),0,MIN(J148,IF($B$32=0,$B$31/$B$33,PMT($B$32,$B$33,-$B$31)-J149)))</f>
        <v/>
      </c>
      <c r="K150" s="5">
        <f>IF(OR(K143=0,K148&lt;=0),0,MIN(K148,IF($B$32=0,$B$31/$B$33,PMT($B$32,$B$33,-$B$31)-K149)))</f>
        <v/>
      </c>
      <c r="L150" s="5">
        <f>IF(OR(L143=0,L148&lt;=0),0,MIN(L148,IF($B$32=0,$B$31/$B$33,PMT($B$32,$B$33,-$B$31)-L149)))</f>
        <v/>
      </c>
    </row>
    <row r="151">
      <c r="A151" t="inlineStr">
        <is>
          <t>Crédit-vendeur — capital fin</t>
        </is>
      </c>
      <c r="C151" s="5">
        <f>C148-C150</f>
        <v/>
      </c>
      <c r="D151" s="5">
        <f>D148-D150</f>
        <v/>
      </c>
      <c r="E151" s="5">
        <f>E148-E150</f>
        <v/>
      </c>
      <c r="F151" s="5">
        <f>F148-F150</f>
        <v/>
      </c>
      <c r="G151" s="5">
        <f>G148-G150</f>
        <v/>
      </c>
      <c r="H151" s="5">
        <f>H148-H150</f>
        <v/>
      </c>
      <c r="I151" s="5">
        <f>I148-I150</f>
        <v/>
      </c>
      <c r="J151" s="5">
        <f>J148-J150</f>
        <v/>
      </c>
      <c r="K151" s="5">
        <f>K148-K150</f>
        <v/>
      </c>
      <c r="L151" s="5">
        <f>L148-L150</f>
        <v/>
      </c>
    </row>
    <row r="152">
      <c r="A152" t="inlineStr">
        <is>
          <t>Obligations — encours</t>
        </is>
      </c>
      <c r="C152" s="5">
        <f>IF(AND(C$92&gt;=$B$5,C$92&lt;=$B$36),$B$34,0)</f>
        <v/>
      </c>
      <c r="D152" s="5">
        <f>IF(AND(D$92&gt;=$B$5,D$92&lt;=$B$36),$B$34,0)</f>
        <v/>
      </c>
      <c r="E152" s="5">
        <f>IF(AND(E$92&gt;=$B$5,E$92&lt;=$B$36),$B$34,0)</f>
        <v/>
      </c>
      <c r="F152" s="5">
        <f>IF(AND(F$92&gt;=$B$5,F$92&lt;=$B$36),$B$34,0)</f>
        <v/>
      </c>
      <c r="G152" s="5">
        <f>IF(AND(G$92&gt;=$B$5,G$92&lt;=$B$36),$B$34,0)</f>
        <v/>
      </c>
      <c r="H152" s="5">
        <f>IF(AND(H$92&gt;=$B$5,H$92&lt;=$B$36),$B$34,0)</f>
        <v/>
      </c>
      <c r="I152" s="5">
        <f>IF(AND(I$92&gt;=$B$5,I$92&lt;=$B$36),$B$34,0)</f>
        <v/>
      </c>
      <c r="J152" s="5">
        <f>IF(AND(J$92&gt;=$B$5,J$92&lt;=$B$36),$B$34,0)</f>
        <v/>
      </c>
      <c r="K152" s="5">
        <f>IF(AND(K$92&gt;=$B$5,K$92&lt;=$B$36),$B$34,0)</f>
        <v/>
      </c>
      <c r="L152" s="5">
        <f>IF(AND(L$92&gt;=$B$5,L$92&lt;=$B$36),$B$34,0)</f>
        <v/>
      </c>
    </row>
    <row r="153">
      <c r="A153" t="inlineStr">
        <is>
          <t xml:space="preserve">  Coupons obligataires</t>
        </is>
      </c>
      <c r="B153" s="5">
        <f>SUM(C153:L153)</f>
        <v/>
      </c>
      <c r="C153" s="5">
        <f>C152*$B$35</f>
        <v/>
      </c>
      <c r="D153" s="5">
        <f>D152*$B$35</f>
        <v/>
      </c>
      <c r="E153" s="5">
        <f>E152*$B$35</f>
        <v/>
      </c>
      <c r="F153" s="5">
        <f>F152*$B$35</f>
        <v/>
      </c>
      <c r="G153" s="5">
        <f>G152*$B$35</f>
        <v/>
      </c>
      <c r="H153" s="5">
        <f>H152*$B$35</f>
        <v/>
      </c>
      <c r="I153" s="5">
        <f>I152*$B$35</f>
        <v/>
      </c>
      <c r="J153" s="5">
        <f>J152*$B$35</f>
        <v/>
      </c>
      <c r="K153" s="5">
        <f>K152*$B$35</f>
        <v/>
      </c>
      <c r="L153" s="5">
        <f>L152*$B$35</f>
        <v/>
      </c>
    </row>
    <row r="154">
      <c r="A154" t="inlineStr">
        <is>
          <t xml:space="preserve">  Remboursement obligations</t>
        </is>
      </c>
      <c r="B154" s="5">
        <f>SUM(C154:L154)</f>
        <v/>
      </c>
      <c r="C154" s="5">
        <f>IF(C$92=$B$36,$B$34,0)</f>
        <v/>
      </c>
      <c r="D154" s="5">
        <f>IF(D$92=$B$36,$B$34,0)</f>
        <v/>
      </c>
      <c r="E154" s="5">
        <f>IF(E$92=$B$36,$B$34,0)</f>
        <v/>
      </c>
      <c r="F154" s="5">
        <f>IF(F$92=$B$36,$B$34,0)</f>
        <v/>
      </c>
      <c r="G154" s="5">
        <f>IF(G$92=$B$36,$B$34,0)</f>
        <v/>
      </c>
      <c r="H154" s="5">
        <f>IF(H$92=$B$36,$B$34,0)</f>
        <v/>
      </c>
      <c r="I154" s="5">
        <f>IF(I$92=$B$36,$B$34,0)</f>
        <v/>
      </c>
      <c r="J154" s="5">
        <f>IF(J$92=$B$36,$B$34,0)</f>
        <v/>
      </c>
      <c r="K154" s="5">
        <f>IF(K$92=$B$36,$B$34,0)</f>
        <v/>
      </c>
      <c r="L154" s="5">
        <f>IF(L$92=$B$36,$B$34,0)</f>
        <v/>
      </c>
    </row>
    <row r="156">
      <c r="A156" t="inlineStr">
        <is>
          <t>Charges financières</t>
        </is>
      </c>
      <c r="B156" s="5">
        <f>SUM(C156:L156)</f>
        <v/>
      </c>
      <c r="C156" s="5">
        <f>-(C145+C149+C153)</f>
        <v/>
      </c>
      <c r="D156" s="5">
        <f>-(D145+D149+D153)</f>
        <v/>
      </c>
      <c r="E156" s="5">
        <f>-(E145+E149+E153)</f>
        <v/>
      </c>
      <c r="F156" s="5">
        <f>-(F145+F149+F153)</f>
        <v/>
      </c>
      <c r="G156" s="5">
        <f>-(G145+G149+G153)</f>
        <v/>
      </c>
      <c r="H156" s="5">
        <f>-(H145+H149+H153)</f>
        <v/>
      </c>
      <c r="I156" s="5">
        <f>-(I145+I149+I153)</f>
        <v/>
      </c>
      <c r="J156" s="5">
        <f>-(J145+J149+J153)</f>
        <v/>
      </c>
      <c r="K156" s="5">
        <f>-(K145+K149+K153)</f>
        <v/>
      </c>
      <c r="L156" s="5">
        <f>-(L145+L149+L153)</f>
        <v/>
      </c>
    </row>
    <row r="157">
      <c r="A157" s="4" t="inlineStr">
        <is>
          <t>Résultat avant impôt</t>
        </is>
      </c>
      <c r="B157" s="18">
        <f>SUM(C157:L157)</f>
        <v/>
      </c>
      <c r="C157" s="18">
        <f>C139+C156+C131</f>
        <v/>
      </c>
      <c r="D157" s="18">
        <f>D139+D156+D131</f>
        <v/>
      </c>
      <c r="E157" s="18">
        <f>E139+E156+E131</f>
        <v/>
      </c>
      <c r="F157" s="18">
        <f>F139+F156+F131</f>
        <v/>
      </c>
      <c r="G157" s="18">
        <f>G139+G156+G131</f>
        <v/>
      </c>
      <c r="H157" s="18">
        <f>H139+H156+H131</f>
        <v/>
      </c>
      <c r="I157" s="18">
        <f>I139+I156+I131</f>
        <v/>
      </c>
      <c r="J157" s="18">
        <f>J139+J156+J131</f>
        <v/>
      </c>
      <c r="K157" s="18">
        <f>K139+K156+K131</f>
        <v/>
      </c>
      <c r="L157" s="18">
        <f>L139+L156+L131</f>
        <v/>
      </c>
    </row>
    <row r="158">
      <c r="A158" t="inlineStr">
        <is>
          <t>Stock de déficits reportables (fin d'année)</t>
        </is>
      </c>
      <c r="C158" s="5">
        <f>MAX(0,-C157)</f>
        <v/>
      </c>
      <c r="D158" s="5">
        <f>MAX(0,C158-D157)</f>
        <v/>
      </c>
      <c r="E158" s="5">
        <f>MAX(0,D158-E157)</f>
        <v/>
      </c>
      <c r="F158" s="5">
        <f>MAX(0,E158-F157)</f>
        <v/>
      </c>
      <c r="G158" s="5">
        <f>MAX(0,F158-G157)</f>
        <v/>
      </c>
      <c r="H158" s="5">
        <f>MAX(0,G158-H157)</f>
        <v/>
      </c>
      <c r="I158" s="5">
        <f>MAX(0,H158-I157)</f>
        <v/>
      </c>
      <c r="J158" s="5">
        <f>MAX(0,I158-J157)</f>
        <v/>
      </c>
      <c r="K158" s="5">
        <f>MAX(0,J158-K157)</f>
        <v/>
      </c>
      <c r="L158" s="5">
        <f>MAX(0,K158-L157)</f>
        <v/>
      </c>
    </row>
    <row r="159">
      <c r="A159" t="inlineStr">
        <is>
          <t>Impôt sur les sociétés</t>
        </is>
      </c>
      <c r="B159" s="5">
        <f>SUM(C159:L159)</f>
        <v/>
      </c>
      <c r="C159" s="5">
        <f>-(MIN(MAX(0,C157),$B$61)*$B$60+MAX(0,MAX(0,C157)-$B$61)*$B$59)</f>
        <v/>
      </c>
      <c r="D159" s="5">
        <f>-(MIN(MAX(0,D157-C158),$B$61)*$B$60+MAX(0,MAX(0,D157-C158)-$B$61)*$B$59)</f>
        <v/>
      </c>
      <c r="E159" s="5">
        <f>-(MIN(MAX(0,E157-D158),$B$61)*$B$60+MAX(0,MAX(0,E157-D158)-$B$61)*$B$59)</f>
        <v/>
      </c>
      <c r="F159" s="5">
        <f>-(MIN(MAX(0,F157-E158),$B$61)*$B$60+MAX(0,MAX(0,F157-E158)-$B$61)*$B$59)</f>
        <v/>
      </c>
      <c r="G159" s="5">
        <f>-(MIN(MAX(0,G157-F158),$B$61)*$B$60+MAX(0,MAX(0,G157-F158)-$B$61)*$B$59)</f>
        <v/>
      </c>
      <c r="H159" s="5">
        <f>-(MIN(MAX(0,H157-G158),$B$61)*$B$60+MAX(0,MAX(0,H157-G158)-$B$61)*$B$59)</f>
        <v/>
      </c>
      <c r="I159" s="5">
        <f>-(MIN(MAX(0,I157-H158),$B$61)*$B$60+MAX(0,MAX(0,I157-H158)-$B$61)*$B$59)</f>
        <v/>
      </c>
      <c r="J159" s="5">
        <f>-(MIN(MAX(0,J157-I158),$B$61)*$B$60+MAX(0,MAX(0,J157-I158)-$B$61)*$B$59)</f>
        <v/>
      </c>
      <c r="K159" s="5">
        <f>-(MIN(MAX(0,K157-J158),$B$61)*$B$60+MAX(0,MAX(0,K157-J158)-$B$61)*$B$59)</f>
        <v/>
      </c>
      <c r="L159" s="5">
        <f>-(MIN(MAX(0,L157-K158),$B$61)*$B$60+MAX(0,MAX(0,L157-K158)-$B$61)*$B$59)</f>
        <v/>
      </c>
    </row>
    <row r="160">
      <c r="A160" s="4" t="inlineStr">
        <is>
          <t>Résultat net</t>
        </is>
      </c>
      <c r="B160" s="18">
        <f>SUM(C160:L160)</f>
        <v/>
      </c>
      <c r="C160" s="18">
        <f>C157+C159</f>
        <v/>
      </c>
      <c r="D160" s="18">
        <f>D157+D159</f>
        <v/>
      </c>
      <c r="E160" s="18">
        <f>E157+E159</f>
        <v/>
      </c>
      <c r="F160" s="18">
        <f>F157+F159</f>
        <v/>
      </c>
      <c r="G160" s="18">
        <f>G157+G159</f>
        <v/>
      </c>
      <c r="H160" s="18">
        <f>H157+H159</f>
        <v/>
      </c>
      <c r="I160" s="18">
        <f>I157+I159</f>
        <v/>
      </c>
      <c r="J160" s="18">
        <f>J157+J159</f>
        <v/>
      </c>
      <c r="K160" s="18">
        <f>K157+K159</f>
        <v/>
      </c>
      <c r="L160" s="18">
        <f>L157+L159</f>
        <v/>
      </c>
    </row>
    <row r="162">
      <c r="A162" s="4" t="inlineStr">
        <is>
          <t>Tableau des flux de trésorerie</t>
        </is>
      </c>
    </row>
    <row r="163">
      <c r="A163" t="inlineStr">
        <is>
          <t>BFR (niveau)</t>
        </is>
      </c>
      <c r="C163" s="5">
        <f>C111*$B$58</f>
        <v/>
      </c>
      <c r="D163" s="5">
        <f>D111*$B$58</f>
        <v/>
      </c>
      <c r="E163" s="5">
        <f>E111*$B$58</f>
        <v/>
      </c>
      <c r="F163" s="5">
        <f>F111*$B$58</f>
        <v/>
      </c>
      <c r="G163" s="5">
        <f>G111*$B$58</f>
        <v/>
      </c>
      <c r="H163" s="5">
        <f>H111*$B$58</f>
        <v/>
      </c>
      <c r="I163" s="5">
        <f>I111*$B$58</f>
        <v/>
      </c>
      <c r="J163" s="5">
        <f>J111*$B$58</f>
        <v/>
      </c>
      <c r="K163" s="5">
        <f>K111*$B$58</f>
        <v/>
      </c>
      <c r="L163" s="5">
        <f>L111*$B$58</f>
        <v/>
      </c>
    </row>
    <row r="164">
      <c r="A164" t="inlineStr">
        <is>
          <t>Variation du BFR</t>
        </is>
      </c>
      <c r="B164" s="5">
        <f>SUM(C164:L164)</f>
        <v/>
      </c>
      <c r="C164" s="5">
        <f>-C163</f>
        <v/>
      </c>
      <c r="D164" s="5">
        <f>-(D163-C163)</f>
        <v/>
      </c>
      <c r="E164" s="5">
        <f>-(E163-D163)</f>
        <v/>
      </c>
      <c r="F164" s="5">
        <f>-(F163-E163)</f>
        <v/>
      </c>
      <c r="G164" s="5">
        <f>-(G163-F163)</f>
        <v/>
      </c>
      <c r="H164" s="5">
        <f>-(H163-G163)</f>
        <v/>
      </c>
      <c r="I164" s="5">
        <f>-(I163-H163)</f>
        <v/>
      </c>
      <c r="J164" s="5">
        <f>-(J163-I163)</f>
        <v/>
      </c>
      <c r="K164" s="5">
        <f>-(K163-J163)</f>
        <v/>
      </c>
      <c r="L164" s="5">
        <f>-(L163-K163)</f>
        <v/>
      </c>
    </row>
    <row r="165">
      <c r="A165" s="4" t="inlineStr">
        <is>
          <t>Flux d'exploitation (EBITDA + loyer privé − IS − ΔBFR)</t>
        </is>
      </c>
      <c r="B165" s="18">
        <f>SUM(C165:L165)</f>
        <v/>
      </c>
      <c r="C165" s="18">
        <f>C130+C131+C159+C164</f>
        <v/>
      </c>
      <c r="D165" s="18">
        <f>D130+D131+D159+D164</f>
        <v/>
      </c>
      <c r="E165" s="18">
        <f>E130+E131+E159+E164</f>
        <v/>
      </c>
      <c r="F165" s="18">
        <f>F130+F131+F159+F164</f>
        <v/>
      </c>
      <c r="G165" s="18">
        <f>G130+G131+G159+G164</f>
        <v/>
      </c>
      <c r="H165" s="18">
        <f>H130+H131+H159+H164</f>
        <v/>
      </c>
      <c r="I165" s="18">
        <f>I130+I131+I159+I164</f>
        <v/>
      </c>
      <c r="J165" s="18">
        <f>J130+J131+J159+J164</f>
        <v/>
      </c>
      <c r="K165" s="18">
        <f>K130+K131+K159+K164</f>
        <v/>
      </c>
      <c r="L165" s="18">
        <f>L130+L131+L159+L164</f>
        <v/>
      </c>
    </row>
    <row r="166">
      <c r="A166" s="4" t="inlineStr">
        <is>
          <t>Flux d'investissement</t>
        </is>
      </c>
      <c r="B166" s="18">
        <f>SUM(C166:L166)</f>
        <v/>
      </c>
      <c r="C166" s="18">
        <f>-(C135+C133+C136)</f>
        <v/>
      </c>
      <c r="D166" s="18">
        <f>-(D135+D133+D136)</f>
        <v/>
      </c>
      <c r="E166" s="18">
        <f>-(E135+E133+E136)</f>
        <v/>
      </c>
      <c r="F166" s="18">
        <f>-(F135+F133+F136)</f>
        <v/>
      </c>
      <c r="G166" s="18">
        <f>-(G135+G133+G136)</f>
        <v/>
      </c>
      <c r="H166" s="18">
        <f>-(H135+H133+H136)</f>
        <v/>
      </c>
      <c r="I166" s="18">
        <f>-(I135+I133+I136)</f>
        <v/>
      </c>
      <c r="J166" s="18">
        <f>-(J135+J133+J136)</f>
        <v/>
      </c>
      <c r="K166" s="18">
        <f>-(K135+K133+K136)</f>
        <v/>
      </c>
      <c r="L166" s="18">
        <f>-(L135+L133+L136)</f>
        <v/>
      </c>
    </row>
    <row r="167">
      <c r="A167" t="inlineStr">
        <is>
          <t xml:space="preserve">  Apports en fonds propres + subventions</t>
        </is>
      </c>
      <c r="B167" s="5">
        <f>SUM(C167:L167)</f>
        <v/>
      </c>
      <c r="C167" s="5">
        <f>IF(C$92=1,$B$23,0)+IF(C$92=$B$5,$B$24*(1-$B$49)+$B$26,0)</f>
        <v/>
      </c>
      <c r="D167" s="5">
        <f>IF(D$92=1,$B$23,0)+IF(D$92=$B$5,$B$24*(1-$B$49)+$B$26,0)</f>
        <v/>
      </c>
      <c r="E167" s="5">
        <f>IF(E$92=1,$B$23,0)+IF(E$92=$B$5,$B$24*(1-$B$49)+$B$26,0)</f>
        <v/>
      </c>
      <c r="F167" s="5">
        <f>IF(F$92=1,$B$23,0)+IF(F$92=$B$5,$B$24*(1-$B$49)+$B$26,0)</f>
        <v/>
      </c>
      <c r="G167" s="5">
        <f>IF(G$92=1,$B$23,0)+IF(G$92=$B$5,$B$24*(1-$B$49)+$B$26,0)</f>
        <v/>
      </c>
      <c r="H167" s="5">
        <f>IF(H$92=1,$B$23,0)+IF(H$92=$B$5,$B$24*(1-$B$49)+$B$26,0)</f>
        <v/>
      </c>
      <c r="I167" s="5">
        <f>IF(I$92=1,$B$23,0)+IF(I$92=$B$5,$B$24*(1-$B$49)+$B$26,0)</f>
        <v/>
      </c>
      <c r="J167" s="5">
        <f>IF(J$92=1,$B$23,0)+IF(J$92=$B$5,$B$24*(1-$B$49)+$B$26,0)</f>
        <v/>
      </c>
      <c r="K167" s="5">
        <f>IF(K$92=1,$B$23,0)+IF(K$92=$B$5,$B$24*(1-$B$49)+$B$26,0)</f>
        <v/>
      </c>
      <c r="L167" s="5">
        <f>IF(L$92=1,$B$23,0)+IF(L$92=$B$5,$B$24*(1-$B$49)+$B$26,0)</f>
        <v/>
      </c>
    </row>
    <row r="168">
      <c r="A168" t="inlineStr">
        <is>
          <t xml:space="preserve">  Tirages dette + crédit-vendeur + obligations</t>
        </is>
      </c>
      <c r="B168" s="5">
        <f>SUM(C168:L168)</f>
        <v/>
      </c>
      <c r="C168" s="5">
        <f>IF(C$92=$B$5,$B$27+$B$31+$B$34,0)</f>
        <v/>
      </c>
      <c r="D168" s="5">
        <f>IF(D$92=$B$5,$B$27+$B$31+$B$34,0)</f>
        <v/>
      </c>
      <c r="E168" s="5">
        <f>IF(E$92=$B$5,$B$27+$B$31+$B$34,0)</f>
        <v/>
      </c>
      <c r="F168" s="5">
        <f>IF(F$92=$B$5,$B$27+$B$31+$B$34,0)</f>
        <v/>
      </c>
      <c r="G168" s="5">
        <f>IF(G$92=$B$5,$B$27+$B$31+$B$34,0)</f>
        <v/>
      </c>
      <c r="H168" s="5">
        <f>IF(H$92=$B$5,$B$27+$B$31+$B$34,0)</f>
        <v/>
      </c>
      <c r="I168" s="5">
        <f>IF(I$92=$B$5,$B$27+$B$31+$B$34,0)</f>
        <v/>
      </c>
      <c r="J168" s="5">
        <f>IF(J$92=$B$5,$B$27+$B$31+$B$34,0)</f>
        <v/>
      </c>
      <c r="K168" s="5">
        <f>IF(K$92=$B$5,$B$27+$B$31+$B$34,0)</f>
        <v/>
      </c>
      <c r="L168" s="5">
        <f>IF(L$92=$B$5,$B$27+$B$31+$B$34,0)</f>
        <v/>
      </c>
    </row>
    <row r="169">
      <c r="A169" t="inlineStr">
        <is>
          <t xml:space="preserve">  Service de la dette (intérêts + capital + coupons + rembt obligations)</t>
        </is>
      </c>
      <c r="B169" s="5">
        <f>SUM(C169:L169)</f>
        <v/>
      </c>
      <c r="C169" s="5">
        <f>-(C145+C146+C149+C150+C153+C154)</f>
        <v/>
      </c>
      <c r="D169" s="5">
        <f>-(D145+D146+D149+D150+D153+D154)</f>
        <v/>
      </c>
      <c r="E169" s="5">
        <f>-(E145+E146+E149+E150+E153+E154)</f>
        <v/>
      </c>
      <c r="F169" s="5">
        <f>-(F145+F146+F149+F150+F153+F154)</f>
        <v/>
      </c>
      <c r="G169" s="5">
        <f>-(G145+G146+G149+G150+G153+G154)</f>
        <v/>
      </c>
      <c r="H169" s="5">
        <f>-(H145+H146+H149+H150+H153+H154)</f>
        <v/>
      </c>
      <c r="I169" s="5">
        <f>-(I145+I146+I149+I150+I153+I154)</f>
        <v/>
      </c>
      <c r="J169" s="5">
        <f>-(J145+J146+J149+J150+J153+J154)</f>
        <v/>
      </c>
      <c r="K169" s="5">
        <f>-(K145+K146+K149+K150+K153+K154)</f>
        <v/>
      </c>
      <c r="L169" s="5">
        <f>-(L145+L146+L149+L150+L153+L154)</f>
        <v/>
      </c>
    </row>
    <row r="170">
      <c r="A170" s="4" t="inlineStr">
        <is>
          <t>Flux de financement</t>
        </is>
      </c>
      <c r="B170" s="18">
        <f>SUM(C170:L170)</f>
        <v/>
      </c>
      <c r="C170" s="18">
        <f>C167+C168+C169</f>
        <v/>
      </c>
      <c r="D170" s="18">
        <f>D167+D168+D169</f>
        <v/>
      </c>
      <c r="E170" s="18">
        <f>E167+E168+E169</f>
        <v/>
      </c>
      <c r="F170" s="18">
        <f>F167+F168+F169</f>
        <v/>
      </c>
      <c r="G170" s="18">
        <f>G167+G168+G169</f>
        <v/>
      </c>
      <c r="H170" s="18">
        <f>H167+H168+H169</f>
        <v/>
      </c>
      <c r="I170" s="18">
        <f>I167+I168+I169</f>
        <v/>
      </c>
      <c r="J170" s="18">
        <f>J167+J168+J169</f>
        <v/>
      </c>
      <c r="K170" s="18">
        <f>K167+K168+K169</f>
        <v/>
      </c>
      <c r="L170" s="18">
        <f>L167+L168+L169</f>
        <v/>
      </c>
    </row>
    <row r="171">
      <c r="A171" s="4" t="inlineStr">
        <is>
          <t>Variation de trésorerie</t>
        </is>
      </c>
      <c r="B171" s="18">
        <f>SUM(C171:L171)</f>
        <v/>
      </c>
      <c r="C171" s="18">
        <f>C165+C166+C170</f>
        <v/>
      </c>
      <c r="D171" s="18">
        <f>D165+D166+D170</f>
        <v/>
      </c>
      <c r="E171" s="18">
        <f>E165+E166+E170</f>
        <v/>
      </c>
      <c r="F171" s="18">
        <f>F165+F166+F170</f>
        <v/>
      </c>
      <c r="G171" s="18">
        <f>G165+G166+G170</f>
        <v/>
      </c>
      <c r="H171" s="18">
        <f>H165+H166+H170</f>
        <v/>
      </c>
      <c r="I171" s="18">
        <f>I165+I166+I170</f>
        <v/>
      </c>
      <c r="J171" s="18">
        <f>J165+J166+J170</f>
        <v/>
      </c>
      <c r="K171" s="18">
        <f>K165+K166+K170</f>
        <v/>
      </c>
      <c r="L171" s="18">
        <f>L165+L166+L170</f>
        <v/>
      </c>
    </row>
    <row r="172">
      <c r="A172" s="4" t="inlineStr">
        <is>
          <t>Trésorerie fin d'année</t>
        </is>
      </c>
      <c r="C172" s="18">
        <f>C171</f>
        <v/>
      </c>
      <c r="D172" s="18">
        <f>C172+D171</f>
        <v/>
      </c>
      <c r="E172" s="18">
        <f>D172+E171</f>
        <v/>
      </c>
      <c r="F172" s="18">
        <f>E172+F171</f>
        <v/>
      </c>
      <c r="G172" s="18">
        <f>F172+G171</f>
        <v/>
      </c>
      <c r="H172" s="18">
        <f>G172+H171</f>
        <v/>
      </c>
      <c r="I172" s="18">
        <f>H172+I171</f>
        <v/>
      </c>
      <c r="J172" s="18">
        <f>I172+J171</f>
        <v/>
      </c>
      <c r="K172" s="18">
        <f>J172+K171</f>
        <v/>
      </c>
      <c r="L172" s="18">
        <f>K172+L171</f>
        <v/>
      </c>
    </row>
    <row r="173">
      <c r="A173" t="inlineStr">
        <is>
          <t>Cash-flow libre d'exploitation (CFO − gros entretien − service dette hors obligations in fine)</t>
        </is>
      </c>
      <c r="B173" s="5">
        <f>SUM(C173:L173)</f>
        <v/>
      </c>
      <c r="C173" s="5">
        <f>C165-C136-(C145+C146+C149+C150+C153)</f>
        <v/>
      </c>
      <c r="D173" s="5">
        <f>D165-D136-(D145+D146+D149+D150+D153)</f>
        <v/>
      </c>
      <c r="E173" s="5">
        <f>E165-E136-(E145+E146+E149+E150+E153)</f>
        <v/>
      </c>
      <c r="F173" s="5">
        <f>F165-F136-(F145+F146+F149+F150+F153)</f>
        <v/>
      </c>
      <c r="G173" s="5">
        <f>G165-G136-(G145+G146+G149+G150+G153)</f>
        <v/>
      </c>
      <c r="H173" s="5">
        <f>H165-H136-(H145+H146+H149+H150+H153)</f>
        <v/>
      </c>
      <c r="I173" s="5">
        <f>I165-I136-(I145+I146+I149+I150+I153)</f>
        <v/>
      </c>
      <c r="J173" s="5">
        <f>J165-J136-(J145+J146+J149+J150+J153)</f>
        <v/>
      </c>
      <c r="K173" s="5">
        <f>K165-K136-(K145+K146+K149+K150+K153)</f>
        <v/>
      </c>
      <c r="L173" s="5">
        <f>L165-L136-(L145+L146+L149+L150+L153)</f>
        <v/>
      </c>
    </row>
    <row r="174">
      <c r="A174" t="inlineStr">
        <is>
          <t>DSCR ((EBITDA + loyer privé − IS − gros entretien) / service de la dette)</t>
        </is>
      </c>
      <c r="C174" s="7">
        <f>IF((C145+C146+C149+C150+C153)=0,"",(C130+C131+C159-C136)/(C145+C146+C149+C150+C153))</f>
        <v/>
      </c>
      <c r="D174" s="7">
        <f>IF((D145+D146+D149+D150+D153)=0,"",(D130+D131+D159-D136)/(D145+D146+D149+D150+D153))</f>
        <v/>
      </c>
      <c r="E174" s="7">
        <f>IF((E145+E146+E149+E150+E153)=0,"",(E130+E131+E159-E136)/(E145+E146+E149+E150+E153))</f>
        <v/>
      </c>
      <c r="F174" s="7">
        <f>IF((F145+F146+F149+F150+F153)=0,"",(F130+F131+F159-F136)/(F145+F146+F149+F150+F153))</f>
        <v/>
      </c>
      <c r="G174" s="7">
        <f>IF((G145+G146+G149+G150+G153)=0,"",(G130+G131+G159-G136)/(G145+G146+G149+G150+G153))</f>
        <v/>
      </c>
      <c r="H174" s="7">
        <f>IF((H145+H146+H149+H150+H153)=0,"",(H130+H131+H159-H136)/(H145+H146+H149+H150+H153))</f>
        <v/>
      </c>
      <c r="I174" s="7">
        <f>IF((I145+I146+I149+I150+I153)=0,"",(I130+I131+I159-I136)/(I145+I146+I149+I150+I153))</f>
        <v/>
      </c>
      <c r="J174" s="7">
        <f>IF((J145+J146+J149+J150+J153)=0,"",(J130+J131+J159-J136)/(J145+J146+J149+J150+J153))</f>
        <v/>
      </c>
      <c r="K174" s="7">
        <f>IF((K145+K146+K149+K150+K153)=0,"",(K130+K131+K159-K136)/(K145+K146+K149+K150+K153))</f>
        <v/>
      </c>
      <c r="L174" s="7">
        <f>IF((L145+L146+L149+L150+L153)=0,"",(L130+L131+L159-L136)/(L145+L146+L149+L150+L153))</f>
        <v/>
      </c>
    </row>
    <row r="176">
      <c r="A176" s="4" t="inlineStr">
        <is>
          <t>Rentabilité des investisseurs et contrôle</t>
        </is>
      </c>
    </row>
    <row r="177">
      <c r="A177" t="inlineStr">
        <is>
          <t>Dettes financières totales fin d'année</t>
        </is>
      </c>
      <c r="C177" s="5">
        <f>C147+C151+C152-C154</f>
        <v/>
      </c>
      <c r="D177" s="5">
        <f>D147+D151+D152-D154</f>
        <v/>
      </c>
      <c r="E177" s="5">
        <f>E147+E151+E152-E154</f>
        <v/>
      </c>
      <c r="F177" s="5">
        <f>F147+F151+F152-F154</f>
        <v/>
      </c>
      <c r="G177" s="5">
        <f>G147+G151+G152-G154</f>
        <v/>
      </c>
      <c r="H177" s="5">
        <f>H147+H151+H152-H154</f>
        <v/>
      </c>
      <c r="I177" s="5">
        <f>I147+I151+I152-I154</f>
        <v/>
      </c>
      <c r="J177" s="5">
        <f>J147+J151+J152-J154</f>
        <v/>
      </c>
      <c r="K177" s="5">
        <f>K147+K151+K152-K154</f>
        <v/>
      </c>
      <c r="L177" s="5">
        <f>L147+L151+L152-L154</f>
        <v/>
      </c>
    </row>
    <row r="178">
      <c r="A178" t="inlineStr">
        <is>
          <t>Valeur estimée de l'actif (si cédé cette année)</t>
        </is>
      </c>
      <c r="C178" s="5">
        <f>C98*($B$7+C134)*$B$17*(1-$B$19)</f>
        <v/>
      </c>
      <c r="D178" s="5">
        <f>D98*($B$7+D134)*$B$17*(1-$B$19)</f>
        <v/>
      </c>
      <c r="E178" s="5">
        <f>E98*($B$7+E134)*$B$17*(1-$B$19)</f>
        <v/>
      </c>
      <c r="F178" s="5">
        <f>F98*($B$7+F134)*$B$17*(1-$B$19)</f>
        <v/>
      </c>
      <c r="G178" s="5">
        <f>G98*($B$7+G134)*$B$17*(1-$B$19)</f>
        <v/>
      </c>
      <c r="H178" s="5">
        <f>H98*($B$7+H134)*$B$17*(1-$B$19)</f>
        <v/>
      </c>
      <c r="I178" s="5">
        <f>I98*($B$7+I134)*$B$17*(1-$B$19)</f>
        <v/>
      </c>
      <c r="J178" s="5">
        <f>J98*($B$7+J134)*$B$17*(1-$B$19)</f>
        <v/>
      </c>
      <c r="K178" s="5">
        <f>K98*($B$7+K134)*$B$17*(1-$B$19)</f>
        <v/>
      </c>
      <c r="L178" s="5">
        <f>L98*($B$7+L134)*$B$17*(1-$B$19)</f>
        <v/>
      </c>
    </row>
    <row r="179">
      <c r="A179" t="inlineStr">
        <is>
          <t>Valeur des fonds propres (actif + trésorerie − dettes)</t>
        </is>
      </c>
      <c r="C179" s="5">
        <f>C178+C172-C177</f>
        <v/>
      </c>
      <c r="D179" s="5">
        <f>D178+D172-D177</f>
        <v/>
      </c>
      <c r="E179" s="5">
        <f>E178+E172-E177</f>
        <v/>
      </c>
      <c r="F179" s="5">
        <f>F178+F172-F177</f>
        <v/>
      </c>
      <c r="G179" s="5">
        <f>G178+G172-G177</f>
        <v/>
      </c>
      <c r="H179" s="5">
        <f>H178+H172-H177</f>
        <v/>
      </c>
      <c r="I179" s="5">
        <f>I178+I172-I177</f>
        <v/>
      </c>
      <c r="J179" s="5">
        <f>J178+J172-J177</f>
        <v/>
      </c>
      <c r="K179" s="5">
        <f>K178+K172-K177</f>
        <v/>
      </c>
      <c r="L179" s="5">
        <f>L178+L172-L177</f>
        <v/>
      </c>
    </row>
    <row r="180">
      <c r="A180" t="inlineStr">
        <is>
          <t>Flux des investisseurs (entrée an d'acq., sortie an 10)</t>
        </is>
      </c>
      <c r="B180" s="5">
        <f>SUM(C180:L180)</f>
        <v/>
      </c>
      <c r="C180" s="5">
        <f>-IF(C$92=$B$5,$B$24*(1-$B$49)*(1-$B$25),0)</f>
        <v/>
      </c>
      <c r="D180" s="5">
        <f>-IF(D$92=$B$5,$B$24*(1-$B$49)*(1-$B$25),0)</f>
        <v/>
      </c>
      <c r="E180" s="5">
        <f>-IF(E$92=$B$5,$B$24*(1-$B$49)*(1-$B$25),0)</f>
        <v/>
      </c>
      <c r="F180" s="5">
        <f>-IF(F$92=$B$5,$B$24*(1-$B$49)*(1-$B$25),0)</f>
        <v/>
      </c>
      <c r="G180" s="5">
        <f>-IF(G$92=$B$5,$B$24*(1-$B$49)*(1-$B$25),0)</f>
        <v/>
      </c>
      <c r="H180" s="5">
        <f>-IF(H$92=$B$5,$B$24*(1-$B$49)*(1-$B$25),0)</f>
        <v/>
      </c>
      <c r="I180" s="5">
        <f>-IF(I$92=$B$5,$B$24*(1-$B$49)*(1-$B$25),0)</f>
        <v/>
      </c>
      <c r="J180" s="5">
        <f>-IF(J$92=$B$5,$B$24*(1-$B$49)*(1-$B$25),0)</f>
        <v/>
      </c>
      <c r="K180" s="5">
        <f>-IF(K$92=$B$5,$B$24*(1-$B$49)*(1-$B$25),0)</f>
        <v/>
      </c>
      <c r="L180" s="5">
        <f>-IF(L$92=$B$5,$B$24*(1-$B$49)*(1-$B$25),0)+MAX(0,L179)*(1-$B$42)</f>
        <v/>
      </c>
    </row>
    <row r="181">
      <c r="A181" t="inlineStr">
        <is>
          <t>Flux du fondateur et de sa holding (apports, sortie théorique an 10)</t>
        </is>
      </c>
      <c r="B181" s="5">
        <f>SUM(C181:L181)</f>
        <v/>
      </c>
      <c r="C181" s="5">
        <f>-IF(C$92=1,$B$23,0)-IF(C$92=$B$5,$B$24*(1-$B$49)*$B$25,0)</f>
        <v/>
      </c>
      <c r="D181" s="5">
        <f>-IF(D$92=1,$B$23,0)-IF(D$92=$B$5,$B$24*(1-$B$49)*$B$25,0)</f>
        <v/>
      </c>
      <c r="E181" s="5">
        <f>-IF(E$92=1,$B$23,0)-IF(E$92=$B$5,$B$24*(1-$B$49)*$B$25,0)</f>
        <v/>
      </c>
      <c r="F181" s="5">
        <f>-IF(F$92=1,$B$23,0)-IF(F$92=$B$5,$B$24*(1-$B$49)*$B$25,0)</f>
        <v/>
      </c>
      <c r="G181" s="5">
        <f>-IF(G$92=1,$B$23,0)-IF(G$92=$B$5,$B$24*(1-$B$49)*$B$25,0)</f>
        <v/>
      </c>
      <c r="H181" s="5">
        <f>-IF(H$92=1,$B$23,0)-IF(H$92=$B$5,$B$24*(1-$B$49)*$B$25,0)</f>
        <v/>
      </c>
      <c r="I181" s="5">
        <f>-IF(I$92=1,$B$23,0)-IF(I$92=$B$5,$B$24*(1-$B$49)*$B$25,0)</f>
        <v/>
      </c>
      <c r="J181" s="5">
        <f>-IF(J$92=1,$B$23,0)-IF(J$92=$B$5,$B$24*(1-$B$49)*$B$25,0)</f>
        <v/>
      </c>
      <c r="K181" s="5">
        <f>-IF(K$92=1,$B$23,0)-IF(K$92=$B$5,$B$24*(1-$B$49)*$B$25,0)</f>
        <v/>
      </c>
      <c r="L181" s="5">
        <f>-IF(L$92=1,$B$23,0)-IF(L$92=$B$5,$B$24*(1-$B$49)*$B$25,0)+MAX(0,L179)*$B$42</f>
        <v/>
      </c>
    </row>
    <row r="183">
      <c r="A183" s="10" t="inlineStr">
        <is>
          <t>8. Indicateurs clés</t>
        </is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t="inlineStr">
        <is>
          <t>Emplois totaux (acq. + frais + travaux initiaux)</t>
        </is>
      </c>
      <c r="B184" s="18">
        <f>$B$7*(1+$B$8)+SUM(C133:L133)</f>
        <v/>
      </c>
    </row>
    <row r="185">
      <c r="A185" t="inlineStr">
        <is>
          <t>Ressources externes et apports prévus</t>
        </is>
      </c>
      <c r="B185" s="18">
        <f>$B$23+$B$24*(1-$B$49)+$B$26+$B$27+$B$31+$B$34</f>
        <v/>
      </c>
    </row>
    <row r="186">
      <c r="A186" t="inlineStr">
        <is>
          <t>CA année 5</t>
        </is>
      </c>
      <c r="B186" s="18">
        <f>G111</f>
        <v/>
      </c>
    </row>
    <row r="187">
      <c r="A187" t="inlineStr">
        <is>
          <t>EBITDA année 5</t>
        </is>
      </c>
      <c r="B187" s="18">
        <f>G130</f>
        <v/>
      </c>
    </row>
    <row r="188">
      <c r="A188" t="inlineStr">
        <is>
          <t>EBITDA année 10</t>
        </is>
      </c>
      <c r="B188" s="18">
        <f>L130</f>
        <v/>
      </c>
    </row>
    <row r="189">
      <c r="A189" t="inlineStr">
        <is>
          <t>Part équestre du CA année 5</t>
        </is>
      </c>
      <c r="B189" s="14">
        <f>G113</f>
        <v/>
      </c>
    </row>
    <row r="190">
      <c r="A190" t="inlineStr">
        <is>
          <t>Trésorerie minimale sur 10 ans</t>
        </is>
      </c>
      <c r="B190" s="18">
        <f>MIN(C172:L172)</f>
        <v/>
      </c>
    </row>
    <row r="191">
      <c r="A191" t="inlineStr">
        <is>
          <t>Trésorerie fin année 10</t>
        </is>
      </c>
      <c r="B191" s="18">
        <f>L172</f>
        <v/>
      </c>
    </row>
    <row r="192">
      <c r="A192" t="inlineStr">
        <is>
          <t>DSCR minimal (à partir de la 2e année d'exploitation)</t>
        </is>
      </c>
      <c r="B192" s="19">
        <f>IF(COUNTIFS(C174:L174,"&gt;-1E+300",C94:L94,"&gt;=2")=0,"n/a",_xlfn.MINIFS(C174:L174,C94:L94,"&gt;=2"))</f>
        <v/>
      </c>
    </row>
    <row r="193">
      <c r="A193" t="inlineStr">
        <is>
          <t>Nb d'années à cash-flow libre d'exploitation négatif (à partir de la 2e année d'exploitation)</t>
        </is>
      </c>
      <c r="B193" s="20">
        <f>COUNTIFS(C173:L173,"&lt;0",C94:L94,"&gt;=2")</f>
        <v/>
      </c>
    </row>
    <row r="194">
      <c r="A194" t="inlineStr">
        <is>
          <t>TRI investisseurs (sortie théorique an 10)</t>
        </is>
      </c>
      <c r="B194" s="14">
        <f>IF($B$24*(1-$B$25)=0,"sans objet",IFERROR(IRR(C180:L180,-0.05),"perte quasi totale (TRI non calculable)"))</f>
        <v/>
      </c>
    </row>
    <row r="195">
      <c r="A195" t="inlineStr">
        <is>
          <t>TRI fondateur (sortie théorique an 10)</t>
        </is>
      </c>
      <c r="B195" s="14">
        <f>IFERROR(IRR(C181:L181,-0.05),"perte quasi totale (TRI non calculable)")</f>
        <v/>
      </c>
    </row>
    <row r="196">
      <c r="A196" t="inlineStr">
        <is>
          <t>Dette bancaire soutenable estimée (DSCR 1,2 sur (EBITDA − IS − gros entretien) an 10, hors loyer privé ; taux et durée du scénario)</t>
        </is>
      </c>
      <c r="B196" s="18">
        <f>MAX(0,PV($B$28,$B$29,-(L130+L159-L136)/1.2))</f>
        <v/>
      </c>
    </row>
    <row r="197">
      <c r="A197" t="inlineStr">
        <is>
          <t>Fonds propres nécessaires (emplois + réserve + pertes d'exploitation cumulées − dette soutenable)</t>
        </is>
      </c>
      <c r="B197" s="18">
        <f>$B$7*(1+$B$8)+SUM(C133:L133)+$B$39-SUMIF(C165:L165,"&lt;0")-$B$196</f>
        <v/>
      </c>
    </row>
    <row r="198">
      <c r="A198" t="inlineStr">
        <is>
          <t>Part du capital du fondateur</t>
        </is>
      </c>
      <c r="B198" s="14">
        <f>$B$42</f>
        <v/>
      </c>
    </row>
    <row r="199">
      <c r="A199" t="inlineStr">
        <is>
          <t>Droits de vote du fondateur</t>
        </is>
      </c>
      <c r="B199" s="14">
        <f>$B$38</f>
        <v/>
      </c>
    </row>
    <row r="200">
      <c r="A200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200" s="4">
        <f>IF($B$190&lt;0,"NON VIABLE (trésorerie négative)",IF(AND($B$191&gt;=$B$39,OR($B$192="n/a",$B$192&gt;=1.2),$B$193=0),IF(NOT(OR($B$194="sans objet",AND(ISNUMBER($B$194),N($B$194)&gt;=$B$40))),"FRAGILE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A — Château équestre « sport » — cas optimiste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350000</v>
      </c>
      <c r="C11" t="inlineStr">
        <is>
          <t>€</t>
        </is>
      </c>
      <c r="D11" t="inlineStr">
        <is>
          <t>EST : marcheur 35 k€, carrière 35 €/m², barn 200 €/m² (PL [A3 H19]) + 10 box supplémentaires</t>
        </is>
      </c>
    </row>
    <row r="12">
      <c r="A12" t="inlineStr">
        <is>
          <t>Investissements événementiel / hébergement</t>
        </is>
      </c>
      <c r="B12" s="12" t="n">
        <v>80000</v>
      </c>
      <c r="C12" t="inlineStr">
        <is>
          <t>€</t>
        </is>
      </c>
      <c r="D12" t="inlineStr">
        <is>
          <t>EST : salon de réception pour ventes privées, pas de salle ERP &gt; 50 pers.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0.6</v>
      </c>
      <c r="C53" t="inlineStr">
        <is>
          <t>%</t>
        </is>
      </c>
      <c r="D53" t="inlineStr">
        <is>
          <t>Cas optimiste</t>
        </is>
      </c>
    </row>
    <row r="54">
      <c r="A54" t="inlineStr">
        <is>
          <t>Montée en charge : 2e année</t>
        </is>
      </c>
      <c r="B54" s="13" t="n">
        <v>0.9</v>
      </c>
      <c r="C54" t="inlineStr">
        <is>
          <t>%</t>
        </is>
      </c>
      <c r="D54" t="inlineStr">
        <is>
          <t>Cas optimiste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Cas optimiste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travail (chevaux de sport, places occupées)</t>
        </is>
      </c>
      <c r="B65" s="15" t="n">
        <v>20.7</v>
      </c>
      <c r="C65" s="12" t="n">
        <v>6480</v>
      </c>
      <c r="D65" s="13" t="n">
        <v>0.29</v>
      </c>
      <c r="E65" s="16" t="n">
        <v>0</v>
      </c>
      <c r="F65" s="16" t="n">
        <v>1</v>
      </c>
      <c r="G65" t="inlineStr">
        <is>
          <t>PL : 600 € TTC/mois (médiane hors IdF 535 €, 3e quartile 612 €) [A3, recalcul A8] → 500 € HT à TVA 20 % (entraînement/valorisation) ; 20 places × 90 % ; coûts op. 1 729 €/an</t>
        </is>
      </c>
    </row>
    <row r="66">
      <c r="A66" t="inlineStr">
        <is>
          <t>Pension box premium (places occupées)</t>
        </is>
      </c>
      <c r="B66" s="15" t="n">
        <v>10.3</v>
      </c>
      <c r="C66" s="12" t="n">
        <v>6388</v>
      </c>
      <c r="D66" s="13" t="n">
        <v>0.2</v>
      </c>
      <c r="E66" s="16" t="n">
        <v>0</v>
      </c>
      <c r="F66" s="16" t="n">
        <v>1</v>
      </c>
      <c r="G66" t="inlineStr">
        <is>
          <t>Cf. B ; 10 places × 90 %</t>
        </is>
      </c>
    </row>
    <row r="67">
      <c r="A67" t="inlineStr">
        <is>
          <t>Pension au pré (places occupées)</t>
        </is>
      </c>
      <c r="B67" s="15" t="n">
        <v>16.1</v>
      </c>
      <c r="C67" s="12" t="n">
        <v>2825</v>
      </c>
      <c r="D67" s="13" t="n">
        <v>0.23</v>
      </c>
      <c r="E67" s="16" t="n">
        <v>0</v>
      </c>
      <c r="F67" s="16" t="n">
        <v>1</v>
      </c>
      <c r="G67" t="inlineStr">
        <is>
          <t>Cf. B ; 15 places × 92 %</t>
        </is>
      </c>
    </row>
    <row r="68">
      <c r="A68" t="inlineStr">
        <is>
          <t>Valorisation et vente de jeunes chevaux (marge nette par cheval vendu)</t>
        </is>
      </c>
      <c r="B68" s="15" t="n">
        <v>3.4</v>
      </c>
      <c r="C68" s="12" t="n">
        <v>10773</v>
      </c>
      <c r="D68" s="13" t="n">
        <v>0.1</v>
      </c>
      <c r="E68" s="16" t="n">
        <v>0</v>
      </c>
      <c r="F68" s="16" t="n">
        <v>1</v>
      </c>
      <c r="G68" t="inlineStr">
        <is>
          <t>PL : cas-type 2 chevaux/an, 36,75 k€ vendus − 16,8 k€ achetés [A3 §8] ; 3/an EST ; risque élevé</t>
        </is>
      </c>
    </row>
    <row r="69">
      <c r="A69" t="inlineStr">
        <is>
          <t>Organisation de concours (produit annuel)</t>
        </is>
      </c>
      <c r="B69" s="15" t="n">
        <v>1.1</v>
      </c>
      <c r="C69" s="12" t="n">
        <v>17362</v>
      </c>
      <c r="D69" s="13" t="n">
        <v>0.5</v>
      </c>
      <c r="E69" s="16" t="n">
        <v>1</v>
      </c>
      <c r="F69" s="16" t="n">
        <v>1</v>
      </c>
      <c r="G69" t="inlineStr">
        <is>
          <t>PL : produit moyen « organisation de concours » d'une pension travail 16 076 €/an [A3 §4] ; marge EST</t>
        </is>
      </c>
    </row>
    <row r="70">
      <c r="A70" t="inlineStr">
        <is>
          <t>Ventes privées / showcases B2B (soirées)</t>
        </is>
      </c>
      <c r="B70" s="15" t="n">
        <v>3.4</v>
      </c>
      <c r="C70" s="12" t="n">
        <v>3240</v>
      </c>
      <c r="D70" s="13" t="n">
        <v>0.4</v>
      </c>
      <c r="E70" s="16" t="n">
        <v>1</v>
      </c>
      <c r="F70" s="16" t="n">
        <v>1</v>
      </c>
      <c r="G70" t="inlineStr">
        <is>
          <t>INC : aucun tarif de location publié [A3 §8 n°10] ; EST</t>
        </is>
      </c>
    </row>
    <row r="71">
      <c r="A71" t="inlineStr">
        <is>
          <t>Gains de compétition</t>
        </is>
      </c>
      <c r="B71" s="15" t="n">
        <v>1.1</v>
      </c>
      <c r="C71" s="12" t="n">
        <v>13230</v>
      </c>
      <c r="D71" s="13" t="n">
        <v>0</v>
      </c>
      <c r="E71" s="16" t="n">
        <v>1</v>
      </c>
      <c r="F71" s="16" t="n">
        <v>1</v>
      </c>
      <c r="G71" t="inlineStr">
        <is>
          <t>PL : cas-type CSO 2025 12 250 € [A3 §4]</t>
        </is>
      </c>
    </row>
    <row r="72">
      <c r="A72" t="inlineStr">
        <is>
          <t>Gîte 15 couchages hors mariages (nuits)</t>
        </is>
      </c>
      <c r="B72" s="15" t="n">
        <v>105.8</v>
      </c>
      <c r="C72" s="12" t="n">
        <v>486</v>
      </c>
      <c r="D72" s="13" t="n">
        <v>0.45</v>
      </c>
      <c r="E72" s="16" t="n">
        <v>0</v>
      </c>
      <c r="F72" s="16" t="n">
        <v>0</v>
      </c>
      <c r="G72" t="inlineStr">
        <is>
          <t>PL : fourchettes de prix [A4 §4.2] ; 92 nuits EST (occupation annuelle ≈ 33 % observée en Normandie hors saison) [A4 §4.3]</t>
        </is>
      </c>
    </row>
    <row r="73">
      <c r="A73" t="inlineStr">
        <is>
          <t>Tournages / shootings (jours)</t>
        </is>
      </c>
      <c r="B73" s="15" t="n">
        <v>3.4</v>
      </c>
      <c r="C73" s="12" t="n">
        <v>2160</v>
      </c>
      <c r="D73" s="13" t="n">
        <v>0.15</v>
      </c>
      <c r="E73" s="16" t="n">
        <v>1</v>
      </c>
      <c r="F73" s="16" t="n">
        <v>0</v>
      </c>
      <c r="G73" t="inlineStr">
        <is>
          <t>PL : 1 500-4 000 €/jour [A4 §5] ; fréquence EST</t>
        </is>
      </c>
    </row>
    <row r="74">
      <c r="A74" t="inlineStr">
        <is>
          <t>Fermage / vente d'herbe (ha)</t>
        </is>
      </c>
      <c r="B74" s="15" t="n">
        <v>11.5</v>
      </c>
      <c r="C74" s="12" t="n">
        <v>162</v>
      </c>
      <c r="D74" s="13" t="n">
        <v>0</v>
      </c>
      <c r="E74" s="16" t="n">
        <v>0</v>
      </c>
      <c r="F74" s="16" t="n">
        <v>0</v>
      </c>
      <c r="G74" t="inlineStr">
        <is>
          <t>PL : arrêtés Orne/Calvados 2026-27 : 50-268 €/ha [A4 §8.2]</t>
        </is>
      </c>
    </row>
    <row r="76">
      <c r="A76" s="10" t="inlineStr">
        <is>
          <t>6. Charges fixes annuelles (euros de l'année d'ouverture)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4" t="inlineStr">
        <is>
          <t>Libellé</t>
        </is>
      </c>
      <c r="B77" s="4" t="inlineStr">
        <is>
          <t>Montant/an</t>
        </is>
      </c>
      <c r="C77" s="4" t="inlineStr">
        <is>
          <t>Dès l'acq. (1) / dès l'ouverture (0)</t>
        </is>
      </c>
      <c r="G77" s="4" t="inlineStr">
        <is>
          <t>Source / statut</t>
        </is>
      </c>
    </row>
    <row r="78">
      <c r="A78" t="inlineStr">
        <is>
          <t>Taxe foncière</t>
        </is>
      </c>
      <c r="B78" s="12" t="n">
        <v>5700</v>
      </c>
      <c r="C78" s="16" t="n">
        <v>1</v>
      </c>
      <c r="G78" t="inlineStr">
        <is>
          <t>EX : 2,6-4,0 k€ sur 3 annonces ; EST 4-8 k€ [A4 §11]</t>
        </is>
      </c>
    </row>
    <row r="79">
      <c r="A79" t="inlineStr">
        <is>
          <t>Assurance multirisque château</t>
        </is>
      </c>
      <c r="B79" s="12" t="n">
        <v>11400</v>
      </c>
      <c r="C79" s="16" t="n">
        <v>1</v>
      </c>
      <c r="G79" t="inlineStr">
        <is>
          <t>Correction audit : courtier spécialisé 15-30 k€ (fiabilité moyenne), annonces ≥ 2,5 k€ [A4 §11, A8] ; EST 12 k€</t>
        </is>
      </c>
    </row>
    <row r="80">
      <c r="A80" t="inlineStr">
        <is>
          <t>Énergie (chauffage partiel, électricité, eau)</t>
        </is>
      </c>
      <c r="B80" s="12" t="n">
        <v>19000</v>
      </c>
      <c r="C80" s="16" t="n">
        <v>1</v>
      </c>
      <c r="G80" t="inlineStr">
        <is>
          <t>PL : Meung, Louvignies ; EX annonce Montluçon 18-25 k€ [A1, A4 §11] ; EST</t>
        </is>
      </c>
    </row>
    <row r="81">
      <c r="A81" t="inlineStr">
        <is>
          <t>Jardinier / agent d'entretien (1 ETP au Smic chargé)</t>
        </is>
      </c>
      <c r="B81" s="12" t="n">
        <v>25650</v>
      </c>
      <c r="C81" s="16" t="n">
        <v>1</v>
      </c>
      <c r="G81" t="inlineStr">
        <is>
          <t>PL : Smic 2026 22 404 € brut/an [A4 §11] ; EST charges</t>
        </is>
      </c>
    </row>
    <row r="82">
      <c r="A82" t="inlineStr">
        <is>
          <t>Divers (abonnements, petit matériel, véhicule, honoraires)</t>
        </is>
      </c>
      <c r="B82" s="12" t="n">
        <v>7600</v>
      </c>
      <c r="C82" s="16" t="n">
        <v>1</v>
      </c>
      <c r="G82" t="inlineStr">
        <is>
          <t>EST</t>
        </is>
      </c>
    </row>
    <row r="83">
      <c r="A83" t="inlineStr">
        <is>
          <t>Cavalier professionnel / responsable d'écurie (chargé)</t>
        </is>
      </c>
      <c r="B83" s="12" t="n">
        <v>42750</v>
      </c>
      <c r="C83" s="16" t="n">
        <v>0</v>
      </c>
      <c r="G83" t="inlineStr">
        <is>
          <t>PL : grille 2 108-2 678 € brut (coef. 130-167) [A3 H15] ; EST charges</t>
        </is>
      </c>
    </row>
    <row r="84">
      <c r="A84" t="inlineStr">
        <is>
          <t>Soigneurs / cavaliers-soigneurs (2,5 ETP chargés)</t>
        </is>
      </c>
      <c r="B84" s="12" t="n">
        <v>74100</v>
      </c>
      <c r="C84" s="16" t="n">
        <v>0</v>
      </c>
      <c r="G84" t="inlineStr">
        <is>
          <t>PL [A3 H13-H14] ; 10 chevaux au travail / ETP ; ~45 équidés</t>
        </is>
      </c>
    </row>
    <row r="85">
      <c r="A85" t="inlineStr">
        <is>
          <t>Autres charges de structure équestres</t>
        </is>
      </c>
      <c r="B85" s="12" t="n">
        <v>33250</v>
      </c>
      <c r="C85" s="16" t="n">
        <v>0</v>
      </c>
      <c r="G85" t="inlineStr">
        <is>
          <t>EST : réf. structure pension travail 2 471 €/équidé [A3 §4] (salaires inclus) → calibrage</t>
        </is>
      </c>
    </row>
    <row r="86">
      <c r="A86" t="inlineStr">
        <is>
          <t>Coûts fixes du gîte</t>
        </is>
      </c>
      <c r="B86" s="12" t="n">
        <v>4180</v>
      </c>
      <c r="C86" s="16" t="n">
        <v>0</v>
      </c>
      <c r="G86" t="inlineStr">
        <is>
          <t>EST [A4 §13.1]</t>
        </is>
      </c>
    </row>
    <row r="87">
      <c r="A87" t="inlineStr">
        <is>
          <t>Commercial, site, salons</t>
        </is>
      </c>
      <c r="B87" s="12" t="n">
        <v>11400</v>
      </c>
      <c r="C87" s="16" t="n">
        <v>0</v>
      </c>
      <c r="G87" t="inlineStr">
        <is>
          <t>EST</t>
        </is>
      </c>
    </row>
    <row r="88">
      <c r="A88" t="inlineStr">
        <is>
          <t>Comptabilité, juridique, banque, logiciels</t>
        </is>
      </c>
      <c r="B88" s="12" t="n">
        <v>11400</v>
      </c>
      <c r="C88" s="16" t="n">
        <v>0</v>
      </c>
      <c r="G88" t="inlineStr">
        <is>
          <t>EST</t>
        </is>
      </c>
    </row>
    <row r="89">
      <c r="A89" t="inlineStr">
        <is>
          <t>Rémunération du dirigeant (chargée)</t>
        </is>
      </c>
      <c r="B89" s="12" t="n">
        <v>33250</v>
      </c>
      <c r="C89" s="16" t="n">
        <v>0</v>
      </c>
      <c r="G89" t="inlineStr">
        <is>
          <t>EST : minimum ; le dirigeant paie en plus 18 k€ de loyer privé</t>
        </is>
      </c>
    </row>
    <row r="91">
      <c r="A91" s="10" t="inlineStr">
        <is>
          <t>7. Calcul sur 10 ans</t>
        </is>
      </c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</row>
    <row r="92">
      <c r="A92" s="4" t="inlineStr">
        <is>
          <t>Année</t>
        </is>
      </c>
      <c r="B92" s="4" t="inlineStr">
        <is>
          <t>Total / réf.</t>
        </is>
      </c>
      <c r="C92" s="4" t="n">
        <v>1</v>
      </c>
      <c r="D92" s="4" t="n">
        <v>2</v>
      </c>
      <c r="E92" s="4" t="n">
        <v>3</v>
      </c>
      <c r="F92" s="4" t="n">
        <v>4</v>
      </c>
      <c r="G92" s="4" t="n">
        <v>5</v>
      </c>
      <c r="H92" s="4" t="n">
        <v>6</v>
      </c>
      <c r="I92" s="4" t="n">
        <v>7</v>
      </c>
      <c r="J92" s="4" t="n">
        <v>8</v>
      </c>
      <c r="K92" s="4" t="n">
        <v>9</v>
      </c>
      <c r="L92" s="4" t="n">
        <v>10</v>
      </c>
    </row>
    <row r="93">
      <c r="A93" t="inlineStr">
        <is>
          <t>Année d'ouverture effective</t>
        </is>
      </c>
      <c r="C93" s="8">
        <f>$B$6+$B$47</f>
        <v/>
      </c>
      <c r="D93" s="8">
        <f>$B$6+$B$47</f>
        <v/>
      </c>
      <c r="E93" s="8">
        <f>$B$6+$B$47</f>
        <v/>
      </c>
      <c r="F93" s="8">
        <f>$B$6+$B$47</f>
        <v/>
      </c>
      <c r="G93" s="8">
        <f>$B$6+$B$47</f>
        <v/>
      </c>
      <c r="H93" s="8">
        <f>$B$6+$B$47</f>
        <v/>
      </c>
      <c r="I93" s="8">
        <f>$B$6+$B$47</f>
        <v/>
      </c>
      <c r="J93" s="8">
        <f>$B$6+$B$47</f>
        <v/>
      </c>
      <c r="K93" s="8">
        <f>$B$6+$B$47</f>
        <v/>
      </c>
      <c r="L93" s="8">
        <f>$B$6+$B$47</f>
        <v/>
      </c>
    </row>
    <row r="94">
      <c r="A94" t="inlineStr">
        <is>
          <t>Rang de l'année d'exploitation</t>
        </is>
      </c>
      <c r="C94" s="8">
        <f>MAX(0,C$92-C93+1)</f>
        <v/>
      </c>
      <c r="D94" s="8">
        <f>MAX(0,D$92-D93+1)</f>
        <v/>
      </c>
      <c r="E94" s="8">
        <f>MAX(0,E$92-E93+1)</f>
        <v/>
      </c>
      <c r="F94" s="8">
        <f>MAX(0,F$92-F93+1)</f>
        <v/>
      </c>
      <c r="G94" s="8">
        <f>MAX(0,G$92-G93+1)</f>
        <v/>
      </c>
      <c r="H94" s="8">
        <f>MAX(0,H$92-H93+1)</f>
        <v/>
      </c>
      <c r="I94" s="8">
        <f>MAX(0,I$92-I93+1)</f>
        <v/>
      </c>
      <c r="J94" s="8">
        <f>MAX(0,J$92-J93+1)</f>
        <v/>
      </c>
      <c r="K94" s="8">
        <f>MAX(0,K$92-K93+1)</f>
        <v/>
      </c>
      <c r="L94" s="8">
        <f>MAX(0,L$92-L93+1)</f>
        <v/>
      </c>
    </row>
    <row r="95">
      <c r="A95" t="inlineStr">
        <is>
          <t>Coefficient de montée en charge</t>
        </is>
      </c>
      <c r="C95" s="6">
        <f>IF(C94=0,0,IF(C94=1,$B$53,IF(C94=2,$B$54,IF(C94=3,$B$55,1))))</f>
        <v/>
      </c>
      <c r="D95" s="6">
        <f>IF(D94=0,0,IF(D94=1,$B$53,IF(D94=2,$B$54,IF(D94=3,$B$55,1))))</f>
        <v/>
      </c>
      <c r="E95" s="6">
        <f>IF(E94=0,0,IF(E94=1,$B$53,IF(E94=2,$B$54,IF(E94=3,$B$55,1))))</f>
        <v/>
      </c>
      <c r="F95" s="6">
        <f>IF(F94=0,0,IF(F94=1,$B$53,IF(F94=2,$B$54,IF(F94=3,$B$55,1))))</f>
        <v/>
      </c>
      <c r="G95" s="6">
        <f>IF(G94=0,0,IF(G94=1,$B$53,IF(G94=2,$B$54,IF(G94=3,$B$55,1))))</f>
        <v/>
      </c>
      <c r="H95" s="6">
        <f>IF(H94=0,0,IF(H94=1,$B$53,IF(H94=2,$B$54,IF(H94=3,$B$55,1))))</f>
        <v/>
      </c>
      <c r="I95" s="6">
        <f>IF(I94=0,0,IF(I94=1,$B$53,IF(I94=2,$B$54,IF(I94=3,$B$55,1))))</f>
        <v/>
      </c>
      <c r="J95" s="6">
        <f>IF(J94=0,0,IF(J94=1,$B$53,IF(J94=2,$B$54,IF(J94=3,$B$55,1))))</f>
        <v/>
      </c>
      <c r="K95" s="6">
        <f>IF(K94=0,0,IF(K94=1,$B$53,IF(K94=2,$B$54,IF(K94=3,$B$55,1))))</f>
        <v/>
      </c>
      <c r="L95" s="6">
        <f>IF(L94=0,0,IF(L94=1,$B$53,IF(L94=2,$B$54,IF(L94=3,$B$55,1))))</f>
        <v/>
      </c>
    </row>
    <row r="96">
      <c r="A96" t="inlineStr">
        <is>
          <t>Indice prix</t>
        </is>
      </c>
      <c r="C96" s="17">
        <f>(1+$B$56)^(C$92-1)</f>
        <v/>
      </c>
      <c r="D96" s="17">
        <f>(1+$B$56)^(D$92-1)</f>
        <v/>
      </c>
      <c r="E96" s="17">
        <f>(1+$B$56)^(E$92-1)</f>
        <v/>
      </c>
      <c r="F96" s="17">
        <f>(1+$B$56)^(F$92-1)</f>
        <v/>
      </c>
      <c r="G96" s="17">
        <f>(1+$B$56)^(G$92-1)</f>
        <v/>
      </c>
      <c r="H96" s="17">
        <f>(1+$B$56)^(H$92-1)</f>
        <v/>
      </c>
      <c r="I96" s="17">
        <f>(1+$B$56)^(I$92-1)</f>
        <v/>
      </c>
      <c r="J96" s="17">
        <f>(1+$B$56)^(J$92-1)</f>
        <v/>
      </c>
      <c r="K96" s="17">
        <f>(1+$B$56)^(K$92-1)</f>
        <v/>
      </c>
      <c r="L96" s="17">
        <f>(1+$B$56)^(L$92-1)</f>
        <v/>
      </c>
    </row>
    <row r="97">
      <c r="A97" t="inlineStr">
        <is>
          <t>Indice charges</t>
        </is>
      </c>
      <c r="C97" s="17">
        <f>(1+$B$57)^(C$92-1)</f>
        <v/>
      </c>
      <c r="D97" s="17">
        <f>(1+$B$57)^(D$92-1)</f>
        <v/>
      </c>
      <c r="E97" s="17">
        <f>(1+$B$57)^(E$92-1)</f>
        <v/>
      </c>
      <c r="F97" s="17">
        <f>(1+$B$57)^(F$92-1)</f>
        <v/>
      </c>
      <c r="G97" s="17">
        <f>(1+$B$57)^(G$92-1)</f>
        <v/>
      </c>
      <c r="H97" s="17">
        <f>(1+$B$57)^(H$92-1)</f>
        <v/>
      </c>
      <c r="I97" s="17">
        <f>(1+$B$57)^(I$92-1)</f>
        <v/>
      </c>
      <c r="J97" s="17">
        <f>(1+$B$57)^(J$92-1)</f>
        <v/>
      </c>
      <c r="K97" s="17">
        <f>(1+$B$57)^(K$92-1)</f>
        <v/>
      </c>
      <c r="L97" s="17">
        <f>(1+$B$57)^(L$92-1)</f>
        <v/>
      </c>
    </row>
    <row r="98">
      <c r="A98" t="inlineStr">
        <is>
          <t>Murs détenus (1/0)</t>
        </is>
      </c>
      <c r="C98" s="8">
        <f>IF(C$92&gt;=$B$5,1,0)</f>
        <v/>
      </c>
      <c r="D98" s="8">
        <f>IF(D$92&gt;=$B$5,1,0)</f>
        <v/>
      </c>
      <c r="E98" s="8">
        <f>IF(E$92&gt;=$B$5,1,0)</f>
        <v/>
      </c>
      <c r="F98" s="8">
        <f>IF(F$92&gt;=$B$5,1,0)</f>
        <v/>
      </c>
      <c r="G98" s="8">
        <f>IF(G$92&gt;=$B$5,1,0)</f>
        <v/>
      </c>
      <c r="H98" s="8">
        <f>IF(H$92&gt;=$B$5,1,0)</f>
        <v/>
      </c>
      <c r="I98" s="8">
        <f>IF(I$92&gt;=$B$5,1,0)</f>
        <v/>
      </c>
      <c r="J98" s="8">
        <f>IF(J$92&gt;=$B$5,1,0)</f>
        <v/>
      </c>
      <c r="K98" s="8">
        <f>IF(K$92&gt;=$B$5,1,0)</f>
        <v/>
      </c>
      <c r="L98" s="8">
        <f>IF(L$92&gt;=$B$5,1,0)</f>
        <v/>
      </c>
    </row>
    <row r="100">
      <c r="A100" s="4" t="inlineStr">
        <is>
          <t>Compte de résultat</t>
        </is>
      </c>
    </row>
    <row r="101">
      <c r="A101" t="inlineStr">
        <is>
          <t xml:space="preserve">  Pension travail (chevaux de sport, places occupées)</t>
        </is>
      </c>
      <c r="B101" s="5">
        <f>SUM(C101:L101)</f>
        <v/>
      </c>
      <c r="C101" s="5">
        <f>$B$65*$C$65*C95*C96*$B$45*(1-$E$65*$B$50)</f>
        <v/>
      </c>
      <c r="D101" s="5">
        <f>$B$65*$C$65*D95*D96*$B$45*(1-$E$65*$B$50)</f>
        <v/>
      </c>
      <c r="E101" s="5">
        <f>$B$65*$C$65*E95*E96*$B$45*(1-$E$65*$B$50)</f>
        <v/>
      </c>
      <c r="F101" s="5">
        <f>$B$65*$C$65*F95*F96*$B$45*(1-$E$65*$B$50)</f>
        <v/>
      </c>
      <c r="G101" s="5">
        <f>$B$65*$C$65*G95*G96*$B$45*(1-$E$65*$B$50)</f>
        <v/>
      </c>
      <c r="H101" s="5">
        <f>$B$65*$C$65*H95*H96*$B$45*(1-$E$65*$B$50)</f>
        <v/>
      </c>
      <c r="I101" s="5">
        <f>$B$65*$C$65*I95*I96*$B$45*(1-$E$65*$B$50)</f>
        <v/>
      </c>
      <c r="J101" s="5">
        <f>$B$65*$C$65*J95*J96*$B$45*(1-$E$65*$B$50)</f>
        <v/>
      </c>
      <c r="K101" s="5">
        <f>$B$65*$C$65*K95*K96*$B$45*(1-$E$65*$B$50)</f>
        <v/>
      </c>
      <c r="L101" s="5">
        <f>$B$65*$C$65*L95*L96*$B$45*(1-$E$65*$B$50)</f>
        <v/>
      </c>
    </row>
    <row r="102">
      <c r="A102" t="inlineStr">
        <is>
          <t xml:space="preserve">  Pension box premium (places occupées)</t>
        </is>
      </c>
      <c r="B102" s="5">
        <f>SUM(C102:L102)</f>
        <v/>
      </c>
      <c r="C102" s="5">
        <f>$B$66*$C$66*C95*C96*$B$45*(1-$E$66*$B$50)</f>
        <v/>
      </c>
      <c r="D102" s="5">
        <f>$B$66*$C$66*D95*D96*$B$45*(1-$E$66*$B$50)</f>
        <v/>
      </c>
      <c r="E102" s="5">
        <f>$B$66*$C$66*E95*E96*$B$45*(1-$E$66*$B$50)</f>
        <v/>
      </c>
      <c r="F102" s="5">
        <f>$B$66*$C$66*F95*F96*$B$45*(1-$E$66*$B$50)</f>
        <v/>
      </c>
      <c r="G102" s="5">
        <f>$B$66*$C$66*G95*G96*$B$45*(1-$E$66*$B$50)</f>
        <v/>
      </c>
      <c r="H102" s="5">
        <f>$B$66*$C$66*H95*H96*$B$45*(1-$E$66*$B$50)</f>
        <v/>
      </c>
      <c r="I102" s="5">
        <f>$B$66*$C$66*I95*I96*$B$45*(1-$E$66*$B$50)</f>
        <v/>
      </c>
      <c r="J102" s="5">
        <f>$B$66*$C$66*J95*J96*$B$45*(1-$E$66*$B$50)</f>
        <v/>
      </c>
      <c r="K102" s="5">
        <f>$B$66*$C$66*K95*K96*$B$45*(1-$E$66*$B$50)</f>
        <v/>
      </c>
      <c r="L102" s="5">
        <f>$B$66*$C$66*L95*L96*$B$45*(1-$E$66*$B$50)</f>
        <v/>
      </c>
    </row>
    <row r="103">
      <c r="A103" t="inlineStr">
        <is>
          <t xml:space="preserve">  Pension au pré (places occupées)</t>
        </is>
      </c>
      <c r="B103" s="5">
        <f>SUM(C103:L103)</f>
        <v/>
      </c>
      <c r="C103" s="5">
        <f>$B$67*$C$67*C95*C96*$B$45*(1-$E$67*$B$50)</f>
        <v/>
      </c>
      <c r="D103" s="5">
        <f>$B$67*$C$67*D95*D96*$B$45*(1-$E$67*$B$50)</f>
        <v/>
      </c>
      <c r="E103" s="5">
        <f>$B$67*$C$67*E95*E96*$B$45*(1-$E$67*$B$50)</f>
        <v/>
      </c>
      <c r="F103" s="5">
        <f>$B$67*$C$67*F95*F96*$B$45*(1-$E$67*$B$50)</f>
        <v/>
      </c>
      <c r="G103" s="5">
        <f>$B$67*$C$67*G95*G96*$B$45*(1-$E$67*$B$50)</f>
        <v/>
      </c>
      <c r="H103" s="5">
        <f>$B$67*$C$67*H95*H96*$B$45*(1-$E$67*$B$50)</f>
        <v/>
      </c>
      <c r="I103" s="5">
        <f>$B$67*$C$67*I95*I96*$B$45*(1-$E$67*$B$50)</f>
        <v/>
      </c>
      <c r="J103" s="5">
        <f>$B$67*$C$67*J95*J96*$B$45*(1-$E$67*$B$50)</f>
        <v/>
      </c>
      <c r="K103" s="5">
        <f>$B$67*$C$67*K95*K96*$B$45*(1-$E$67*$B$50)</f>
        <v/>
      </c>
      <c r="L103" s="5">
        <f>$B$67*$C$67*L95*L96*$B$45*(1-$E$67*$B$50)</f>
        <v/>
      </c>
    </row>
    <row r="104">
      <c r="A104" t="inlineStr">
        <is>
          <t xml:space="preserve">  Valorisation et vente de jeunes chevaux (marge nette par cheval vendu)</t>
        </is>
      </c>
      <c r="B104" s="5">
        <f>SUM(C104:L104)</f>
        <v/>
      </c>
      <c r="C104" s="5">
        <f>$B$68*$C$68*C95*C96*$B$45*(1-$E$68*$B$50)</f>
        <v/>
      </c>
      <c r="D104" s="5">
        <f>$B$68*$C$68*D95*D96*$B$45*(1-$E$68*$B$50)</f>
        <v/>
      </c>
      <c r="E104" s="5">
        <f>$B$68*$C$68*E95*E96*$B$45*(1-$E$68*$B$50)</f>
        <v/>
      </c>
      <c r="F104" s="5">
        <f>$B$68*$C$68*F95*F96*$B$45*(1-$E$68*$B$50)</f>
        <v/>
      </c>
      <c r="G104" s="5">
        <f>$B$68*$C$68*G95*G96*$B$45*(1-$E$68*$B$50)</f>
        <v/>
      </c>
      <c r="H104" s="5">
        <f>$B$68*$C$68*H95*H96*$B$45*(1-$E$68*$B$50)</f>
        <v/>
      </c>
      <c r="I104" s="5">
        <f>$B$68*$C$68*I95*I96*$B$45*(1-$E$68*$B$50)</f>
        <v/>
      </c>
      <c r="J104" s="5">
        <f>$B$68*$C$68*J95*J96*$B$45*(1-$E$68*$B$50)</f>
        <v/>
      </c>
      <c r="K104" s="5">
        <f>$B$68*$C$68*K95*K96*$B$45*(1-$E$68*$B$50)</f>
        <v/>
      </c>
      <c r="L104" s="5">
        <f>$B$68*$C$68*L95*L96*$B$45*(1-$E$68*$B$50)</f>
        <v/>
      </c>
    </row>
    <row r="105">
      <c r="A105" t="inlineStr">
        <is>
          <t xml:space="preserve">  Organisation de concours (produit annuel)</t>
        </is>
      </c>
      <c r="B105" s="5">
        <f>SUM(C105:L105)</f>
        <v/>
      </c>
      <c r="C105" s="5">
        <f>$B$69*$C$69*C95*C96*$B$45*(1-$E$69*$B$50)</f>
        <v/>
      </c>
      <c r="D105" s="5">
        <f>$B$69*$C$69*D95*D96*$B$45*(1-$E$69*$B$50)</f>
        <v/>
      </c>
      <c r="E105" s="5">
        <f>$B$69*$C$69*E95*E96*$B$45*(1-$E$69*$B$50)</f>
        <v/>
      </c>
      <c r="F105" s="5">
        <f>$B$69*$C$69*F95*F96*$B$45*(1-$E$69*$B$50)</f>
        <v/>
      </c>
      <c r="G105" s="5">
        <f>$B$69*$C$69*G95*G96*$B$45*(1-$E$69*$B$50)</f>
        <v/>
      </c>
      <c r="H105" s="5">
        <f>$B$69*$C$69*H95*H96*$B$45*(1-$E$69*$B$50)</f>
        <v/>
      </c>
      <c r="I105" s="5">
        <f>$B$69*$C$69*I95*I96*$B$45*(1-$E$69*$B$50)</f>
        <v/>
      </c>
      <c r="J105" s="5">
        <f>$B$69*$C$69*J95*J96*$B$45*(1-$E$69*$B$50)</f>
        <v/>
      </c>
      <c r="K105" s="5">
        <f>$B$69*$C$69*K95*K96*$B$45*(1-$E$69*$B$50)</f>
        <v/>
      </c>
      <c r="L105" s="5">
        <f>$B$69*$C$69*L95*L96*$B$45*(1-$E$69*$B$50)</f>
        <v/>
      </c>
    </row>
    <row r="106">
      <c r="A106" t="inlineStr">
        <is>
          <t xml:space="preserve">  Ventes privées / showcases B2B (soirées)</t>
        </is>
      </c>
      <c r="B106" s="5">
        <f>SUM(C106:L106)</f>
        <v/>
      </c>
      <c r="C106" s="5">
        <f>$B$70*$C$70*C95*C96*$B$45*(1-$E$70*$B$50)</f>
        <v/>
      </c>
      <c r="D106" s="5">
        <f>$B$70*$C$70*D95*D96*$B$45*(1-$E$70*$B$50)</f>
        <v/>
      </c>
      <c r="E106" s="5">
        <f>$B$70*$C$70*E95*E96*$B$45*(1-$E$70*$B$50)</f>
        <v/>
      </c>
      <c r="F106" s="5">
        <f>$B$70*$C$70*F95*F96*$B$45*(1-$E$70*$B$50)</f>
        <v/>
      </c>
      <c r="G106" s="5">
        <f>$B$70*$C$70*G95*G96*$B$45*(1-$E$70*$B$50)</f>
        <v/>
      </c>
      <c r="H106" s="5">
        <f>$B$70*$C$70*H95*H96*$B$45*(1-$E$70*$B$50)</f>
        <v/>
      </c>
      <c r="I106" s="5">
        <f>$B$70*$C$70*I95*I96*$B$45*(1-$E$70*$B$50)</f>
        <v/>
      </c>
      <c r="J106" s="5">
        <f>$B$70*$C$70*J95*J96*$B$45*(1-$E$70*$B$50)</f>
        <v/>
      </c>
      <c r="K106" s="5">
        <f>$B$70*$C$70*K95*K96*$B$45*(1-$E$70*$B$50)</f>
        <v/>
      </c>
      <c r="L106" s="5">
        <f>$B$70*$C$70*L95*L96*$B$45*(1-$E$70*$B$50)</f>
        <v/>
      </c>
    </row>
    <row r="107">
      <c r="A107" t="inlineStr">
        <is>
          <t xml:space="preserve">  Gains de compétition</t>
        </is>
      </c>
      <c r="B107" s="5">
        <f>SUM(C107:L107)</f>
        <v/>
      </c>
      <c r="C107" s="5">
        <f>$B$71*$C$71*C95*C96*$B$45*(1-$E$71*$B$50)</f>
        <v/>
      </c>
      <c r="D107" s="5">
        <f>$B$71*$C$71*D95*D96*$B$45*(1-$E$71*$B$50)</f>
        <v/>
      </c>
      <c r="E107" s="5">
        <f>$B$71*$C$71*E95*E96*$B$45*(1-$E$71*$B$50)</f>
        <v/>
      </c>
      <c r="F107" s="5">
        <f>$B$71*$C$71*F95*F96*$B$45*(1-$E$71*$B$50)</f>
        <v/>
      </c>
      <c r="G107" s="5">
        <f>$B$71*$C$71*G95*G96*$B$45*(1-$E$71*$B$50)</f>
        <v/>
      </c>
      <c r="H107" s="5">
        <f>$B$71*$C$71*H95*H96*$B$45*(1-$E$71*$B$50)</f>
        <v/>
      </c>
      <c r="I107" s="5">
        <f>$B$71*$C$71*I95*I96*$B$45*(1-$E$71*$B$50)</f>
        <v/>
      </c>
      <c r="J107" s="5">
        <f>$B$71*$C$71*J95*J96*$B$45*(1-$E$71*$B$50)</f>
        <v/>
      </c>
      <c r="K107" s="5">
        <f>$B$71*$C$71*K95*K96*$B$45*(1-$E$71*$B$50)</f>
        <v/>
      </c>
      <c r="L107" s="5">
        <f>$B$71*$C$71*L95*L96*$B$45*(1-$E$71*$B$50)</f>
        <v/>
      </c>
    </row>
    <row r="108">
      <c r="A108" t="inlineStr">
        <is>
          <t xml:space="preserve">  Gîte 15 couchages hors mariages (nuits)</t>
        </is>
      </c>
      <c r="B108" s="5">
        <f>SUM(C108:L108)</f>
        <v/>
      </c>
      <c r="C108" s="5">
        <f>$B$72*$C$72*C95*C96*$B$45*(1-$E$72*$B$50)</f>
        <v/>
      </c>
      <c r="D108" s="5">
        <f>$B$72*$C$72*D95*D96*$B$45*(1-$E$72*$B$50)</f>
        <v/>
      </c>
      <c r="E108" s="5">
        <f>$B$72*$C$72*E95*E96*$B$45*(1-$E$72*$B$50)</f>
        <v/>
      </c>
      <c r="F108" s="5">
        <f>$B$72*$C$72*F95*F96*$B$45*(1-$E$72*$B$50)</f>
        <v/>
      </c>
      <c r="G108" s="5">
        <f>$B$72*$C$72*G95*G96*$B$45*(1-$E$72*$B$50)</f>
        <v/>
      </c>
      <c r="H108" s="5">
        <f>$B$72*$C$72*H95*H96*$B$45*(1-$E$72*$B$50)</f>
        <v/>
      </c>
      <c r="I108" s="5">
        <f>$B$72*$C$72*I95*I96*$B$45*(1-$E$72*$B$50)</f>
        <v/>
      </c>
      <c r="J108" s="5">
        <f>$B$72*$C$72*J95*J96*$B$45*(1-$E$72*$B$50)</f>
        <v/>
      </c>
      <c r="K108" s="5">
        <f>$B$72*$C$72*K95*K96*$B$45*(1-$E$72*$B$50)</f>
        <v/>
      </c>
      <c r="L108" s="5">
        <f>$B$72*$C$72*L95*L96*$B$45*(1-$E$72*$B$50)</f>
        <v/>
      </c>
    </row>
    <row r="109">
      <c r="A109" t="inlineStr">
        <is>
          <t xml:space="preserve">  Tournages / shootings (jours)</t>
        </is>
      </c>
      <c r="B109" s="5">
        <f>SUM(C109:L109)</f>
        <v/>
      </c>
      <c r="C109" s="5">
        <f>$B$73*$C$73*C95*C96*$B$45*(1-$E$73*$B$50)</f>
        <v/>
      </c>
      <c r="D109" s="5">
        <f>$B$73*$C$73*D95*D96*$B$45*(1-$E$73*$B$50)</f>
        <v/>
      </c>
      <c r="E109" s="5">
        <f>$B$73*$C$73*E95*E96*$B$45*(1-$E$73*$B$50)</f>
        <v/>
      </c>
      <c r="F109" s="5">
        <f>$B$73*$C$73*F95*F96*$B$45*(1-$E$73*$B$50)</f>
        <v/>
      </c>
      <c r="G109" s="5">
        <f>$B$73*$C$73*G95*G96*$B$45*(1-$E$73*$B$50)</f>
        <v/>
      </c>
      <c r="H109" s="5">
        <f>$B$73*$C$73*H95*H96*$B$45*(1-$E$73*$B$50)</f>
        <v/>
      </c>
      <c r="I109" s="5">
        <f>$B$73*$C$73*I95*I96*$B$45*(1-$E$73*$B$50)</f>
        <v/>
      </c>
      <c r="J109" s="5">
        <f>$B$73*$C$73*J95*J96*$B$45*(1-$E$73*$B$50)</f>
        <v/>
      </c>
      <c r="K109" s="5">
        <f>$B$73*$C$73*K95*K96*$B$45*(1-$E$73*$B$50)</f>
        <v/>
      </c>
      <c r="L109" s="5">
        <f>$B$73*$C$73*L95*L96*$B$45*(1-$E$73*$B$50)</f>
        <v/>
      </c>
    </row>
    <row r="110">
      <c r="A110" t="inlineStr">
        <is>
          <t xml:space="preserve">  Fermage / vente d'herbe (ha)</t>
        </is>
      </c>
      <c r="B110" s="5">
        <f>SUM(C110:L110)</f>
        <v/>
      </c>
      <c r="C110" s="5">
        <f>$B$74*$C$74*C95*C96*$B$45*(1-$E$74*$B$50)</f>
        <v/>
      </c>
      <c r="D110" s="5">
        <f>$B$74*$C$74*D95*D96*$B$45*(1-$E$74*$B$50)</f>
        <v/>
      </c>
      <c r="E110" s="5">
        <f>$B$74*$C$74*E95*E96*$B$45*(1-$E$74*$B$50)</f>
        <v/>
      </c>
      <c r="F110" s="5">
        <f>$B$74*$C$74*F95*F96*$B$45*(1-$E$74*$B$50)</f>
        <v/>
      </c>
      <c r="G110" s="5">
        <f>$B$74*$C$74*G95*G96*$B$45*(1-$E$74*$B$50)</f>
        <v/>
      </c>
      <c r="H110" s="5">
        <f>$B$74*$C$74*H95*H96*$B$45*(1-$E$74*$B$50)</f>
        <v/>
      </c>
      <c r="I110" s="5">
        <f>$B$74*$C$74*I95*I96*$B$45*(1-$E$74*$B$50)</f>
        <v/>
      </c>
      <c r="J110" s="5">
        <f>$B$74*$C$74*J95*J96*$B$45*(1-$E$74*$B$50)</f>
        <v/>
      </c>
      <c r="K110" s="5">
        <f>$B$74*$C$74*K95*K96*$B$45*(1-$E$74*$B$50)</f>
        <v/>
      </c>
      <c r="L110" s="5">
        <f>$B$74*$C$74*L95*L96*$B$45*(1-$E$74*$B$50)</f>
        <v/>
      </c>
    </row>
    <row r="111">
      <c r="A111" s="4" t="inlineStr">
        <is>
          <t>Chiffre d'affaires total</t>
        </is>
      </c>
      <c r="B111" s="18">
        <f>SUM(C111:L111)</f>
        <v/>
      </c>
      <c r="C111" s="18">
        <f>C101+C102+C103+C104+C105+C106+C107+C108+C109+C110</f>
        <v/>
      </c>
      <c r="D111" s="18">
        <f>D101+D102+D103+D104+D105+D106+D107+D108+D109+D110</f>
        <v/>
      </c>
      <c r="E111" s="18">
        <f>E101+E102+E103+E104+E105+E106+E107+E108+E109+E110</f>
        <v/>
      </c>
      <c r="F111" s="18">
        <f>F101+F102+F103+F104+F105+F106+F107+F108+F109+F110</f>
        <v/>
      </c>
      <c r="G111" s="18">
        <f>G101+G102+G103+G104+G105+G106+G107+G108+G109+G110</f>
        <v/>
      </c>
      <c r="H111" s="18">
        <f>H101+H102+H103+H104+H105+H106+H107+H108+H109+H110</f>
        <v/>
      </c>
      <c r="I111" s="18">
        <f>I101+I102+I103+I104+I105+I106+I107+I108+I109+I110</f>
        <v/>
      </c>
      <c r="J111" s="18">
        <f>J101+J102+J103+J104+J105+J106+J107+J108+J109+J110</f>
        <v/>
      </c>
      <c r="K111" s="18">
        <f>K101+K102+K103+K104+K105+K106+K107+K108+K109+K110</f>
        <v/>
      </c>
      <c r="L111" s="18">
        <f>L101+L102+L103+L104+L105+L106+L107+L108+L109+L110</f>
        <v/>
      </c>
    </row>
    <row r="112">
      <c r="A112" t="inlineStr">
        <is>
          <t xml:space="preserve">  dont équestre</t>
        </is>
      </c>
      <c r="B112" s="5">
        <f>SUM(C112:L112)</f>
        <v/>
      </c>
      <c r="C112" s="5">
        <f>C101*$F$65+C102*$F$66+C103*$F$67+C104*$F$68+C105*$F$69+C106*$F$70+C107*$F$71+C108*$F$72+C109*$F$73+C110*$F$74</f>
        <v/>
      </c>
      <c r="D112" s="5">
        <f>D101*$F$65+D102*$F$66+D103*$F$67+D104*$F$68+D105*$F$69+D106*$F$70+D107*$F$71+D108*$F$72+D109*$F$73+D110*$F$74</f>
        <v/>
      </c>
      <c r="E112" s="5">
        <f>E101*$F$65+E102*$F$66+E103*$F$67+E104*$F$68+E105*$F$69+E106*$F$70+E107*$F$71+E108*$F$72+E109*$F$73+E110*$F$74</f>
        <v/>
      </c>
      <c r="F112" s="5">
        <f>F101*$F$65+F102*$F$66+F103*$F$67+F104*$F$68+F105*$F$69+F106*$F$70+F107*$F$71+F108*$F$72+F109*$F$73+F110*$F$74</f>
        <v/>
      </c>
      <c r="G112" s="5">
        <f>G101*$F$65+G102*$F$66+G103*$F$67+G104*$F$68+G105*$F$69+G106*$F$70+G107*$F$71+G108*$F$72+G109*$F$73+G110*$F$74</f>
        <v/>
      </c>
      <c r="H112" s="5">
        <f>H101*$F$65+H102*$F$66+H103*$F$67+H104*$F$68+H105*$F$69+H106*$F$70+H107*$F$71+H108*$F$72+H109*$F$73+H110*$F$74</f>
        <v/>
      </c>
      <c r="I112" s="5">
        <f>I101*$F$65+I102*$F$66+I103*$F$67+I104*$F$68+I105*$F$69+I106*$F$70+I107*$F$71+I108*$F$72+I109*$F$73+I110*$F$74</f>
        <v/>
      </c>
      <c r="J112" s="5">
        <f>J101*$F$65+J102*$F$66+J103*$F$67+J104*$F$68+J105*$F$69+J106*$F$70+J107*$F$71+J108*$F$72+J109*$F$73+J110*$F$74</f>
        <v/>
      </c>
      <c r="K112" s="5">
        <f>K101*$F$65+K102*$F$66+K103*$F$67+K104*$F$68+K105*$F$69+K106*$F$70+K107*$F$71+K108*$F$72+K109*$F$73+K110*$F$74</f>
        <v/>
      </c>
      <c r="L112" s="5">
        <f>L101*$F$65+L102*$F$66+L103*$F$67+L104*$F$68+L105*$F$69+L106*$F$70+L107*$F$71+L108*$F$72+L109*$F$73+L110*$F$74</f>
        <v/>
      </c>
    </row>
    <row r="113">
      <c r="A113" t="inlineStr">
        <is>
          <t xml:space="preserve">  Part équestre du CA</t>
        </is>
      </c>
      <c r="C113" s="6">
        <f>IF(C111=0,0,C112/C111)</f>
        <v/>
      </c>
      <c r="D113" s="6">
        <f>IF(D111=0,0,D112/D111)</f>
        <v/>
      </c>
      <c r="E113" s="6">
        <f>IF(E111=0,0,E112/E111)</f>
        <v/>
      </c>
      <c r="F113" s="6">
        <f>IF(F111=0,0,F112/F111)</f>
        <v/>
      </c>
      <c r="G113" s="6">
        <f>IF(G111=0,0,G112/G111)</f>
        <v/>
      </c>
      <c r="H113" s="6">
        <f>IF(H111=0,0,H112/H111)</f>
        <v/>
      </c>
      <c r="I113" s="6">
        <f>IF(I111=0,0,I112/I111)</f>
        <v/>
      </c>
      <c r="J113" s="6">
        <f>IF(J111=0,0,J112/J111)</f>
        <v/>
      </c>
      <c r="K113" s="6">
        <f>IF(K111=0,0,K112/K111)</f>
        <v/>
      </c>
      <c r="L113" s="6">
        <f>IF(L111=0,0,L112/L111)</f>
        <v/>
      </c>
    </row>
    <row r="114">
      <c r="A114" t="inlineStr">
        <is>
          <t>Coûts variables</t>
        </is>
      </c>
      <c r="B114" s="5">
        <f>SUM(C114:L114)</f>
        <v/>
      </c>
      <c r="C114" s="5">
        <f>-(C101*$D$65+C102*$D$66+C103*$D$67+C104*$D$68+C105*$D$69+C106*$D$70+C107*$D$71+C108*$D$72+C109*$D$73+C110*$D$74)</f>
        <v/>
      </c>
      <c r="D114" s="5">
        <f>-(D101*$D$65+D102*$D$66+D103*$D$67+D104*$D$68+D105*$D$69+D106*$D$70+D107*$D$71+D108*$D$72+D109*$D$73+D110*$D$74)</f>
        <v/>
      </c>
      <c r="E114" s="5">
        <f>-(E101*$D$65+E102*$D$66+E103*$D$67+E104*$D$68+E105*$D$69+E106*$D$70+E107*$D$71+E108*$D$72+E109*$D$73+E110*$D$74)</f>
        <v/>
      </c>
      <c r="F114" s="5">
        <f>-(F101*$D$65+F102*$D$66+F103*$D$67+F104*$D$68+F105*$D$69+F106*$D$70+F107*$D$71+F108*$D$72+F109*$D$73+F110*$D$74)</f>
        <v/>
      </c>
      <c r="G114" s="5">
        <f>-(G101*$D$65+G102*$D$66+G103*$D$67+G104*$D$68+G105*$D$69+G106*$D$70+G107*$D$71+G108*$D$72+G109*$D$73+G110*$D$74)</f>
        <v/>
      </c>
      <c r="H114" s="5">
        <f>-(H101*$D$65+H102*$D$66+H103*$D$67+H104*$D$68+H105*$D$69+H106*$D$70+H107*$D$71+H108*$D$72+H109*$D$73+H110*$D$74)</f>
        <v/>
      </c>
      <c r="I114" s="5">
        <f>-(I101*$D$65+I102*$D$66+I103*$D$67+I104*$D$68+I105*$D$69+I106*$D$70+I107*$D$71+I108*$D$72+I109*$D$73+I110*$D$74)</f>
        <v/>
      </c>
      <c r="J114" s="5">
        <f>-(J101*$D$65+J102*$D$66+J103*$D$67+J104*$D$68+J105*$D$69+J106*$D$70+J107*$D$71+J108*$D$72+J109*$D$73+J110*$D$74)</f>
        <v/>
      </c>
      <c r="K114" s="5">
        <f>-(K101*$D$65+K102*$D$66+K103*$D$67+K104*$D$68+K105*$D$69+K106*$D$70+K107*$D$71+K108*$D$72+K109*$D$73+K110*$D$74)</f>
        <v/>
      </c>
      <c r="L114" s="5">
        <f>-(L101*$D$65+L102*$D$66+L103*$D$67+L104*$D$68+L105*$D$69+L106*$D$70+L107*$D$71+L108*$D$72+L109*$D$73+L110*$D$74)</f>
        <v/>
      </c>
    </row>
    <row r="115">
      <c r="A115" s="4" t="inlineStr">
        <is>
          <t>Marge sur coûts variables</t>
        </is>
      </c>
      <c r="B115" s="18">
        <f>SUM(C115:L115)</f>
        <v/>
      </c>
      <c r="C115" s="18">
        <f>C111+C114</f>
        <v/>
      </c>
      <c r="D115" s="18">
        <f>D111+D114</f>
        <v/>
      </c>
      <c r="E115" s="18">
        <f>E111+E114</f>
        <v/>
      </c>
      <c r="F115" s="18">
        <f>F111+F114</f>
        <v/>
      </c>
      <c r="G115" s="18">
        <f>G111+G114</f>
        <v/>
      </c>
      <c r="H115" s="18">
        <f>H111+H114</f>
        <v/>
      </c>
      <c r="I115" s="18">
        <f>I111+I114</f>
        <v/>
      </c>
      <c r="J115" s="18">
        <f>J111+J114</f>
        <v/>
      </c>
      <c r="K115" s="18">
        <f>K111+K114</f>
        <v/>
      </c>
      <c r="L115" s="18">
        <f>L111+L114</f>
        <v/>
      </c>
    </row>
    <row r="116">
      <c r="A116" t="inlineStr">
        <is>
          <t xml:space="preserve">  Taxe foncière</t>
        </is>
      </c>
      <c r="B116" s="5">
        <f>SUM(C116:L116)</f>
        <v/>
      </c>
      <c r="C116" s="5">
        <f>-$B$78*C97*IF($C$78=1,C98,IF(C94&gt;0,1,0))</f>
        <v/>
      </c>
      <c r="D116" s="5">
        <f>-$B$78*D97*IF($C$78=1,D98,IF(D94&gt;0,1,0))</f>
        <v/>
      </c>
      <c r="E116" s="5">
        <f>-$B$78*E97*IF($C$78=1,E98,IF(E94&gt;0,1,0))</f>
        <v/>
      </c>
      <c r="F116" s="5">
        <f>-$B$78*F97*IF($C$78=1,F98,IF(F94&gt;0,1,0))</f>
        <v/>
      </c>
      <c r="G116" s="5">
        <f>-$B$78*G97*IF($C$78=1,G98,IF(G94&gt;0,1,0))</f>
        <v/>
      </c>
      <c r="H116" s="5">
        <f>-$B$78*H97*IF($C$78=1,H98,IF(H94&gt;0,1,0))</f>
        <v/>
      </c>
      <c r="I116" s="5">
        <f>-$B$78*I97*IF($C$78=1,I98,IF(I94&gt;0,1,0))</f>
        <v/>
      </c>
      <c r="J116" s="5">
        <f>-$B$78*J97*IF($C$78=1,J98,IF(J94&gt;0,1,0))</f>
        <v/>
      </c>
      <c r="K116" s="5">
        <f>-$B$78*K97*IF($C$78=1,K98,IF(K94&gt;0,1,0))</f>
        <v/>
      </c>
      <c r="L116" s="5">
        <f>-$B$78*L97*IF($C$78=1,L98,IF(L94&gt;0,1,0))</f>
        <v/>
      </c>
    </row>
    <row r="117">
      <c r="A117" t="inlineStr">
        <is>
          <t xml:space="preserve">  Assurance multirisque château</t>
        </is>
      </c>
      <c r="B117" s="5">
        <f>SUM(C117:L117)</f>
        <v/>
      </c>
      <c r="C117" s="5">
        <f>-$B$79*C97*IF($C$79=1,C98,IF(C94&gt;0,1,0))</f>
        <v/>
      </c>
      <c r="D117" s="5">
        <f>-$B$79*D97*IF($C$79=1,D98,IF(D94&gt;0,1,0))</f>
        <v/>
      </c>
      <c r="E117" s="5">
        <f>-$B$79*E97*IF($C$79=1,E98,IF(E94&gt;0,1,0))</f>
        <v/>
      </c>
      <c r="F117" s="5">
        <f>-$B$79*F97*IF($C$79=1,F98,IF(F94&gt;0,1,0))</f>
        <v/>
      </c>
      <c r="G117" s="5">
        <f>-$B$79*G97*IF($C$79=1,G98,IF(G94&gt;0,1,0))</f>
        <v/>
      </c>
      <c r="H117" s="5">
        <f>-$B$79*H97*IF($C$79=1,H98,IF(H94&gt;0,1,0))</f>
        <v/>
      </c>
      <c r="I117" s="5">
        <f>-$B$79*I97*IF($C$79=1,I98,IF(I94&gt;0,1,0))</f>
        <v/>
      </c>
      <c r="J117" s="5">
        <f>-$B$79*J97*IF($C$79=1,J98,IF(J94&gt;0,1,0))</f>
        <v/>
      </c>
      <c r="K117" s="5">
        <f>-$B$79*K97*IF($C$79=1,K98,IF(K94&gt;0,1,0))</f>
        <v/>
      </c>
      <c r="L117" s="5">
        <f>-$B$79*L97*IF($C$79=1,L98,IF(L94&gt;0,1,0))</f>
        <v/>
      </c>
    </row>
    <row r="118">
      <c r="A118" t="inlineStr">
        <is>
          <t xml:space="preserve">  Énergie (chauffage partiel, électricité, eau)</t>
        </is>
      </c>
      <c r="B118" s="5">
        <f>SUM(C118:L118)</f>
        <v/>
      </c>
      <c r="C118" s="5">
        <f>-$B$80*C97*IF($C$80=1,C98,IF(C94&gt;0,1,0))</f>
        <v/>
      </c>
      <c r="D118" s="5">
        <f>-$B$80*D97*IF($C$80=1,D98,IF(D94&gt;0,1,0))</f>
        <v/>
      </c>
      <c r="E118" s="5">
        <f>-$B$80*E97*IF($C$80=1,E98,IF(E94&gt;0,1,0))</f>
        <v/>
      </c>
      <c r="F118" s="5">
        <f>-$B$80*F97*IF($C$80=1,F98,IF(F94&gt;0,1,0))</f>
        <v/>
      </c>
      <c r="G118" s="5">
        <f>-$B$80*G97*IF($C$80=1,G98,IF(G94&gt;0,1,0))</f>
        <v/>
      </c>
      <c r="H118" s="5">
        <f>-$B$80*H97*IF($C$80=1,H98,IF(H94&gt;0,1,0))</f>
        <v/>
      </c>
      <c r="I118" s="5">
        <f>-$B$80*I97*IF($C$80=1,I98,IF(I94&gt;0,1,0))</f>
        <v/>
      </c>
      <c r="J118" s="5">
        <f>-$B$80*J97*IF($C$80=1,J98,IF(J94&gt;0,1,0))</f>
        <v/>
      </c>
      <c r="K118" s="5">
        <f>-$B$80*K97*IF($C$80=1,K98,IF(K94&gt;0,1,0))</f>
        <v/>
      </c>
      <c r="L118" s="5">
        <f>-$B$80*L97*IF($C$80=1,L98,IF(L94&gt;0,1,0))</f>
        <v/>
      </c>
    </row>
    <row r="119">
      <c r="A119" t="inlineStr">
        <is>
          <t xml:space="preserve">  Jardinier / agent d'entretien (1 ETP au Smic chargé)</t>
        </is>
      </c>
      <c r="B119" s="5">
        <f>SUM(C119:L119)</f>
        <v/>
      </c>
      <c r="C119" s="5">
        <f>-$B$81*C97*IF($C$81=1,C98,IF(C94&gt;0,1,0))</f>
        <v/>
      </c>
      <c r="D119" s="5">
        <f>-$B$81*D97*IF($C$81=1,D98,IF(D94&gt;0,1,0))</f>
        <v/>
      </c>
      <c r="E119" s="5">
        <f>-$B$81*E97*IF($C$81=1,E98,IF(E94&gt;0,1,0))</f>
        <v/>
      </c>
      <c r="F119" s="5">
        <f>-$B$81*F97*IF($C$81=1,F98,IF(F94&gt;0,1,0))</f>
        <v/>
      </c>
      <c r="G119" s="5">
        <f>-$B$81*G97*IF($C$81=1,G98,IF(G94&gt;0,1,0))</f>
        <v/>
      </c>
      <c r="H119" s="5">
        <f>-$B$81*H97*IF($C$81=1,H98,IF(H94&gt;0,1,0))</f>
        <v/>
      </c>
      <c r="I119" s="5">
        <f>-$B$81*I97*IF($C$81=1,I98,IF(I94&gt;0,1,0))</f>
        <v/>
      </c>
      <c r="J119" s="5">
        <f>-$B$81*J97*IF($C$81=1,J98,IF(J94&gt;0,1,0))</f>
        <v/>
      </c>
      <c r="K119" s="5">
        <f>-$B$81*K97*IF($C$81=1,K98,IF(K94&gt;0,1,0))</f>
        <v/>
      </c>
      <c r="L119" s="5">
        <f>-$B$81*L97*IF($C$81=1,L98,IF(L94&gt;0,1,0))</f>
        <v/>
      </c>
    </row>
    <row r="120">
      <c r="A120" t="inlineStr">
        <is>
          <t xml:space="preserve">  Divers (abonnements, petit matériel, véhicule, honoraires)</t>
        </is>
      </c>
      <c r="B120" s="5">
        <f>SUM(C120:L120)</f>
        <v/>
      </c>
      <c r="C120" s="5">
        <f>-$B$82*C97*IF($C$82=1,C98,IF(C94&gt;0,1,0))</f>
        <v/>
      </c>
      <c r="D120" s="5">
        <f>-$B$82*D97*IF($C$82=1,D98,IF(D94&gt;0,1,0))</f>
        <v/>
      </c>
      <c r="E120" s="5">
        <f>-$B$82*E97*IF($C$82=1,E98,IF(E94&gt;0,1,0))</f>
        <v/>
      </c>
      <c r="F120" s="5">
        <f>-$B$82*F97*IF($C$82=1,F98,IF(F94&gt;0,1,0))</f>
        <v/>
      </c>
      <c r="G120" s="5">
        <f>-$B$82*G97*IF($C$82=1,G98,IF(G94&gt;0,1,0))</f>
        <v/>
      </c>
      <c r="H120" s="5">
        <f>-$B$82*H97*IF($C$82=1,H98,IF(H94&gt;0,1,0))</f>
        <v/>
      </c>
      <c r="I120" s="5">
        <f>-$B$82*I97*IF($C$82=1,I98,IF(I94&gt;0,1,0))</f>
        <v/>
      </c>
      <c r="J120" s="5">
        <f>-$B$82*J97*IF($C$82=1,J98,IF(J94&gt;0,1,0))</f>
        <v/>
      </c>
      <c r="K120" s="5">
        <f>-$B$82*K97*IF($C$82=1,K98,IF(K94&gt;0,1,0))</f>
        <v/>
      </c>
      <c r="L120" s="5">
        <f>-$B$82*L97*IF($C$82=1,L98,IF(L94&gt;0,1,0))</f>
        <v/>
      </c>
    </row>
    <row r="121">
      <c r="A121" t="inlineStr">
        <is>
          <t xml:space="preserve">  Cavalier professionnel / responsable d'écurie (chargé)</t>
        </is>
      </c>
      <c r="B121" s="5">
        <f>SUM(C121:L121)</f>
        <v/>
      </c>
      <c r="C121" s="5">
        <f>-$B$83*C97*IF($C$83=1,C98,IF(C94&gt;0,1,0))</f>
        <v/>
      </c>
      <c r="D121" s="5">
        <f>-$B$83*D97*IF($C$83=1,D98,IF(D94&gt;0,1,0))</f>
        <v/>
      </c>
      <c r="E121" s="5">
        <f>-$B$83*E97*IF($C$83=1,E98,IF(E94&gt;0,1,0))</f>
        <v/>
      </c>
      <c r="F121" s="5">
        <f>-$B$83*F97*IF($C$83=1,F98,IF(F94&gt;0,1,0))</f>
        <v/>
      </c>
      <c r="G121" s="5">
        <f>-$B$83*G97*IF($C$83=1,G98,IF(G94&gt;0,1,0))</f>
        <v/>
      </c>
      <c r="H121" s="5">
        <f>-$B$83*H97*IF($C$83=1,H98,IF(H94&gt;0,1,0))</f>
        <v/>
      </c>
      <c r="I121" s="5">
        <f>-$B$83*I97*IF($C$83=1,I98,IF(I94&gt;0,1,0))</f>
        <v/>
      </c>
      <c r="J121" s="5">
        <f>-$B$83*J97*IF($C$83=1,J98,IF(J94&gt;0,1,0))</f>
        <v/>
      </c>
      <c r="K121" s="5">
        <f>-$B$83*K97*IF($C$83=1,K98,IF(K94&gt;0,1,0))</f>
        <v/>
      </c>
      <c r="L121" s="5">
        <f>-$B$83*L97*IF($C$83=1,L98,IF(L94&gt;0,1,0))</f>
        <v/>
      </c>
    </row>
    <row r="122">
      <c r="A122" t="inlineStr">
        <is>
          <t xml:space="preserve">  Soigneurs / cavaliers-soigneurs (2,5 ETP chargés)</t>
        </is>
      </c>
      <c r="B122" s="5">
        <f>SUM(C122:L122)</f>
        <v/>
      </c>
      <c r="C122" s="5">
        <f>-$B$84*C97*IF($C$84=1,C98,IF(C94&gt;0,1,0))</f>
        <v/>
      </c>
      <c r="D122" s="5">
        <f>-$B$84*D97*IF($C$84=1,D98,IF(D94&gt;0,1,0))</f>
        <v/>
      </c>
      <c r="E122" s="5">
        <f>-$B$84*E97*IF($C$84=1,E98,IF(E94&gt;0,1,0))</f>
        <v/>
      </c>
      <c r="F122" s="5">
        <f>-$B$84*F97*IF($C$84=1,F98,IF(F94&gt;0,1,0))</f>
        <v/>
      </c>
      <c r="G122" s="5">
        <f>-$B$84*G97*IF($C$84=1,G98,IF(G94&gt;0,1,0))</f>
        <v/>
      </c>
      <c r="H122" s="5">
        <f>-$B$84*H97*IF($C$84=1,H98,IF(H94&gt;0,1,0))</f>
        <v/>
      </c>
      <c r="I122" s="5">
        <f>-$B$84*I97*IF($C$84=1,I98,IF(I94&gt;0,1,0))</f>
        <v/>
      </c>
      <c r="J122" s="5">
        <f>-$B$84*J97*IF($C$84=1,J98,IF(J94&gt;0,1,0))</f>
        <v/>
      </c>
      <c r="K122" s="5">
        <f>-$B$84*K97*IF($C$84=1,K98,IF(K94&gt;0,1,0))</f>
        <v/>
      </c>
      <c r="L122" s="5">
        <f>-$B$84*L97*IF($C$84=1,L98,IF(L94&gt;0,1,0))</f>
        <v/>
      </c>
    </row>
    <row r="123">
      <c r="A123" t="inlineStr">
        <is>
          <t xml:space="preserve">  Autres charges de structure équestres</t>
        </is>
      </c>
      <c r="B123" s="5">
        <f>SUM(C123:L123)</f>
        <v/>
      </c>
      <c r="C123" s="5">
        <f>-$B$85*C97*IF($C$85=1,C98,IF(C94&gt;0,1,0))</f>
        <v/>
      </c>
      <c r="D123" s="5">
        <f>-$B$85*D97*IF($C$85=1,D98,IF(D94&gt;0,1,0))</f>
        <v/>
      </c>
      <c r="E123" s="5">
        <f>-$B$85*E97*IF($C$85=1,E98,IF(E94&gt;0,1,0))</f>
        <v/>
      </c>
      <c r="F123" s="5">
        <f>-$B$85*F97*IF($C$85=1,F98,IF(F94&gt;0,1,0))</f>
        <v/>
      </c>
      <c r="G123" s="5">
        <f>-$B$85*G97*IF($C$85=1,G98,IF(G94&gt;0,1,0))</f>
        <v/>
      </c>
      <c r="H123" s="5">
        <f>-$B$85*H97*IF($C$85=1,H98,IF(H94&gt;0,1,0))</f>
        <v/>
      </c>
      <c r="I123" s="5">
        <f>-$B$85*I97*IF($C$85=1,I98,IF(I94&gt;0,1,0))</f>
        <v/>
      </c>
      <c r="J123" s="5">
        <f>-$B$85*J97*IF($C$85=1,J98,IF(J94&gt;0,1,0))</f>
        <v/>
      </c>
      <c r="K123" s="5">
        <f>-$B$85*K97*IF($C$85=1,K98,IF(K94&gt;0,1,0))</f>
        <v/>
      </c>
      <c r="L123" s="5">
        <f>-$B$85*L97*IF($C$85=1,L98,IF(L94&gt;0,1,0))</f>
        <v/>
      </c>
    </row>
    <row r="124">
      <c r="A124" t="inlineStr">
        <is>
          <t xml:space="preserve">  Coûts fixes du gîte</t>
        </is>
      </c>
      <c r="B124" s="5">
        <f>SUM(C124:L124)</f>
        <v/>
      </c>
      <c r="C124" s="5">
        <f>-$B$86*C97*IF($C$86=1,C98,IF(C94&gt;0,1,0))</f>
        <v/>
      </c>
      <c r="D124" s="5">
        <f>-$B$86*D97*IF($C$86=1,D98,IF(D94&gt;0,1,0))</f>
        <v/>
      </c>
      <c r="E124" s="5">
        <f>-$B$86*E97*IF($C$86=1,E98,IF(E94&gt;0,1,0))</f>
        <v/>
      </c>
      <c r="F124" s="5">
        <f>-$B$86*F97*IF($C$86=1,F98,IF(F94&gt;0,1,0))</f>
        <v/>
      </c>
      <c r="G124" s="5">
        <f>-$B$86*G97*IF($C$86=1,G98,IF(G94&gt;0,1,0))</f>
        <v/>
      </c>
      <c r="H124" s="5">
        <f>-$B$86*H97*IF($C$86=1,H98,IF(H94&gt;0,1,0))</f>
        <v/>
      </c>
      <c r="I124" s="5">
        <f>-$B$86*I97*IF($C$86=1,I98,IF(I94&gt;0,1,0))</f>
        <v/>
      </c>
      <c r="J124" s="5">
        <f>-$B$86*J97*IF($C$86=1,J98,IF(J94&gt;0,1,0))</f>
        <v/>
      </c>
      <c r="K124" s="5">
        <f>-$B$86*K97*IF($C$86=1,K98,IF(K94&gt;0,1,0))</f>
        <v/>
      </c>
      <c r="L124" s="5">
        <f>-$B$86*L97*IF($C$86=1,L98,IF(L94&gt;0,1,0))</f>
        <v/>
      </c>
    </row>
    <row r="125">
      <c r="A125" t="inlineStr">
        <is>
          <t xml:space="preserve">  Commercial, site, salons</t>
        </is>
      </c>
      <c r="B125" s="5">
        <f>SUM(C125:L125)</f>
        <v/>
      </c>
      <c r="C125" s="5">
        <f>-$B$87*C97*IF($C$87=1,C98,IF(C94&gt;0,1,0))</f>
        <v/>
      </c>
      <c r="D125" s="5">
        <f>-$B$87*D97*IF($C$87=1,D98,IF(D94&gt;0,1,0))</f>
        <v/>
      </c>
      <c r="E125" s="5">
        <f>-$B$87*E97*IF($C$87=1,E98,IF(E94&gt;0,1,0))</f>
        <v/>
      </c>
      <c r="F125" s="5">
        <f>-$B$87*F97*IF($C$87=1,F98,IF(F94&gt;0,1,0))</f>
        <v/>
      </c>
      <c r="G125" s="5">
        <f>-$B$87*G97*IF($C$87=1,G98,IF(G94&gt;0,1,0))</f>
        <v/>
      </c>
      <c r="H125" s="5">
        <f>-$B$87*H97*IF($C$87=1,H98,IF(H94&gt;0,1,0))</f>
        <v/>
      </c>
      <c r="I125" s="5">
        <f>-$B$87*I97*IF($C$87=1,I98,IF(I94&gt;0,1,0))</f>
        <v/>
      </c>
      <c r="J125" s="5">
        <f>-$B$87*J97*IF($C$87=1,J98,IF(J94&gt;0,1,0))</f>
        <v/>
      </c>
      <c r="K125" s="5">
        <f>-$B$87*K97*IF($C$87=1,K98,IF(K94&gt;0,1,0))</f>
        <v/>
      </c>
      <c r="L125" s="5">
        <f>-$B$87*L97*IF($C$87=1,L98,IF(L94&gt;0,1,0))</f>
        <v/>
      </c>
    </row>
    <row r="126">
      <c r="A126" t="inlineStr">
        <is>
          <t xml:space="preserve">  Comptabilité, juridique, banque, logiciels</t>
        </is>
      </c>
      <c r="B126" s="5">
        <f>SUM(C126:L126)</f>
        <v/>
      </c>
      <c r="C126" s="5">
        <f>-$B$88*C97*IF($C$88=1,C98,IF(C94&gt;0,1,0))</f>
        <v/>
      </c>
      <c r="D126" s="5">
        <f>-$B$88*D97*IF($C$88=1,D98,IF(D94&gt;0,1,0))</f>
        <v/>
      </c>
      <c r="E126" s="5">
        <f>-$B$88*E97*IF($C$88=1,E98,IF(E94&gt;0,1,0))</f>
        <v/>
      </c>
      <c r="F126" s="5">
        <f>-$B$88*F97*IF($C$88=1,F98,IF(F94&gt;0,1,0))</f>
        <v/>
      </c>
      <c r="G126" s="5">
        <f>-$B$88*G97*IF($C$88=1,G98,IF(G94&gt;0,1,0))</f>
        <v/>
      </c>
      <c r="H126" s="5">
        <f>-$B$88*H97*IF($C$88=1,H98,IF(H94&gt;0,1,0))</f>
        <v/>
      </c>
      <c r="I126" s="5">
        <f>-$B$88*I97*IF($C$88=1,I98,IF(I94&gt;0,1,0))</f>
        <v/>
      </c>
      <c r="J126" s="5">
        <f>-$B$88*J97*IF($C$88=1,J98,IF(J94&gt;0,1,0))</f>
        <v/>
      </c>
      <c r="K126" s="5">
        <f>-$B$88*K97*IF($C$88=1,K98,IF(K94&gt;0,1,0))</f>
        <v/>
      </c>
      <c r="L126" s="5">
        <f>-$B$88*L97*IF($C$88=1,L98,IF(L94&gt;0,1,0))</f>
        <v/>
      </c>
    </row>
    <row r="127">
      <c r="A127" t="inlineStr">
        <is>
          <t xml:space="preserve">  Rémunération du dirigeant (chargée)</t>
        </is>
      </c>
      <c r="B127" s="5">
        <f>SUM(C127:L127)</f>
        <v/>
      </c>
      <c r="C127" s="5">
        <f>-$B$89*C97*IF($C$89=1,C98,IF(C94&gt;0,1,0))</f>
        <v/>
      </c>
      <c r="D127" s="5">
        <f>-$B$89*D97*IF($C$89=1,D98,IF(D94&gt;0,1,0))</f>
        <v/>
      </c>
      <c r="E127" s="5">
        <f>-$B$89*E97*IF($C$89=1,E98,IF(E94&gt;0,1,0))</f>
        <v/>
      </c>
      <c r="F127" s="5">
        <f>-$B$89*F97*IF($C$89=1,F98,IF(F94&gt;0,1,0))</f>
        <v/>
      </c>
      <c r="G127" s="5">
        <f>-$B$89*G97*IF($C$89=1,G98,IF(G94&gt;0,1,0))</f>
        <v/>
      </c>
      <c r="H127" s="5">
        <f>-$B$89*H97*IF($C$89=1,H98,IF(H94&gt;0,1,0))</f>
        <v/>
      </c>
      <c r="I127" s="5">
        <f>-$B$89*I97*IF($C$89=1,I98,IF(I94&gt;0,1,0))</f>
        <v/>
      </c>
      <c r="J127" s="5">
        <f>-$B$89*J97*IF($C$89=1,J98,IF(J94&gt;0,1,0))</f>
        <v/>
      </c>
      <c r="K127" s="5">
        <f>-$B$89*K97*IF($C$89=1,K98,IF(K94&gt;0,1,0))</f>
        <v/>
      </c>
      <c r="L127" s="5">
        <f>-$B$89*L97*IF($C$89=1,L98,IF(L94&gt;0,1,0))</f>
        <v/>
      </c>
    </row>
    <row r="128">
      <c r="A128" s="4" t="inlineStr">
        <is>
          <t>Charges fixes totales</t>
        </is>
      </c>
      <c r="B128" s="18">
        <f>SUM(C128:L128)</f>
        <v/>
      </c>
      <c r="C128" s="18">
        <f>C116+C117+C118+C119+C120+C121+C122+C123+C124+C125+C126+C127</f>
        <v/>
      </c>
      <c r="D128" s="18">
        <f>D116+D117+D118+D119+D120+D121+D122+D123+D124+D125+D126+D127</f>
        <v/>
      </c>
      <c r="E128" s="18">
        <f>E116+E117+E118+E119+E120+E121+E122+E123+E124+E125+E126+E127</f>
        <v/>
      </c>
      <c r="F128" s="18">
        <f>F116+F117+F118+F119+F120+F121+F122+F123+F124+F125+F126+F127</f>
        <v/>
      </c>
      <c r="G128" s="18">
        <f>G116+G117+G118+G119+G120+G121+G122+G123+G124+G125+G126+G127</f>
        <v/>
      </c>
      <c r="H128" s="18">
        <f>H116+H117+H118+H119+H120+H121+H122+H123+H124+H125+H126+H127</f>
        <v/>
      </c>
      <c r="I128" s="18">
        <f>I116+I117+I118+I119+I120+I121+I122+I123+I124+I125+I126+I127</f>
        <v/>
      </c>
      <c r="J128" s="18">
        <f>J116+J117+J118+J119+J120+J121+J122+J123+J124+J125+J126+J127</f>
        <v/>
      </c>
      <c r="K128" s="18">
        <f>K116+K117+K118+K119+K120+K121+K122+K123+K124+K125+K126+K127</f>
        <v/>
      </c>
      <c r="L128" s="18">
        <f>L116+L117+L118+L119+L120+L121+L122+L123+L124+L125+L126+L127</f>
        <v/>
      </c>
    </row>
    <row r="129">
      <c r="A129" t="inlineStr">
        <is>
          <t>Loyer des murs (avant acquisition)</t>
        </is>
      </c>
      <c r="B129" s="5">
        <f>SUM(C129:L129)</f>
        <v/>
      </c>
      <c r="C129" s="5">
        <f>-IF(C98=0,IF(C$92&gt;=$B$6,$B$18*C97,0),0)</f>
        <v/>
      </c>
      <c r="D129" s="5">
        <f>-IF(D98=0,IF(D$92&gt;=$B$6,$B$18*D97,0),0)</f>
        <v/>
      </c>
      <c r="E129" s="5">
        <f>-IF(E98=0,IF(E$92&gt;=$B$6,$B$18*E97,0),0)</f>
        <v/>
      </c>
      <c r="F129" s="5">
        <f>-IF(F98=0,IF(F$92&gt;=$B$6,$B$18*F97,0),0)</f>
        <v/>
      </c>
      <c r="G129" s="5">
        <f>-IF(G98=0,IF(G$92&gt;=$B$6,$B$18*G97,0),0)</f>
        <v/>
      </c>
      <c r="H129" s="5">
        <f>-IF(H98=0,IF(H$92&gt;=$B$6,$B$18*H97,0),0)</f>
        <v/>
      </c>
      <c r="I129" s="5">
        <f>-IF(I98=0,IF(I$92&gt;=$B$6,$B$18*I97,0),0)</f>
        <v/>
      </c>
      <c r="J129" s="5">
        <f>-IF(J98=0,IF(J$92&gt;=$B$6,$B$18*J97,0),0)</f>
        <v/>
      </c>
      <c r="K129" s="5">
        <f>-IF(K98=0,IF(K$92&gt;=$B$6,$B$18*K97,0),0)</f>
        <v/>
      </c>
      <c r="L129" s="5">
        <f>-IF(L98=0,IF(L$92&gt;=$B$6,$B$18*L97,0),0)</f>
        <v/>
      </c>
    </row>
    <row r="130">
      <c r="A130" s="4" t="inlineStr">
        <is>
          <t>EBITDA</t>
        </is>
      </c>
      <c r="B130" s="18">
        <f>SUM(C130:L130)</f>
        <v/>
      </c>
      <c r="C130" s="18">
        <f>C115+C128+C129</f>
        <v/>
      </c>
      <c r="D130" s="18">
        <f>D115+D128+D129</f>
        <v/>
      </c>
      <c r="E130" s="18">
        <f>E115+E128+E129</f>
        <v/>
      </c>
      <c r="F130" s="18">
        <f>F115+F128+F129</f>
        <v/>
      </c>
      <c r="G130" s="18">
        <f>G115+G128+G129</f>
        <v/>
      </c>
      <c r="H130" s="18">
        <f>H115+H128+H129</f>
        <v/>
      </c>
      <c r="I130" s="18">
        <f>I115+I128+I129</f>
        <v/>
      </c>
      <c r="J130" s="18">
        <f>J115+J128+J129</f>
        <v/>
      </c>
      <c r="K130" s="18">
        <f>K115+K128+K129</f>
        <v/>
      </c>
      <c r="L130" s="18">
        <f>L115+L128+L129</f>
        <v/>
      </c>
    </row>
    <row r="131">
      <c r="A131" t="inlineStr">
        <is>
          <t>Loyer de la partie privée (payé par le fondateur, dès qu'il occupe les murs)</t>
        </is>
      </c>
      <c r="B131" s="5">
        <f>SUM(C131:L131)</f>
        <v/>
      </c>
      <c r="C131" s="5">
        <f>C98*$B$20*C97</f>
        <v/>
      </c>
      <c r="D131" s="5">
        <f>D98*$B$20*D97</f>
        <v/>
      </c>
      <c r="E131" s="5">
        <f>E98*$B$20*E97</f>
        <v/>
      </c>
      <c r="F131" s="5">
        <f>F98*$B$20*F97</f>
        <v/>
      </c>
      <c r="G131" s="5">
        <f>G98*$B$20*G97</f>
        <v/>
      </c>
      <c r="H131" s="5">
        <f>H98*$B$20*H97</f>
        <v/>
      </c>
      <c r="I131" s="5">
        <f>I98*$B$20*I97</f>
        <v/>
      </c>
      <c r="J131" s="5">
        <f>J98*$B$20*J97</f>
        <v/>
      </c>
      <c r="K131" s="5">
        <f>K98*$B$20*K97</f>
        <v/>
      </c>
      <c r="L131" s="5">
        <f>L98*$B$20*L97</f>
        <v/>
      </c>
    </row>
    <row r="132">
      <c r="A132" t="inlineStr">
        <is>
          <t xml:space="preserve">  Marge d'EBITDA</t>
        </is>
      </c>
      <c r="C132" s="6">
        <f>IF(C111=0,0,C130/C111)</f>
        <v/>
      </c>
      <c r="D132" s="6">
        <f>IF(D111=0,0,D130/D111)</f>
        <v/>
      </c>
      <c r="E132" s="6">
        <f>IF(E111=0,0,E130/E111)</f>
        <v/>
      </c>
      <c r="F132" s="6">
        <f>IF(F111=0,0,F130/F111)</f>
        <v/>
      </c>
      <c r="G132" s="6">
        <f>IF(G111=0,0,G130/G111)</f>
        <v/>
      </c>
      <c r="H132" s="6">
        <f>IF(H111=0,0,H130/H111)</f>
        <v/>
      </c>
      <c r="I132" s="6">
        <f>IF(I111=0,0,I130/I111)</f>
        <v/>
      </c>
      <c r="J132" s="6">
        <f>IF(J111=0,0,J130/J111)</f>
        <v/>
      </c>
      <c r="K132" s="6">
        <f>IF(K111=0,0,K130/K111)</f>
        <v/>
      </c>
      <c r="L132" s="6">
        <f>IF(L111=0,0,L130/L111)</f>
        <v/>
      </c>
    </row>
    <row r="133">
      <c r="A133" t="inlineStr">
        <is>
          <t>Travaux et équipements initiaux</t>
        </is>
      </c>
      <c r="B133" s="5">
        <f>SUM(C133:L133)</f>
        <v/>
      </c>
      <c r="C133" s="5">
        <f>($B$10+$B$11+$B$12)*$B$46*IF(C$92=$B$5,$B$13,IF(C$92=$B$5+1,$B$14,IF(C$92=$B$5+2,$B$15,0)))*C97</f>
        <v/>
      </c>
      <c r="D133" s="5">
        <f>($B$10+$B$11+$B$12)*$B$46*IF(D$92=$B$5,$B$13,IF(D$92=$B$5+1,$B$14,IF(D$92=$B$5+2,$B$15,0)))*D97</f>
        <v/>
      </c>
      <c r="E133" s="5">
        <f>($B$10+$B$11+$B$12)*$B$46*IF(E$92=$B$5,$B$13,IF(E$92=$B$5+1,$B$14,IF(E$92=$B$5+2,$B$15,0)))*E97</f>
        <v/>
      </c>
      <c r="F133" s="5">
        <f>($B$10+$B$11+$B$12)*$B$46*IF(F$92=$B$5,$B$13,IF(F$92=$B$5+1,$B$14,IF(F$92=$B$5+2,$B$15,0)))*F97</f>
        <v/>
      </c>
      <c r="G133" s="5">
        <f>($B$10+$B$11+$B$12)*$B$46*IF(G$92=$B$5,$B$13,IF(G$92=$B$5+1,$B$14,IF(G$92=$B$5+2,$B$15,0)))*G97</f>
        <v/>
      </c>
      <c r="H133" s="5">
        <f>($B$10+$B$11+$B$12)*$B$46*IF(H$92=$B$5,$B$13,IF(H$92=$B$5+1,$B$14,IF(H$92=$B$5+2,$B$15,0)))*H97</f>
        <v/>
      </c>
      <c r="I133" s="5">
        <f>($B$10+$B$11+$B$12)*$B$46*IF(I$92=$B$5,$B$13,IF(I$92=$B$5+1,$B$14,IF(I$92=$B$5+2,$B$15,0)))*I97</f>
        <v/>
      </c>
      <c r="J133" s="5">
        <f>($B$10+$B$11+$B$12)*$B$46*IF(J$92=$B$5,$B$13,IF(J$92=$B$5+1,$B$14,IF(J$92=$B$5+2,$B$15,0)))*J97</f>
        <v/>
      </c>
      <c r="K133" s="5">
        <f>($B$10+$B$11+$B$12)*$B$46*IF(K$92=$B$5,$B$13,IF(K$92=$B$5+1,$B$14,IF(K$92=$B$5+2,$B$15,0)))*K97</f>
        <v/>
      </c>
      <c r="L133" s="5">
        <f>($B$10+$B$11+$B$12)*$B$46*IF(L$92=$B$5,$B$13,IF(L$92=$B$5+1,$B$14,IF(L$92=$B$5+2,$B$15,0)))*L97</f>
        <v/>
      </c>
    </row>
    <row r="134">
      <c r="A134" t="inlineStr">
        <is>
          <t>Travaux initiaux cumulés</t>
        </is>
      </c>
      <c r="C134" s="5">
        <f>C133</f>
        <v/>
      </c>
      <c r="D134" s="5">
        <f>C134+D133</f>
        <v/>
      </c>
      <c r="E134" s="5">
        <f>D134+E133</f>
        <v/>
      </c>
      <c r="F134" s="5">
        <f>E134+F133</f>
        <v/>
      </c>
      <c r="G134" s="5">
        <f>F134+G133</f>
        <v/>
      </c>
      <c r="H134" s="5">
        <f>G134+H133</f>
        <v/>
      </c>
      <c r="I134" s="5">
        <f>H134+I133</f>
        <v/>
      </c>
      <c r="J134" s="5">
        <f>I134+J133</f>
        <v/>
      </c>
      <c r="K134" s="5">
        <f>J134+K133</f>
        <v/>
      </c>
      <c r="L134" s="5">
        <f>K134+L133</f>
        <v/>
      </c>
    </row>
    <row r="135">
      <c r="A135" t="inlineStr">
        <is>
          <t>Acquisition (prix + frais)</t>
        </is>
      </c>
      <c r="B135" s="5">
        <f>SUM(C135:L135)</f>
        <v/>
      </c>
      <c r="C135" s="5">
        <f>IF(C$92=$B$5,$B$7*(1+$B$8),0)</f>
        <v/>
      </c>
      <c r="D135" s="5">
        <f>IF(D$92=$B$5,$B$7*(1+$B$8),0)</f>
        <v/>
      </c>
      <c r="E135" s="5">
        <f>IF(E$92=$B$5,$B$7*(1+$B$8),0)</f>
        <v/>
      </c>
      <c r="F135" s="5">
        <f>IF(F$92=$B$5,$B$7*(1+$B$8),0)</f>
        <v/>
      </c>
      <c r="G135" s="5">
        <f>IF(G$92=$B$5,$B$7*(1+$B$8),0)</f>
        <v/>
      </c>
      <c r="H135" s="5">
        <f>IF(H$92=$B$5,$B$7*(1+$B$8),0)</f>
        <v/>
      </c>
      <c r="I135" s="5">
        <f>IF(I$92=$B$5,$B$7*(1+$B$8),0)</f>
        <v/>
      </c>
      <c r="J135" s="5">
        <f>IF(J$92=$B$5,$B$7*(1+$B$8),0)</f>
        <v/>
      </c>
      <c r="K135" s="5">
        <f>IF(K$92=$B$5,$B$7*(1+$B$8),0)</f>
        <v/>
      </c>
      <c r="L135" s="5">
        <f>IF(L$92=$B$5,$B$7*(1+$B$8),0)</f>
        <v/>
      </c>
    </row>
    <row r="136">
      <c r="A136" t="inlineStr">
        <is>
          <t>Gros entretien patrimonial récurrent (% de la valeur du bâti + travaux)</t>
        </is>
      </c>
      <c r="B136" s="5">
        <f>SUM(C136:L136)</f>
        <v/>
      </c>
      <c r="C136" s="5">
        <f>IF(C$92&gt;=$B$5+3,$B$16*($B$7*$B$9+($B$10+$B$11+$B$12)*$B$46)*C97,0)</f>
        <v/>
      </c>
      <c r="D136" s="5">
        <f>IF(D$92&gt;=$B$5+3,$B$16*($B$7*$B$9+($B$10+$B$11+$B$12)*$B$46)*D97,0)</f>
        <v/>
      </c>
      <c r="E136" s="5">
        <f>IF(E$92&gt;=$B$5+3,$B$16*($B$7*$B$9+($B$10+$B$11+$B$12)*$B$46)*E97,0)</f>
        <v/>
      </c>
      <c r="F136" s="5">
        <f>IF(F$92&gt;=$B$5+3,$B$16*($B$7*$B$9+($B$10+$B$11+$B$12)*$B$46)*F97,0)</f>
        <v/>
      </c>
      <c r="G136" s="5">
        <f>IF(G$92&gt;=$B$5+3,$B$16*($B$7*$B$9+($B$10+$B$11+$B$12)*$B$46)*G97,0)</f>
        <v/>
      </c>
      <c r="H136" s="5">
        <f>IF(H$92&gt;=$B$5+3,$B$16*($B$7*$B$9+($B$10+$B$11+$B$12)*$B$46)*H97,0)</f>
        <v/>
      </c>
      <c r="I136" s="5">
        <f>IF(I$92&gt;=$B$5+3,$B$16*($B$7*$B$9+($B$10+$B$11+$B$12)*$B$46)*I97,0)</f>
        <v/>
      </c>
      <c r="J136" s="5">
        <f>IF(J$92&gt;=$B$5+3,$B$16*($B$7*$B$9+($B$10+$B$11+$B$12)*$B$46)*J97,0)</f>
        <v/>
      </c>
      <c r="K136" s="5">
        <f>IF(K$92&gt;=$B$5+3,$B$16*($B$7*$B$9+($B$10+$B$11+$B$12)*$B$46)*K97,0)</f>
        <v/>
      </c>
      <c r="L136" s="5">
        <f>IF(L$92&gt;=$B$5+3,$B$16*($B$7*$B$9+($B$10+$B$11+$B$12)*$B$46)*L97,0)</f>
        <v/>
      </c>
    </row>
    <row r="137">
      <c r="A137" t="inlineStr">
        <is>
          <t>Investissements amortissables cumulés</t>
        </is>
      </c>
      <c r="C137" s="5">
        <f>C133+C136</f>
        <v/>
      </c>
      <c r="D137" s="5">
        <f>C137+D133+D136</f>
        <v/>
      </c>
      <c r="E137" s="5">
        <f>D137+E133+E136</f>
        <v/>
      </c>
      <c r="F137" s="5">
        <f>E137+F133+F136</f>
        <v/>
      </c>
      <c r="G137" s="5">
        <f>F137+G133+G136</f>
        <v/>
      </c>
      <c r="H137" s="5">
        <f>G137+H133+H136</f>
        <v/>
      </c>
      <c r="I137" s="5">
        <f>H137+I133+I136</f>
        <v/>
      </c>
      <c r="J137" s="5">
        <f>I137+J133+J136</f>
        <v/>
      </c>
      <c r="K137" s="5">
        <f>J137+K133+K136</f>
        <v/>
      </c>
      <c r="L137" s="5">
        <f>K137+L133+L136</f>
        <v/>
      </c>
    </row>
    <row r="138">
      <c r="A138" t="inlineStr">
        <is>
          <t>Dotations aux amortissements (bâti 30 ans, travaux 15 ans)</t>
        </is>
      </c>
      <c r="B138" s="5">
        <f>SUM(C138:L138)</f>
        <v/>
      </c>
      <c r="C138" s="5">
        <f>-(C98*$B$7*(1+$B$8)*$B$9/30+C137/15)</f>
        <v/>
      </c>
      <c r="D138" s="5">
        <f>-(D98*$B$7*(1+$B$8)*$B$9/30+D137/15)</f>
        <v/>
      </c>
      <c r="E138" s="5">
        <f>-(E98*$B$7*(1+$B$8)*$B$9/30+E137/15)</f>
        <v/>
      </c>
      <c r="F138" s="5">
        <f>-(F98*$B$7*(1+$B$8)*$B$9/30+F137/15)</f>
        <v/>
      </c>
      <c r="G138" s="5">
        <f>-(G98*$B$7*(1+$B$8)*$B$9/30+G137/15)</f>
        <v/>
      </c>
      <c r="H138" s="5">
        <f>-(H98*$B$7*(1+$B$8)*$B$9/30+H137/15)</f>
        <v/>
      </c>
      <c r="I138" s="5">
        <f>-(I98*$B$7*(1+$B$8)*$B$9/30+I137/15)</f>
        <v/>
      </c>
      <c r="J138" s="5">
        <f>-(J98*$B$7*(1+$B$8)*$B$9/30+J137/15)</f>
        <v/>
      </c>
      <c r="K138" s="5">
        <f>-(K98*$B$7*(1+$B$8)*$B$9/30+K137/15)</f>
        <v/>
      </c>
      <c r="L138" s="5">
        <f>-(L98*$B$7*(1+$B$8)*$B$9/30+L137/15)</f>
        <v/>
      </c>
    </row>
    <row r="139">
      <c r="A139" s="4" t="inlineStr">
        <is>
          <t>Résultat d'exploitation</t>
        </is>
      </c>
      <c r="B139" s="18">
        <f>SUM(C139:L139)</f>
        <v/>
      </c>
      <c r="C139" s="18">
        <f>C130+C138</f>
        <v/>
      </c>
      <c r="D139" s="18">
        <f>D130+D138</f>
        <v/>
      </c>
      <c r="E139" s="18">
        <f>E130+E138</f>
        <v/>
      </c>
      <c r="F139" s="18">
        <f>F130+F138</f>
        <v/>
      </c>
      <c r="G139" s="18">
        <f>G130+G138</f>
        <v/>
      </c>
      <c r="H139" s="18">
        <f>H130+H138</f>
        <v/>
      </c>
      <c r="I139" s="18">
        <f>I130+I138</f>
        <v/>
      </c>
      <c r="J139" s="18">
        <f>J130+J138</f>
        <v/>
      </c>
      <c r="K139" s="18">
        <f>K130+K138</f>
        <v/>
      </c>
      <c r="L139" s="18">
        <f>L130+L138</f>
        <v/>
      </c>
    </row>
    <row r="141">
      <c r="A141" s="4" t="inlineStr">
        <is>
          <t>Échéancier des emprunts</t>
        </is>
      </c>
    </row>
    <row r="142">
      <c r="A142" t="inlineStr">
        <is>
          <t>Taux bancaire effectif</t>
        </is>
      </c>
      <c r="C142" s="6">
        <f>$B$28+$B$48</f>
        <v/>
      </c>
      <c r="D142" s="6">
        <f>$B$28+$B$48</f>
        <v/>
      </c>
      <c r="E142" s="6">
        <f>$B$28+$B$48</f>
        <v/>
      </c>
      <c r="F142" s="6">
        <f>$B$28+$B$48</f>
        <v/>
      </c>
      <c r="G142" s="6">
        <f>$B$28+$B$48</f>
        <v/>
      </c>
      <c r="H142" s="6">
        <f>$B$28+$B$48</f>
        <v/>
      </c>
      <c r="I142" s="6">
        <f>$B$28+$B$48</f>
        <v/>
      </c>
      <c r="J142" s="6">
        <f>$B$28+$B$48</f>
        <v/>
      </c>
      <c r="K142" s="6">
        <f>$B$28+$B$48</f>
        <v/>
      </c>
      <c r="L142" s="6">
        <f>$B$28+$B$48</f>
        <v/>
      </c>
    </row>
    <row r="143">
      <c r="A143" t="inlineStr">
        <is>
          <t>Rang de l'année d'emprunt</t>
        </is>
      </c>
      <c r="C143" s="8">
        <f>MAX(0,C$92-$B$5+1)</f>
        <v/>
      </c>
      <c r="D143" s="8">
        <f>MAX(0,D$92-$B$5+1)</f>
        <v/>
      </c>
      <c r="E143" s="8">
        <f>MAX(0,E$92-$B$5+1)</f>
        <v/>
      </c>
      <c r="F143" s="8">
        <f>MAX(0,F$92-$B$5+1)</f>
        <v/>
      </c>
      <c r="G143" s="8">
        <f>MAX(0,G$92-$B$5+1)</f>
        <v/>
      </c>
      <c r="H143" s="8">
        <f>MAX(0,H$92-$B$5+1)</f>
        <v/>
      </c>
      <c r="I143" s="8">
        <f>MAX(0,I$92-$B$5+1)</f>
        <v/>
      </c>
      <c r="J143" s="8">
        <f>MAX(0,J$92-$B$5+1)</f>
        <v/>
      </c>
      <c r="K143" s="8">
        <f>MAX(0,K$92-$B$5+1)</f>
        <v/>
      </c>
      <c r="L143" s="8">
        <f>MAX(0,L$92-$B$5+1)</f>
        <v/>
      </c>
    </row>
    <row r="144">
      <c r="A144" t="inlineStr">
        <is>
          <t>Dette bancaire — capital début</t>
        </is>
      </c>
      <c r="C144" s="5">
        <f>IF(C143=1,$B$27,0)</f>
        <v/>
      </c>
      <c r="D144" s="5">
        <f>IF(D143=1,$B$27,C147)</f>
        <v/>
      </c>
      <c r="E144" s="5">
        <f>IF(E143=1,$B$27,D147)</f>
        <v/>
      </c>
      <c r="F144" s="5">
        <f>IF(F143=1,$B$27,E147)</f>
        <v/>
      </c>
      <c r="G144" s="5">
        <f>IF(G143=1,$B$27,F147)</f>
        <v/>
      </c>
      <c r="H144" s="5">
        <f>IF(H143=1,$B$27,G147)</f>
        <v/>
      </c>
      <c r="I144" s="5">
        <f>IF(I143=1,$B$27,H147)</f>
        <v/>
      </c>
      <c r="J144" s="5">
        <f>IF(J143=1,$B$27,I147)</f>
        <v/>
      </c>
      <c r="K144" s="5">
        <f>IF(K143=1,$B$27,J147)</f>
        <v/>
      </c>
      <c r="L144" s="5">
        <f>IF(L143=1,$B$27,K147)</f>
        <v/>
      </c>
    </row>
    <row r="145">
      <c r="A145" t="inlineStr">
        <is>
          <t xml:space="preserve">  Intérêts</t>
        </is>
      </c>
      <c r="B145" s="5">
        <f>SUM(C145:L145)</f>
        <v/>
      </c>
      <c r="C145" s="5">
        <f>C144*C142</f>
        <v/>
      </c>
      <c r="D145" s="5">
        <f>D144*D142</f>
        <v/>
      </c>
      <c r="E145" s="5">
        <f>E144*E142</f>
        <v/>
      </c>
      <c r="F145" s="5">
        <f>F144*F142</f>
        <v/>
      </c>
      <c r="G145" s="5">
        <f>G144*G142</f>
        <v/>
      </c>
      <c r="H145" s="5">
        <f>H144*H142</f>
        <v/>
      </c>
      <c r="I145" s="5">
        <f>I144*I142</f>
        <v/>
      </c>
      <c r="J145" s="5">
        <f>J144*J142</f>
        <v/>
      </c>
      <c r="K145" s="5">
        <f>K144*K142</f>
        <v/>
      </c>
      <c r="L145" s="5">
        <f>L144*L142</f>
        <v/>
      </c>
    </row>
    <row r="146">
      <c r="A146" t="inlineStr">
        <is>
          <t xml:space="preserve">  Amortissement du capital</t>
        </is>
      </c>
      <c r="B146" s="5">
        <f>SUM(C146:L146)</f>
        <v/>
      </c>
      <c r="C146" s="5">
        <f>IF(OR(C143=0,C143&lt;=$B$30,C144&lt;=0),0,MIN(C144,PMT(C142,$B$29-$B$30,-$B$27)-C145))</f>
        <v/>
      </c>
      <c r="D146" s="5">
        <f>IF(OR(D143=0,D143&lt;=$B$30,D144&lt;=0),0,MIN(D144,PMT(D142,$B$29-$B$30,-$B$27)-D145))</f>
        <v/>
      </c>
      <c r="E146" s="5">
        <f>IF(OR(E143=0,E143&lt;=$B$30,E144&lt;=0),0,MIN(E144,PMT(E142,$B$29-$B$30,-$B$27)-E145))</f>
        <v/>
      </c>
      <c r="F146" s="5">
        <f>IF(OR(F143=0,F143&lt;=$B$30,F144&lt;=0),0,MIN(F144,PMT(F142,$B$29-$B$30,-$B$27)-F145))</f>
        <v/>
      </c>
      <c r="G146" s="5">
        <f>IF(OR(G143=0,G143&lt;=$B$30,G144&lt;=0),0,MIN(G144,PMT(G142,$B$29-$B$30,-$B$27)-G145))</f>
        <v/>
      </c>
      <c r="H146" s="5">
        <f>IF(OR(H143=0,H143&lt;=$B$30,H144&lt;=0),0,MIN(H144,PMT(H142,$B$29-$B$30,-$B$27)-H145))</f>
        <v/>
      </c>
      <c r="I146" s="5">
        <f>IF(OR(I143=0,I143&lt;=$B$30,I144&lt;=0),0,MIN(I144,PMT(I142,$B$29-$B$30,-$B$27)-I145))</f>
        <v/>
      </c>
      <c r="J146" s="5">
        <f>IF(OR(J143=0,J143&lt;=$B$30,J144&lt;=0),0,MIN(J144,PMT(J142,$B$29-$B$30,-$B$27)-J145))</f>
        <v/>
      </c>
      <c r="K146" s="5">
        <f>IF(OR(K143=0,K143&lt;=$B$30,K144&lt;=0),0,MIN(K144,PMT(K142,$B$29-$B$30,-$B$27)-K145))</f>
        <v/>
      </c>
      <c r="L146" s="5">
        <f>IF(OR(L143=0,L143&lt;=$B$30,L144&lt;=0),0,MIN(L144,PMT(L142,$B$29-$B$30,-$B$27)-L145))</f>
        <v/>
      </c>
    </row>
    <row r="147">
      <c r="A147" t="inlineStr">
        <is>
          <t>Dette bancaire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Crédit-vendeur — capital début</t>
        </is>
      </c>
      <c r="C148" s="5">
        <f>IF(C143=1,$B$31,0)</f>
        <v/>
      </c>
      <c r="D148" s="5">
        <f>IF(D143=1,$B$31,C151)</f>
        <v/>
      </c>
      <c r="E148" s="5">
        <f>IF(E143=1,$B$31,D151)</f>
        <v/>
      </c>
      <c r="F148" s="5">
        <f>IF(F143=1,$B$31,E151)</f>
        <v/>
      </c>
      <c r="G148" s="5">
        <f>IF(G143=1,$B$31,F151)</f>
        <v/>
      </c>
      <c r="H148" s="5">
        <f>IF(H143=1,$B$31,G151)</f>
        <v/>
      </c>
      <c r="I148" s="5">
        <f>IF(I143=1,$B$31,H151)</f>
        <v/>
      </c>
      <c r="J148" s="5">
        <f>IF(J143=1,$B$31,I151)</f>
        <v/>
      </c>
      <c r="K148" s="5">
        <f>IF(K143=1,$B$31,J151)</f>
        <v/>
      </c>
      <c r="L148" s="5">
        <f>IF(L143=1,$B$31,K151)</f>
        <v/>
      </c>
    </row>
    <row r="149">
      <c r="A149" t="inlineStr">
        <is>
          <t xml:space="preserve">  Intérêts crédit-vendeur</t>
        </is>
      </c>
      <c r="B149" s="5">
        <f>SUM(C149:L149)</f>
        <v/>
      </c>
      <c r="C149" s="5">
        <f>C148*$B$32</f>
        <v/>
      </c>
      <c r="D149" s="5">
        <f>D148*$B$32</f>
        <v/>
      </c>
      <c r="E149" s="5">
        <f>E148*$B$32</f>
        <v/>
      </c>
      <c r="F149" s="5">
        <f>F148*$B$32</f>
        <v/>
      </c>
      <c r="G149" s="5">
        <f>G148*$B$32</f>
        <v/>
      </c>
      <c r="H149" s="5">
        <f>H148*$B$32</f>
        <v/>
      </c>
      <c r="I149" s="5">
        <f>I148*$B$32</f>
        <v/>
      </c>
      <c r="J149" s="5">
        <f>J148*$B$32</f>
        <v/>
      </c>
      <c r="K149" s="5">
        <f>K148*$B$32</f>
        <v/>
      </c>
      <c r="L149" s="5">
        <f>L148*$B$32</f>
        <v/>
      </c>
    </row>
    <row r="150">
      <c r="A150" t="inlineStr">
        <is>
          <t xml:space="preserve">  Amortissement crédit-vendeur</t>
        </is>
      </c>
      <c r="B150" s="5">
        <f>SUM(C150:L150)</f>
        <v/>
      </c>
      <c r="C150" s="5">
        <f>IF(OR(C143=0,C148&lt;=0),0,MIN(C148,IF($B$32=0,$B$31/$B$33,PMT($B$32,$B$33,-$B$31)-C149)))</f>
        <v/>
      </c>
      <c r="D150" s="5">
        <f>IF(OR(D143=0,D148&lt;=0),0,MIN(D148,IF($B$32=0,$B$31/$B$33,PMT($B$32,$B$33,-$B$31)-D149)))</f>
        <v/>
      </c>
      <c r="E150" s="5">
        <f>IF(OR(E143=0,E148&lt;=0),0,MIN(E148,IF($B$32=0,$B$31/$B$33,PMT($B$32,$B$33,-$B$31)-E149)))</f>
        <v/>
      </c>
      <c r="F150" s="5">
        <f>IF(OR(F143=0,F148&lt;=0),0,MIN(F148,IF($B$32=0,$B$31/$B$33,PMT($B$32,$B$33,-$B$31)-F149)))</f>
        <v/>
      </c>
      <c r="G150" s="5">
        <f>IF(OR(G143=0,G148&lt;=0),0,MIN(G148,IF($B$32=0,$B$31/$B$33,PMT($B$32,$B$33,-$B$31)-G149)))</f>
        <v/>
      </c>
      <c r="H150" s="5">
        <f>IF(OR(H143=0,H148&lt;=0),0,MIN(H148,IF($B$32=0,$B$31/$B$33,PMT($B$32,$B$33,-$B$31)-H149)))</f>
        <v/>
      </c>
      <c r="I150" s="5">
        <f>IF(OR(I143=0,I148&lt;=0),0,MIN(I148,IF($B$32=0,$B$31/$B$33,PMT($B$32,$B$33,-$B$31)-I149)))</f>
        <v/>
      </c>
      <c r="J150" s="5">
        <f>IF(OR(J143=0,J148&lt;=0),0,MIN(J148,IF($B$32=0,$B$31/$B$33,PMT($B$32,$B$33,-$B$31)-J149)))</f>
        <v/>
      </c>
      <c r="K150" s="5">
        <f>IF(OR(K143=0,K148&lt;=0),0,MIN(K148,IF($B$32=0,$B$31/$B$33,PMT($B$32,$B$33,-$B$31)-K149)))</f>
        <v/>
      </c>
      <c r="L150" s="5">
        <f>IF(OR(L143=0,L148&lt;=0),0,MIN(L148,IF($B$32=0,$B$31/$B$33,PMT($B$32,$B$33,-$B$31)-L149)))</f>
        <v/>
      </c>
    </row>
    <row r="151">
      <c r="A151" t="inlineStr">
        <is>
          <t>Crédit-vendeur — capital fin</t>
        </is>
      </c>
      <c r="C151" s="5">
        <f>C148-C150</f>
        <v/>
      </c>
      <c r="D151" s="5">
        <f>D148-D150</f>
        <v/>
      </c>
      <c r="E151" s="5">
        <f>E148-E150</f>
        <v/>
      </c>
      <c r="F151" s="5">
        <f>F148-F150</f>
        <v/>
      </c>
      <c r="G151" s="5">
        <f>G148-G150</f>
        <v/>
      </c>
      <c r="H151" s="5">
        <f>H148-H150</f>
        <v/>
      </c>
      <c r="I151" s="5">
        <f>I148-I150</f>
        <v/>
      </c>
      <c r="J151" s="5">
        <f>J148-J150</f>
        <v/>
      </c>
      <c r="K151" s="5">
        <f>K148-K150</f>
        <v/>
      </c>
      <c r="L151" s="5">
        <f>L148-L150</f>
        <v/>
      </c>
    </row>
    <row r="152">
      <c r="A152" t="inlineStr">
        <is>
          <t>Obligations — encours</t>
        </is>
      </c>
      <c r="C152" s="5">
        <f>IF(AND(C$92&gt;=$B$5,C$92&lt;=$B$36),$B$34,0)</f>
        <v/>
      </c>
      <c r="D152" s="5">
        <f>IF(AND(D$92&gt;=$B$5,D$92&lt;=$B$36),$B$34,0)</f>
        <v/>
      </c>
      <c r="E152" s="5">
        <f>IF(AND(E$92&gt;=$B$5,E$92&lt;=$B$36),$B$34,0)</f>
        <v/>
      </c>
      <c r="F152" s="5">
        <f>IF(AND(F$92&gt;=$B$5,F$92&lt;=$B$36),$B$34,0)</f>
        <v/>
      </c>
      <c r="G152" s="5">
        <f>IF(AND(G$92&gt;=$B$5,G$92&lt;=$B$36),$B$34,0)</f>
        <v/>
      </c>
      <c r="H152" s="5">
        <f>IF(AND(H$92&gt;=$B$5,H$92&lt;=$B$36),$B$34,0)</f>
        <v/>
      </c>
      <c r="I152" s="5">
        <f>IF(AND(I$92&gt;=$B$5,I$92&lt;=$B$36),$B$34,0)</f>
        <v/>
      </c>
      <c r="J152" s="5">
        <f>IF(AND(J$92&gt;=$B$5,J$92&lt;=$B$36),$B$34,0)</f>
        <v/>
      </c>
      <c r="K152" s="5">
        <f>IF(AND(K$92&gt;=$B$5,K$92&lt;=$B$36),$B$34,0)</f>
        <v/>
      </c>
      <c r="L152" s="5">
        <f>IF(AND(L$92&gt;=$B$5,L$92&lt;=$B$36),$B$34,0)</f>
        <v/>
      </c>
    </row>
    <row r="153">
      <c r="A153" t="inlineStr">
        <is>
          <t xml:space="preserve">  Coupons obligataires</t>
        </is>
      </c>
      <c r="B153" s="5">
        <f>SUM(C153:L153)</f>
        <v/>
      </c>
      <c r="C153" s="5">
        <f>C152*$B$35</f>
        <v/>
      </c>
      <c r="D153" s="5">
        <f>D152*$B$35</f>
        <v/>
      </c>
      <c r="E153" s="5">
        <f>E152*$B$35</f>
        <v/>
      </c>
      <c r="F153" s="5">
        <f>F152*$B$35</f>
        <v/>
      </c>
      <c r="G153" s="5">
        <f>G152*$B$35</f>
        <v/>
      </c>
      <c r="H153" s="5">
        <f>H152*$B$35</f>
        <v/>
      </c>
      <c r="I153" s="5">
        <f>I152*$B$35</f>
        <v/>
      </c>
      <c r="J153" s="5">
        <f>J152*$B$35</f>
        <v/>
      </c>
      <c r="K153" s="5">
        <f>K152*$B$35</f>
        <v/>
      </c>
      <c r="L153" s="5">
        <f>L152*$B$35</f>
        <v/>
      </c>
    </row>
    <row r="154">
      <c r="A154" t="inlineStr">
        <is>
          <t xml:space="preserve">  Remboursement obligations</t>
        </is>
      </c>
      <c r="B154" s="5">
        <f>SUM(C154:L154)</f>
        <v/>
      </c>
      <c r="C154" s="5">
        <f>IF(C$92=$B$36,$B$34,0)</f>
        <v/>
      </c>
      <c r="D154" s="5">
        <f>IF(D$92=$B$36,$B$34,0)</f>
        <v/>
      </c>
      <c r="E154" s="5">
        <f>IF(E$92=$B$36,$B$34,0)</f>
        <v/>
      </c>
      <c r="F154" s="5">
        <f>IF(F$92=$B$36,$B$34,0)</f>
        <v/>
      </c>
      <c r="G154" s="5">
        <f>IF(G$92=$B$36,$B$34,0)</f>
        <v/>
      </c>
      <c r="H154" s="5">
        <f>IF(H$92=$B$36,$B$34,0)</f>
        <v/>
      </c>
      <c r="I154" s="5">
        <f>IF(I$92=$B$36,$B$34,0)</f>
        <v/>
      </c>
      <c r="J154" s="5">
        <f>IF(J$92=$B$36,$B$34,0)</f>
        <v/>
      </c>
      <c r="K154" s="5">
        <f>IF(K$92=$B$36,$B$34,0)</f>
        <v/>
      </c>
      <c r="L154" s="5">
        <f>IF(L$92=$B$36,$B$34,0)</f>
        <v/>
      </c>
    </row>
    <row r="156">
      <c r="A156" t="inlineStr">
        <is>
          <t>Charges financières</t>
        </is>
      </c>
      <c r="B156" s="5">
        <f>SUM(C156:L156)</f>
        <v/>
      </c>
      <c r="C156" s="5">
        <f>-(C145+C149+C153)</f>
        <v/>
      </c>
      <c r="D156" s="5">
        <f>-(D145+D149+D153)</f>
        <v/>
      </c>
      <c r="E156" s="5">
        <f>-(E145+E149+E153)</f>
        <v/>
      </c>
      <c r="F156" s="5">
        <f>-(F145+F149+F153)</f>
        <v/>
      </c>
      <c r="G156" s="5">
        <f>-(G145+G149+G153)</f>
        <v/>
      </c>
      <c r="H156" s="5">
        <f>-(H145+H149+H153)</f>
        <v/>
      </c>
      <c r="I156" s="5">
        <f>-(I145+I149+I153)</f>
        <v/>
      </c>
      <c r="J156" s="5">
        <f>-(J145+J149+J153)</f>
        <v/>
      </c>
      <c r="K156" s="5">
        <f>-(K145+K149+K153)</f>
        <v/>
      </c>
      <c r="L156" s="5">
        <f>-(L145+L149+L153)</f>
        <v/>
      </c>
    </row>
    <row r="157">
      <c r="A157" s="4" t="inlineStr">
        <is>
          <t>Résultat avant impôt</t>
        </is>
      </c>
      <c r="B157" s="18">
        <f>SUM(C157:L157)</f>
        <v/>
      </c>
      <c r="C157" s="18">
        <f>C139+C156+C131</f>
        <v/>
      </c>
      <c r="D157" s="18">
        <f>D139+D156+D131</f>
        <v/>
      </c>
      <c r="E157" s="18">
        <f>E139+E156+E131</f>
        <v/>
      </c>
      <c r="F157" s="18">
        <f>F139+F156+F131</f>
        <v/>
      </c>
      <c r="G157" s="18">
        <f>G139+G156+G131</f>
        <v/>
      </c>
      <c r="H157" s="18">
        <f>H139+H156+H131</f>
        <v/>
      </c>
      <c r="I157" s="18">
        <f>I139+I156+I131</f>
        <v/>
      </c>
      <c r="J157" s="18">
        <f>J139+J156+J131</f>
        <v/>
      </c>
      <c r="K157" s="18">
        <f>K139+K156+K131</f>
        <v/>
      </c>
      <c r="L157" s="18">
        <f>L139+L156+L131</f>
        <v/>
      </c>
    </row>
    <row r="158">
      <c r="A158" t="inlineStr">
        <is>
          <t>Stock de déficits reportables (fin d'année)</t>
        </is>
      </c>
      <c r="C158" s="5">
        <f>MAX(0,-C157)</f>
        <v/>
      </c>
      <c r="D158" s="5">
        <f>MAX(0,C158-D157)</f>
        <v/>
      </c>
      <c r="E158" s="5">
        <f>MAX(0,D158-E157)</f>
        <v/>
      </c>
      <c r="F158" s="5">
        <f>MAX(0,E158-F157)</f>
        <v/>
      </c>
      <c r="G158" s="5">
        <f>MAX(0,F158-G157)</f>
        <v/>
      </c>
      <c r="H158" s="5">
        <f>MAX(0,G158-H157)</f>
        <v/>
      </c>
      <c r="I158" s="5">
        <f>MAX(0,H158-I157)</f>
        <v/>
      </c>
      <c r="J158" s="5">
        <f>MAX(0,I158-J157)</f>
        <v/>
      </c>
      <c r="K158" s="5">
        <f>MAX(0,J158-K157)</f>
        <v/>
      </c>
      <c r="L158" s="5">
        <f>MAX(0,K158-L157)</f>
        <v/>
      </c>
    </row>
    <row r="159">
      <c r="A159" t="inlineStr">
        <is>
          <t>Impôt sur les sociétés</t>
        </is>
      </c>
      <c r="B159" s="5">
        <f>SUM(C159:L159)</f>
        <v/>
      </c>
      <c r="C159" s="5">
        <f>-(MIN(MAX(0,C157),$B$61)*$B$60+MAX(0,MAX(0,C157)-$B$61)*$B$59)</f>
        <v/>
      </c>
      <c r="D159" s="5">
        <f>-(MIN(MAX(0,D157-C158),$B$61)*$B$60+MAX(0,MAX(0,D157-C158)-$B$61)*$B$59)</f>
        <v/>
      </c>
      <c r="E159" s="5">
        <f>-(MIN(MAX(0,E157-D158),$B$61)*$B$60+MAX(0,MAX(0,E157-D158)-$B$61)*$B$59)</f>
        <v/>
      </c>
      <c r="F159" s="5">
        <f>-(MIN(MAX(0,F157-E158),$B$61)*$B$60+MAX(0,MAX(0,F157-E158)-$B$61)*$B$59)</f>
        <v/>
      </c>
      <c r="G159" s="5">
        <f>-(MIN(MAX(0,G157-F158),$B$61)*$B$60+MAX(0,MAX(0,G157-F158)-$B$61)*$B$59)</f>
        <v/>
      </c>
      <c r="H159" s="5">
        <f>-(MIN(MAX(0,H157-G158),$B$61)*$B$60+MAX(0,MAX(0,H157-G158)-$B$61)*$B$59)</f>
        <v/>
      </c>
      <c r="I159" s="5">
        <f>-(MIN(MAX(0,I157-H158),$B$61)*$B$60+MAX(0,MAX(0,I157-H158)-$B$61)*$B$59)</f>
        <v/>
      </c>
      <c r="J159" s="5">
        <f>-(MIN(MAX(0,J157-I158),$B$61)*$B$60+MAX(0,MAX(0,J157-I158)-$B$61)*$B$59)</f>
        <v/>
      </c>
      <c r="K159" s="5">
        <f>-(MIN(MAX(0,K157-J158),$B$61)*$B$60+MAX(0,MAX(0,K157-J158)-$B$61)*$B$59)</f>
        <v/>
      </c>
      <c r="L159" s="5">
        <f>-(MIN(MAX(0,L157-K158),$B$61)*$B$60+MAX(0,MAX(0,L157-K158)-$B$61)*$B$59)</f>
        <v/>
      </c>
    </row>
    <row r="160">
      <c r="A160" s="4" t="inlineStr">
        <is>
          <t>Résultat net</t>
        </is>
      </c>
      <c r="B160" s="18">
        <f>SUM(C160:L160)</f>
        <v/>
      </c>
      <c r="C160" s="18">
        <f>C157+C159</f>
        <v/>
      </c>
      <c r="D160" s="18">
        <f>D157+D159</f>
        <v/>
      </c>
      <c r="E160" s="18">
        <f>E157+E159</f>
        <v/>
      </c>
      <c r="F160" s="18">
        <f>F157+F159</f>
        <v/>
      </c>
      <c r="G160" s="18">
        <f>G157+G159</f>
        <v/>
      </c>
      <c r="H160" s="18">
        <f>H157+H159</f>
        <v/>
      </c>
      <c r="I160" s="18">
        <f>I157+I159</f>
        <v/>
      </c>
      <c r="J160" s="18">
        <f>J157+J159</f>
        <v/>
      </c>
      <c r="K160" s="18">
        <f>K157+K159</f>
        <v/>
      </c>
      <c r="L160" s="18">
        <f>L157+L159</f>
        <v/>
      </c>
    </row>
    <row r="162">
      <c r="A162" s="4" t="inlineStr">
        <is>
          <t>Tableau des flux de trésorerie</t>
        </is>
      </c>
    </row>
    <row r="163">
      <c r="A163" t="inlineStr">
        <is>
          <t>BFR (niveau)</t>
        </is>
      </c>
      <c r="C163" s="5">
        <f>C111*$B$58</f>
        <v/>
      </c>
      <c r="D163" s="5">
        <f>D111*$B$58</f>
        <v/>
      </c>
      <c r="E163" s="5">
        <f>E111*$B$58</f>
        <v/>
      </c>
      <c r="F163" s="5">
        <f>F111*$B$58</f>
        <v/>
      </c>
      <c r="G163" s="5">
        <f>G111*$B$58</f>
        <v/>
      </c>
      <c r="H163" s="5">
        <f>H111*$B$58</f>
        <v/>
      </c>
      <c r="I163" s="5">
        <f>I111*$B$58</f>
        <v/>
      </c>
      <c r="J163" s="5">
        <f>J111*$B$58</f>
        <v/>
      </c>
      <c r="K163" s="5">
        <f>K111*$B$58</f>
        <v/>
      </c>
      <c r="L163" s="5">
        <f>L111*$B$58</f>
        <v/>
      </c>
    </row>
    <row r="164">
      <c r="A164" t="inlineStr">
        <is>
          <t>Variation du BFR</t>
        </is>
      </c>
      <c r="B164" s="5">
        <f>SUM(C164:L164)</f>
        <v/>
      </c>
      <c r="C164" s="5">
        <f>-C163</f>
        <v/>
      </c>
      <c r="D164" s="5">
        <f>-(D163-C163)</f>
        <v/>
      </c>
      <c r="E164" s="5">
        <f>-(E163-D163)</f>
        <v/>
      </c>
      <c r="F164" s="5">
        <f>-(F163-E163)</f>
        <v/>
      </c>
      <c r="G164" s="5">
        <f>-(G163-F163)</f>
        <v/>
      </c>
      <c r="H164" s="5">
        <f>-(H163-G163)</f>
        <v/>
      </c>
      <c r="I164" s="5">
        <f>-(I163-H163)</f>
        <v/>
      </c>
      <c r="J164" s="5">
        <f>-(J163-I163)</f>
        <v/>
      </c>
      <c r="K164" s="5">
        <f>-(K163-J163)</f>
        <v/>
      </c>
      <c r="L164" s="5">
        <f>-(L163-K163)</f>
        <v/>
      </c>
    </row>
    <row r="165">
      <c r="A165" s="4" t="inlineStr">
        <is>
          <t>Flux d'exploitation (EBITDA + loyer privé − IS − ΔBFR)</t>
        </is>
      </c>
      <c r="B165" s="18">
        <f>SUM(C165:L165)</f>
        <v/>
      </c>
      <c r="C165" s="18">
        <f>C130+C131+C159+C164</f>
        <v/>
      </c>
      <c r="D165" s="18">
        <f>D130+D131+D159+D164</f>
        <v/>
      </c>
      <c r="E165" s="18">
        <f>E130+E131+E159+E164</f>
        <v/>
      </c>
      <c r="F165" s="18">
        <f>F130+F131+F159+F164</f>
        <v/>
      </c>
      <c r="G165" s="18">
        <f>G130+G131+G159+G164</f>
        <v/>
      </c>
      <c r="H165" s="18">
        <f>H130+H131+H159+H164</f>
        <v/>
      </c>
      <c r="I165" s="18">
        <f>I130+I131+I159+I164</f>
        <v/>
      </c>
      <c r="J165" s="18">
        <f>J130+J131+J159+J164</f>
        <v/>
      </c>
      <c r="K165" s="18">
        <f>K130+K131+K159+K164</f>
        <v/>
      </c>
      <c r="L165" s="18">
        <f>L130+L131+L159+L164</f>
        <v/>
      </c>
    </row>
    <row r="166">
      <c r="A166" s="4" t="inlineStr">
        <is>
          <t>Flux d'investissement</t>
        </is>
      </c>
      <c r="B166" s="18">
        <f>SUM(C166:L166)</f>
        <v/>
      </c>
      <c r="C166" s="18">
        <f>-(C135+C133+C136)</f>
        <v/>
      </c>
      <c r="D166" s="18">
        <f>-(D135+D133+D136)</f>
        <v/>
      </c>
      <c r="E166" s="18">
        <f>-(E135+E133+E136)</f>
        <v/>
      </c>
      <c r="F166" s="18">
        <f>-(F135+F133+F136)</f>
        <v/>
      </c>
      <c r="G166" s="18">
        <f>-(G135+G133+G136)</f>
        <v/>
      </c>
      <c r="H166" s="18">
        <f>-(H135+H133+H136)</f>
        <v/>
      </c>
      <c r="I166" s="18">
        <f>-(I135+I133+I136)</f>
        <v/>
      </c>
      <c r="J166" s="18">
        <f>-(J135+J133+J136)</f>
        <v/>
      </c>
      <c r="K166" s="18">
        <f>-(K135+K133+K136)</f>
        <v/>
      </c>
      <c r="L166" s="18">
        <f>-(L135+L133+L136)</f>
        <v/>
      </c>
    </row>
    <row r="167">
      <c r="A167" t="inlineStr">
        <is>
          <t xml:space="preserve">  Apports en fonds propres + subventions</t>
        </is>
      </c>
      <c r="B167" s="5">
        <f>SUM(C167:L167)</f>
        <v/>
      </c>
      <c r="C167" s="5">
        <f>IF(C$92=1,$B$23,0)+IF(C$92=$B$5,$B$24*(1-$B$49)+$B$26,0)</f>
        <v/>
      </c>
      <c r="D167" s="5">
        <f>IF(D$92=1,$B$23,0)+IF(D$92=$B$5,$B$24*(1-$B$49)+$B$26,0)</f>
        <v/>
      </c>
      <c r="E167" s="5">
        <f>IF(E$92=1,$B$23,0)+IF(E$92=$B$5,$B$24*(1-$B$49)+$B$26,0)</f>
        <v/>
      </c>
      <c r="F167" s="5">
        <f>IF(F$92=1,$B$23,0)+IF(F$92=$B$5,$B$24*(1-$B$49)+$B$26,0)</f>
        <v/>
      </c>
      <c r="G167" s="5">
        <f>IF(G$92=1,$B$23,0)+IF(G$92=$B$5,$B$24*(1-$B$49)+$B$26,0)</f>
        <v/>
      </c>
      <c r="H167" s="5">
        <f>IF(H$92=1,$B$23,0)+IF(H$92=$B$5,$B$24*(1-$B$49)+$B$26,0)</f>
        <v/>
      </c>
      <c r="I167" s="5">
        <f>IF(I$92=1,$B$23,0)+IF(I$92=$B$5,$B$24*(1-$B$49)+$B$26,0)</f>
        <v/>
      </c>
      <c r="J167" s="5">
        <f>IF(J$92=1,$B$23,0)+IF(J$92=$B$5,$B$24*(1-$B$49)+$B$26,0)</f>
        <v/>
      </c>
      <c r="K167" s="5">
        <f>IF(K$92=1,$B$23,0)+IF(K$92=$B$5,$B$24*(1-$B$49)+$B$26,0)</f>
        <v/>
      </c>
      <c r="L167" s="5">
        <f>IF(L$92=1,$B$23,0)+IF(L$92=$B$5,$B$24*(1-$B$49)+$B$26,0)</f>
        <v/>
      </c>
    </row>
    <row r="168">
      <c r="A168" t="inlineStr">
        <is>
          <t xml:space="preserve">  Tirages dette + crédit-vendeur + obligations</t>
        </is>
      </c>
      <c r="B168" s="5">
        <f>SUM(C168:L168)</f>
        <v/>
      </c>
      <c r="C168" s="5">
        <f>IF(C$92=$B$5,$B$27+$B$31+$B$34,0)</f>
        <v/>
      </c>
      <c r="D168" s="5">
        <f>IF(D$92=$B$5,$B$27+$B$31+$B$34,0)</f>
        <v/>
      </c>
      <c r="E168" s="5">
        <f>IF(E$92=$B$5,$B$27+$B$31+$B$34,0)</f>
        <v/>
      </c>
      <c r="F168" s="5">
        <f>IF(F$92=$B$5,$B$27+$B$31+$B$34,0)</f>
        <v/>
      </c>
      <c r="G168" s="5">
        <f>IF(G$92=$B$5,$B$27+$B$31+$B$34,0)</f>
        <v/>
      </c>
      <c r="H168" s="5">
        <f>IF(H$92=$B$5,$B$27+$B$31+$B$34,0)</f>
        <v/>
      </c>
      <c r="I168" s="5">
        <f>IF(I$92=$B$5,$B$27+$B$31+$B$34,0)</f>
        <v/>
      </c>
      <c r="J168" s="5">
        <f>IF(J$92=$B$5,$B$27+$B$31+$B$34,0)</f>
        <v/>
      </c>
      <c r="K168" s="5">
        <f>IF(K$92=$B$5,$B$27+$B$31+$B$34,0)</f>
        <v/>
      </c>
      <c r="L168" s="5">
        <f>IF(L$92=$B$5,$B$27+$B$31+$B$34,0)</f>
        <v/>
      </c>
    </row>
    <row r="169">
      <c r="A169" t="inlineStr">
        <is>
          <t xml:space="preserve">  Service de la dette (intérêts + capital + coupons + rembt obligations)</t>
        </is>
      </c>
      <c r="B169" s="5">
        <f>SUM(C169:L169)</f>
        <v/>
      </c>
      <c r="C169" s="5">
        <f>-(C145+C146+C149+C150+C153+C154)</f>
        <v/>
      </c>
      <c r="D169" s="5">
        <f>-(D145+D146+D149+D150+D153+D154)</f>
        <v/>
      </c>
      <c r="E169" s="5">
        <f>-(E145+E146+E149+E150+E153+E154)</f>
        <v/>
      </c>
      <c r="F169" s="5">
        <f>-(F145+F146+F149+F150+F153+F154)</f>
        <v/>
      </c>
      <c r="G169" s="5">
        <f>-(G145+G146+G149+G150+G153+G154)</f>
        <v/>
      </c>
      <c r="H169" s="5">
        <f>-(H145+H146+H149+H150+H153+H154)</f>
        <v/>
      </c>
      <c r="I169" s="5">
        <f>-(I145+I146+I149+I150+I153+I154)</f>
        <v/>
      </c>
      <c r="J169" s="5">
        <f>-(J145+J146+J149+J150+J153+J154)</f>
        <v/>
      </c>
      <c r="K169" s="5">
        <f>-(K145+K146+K149+K150+K153+K154)</f>
        <v/>
      </c>
      <c r="L169" s="5">
        <f>-(L145+L146+L149+L150+L153+L154)</f>
        <v/>
      </c>
    </row>
    <row r="170">
      <c r="A170" s="4" t="inlineStr">
        <is>
          <t>Flux de financement</t>
        </is>
      </c>
      <c r="B170" s="18">
        <f>SUM(C170:L170)</f>
        <v/>
      </c>
      <c r="C170" s="18">
        <f>C167+C168+C169</f>
        <v/>
      </c>
      <c r="D170" s="18">
        <f>D167+D168+D169</f>
        <v/>
      </c>
      <c r="E170" s="18">
        <f>E167+E168+E169</f>
        <v/>
      </c>
      <c r="F170" s="18">
        <f>F167+F168+F169</f>
        <v/>
      </c>
      <c r="G170" s="18">
        <f>G167+G168+G169</f>
        <v/>
      </c>
      <c r="H170" s="18">
        <f>H167+H168+H169</f>
        <v/>
      </c>
      <c r="I170" s="18">
        <f>I167+I168+I169</f>
        <v/>
      </c>
      <c r="J170" s="18">
        <f>J167+J168+J169</f>
        <v/>
      </c>
      <c r="K170" s="18">
        <f>K167+K168+K169</f>
        <v/>
      </c>
      <c r="L170" s="18">
        <f>L167+L168+L169</f>
        <v/>
      </c>
    </row>
    <row r="171">
      <c r="A171" s="4" t="inlineStr">
        <is>
          <t>Variation de trésorerie</t>
        </is>
      </c>
      <c r="B171" s="18">
        <f>SUM(C171:L171)</f>
        <v/>
      </c>
      <c r="C171" s="18">
        <f>C165+C166+C170</f>
        <v/>
      </c>
      <c r="D171" s="18">
        <f>D165+D166+D170</f>
        <v/>
      </c>
      <c r="E171" s="18">
        <f>E165+E166+E170</f>
        <v/>
      </c>
      <c r="F171" s="18">
        <f>F165+F166+F170</f>
        <v/>
      </c>
      <c r="G171" s="18">
        <f>G165+G166+G170</f>
        <v/>
      </c>
      <c r="H171" s="18">
        <f>H165+H166+H170</f>
        <v/>
      </c>
      <c r="I171" s="18">
        <f>I165+I166+I170</f>
        <v/>
      </c>
      <c r="J171" s="18">
        <f>J165+J166+J170</f>
        <v/>
      </c>
      <c r="K171" s="18">
        <f>K165+K166+K170</f>
        <v/>
      </c>
      <c r="L171" s="18">
        <f>L165+L166+L170</f>
        <v/>
      </c>
    </row>
    <row r="172">
      <c r="A172" s="4" t="inlineStr">
        <is>
          <t>Trésorerie fin d'année</t>
        </is>
      </c>
      <c r="C172" s="18">
        <f>C171</f>
        <v/>
      </c>
      <c r="D172" s="18">
        <f>C172+D171</f>
        <v/>
      </c>
      <c r="E172" s="18">
        <f>D172+E171</f>
        <v/>
      </c>
      <c r="F172" s="18">
        <f>E172+F171</f>
        <v/>
      </c>
      <c r="G172" s="18">
        <f>F172+G171</f>
        <v/>
      </c>
      <c r="H172" s="18">
        <f>G172+H171</f>
        <v/>
      </c>
      <c r="I172" s="18">
        <f>H172+I171</f>
        <v/>
      </c>
      <c r="J172" s="18">
        <f>I172+J171</f>
        <v/>
      </c>
      <c r="K172" s="18">
        <f>J172+K171</f>
        <v/>
      </c>
      <c r="L172" s="18">
        <f>K172+L171</f>
        <v/>
      </c>
    </row>
    <row r="173">
      <c r="A173" t="inlineStr">
        <is>
          <t>Cash-flow libre d'exploitation (CFO − gros entretien − service dette hors obligations in fine)</t>
        </is>
      </c>
      <c r="B173" s="5">
        <f>SUM(C173:L173)</f>
        <v/>
      </c>
      <c r="C173" s="5">
        <f>C165-C136-(C145+C146+C149+C150+C153)</f>
        <v/>
      </c>
      <c r="D173" s="5">
        <f>D165-D136-(D145+D146+D149+D150+D153)</f>
        <v/>
      </c>
      <c r="E173" s="5">
        <f>E165-E136-(E145+E146+E149+E150+E153)</f>
        <v/>
      </c>
      <c r="F173" s="5">
        <f>F165-F136-(F145+F146+F149+F150+F153)</f>
        <v/>
      </c>
      <c r="G173" s="5">
        <f>G165-G136-(G145+G146+G149+G150+G153)</f>
        <v/>
      </c>
      <c r="H173" s="5">
        <f>H165-H136-(H145+H146+H149+H150+H153)</f>
        <v/>
      </c>
      <c r="I173" s="5">
        <f>I165-I136-(I145+I146+I149+I150+I153)</f>
        <v/>
      </c>
      <c r="J173" s="5">
        <f>J165-J136-(J145+J146+J149+J150+J153)</f>
        <v/>
      </c>
      <c r="K173" s="5">
        <f>K165-K136-(K145+K146+K149+K150+K153)</f>
        <v/>
      </c>
      <c r="L173" s="5">
        <f>L165-L136-(L145+L146+L149+L150+L153)</f>
        <v/>
      </c>
    </row>
    <row r="174">
      <c r="A174" t="inlineStr">
        <is>
          <t>DSCR ((EBITDA + loyer privé − IS − gros entretien) / service de la dette)</t>
        </is>
      </c>
      <c r="C174" s="7">
        <f>IF((C145+C146+C149+C150+C153)=0,"",(C130+C131+C159-C136)/(C145+C146+C149+C150+C153))</f>
        <v/>
      </c>
      <c r="D174" s="7">
        <f>IF((D145+D146+D149+D150+D153)=0,"",(D130+D131+D159-D136)/(D145+D146+D149+D150+D153))</f>
        <v/>
      </c>
      <c r="E174" s="7">
        <f>IF((E145+E146+E149+E150+E153)=0,"",(E130+E131+E159-E136)/(E145+E146+E149+E150+E153))</f>
        <v/>
      </c>
      <c r="F174" s="7">
        <f>IF((F145+F146+F149+F150+F153)=0,"",(F130+F131+F159-F136)/(F145+F146+F149+F150+F153))</f>
        <v/>
      </c>
      <c r="G174" s="7">
        <f>IF((G145+G146+G149+G150+G153)=0,"",(G130+G131+G159-G136)/(G145+G146+G149+G150+G153))</f>
        <v/>
      </c>
      <c r="H174" s="7">
        <f>IF((H145+H146+H149+H150+H153)=0,"",(H130+H131+H159-H136)/(H145+H146+H149+H150+H153))</f>
        <v/>
      </c>
      <c r="I174" s="7">
        <f>IF((I145+I146+I149+I150+I153)=0,"",(I130+I131+I159-I136)/(I145+I146+I149+I150+I153))</f>
        <v/>
      </c>
      <c r="J174" s="7">
        <f>IF((J145+J146+J149+J150+J153)=0,"",(J130+J131+J159-J136)/(J145+J146+J149+J150+J153))</f>
        <v/>
      </c>
      <c r="K174" s="7">
        <f>IF((K145+K146+K149+K150+K153)=0,"",(K130+K131+K159-K136)/(K145+K146+K149+K150+K153))</f>
        <v/>
      </c>
      <c r="L174" s="7">
        <f>IF((L145+L146+L149+L150+L153)=0,"",(L130+L131+L159-L136)/(L145+L146+L149+L150+L153))</f>
        <v/>
      </c>
    </row>
    <row r="176">
      <c r="A176" s="4" t="inlineStr">
        <is>
          <t>Rentabilité des investisseurs et contrôle</t>
        </is>
      </c>
    </row>
    <row r="177">
      <c r="A177" t="inlineStr">
        <is>
          <t>Dettes financières totales fin d'année</t>
        </is>
      </c>
      <c r="C177" s="5">
        <f>C147+C151+C152-C154</f>
        <v/>
      </c>
      <c r="D177" s="5">
        <f>D147+D151+D152-D154</f>
        <v/>
      </c>
      <c r="E177" s="5">
        <f>E147+E151+E152-E154</f>
        <v/>
      </c>
      <c r="F177" s="5">
        <f>F147+F151+F152-F154</f>
        <v/>
      </c>
      <c r="G177" s="5">
        <f>G147+G151+G152-G154</f>
        <v/>
      </c>
      <c r="H177" s="5">
        <f>H147+H151+H152-H154</f>
        <v/>
      </c>
      <c r="I177" s="5">
        <f>I147+I151+I152-I154</f>
        <v/>
      </c>
      <c r="J177" s="5">
        <f>J147+J151+J152-J154</f>
        <v/>
      </c>
      <c r="K177" s="5">
        <f>K147+K151+K152-K154</f>
        <v/>
      </c>
      <c r="L177" s="5">
        <f>L147+L151+L152-L154</f>
        <v/>
      </c>
    </row>
    <row r="178">
      <c r="A178" t="inlineStr">
        <is>
          <t>Valeur estimée de l'actif (si cédé cette année)</t>
        </is>
      </c>
      <c r="C178" s="5">
        <f>C98*($B$7+C134)*$B$17*(1-$B$19)</f>
        <v/>
      </c>
      <c r="D178" s="5">
        <f>D98*($B$7+D134)*$B$17*(1-$B$19)</f>
        <v/>
      </c>
      <c r="E178" s="5">
        <f>E98*($B$7+E134)*$B$17*(1-$B$19)</f>
        <v/>
      </c>
      <c r="F178" s="5">
        <f>F98*($B$7+F134)*$B$17*(1-$B$19)</f>
        <v/>
      </c>
      <c r="G178" s="5">
        <f>G98*($B$7+G134)*$B$17*(1-$B$19)</f>
        <v/>
      </c>
      <c r="H178" s="5">
        <f>H98*($B$7+H134)*$B$17*(1-$B$19)</f>
        <v/>
      </c>
      <c r="I178" s="5">
        <f>I98*($B$7+I134)*$B$17*(1-$B$19)</f>
        <v/>
      </c>
      <c r="J178" s="5">
        <f>J98*($B$7+J134)*$B$17*(1-$B$19)</f>
        <v/>
      </c>
      <c r="K178" s="5">
        <f>K98*($B$7+K134)*$B$17*(1-$B$19)</f>
        <v/>
      </c>
      <c r="L178" s="5">
        <f>L98*($B$7+L134)*$B$17*(1-$B$19)</f>
        <v/>
      </c>
    </row>
    <row r="179">
      <c r="A179" t="inlineStr">
        <is>
          <t>Valeur des fonds propres (actif + trésorerie − dettes)</t>
        </is>
      </c>
      <c r="C179" s="5">
        <f>C178+C172-C177</f>
        <v/>
      </c>
      <c r="D179" s="5">
        <f>D178+D172-D177</f>
        <v/>
      </c>
      <c r="E179" s="5">
        <f>E178+E172-E177</f>
        <v/>
      </c>
      <c r="F179" s="5">
        <f>F178+F172-F177</f>
        <v/>
      </c>
      <c r="G179" s="5">
        <f>G178+G172-G177</f>
        <v/>
      </c>
      <c r="H179" s="5">
        <f>H178+H172-H177</f>
        <v/>
      </c>
      <c r="I179" s="5">
        <f>I178+I172-I177</f>
        <v/>
      </c>
      <c r="J179" s="5">
        <f>J178+J172-J177</f>
        <v/>
      </c>
      <c r="K179" s="5">
        <f>K178+K172-K177</f>
        <v/>
      </c>
      <c r="L179" s="5">
        <f>L178+L172-L177</f>
        <v/>
      </c>
    </row>
    <row r="180">
      <c r="A180" t="inlineStr">
        <is>
          <t>Flux des investisseurs (entrée an d'acq., sortie an 10)</t>
        </is>
      </c>
      <c r="B180" s="5">
        <f>SUM(C180:L180)</f>
        <v/>
      </c>
      <c r="C180" s="5">
        <f>-IF(C$92=$B$5,$B$24*(1-$B$49)*(1-$B$25),0)</f>
        <v/>
      </c>
      <c r="D180" s="5">
        <f>-IF(D$92=$B$5,$B$24*(1-$B$49)*(1-$B$25),0)</f>
        <v/>
      </c>
      <c r="E180" s="5">
        <f>-IF(E$92=$B$5,$B$24*(1-$B$49)*(1-$B$25),0)</f>
        <v/>
      </c>
      <c r="F180" s="5">
        <f>-IF(F$92=$B$5,$B$24*(1-$B$49)*(1-$B$25),0)</f>
        <v/>
      </c>
      <c r="G180" s="5">
        <f>-IF(G$92=$B$5,$B$24*(1-$B$49)*(1-$B$25),0)</f>
        <v/>
      </c>
      <c r="H180" s="5">
        <f>-IF(H$92=$B$5,$B$24*(1-$B$49)*(1-$B$25),0)</f>
        <v/>
      </c>
      <c r="I180" s="5">
        <f>-IF(I$92=$B$5,$B$24*(1-$B$49)*(1-$B$25),0)</f>
        <v/>
      </c>
      <c r="J180" s="5">
        <f>-IF(J$92=$B$5,$B$24*(1-$B$49)*(1-$B$25),0)</f>
        <v/>
      </c>
      <c r="K180" s="5">
        <f>-IF(K$92=$B$5,$B$24*(1-$B$49)*(1-$B$25),0)</f>
        <v/>
      </c>
      <c r="L180" s="5">
        <f>-IF(L$92=$B$5,$B$24*(1-$B$49)*(1-$B$25),0)+MAX(0,L179)*(1-$B$42)</f>
        <v/>
      </c>
    </row>
    <row r="181">
      <c r="A181" t="inlineStr">
        <is>
          <t>Flux du fondateur et de sa holding (apports, sortie théorique an 10)</t>
        </is>
      </c>
      <c r="B181" s="5">
        <f>SUM(C181:L181)</f>
        <v/>
      </c>
      <c r="C181" s="5">
        <f>-IF(C$92=1,$B$23,0)-IF(C$92=$B$5,$B$24*(1-$B$49)*$B$25,0)</f>
        <v/>
      </c>
      <c r="D181" s="5">
        <f>-IF(D$92=1,$B$23,0)-IF(D$92=$B$5,$B$24*(1-$B$49)*$B$25,0)</f>
        <v/>
      </c>
      <c r="E181" s="5">
        <f>-IF(E$92=1,$B$23,0)-IF(E$92=$B$5,$B$24*(1-$B$49)*$B$25,0)</f>
        <v/>
      </c>
      <c r="F181" s="5">
        <f>-IF(F$92=1,$B$23,0)-IF(F$92=$B$5,$B$24*(1-$B$49)*$B$25,0)</f>
        <v/>
      </c>
      <c r="G181" s="5">
        <f>-IF(G$92=1,$B$23,0)-IF(G$92=$B$5,$B$24*(1-$B$49)*$B$25,0)</f>
        <v/>
      </c>
      <c r="H181" s="5">
        <f>-IF(H$92=1,$B$23,0)-IF(H$92=$B$5,$B$24*(1-$B$49)*$B$25,0)</f>
        <v/>
      </c>
      <c r="I181" s="5">
        <f>-IF(I$92=1,$B$23,0)-IF(I$92=$B$5,$B$24*(1-$B$49)*$B$25,0)</f>
        <v/>
      </c>
      <c r="J181" s="5">
        <f>-IF(J$92=1,$B$23,0)-IF(J$92=$B$5,$B$24*(1-$B$49)*$B$25,0)</f>
        <v/>
      </c>
      <c r="K181" s="5">
        <f>-IF(K$92=1,$B$23,0)-IF(K$92=$B$5,$B$24*(1-$B$49)*$B$25,0)</f>
        <v/>
      </c>
      <c r="L181" s="5">
        <f>-IF(L$92=1,$B$23,0)-IF(L$92=$B$5,$B$24*(1-$B$49)*$B$25,0)+MAX(0,L179)*$B$42</f>
        <v/>
      </c>
    </row>
    <row r="183">
      <c r="A183" s="10" t="inlineStr">
        <is>
          <t>8. Indicateurs clés</t>
        </is>
      </c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</row>
    <row r="184">
      <c r="A184" t="inlineStr">
        <is>
          <t>Emplois totaux (acq. + frais + travaux initiaux)</t>
        </is>
      </c>
      <c r="B184" s="18">
        <f>$B$7*(1+$B$8)+SUM(C133:L133)</f>
        <v/>
      </c>
    </row>
    <row r="185">
      <c r="A185" t="inlineStr">
        <is>
          <t>Ressources externes et apports prévus</t>
        </is>
      </c>
      <c r="B185" s="18">
        <f>$B$23+$B$24*(1-$B$49)+$B$26+$B$27+$B$31+$B$34</f>
        <v/>
      </c>
    </row>
    <row r="186">
      <c r="A186" t="inlineStr">
        <is>
          <t>CA année 5</t>
        </is>
      </c>
      <c r="B186" s="18">
        <f>G111</f>
        <v/>
      </c>
    </row>
    <row r="187">
      <c r="A187" t="inlineStr">
        <is>
          <t>EBITDA année 5</t>
        </is>
      </c>
      <c r="B187" s="18">
        <f>G130</f>
        <v/>
      </c>
    </row>
    <row r="188">
      <c r="A188" t="inlineStr">
        <is>
          <t>EBITDA année 10</t>
        </is>
      </c>
      <c r="B188" s="18">
        <f>L130</f>
        <v/>
      </c>
    </row>
    <row r="189">
      <c r="A189" t="inlineStr">
        <is>
          <t>Part équestre du CA année 5</t>
        </is>
      </c>
      <c r="B189" s="14">
        <f>G113</f>
        <v/>
      </c>
    </row>
    <row r="190">
      <c r="A190" t="inlineStr">
        <is>
          <t>Trésorerie minimale sur 10 ans</t>
        </is>
      </c>
      <c r="B190" s="18">
        <f>MIN(C172:L172)</f>
        <v/>
      </c>
    </row>
    <row r="191">
      <c r="A191" t="inlineStr">
        <is>
          <t>Trésorerie fin année 10</t>
        </is>
      </c>
      <c r="B191" s="18">
        <f>L172</f>
        <v/>
      </c>
    </row>
    <row r="192">
      <c r="A192" t="inlineStr">
        <is>
          <t>DSCR minimal (à partir de la 2e année d'exploitation)</t>
        </is>
      </c>
      <c r="B192" s="19">
        <f>IF(COUNTIFS(C174:L174,"&gt;-1E+300",C94:L94,"&gt;=2")=0,"n/a",_xlfn.MINIFS(C174:L174,C94:L94,"&gt;=2"))</f>
        <v/>
      </c>
    </row>
    <row r="193">
      <c r="A193" t="inlineStr">
        <is>
          <t>Nb d'années à cash-flow libre d'exploitation négatif (à partir de la 2e année d'exploitation)</t>
        </is>
      </c>
      <c r="B193" s="20">
        <f>COUNTIFS(C173:L173,"&lt;0",C94:L94,"&gt;=2")</f>
        <v/>
      </c>
    </row>
    <row r="194">
      <c r="A194" t="inlineStr">
        <is>
          <t>TRI investisseurs (sortie théorique an 10)</t>
        </is>
      </c>
      <c r="B194" s="14">
        <f>IF($B$24*(1-$B$25)=0,"sans objet",IFERROR(IRR(C180:L180,-0.05),"perte quasi totale (TRI non calculable)"))</f>
        <v/>
      </c>
    </row>
    <row r="195">
      <c r="A195" t="inlineStr">
        <is>
          <t>TRI fondateur (sortie théorique an 10)</t>
        </is>
      </c>
      <c r="B195" s="14">
        <f>IFERROR(IRR(C181:L181,-0.05),"perte quasi totale (TRI non calculable)")</f>
        <v/>
      </c>
    </row>
    <row r="196">
      <c r="A196" t="inlineStr">
        <is>
          <t>Dette bancaire soutenable estimée (DSCR 1,2 sur (EBITDA − IS − gros entretien) an 10, hors loyer privé ; taux et durée du scénario)</t>
        </is>
      </c>
      <c r="B196" s="18">
        <f>MAX(0,PV($B$28,$B$29,-(L130+L159-L136)/1.2))</f>
        <v/>
      </c>
    </row>
    <row r="197">
      <c r="A197" t="inlineStr">
        <is>
          <t>Fonds propres nécessaires (emplois + réserve + pertes d'exploitation cumulées − dette soutenable)</t>
        </is>
      </c>
      <c r="B197" s="18">
        <f>$B$7*(1+$B$8)+SUM(C133:L133)+$B$39-SUMIF(C165:L165,"&lt;0")-$B$196</f>
        <v/>
      </c>
    </row>
    <row r="198">
      <c r="A198" t="inlineStr">
        <is>
          <t>Part du capital du fondateur</t>
        </is>
      </c>
      <c r="B198" s="14">
        <f>$B$42</f>
        <v/>
      </c>
    </row>
    <row r="199">
      <c r="A199" t="inlineStr">
        <is>
          <t>Droits de vote du fondateur</t>
        </is>
      </c>
      <c r="B199" s="14">
        <f>$B$38</f>
        <v/>
      </c>
    </row>
    <row r="200">
      <c r="A200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200" s="4">
        <f>IF($B$190&lt;0,"NON VIABLE (trésorerie négative)",IF(AND($B$191&gt;=$B$39,OR($B$192="n/a",$B$192&gt;=1.2),$B$193=0),IF(NOT(OR($B$194="sans objet",AND(ISNUMBER($B$194),N($B$194)&gt;=$B$40))),"FRAGILE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B — Château multiactivité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27000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90000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35000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B — Château multiactivité — cas prudent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625000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187500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312500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0.4</v>
      </c>
      <c r="C53" t="inlineStr">
        <is>
          <t>%</t>
        </is>
      </c>
      <c r="D53" t="inlineStr">
        <is>
          <t>Cas prudent</t>
        </is>
      </c>
    </row>
    <row r="54">
      <c r="A54" t="inlineStr">
        <is>
          <t>Montée en charge : 2e année</t>
        </is>
      </c>
      <c r="B54" s="13" t="n">
        <v>0.65</v>
      </c>
      <c r="C54" t="inlineStr">
        <is>
          <t>%</t>
        </is>
      </c>
      <c r="D54" t="inlineStr">
        <is>
          <t>Cas prudent</t>
        </is>
      </c>
    </row>
    <row r="55">
      <c r="A55" t="inlineStr">
        <is>
          <t>Montée en charge : 3e année</t>
        </is>
      </c>
      <c r="B55" s="13" t="n">
        <v>0.85</v>
      </c>
      <c r="C55" t="inlineStr">
        <is>
          <t>%</t>
        </is>
      </c>
      <c r="D55" t="inlineStr">
        <is>
          <t>Cas prudent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17.6</v>
      </c>
      <c r="C65" s="12" t="n">
        <v>4709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18.4</v>
      </c>
      <c r="C66" s="12" t="n">
        <v>2302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7.2</v>
      </c>
      <c r="C67" s="12" t="n">
        <v>1932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9.6</v>
      </c>
      <c r="C68" s="12" t="n">
        <v>3861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73.59999999999999</v>
      </c>
      <c r="C69" s="12" t="n">
        <v>414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9.6</v>
      </c>
      <c r="C70" s="12" t="n">
        <v>736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2.4</v>
      </c>
      <c r="C71" s="12" t="n">
        <v>1840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8</v>
      </c>
      <c r="C72" s="12" t="n">
        <v>138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6600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13200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22000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29700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8800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99000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33000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12100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4840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13200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13200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38500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B — Château multiactivité — cas optimiste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0.6</v>
      </c>
      <c r="C53" t="inlineStr">
        <is>
          <t>%</t>
        </is>
      </c>
      <c r="D53" t="inlineStr">
        <is>
          <t>Cas optimiste</t>
        </is>
      </c>
    </row>
    <row r="54">
      <c r="A54" t="inlineStr">
        <is>
          <t>Montée en charge : 2e année</t>
        </is>
      </c>
      <c r="B54" s="13" t="n">
        <v>0.9</v>
      </c>
      <c r="C54" t="inlineStr">
        <is>
          <t>%</t>
        </is>
      </c>
      <c r="D54" t="inlineStr">
        <is>
          <t>Cas optimiste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Cas optimiste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25.3</v>
      </c>
      <c r="C65" s="12" t="n">
        <v>5527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26.4</v>
      </c>
      <c r="C66" s="12" t="n">
        <v>2702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10.3</v>
      </c>
      <c r="C67" s="12" t="n">
        <v>2268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13.8</v>
      </c>
      <c r="C68" s="12" t="n">
        <v>4533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105.8</v>
      </c>
      <c r="C69" s="12" t="n">
        <v>486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13.8</v>
      </c>
      <c r="C70" s="12" t="n">
        <v>864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3.4</v>
      </c>
      <c r="C71" s="12" t="n">
        <v>2160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11.5</v>
      </c>
      <c r="C72" s="12" t="n">
        <v>162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5700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11400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19000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25650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7600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85500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28500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10450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4180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11400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11400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33250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B — Club deal : apport 250 k€, investisseurs majoritaires (montage 2)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250000</v>
      </c>
      <c r="C23" t="inlineStr">
        <is>
          <t>€</t>
        </is>
      </c>
      <c r="D23" t="inlineStr">
        <is>
          <t>Scénario d'apport S2</t>
        </is>
      </c>
    </row>
    <row r="24">
      <c r="A24" t="inlineStr">
        <is>
          <t>Fonds propres apportés à l'acquisition (investisseurs ou holding)</t>
        </is>
      </c>
      <c r="B24" s="12" t="n">
        <v>1640000</v>
      </c>
      <c r="C24" t="inlineStr">
        <is>
          <t>€</t>
        </is>
      </c>
      <c r="D24" t="inlineStr">
        <is>
          <t>NON ACQUIS — investisseurs à trouver [A2 montage 2]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1800000</v>
      </c>
      <c r="C27" t="inlineStr">
        <is>
          <t>€</t>
        </is>
      </c>
      <c r="D27" t="inlineStr">
        <is>
          <t>NON ACQUIS — LTV ≈ 50 % [A2 montage 2]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0.05</v>
      </c>
      <c r="C37" t="inlineStr">
        <is>
          <t>%</t>
        </is>
      </c>
      <c r="D37" t="inlineStr">
        <is>
          <t>EST : promote négociée</t>
        </is>
      </c>
    </row>
    <row r="38">
      <c r="A38" t="inlineStr">
        <is>
          <t>Droits de vote du fondateur</t>
        </is>
      </c>
      <c r="B38" s="13" t="n">
        <v>0.1</v>
      </c>
      <c r="C38" t="inlineStr">
        <is>
          <t>%</t>
        </is>
      </c>
      <c r="D38" t="inlineStr">
        <is>
          <t>Investisseurs majoritaires [A2]</t>
        </is>
      </c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27000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90000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35000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B — Crédit-vendeur : apport 250 k€, crédit-vendeur 1,0 M€ sur 5 ans aux conditions de marché (montage 3)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250000</v>
      </c>
      <c r="C23" t="inlineStr">
        <is>
          <t>€</t>
        </is>
      </c>
      <c r="D23" t="inlineStr">
        <is>
          <t>S2 (les prêts d'honneur sont comptés en dette — correction audit)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1680000</v>
      </c>
      <c r="C27" t="inlineStr">
        <is>
          <t>€</t>
        </is>
      </c>
      <c r="D27" t="inlineStr">
        <is>
          <t>NON ACQUIS — banque 15 ans + prêt OpCo garanti + prêts d'honneur 80 k€ regroupés [A2]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15</v>
      </c>
      <c r="C29" t="inlineStr">
        <is>
          <t>ans</t>
        </is>
      </c>
      <c r="D29" t="inlineStr">
        <is>
          <t>A2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1000000</v>
      </c>
      <c r="C31" t="inlineStr">
        <is>
          <t>€</t>
        </is>
      </c>
      <c r="D31" t="inlineStr">
        <is>
          <t>NON ACQUIS — 40 % du prix : usage 30-50 %, 1-5 ans, taux ≥ banque (PL [A8]) ; clause résolutoire</t>
        </is>
      </c>
    </row>
    <row r="32">
      <c r="A32" t="inlineStr">
        <is>
          <t>Taux crédit-vendeur</t>
        </is>
      </c>
      <c r="B32" s="13" t="n">
        <v>0.045</v>
      </c>
      <c r="C32" t="inlineStr">
        <is>
          <t>%</t>
        </is>
      </c>
      <c r="D32" t="inlineStr">
        <is>
          <t>PL [A8] : taux ≥ banque</t>
        </is>
      </c>
    </row>
    <row r="33">
      <c r="A33" t="inlineStr">
        <is>
          <t>Durée crédit-vendeur (amortissable)</t>
        </is>
      </c>
      <c r="B33" s="12" t="n">
        <v>5</v>
      </c>
      <c r="C33" t="inlineStr">
        <is>
          <t>ans</t>
        </is>
      </c>
      <c r="D33" t="inlineStr">
        <is>
          <t>PL [A8]</t>
        </is>
      </c>
    </row>
    <row r="34">
      <c r="A34" t="inlineStr">
        <is>
          <t>Obligations / quasi-fonds propres (in fine)</t>
        </is>
      </c>
      <c r="B34" s="12" t="n">
        <v>500000</v>
      </c>
      <c r="C34" t="inlineStr">
        <is>
          <t>€</t>
        </is>
      </c>
      <c r="D34" t="inlineStr">
        <is>
          <t>NON ACQUIS — obligations PSFP in fine 5 ans [A2]</t>
        </is>
      </c>
    </row>
    <row r="35">
      <c r="A35" t="inlineStr">
        <is>
          <t>Coupon annuel des obligations</t>
        </is>
      </c>
      <c r="B35" s="13" t="n">
        <v>0.08</v>
      </c>
      <c r="C35" t="inlineStr">
        <is>
          <t>%</t>
        </is>
      </c>
      <c r="D35" t="inlineStr">
        <is>
          <t>A2 : 7-9 %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Remboursement in fine en année 6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27000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90000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35000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exploitation B sans aucune dette (tout en fonds propres)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1</v>
      </c>
      <c r="C41" t="inlineStr"/>
      <c r="D41" t="inlineStr">
        <is>
          <t>Rémunération du dirigeant incluse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/ agent d'entretien (1 ETP au Smic chargé)</t>
        </is>
      </c>
      <c r="B79" s="12" t="n">
        <v>27000</v>
      </c>
      <c r="C79" s="16" t="n">
        <v>1</v>
      </c>
      <c r="G79" t="inlineStr">
        <is>
          <t>PL : Smic 2026 22 404 € brut/an [A4 §11] ; EST charges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(3 ETP au Smic chargés)</t>
        </is>
      </c>
      <c r="B81" s="12" t="n">
        <v>90000</v>
      </c>
      <c r="C81" s="16" t="n">
        <v>0</v>
      </c>
      <c r="G81" t="inlineStr">
        <is>
          <t>PL : Smic 1 867 €/mois, grille IDCC 7026 inférieure ; 1 ETP / 17-20 équidés [A3 H13-H14] ; ~54 équidés → 3 ETP (correction audit M5)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Rémunération du dirigeant (chargée)</t>
        </is>
      </c>
      <c r="B87" s="12" t="n">
        <v>35000</v>
      </c>
      <c r="C87" s="16" t="n">
        <v>0</v>
      </c>
      <c r="G87" t="inlineStr">
        <is>
          <t>EST : minimum ; le dirigeant paie en plus 18 k€ de loyer privé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/ agent d'entretien (1 ETP au Smic chargé)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(3 ETP au Smic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Rémunération du dirigeant (chargée)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B frugal — fondateur non rémunéré, même financement bancaire que B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A frugal — fondateur cavalier non rémunéré, même financement que A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350000</v>
      </c>
      <c r="C11" t="inlineStr">
        <is>
          <t>€</t>
        </is>
      </c>
      <c r="D11" t="inlineStr">
        <is>
          <t>EST : marcheur 35 k€, carrière 35 €/m², barn 200 €/m² (PL [A3 H19]) + 10 box supplémentaires</t>
        </is>
      </c>
    </row>
    <row r="12">
      <c r="A12" t="inlineStr">
        <is>
          <t>Investissements événementiel / hébergement</t>
        </is>
      </c>
      <c r="B12" s="12" t="n">
        <v>80000</v>
      </c>
      <c r="C12" t="inlineStr">
        <is>
          <t>€</t>
        </is>
      </c>
      <c r="D12" t="inlineStr">
        <is>
          <t>EST : salon de réception pour ventes privées, pas de salle ERP &gt; 50 pers.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1000000</v>
      </c>
      <c r="C23" t="inlineStr">
        <is>
          <t>€</t>
        </is>
      </c>
      <c r="D23" t="inlineStr">
        <is>
          <t>Scénario d'apport S3 (hypothèse ; apport réel inconnu)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2400000</v>
      </c>
      <c r="C27" t="inlineStr">
        <is>
          <t>€</t>
        </is>
      </c>
      <c r="D27" t="inlineStr">
        <is>
          <t>NON ACQUIS — montage 1 [A2] : prêt hypothécaire 20 ans ; LTV ≈ 70 %, jugée trop élevée par l'agent 2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travail (chevaux de sport, places occupées)</t>
        </is>
      </c>
      <c r="B65" s="15" t="n">
        <v>18</v>
      </c>
      <c r="C65" s="12" t="n">
        <v>6000</v>
      </c>
      <c r="D65" s="13" t="n">
        <v>0.29</v>
      </c>
      <c r="E65" s="16" t="n">
        <v>0</v>
      </c>
      <c r="F65" s="16" t="n">
        <v>1</v>
      </c>
      <c r="G65" t="inlineStr">
        <is>
          <t>PL : 600 € TTC/mois (médiane hors IdF 535 €, 3e quartile 612 €) [A3, recalcul A8] → 500 € HT à TVA 20 % (entraînement/valorisation) ; 20 places × 90 % ; coûts op. 1 729 €/an</t>
        </is>
      </c>
    </row>
    <row r="66">
      <c r="A66" t="inlineStr">
        <is>
          <t>Pension box premium (places occupées)</t>
        </is>
      </c>
      <c r="B66" s="15" t="n">
        <v>9</v>
      </c>
      <c r="C66" s="12" t="n">
        <v>5915</v>
      </c>
      <c r="D66" s="13" t="n">
        <v>0.2</v>
      </c>
      <c r="E66" s="16" t="n">
        <v>0</v>
      </c>
      <c r="F66" s="16" t="n">
        <v>1</v>
      </c>
      <c r="G66" t="inlineStr">
        <is>
          <t>Cf. B ; 10 places × 90 %</t>
        </is>
      </c>
    </row>
    <row r="67">
      <c r="A67" t="inlineStr">
        <is>
          <t>Pension au pré (places occupées)</t>
        </is>
      </c>
      <c r="B67" s="15" t="n">
        <v>14</v>
      </c>
      <c r="C67" s="12" t="n">
        <v>2616</v>
      </c>
      <c r="D67" s="13" t="n">
        <v>0.23</v>
      </c>
      <c r="E67" s="16" t="n">
        <v>0</v>
      </c>
      <c r="F67" s="16" t="n">
        <v>1</v>
      </c>
      <c r="G67" t="inlineStr">
        <is>
          <t>Cf. B ; 15 places × 92 %</t>
        </is>
      </c>
    </row>
    <row r="68">
      <c r="A68" t="inlineStr">
        <is>
          <t>Valorisation et vente de jeunes chevaux (marge nette par cheval vendu)</t>
        </is>
      </c>
      <c r="B68" s="15" t="n">
        <v>3</v>
      </c>
      <c r="C68" s="12" t="n">
        <v>9975</v>
      </c>
      <c r="D68" s="13" t="n">
        <v>0.1</v>
      </c>
      <c r="E68" s="16" t="n">
        <v>0</v>
      </c>
      <c r="F68" s="16" t="n">
        <v>1</v>
      </c>
      <c r="G68" t="inlineStr">
        <is>
          <t>PL : cas-type 2 chevaux/an, 36,75 k€ vendus − 16,8 k€ achetés [A3 §8] ; 3/an EST ; risque élevé</t>
        </is>
      </c>
    </row>
    <row r="69">
      <c r="A69" t="inlineStr">
        <is>
          <t>Organisation de concours (produit annuel)</t>
        </is>
      </c>
      <c r="B69" s="15" t="n">
        <v>1</v>
      </c>
      <c r="C69" s="12" t="n">
        <v>16076</v>
      </c>
      <c r="D69" s="13" t="n">
        <v>0.5</v>
      </c>
      <c r="E69" s="16" t="n">
        <v>1</v>
      </c>
      <c r="F69" s="16" t="n">
        <v>1</v>
      </c>
      <c r="G69" t="inlineStr">
        <is>
          <t>PL : produit moyen « organisation de concours » d'une pension travail 16 076 €/an [A3 §4] ; marge EST</t>
        </is>
      </c>
    </row>
    <row r="70">
      <c r="A70" t="inlineStr">
        <is>
          <t>Ventes privées / showcases B2B (soirées)</t>
        </is>
      </c>
      <c r="B70" s="15" t="n">
        <v>3</v>
      </c>
      <c r="C70" s="12" t="n">
        <v>3000</v>
      </c>
      <c r="D70" s="13" t="n">
        <v>0.4</v>
      </c>
      <c r="E70" s="16" t="n">
        <v>1</v>
      </c>
      <c r="F70" s="16" t="n">
        <v>1</v>
      </c>
      <c r="G70" t="inlineStr">
        <is>
          <t>INC : aucun tarif de location publié [A3 §8 n°10] ; EST</t>
        </is>
      </c>
    </row>
    <row r="71">
      <c r="A71" t="inlineStr">
        <is>
          <t>Gains de compétition</t>
        </is>
      </c>
      <c r="B71" s="15" t="n">
        <v>1</v>
      </c>
      <c r="C71" s="12" t="n">
        <v>12250</v>
      </c>
      <c r="D71" s="13" t="n">
        <v>0</v>
      </c>
      <c r="E71" s="16" t="n">
        <v>1</v>
      </c>
      <c r="F71" s="16" t="n">
        <v>1</v>
      </c>
      <c r="G71" t="inlineStr">
        <is>
          <t>PL : cas-type CSO 2025 12 250 € [A3 §4]</t>
        </is>
      </c>
    </row>
    <row r="72">
      <c r="A72" t="inlineStr">
        <is>
          <t>Gîte 15 couchages hors mariages (nuits)</t>
        </is>
      </c>
      <c r="B72" s="15" t="n">
        <v>92</v>
      </c>
      <c r="C72" s="12" t="n">
        <v>450</v>
      </c>
      <c r="D72" s="13" t="n">
        <v>0.45</v>
      </c>
      <c r="E72" s="16" t="n">
        <v>0</v>
      </c>
      <c r="F72" s="16" t="n">
        <v>0</v>
      </c>
      <c r="G72" t="inlineStr">
        <is>
          <t>PL : fourchettes de prix [A4 §4.2] ; 92 nuits EST (occupation annuelle ≈ 33 % observée en Normandie hors saison) [A4 §4.3]</t>
        </is>
      </c>
    </row>
    <row r="73">
      <c r="A73" t="inlineStr">
        <is>
          <t>Tournages / shootings (jours)</t>
        </is>
      </c>
      <c r="B73" s="15" t="n">
        <v>3</v>
      </c>
      <c r="C73" s="12" t="n">
        <v>2000</v>
      </c>
      <c r="D73" s="13" t="n">
        <v>0.15</v>
      </c>
      <c r="E73" s="16" t="n">
        <v>1</v>
      </c>
      <c r="F73" s="16" t="n">
        <v>0</v>
      </c>
      <c r="G73" t="inlineStr">
        <is>
          <t>PL : 1 500-4 000 €/jour [A4 §5] ; fréquence EST</t>
        </is>
      </c>
    </row>
    <row r="74">
      <c r="A74" t="inlineStr">
        <is>
          <t>Fermage / vente d'herbe (ha)</t>
        </is>
      </c>
      <c r="B74" s="15" t="n">
        <v>10</v>
      </c>
      <c r="C74" s="12" t="n">
        <v>150</v>
      </c>
      <c r="D74" s="13" t="n">
        <v>0</v>
      </c>
      <c r="E74" s="16" t="n">
        <v>0</v>
      </c>
      <c r="F74" s="16" t="n">
        <v>0</v>
      </c>
      <c r="G74" t="inlineStr">
        <is>
          <t>PL : arrêtés Orne/Calvados 2026-27 : 50-268 €/ha [A4 §8.2]</t>
        </is>
      </c>
    </row>
    <row r="76">
      <c r="A76" s="10" t="inlineStr">
        <is>
          <t>6. Charges fixes annuelles (euros de l'année d'ouverture)</t>
        </is>
      </c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</row>
    <row r="77">
      <c r="A77" s="4" t="inlineStr">
        <is>
          <t>Libellé</t>
        </is>
      </c>
      <c r="B77" s="4" t="inlineStr">
        <is>
          <t>Montant/an</t>
        </is>
      </c>
      <c r="C77" s="4" t="inlineStr">
        <is>
          <t>Dès l'acq. (1) / dès l'ouverture (0)</t>
        </is>
      </c>
      <c r="G77" s="4" t="inlineStr">
        <is>
          <t>Source / statut</t>
        </is>
      </c>
    </row>
    <row r="78">
      <c r="A78" t="inlineStr">
        <is>
          <t>Taxe foncière</t>
        </is>
      </c>
      <c r="B78" s="12" t="n">
        <v>6000</v>
      </c>
      <c r="C78" s="16" t="n">
        <v>1</v>
      </c>
      <c r="G78" t="inlineStr">
        <is>
          <t>EX : 2,6-4,0 k€ sur 3 annonces ; EST 4-8 k€ [A4 §11]</t>
        </is>
      </c>
    </row>
    <row r="79">
      <c r="A79" t="inlineStr">
        <is>
          <t>Assurance multirisque château</t>
        </is>
      </c>
      <c r="B79" s="12" t="n">
        <v>12000</v>
      </c>
      <c r="C79" s="16" t="n">
        <v>1</v>
      </c>
      <c r="G79" t="inlineStr">
        <is>
          <t>Correction audit : courtier spécialisé 15-30 k€ (fiabilité moyenne), annonces ≥ 2,5 k€ [A4 §11, A8] ; EST 12 k€</t>
        </is>
      </c>
    </row>
    <row r="80">
      <c r="A80" t="inlineStr">
        <is>
          <t>Énergie (chauffage partiel, électricité, eau)</t>
        </is>
      </c>
      <c r="B80" s="12" t="n">
        <v>20000</v>
      </c>
      <c r="C80" s="16" t="n">
        <v>1</v>
      </c>
      <c r="G80" t="inlineStr">
        <is>
          <t>PL : Meung, Louvignies ; EX annonce Montluçon 18-25 k€ [A1, A4 §11] ; EST</t>
        </is>
      </c>
    </row>
    <row r="81">
      <c r="A81" t="inlineStr">
        <is>
          <t>Jardinier à mi-temps / prestataire</t>
        </is>
      </c>
      <c r="B81" s="12" t="n">
        <v>14000</v>
      </c>
      <c r="C81" s="16" t="n">
        <v>1</v>
      </c>
      <c r="G81" t="inlineStr">
        <is>
          <t>Variante frugale — EST</t>
        </is>
      </c>
    </row>
    <row r="82">
      <c r="A82" t="inlineStr">
        <is>
          <t>Divers (abonnements, petit matériel, véhicule, honoraires)</t>
        </is>
      </c>
      <c r="B82" s="12" t="n">
        <v>8000</v>
      </c>
      <c r="C82" s="16" t="n">
        <v>1</v>
      </c>
      <c r="G82" t="inlineStr">
        <is>
          <t>EST</t>
        </is>
      </c>
    </row>
    <row r="83">
      <c r="A83" t="inlineStr">
        <is>
          <t>Soigneurs (2 ETP chargés)</t>
        </is>
      </c>
      <c r="B83" s="12" t="n">
        <v>60000</v>
      </c>
      <c r="C83" s="16" t="n">
        <v>0</v>
      </c>
      <c r="G83" t="inlineStr">
        <is>
          <t>Variante frugale : le fondateur est le 3e ETP de l'écurie (non payé)</t>
        </is>
      </c>
    </row>
    <row r="84">
      <c r="A84" t="inlineStr">
        <is>
          <t>Autres charges de structure équestres</t>
        </is>
      </c>
      <c r="B84" s="12" t="n">
        <v>35000</v>
      </c>
      <c r="C84" s="16" t="n">
        <v>0</v>
      </c>
      <c r="G84" t="inlineStr">
        <is>
          <t>EST : réf. structure pension travail 2 471 €/équidé [A3 §4] (salaires inclus) → calibrage</t>
        </is>
      </c>
    </row>
    <row r="85">
      <c r="A85" t="inlineStr">
        <is>
          <t>Coûts fixes du gîte</t>
        </is>
      </c>
      <c r="B85" s="12" t="n">
        <v>4400</v>
      </c>
      <c r="C85" s="16" t="n">
        <v>0</v>
      </c>
      <c r="G85" t="inlineStr">
        <is>
          <t>EST [A4 §13.1]</t>
        </is>
      </c>
    </row>
    <row r="86">
      <c r="A86" t="inlineStr">
        <is>
          <t>Commercial, site, salons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Comptabilité, juridique, banque, logiciels</t>
        </is>
      </c>
      <c r="B87" s="12" t="n">
        <v>12000</v>
      </c>
      <c r="C87" s="16" t="n">
        <v>0</v>
      </c>
      <c r="G87" t="inlineStr">
        <is>
          <t>EST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travail (chevaux de sport, 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box premium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au pré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Valorisation et vente de jeunes chevaux (marge nette par cheval vendu)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Organisation de concours (produit annuel)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Ventes privées / showcases B2B (soirées)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Gains de compétition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Gîte 15 couchages hors mariages (nuits)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t="inlineStr">
        <is>
          <t xml:space="preserve">  Tournages / shootings (jours)</t>
        </is>
      </c>
      <c r="B107" s="5">
        <f>SUM(C107:L107)</f>
        <v/>
      </c>
      <c r="C107" s="5">
        <f>$B$73*$C$73*C93*C94*$B$45*(1-$E$73*$B$50)</f>
        <v/>
      </c>
      <c r="D107" s="5">
        <f>$B$73*$C$73*D93*D94*$B$45*(1-$E$73*$B$50)</f>
        <v/>
      </c>
      <c r="E107" s="5">
        <f>$B$73*$C$73*E93*E94*$B$45*(1-$E$73*$B$50)</f>
        <v/>
      </c>
      <c r="F107" s="5">
        <f>$B$73*$C$73*F93*F94*$B$45*(1-$E$73*$B$50)</f>
        <v/>
      </c>
      <c r="G107" s="5">
        <f>$B$73*$C$73*G93*G94*$B$45*(1-$E$73*$B$50)</f>
        <v/>
      </c>
      <c r="H107" s="5">
        <f>$B$73*$C$73*H93*H94*$B$45*(1-$E$73*$B$50)</f>
        <v/>
      </c>
      <c r="I107" s="5">
        <f>$B$73*$C$73*I93*I94*$B$45*(1-$E$73*$B$50)</f>
        <v/>
      </c>
      <c r="J107" s="5">
        <f>$B$73*$C$73*J93*J94*$B$45*(1-$E$73*$B$50)</f>
        <v/>
      </c>
      <c r="K107" s="5">
        <f>$B$73*$C$73*K93*K94*$B$45*(1-$E$73*$B$50)</f>
        <v/>
      </c>
      <c r="L107" s="5">
        <f>$B$73*$C$73*L93*L94*$B$45*(1-$E$73*$B$50)</f>
        <v/>
      </c>
    </row>
    <row r="108">
      <c r="A108" t="inlineStr">
        <is>
          <t xml:space="preserve">  Fermage / vente d'herbe (ha)</t>
        </is>
      </c>
      <c r="B108" s="5">
        <f>SUM(C108:L108)</f>
        <v/>
      </c>
      <c r="C108" s="5">
        <f>$B$74*$C$74*C93*C94*$B$45*(1-$E$74*$B$50)</f>
        <v/>
      </c>
      <c r="D108" s="5">
        <f>$B$74*$C$74*D93*D94*$B$45*(1-$E$74*$B$50)</f>
        <v/>
      </c>
      <c r="E108" s="5">
        <f>$B$74*$C$74*E93*E94*$B$45*(1-$E$74*$B$50)</f>
        <v/>
      </c>
      <c r="F108" s="5">
        <f>$B$74*$C$74*F93*F94*$B$45*(1-$E$74*$B$50)</f>
        <v/>
      </c>
      <c r="G108" s="5">
        <f>$B$74*$C$74*G93*G94*$B$45*(1-$E$74*$B$50)</f>
        <v/>
      </c>
      <c r="H108" s="5">
        <f>$B$74*$C$74*H93*H94*$B$45*(1-$E$74*$B$50)</f>
        <v/>
      </c>
      <c r="I108" s="5">
        <f>$B$74*$C$74*I93*I94*$B$45*(1-$E$74*$B$50)</f>
        <v/>
      </c>
      <c r="J108" s="5">
        <f>$B$74*$C$74*J93*J94*$B$45*(1-$E$74*$B$50)</f>
        <v/>
      </c>
      <c r="K108" s="5">
        <f>$B$74*$C$74*K93*K94*$B$45*(1-$E$74*$B$50)</f>
        <v/>
      </c>
      <c r="L108" s="5">
        <f>$B$74*$C$74*L93*L94*$B$45*(1-$E$74*$B$50)</f>
        <v/>
      </c>
    </row>
    <row r="109">
      <c r="A109" s="4" t="inlineStr">
        <is>
          <t>Chiffre d'affaires total</t>
        </is>
      </c>
      <c r="B109" s="18">
        <f>SUM(C109:L109)</f>
        <v/>
      </c>
      <c r="C109" s="18">
        <f>C99+C100+C101+C102+C103+C104+C105+C106+C107+C108</f>
        <v/>
      </c>
      <c r="D109" s="18">
        <f>D99+D100+D101+D102+D103+D104+D105+D106+D107+D108</f>
        <v/>
      </c>
      <c r="E109" s="18">
        <f>E99+E100+E101+E102+E103+E104+E105+E106+E107+E108</f>
        <v/>
      </c>
      <c r="F109" s="18">
        <f>F99+F100+F101+F102+F103+F104+F105+F106+F107+F108</f>
        <v/>
      </c>
      <c r="G109" s="18">
        <f>G99+G100+G101+G102+G103+G104+G105+G106+G107+G108</f>
        <v/>
      </c>
      <c r="H109" s="18">
        <f>H99+H100+H101+H102+H103+H104+H105+H106+H107+H108</f>
        <v/>
      </c>
      <c r="I109" s="18">
        <f>I99+I100+I101+I102+I103+I104+I105+I106+I107+I108</f>
        <v/>
      </c>
      <c r="J109" s="18">
        <f>J99+J100+J101+J102+J103+J104+J105+J106+J107+J108</f>
        <v/>
      </c>
      <c r="K109" s="18">
        <f>K99+K100+K101+K102+K103+K104+K105+K106+K107+K108</f>
        <v/>
      </c>
      <c r="L109" s="18">
        <f>L99+L100+L101+L102+L103+L104+L105+L106+L107+L108</f>
        <v/>
      </c>
    </row>
    <row r="110">
      <c r="A110" t="inlineStr">
        <is>
          <t xml:space="preserve">  dont équestre</t>
        </is>
      </c>
      <c r="B110" s="5">
        <f>SUM(C110:L110)</f>
        <v/>
      </c>
      <c r="C110" s="5">
        <f>C99*$F$65+C100*$F$66+C101*$F$67+C102*$F$68+C103*$F$69+C104*$F$70+C105*$F$71+C106*$F$72+C107*$F$73+C108*$F$74</f>
        <v/>
      </c>
      <c r="D110" s="5">
        <f>D99*$F$65+D100*$F$66+D101*$F$67+D102*$F$68+D103*$F$69+D104*$F$70+D105*$F$71+D106*$F$72+D107*$F$73+D108*$F$74</f>
        <v/>
      </c>
      <c r="E110" s="5">
        <f>E99*$F$65+E100*$F$66+E101*$F$67+E102*$F$68+E103*$F$69+E104*$F$70+E105*$F$71+E106*$F$72+E107*$F$73+E108*$F$74</f>
        <v/>
      </c>
      <c r="F110" s="5">
        <f>F99*$F$65+F100*$F$66+F101*$F$67+F102*$F$68+F103*$F$69+F104*$F$70+F105*$F$71+F106*$F$72+F107*$F$73+F108*$F$74</f>
        <v/>
      </c>
      <c r="G110" s="5">
        <f>G99*$F$65+G100*$F$66+G101*$F$67+G102*$F$68+G103*$F$69+G104*$F$70+G105*$F$71+G106*$F$72+G107*$F$73+G108*$F$74</f>
        <v/>
      </c>
      <c r="H110" s="5">
        <f>H99*$F$65+H100*$F$66+H101*$F$67+H102*$F$68+H103*$F$69+H104*$F$70+H105*$F$71+H106*$F$72+H107*$F$73+H108*$F$74</f>
        <v/>
      </c>
      <c r="I110" s="5">
        <f>I99*$F$65+I100*$F$66+I101*$F$67+I102*$F$68+I103*$F$69+I104*$F$70+I105*$F$71+I106*$F$72+I107*$F$73+I108*$F$74</f>
        <v/>
      </c>
      <c r="J110" s="5">
        <f>J99*$F$65+J100*$F$66+J101*$F$67+J102*$F$68+J103*$F$69+J104*$F$70+J105*$F$71+J106*$F$72+J107*$F$73+J108*$F$74</f>
        <v/>
      </c>
      <c r="K110" s="5">
        <f>K99*$F$65+K100*$F$66+K101*$F$67+K102*$F$68+K103*$F$69+K104*$F$70+K105*$F$71+K106*$F$72+K107*$F$73+K108*$F$74</f>
        <v/>
      </c>
      <c r="L110" s="5">
        <f>L99*$F$65+L100*$F$66+L101*$F$67+L102*$F$68+L103*$F$69+L104*$F$70+L105*$F$71+L106*$F$72+L107*$F$73+L108*$F$74</f>
        <v/>
      </c>
    </row>
    <row r="111">
      <c r="A111" t="inlineStr">
        <is>
          <t xml:space="preserve">  Part équestre du CA</t>
        </is>
      </c>
      <c r="C111" s="6">
        <f>IF(C109=0,0,C110/C109)</f>
        <v/>
      </c>
      <c r="D111" s="6">
        <f>IF(D109=0,0,D110/D109)</f>
        <v/>
      </c>
      <c r="E111" s="6">
        <f>IF(E109=0,0,E110/E109)</f>
        <v/>
      </c>
      <c r="F111" s="6">
        <f>IF(F109=0,0,F110/F109)</f>
        <v/>
      </c>
      <c r="G111" s="6">
        <f>IF(G109=0,0,G110/G109)</f>
        <v/>
      </c>
      <c r="H111" s="6">
        <f>IF(H109=0,0,H110/H109)</f>
        <v/>
      </c>
      <c r="I111" s="6">
        <f>IF(I109=0,0,I110/I109)</f>
        <v/>
      </c>
      <c r="J111" s="6">
        <f>IF(J109=0,0,J110/J109)</f>
        <v/>
      </c>
      <c r="K111" s="6">
        <f>IF(K109=0,0,K110/K109)</f>
        <v/>
      </c>
      <c r="L111" s="6">
        <f>IF(L109=0,0,L110/L109)</f>
        <v/>
      </c>
    </row>
    <row r="112">
      <c r="A112" t="inlineStr">
        <is>
          <t>Coûts variables</t>
        </is>
      </c>
      <c r="B112" s="5">
        <f>SUM(C112:L112)</f>
        <v/>
      </c>
      <c r="C112" s="5">
        <f>-(C99*$D$65+C100*$D$66+C101*$D$67+C102*$D$68+C103*$D$69+C104*$D$70+C105*$D$71+C106*$D$72+C107*$D$73+C108*$D$74)</f>
        <v/>
      </c>
      <c r="D112" s="5">
        <f>-(D99*$D$65+D100*$D$66+D101*$D$67+D102*$D$68+D103*$D$69+D104*$D$70+D105*$D$71+D106*$D$72+D107*$D$73+D108*$D$74)</f>
        <v/>
      </c>
      <c r="E112" s="5">
        <f>-(E99*$D$65+E100*$D$66+E101*$D$67+E102*$D$68+E103*$D$69+E104*$D$70+E105*$D$71+E106*$D$72+E107*$D$73+E108*$D$74)</f>
        <v/>
      </c>
      <c r="F112" s="5">
        <f>-(F99*$D$65+F100*$D$66+F101*$D$67+F102*$D$68+F103*$D$69+F104*$D$70+F105*$D$71+F106*$D$72+F107*$D$73+F108*$D$74)</f>
        <v/>
      </c>
      <c r="G112" s="5">
        <f>-(G99*$D$65+G100*$D$66+G101*$D$67+G102*$D$68+G103*$D$69+G104*$D$70+G105*$D$71+G106*$D$72+G107*$D$73+G108*$D$74)</f>
        <v/>
      </c>
      <c r="H112" s="5">
        <f>-(H99*$D$65+H100*$D$66+H101*$D$67+H102*$D$68+H103*$D$69+H104*$D$70+H105*$D$71+H106*$D$72+H107*$D$73+H108*$D$74)</f>
        <v/>
      </c>
      <c r="I112" s="5">
        <f>-(I99*$D$65+I100*$D$66+I101*$D$67+I102*$D$68+I103*$D$69+I104*$D$70+I105*$D$71+I106*$D$72+I107*$D$73+I108*$D$74)</f>
        <v/>
      </c>
      <c r="J112" s="5">
        <f>-(J99*$D$65+J100*$D$66+J101*$D$67+J102*$D$68+J103*$D$69+J104*$D$70+J105*$D$71+J106*$D$72+J107*$D$73+J108*$D$74)</f>
        <v/>
      </c>
      <c r="K112" s="5">
        <f>-(K99*$D$65+K100*$D$66+K101*$D$67+K102*$D$68+K103*$D$69+K104*$D$70+K105*$D$71+K106*$D$72+K107*$D$73+K108*$D$74)</f>
        <v/>
      </c>
      <c r="L112" s="5">
        <f>-(L99*$D$65+L100*$D$66+L101*$D$67+L102*$D$68+L103*$D$69+L104*$D$70+L105*$D$71+L106*$D$72+L107*$D$73+L108*$D$74)</f>
        <v/>
      </c>
    </row>
    <row r="113">
      <c r="A113" s="4" t="inlineStr">
        <is>
          <t>Marge sur coûts variables</t>
        </is>
      </c>
      <c r="B113" s="18">
        <f>SUM(C113:L113)</f>
        <v/>
      </c>
      <c r="C113" s="18">
        <f>C109+C112</f>
        <v/>
      </c>
      <c r="D113" s="18">
        <f>D109+D112</f>
        <v/>
      </c>
      <c r="E113" s="18">
        <f>E109+E112</f>
        <v/>
      </c>
      <c r="F113" s="18">
        <f>F109+F112</f>
        <v/>
      </c>
      <c r="G113" s="18">
        <f>G109+G112</f>
        <v/>
      </c>
      <c r="H113" s="18">
        <f>H109+H112</f>
        <v/>
      </c>
      <c r="I113" s="18">
        <f>I109+I112</f>
        <v/>
      </c>
      <c r="J113" s="18">
        <f>J109+J112</f>
        <v/>
      </c>
      <c r="K113" s="18">
        <f>K109+K112</f>
        <v/>
      </c>
      <c r="L113" s="18">
        <f>L109+L112</f>
        <v/>
      </c>
    </row>
    <row r="114">
      <c r="A114" t="inlineStr">
        <is>
          <t xml:space="preserve">  Taxe foncière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Assurance multirisque château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Énergie (chauffage partiel, électricité, eau)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Jardinier à mi-temps / prestataire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Divers (abonnements, petit matériel, véhicule, honoraires)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Soigneurs (2 ETP chargés)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Autres charges de structure équestres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Coûts fixes du gîte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Commercial, site, salons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Comptabilité, juridique, banque, logiciels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C114+C115+C116+C117+C118+C119+C120+C121+C122+C123</f>
        <v/>
      </c>
      <c r="D124" s="18">
        <f>D114+D115+D116+D117+D118+D119+D120+D121+D122+D123</f>
        <v/>
      </c>
      <c r="E124" s="18">
        <f>E114+E115+E116+E117+E118+E119+E120+E121+E122+E123</f>
        <v/>
      </c>
      <c r="F124" s="18">
        <f>F114+F115+F116+F117+F118+F119+F120+F121+F122+F123</f>
        <v/>
      </c>
      <c r="G124" s="18">
        <f>G114+G115+G116+G117+G118+G119+G120+G121+G122+G123</f>
        <v/>
      </c>
      <c r="H124" s="18">
        <f>H114+H115+H116+H117+H118+H119+H120+H121+H122+H123</f>
        <v/>
      </c>
      <c r="I124" s="18">
        <f>I114+I115+I116+I117+I118+I119+I120+I121+I122+I123</f>
        <v/>
      </c>
      <c r="J124" s="18">
        <f>J114+J115+J116+J117+J118+J119+J120+J121+J122+J123</f>
        <v/>
      </c>
      <c r="K124" s="18">
        <f>K114+K115+K116+K117+K118+K119+K120+K121+K122+K123</f>
        <v/>
      </c>
      <c r="L124" s="18">
        <f>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C113+C124+C125</f>
        <v/>
      </c>
      <c r="D126" s="18">
        <f>D113+D124+D125</f>
        <v/>
      </c>
      <c r="E126" s="18">
        <f>E113+E124+E125</f>
        <v/>
      </c>
      <c r="F126" s="18">
        <f>F113+F124+F125</f>
        <v/>
      </c>
      <c r="G126" s="18">
        <f>G113+G124+G125</f>
        <v/>
      </c>
      <c r="H126" s="18">
        <f>H113+H124+H125</f>
        <v/>
      </c>
      <c r="I126" s="18">
        <f>I113+I124+I125</f>
        <v/>
      </c>
      <c r="J126" s="18">
        <f>J113+J124+J125</f>
        <v/>
      </c>
      <c r="K126" s="18">
        <f>K113+K124+K125</f>
        <v/>
      </c>
      <c r="L126" s="18">
        <f>L113+L124+L125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IF(C109=0,0,C126/C109)</f>
        <v/>
      </c>
      <c r="D128" s="6">
        <f>IF(D109=0,0,D126/D109)</f>
        <v/>
      </c>
      <c r="E128" s="6">
        <f>IF(E109=0,0,E126/E109)</f>
        <v/>
      </c>
      <c r="F128" s="6">
        <f>IF(F109=0,0,F126/F109)</f>
        <v/>
      </c>
      <c r="G128" s="6">
        <f>IF(G109=0,0,G126/G109)</f>
        <v/>
      </c>
      <c r="H128" s="6">
        <f>IF(H109=0,0,H126/H109)</f>
        <v/>
      </c>
      <c r="I128" s="6">
        <f>IF(I109=0,0,I126/I109)</f>
        <v/>
      </c>
      <c r="J128" s="6">
        <f>IF(J109=0,0,J126/J109)</f>
        <v/>
      </c>
      <c r="K128" s="6">
        <f>IF(K109=0,0,K126/K109)</f>
        <v/>
      </c>
      <c r="L128" s="6">
        <f>IF(L109=0,0,L126/L109)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C109*$B$58</f>
        <v/>
      </c>
      <c r="D159" s="5">
        <f>D109*$B$58</f>
        <v/>
      </c>
      <c r="E159" s="5">
        <f>E109*$B$58</f>
        <v/>
      </c>
      <c r="F159" s="5">
        <f>F109*$B$58</f>
        <v/>
      </c>
      <c r="G159" s="5">
        <f>G109*$B$58</f>
        <v/>
      </c>
      <c r="H159" s="5">
        <f>H109*$B$58</f>
        <v/>
      </c>
      <c r="I159" s="5">
        <f>I109*$B$58</f>
        <v/>
      </c>
      <c r="J159" s="5">
        <f>J109*$B$58</f>
        <v/>
      </c>
      <c r="K159" s="5">
        <f>K109*$B$58</f>
        <v/>
      </c>
      <c r="L159" s="5">
        <f>L109*$B$58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G109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G111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prudent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625000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187500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312500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0.4</v>
      </c>
      <c r="C53" t="inlineStr">
        <is>
          <t>%</t>
        </is>
      </c>
      <c r="D53" t="inlineStr">
        <is>
          <t>Cas prudent</t>
        </is>
      </c>
    </row>
    <row r="54">
      <c r="A54" t="inlineStr">
        <is>
          <t>Montée en charge : 2e année</t>
        </is>
      </c>
      <c r="B54" s="13" t="n">
        <v>0.65</v>
      </c>
      <c r="C54" t="inlineStr">
        <is>
          <t>%</t>
        </is>
      </c>
      <c r="D54" t="inlineStr">
        <is>
          <t>Cas prudent</t>
        </is>
      </c>
    </row>
    <row r="55">
      <c r="A55" t="inlineStr">
        <is>
          <t>Montée en charge : 3e année</t>
        </is>
      </c>
      <c r="B55" s="13" t="n">
        <v>0.85</v>
      </c>
      <c r="C55" t="inlineStr">
        <is>
          <t>%</t>
        </is>
      </c>
      <c r="D55" t="inlineStr">
        <is>
          <t>Cas prudent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17.6</v>
      </c>
      <c r="C65" s="12" t="n">
        <v>4709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18.4</v>
      </c>
      <c r="C66" s="12" t="n">
        <v>2302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7.2</v>
      </c>
      <c r="C67" s="12" t="n">
        <v>1932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9.6</v>
      </c>
      <c r="C68" s="12" t="n">
        <v>3861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73.59999999999999</v>
      </c>
      <c r="C69" s="12" t="n">
        <v>414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9.6</v>
      </c>
      <c r="C70" s="12" t="n">
        <v>736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2.4</v>
      </c>
      <c r="C71" s="12" t="n">
        <v>1840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8</v>
      </c>
      <c r="C72" s="12" t="n">
        <v>138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6600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13200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22000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15400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8800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66000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33000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12100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4840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13200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13200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optimiste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0.6</v>
      </c>
      <c r="C53" t="inlineStr">
        <is>
          <t>%</t>
        </is>
      </c>
      <c r="D53" t="inlineStr">
        <is>
          <t>Cas optimiste</t>
        </is>
      </c>
    </row>
    <row r="54">
      <c r="A54" t="inlineStr">
        <is>
          <t>Montée en charge : 2e année</t>
        </is>
      </c>
      <c r="B54" s="13" t="n">
        <v>0.9</v>
      </c>
      <c r="C54" t="inlineStr">
        <is>
          <t>%</t>
        </is>
      </c>
      <c r="D54" t="inlineStr">
        <is>
          <t>Cas optimiste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Cas optimiste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25.3</v>
      </c>
      <c r="C65" s="12" t="n">
        <v>5527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26.4</v>
      </c>
      <c r="C66" s="12" t="n">
        <v>2702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10.3</v>
      </c>
      <c r="C67" s="12" t="n">
        <v>2268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13.8</v>
      </c>
      <c r="C68" s="12" t="n">
        <v>4533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105.8</v>
      </c>
      <c r="C69" s="12" t="n">
        <v>486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13.8</v>
      </c>
      <c r="C70" s="12" t="n">
        <v>864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3.4</v>
      </c>
      <c r="C71" s="12" t="n">
        <v>2160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11.5</v>
      </c>
      <c r="C72" s="12" t="n">
        <v>162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5700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11400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19000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13300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7600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57000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28500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10450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4180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11400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11400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réaliste — la holding n'apporte que ce qu'une reprise de PME dégage d'ici 2031 (≈ 0,7 M€), dette 0,4 M€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700000</v>
      </c>
      <c r="C24" t="inlineStr">
        <is>
          <t>€</t>
        </is>
      </c>
      <c r="D24" t="inlineStr">
        <is>
          <t>Haut de fourchette d'une reprise unique (0,2-0,7 M€) [A2 montage 6, A8]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 — Château modeste &gt; 50 ha à rénover (profil Sainte-Hermine 85 : 1,15 M€, 56,5 ha, gîtes existants, écuries à rénover), achat 2031 via holding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1150000</v>
      </c>
      <c r="C7" t="inlineStr">
        <is>
          <t>€</t>
        </is>
      </c>
      <c r="D7" t="inlineStr">
        <is>
          <t>PL : annonce SAFER Sainte-Hermine (85), 56,5 ha, 670 m², hors frais SAFER [A1] — exemple, disponibilité 2031 inconnue</t>
        </is>
      </c>
    </row>
    <row r="8">
      <c r="A8" t="inlineStr">
        <is>
          <t>Frais d'acquisition (droits + notaire)</t>
        </is>
      </c>
      <c r="B8" s="13" t="n">
        <v>0.09</v>
      </c>
      <c r="C8" t="inlineStr">
        <is>
          <t>%</t>
        </is>
      </c>
      <c r="D8" t="inlineStr">
        <is>
          <t>PL : frais SAFER ~8-10 % [A1] ; exonération de droits possible si destination agricole</t>
        </is>
      </c>
    </row>
    <row r="9">
      <c r="A9" t="inlineStr">
        <is>
          <t>Part du prix affectable au bâti (amortissable)</t>
        </is>
      </c>
      <c r="B9" s="13" t="n">
        <v>0.5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300000</v>
      </c>
      <c r="C10" t="inlineStr">
        <is>
          <t>€</t>
        </is>
      </c>
      <c r="D10" t="inlineStr">
        <is>
          <t>EST sans visite : château 670 m² (état inconnu)</t>
        </is>
      </c>
    </row>
    <row r="11">
      <c r="A11" t="inlineStr">
        <is>
          <t>Investissements équestres (boxes, carrière, manège…)</t>
        </is>
      </c>
      <c r="B11" s="12" t="n">
        <v>350000</v>
      </c>
      <c r="C11" t="inlineStr">
        <is>
          <t>€</t>
        </is>
      </c>
      <c r="D11" t="inlineStr">
        <is>
          <t>EST : écuries/sellerie 300 m² à rénover + 18 box + carrière (35 €/m², PL [A3 H19])</t>
        </is>
      </c>
    </row>
    <row r="12">
      <c r="A12" t="inlineStr">
        <is>
          <t>Investissements événementiel / hébergement</t>
        </is>
      </c>
      <c r="B12" s="12" t="n">
        <v>100000</v>
      </c>
      <c r="C12" t="inlineStr">
        <is>
          <t>€</t>
        </is>
      </c>
      <c r="D12" t="inlineStr">
        <is>
          <t>EST : gîtes existants (2 logements restaurés)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2000000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300000</v>
      </c>
      <c r="C27" t="inlineStr">
        <is>
          <t>€</t>
        </is>
      </c>
      <c r="D27" t="inlineStr">
        <is>
          <t>NON ACQUIS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17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Cf. B ; 18 box neufs × 92 %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/ réceptions (location + hébergement)</t>
        </is>
      </c>
      <c r="B68" s="15" t="n">
        <v>8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Cf. B ; 8/an (château plus petit, annonce : « activité de réception »)</t>
        </is>
      </c>
    </row>
    <row r="69">
      <c r="A69" t="inlineStr">
        <is>
          <t>Gîtes existants hors événements (nuits)</t>
        </is>
      </c>
      <c r="B69" s="15" t="n">
        <v>120</v>
      </c>
      <c r="C69" s="12" t="n">
        <v>220</v>
      </c>
      <c r="D69" s="13" t="n">
        <v>0.45</v>
      </c>
      <c r="E69" s="16" t="n">
        <v>0</v>
      </c>
      <c r="F69" s="16" t="n">
        <v>0</v>
      </c>
      <c r="G69" t="inlineStr">
        <is>
          <t>EST : 2 logements de 88-98 m² ; prix/nuit EST</t>
        </is>
      </c>
    </row>
    <row r="70">
      <c r="A70" t="inlineStr">
        <is>
          <t>Tournages / shootings (jours)</t>
        </is>
      </c>
      <c r="B70" s="15" t="n">
        <v>3</v>
      </c>
      <c r="C70" s="12" t="n">
        <v>2000</v>
      </c>
      <c r="D70" s="13" t="n">
        <v>0.15</v>
      </c>
      <c r="E70" s="16" t="n">
        <v>1</v>
      </c>
      <c r="F70" s="16" t="n">
        <v>0</v>
      </c>
      <c r="G70" t="inlineStr">
        <is>
          <t>PL : 1 500-4 000 €/jour [A4 §5] ; fréquence EST</t>
        </is>
      </c>
    </row>
    <row r="71">
      <c r="A71" t="inlineStr">
        <is>
          <t>Fermage / vente d'herbe (ha)</t>
        </is>
      </c>
      <c r="B71" s="15" t="n">
        <v>10</v>
      </c>
      <c r="C71" s="12" t="n">
        <v>150</v>
      </c>
      <c r="D71" s="13" t="n">
        <v>0</v>
      </c>
      <c r="E71" s="16" t="n">
        <v>0</v>
      </c>
      <c r="F71" s="16" t="n">
        <v>0</v>
      </c>
      <c r="G71" t="inlineStr">
        <is>
          <t>PL : arrêtés Orne/Calvados 2026-27 : 50-268 €/ha [A4 §8.2]</t>
        </is>
      </c>
    </row>
    <row r="73">
      <c r="A73" s="10" t="inlineStr">
        <is>
          <t>6. Charges fixes annuelles (euros de l'année d'ouverture)</t>
        </is>
      </c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</row>
    <row r="74">
      <c r="A74" s="4" t="inlineStr">
        <is>
          <t>Libellé</t>
        </is>
      </c>
      <c r="B74" s="4" t="inlineStr">
        <is>
          <t>Montant/an</t>
        </is>
      </c>
      <c r="C74" s="4" t="inlineStr">
        <is>
          <t>Dès l'acq. (1) / dès l'ouverture (0)</t>
        </is>
      </c>
      <c r="G74" s="4" t="inlineStr">
        <is>
          <t>Source / statut</t>
        </is>
      </c>
    </row>
    <row r="75">
      <c r="A75" t="inlineStr">
        <is>
          <t>Taxe foncière</t>
        </is>
      </c>
      <c r="B75" s="12" t="n">
        <v>4200</v>
      </c>
      <c r="C75" s="16" t="n">
        <v>1</v>
      </c>
      <c r="G75" t="inlineStr">
        <is>
          <t>EX : 2,6-4,0 k€ sur 3 annonces ; EST 4-8 k€ [A4 §11]</t>
        </is>
      </c>
    </row>
    <row r="76">
      <c r="A76" t="inlineStr">
        <is>
          <t>Assurance multirisque château</t>
        </is>
      </c>
      <c r="B76" s="12" t="n">
        <v>8400</v>
      </c>
      <c r="C76" s="16" t="n">
        <v>1</v>
      </c>
      <c r="G76" t="inlineStr">
        <is>
          <t>Correction audit : courtier spécialisé 15-30 k€ (fiabilité moyenne), annonces ≥ 2,5 k€ [A4 §11, A8] ; EST 12 k€</t>
        </is>
      </c>
    </row>
    <row r="77">
      <c r="A77" t="inlineStr">
        <is>
          <t>Énergie (chauffage partiel, électricité, eau)</t>
        </is>
      </c>
      <c r="B77" s="12" t="n">
        <v>14000</v>
      </c>
      <c r="C77" s="16" t="n">
        <v>1</v>
      </c>
      <c r="G77" t="inlineStr">
        <is>
          <t>PL : Meung, Louvignies ; EX annonce Montluçon 18-25 k€ [A1, A4 §11] ; EST</t>
        </is>
      </c>
    </row>
    <row r="78">
      <c r="A78" t="inlineStr">
        <is>
          <t>Jardinier à mi-temps / prestataire</t>
        </is>
      </c>
      <c r="B78" s="12" t="n">
        <v>14000</v>
      </c>
      <c r="C78" s="16" t="n">
        <v>1</v>
      </c>
      <c r="G78" t="inlineStr">
        <is>
          <t>Variante frugale — EST</t>
        </is>
      </c>
    </row>
    <row r="79">
      <c r="A79" t="inlineStr">
        <is>
          <t>Divers (abonnements, petit matériel, véhicule, honoraires)</t>
        </is>
      </c>
      <c r="B79" s="12" t="n">
        <v>8000</v>
      </c>
      <c r="C79" s="16" t="n">
        <v>1</v>
      </c>
      <c r="G79" t="inlineStr">
        <is>
          <t>EST</t>
        </is>
      </c>
    </row>
    <row r="80">
      <c r="A80" t="inlineStr">
        <is>
          <t>Soigneurs (2 ETP chargés)</t>
        </is>
      </c>
      <c r="B80" s="12" t="n">
        <v>60000</v>
      </c>
      <c r="C80" s="16" t="n">
        <v>0</v>
      </c>
      <c r="G80" t="inlineStr">
        <is>
          <t>Variante frugale : le fondateur est le 3e ETP de l'écurie (non payé)</t>
        </is>
      </c>
    </row>
    <row r="81">
      <c r="A81" t="inlineStr">
        <is>
          <t>Autres charges de structure équestres (entretien installations, matériel, assurance RC, énergie écuries)</t>
        </is>
      </c>
      <c r="B81" s="12" t="n">
        <v>30000</v>
      </c>
      <c r="C81" s="16" t="n">
        <v>0</v>
      </c>
      <c r="G81" t="inlineStr">
        <is>
          <t>Calibré pour un EBE équestre ≈ 37 % (réf. pension hébergement 36-38 %, PL [A3 H10])</t>
        </is>
      </c>
    </row>
    <row r="82">
      <c r="A82" t="inlineStr">
        <is>
          <t>Coûts fixes mariages (coordination, nettoyage, publicité)</t>
        </is>
      </c>
      <c r="B82" s="12" t="n">
        <v>11000</v>
      </c>
      <c r="C82" s="16" t="n">
        <v>0</v>
      </c>
      <c r="G82" t="inlineStr">
        <is>
          <t>EST [A4 §13.1]</t>
        </is>
      </c>
    </row>
    <row r="83">
      <c r="A83" t="inlineStr">
        <is>
          <t>Coûts fixes du gîte</t>
        </is>
      </c>
      <c r="B83" s="12" t="n">
        <v>4400</v>
      </c>
      <c r="C83" s="16" t="n">
        <v>0</v>
      </c>
      <c r="G83" t="inlineStr">
        <is>
          <t>EST [A4 §13.1]</t>
        </is>
      </c>
    </row>
    <row r="84">
      <c r="A84" t="inlineStr">
        <is>
          <t>Commercial, site, salons</t>
        </is>
      </c>
      <c r="B84" s="12" t="n">
        <v>12000</v>
      </c>
      <c r="C84" s="16" t="n">
        <v>0</v>
      </c>
      <c r="G84" t="inlineStr">
        <is>
          <t>EST</t>
        </is>
      </c>
    </row>
    <row r="85">
      <c r="A85" t="inlineStr">
        <is>
          <t>Comptabilité, juridique, banque, logiciels</t>
        </is>
      </c>
      <c r="B85" s="12" t="n">
        <v>12000</v>
      </c>
      <c r="C85" s="16" t="n">
        <v>0</v>
      </c>
      <c r="G85" t="inlineStr">
        <is>
          <t>EST</t>
        </is>
      </c>
    </row>
    <row r="87">
      <c r="A87" s="10" t="inlineStr">
        <is>
          <t>7. Calcul sur 10 ans</t>
        </is>
      </c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</row>
    <row r="88">
      <c r="A88" s="4" t="inlineStr">
        <is>
          <t>Année</t>
        </is>
      </c>
      <c r="B88" s="4" t="inlineStr">
        <is>
          <t>Total / réf.</t>
        </is>
      </c>
      <c r="C88" s="4" t="n">
        <v>1</v>
      </c>
      <c r="D88" s="4" t="n">
        <v>2</v>
      </c>
      <c r="E88" s="4" t="n">
        <v>3</v>
      </c>
      <c r="F88" s="4" t="n">
        <v>4</v>
      </c>
      <c r="G88" s="4" t="n">
        <v>5</v>
      </c>
      <c r="H88" s="4" t="n">
        <v>6</v>
      </c>
      <c r="I88" s="4" t="n">
        <v>7</v>
      </c>
      <c r="J88" s="4" t="n">
        <v>8</v>
      </c>
      <c r="K88" s="4" t="n">
        <v>9</v>
      </c>
      <c r="L88" s="4" t="n">
        <v>10</v>
      </c>
    </row>
    <row r="89">
      <c r="A89" t="inlineStr">
        <is>
          <t>Année d'ouverture effective</t>
        </is>
      </c>
      <c r="C89" s="8">
        <f>$B$6+$B$47</f>
        <v/>
      </c>
      <c r="D89" s="8">
        <f>$B$6+$B$47</f>
        <v/>
      </c>
      <c r="E89" s="8">
        <f>$B$6+$B$47</f>
        <v/>
      </c>
      <c r="F89" s="8">
        <f>$B$6+$B$47</f>
        <v/>
      </c>
      <c r="G89" s="8">
        <f>$B$6+$B$47</f>
        <v/>
      </c>
      <c r="H89" s="8">
        <f>$B$6+$B$47</f>
        <v/>
      </c>
      <c r="I89" s="8">
        <f>$B$6+$B$47</f>
        <v/>
      </c>
      <c r="J89" s="8">
        <f>$B$6+$B$47</f>
        <v/>
      </c>
      <c r="K89" s="8">
        <f>$B$6+$B$47</f>
        <v/>
      </c>
      <c r="L89" s="8">
        <f>$B$6+$B$47</f>
        <v/>
      </c>
    </row>
    <row r="90">
      <c r="A90" t="inlineStr">
        <is>
          <t>Rang de l'année d'exploitation</t>
        </is>
      </c>
      <c r="C90" s="8">
        <f>MAX(0,C$88-C89+1)</f>
        <v/>
      </c>
      <c r="D90" s="8">
        <f>MAX(0,D$88-D89+1)</f>
        <v/>
      </c>
      <c r="E90" s="8">
        <f>MAX(0,E$88-E89+1)</f>
        <v/>
      </c>
      <c r="F90" s="8">
        <f>MAX(0,F$88-F89+1)</f>
        <v/>
      </c>
      <c r="G90" s="8">
        <f>MAX(0,G$88-G89+1)</f>
        <v/>
      </c>
      <c r="H90" s="8">
        <f>MAX(0,H$88-H89+1)</f>
        <v/>
      </c>
      <c r="I90" s="8">
        <f>MAX(0,I$88-I89+1)</f>
        <v/>
      </c>
      <c r="J90" s="8">
        <f>MAX(0,J$88-J89+1)</f>
        <v/>
      </c>
      <c r="K90" s="8">
        <f>MAX(0,K$88-K89+1)</f>
        <v/>
      </c>
      <c r="L90" s="8">
        <f>MAX(0,L$88-L89+1)</f>
        <v/>
      </c>
    </row>
    <row r="91">
      <c r="A91" t="inlineStr">
        <is>
          <t>Coefficient de montée en charge</t>
        </is>
      </c>
      <c r="C91" s="6">
        <f>IF(C90=0,0,IF(C90=1,$B$53,IF(C90=2,$B$54,IF(C90=3,$B$55,1))))</f>
        <v/>
      </c>
      <c r="D91" s="6">
        <f>IF(D90=0,0,IF(D90=1,$B$53,IF(D90=2,$B$54,IF(D90=3,$B$55,1))))</f>
        <v/>
      </c>
      <c r="E91" s="6">
        <f>IF(E90=0,0,IF(E90=1,$B$53,IF(E90=2,$B$54,IF(E90=3,$B$55,1))))</f>
        <v/>
      </c>
      <c r="F91" s="6">
        <f>IF(F90=0,0,IF(F90=1,$B$53,IF(F90=2,$B$54,IF(F90=3,$B$55,1))))</f>
        <v/>
      </c>
      <c r="G91" s="6">
        <f>IF(G90=0,0,IF(G90=1,$B$53,IF(G90=2,$B$54,IF(G90=3,$B$55,1))))</f>
        <v/>
      </c>
      <c r="H91" s="6">
        <f>IF(H90=0,0,IF(H90=1,$B$53,IF(H90=2,$B$54,IF(H90=3,$B$55,1))))</f>
        <v/>
      </c>
      <c r="I91" s="6">
        <f>IF(I90=0,0,IF(I90=1,$B$53,IF(I90=2,$B$54,IF(I90=3,$B$55,1))))</f>
        <v/>
      </c>
      <c r="J91" s="6">
        <f>IF(J90=0,0,IF(J90=1,$B$53,IF(J90=2,$B$54,IF(J90=3,$B$55,1))))</f>
        <v/>
      </c>
      <c r="K91" s="6">
        <f>IF(K90=0,0,IF(K90=1,$B$53,IF(K90=2,$B$54,IF(K90=3,$B$55,1))))</f>
        <v/>
      </c>
      <c r="L91" s="6">
        <f>IF(L90=0,0,IF(L90=1,$B$53,IF(L90=2,$B$54,IF(L90=3,$B$55,1))))</f>
        <v/>
      </c>
    </row>
    <row r="92">
      <c r="A92" t="inlineStr">
        <is>
          <t>Indice prix</t>
        </is>
      </c>
      <c r="C92" s="17">
        <f>(1+$B$56)^(C$88-1)</f>
        <v/>
      </c>
      <c r="D92" s="17">
        <f>(1+$B$56)^(D$88-1)</f>
        <v/>
      </c>
      <c r="E92" s="17">
        <f>(1+$B$56)^(E$88-1)</f>
        <v/>
      </c>
      <c r="F92" s="17">
        <f>(1+$B$56)^(F$88-1)</f>
        <v/>
      </c>
      <c r="G92" s="17">
        <f>(1+$B$56)^(G$88-1)</f>
        <v/>
      </c>
      <c r="H92" s="17">
        <f>(1+$B$56)^(H$88-1)</f>
        <v/>
      </c>
      <c r="I92" s="17">
        <f>(1+$B$56)^(I$88-1)</f>
        <v/>
      </c>
      <c r="J92" s="17">
        <f>(1+$B$56)^(J$88-1)</f>
        <v/>
      </c>
      <c r="K92" s="17">
        <f>(1+$B$56)^(K$88-1)</f>
        <v/>
      </c>
      <c r="L92" s="17">
        <f>(1+$B$56)^(L$88-1)</f>
        <v/>
      </c>
    </row>
    <row r="93">
      <c r="A93" t="inlineStr">
        <is>
          <t>Indice charges</t>
        </is>
      </c>
      <c r="C93" s="17">
        <f>(1+$B$57)^(C$88-1)</f>
        <v/>
      </c>
      <c r="D93" s="17">
        <f>(1+$B$57)^(D$88-1)</f>
        <v/>
      </c>
      <c r="E93" s="17">
        <f>(1+$B$57)^(E$88-1)</f>
        <v/>
      </c>
      <c r="F93" s="17">
        <f>(1+$B$57)^(F$88-1)</f>
        <v/>
      </c>
      <c r="G93" s="17">
        <f>(1+$B$57)^(G$88-1)</f>
        <v/>
      </c>
      <c r="H93" s="17">
        <f>(1+$B$57)^(H$88-1)</f>
        <v/>
      </c>
      <c r="I93" s="17">
        <f>(1+$B$57)^(I$88-1)</f>
        <v/>
      </c>
      <c r="J93" s="17">
        <f>(1+$B$57)^(J$88-1)</f>
        <v/>
      </c>
      <c r="K93" s="17">
        <f>(1+$B$57)^(K$88-1)</f>
        <v/>
      </c>
      <c r="L93" s="17">
        <f>(1+$B$57)^(L$88-1)</f>
        <v/>
      </c>
    </row>
    <row r="94">
      <c r="A94" t="inlineStr">
        <is>
          <t>Murs détenus (1/0)</t>
        </is>
      </c>
      <c r="C94" s="8">
        <f>IF(C$88&gt;=$B$5,1,0)</f>
        <v/>
      </c>
      <c r="D94" s="8">
        <f>IF(D$88&gt;=$B$5,1,0)</f>
        <v/>
      </c>
      <c r="E94" s="8">
        <f>IF(E$88&gt;=$B$5,1,0)</f>
        <v/>
      </c>
      <c r="F94" s="8">
        <f>IF(F$88&gt;=$B$5,1,0)</f>
        <v/>
      </c>
      <c r="G94" s="8">
        <f>IF(G$88&gt;=$B$5,1,0)</f>
        <v/>
      </c>
      <c r="H94" s="8">
        <f>IF(H$88&gt;=$B$5,1,0)</f>
        <v/>
      </c>
      <c r="I94" s="8">
        <f>IF(I$88&gt;=$B$5,1,0)</f>
        <v/>
      </c>
      <c r="J94" s="8">
        <f>IF(J$88&gt;=$B$5,1,0)</f>
        <v/>
      </c>
      <c r="K94" s="8">
        <f>IF(K$88&gt;=$B$5,1,0)</f>
        <v/>
      </c>
      <c r="L94" s="8">
        <f>IF(L$88&gt;=$B$5,1,0)</f>
        <v/>
      </c>
    </row>
    <row r="96">
      <c r="A96" s="4" t="inlineStr">
        <is>
          <t>Compte de résultat</t>
        </is>
      </c>
    </row>
    <row r="97">
      <c r="A97" t="inlineStr">
        <is>
          <t xml:space="preserve">  Pension box premium (places occupées)</t>
        </is>
      </c>
      <c r="B97" s="5">
        <f>SUM(C97:L97)</f>
        <v/>
      </c>
      <c r="C97" s="5">
        <f>$B$65*$C$65*C91*C92*$B$45*(1-$E$65*$B$50)</f>
        <v/>
      </c>
      <c r="D97" s="5">
        <f>$B$65*$C$65*D91*D92*$B$45*(1-$E$65*$B$50)</f>
        <v/>
      </c>
      <c r="E97" s="5">
        <f>$B$65*$C$65*E91*E92*$B$45*(1-$E$65*$B$50)</f>
        <v/>
      </c>
      <c r="F97" s="5">
        <f>$B$65*$C$65*F91*F92*$B$45*(1-$E$65*$B$50)</f>
        <v/>
      </c>
      <c r="G97" s="5">
        <f>$B$65*$C$65*G91*G92*$B$45*(1-$E$65*$B$50)</f>
        <v/>
      </c>
      <c r="H97" s="5">
        <f>$B$65*$C$65*H91*H92*$B$45*(1-$E$65*$B$50)</f>
        <v/>
      </c>
      <c r="I97" s="5">
        <f>$B$65*$C$65*I91*I92*$B$45*(1-$E$65*$B$50)</f>
        <v/>
      </c>
      <c r="J97" s="5">
        <f>$B$65*$C$65*J91*J92*$B$45*(1-$E$65*$B$50)</f>
        <v/>
      </c>
      <c r="K97" s="5">
        <f>$B$65*$C$65*K91*K92*$B$45*(1-$E$65*$B$50)</f>
        <v/>
      </c>
      <c r="L97" s="5">
        <f>$B$65*$C$65*L91*L92*$B$45*(1-$E$65*$B$50)</f>
        <v/>
      </c>
    </row>
    <row r="98">
      <c r="A98" t="inlineStr">
        <is>
          <t xml:space="preserve">  Pension au pré (places occupées)</t>
        </is>
      </c>
      <c r="B98" s="5">
        <f>SUM(C98:L98)</f>
        <v/>
      </c>
      <c r="C98" s="5">
        <f>$B$66*$C$66*C91*C92*$B$45*(1-$E$66*$B$50)</f>
        <v/>
      </c>
      <c r="D98" s="5">
        <f>$B$66*$C$66*D91*D92*$B$45*(1-$E$66*$B$50)</f>
        <v/>
      </c>
      <c r="E98" s="5">
        <f>$B$66*$C$66*E91*E92*$B$45*(1-$E$66*$B$50)</f>
        <v/>
      </c>
      <c r="F98" s="5">
        <f>$B$66*$C$66*F91*F92*$B$45*(1-$E$66*$B$50)</f>
        <v/>
      </c>
      <c r="G98" s="5">
        <f>$B$66*$C$66*G91*G92*$B$45*(1-$E$66*$B$50)</f>
        <v/>
      </c>
      <c r="H98" s="5">
        <f>$B$66*$C$66*H91*H92*$B$45*(1-$E$66*$B$50)</f>
        <v/>
      </c>
      <c r="I98" s="5">
        <f>$B$66*$C$66*I91*I92*$B$45*(1-$E$66*$B$50)</f>
        <v/>
      </c>
      <c r="J98" s="5">
        <f>$B$66*$C$66*J91*J92*$B$45*(1-$E$66*$B$50)</f>
        <v/>
      </c>
      <c r="K98" s="5">
        <f>$B$66*$C$66*K91*K92*$B$45*(1-$E$66*$B$50)</f>
        <v/>
      </c>
      <c r="L98" s="5">
        <f>$B$66*$C$66*L91*L92*$B$45*(1-$E$66*$B$50)</f>
        <v/>
      </c>
    </row>
    <row r="99">
      <c r="A99" t="inlineStr">
        <is>
          <t xml:space="preserve">  Pension retraite / convalescence (places occupées)</t>
        </is>
      </c>
      <c r="B99" s="5">
        <f>SUM(C99:L99)</f>
        <v/>
      </c>
      <c r="C99" s="5">
        <f>$B$67*$C$67*C91*C92*$B$45*(1-$E$67*$B$50)</f>
        <v/>
      </c>
      <c r="D99" s="5">
        <f>$B$67*$C$67*D91*D92*$B$45*(1-$E$67*$B$50)</f>
        <v/>
      </c>
      <c r="E99" s="5">
        <f>$B$67*$C$67*E91*E92*$B$45*(1-$E$67*$B$50)</f>
        <v/>
      </c>
      <c r="F99" s="5">
        <f>$B$67*$C$67*F91*F92*$B$45*(1-$E$67*$B$50)</f>
        <v/>
      </c>
      <c r="G99" s="5">
        <f>$B$67*$C$67*G91*G92*$B$45*(1-$E$67*$B$50)</f>
        <v/>
      </c>
      <c r="H99" s="5">
        <f>$B$67*$C$67*H91*H92*$B$45*(1-$E$67*$B$50)</f>
        <v/>
      </c>
      <c r="I99" s="5">
        <f>$B$67*$C$67*I91*I92*$B$45*(1-$E$67*$B$50)</f>
        <v/>
      </c>
      <c r="J99" s="5">
        <f>$B$67*$C$67*J91*J92*$B$45*(1-$E$67*$B$50)</f>
        <v/>
      </c>
      <c r="K99" s="5">
        <f>$B$67*$C$67*K91*K92*$B$45*(1-$E$67*$B$50)</f>
        <v/>
      </c>
      <c r="L99" s="5">
        <f>$B$67*$C$67*L91*L92*$B$45*(1-$E$67*$B$50)</f>
        <v/>
      </c>
    </row>
    <row r="100">
      <c r="A100" t="inlineStr">
        <is>
          <t xml:space="preserve">  Mariages / réceptions (location + hébergement)</t>
        </is>
      </c>
      <c r="B100" s="5">
        <f>SUM(C100:L100)</f>
        <v/>
      </c>
      <c r="C100" s="5">
        <f>$B$68*$C$68*C91*C92*$B$45*(1-$E$68*$B$50)</f>
        <v/>
      </c>
      <c r="D100" s="5">
        <f>$B$68*$C$68*D91*D92*$B$45*(1-$E$68*$B$50)</f>
        <v/>
      </c>
      <c r="E100" s="5">
        <f>$B$68*$C$68*E91*E92*$B$45*(1-$E$68*$B$50)</f>
        <v/>
      </c>
      <c r="F100" s="5">
        <f>$B$68*$C$68*F91*F92*$B$45*(1-$E$68*$B$50)</f>
        <v/>
      </c>
      <c r="G100" s="5">
        <f>$B$68*$C$68*G91*G92*$B$45*(1-$E$68*$B$50)</f>
        <v/>
      </c>
      <c r="H100" s="5">
        <f>$B$68*$C$68*H91*H92*$B$45*(1-$E$68*$B$50)</f>
        <v/>
      </c>
      <c r="I100" s="5">
        <f>$B$68*$C$68*I91*I92*$B$45*(1-$E$68*$B$50)</f>
        <v/>
      </c>
      <c r="J100" s="5">
        <f>$B$68*$C$68*J91*J92*$B$45*(1-$E$68*$B$50)</f>
        <v/>
      </c>
      <c r="K100" s="5">
        <f>$B$68*$C$68*K91*K92*$B$45*(1-$E$68*$B$50)</f>
        <v/>
      </c>
      <c r="L100" s="5">
        <f>$B$68*$C$68*L91*L92*$B$45*(1-$E$68*$B$50)</f>
        <v/>
      </c>
    </row>
    <row r="101">
      <c r="A101" t="inlineStr">
        <is>
          <t xml:space="preserve">  Gîtes existants hors événements (nuits)</t>
        </is>
      </c>
      <c r="B101" s="5">
        <f>SUM(C101:L101)</f>
        <v/>
      </c>
      <c r="C101" s="5">
        <f>$B$69*$C$69*C91*C92*$B$45*(1-$E$69*$B$50)</f>
        <v/>
      </c>
      <c r="D101" s="5">
        <f>$B$69*$C$69*D91*D92*$B$45*(1-$E$69*$B$50)</f>
        <v/>
      </c>
      <c r="E101" s="5">
        <f>$B$69*$C$69*E91*E92*$B$45*(1-$E$69*$B$50)</f>
        <v/>
      </c>
      <c r="F101" s="5">
        <f>$B$69*$C$69*F91*F92*$B$45*(1-$E$69*$B$50)</f>
        <v/>
      </c>
      <c r="G101" s="5">
        <f>$B$69*$C$69*G91*G92*$B$45*(1-$E$69*$B$50)</f>
        <v/>
      </c>
      <c r="H101" s="5">
        <f>$B$69*$C$69*H91*H92*$B$45*(1-$E$69*$B$50)</f>
        <v/>
      </c>
      <c r="I101" s="5">
        <f>$B$69*$C$69*I91*I92*$B$45*(1-$E$69*$B$50)</f>
        <v/>
      </c>
      <c r="J101" s="5">
        <f>$B$69*$C$69*J91*J92*$B$45*(1-$E$69*$B$50)</f>
        <v/>
      </c>
      <c r="K101" s="5">
        <f>$B$69*$C$69*K91*K92*$B$45*(1-$E$69*$B$50)</f>
        <v/>
      </c>
      <c r="L101" s="5">
        <f>$B$69*$C$69*L91*L92*$B$45*(1-$E$69*$B$50)</f>
        <v/>
      </c>
    </row>
    <row r="102">
      <c r="A102" t="inlineStr">
        <is>
          <t xml:space="preserve">  Tournages / shootings (jours)</t>
        </is>
      </c>
      <c r="B102" s="5">
        <f>SUM(C102:L102)</f>
        <v/>
      </c>
      <c r="C102" s="5">
        <f>$B$70*$C$70*C91*C92*$B$45*(1-$E$70*$B$50)</f>
        <v/>
      </c>
      <c r="D102" s="5">
        <f>$B$70*$C$70*D91*D92*$B$45*(1-$E$70*$B$50)</f>
        <v/>
      </c>
      <c r="E102" s="5">
        <f>$B$70*$C$70*E91*E92*$B$45*(1-$E$70*$B$50)</f>
        <v/>
      </c>
      <c r="F102" s="5">
        <f>$B$70*$C$70*F91*F92*$B$45*(1-$E$70*$B$50)</f>
        <v/>
      </c>
      <c r="G102" s="5">
        <f>$B$70*$C$70*G91*G92*$B$45*(1-$E$70*$B$50)</f>
        <v/>
      </c>
      <c r="H102" s="5">
        <f>$B$70*$C$70*H91*H92*$B$45*(1-$E$70*$B$50)</f>
        <v/>
      </c>
      <c r="I102" s="5">
        <f>$B$70*$C$70*I91*I92*$B$45*(1-$E$70*$B$50)</f>
        <v/>
      </c>
      <c r="J102" s="5">
        <f>$B$70*$C$70*J91*J92*$B$45*(1-$E$70*$B$50)</f>
        <v/>
      </c>
      <c r="K102" s="5">
        <f>$B$70*$C$70*K91*K92*$B$45*(1-$E$70*$B$50)</f>
        <v/>
      </c>
      <c r="L102" s="5">
        <f>$B$70*$C$70*L91*L92*$B$45*(1-$E$70*$B$50)</f>
        <v/>
      </c>
    </row>
    <row r="103">
      <c r="A103" t="inlineStr">
        <is>
          <t xml:space="preserve">  Fermage / vente d'herbe (ha)</t>
        </is>
      </c>
      <c r="B103" s="5">
        <f>SUM(C103:L103)</f>
        <v/>
      </c>
      <c r="C103" s="5">
        <f>$B$71*$C$71*C91*C92*$B$45*(1-$E$71*$B$50)</f>
        <v/>
      </c>
      <c r="D103" s="5">
        <f>$B$71*$C$71*D91*D92*$B$45*(1-$E$71*$B$50)</f>
        <v/>
      </c>
      <c r="E103" s="5">
        <f>$B$71*$C$71*E91*E92*$B$45*(1-$E$71*$B$50)</f>
        <v/>
      </c>
      <c r="F103" s="5">
        <f>$B$71*$C$71*F91*F92*$B$45*(1-$E$71*$B$50)</f>
        <v/>
      </c>
      <c r="G103" s="5">
        <f>$B$71*$C$71*G91*G92*$B$45*(1-$E$71*$B$50)</f>
        <v/>
      </c>
      <c r="H103" s="5">
        <f>$B$71*$C$71*H91*H92*$B$45*(1-$E$71*$B$50)</f>
        <v/>
      </c>
      <c r="I103" s="5">
        <f>$B$71*$C$71*I91*I92*$B$45*(1-$E$71*$B$50)</f>
        <v/>
      </c>
      <c r="J103" s="5">
        <f>$B$71*$C$71*J91*J92*$B$45*(1-$E$71*$B$50)</f>
        <v/>
      </c>
      <c r="K103" s="5">
        <f>$B$71*$C$71*K91*K92*$B$45*(1-$E$71*$B$50)</f>
        <v/>
      </c>
      <c r="L103" s="5">
        <f>$B$71*$C$71*L91*L92*$B$45*(1-$E$71*$B$50)</f>
        <v/>
      </c>
    </row>
    <row r="104">
      <c r="A104" s="4" t="inlineStr">
        <is>
          <t>Chiffre d'affaires total</t>
        </is>
      </c>
      <c r="B104" s="18">
        <f>SUM(C104:L104)</f>
        <v/>
      </c>
      <c r="C104" s="18">
        <f>C97+C98+C99+C100+C101+C102+C103</f>
        <v/>
      </c>
      <c r="D104" s="18">
        <f>D97+D98+D99+D100+D101+D102+D103</f>
        <v/>
      </c>
      <c r="E104" s="18">
        <f>E97+E98+E99+E100+E101+E102+E103</f>
        <v/>
      </c>
      <c r="F104" s="18">
        <f>F97+F98+F99+F100+F101+F102+F103</f>
        <v/>
      </c>
      <c r="G104" s="18">
        <f>G97+G98+G99+G100+G101+G102+G103</f>
        <v/>
      </c>
      <c r="H104" s="18">
        <f>H97+H98+H99+H100+H101+H102+H103</f>
        <v/>
      </c>
      <c r="I104" s="18">
        <f>I97+I98+I99+I100+I101+I102+I103</f>
        <v/>
      </c>
      <c r="J104" s="18">
        <f>J97+J98+J99+J100+J101+J102+J103</f>
        <v/>
      </c>
      <c r="K104" s="18">
        <f>K97+K98+K99+K100+K101+K102+K103</f>
        <v/>
      </c>
      <c r="L104" s="18">
        <f>L97+L98+L99+L100+L101+L102+L103</f>
        <v/>
      </c>
    </row>
    <row r="105">
      <c r="A105" t="inlineStr">
        <is>
          <t xml:space="preserve">  dont équestre</t>
        </is>
      </c>
      <c r="B105" s="5">
        <f>SUM(C105:L105)</f>
        <v/>
      </c>
      <c r="C105" s="5">
        <f>C97*$F$65+C98*$F$66+C99*$F$67+C100*$F$68+C101*$F$69+C102*$F$70+C103*$F$71</f>
        <v/>
      </c>
      <c r="D105" s="5">
        <f>D97*$F$65+D98*$F$66+D99*$F$67+D100*$F$68+D101*$F$69+D102*$F$70+D103*$F$71</f>
        <v/>
      </c>
      <c r="E105" s="5">
        <f>E97*$F$65+E98*$F$66+E99*$F$67+E100*$F$68+E101*$F$69+E102*$F$70+E103*$F$71</f>
        <v/>
      </c>
      <c r="F105" s="5">
        <f>F97*$F$65+F98*$F$66+F99*$F$67+F100*$F$68+F101*$F$69+F102*$F$70+F103*$F$71</f>
        <v/>
      </c>
      <c r="G105" s="5">
        <f>G97*$F$65+G98*$F$66+G99*$F$67+G100*$F$68+G101*$F$69+G102*$F$70+G103*$F$71</f>
        <v/>
      </c>
      <c r="H105" s="5">
        <f>H97*$F$65+H98*$F$66+H99*$F$67+H100*$F$68+H101*$F$69+H102*$F$70+H103*$F$71</f>
        <v/>
      </c>
      <c r="I105" s="5">
        <f>I97*$F$65+I98*$F$66+I99*$F$67+I100*$F$68+I101*$F$69+I102*$F$70+I103*$F$71</f>
        <v/>
      </c>
      <c r="J105" s="5">
        <f>J97*$F$65+J98*$F$66+J99*$F$67+J100*$F$68+J101*$F$69+J102*$F$70+J103*$F$71</f>
        <v/>
      </c>
      <c r="K105" s="5">
        <f>K97*$F$65+K98*$F$66+K99*$F$67+K100*$F$68+K101*$F$69+K102*$F$70+K103*$F$71</f>
        <v/>
      </c>
      <c r="L105" s="5">
        <f>L97*$F$65+L98*$F$66+L99*$F$67+L100*$F$68+L101*$F$69+L102*$F$70+L103*$F$71</f>
        <v/>
      </c>
    </row>
    <row r="106">
      <c r="A106" t="inlineStr">
        <is>
          <t xml:space="preserve">  Part équestre du CA</t>
        </is>
      </c>
      <c r="C106" s="6">
        <f>IF(C104=0,0,C105/C104)</f>
        <v/>
      </c>
      <c r="D106" s="6">
        <f>IF(D104=0,0,D105/D104)</f>
        <v/>
      </c>
      <c r="E106" s="6">
        <f>IF(E104=0,0,E105/E104)</f>
        <v/>
      </c>
      <c r="F106" s="6">
        <f>IF(F104=0,0,F105/F104)</f>
        <v/>
      </c>
      <c r="G106" s="6">
        <f>IF(G104=0,0,G105/G104)</f>
        <v/>
      </c>
      <c r="H106" s="6">
        <f>IF(H104=0,0,H105/H104)</f>
        <v/>
      </c>
      <c r="I106" s="6">
        <f>IF(I104=0,0,I105/I104)</f>
        <v/>
      </c>
      <c r="J106" s="6">
        <f>IF(J104=0,0,J105/J104)</f>
        <v/>
      </c>
      <c r="K106" s="6">
        <f>IF(K104=0,0,K105/K104)</f>
        <v/>
      </c>
      <c r="L106" s="6">
        <f>IF(L104=0,0,L105/L104)</f>
        <v/>
      </c>
    </row>
    <row r="107">
      <c r="A107" t="inlineStr">
        <is>
          <t>Coûts variables</t>
        </is>
      </c>
      <c r="B107" s="5">
        <f>SUM(C107:L107)</f>
        <v/>
      </c>
      <c r="C107" s="5">
        <f>-(C97*$D$65+C98*$D$66+C99*$D$67+C100*$D$68+C101*$D$69+C102*$D$70+C103*$D$71)</f>
        <v/>
      </c>
      <c r="D107" s="5">
        <f>-(D97*$D$65+D98*$D$66+D99*$D$67+D100*$D$68+D101*$D$69+D102*$D$70+D103*$D$71)</f>
        <v/>
      </c>
      <c r="E107" s="5">
        <f>-(E97*$D$65+E98*$D$66+E99*$D$67+E100*$D$68+E101*$D$69+E102*$D$70+E103*$D$71)</f>
        <v/>
      </c>
      <c r="F107" s="5">
        <f>-(F97*$D$65+F98*$D$66+F99*$D$67+F100*$D$68+F101*$D$69+F102*$D$70+F103*$D$71)</f>
        <v/>
      </c>
      <c r="G107" s="5">
        <f>-(G97*$D$65+G98*$D$66+G99*$D$67+G100*$D$68+G101*$D$69+G102*$D$70+G103*$D$71)</f>
        <v/>
      </c>
      <c r="H107" s="5">
        <f>-(H97*$D$65+H98*$D$66+H99*$D$67+H100*$D$68+H101*$D$69+H102*$D$70+H103*$D$71)</f>
        <v/>
      </c>
      <c r="I107" s="5">
        <f>-(I97*$D$65+I98*$D$66+I99*$D$67+I100*$D$68+I101*$D$69+I102*$D$70+I103*$D$71)</f>
        <v/>
      </c>
      <c r="J107" s="5">
        <f>-(J97*$D$65+J98*$D$66+J99*$D$67+J100*$D$68+J101*$D$69+J102*$D$70+J103*$D$71)</f>
        <v/>
      </c>
      <c r="K107" s="5">
        <f>-(K97*$D$65+K98*$D$66+K99*$D$67+K100*$D$68+K101*$D$69+K102*$D$70+K103*$D$71)</f>
        <v/>
      </c>
      <c r="L107" s="5">
        <f>-(L97*$D$65+L98*$D$66+L99*$D$67+L100*$D$68+L101*$D$69+L102*$D$70+L103*$D$71)</f>
        <v/>
      </c>
    </row>
    <row r="108">
      <c r="A108" s="4" t="inlineStr">
        <is>
          <t>Marge sur coûts variables</t>
        </is>
      </c>
      <c r="B108" s="18">
        <f>SUM(C108:L108)</f>
        <v/>
      </c>
      <c r="C108" s="18">
        <f>C104+C107</f>
        <v/>
      </c>
      <c r="D108" s="18">
        <f>D104+D107</f>
        <v/>
      </c>
      <c r="E108" s="18">
        <f>E104+E107</f>
        <v/>
      </c>
      <c r="F108" s="18">
        <f>F104+F107</f>
        <v/>
      </c>
      <c r="G108" s="18">
        <f>G104+G107</f>
        <v/>
      </c>
      <c r="H108" s="18">
        <f>H104+H107</f>
        <v/>
      </c>
      <c r="I108" s="18">
        <f>I104+I107</f>
        <v/>
      </c>
      <c r="J108" s="18">
        <f>J104+J107</f>
        <v/>
      </c>
      <c r="K108" s="18">
        <f>K104+K107</f>
        <v/>
      </c>
      <c r="L108" s="18">
        <f>L104+L107</f>
        <v/>
      </c>
    </row>
    <row r="109">
      <c r="A109" t="inlineStr">
        <is>
          <t xml:space="preserve">  Taxe foncière</t>
        </is>
      </c>
      <c r="B109" s="5">
        <f>SUM(C109:L109)</f>
        <v/>
      </c>
      <c r="C109" s="5">
        <f>-$B$75*C93*IF($C$75=1,C94,IF(C90&gt;0,1,0))</f>
        <v/>
      </c>
      <c r="D109" s="5">
        <f>-$B$75*D93*IF($C$75=1,D94,IF(D90&gt;0,1,0))</f>
        <v/>
      </c>
      <c r="E109" s="5">
        <f>-$B$75*E93*IF($C$75=1,E94,IF(E90&gt;0,1,0))</f>
        <v/>
      </c>
      <c r="F109" s="5">
        <f>-$B$75*F93*IF($C$75=1,F94,IF(F90&gt;0,1,0))</f>
        <v/>
      </c>
      <c r="G109" s="5">
        <f>-$B$75*G93*IF($C$75=1,G94,IF(G90&gt;0,1,0))</f>
        <v/>
      </c>
      <c r="H109" s="5">
        <f>-$B$75*H93*IF($C$75=1,H94,IF(H90&gt;0,1,0))</f>
        <v/>
      </c>
      <c r="I109" s="5">
        <f>-$B$75*I93*IF($C$75=1,I94,IF(I90&gt;0,1,0))</f>
        <v/>
      </c>
      <c r="J109" s="5">
        <f>-$B$75*J93*IF($C$75=1,J94,IF(J90&gt;0,1,0))</f>
        <v/>
      </c>
      <c r="K109" s="5">
        <f>-$B$75*K93*IF($C$75=1,K94,IF(K90&gt;0,1,0))</f>
        <v/>
      </c>
      <c r="L109" s="5">
        <f>-$B$75*L93*IF($C$75=1,L94,IF(L90&gt;0,1,0))</f>
        <v/>
      </c>
    </row>
    <row r="110">
      <c r="A110" t="inlineStr">
        <is>
          <t xml:space="preserve">  Assurance multirisque château</t>
        </is>
      </c>
      <c r="B110" s="5">
        <f>SUM(C110:L110)</f>
        <v/>
      </c>
      <c r="C110" s="5">
        <f>-$B$76*C93*IF($C$76=1,C94,IF(C90&gt;0,1,0))</f>
        <v/>
      </c>
      <c r="D110" s="5">
        <f>-$B$76*D93*IF($C$76=1,D94,IF(D90&gt;0,1,0))</f>
        <v/>
      </c>
      <c r="E110" s="5">
        <f>-$B$76*E93*IF($C$76=1,E94,IF(E90&gt;0,1,0))</f>
        <v/>
      </c>
      <c r="F110" s="5">
        <f>-$B$76*F93*IF($C$76=1,F94,IF(F90&gt;0,1,0))</f>
        <v/>
      </c>
      <c r="G110" s="5">
        <f>-$B$76*G93*IF($C$76=1,G94,IF(G90&gt;0,1,0))</f>
        <v/>
      </c>
      <c r="H110" s="5">
        <f>-$B$76*H93*IF($C$76=1,H94,IF(H90&gt;0,1,0))</f>
        <v/>
      </c>
      <c r="I110" s="5">
        <f>-$B$76*I93*IF($C$76=1,I94,IF(I90&gt;0,1,0))</f>
        <v/>
      </c>
      <c r="J110" s="5">
        <f>-$B$76*J93*IF($C$76=1,J94,IF(J90&gt;0,1,0))</f>
        <v/>
      </c>
      <c r="K110" s="5">
        <f>-$B$76*K93*IF($C$76=1,K94,IF(K90&gt;0,1,0))</f>
        <v/>
      </c>
      <c r="L110" s="5">
        <f>-$B$76*L93*IF($C$76=1,L94,IF(L90&gt;0,1,0))</f>
        <v/>
      </c>
    </row>
    <row r="111">
      <c r="A111" t="inlineStr">
        <is>
          <t xml:space="preserve">  Énergie (chauffage partiel, électricité, eau)</t>
        </is>
      </c>
      <c r="B111" s="5">
        <f>SUM(C111:L111)</f>
        <v/>
      </c>
      <c r="C111" s="5">
        <f>-$B$77*C93*IF($C$77=1,C94,IF(C90&gt;0,1,0))</f>
        <v/>
      </c>
      <c r="D111" s="5">
        <f>-$B$77*D93*IF($C$77=1,D94,IF(D90&gt;0,1,0))</f>
        <v/>
      </c>
      <c r="E111" s="5">
        <f>-$B$77*E93*IF($C$77=1,E94,IF(E90&gt;0,1,0))</f>
        <v/>
      </c>
      <c r="F111" s="5">
        <f>-$B$77*F93*IF($C$77=1,F94,IF(F90&gt;0,1,0))</f>
        <v/>
      </c>
      <c r="G111" s="5">
        <f>-$B$77*G93*IF($C$77=1,G94,IF(G90&gt;0,1,0))</f>
        <v/>
      </c>
      <c r="H111" s="5">
        <f>-$B$77*H93*IF($C$77=1,H94,IF(H90&gt;0,1,0))</f>
        <v/>
      </c>
      <c r="I111" s="5">
        <f>-$B$77*I93*IF($C$77=1,I94,IF(I90&gt;0,1,0))</f>
        <v/>
      </c>
      <c r="J111" s="5">
        <f>-$B$77*J93*IF($C$77=1,J94,IF(J90&gt;0,1,0))</f>
        <v/>
      </c>
      <c r="K111" s="5">
        <f>-$B$77*K93*IF($C$77=1,K94,IF(K90&gt;0,1,0))</f>
        <v/>
      </c>
      <c r="L111" s="5">
        <f>-$B$77*L93*IF($C$77=1,L94,IF(L90&gt;0,1,0))</f>
        <v/>
      </c>
    </row>
    <row r="112">
      <c r="A112" t="inlineStr">
        <is>
          <t xml:space="preserve">  Jardinier à mi-temps / prestataire</t>
        </is>
      </c>
      <c r="B112" s="5">
        <f>SUM(C112:L112)</f>
        <v/>
      </c>
      <c r="C112" s="5">
        <f>-$B$78*C93*IF($C$78=1,C94,IF(C90&gt;0,1,0))</f>
        <v/>
      </c>
      <c r="D112" s="5">
        <f>-$B$78*D93*IF($C$78=1,D94,IF(D90&gt;0,1,0))</f>
        <v/>
      </c>
      <c r="E112" s="5">
        <f>-$B$78*E93*IF($C$78=1,E94,IF(E90&gt;0,1,0))</f>
        <v/>
      </c>
      <c r="F112" s="5">
        <f>-$B$78*F93*IF($C$78=1,F94,IF(F90&gt;0,1,0))</f>
        <v/>
      </c>
      <c r="G112" s="5">
        <f>-$B$78*G93*IF($C$78=1,G94,IF(G90&gt;0,1,0))</f>
        <v/>
      </c>
      <c r="H112" s="5">
        <f>-$B$78*H93*IF($C$78=1,H94,IF(H90&gt;0,1,0))</f>
        <v/>
      </c>
      <c r="I112" s="5">
        <f>-$B$78*I93*IF($C$78=1,I94,IF(I90&gt;0,1,0))</f>
        <v/>
      </c>
      <c r="J112" s="5">
        <f>-$B$78*J93*IF($C$78=1,J94,IF(J90&gt;0,1,0))</f>
        <v/>
      </c>
      <c r="K112" s="5">
        <f>-$B$78*K93*IF($C$78=1,K94,IF(K90&gt;0,1,0))</f>
        <v/>
      </c>
      <c r="L112" s="5">
        <f>-$B$78*L93*IF($C$78=1,L94,IF(L90&gt;0,1,0))</f>
        <v/>
      </c>
    </row>
    <row r="113">
      <c r="A113" t="inlineStr">
        <is>
          <t xml:space="preserve">  Divers (abonnements, petit matériel, véhicule, honoraires)</t>
        </is>
      </c>
      <c r="B113" s="5">
        <f>SUM(C113:L113)</f>
        <v/>
      </c>
      <c r="C113" s="5">
        <f>-$B$79*C93*IF($C$79=1,C94,IF(C90&gt;0,1,0))</f>
        <v/>
      </c>
      <c r="D113" s="5">
        <f>-$B$79*D93*IF($C$79=1,D94,IF(D90&gt;0,1,0))</f>
        <v/>
      </c>
      <c r="E113" s="5">
        <f>-$B$79*E93*IF($C$79=1,E94,IF(E90&gt;0,1,0))</f>
        <v/>
      </c>
      <c r="F113" s="5">
        <f>-$B$79*F93*IF($C$79=1,F94,IF(F90&gt;0,1,0))</f>
        <v/>
      </c>
      <c r="G113" s="5">
        <f>-$B$79*G93*IF($C$79=1,G94,IF(G90&gt;0,1,0))</f>
        <v/>
      </c>
      <c r="H113" s="5">
        <f>-$B$79*H93*IF($C$79=1,H94,IF(H90&gt;0,1,0))</f>
        <v/>
      </c>
      <c r="I113" s="5">
        <f>-$B$79*I93*IF($C$79=1,I94,IF(I90&gt;0,1,0))</f>
        <v/>
      </c>
      <c r="J113" s="5">
        <f>-$B$79*J93*IF($C$79=1,J94,IF(J90&gt;0,1,0))</f>
        <v/>
      </c>
      <c r="K113" s="5">
        <f>-$B$79*K93*IF($C$79=1,K94,IF(K90&gt;0,1,0))</f>
        <v/>
      </c>
      <c r="L113" s="5">
        <f>-$B$79*L93*IF($C$79=1,L94,IF(L90&gt;0,1,0))</f>
        <v/>
      </c>
    </row>
    <row r="114">
      <c r="A114" t="inlineStr">
        <is>
          <t xml:space="preserve">  Soigneurs (2 ETP chargés)</t>
        </is>
      </c>
      <c r="B114" s="5">
        <f>SUM(C114:L114)</f>
        <v/>
      </c>
      <c r="C114" s="5">
        <f>-$B$80*C93*IF($C$80=1,C94,IF(C90&gt;0,1,0))</f>
        <v/>
      </c>
      <c r="D114" s="5">
        <f>-$B$80*D93*IF($C$80=1,D94,IF(D90&gt;0,1,0))</f>
        <v/>
      </c>
      <c r="E114" s="5">
        <f>-$B$80*E93*IF($C$80=1,E94,IF(E90&gt;0,1,0))</f>
        <v/>
      </c>
      <c r="F114" s="5">
        <f>-$B$80*F93*IF($C$80=1,F94,IF(F90&gt;0,1,0))</f>
        <v/>
      </c>
      <c r="G114" s="5">
        <f>-$B$80*G93*IF($C$80=1,G94,IF(G90&gt;0,1,0))</f>
        <v/>
      </c>
      <c r="H114" s="5">
        <f>-$B$80*H93*IF($C$80=1,H94,IF(H90&gt;0,1,0))</f>
        <v/>
      </c>
      <c r="I114" s="5">
        <f>-$B$80*I93*IF($C$80=1,I94,IF(I90&gt;0,1,0))</f>
        <v/>
      </c>
      <c r="J114" s="5">
        <f>-$B$80*J93*IF($C$80=1,J94,IF(J90&gt;0,1,0))</f>
        <v/>
      </c>
      <c r="K114" s="5">
        <f>-$B$80*K93*IF($C$80=1,K94,IF(K90&gt;0,1,0))</f>
        <v/>
      </c>
      <c r="L114" s="5">
        <f>-$B$80*L93*IF($C$80=1,L94,IF(L90&gt;0,1,0))</f>
        <v/>
      </c>
    </row>
    <row r="115">
      <c r="A115" t="inlineStr">
        <is>
          <t xml:space="preserve">  Autres charges de structure équestres (entretien installations, matériel, assurance RC, énergie écuries)</t>
        </is>
      </c>
      <c r="B115" s="5">
        <f>SUM(C115:L115)</f>
        <v/>
      </c>
      <c r="C115" s="5">
        <f>-$B$81*C93*IF($C$81=1,C94,IF(C90&gt;0,1,0))</f>
        <v/>
      </c>
      <c r="D115" s="5">
        <f>-$B$81*D93*IF($C$81=1,D94,IF(D90&gt;0,1,0))</f>
        <v/>
      </c>
      <c r="E115" s="5">
        <f>-$B$81*E93*IF($C$81=1,E94,IF(E90&gt;0,1,0))</f>
        <v/>
      </c>
      <c r="F115" s="5">
        <f>-$B$81*F93*IF($C$81=1,F94,IF(F90&gt;0,1,0))</f>
        <v/>
      </c>
      <c r="G115" s="5">
        <f>-$B$81*G93*IF($C$81=1,G94,IF(G90&gt;0,1,0))</f>
        <v/>
      </c>
      <c r="H115" s="5">
        <f>-$B$81*H93*IF($C$81=1,H94,IF(H90&gt;0,1,0))</f>
        <v/>
      </c>
      <c r="I115" s="5">
        <f>-$B$81*I93*IF($C$81=1,I94,IF(I90&gt;0,1,0))</f>
        <v/>
      </c>
      <c r="J115" s="5">
        <f>-$B$81*J93*IF($C$81=1,J94,IF(J90&gt;0,1,0))</f>
        <v/>
      </c>
      <c r="K115" s="5">
        <f>-$B$81*K93*IF($C$81=1,K94,IF(K90&gt;0,1,0))</f>
        <v/>
      </c>
      <c r="L115" s="5">
        <f>-$B$81*L93*IF($C$81=1,L94,IF(L90&gt;0,1,0))</f>
        <v/>
      </c>
    </row>
    <row r="116">
      <c r="A116" t="inlineStr">
        <is>
          <t xml:space="preserve">  Coûts fixes mariages (coordination, nettoyage, publicité)</t>
        </is>
      </c>
      <c r="B116" s="5">
        <f>SUM(C116:L116)</f>
        <v/>
      </c>
      <c r="C116" s="5">
        <f>-$B$82*C93*IF($C$82=1,C94,IF(C90&gt;0,1,0))</f>
        <v/>
      </c>
      <c r="D116" s="5">
        <f>-$B$82*D93*IF($C$82=1,D94,IF(D90&gt;0,1,0))</f>
        <v/>
      </c>
      <c r="E116" s="5">
        <f>-$B$82*E93*IF($C$82=1,E94,IF(E90&gt;0,1,0))</f>
        <v/>
      </c>
      <c r="F116" s="5">
        <f>-$B$82*F93*IF($C$82=1,F94,IF(F90&gt;0,1,0))</f>
        <v/>
      </c>
      <c r="G116" s="5">
        <f>-$B$82*G93*IF($C$82=1,G94,IF(G90&gt;0,1,0))</f>
        <v/>
      </c>
      <c r="H116" s="5">
        <f>-$B$82*H93*IF($C$82=1,H94,IF(H90&gt;0,1,0))</f>
        <v/>
      </c>
      <c r="I116" s="5">
        <f>-$B$82*I93*IF($C$82=1,I94,IF(I90&gt;0,1,0))</f>
        <v/>
      </c>
      <c r="J116" s="5">
        <f>-$B$82*J93*IF($C$82=1,J94,IF(J90&gt;0,1,0))</f>
        <v/>
      </c>
      <c r="K116" s="5">
        <f>-$B$82*K93*IF($C$82=1,K94,IF(K90&gt;0,1,0))</f>
        <v/>
      </c>
      <c r="L116" s="5">
        <f>-$B$82*L93*IF($C$82=1,L94,IF(L90&gt;0,1,0))</f>
        <v/>
      </c>
    </row>
    <row r="117">
      <c r="A117" t="inlineStr">
        <is>
          <t xml:space="preserve">  Coûts fixes du gîte</t>
        </is>
      </c>
      <c r="B117" s="5">
        <f>SUM(C117:L117)</f>
        <v/>
      </c>
      <c r="C117" s="5">
        <f>-$B$83*C93*IF($C$83=1,C94,IF(C90&gt;0,1,0))</f>
        <v/>
      </c>
      <c r="D117" s="5">
        <f>-$B$83*D93*IF($C$83=1,D94,IF(D90&gt;0,1,0))</f>
        <v/>
      </c>
      <c r="E117" s="5">
        <f>-$B$83*E93*IF($C$83=1,E94,IF(E90&gt;0,1,0))</f>
        <v/>
      </c>
      <c r="F117" s="5">
        <f>-$B$83*F93*IF($C$83=1,F94,IF(F90&gt;0,1,0))</f>
        <v/>
      </c>
      <c r="G117" s="5">
        <f>-$B$83*G93*IF($C$83=1,G94,IF(G90&gt;0,1,0))</f>
        <v/>
      </c>
      <c r="H117" s="5">
        <f>-$B$83*H93*IF($C$83=1,H94,IF(H90&gt;0,1,0))</f>
        <v/>
      </c>
      <c r="I117" s="5">
        <f>-$B$83*I93*IF($C$83=1,I94,IF(I90&gt;0,1,0))</f>
        <v/>
      </c>
      <c r="J117" s="5">
        <f>-$B$83*J93*IF($C$83=1,J94,IF(J90&gt;0,1,0))</f>
        <v/>
      </c>
      <c r="K117" s="5">
        <f>-$B$83*K93*IF($C$83=1,K94,IF(K90&gt;0,1,0))</f>
        <v/>
      </c>
      <c r="L117" s="5">
        <f>-$B$83*L93*IF($C$83=1,L94,IF(L90&gt;0,1,0))</f>
        <v/>
      </c>
    </row>
    <row r="118">
      <c r="A118" t="inlineStr">
        <is>
          <t xml:space="preserve">  Commercial, site, salons</t>
        </is>
      </c>
      <c r="B118" s="5">
        <f>SUM(C118:L118)</f>
        <v/>
      </c>
      <c r="C118" s="5">
        <f>-$B$84*C93*IF($C$84=1,C94,IF(C90&gt;0,1,0))</f>
        <v/>
      </c>
      <c r="D118" s="5">
        <f>-$B$84*D93*IF($C$84=1,D94,IF(D90&gt;0,1,0))</f>
        <v/>
      </c>
      <c r="E118" s="5">
        <f>-$B$84*E93*IF($C$84=1,E94,IF(E90&gt;0,1,0))</f>
        <v/>
      </c>
      <c r="F118" s="5">
        <f>-$B$84*F93*IF($C$84=1,F94,IF(F90&gt;0,1,0))</f>
        <v/>
      </c>
      <c r="G118" s="5">
        <f>-$B$84*G93*IF($C$84=1,G94,IF(G90&gt;0,1,0))</f>
        <v/>
      </c>
      <c r="H118" s="5">
        <f>-$B$84*H93*IF($C$84=1,H94,IF(H90&gt;0,1,0))</f>
        <v/>
      </c>
      <c r="I118" s="5">
        <f>-$B$84*I93*IF($C$84=1,I94,IF(I90&gt;0,1,0))</f>
        <v/>
      </c>
      <c r="J118" s="5">
        <f>-$B$84*J93*IF($C$84=1,J94,IF(J90&gt;0,1,0))</f>
        <v/>
      </c>
      <c r="K118" s="5">
        <f>-$B$84*K93*IF($C$84=1,K94,IF(K90&gt;0,1,0))</f>
        <v/>
      </c>
      <c r="L118" s="5">
        <f>-$B$84*L93*IF($C$84=1,L94,IF(L90&gt;0,1,0))</f>
        <v/>
      </c>
    </row>
    <row r="119">
      <c r="A119" t="inlineStr">
        <is>
          <t xml:space="preserve">  Comptabilité, juridique, banque, logiciels</t>
        </is>
      </c>
      <c r="B119" s="5">
        <f>SUM(C119:L119)</f>
        <v/>
      </c>
      <c r="C119" s="5">
        <f>-$B$85*C93*IF($C$85=1,C94,IF(C90&gt;0,1,0))</f>
        <v/>
      </c>
      <c r="D119" s="5">
        <f>-$B$85*D93*IF($C$85=1,D94,IF(D90&gt;0,1,0))</f>
        <v/>
      </c>
      <c r="E119" s="5">
        <f>-$B$85*E93*IF($C$85=1,E94,IF(E90&gt;0,1,0))</f>
        <v/>
      </c>
      <c r="F119" s="5">
        <f>-$B$85*F93*IF($C$85=1,F94,IF(F90&gt;0,1,0))</f>
        <v/>
      </c>
      <c r="G119" s="5">
        <f>-$B$85*G93*IF($C$85=1,G94,IF(G90&gt;0,1,0))</f>
        <v/>
      </c>
      <c r="H119" s="5">
        <f>-$B$85*H93*IF($C$85=1,H94,IF(H90&gt;0,1,0))</f>
        <v/>
      </c>
      <c r="I119" s="5">
        <f>-$B$85*I93*IF($C$85=1,I94,IF(I90&gt;0,1,0))</f>
        <v/>
      </c>
      <c r="J119" s="5">
        <f>-$B$85*J93*IF($C$85=1,J94,IF(J90&gt;0,1,0))</f>
        <v/>
      </c>
      <c r="K119" s="5">
        <f>-$B$85*K93*IF($C$85=1,K94,IF(K90&gt;0,1,0))</f>
        <v/>
      </c>
      <c r="L119" s="5">
        <f>-$B$85*L93*IF($C$85=1,L94,IF(L90&gt;0,1,0))</f>
        <v/>
      </c>
    </row>
    <row r="120">
      <c r="A120" s="4" t="inlineStr">
        <is>
          <t>Charges fixes totales</t>
        </is>
      </c>
      <c r="B120" s="18">
        <f>SUM(C120:L120)</f>
        <v/>
      </c>
      <c r="C120" s="18">
        <f>C109+C110+C111+C112+C113+C114+C115+C116+C117+C118+C119</f>
        <v/>
      </c>
      <c r="D120" s="18">
        <f>D109+D110+D111+D112+D113+D114+D115+D116+D117+D118+D119</f>
        <v/>
      </c>
      <c r="E120" s="18">
        <f>E109+E110+E111+E112+E113+E114+E115+E116+E117+E118+E119</f>
        <v/>
      </c>
      <c r="F120" s="18">
        <f>F109+F110+F111+F112+F113+F114+F115+F116+F117+F118+F119</f>
        <v/>
      </c>
      <c r="G120" s="18">
        <f>G109+G110+G111+G112+G113+G114+G115+G116+G117+G118+G119</f>
        <v/>
      </c>
      <c r="H120" s="18">
        <f>H109+H110+H111+H112+H113+H114+H115+H116+H117+H118+H119</f>
        <v/>
      </c>
      <c r="I120" s="18">
        <f>I109+I110+I111+I112+I113+I114+I115+I116+I117+I118+I119</f>
        <v/>
      </c>
      <c r="J120" s="18">
        <f>J109+J110+J111+J112+J113+J114+J115+J116+J117+J118+J119</f>
        <v/>
      </c>
      <c r="K120" s="18">
        <f>K109+K110+K111+K112+K113+K114+K115+K116+K117+K118+K119</f>
        <v/>
      </c>
      <c r="L120" s="18">
        <f>L109+L110+L111+L112+L113+L114+L115+L116+L117+L118+L119</f>
        <v/>
      </c>
    </row>
    <row r="121">
      <c r="A121" t="inlineStr">
        <is>
          <t>Loyer des murs (avant acquisition)</t>
        </is>
      </c>
      <c r="B121" s="5">
        <f>SUM(C121:L121)</f>
        <v/>
      </c>
      <c r="C121" s="5">
        <f>-IF(C94=0,IF(C$88&gt;=$B$6,$B$18*C93,0),0)</f>
        <v/>
      </c>
      <c r="D121" s="5">
        <f>-IF(D94=0,IF(D$88&gt;=$B$6,$B$18*D93,0),0)</f>
        <v/>
      </c>
      <c r="E121" s="5">
        <f>-IF(E94=0,IF(E$88&gt;=$B$6,$B$18*E93,0),0)</f>
        <v/>
      </c>
      <c r="F121" s="5">
        <f>-IF(F94=0,IF(F$88&gt;=$B$6,$B$18*F93,0),0)</f>
        <v/>
      </c>
      <c r="G121" s="5">
        <f>-IF(G94=0,IF(G$88&gt;=$B$6,$B$18*G93,0),0)</f>
        <v/>
      </c>
      <c r="H121" s="5">
        <f>-IF(H94=0,IF(H$88&gt;=$B$6,$B$18*H93,0),0)</f>
        <v/>
      </c>
      <c r="I121" s="5">
        <f>-IF(I94=0,IF(I$88&gt;=$B$6,$B$18*I93,0),0)</f>
        <v/>
      </c>
      <c r="J121" s="5">
        <f>-IF(J94=0,IF(J$88&gt;=$B$6,$B$18*J93,0),0)</f>
        <v/>
      </c>
      <c r="K121" s="5">
        <f>-IF(K94=0,IF(K$88&gt;=$B$6,$B$18*K93,0),0)</f>
        <v/>
      </c>
      <c r="L121" s="5">
        <f>-IF(L94=0,IF(L$88&gt;=$B$6,$B$18*L93,0),0)</f>
        <v/>
      </c>
    </row>
    <row r="122">
      <c r="A122" s="4" t="inlineStr">
        <is>
          <t>EBITDA</t>
        </is>
      </c>
      <c r="B122" s="18">
        <f>SUM(C122:L122)</f>
        <v/>
      </c>
      <c r="C122" s="18">
        <f>C108+C120+C121</f>
        <v/>
      </c>
      <c r="D122" s="18">
        <f>D108+D120+D121</f>
        <v/>
      </c>
      <c r="E122" s="18">
        <f>E108+E120+E121</f>
        <v/>
      </c>
      <c r="F122" s="18">
        <f>F108+F120+F121</f>
        <v/>
      </c>
      <c r="G122" s="18">
        <f>G108+G120+G121</f>
        <v/>
      </c>
      <c r="H122" s="18">
        <f>H108+H120+H121</f>
        <v/>
      </c>
      <c r="I122" s="18">
        <f>I108+I120+I121</f>
        <v/>
      </c>
      <c r="J122" s="18">
        <f>J108+J120+J121</f>
        <v/>
      </c>
      <c r="K122" s="18">
        <f>K108+K120+K121</f>
        <v/>
      </c>
      <c r="L122" s="18">
        <f>L108+L120+L121</f>
        <v/>
      </c>
    </row>
    <row r="123">
      <c r="A123" t="inlineStr">
        <is>
          <t>Loyer de la partie privée (payé par le fondateur, dès qu'il occupe les murs)</t>
        </is>
      </c>
      <c r="B123" s="5">
        <f>SUM(C123:L123)</f>
        <v/>
      </c>
      <c r="C123" s="5">
        <f>C94*$B$20*C93</f>
        <v/>
      </c>
      <c r="D123" s="5">
        <f>D94*$B$20*D93</f>
        <v/>
      </c>
      <c r="E123" s="5">
        <f>E94*$B$20*E93</f>
        <v/>
      </c>
      <c r="F123" s="5">
        <f>F94*$B$20*F93</f>
        <v/>
      </c>
      <c r="G123" s="5">
        <f>G94*$B$20*G93</f>
        <v/>
      </c>
      <c r="H123" s="5">
        <f>H94*$B$20*H93</f>
        <v/>
      </c>
      <c r="I123" s="5">
        <f>I94*$B$20*I93</f>
        <v/>
      </c>
      <c r="J123" s="5">
        <f>J94*$B$20*J93</f>
        <v/>
      </c>
      <c r="K123" s="5">
        <f>K94*$B$20*K93</f>
        <v/>
      </c>
      <c r="L123" s="5">
        <f>L94*$B$20*L93</f>
        <v/>
      </c>
    </row>
    <row r="124">
      <c r="A124" t="inlineStr">
        <is>
          <t xml:space="preserve">  Marge d'EBITDA</t>
        </is>
      </c>
      <c r="C124" s="6">
        <f>IF(C104=0,0,C122/C104)</f>
        <v/>
      </c>
      <c r="D124" s="6">
        <f>IF(D104=0,0,D122/D104)</f>
        <v/>
      </c>
      <c r="E124" s="6">
        <f>IF(E104=0,0,E122/E104)</f>
        <v/>
      </c>
      <c r="F124" s="6">
        <f>IF(F104=0,0,F122/F104)</f>
        <v/>
      </c>
      <c r="G124" s="6">
        <f>IF(G104=0,0,G122/G104)</f>
        <v/>
      </c>
      <c r="H124" s="6">
        <f>IF(H104=0,0,H122/H104)</f>
        <v/>
      </c>
      <c r="I124" s="6">
        <f>IF(I104=0,0,I122/I104)</f>
        <v/>
      </c>
      <c r="J124" s="6">
        <f>IF(J104=0,0,J122/J104)</f>
        <v/>
      </c>
      <c r="K124" s="6">
        <f>IF(K104=0,0,K122/K104)</f>
        <v/>
      </c>
      <c r="L124" s="6">
        <f>IF(L104=0,0,L122/L104)</f>
        <v/>
      </c>
    </row>
    <row r="125">
      <c r="A125" t="inlineStr">
        <is>
          <t>Travaux et équipements initiaux</t>
        </is>
      </c>
      <c r="B125" s="5">
        <f>SUM(C125:L125)</f>
        <v/>
      </c>
      <c r="C125" s="5">
        <f>($B$10+$B$11+$B$12)*$B$46*IF(C$88=$B$5,$B$13,IF(C$88=$B$5+1,$B$14,IF(C$88=$B$5+2,$B$15,0)))*C93</f>
        <v/>
      </c>
      <c r="D125" s="5">
        <f>($B$10+$B$11+$B$12)*$B$46*IF(D$88=$B$5,$B$13,IF(D$88=$B$5+1,$B$14,IF(D$88=$B$5+2,$B$15,0)))*D93</f>
        <v/>
      </c>
      <c r="E125" s="5">
        <f>($B$10+$B$11+$B$12)*$B$46*IF(E$88=$B$5,$B$13,IF(E$88=$B$5+1,$B$14,IF(E$88=$B$5+2,$B$15,0)))*E93</f>
        <v/>
      </c>
      <c r="F125" s="5">
        <f>($B$10+$B$11+$B$12)*$B$46*IF(F$88=$B$5,$B$13,IF(F$88=$B$5+1,$B$14,IF(F$88=$B$5+2,$B$15,0)))*F93</f>
        <v/>
      </c>
      <c r="G125" s="5">
        <f>($B$10+$B$11+$B$12)*$B$46*IF(G$88=$B$5,$B$13,IF(G$88=$B$5+1,$B$14,IF(G$88=$B$5+2,$B$15,0)))*G93</f>
        <v/>
      </c>
      <c r="H125" s="5">
        <f>($B$10+$B$11+$B$12)*$B$46*IF(H$88=$B$5,$B$13,IF(H$88=$B$5+1,$B$14,IF(H$88=$B$5+2,$B$15,0)))*H93</f>
        <v/>
      </c>
      <c r="I125" s="5">
        <f>($B$10+$B$11+$B$12)*$B$46*IF(I$88=$B$5,$B$13,IF(I$88=$B$5+1,$B$14,IF(I$88=$B$5+2,$B$15,0)))*I93</f>
        <v/>
      </c>
      <c r="J125" s="5">
        <f>($B$10+$B$11+$B$12)*$B$46*IF(J$88=$B$5,$B$13,IF(J$88=$B$5+1,$B$14,IF(J$88=$B$5+2,$B$15,0)))*J93</f>
        <v/>
      </c>
      <c r="K125" s="5">
        <f>($B$10+$B$11+$B$12)*$B$46*IF(K$88=$B$5,$B$13,IF(K$88=$B$5+1,$B$14,IF(K$88=$B$5+2,$B$15,0)))*K93</f>
        <v/>
      </c>
      <c r="L125" s="5">
        <f>($B$10+$B$11+$B$12)*$B$46*IF(L$88=$B$5,$B$13,IF(L$88=$B$5+1,$B$14,IF(L$88=$B$5+2,$B$15,0)))*L93</f>
        <v/>
      </c>
    </row>
    <row r="126">
      <c r="A126" t="inlineStr">
        <is>
          <t>Travaux initiaux cumulés</t>
        </is>
      </c>
      <c r="C126" s="5">
        <f>C125</f>
        <v/>
      </c>
      <c r="D126" s="5">
        <f>C126+D125</f>
        <v/>
      </c>
      <c r="E126" s="5">
        <f>D126+E125</f>
        <v/>
      </c>
      <c r="F126" s="5">
        <f>E126+F125</f>
        <v/>
      </c>
      <c r="G126" s="5">
        <f>F126+G125</f>
        <v/>
      </c>
      <c r="H126" s="5">
        <f>G126+H125</f>
        <v/>
      </c>
      <c r="I126" s="5">
        <f>H126+I125</f>
        <v/>
      </c>
      <c r="J126" s="5">
        <f>I126+J125</f>
        <v/>
      </c>
      <c r="K126" s="5">
        <f>J126+K125</f>
        <v/>
      </c>
      <c r="L126" s="5">
        <f>K126+L125</f>
        <v/>
      </c>
    </row>
    <row r="127">
      <c r="A127" t="inlineStr">
        <is>
          <t>Acquisition (prix + frais)</t>
        </is>
      </c>
      <c r="B127" s="5">
        <f>SUM(C127:L127)</f>
        <v/>
      </c>
      <c r="C127" s="5">
        <f>IF(C$88=$B$5,$B$7*(1+$B$8),0)</f>
        <v/>
      </c>
      <c r="D127" s="5">
        <f>IF(D$88=$B$5,$B$7*(1+$B$8),0)</f>
        <v/>
      </c>
      <c r="E127" s="5">
        <f>IF(E$88=$B$5,$B$7*(1+$B$8),0)</f>
        <v/>
      </c>
      <c r="F127" s="5">
        <f>IF(F$88=$B$5,$B$7*(1+$B$8),0)</f>
        <v/>
      </c>
      <c r="G127" s="5">
        <f>IF(G$88=$B$5,$B$7*(1+$B$8),0)</f>
        <v/>
      </c>
      <c r="H127" s="5">
        <f>IF(H$88=$B$5,$B$7*(1+$B$8),0)</f>
        <v/>
      </c>
      <c r="I127" s="5">
        <f>IF(I$88=$B$5,$B$7*(1+$B$8),0)</f>
        <v/>
      </c>
      <c r="J127" s="5">
        <f>IF(J$88=$B$5,$B$7*(1+$B$8),0)</f>
        <v/>
      </c>
      <c r="K127" s="5">
        <f>IF(K$88=$B$5,$B$7*(1+$B$8),0)</f>
        <v/>
      </c>
      <c r="L127" s="5">
        <f>IF(L$88=$B$5,$B$7*(1+$B$8),0)</f>
        <v/>
      </c>
    </row>
    <row r="128">
      <c r="A128" t="inlineStr">
        <is>
          <t>Gros entretien patrimonial récurrent (% de la valeur du bâti + travaux)</t>
        </is>
      </c>
      <c r="B128" s="5">
        <f>SUM(C128:L128)</f>
        <v/>
      </c>
      <c r="C128" s="5">
        <f>IF(C$88&gt;=$B$5+3,$B$16*($B$7*$B$9+($B$10+$B$11+$B$12)*$B$46)*C93,0)</f>
        <v/>
      </c>
      <c r="D128" s="5">
        <f>IF(D$88&gt;=$B$5+3,$B$16*($B$7*$B$9+($B$10+$B$11+$B$12)*$B$46)*D93,0)</f>
        <v/>
      </c>
      <c r="E128" s="5">
        <f>IF(E$88&gt;=$B$5+3,$B$16*($B$7*$B$9+($B$10+$B$11+$B$12)*$B$46)*E93,0)</f>
        <v/>
      </c>
      <c r="F128" s="5">
        <f>IF(F$88&gt;=$B$5+3,$B$16*($B$7*$B$9+($B$10+$B$11+$B$12)*$B$46)*F93,0)</f>
        <v/>
      </c>
      <c r="G128" s="5">
        <f>IF(G$88&gt;=$B$5+3,$B$16*($B$7*$B$9+($B$10+$B$11+$B$12)*$B$46)*G93,0)</f>
        <v/>
      </c>
      <c r="H128" s="5">
        <f>IF(H$88&gt;=$B$5+3,$B$16*($B$7*$B$9+($B$10+$B$11+$B$12)*$B$46)*H93,0)</f>
        <v/>
      </c>
      <c r="I128" s="5">
        <f>IF(I$88&gt;=$B$5+3,$B$16*($B$7*$B$9+($B$10+$B$11+$B$12)*$B$46)*I93,0)</f>
        <v/>
      </c>
      <c r="J128" s="5">
        <f>IF(J$88&gt;=$B$5+3,$B$16*($B$7*$B$9+($B$10+$B$11+$B$12)*$B$46)*J93,0)</f>
        <v/>
      </c>
      <c r="K128" s="5">
        <f>IF(K$88&gt;=$B$5+3,$B$16*($B$7*$B$9+($B$10+$B$11+$B$12)*$B$46)*K93,0)</f>
        <v/>
      </c>
      <c r="L128" s="5">
        <f>IF(L$88&gt;=$B$5+3,$B$16*($B$7*$B$9+($B$10+$B$11+$B$12)*$B$46)*L93,0)</f>
        <v/>
      </c>
    </row>
    <row r="129">
      <c r="A129" t="inlineStr">
        <is>
          <t>Investissements amortissables cumulés</t>
        </is>
      </c>
      <c r="C129" s="5">
        <f>C125+C128</f>
        <v/>
      </c>
      <c r="D129" s="5">
        <f>C129+D125+D128</f>
        <v/>
      </c>
      <c r="E129" s="5">
        <f>D129+E125+E128</f>
        <v/>
      </c>
      <c r="F129" s="5">
        <f>E129+F125+F128</f>
        <v/>
      </c>
      <c r="G129" s="5">
        <f>F129+G125+G128</f>
        <v/>
      </c>
      <c r="H129" s="5">
        <f>G129+H125+H128</f>
        <v/>
      </c>
      <c r="I129" s="5">
        <f>H129+I125+I128</f>
        <v/>
      </c>
      <c r="J129" s="5">
        <f>I129+J125+J128</f>
        <v/>
      </c>
      <c r="K129" s="5">
        <f>J129+K125+K128</f>
        <v/>
      </c>
      <c r="L129" s="5">
        <f>K129+L125+L128</f>
        <v/>
      </c>
    </row>
    <row r="130">
      <c r="A130" t="inlineStr">
        <is>
          <t>Dotations aux amortissements (bâti 30 ans, travaux 15 ans)</t>
        </is>
      </c>
      <c r="B130" s="5">
        <f>SUM(C130:L130)</f>
        <v/>
      </c>
      <c r="C130" s="5">
        <f>-(C94*$B$7*(1+$B$8)*$B$9/30+C129/15)</f>
        <v/>
      </c>
      <c r="D130" s="5">
        <f>-(D94*$B$7*(1+$B$8)*$B$9/30+D129/15)</f>
        <v/>
      </c>
      <c r="E130" s="5">
        <f>-(E94*$B$7*(1+$B$8)*$B$9/30+E129/15)</f>
        <v/>
      </c>
      <c r="F130" s="5">
        <f>-(F94*$B$7*(1+$B$8)*$B$9/30+F129/15)</f>
        <v/>
      </c>
      <c r="G130" s="5">
        <f>-(G94*$B$7*(1+$B$8)*$B$9/30+G129/15)</f>
        <v/>
      </c>
      <c r="H130" s="5">
        <f>-(H94*$B$7*(1+$B$8)*$B$9/30+H129/15)</f>
        <v/>
      </c>
      <c r="I130" s="5">
        <f>-(I94*$B$7*(1+$B$8)*$B$9/30+I129/15)</f>
        <v/>
      </c>
      <c r="J130" s="5">
        <f>-(J94*$B$7*(1+$B$8)*$B$9/30+J129/15)</f>
        <v/>
      </c>
      <c r="K130" s="5">
        <f>-(K94*$B$7*(1+$B$8)*$B$9/30+K129/15)</f>
        <v/>
      </c>
      <c r="L130" s="5">
        <f>-(L94*$B$7*(1+$B$8)*$B$9/30+L129/15)</f>
        <v/>
      </c>
    </row>
    <row r="131">
      <c r="A131" s="4" t="inlineStr">
        <is>
          <t>Résultat d'exploitation</t>
        </is>
      </c>
      <c r="B131" s="18">
        <f>SUM(C131:L131)</f>
        <v/>
      </c>
      <c r="C131" s="18">
        <f>C122+C130</f>
        <v/>
      </c>
      <c r="D131" s="18">
        <f>D122+D130</f>
        <v/>
      </c>
      <c r="E131" s="18">
        <f>E122+E130</f>
        <v/>
      </c>
      <c r="F131" s="18">
        <f>F122+F130</f>
        <v/>
      </c>
      <c r="G131" s="18">
        <f>G122+G130</f>
        <v/>
      </c>
      <c r="H131" s="18">
        <f>H122+H130</f>
        <v/>
      </c>
      <c r="I131" s="18">
        <f>I122+I130</f>
        <v/>
      </c>
      <c r="J131" s="18">
        <f>J122+J130</f>
        <v/>
      </c>
      <c r="K131" s="18">
        <f>K122+K130</f>
        <v/>
      </c>
      <c r="L131" s="18">
        <f>L122+L130</f>
        <v/>
      </c>
    </row>
    <row r="133">
      <c r="A133" s="4" t="inlineStr">
        <is>
          <t>Échéancier des emprunts</t>
        </is>
      </c>
    </row>
    <row r="134">
      <c r="A134" t="inlineStr">
        <is>
          <t>Taux bancaire effectif</t>
        </is>
      </c>
      <c r="C134" s="6">
        <f>$B$28+$B$48</f>
        <v/>
      </c>
      <c r="D134" s="6">
        <f>$B$28+$B$48</f>
        <v/>
      </c>
      <c r="E134" s="6">
        <f>$B$28+$B$48</f>
        <v/>
      </c>
      <c r="F134" s="6">
        <f>$B$28+$B$48</f>
        <v/>
      </c>
      <c r="G134" s="6">
        <f>$B$28+$B$48</f>
        <v/>
      </c>
      <c r="H134" s="6">
        <f>$B$28+$B$48</f>
        <v/>
      </c>
      <c r="I134" s="6">
        <f>$B$28+$B$48</f>
        <v/>
      </c>
      <c r="J134" s="6">
        <f>$B$28+$B$48</f>
        <v/>
      </c>
      <c r="K134" s="6">
        <f>$B$28+$B$48</f>
        <v/>
      </c>
      <c r="L134" s="6">
        <f>$B$28+$B$48</f>
        <v/>
      </c>
    </row>
    <row r="135">
      <c r="A135" t="inlineStr">
        <is>
          <t>Rang de l'année d'emprunt</t>
        </is>
      </c>
      <c r="C135" s="8">
        <f>MAX(0,C$88-$B$5+1)</f>
        <v/>
      </c>
      <c r="D135" s="8">
        <f>MAX(0,D$88-$B$5+1)</f>
        <v/>
      </c>
      <c r="E135" s="8">
        <f>MAX(0,E$88-$B$5+1)</f>
        <v/>
      </c>
      <c r="F135" s="8">
        <f>MAX(0,F$88-$B$5+1)</f>
        <v/>
      </c>
      <c r="G135" s="8">
        <f>MAX(0,G$88-$B$5+1)</f>
        <v/>
      </c>
      <c r="H135" s="8">
        <f>MAX(0,H$88-$B$5+1)</f>
        <v/>
      </c>
      <c r="I135" s="8">
        <f>MAX(0,I$88-$B$5+1)</f>
        <v/>
      </c>
      <c r="J135" s="8">
        <f>MAX(0,J$88-$B$5+1)</f>
        <v/>
      </c>
      <c r="K135" s="8">
        <f>MAX(0,K$88-$B$5+1)</f>
        <v/>
      </c>
      <c r="L135" s="8">
        <f>MAX(0,L$88-$B$5+1)</f>
        <v/>
      </c>
    </row>
    <row r="136">
      <c r="A136" t="inlineStr">
        <is>
          <t>Dette bancaire — capital début</t>
        </is>
      </c>
      <c r="C136" s="5">
        <f>IF(C135=1,$B$27,0)</f>
        <v/>
      </c>
      <c r="D136" s="5">
        <f>IF(D135=1,$B$27,C139)</f>
        <v/>
      </c>
      <c r="E136" s="5">
        <f>IF(E135=1,$B$27,D139)</f>
        <v/>
      </c>
      <c r="F136" s="5">
        <f>IF(F135=1,$B$27,E139)</f>
        <v/>
      </c>
      <c r="G136" s="5">
        <f>IF(G135=1,$B$27,F139)</f>
        <v/>
      </c>
      <c r="H136" s="5">
        <f>IF(H135=1,$B$27,G139)</f>
        <v/>
      </c>
      <c r="I136" s="5">
        <f>IF(I135=1,$B$27,H139)</f>
        <v/>
      </c>
      <c r="J136" s="5">
        <f>IF(J135=1,$B$27,I139)</f>
        <v/>
      </c>
      <c r="K136" s="5">
        <f>IF(K135=1,$B$27,J139)</f>
        <v/>
      </c>
      <c r="L136" s="5">
        <f>IF(L135=1,$B$27,K139)</f>
        <v/>
      </c>
    </row>
    <row r="137">
      <c r="A137" t="inlineStr">
        <is>
          <t xml:space="preserve">  Intérêts</t>
        </is>
      </c>
      <c r="B137" s="5">
        <f>SUM(C137:L137)</f>
        <v/>
      </c>
      <c r="C137" s="5">
        <f>C136*C134</f>
        <v/>
      </c>
      <c r="D137" s="5">
        <f>D136*D134</f>
        <v/>
      </c>
      <c r="E137" s="5">
        <f>E136*E134</f>
        <v/>
      </c>
      <c r="F137" s="5">
        <f>F136*F134</f>
        <v/>
      </c>
      <c r="G137" s="5">
        <f>G136*G134</f>
        <v/>
      </c>
      <c r="H137" s="5">
        <f>H136*H134</f>
        <v/>
      </c>
      <c r="I137" s="5">
        <f>I136*I134</f>
        <v/>
      </c>
      <c r="J137" s="5">
        <f>J136*J134</f>
        <v/>
      </c>
      <c r="K137" s="5">
        <f>K136*K134</f>
        <v/>
      </c>
      <c r="L137" s="5">
        <f>L136*L134</f>
        <v/>
      </c>
    </row>
    <row r="138">
      <c r="A138" t="inlineStr">
        <is>
          <t xml:space="preserve">  Amortissement du capital</t>
        </is>
      </c>
      <c r="B138" s="5">
        <f>SUM(C138:L138)</f>
        <v/>
      </c>
      <c r="C138" s="5">
        <f>IF(OR(C135=0,C135&lt;=$B$30,C136&lt;=0),0,MIN(C136,PMT(C134,$B$29-$B$30,-$B$27)-C137))</f>
        <v/>
      </c>
      <c r="D138" s="5">
        <f>IF(OR(D135=0,D135&lt;=$B$30,D136&lt;=0),0,MIN(D136,PMT(D134,$B$29-$B$30,-$B$27)-D137))</f>
        <v/>
      </c>
      <c r="E138" s="5">
        <f>IF(OR(E135=0,E135&lt;=$B$30,E136&lt;=0),0,MIN(E136,PMT(E134,$B$29-$B$30,-$B$27)-E137))</f>
        <v/>
      </c>
      <c r="F138" s="5">
        <f>IF(OR(F135=0,F135&lt;=$B$30,F136&lt;=0),0,MIN(F136,PMT(F134,$B$29-$B$30,-$B$27)-F137))</f>
        <v/>
      </c>
      <c r="G138" s="5">
        <f>IF(OR(G135=0,G135&lt;=$B$30,G136&lt;=0),0,MIN(G136,PMT(G134,$B$29-$B$30,-$B$27)-G137))</f>
        <v/>
      </c>
      <c r="H138" s="5">
        <f>IF(OR(H135=0,H135&lt;=$B$30,H136&lt;=0),0,MIN(H136,PMT(H134,$B$29-$B$30,-$B$27)-H137))</f>
        <v/>
      </c>
      <c r="I138" s="5">
        <f>IF(OR(I135=0,I135&lt;=$B$30,I136&lt;=0),0,MIN(I136,PMT(I134,$B$29-$B$30,-$B$27)-I137))</f>
        <v/>
      </c>
      <c r="J138" s="5">
        <f>IF(OR(J135=0,J135&lt;=$B$30,J136&lt;=0),0,MIN(J136,PMT(J134,$B$29-$B$30,-$B$27)-J137))</f>
        <v/>
      </c>
      <c r="K138" s="5">
        <f>IF(OR(K135=0,K135&lt;=$B$30,K136&lt;=0),0,MIN(K136,PMT(K134,$B$29-$B$30,-$B$27)-K137))</f>
        <v/>
      </c>
      <c r="L138" s="5">
        <f>IF(OR(L135=0,L135&lt;=$B$30,L136&lt;=0),0,MIN(L136,PMT(L134,$B$29-$B$30,-$B$27)-L137))</f>
        <v/>
      </c>
    </row>
    <row r="139">
      <c r="A139" t="inlineStr">
        <is>
          <t>Dette bancaire — capital fin</t>
        </is>
      </c>
      <c r="C139" s="5">
        <f>C136-C138</f>
        <v/>
      </c>
      <c r="D139" s="5">
        <f>D136-D138</f>
        <v/>
      </c>
      <c r="E139" s="5">
        <f>E136-E138</f>
        <v/>
      </c>
      <c r="F139" s="5">
        <f>F136-F138</f>
        <v/>
      </c>
      <c r="G139" s="5">
        <f>G136-G138</f>
        <v/>
      </c>
      <c r="H139" s="5">
        <f>H136-H138</f>
        <v/>
      </c>
      <c r="I139" s="5">
        <f>I136-I138</f>
        <v/>
      </c>
      <c r="J139" s="5">
        <f>J136-J138</f>
        <v/>
      </c>
      <c r="K139" s="5">
        <f>K136-K138</f>
        <v/>
      </c>
      <c r="L139" s="5">
        <f>L136-L138</f>
        <v/>
      </c>
    </row>
    <row r="140">
      <c r="A140" t="inlineStr">
        <is>
          <t>Crédit-vendeur — capital début</t>
        </is>
      </c>
      <c r="C140" s="5">
        <f>IF(C135=1,$B$31,0)</f>
        <v/>
      </c>
      <c r="D140" s="5">
        <f>IF(D135=1,$B$31,C143)</f>
        <v/>
      </c>
      <c r="E140" s="5">
        <f>IF(E135=1,$B$31,D143)</f>
        <v/>
      </c>
      <c r="F140" s="5">
        <f>IF(F135=1,$B$31,E143)</f>
        <v/>
      </c>
      <c r="G140" s="5">
        <f>IF(G135=1,$B$31,F143)</f>
        <v/>
      </c>
      <c r="H140" s="5">
        <f>IF(H135=1,$B$31,G143)</f>
        <v/>
      </c>
      <c r="I140" s="5">
        <f>IF(I135=1,$B$31,H143)</f>
        <v/>
      </c>
      <c r="J140" s="5">
        <f>IF(J135=1,$B$31,I143)</f>
        <v/>
      </c>
      <c r="K140" s="5">
        <f>IF(K135=1,$B$31,J143)</f>
        <v/>
      </c>
      <c r="L140" s="5">
        <f>IF(L135=1,$B$31,K143)</f>
        <v/>
      </c>
    </row>
    <row r="141">
      <c r="A141" t="inlineStr">
        <is>
          <t xml:space="preserve">  Intérêts crédit-vendeur</t>
        </is>
      </c>
      <c r="B141" s="5">
        <f>SUM(C141:L141)</f>
        <v/>
      </c>
      <c r="C141" s="5">
        <f>C140*$B$32</f>
        <v/>
      </c>
      <c r="D141" s="5">
        <f>D140*$B$32</f>
        <v/>
      </c>
      <c r="E141" s="5">
        <f>E140*$B$32</f>
        <v/>
      </c>
      <c r="F141" s="5">
        <f>F140*$B$32</f>
        <v/>
      </c>
      <c r="G141" s="5">
        <f>G140*$B$32</f>
        <v/>
      </c>
      <c r="H141" s="5">
        <f>H140*$B$32</f>
        <v/>
      </c>
      <c r="I141" s="5">
        <f>I140*$B$32</f>
        <v/>
      </c>
      <c r="J141" s="5">
        <f>J140*$B$32</f>
        <v/>
      </c>
      <c r="K141" s="5">
        <f>K140*$B$32</f>
        <v/>
      </c>
      <c r="L141" s="5">
        <f>L140*$B$32</f>
        <v/>
      </c>
    </row>
    <row r="142">
      <c r="A142" t="inlineStr">
        <is>
          <t xml:space="preserve">  Amortissement crédit-vendeur</t>
        </is>
      </c>
      <c r="B142" s="5">
        <f>SUM(C142:L142)</f>
        <v/>
      </c>
      <c r="C142" s="5">
        <f>IF(OR(C135=0,C140&lt;=0),0,MIN(C140,IF($B$32=0,$B$31/$B$33,PMT($B$32,$B$33,-$B$31)-C141)))</f>
        <v/>
      </c>
      <c r="D142" s="5">
        <f>IF(OR(D135=0,D140&lt;=0),0,MIN(D140,IF($B$32=0,$B$31/$B$33,PMT($B$32,$B$33,-$B$31)-D141)))</f>
        <v/>
      </c>
      <c r="E142" s="5">
        <f>IF(OR(E135=0,E140&lt;=0),0,MIN(E140,IF($B$32=0,$B$31/$B$33,PMT($B$32,$B$33,-$B$31)-E141)))</f>
        <v/>
      </c>
      <c r="F142" s="5">
        <f>IF(OR(F135=0,F140&lt;=0),0,MIN(F140,IF($B$32=0,$B$31/$B$33,PMT($B$32,$B$33,-$B$31)-F141)))</f>
        <v/>
      </c>
      <c r="G142" s="5">
        <f>IF(OR(G135=0,G140&lt;=0),0,MIN(G140,IF($B$32=0,$B$31/$B$33,PMT($B$32,$B$33,-$B$31)-G141)))</f>
        <v/>
      </c>
      <c r="H142" s="5">
        <f>IF(OR(H135=0,H140&lt;=0),0,MIN(H140,IF($B$32=0,$B$31/$B$33,PMT($B$32,$B$33,-$B$31)-H141)))</f>
        <v/>
      </c>
      <c r="I142" s="5">
        <f>IF(OR(I135=0,I140&lt;=0),0,MIN(I140,IF($B$32=0,$B$31/$B$33,PMT($B$32,$B$33,-$B$31)-I141)))</f>
        <v/>
      </c>
      <c r="J142" s="5">
        <f>IF(OR(J135=0,J140&lt;=0),0,MIN(J140,IF($B$32=0,$B$31/$B$33,PMT($B$32,$B$33,-$B$31)-J141)))</f>
        <v/>
      </c>
      <c r="K142" s="5">
        <f>IF(OR(K135=0,K140&lt;=0),0,MIN(K140,IF($B$32=0,$B$31/$B$33,PMT($B$32,$B$33,-$B$31)-K141)))</f>
        <v/>
      </c>
      <c r="L142" s="5">
        <f>IF(OR(L135=0,L140&lt;=0),0,MIN(L140,IF($B$32=0,$B$31/$B$33,PMT($B$32,$B$33,-$B$31)-L141)))</f>
        <v/>
      </c>
    </row>
    <row r="143">
      <c r="A143" t="inlineStr">
        <is>
          <t>Crédit-vendeur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Obligations — encours</t>
        </is>
      </c>
      <c r="C144" s="5">
        <f>IF(AND(C$88&gt;=$B$5,C$88&lt;=$B$36),$B$34,0)</f>
        <v/>
      </c>
      <c r="D144" s="5">
        <f>IF(AND(D$88&gt;=$B$5,D$88&lt;=$B$36),$B$34,0)</f>
        <v/>
      </c>
      <c r="E144" s="5">
        <f>IF(AND(E$88&gt;=$B$5,E$88&lt;=$B$36),$B$34,0)</f>
        <v/>
      </c>
      <c r="F144" s="5">
        <f>IF(AND(F$88&gt;=$B$5,F$88&lt;=$B$36),$B$34,0)</f>
        <v/>
      </c>
      <c r="G144" s="5">
        <f>IF(AND(G$88&gt;=$B$5,G$88&lt;=$B$36),$B$34,0)</f>
        <v/>
      </c>
      <c r="H144" s="5">
        <f>IF(AND(H$88&gt;=$B$5,H$88&lt;=$B$36),$B$34,0)</f>
        <v/>
      </c>
      <c r="I144" s="5">
        <f>IF(AND(I$88&gt;=$B$5,I$88&lt;=$B$36),$B$34,0)</f>
        <v/>
      </c>
      <c r="J144" s="5">
        <f>IF(AND(J$88&gt;=$B$5,J$88&lt;=$B$36),$B$34,0)</f>
        <v/>
      </c>
      <c r="K144" s="5">
        <f>IF(AND(K$88&gt;=$B$5,K$88&lt;=$B$36),$B$34,0)</f>
        <v/>
      </c>
      <c r="L144" s="5">
        <f>IF(AND(L$88&gt;=$B$5,L$88&lt;=$B$36),$B$34,0)</f>
        <v/>
      </c>
    </row>
    <row r="145">
      <c r="A145" t="inlineStr">
        <is>
          <t xml:space="preserve">  Coupons obligataires</t>
        </is>
      </c>
      <c r="B145" s="5">
        <f>SUM(C145:L145)</f>
        <v/>
      </c>
      <c r="C145" s="5">
        <f>C144*$B$35</f>
        <v/>
      </c>
      <c r="D145" s="5">
        <f>D144*$B$35</f>
        <v/>
      </c>
      <c r="E145" s="5">
        <f>E144*$B$35</f>
        <v/>
      </c>
      <c r="F145" s="5">
        <f>F144*$B$35</f>
        <v/>
      </c>
      <c r="G145" s="5">
        <f>G144*$B$35</f>
        <v/>
      </c>
      <c r="H145" s="5">
        <f>H144*$B$35</f>
        <v/>
      </c>
      <c r="I145" s="5">
        <f>I144*$B$35</f>
        <v/>
      </c>
      <c r="J145" s="5">
        <f>J144*$B$35</f>
        <v/>
      </c>
      <c r="K145" s="5">
        <f>K144*$B$35</f>
        <v/>
      </c>
      <c r="L145" s="5">
        <f>L144*$B$35</f>
        <v/>
      </c>
    </row>
    <row r="146">
      <c r="A146" t="inlineStr">
        <is>
          <t xml:space="preserve">  Remboursement obligations</t>
        </is>
      </c>
      <c r="B146" s="5">
        <f>SUM(C146:L146)</f>
        <v/>
      </c>
      <c r="C146" s="5">
        <f>IF(C$88=$B$36,$B$34,0)</f>
        <v/>
      </c>
      <c r="D146" s="5">
        <f>IF(D$88=$B$36,$B$34,0)</f>
        <v/>
      </c>
      <c r="E146" s="5">
        <f>IF(E$88=$B$36,$B$34,0)</f>
        <v/>
      </c>
      <c r="F146" s="5">
        <f>IF(F$88=$B$36,$B$34,0)</f>
        <v/>
      </c>
      <c r="G146" s="5">
        <f>IF(G$88=$B$36,$B$34,0)</f>
        <v/>
      </c>
      <c r="H146" s="5">
        <f>IF(H$88=$B$36,$B$34,0)</f>
        <v/>
      </c>
      <c r="I146" s="5">
        <f>IF(I$88=$B$36,$B$34,0)</f>
        <v/>
      </c>
      <c r="J146" s="5">
        <f>IF(J$88=$B$36,$B$34,0)</f>
        <v/>
      </c>
      <c r="K146" s="5">
        <f>IF(K$88=$B$36,$B$34,0)</f>
        <v/>
      </c>
      <c r="L146" s="5">
        <f>IF(L$88=$B$36,$B$34,0)</f>
        <v/>
      </c>
    </row>
    <row r="148">
      <c r="A148" t="inlineStr">
        <is>
          <t>Charges financières</t>
        </is>
      </c>
      <c r="B148" s="5">
        <f>SUM(C148:L148)</f>
        <v/>
      </c>
      <c r="C148" s="5">
        <f>-(C137+C141+C145)</f>
        <v/>
      </c>
      <c r="D148" s="5">
        <f>-(D137+D141+D145)</f>
        <v/>
      </c>
      <c r="E148" s="5">
        <f>-(E137+E141+E145)</f>
        <v/>
      </c>
      <c r="F148" s="5">
        <f>-(F137+F141+F145)</f>
        <v/>
      </c>
      <c r="G148" s="5">
        <f>-(G137+G141+G145)</f>
        <v/>
      </c>
      <c r="H148" s="5">
        <f>-(H137+H141+H145)</f>
        <v/>
      </c>
      <c r="I148" s="5">
        <f>-(I137+I141+I145)</f>
        <v/>
      </c>
      <c r="J148" s="5">
        <f>-(J137+J141+J145)</f>
        <v/>
      </c>
      <c r="K148" s="5">
        <f>-(K137+K141+K145)</f>
        <v/>
      </c>
      <c r="L148" s="5">
        <f>-(L137+L141+L145)</f>
        <v/>
      </c>
    </row>
    <row r="149">
      <c r="A149" s="4" t="inlineStr">
        <is>
          <t>Résultat avant impôt</t>
        </is>
      </c>
      <c r="B149" s="18">
        <f>SUM(C149:L149)</f>
        <v/>
      </c>
      <c r="C149" s="18">
        <f>C131+C148+C123</f>
        <v/>
      </c>
      <c r="D149" s="18">
        <f>D131+D148+D123</f>
        <v/>
      </c>
      <c r="E149" s="18">
        <f>E131+E148+E123</f>
        <v/>
      </c>
      <c r="F149" s="18">
        <f>F131+F148+F123</f>
        <v/>
      </c>
      <c r="G149" s="18">
        <f>G131+G148+G123</f>
        <v/>
      </c>
      <c r="H149" s="18">
        <f>H131+H148+H123</f>
        <v/>
      </c>
      <c r="I149" s="18">
        <f>I131+I148+I123</f>
        <v/>
      </c>
      <c r="J149" s="18">
        <f>J131+J148+J123</f>
        <v/>
      </c>
      <c r="K149" s="18">
        <f>K131+K148+K123</f>
        <v/>
      </c>
      <c r="L149" s="18">
        <f>L131+L148+L123</f>
        <v/>
      </c>
    </row>
    <row r="150">
      <c r="A150" t="inlineStr">
        <is>
          <t>Stock de déficits reportables (fin d'année)</t>
        </is>
      </c>
      <c r="C150" s="5">
        <f>MAX(0,-C149)</f>
        <v/>
      </c>
      <c r="D150" s="5">
        <f>MAX(0,C150-D149)</f>
        <v/>
      </c>
      <c r="E150" s="5">
        <f>MAX(0,D150-E149)</f>
        <v/>
      </c>
      <c r="F150" s="5">
        <f>MAX(0,E150-F149)</f>
        <v/>
      </c>
      <c r="G150" s="5">
        <f>MAX(0,F150-G149)</f>
        <v/>
      </c>
      <c r="H150" s="5">
        <f>MAX(0,G150-H149)</f>
        <v/>
      </c>
      <c r="I150" s="5">
        <f>MAX(0,H150-I149)</f>
        <v/>
      </c>
      <c r="J150" s="5">
        <f>MAX(0,I150-J149)</f>
        <v/>
      </c>
      <c r="K150" s="5">
        <f>MAX(0,J150-K149)</f>
        <v/>
      </c>
      <c r="L150" s="5">
        <f>MAX(0,K150-L149)</f>
        <v/>
      </c>
    </row>
    <row r="151">
      <c r="A151" t="inlineStr">
        <is>
          <t>Impôt sur les sociétés</t>
        </is>
      </c>
      <c r="B151" s="5">
        <f>SUM(C151:L151)</f>
        <v/>
      </c>
      <c r="C151" s="5">
        <f>-(MIN(MAX(0,C149),$B$61)*$B$60+MAX(0,MAX(0,C149)-$B$61)*$B$59)</f>
        <v/>
      </c>
      <c r="D151" s="5">
        <f>-(MIN(MAX(0,D149-C150),$B$61)*$B$60+MAX(0,MAX(0,D149-C150)-$B$61)*$B$59)</f>
        <v/>
      </c>
      <c r="E151" s="5">
        <f>-(MIN(MAX(0,E149-D150),$B$61)*$B$60+MAX(0,MAX(0,E149-D150)-$B$61)*$B$59)</f>
        <v/>
      </c>
      <c r="F151" s="5">
        <f>-(MIN(MAX(0,F149-E150),$B$61)*$B$60+MAX(0,MAX(0,F149-E150)-$B$61)*$B$59)</f>
        <v/>
      </c>
      <c r="G151" s="5">
        <f>-(MIN(MAX(0,G149-F150),$B$61)*$B$60+MAX(0,MAX(0,G149-F150)-$B$61)*$B$59)</f>
        <v/>
      </c>
      <c r="H151" s="5">
        <f>-(MIN(MAX(0,H149-G150),$B$61)*$B$60+MAX(0,MAX(0,H149-G150)-$B$61)*$B$59)</f>
        <v/>
      </c>
      <c r="I151" s="5">
        <f>-(MIN(MAX(0,I149-H150),$B$61)*$B$60+MAX(0,MAX(0,I149-H150)-$B$61)*$B$59)</f>
        <v/>
      </c>
      <c r="J151" s="5">
        <f>-(MIN(MAX(0,J149-I150),$B$61)*$B$60+MAX(0,MAX(0,J149-I150)-$B$61)*$B$59)</f>
        <v/>
      </c>
      <c r="K151" s="5">
        <f>-(MIN(MAX(0,K149-J150),$B$61)*$B$60+MAX(0,MAX(0,K149-J150)-$B$61)*$B$59)</f>
        <v/>
      </c>
      <c r="L151" s="5">
        <f>-(MIN(MAX(0,L149-K150),$B$61)*$B$60+MAX(0,MAX(0,L149-K150)-$B$61)*$B$59)</f>
        <v/>
      </c>
    </row>
    <row r="152">
      <c r="A152" s="4" t="inlineStr">
        <is>
          <t>Résultat net</t>
        </is>
      </c>
      <c r="B152" s="18">
        <f>SUM(C152:L152)</f>
        <v/>
      </c>
      <c r="C152" s="18">
        <f>C149+C151</f>
        <v/>
      </c>
      <c r="D152" s="18">
        <f>D149+D151</f>
        <v/>
      </c>
      <c r="E152" s="18">
        <f>E149+E151</f>
        <v/>
      </c>
      <c r="F152" s="18">
        <f>F149+F151</f>
        <v/>
      </c>
      <c r="G152" s="18">
        <f>G149+G151</f>
        <v/>
      </c>
      <c r="H152" s="18">
        <f>H149+H151</f>
        <v/>
      </c>
      <c r="I152" s="18">
        <f>I149+I151</f>
        <v/>
      </c>
      <c r="J152" s="18">
        <f>J149+J151</f>
        <v/>
      </c>
      <c r="K152" s="18">
        <f>K149+K151</f>
        <v/>
      </c>
      <c r="L152" s="18">
        <f>L149+L151</f>
        <v/>
      </c>
    </row>
    <row r="154">
      <c r="A154" s="4" t="inlineStr">
        <is>
          <t>Tableau des flux de trésorerie</t>
        </is>
      </c>
    </row>
    <row r="155">
      <c r="A155" t="inlineStr">
        <is>
          <t>BFR (niveau)</t>
        </is>
      </c>
      <c r="C155" s="5">
        <f>C104*$B$58</f>
        <v/>
      </c>
      <c r="D155" s="5">
        <f>D104*$B$58</f>
        <v/>
      </c>
      <c r="E155" s="5">
        <f>E104*$B$58</f>
        <v/>
      </c>
      <c r="F155" s="5">
        <f>F104*$B$58</f>
        <v/>
      </c>
      <c r="G155" s="5">
        <f>G104*$B$58</f>
        <v/>
      </c>
      <c r="H155" s="5">
        <f>H104*$B$58</f>
        <v/>
      </c>
      <c r="I155" s="5">
        <f>I104*$B$58</f>
        <v/>
      </c>
      <c r="J155" s="5">
        <f>J104*$B$58</f>
        <v/>
      </c>
      <c r="K155" s="5">
        <f>K104*$B$58</f>
        <v/>
      </c>
      <c r="L155" s="5">
        <f>L104*$B$58</f>
        <v/>
      </c>
    </row>
    <row r="156">
      <c r="A156" t="inlineStr">
        <is>
          <t>Variation du BFR</t>
        </is>
      </c>
      <c r="B156" s="5">
        <f>SUM(C156:L156)</f>
        <v/>
      </c>
      <c r="C156" s="5">
        <f>-C155</f>
        <v/>
      </c>
      <c r="D156" s="5">
        <f>-(D155-C155)</f>
        <v/>
      </c>
      <c r="E156" s="5">
        <f>-(E155-D155)</f>
        <v/>
      </c>
      <c r="F156" s="5">
        <f>-(F155-E155)</f>
        <v/>
      </c>
      <c r="G156" s="5">
        <f>-(G155-F155)</f>
        <v/>
      </c>
      <c r="H156" s="5">
        <f>-(H155-G155)</f>
        <v/>
      </c>
      <c r="I156" s="5">
        <f>-(I155-H155)</f>
        <v/>
      </c>
      <c r="J156" s="5">
        <f>-(J155-I155)</f>
        <v/>
      </c>
      <c r="K156" s="5">
        <f>-(K155-J155)</f>
        <v/>
      </c>
      <c r="L156" s="5">
        <f>-(L155-K155)</f>
        <v/>
      </c>
    </row>
    <row r="157">
      <c r="A157" s="4" t="inlineStr">
        <is>
          <t>Flux d'exploitation (EBITDA + loyer privé − IS − ΔBFR)</t>
        </is>
      </c>
      <c r="B157" s="18">
        <f>SUM(C157:L157)</f>
        <v/>
      </c>
      <c r="C157" s="18">
        <f>C122+C123+C151+C156</f>
        <v/>
      </c>
      <c r="D157" s="18">
        <f>D122+D123+D151+D156</f>
        <v/>
      </c>
      <c r="E157" s="18">
        <f>E122+E123+E151+E156</f>
        <v/>
      </c>
      <c r="F157" s="18">
        <f>F122+F123+F151+F156</f>
        <v/>
      </c>
      <c r="G157" s="18">
        <f>G122+G123+G151+G156</f>
        <v/>
      </c>
      <c r="H157" s="18">
        <f>H122+H123+H151+H156</f>
        <v/>
      </c>
      <c r="I157" s="18">
        <f>I122+I123+I151+I156</f>
        <v/>
      </c>
      <c r="J157" s="18">
        <f>J122+J123+J151+J156</f>
        <v/>
      </c>
      <c r="K157" s="18">
        <f>K122+K123+K151+K156</f>
        <v/>
      </c>
      <c r="L157" s="18">
        <f>L122+L123+L151+L156</f>
        <v/>
      </c>
    </row>
    <row r="158">
      <c r="A158" s="4" t="inlineStr">
        <is>
          <t>Flux d'investissement</t>
        </is>
      </c>
      <c r="B158" s="18">
        <f>SUM(C158:L158)</f>
        <v/>
      </c>
      <c r="C158" s="18">
        <f>-(C127+C125+C128)</f>
        <v/>
      </c>
      <c r="D158" s="18">
        <f>-(D127+D125+D128)</f>
        <v/>
      </c>
      <c r="E158" s="18">
        <f>-(E127+E125+E128)</f>
        <v/>
      </c>
      <c r="F158" s="18">
        <f>-(F127+F125+F128)</f>
        <v/>
      </c>
      <c r="G158" s="18">
        <f>-(G127+G125+G128)</f>
        <v/>
      </c>
      <c r="H158" s="18">
        <f>-(H127+H125+H128)</f>
        <v/>
      </c>
      <c r="I158" s="18">
        <f>-(I127+I125+I128)</f>
        <v/>
      </c>
      <c r="J158" s="18">
        <f>-(J127+J125+J128)</f>
        <v/>
      </c>
      <c r="K158" s="18">
        <f>-(K127+K125+K128)</f>
        <v/>
      </c>
      <c r="L158" s="18">
        <f>-(L127+L125+L128)</f>
        <v/>
      </c>
    </row>
    <row r="159">
      <c r="A159" t="inlineStr">
        <is>
          <t xml:space="preserve">  Apports en fonds propres + subventions</t>
        </is>
      </c>
      <c r="B159" s="5">
        <f>SUM(C159:L159)</f>
        <v/>
      </c>
      <c r="C159" s="5">
        <f>IF(C$88=1,$B$23,0)+IF(C$88=$B$5,$B$24*(1-$B$49)+$B$26,0)</f>
        <v/>
      </c>
      <c r="D159" s="5">
        <f>IF(D$88=1,$B$23,0)+IF(D$88=$B$5,$B$24*(1-$B$49)+$B$26,0)</f>
        <v/>
      </c>
      <c r="E159" s="5">
        <f>IF(E$88=1,$B$23,0)+IF(E$88=$B$5,$B$24*(1-$B$49)+$B$26,0)</f>
        <v/>
      </c>
      <c r="F159" s="5">
        <f>IF(F$88=1,$B$23,0)+IF(F$88=$B$5,$B$24*(1-$B$49)+$B$26,0)</f>
        <v/>
      </c>
      <c r="G159" s="5">
        <f>IF(G$88=1,$B$23,0)+IF(G$88=$B$5,$B$24*(1-$B$49)+$B$26,0)</f>
        <v/>
      </c>
      <c r="H159" s="5">
        <f>IF(H$88=1,$B$23,0)+IF(H$88=$B$5,$B$24*(1-$B$49)+$B$26,0)</f>
        <v/>
      </c>
      <c r="I159" s="5">
        <f>IF(I$88=1,$B$23,0)+IF(I$88=$B$5,$B$24*(1-$B$49)+$B$26,0)</f>
        <v/>
      </c>
      <c r="J159" s="5">
        <f>IF(J$88=1,$B$23,0)+IF(J$88=$B$5,$B$24*(1-$B$49)+$B$26,0)</f>
        <v/>
      </c>
      <c r="K159" s="5">
        <f>IF(K$88=1,$B$23,0)+IF(K$88=$B$5,$B$24*(1-$B$49)+$B$26,0)</f>
        <v/>
      </c>
      <c r="L159" s="5">
        <f>IF(L$88=1,$B$23,0)+IF(L$88=$B$5,$B$24*(1-$B$49)+$B$26,0)</f>
        <v/>
      </c>
    </row>
    <row r="160">
      <c r="A160" t="inlineStr">
        <is>
          <t xml:space="preserve">  Tirages dette + crédit-vendeur + obligations</t>
        </is>
      </c>
      <c r="B160" s="5">
        <f>SUM(C160:L160)</f>
        <v/>
      </c>
      <c r="C160" s="5">
        <f>IF(C$88=$B$5,$B$27+$B$31+$B$34,0)</f>
        <v/>
      </c>
      <c r="D160" s="5">
        <f>IF(D$88=$B$5,$B$27+$B$31+$B$34,0)</f>
        <v/>
      </c>
      <c r="E160" s="5">
        <f>IF(E$88=$B$5,$B$27+$B$31+$B$34,0)</f>
        <v/>
      </c>
      <c r="F160" s="5">
        <f>IF(F$88=$B$5,$B$27+$B$31+$B$34,0)</f>
        <v/>
      </c>
      <c r="G160" s="5">
        <f>IF(G$88=$B$5,$B$27+$B$31+$B$34,0)</f>
        <v/>
      </c>
      <c r="H160" s="5">
        <f>IF(H$88=$B$5,$B$27+$B$31+$B$34,0)</f>
        <v/>
      </c>
      <c r="I160" s="5">
        <f>IF(I$88=$B$5,$B$27+$B$31+$B$34,0)</f>
        <v/>
      </c>
      <c r="J160" s="5">
        <f>IF(J$88=$B$5,$B$27+$B$31+$B$34,0)</f>
        <v/>
      </c>
      <c r="K160" s="5">
        <f>IF(K$88=$B$5,$B$27+$B$31+$B$34,0)</f>
        <v/>
      </c>
      <c r="L160" s="5">
        <f>IF(L$88=$B$5,$B$27+$B$31+$B$34,0)</f>
        <v/>
      </c>
    </row>
    <row r="161">
      <c r="A161" t="inlineStr">
        <is>
          <t xml:space="preserve">  Service de la dette (intérêts + capital + coupons + rembt obligations)</t>
        </is>
      </c>
      <c r="B161" s="5">
        <f>SUM(C161:L161)</f>
        <v/>
      </c>
      <c r="C161" s="5">
        <f>-(C137+C138+C141+C142+C145+C146)</f>
        <v/>
      </c>
      <c r="D161" s="5">
        <f>-(D137+D138+D141+D142+D145+D146)</f>
        <v/>
      </c>
      <c r="E161" s="5">
        <f>-(E137+E138+E141+E142+E145+E146)</f>
        <v/>
      </c>
      <c r="F161" s="5">
        <f>-(F137+F138+F141+F142+F145+F146)</f>
        <v/>
      </c>
      <c r="G161" s="5">
        <f>-(G137+G138+G141+G142+G145+G146)</f>
        <v/>
      </c>
      <c r="H161" s="5">
        <f>-(H137+H138+H141+H142+H145+H146)</f>
        <v/>
      </c>
      <c r="I161" s="5">
        <f>-(I137+I138+I141+I142+I145+I146)</f>
        <v/>
      </c>
      <c r="J161" s="5">
        <f>-(J137+J138+J141+J142+J145+J146)</f>
        <v/>
      </c>
      <c r="K161" s="5">
        <f>-(K137+K138+K141+K142+K145+K146)</f>
        <v/>
      </c>
      <c r="L161" s="5">
        <f>-(L137+L138+L141+L142+L145+L146)</f>
        <v/>
      </c>
    </row>
    <row r="162">
      <c r="A162" s="4" t="inlineStr">
        <is>
          <t>Flux de financement</t>
        </is>
      </c>
      <c r="B162" s="18">
        <f>SUM(C162:L162)</f>
        <v/>
      </c>
      <c r="C162" s="18">
        <f>C159+C160+C161</f>
        <v/>
      </c>
      <c r="D162" s="18">
        <f>D159+D160+D161</f>
        <v/>
      </c>
      <c r="E162" s="18">
        <f>E159+E160+E161</f>
        <v/>
      </c>
      <c r="F162" s="18">
        <f>F159+F160+F161</f>
        <v/>
      </c>
      <c r="G162" s="18">
        <f>G159+G160+G161</f>
        <v/>
      </c>
      <c r="H162" s="18">
        <f>H159+H160+H161</f>
        <v/>
      </c>
      <c r="I162" s="18">
        <f>I159+I160+I161</f>
        <v/>
      </c>
      <c r="J162" s="18">
        <f>J159+J160+J161</f>
        <v/>
      </c>
      <c r="K162" s="18">
        <f>K159+K160+K161</f>
        <v/>
      </c>
      <c r="L162" s="18">
        <f>L159+L160+L161</f>
        <v/>
      </c>
    </row>
    <row r="163">
      <c r="A163" s="4" t="inlineStr">
        <is>
          <t>Variation de trésorerie</t>
        </is>
      </c>
      <c r="B163" s="18">
        <f>SUM(C163:L163)</f>
        <v/>
      </c>
      <c r="C163" s="18">
        <f>C157+C158+C162</f>
        <v/>
      </c>
      <c r="D163" s="18">
        <f>D157+D158+D162</f>
        <v/>
      </c>
      <c r="E163" s="18">
        <f>E157+E158+E162</f>
        <v/>
      </c>
      <c r="F163" s="18">
        <f>F157+F158+F162</f>
        <v/>
      </c>
      <c r="G163" s="18">
        <f>G157+G158+G162</f>
        <v/>
      </c>
      <c r="H163" s="18">
        <f>H157+H158+H162</f>
        <v/>
      </c>
      <c r="I163" s="18">
        <f>I157+I158+I162</f>
        <v/>
      </c>
      <c r="J163" s="18">
        <f>J157+J158+J162</f>
        <v/>
      </c>
      <c r="K163" s="18">
        <f>K157+K158+K162</f>
        <v/>
      </c>
      <c r="L163" s="18">
        <f>L157+L158+L162</f>
        <v/>
      </c>
    </row>
    <row r="164">
      <c r="A164" s="4" t="inlineStr">
        <is>
          <t>Trésorerie fin d'année</t>
        </is>
      </c>
      <c r="C164" s="18">
        <f>C163</f>
        <v/>
      </c>
      <c r="D164" s="18">
        <f>C164+D163</f>
        <v/>
      </c>
      <c r="E164" s="18">
        <f>D164+E163</f>
        <v/>
      </c>
      <c r="F164" s="18">
        <f>E164+F163</f>
        <v/>
      </c>
      <c r="G164" s="18">
        <f>F164+G163</f>
        <v/>
      </c>
      <c r="H164" s="18">
        <f>G164+H163</f>
        <v/>
      </c>
      <c r="I164" s="18">
        <f>H164+I163</f>
        <v/>
      </c>
      <c r="J164" s="18">
        <f>I164+J163</f>
        <v/>
      </c>
      <c r="K164" s="18">
        <f>J164+K163</f>
        <v/>
      </c>
      <c r="L164" s="18">
        <f>K164+L163</f>
        <v/>
      </c>
    </row>
    <row r="165">
      <c r="A165" t="inlineStr">
        <is>
          <t>Cash-flow libre d'exploitation (CFO − gros entretien − service dette hors obligations in fine)</t>
        </is>
      </c>
      <c r="B165" s="5">
        <f>SUM(C165:L165)</f>
        <v/>
      </c>
      <c r="C165" s="5">
        <f>C157-C128-(C137+C138+C141+C142+C145)</f>
        <v/>
      </c>
      <c r="D165" s="5">
        <f>D157-D128-(D137+D138+D141+D142+D145)</f>
        <v/>
      </c>
      <c r="E165" s="5">
        <f>E157-E128-(E137+E138+E141+E142+E145)</f>
        <v/>
      </c>
      <c r="F165" s="5">
        <f>F157-F128-(F137+F138+F141+F142+F145)</f>
        <v/>
      </c>
      <c r="G165" s="5">
        <f>G157-G128-(G137+G138+G141+G142+G145)</f>
        <v/>
      </c>
      <c r="H165" s="5">
        <f>H157-H128-(H137+H138+H141+H142+H145)</f>
        <v/>
      </c>
      <c r="I165" s="5">
        <f>I157-I128-(I137+I138+I141+I142+I145)</f>
        <v/>
      </c>
      <c r="J165" s="5">
        <f>J157-J128-(J137+J138+J141+J142+J145)</f>
        <v/>
      </c>
      <c r="K165" s="5">
        <f>K157-K128-(K137+K138+K141+K142+K145)</f>
        <v/>
      </c>
      <c r="L165" s="5">
        <f>L157-L128-(L137+L138+L141+L142+L145)</f>
        <v/>
      </c>
    </row>
    <row r="166">
      <c r="A166" t="inlineStr">
        <is>
          <t>DSCR ((EBITDA + loyer privé − IS − gros entretien) / service de la dette)</t>
        </is>
      </c>
      <c r="C166" s="7">
        <f>IF((C137+C138+C141+C142+C145)=0,"",(C122+C123+C151-C128)/(C137+C138+C141+C142+C145))</f>
        <v/>
      </c>
      <c r="D166" s="7">
        <f>IF((D137+D138+D141+D142+D145)=0,"",(D122+D123+D151-D128)/(D137+D138+D141+D142+D145))</f>
        <v/>
      </c>
      <c r="E166" s="7">
        <f>IF((E137+E138+E141+E142+E145)=0,"",(E122+E123+E151-E128)/(E137+E138+E141+E142+E145))</f>
        <v/>
      </c>
      <c r="F166" s="7">
        <f>IF((F137+F138+F141+F142+F145)=0,"",(F122+F123+F151-F128)/(F137+F138+F141+F142+F145))</f>
        <v/>
      </c>
      <c r="G166" s="7">
        <f>IF((G137+G138+G141+G142+G145)=0,"",(G122+G123+G151-G128)/(G137+G138+G141+G142+G145))</f>
        <v/>
      </c>
      <c r="H166" s="7">
        <f>IF((H137+H138+H141+H142+H145)=0,"",(H122+H123+H151-H128)/(H137+H138+H141+H142+H145))</f>
        <v/>
      </c>
      <c r="I166" s="7">
        <f>IF((I137+I138+I141+I142+I145)=0,"",(I122+I123+I151-I128)/(I137+I138+I141+I142+I145))</f>
        <v/>
      </c>
      <c r="J166" s="7">
        <f>IF((J137+J138+J141+J142+J145)=0,"",(J122+J123+J151-J128)/(J137+J138+J141+J142+J145))</f>
        <v/>
      </c>
      <c r="K166" s="7">
        <f>IF((K137+K138+K141+K142+K145)=0,"",(K122+K123+K151-K128)/(K137+K138+K141+K142+K145))</f>
        <v/>
      </c>
      <c r="L166" s="7">
        <f>IF((L137+L138+L141+L142+L145)=0,"",(L122+L123+L151-L128)/(L137+L138+L141+L142+L145))</f>
        <v/>
      </c>
    </row>
    <row r="168">
      <c r="A168" s="4" t="inlineStr">
        <is>
          <t>Rentabilité des investisseurs et contrôle</t>
        </is>
      </c>
    </row>
    <row r="169">
      <c r="A169" t="inlineStr">
        <is>
          <t>Dettes financières totales fin d'année</t>
        </is>
      </c>
      <c r="C169" s="5">
        <f>C139+C143+C144-C146</f>
        <v/>
      </c>
      <c r="D169" s="5">
        <f>D139+D143+D144-D146</f>
        <v/>
      </c>
      <c r="E169" s="5">
        <f>E139+E143+E144-E146</f>
        <v/>
      </c>
      <c r="F169" s="5">
        <f>F139+F143+F144-F146</f>
        <v/>
      </c>
      <c r="G169" s="5">
        <f>G139+G143+G144-G146</f>
        <v/>
      </c>
      <c r="H169" s="5">
        <f>H139+H143+H144-H146</f>
        <v/>
      </c>
      <c r="I169" s="5">
        <f>I139+I143+I144-I146</f>
        <v/>
      </c>
      <c r="J169" s="5">
        <f>J139+J143+J144-J146</f>
        <v/>
      </c>
      <c r="K169" s="5">
        <f>K139+K143+K144-K146</f>
        <v/>
      </c>
      <c r="L169" s="5">
        <f>L139+L143+L144-L146</f>
        <v/>
      </c>
    </row>
    <row r="170">
      <c r="A170" t="inlineStr">
        <is>
          <t>Valeur estimée de l'actif (si cédé cette année)</t>
        </is>
      </c>
      <c r="C170" s="5">
        <f>C94*($B$7+C126)*$B$17*(1-$B$19)</f>
        <v/>
      </c>
      <c r="D170" s="5">
        <f>D94*($B$7+D126)*$B$17*(1-$B$19)</f>
        <v/>
      </c>
      <c r="E170" s="5">
        <f>E94*($B$7+E126)*$B$17*(1-$B$19)</f>
        <v/>
      </c>
      <c r="F170" s="5">
        <f>F94*($B$7+F126)*$B$17*(1-$B$19)</f>
        <v/>
      </c>
      <c r="G170" s="5">
        <f>G94*($B$7+G126)*$B$17*(1-$B$19)</f>
        <v/>
      </c>
      <c r="H170" s="5">
        <f>H94*($B$7+H126)*$B$17*(1-$B$19)</f>
        <v/>
      </c>
      <c r="I170" s="5">
        <f>I94*($B$7+I126)*$B$17*(1-$B$19)</f>
        <v/>
      </c>
      <c r="J170" s="5">
        <f>J94*($B$7+J126)*$B$17*(1-$B$19)</f>
        <v/>
      </c>
      <c r="K170" s="5">
        <f>K94*($B$7+K126)*$B$17*(1-$B$19)</f>
        <v/>
      </c>
      <c r="L170" s="5">
        <f>L94*($B$7+L126)*$B$17*(1-$B$19)</f>
        <v/>
      </c>
    </row>
    <row r="171">
      <c r="A171" t="inlineStr">
        <is>
          <t>Valeur des fonds propres (actif + trésorerie − dettes)</t>
        </is>
      </c>
      <c r="C171" s="5">
        <f>C170+C164-C169</f>
        <v/>
      </c>
      <c r="D171" s="5">
        <f>D170+D164-D169</f>
        <v/>
      </c>
      <c r="E171" s="5">
        <f>E170+E164-E169</f>
        <v/>
      </c>
      <c r="F171" s="5">
        <f>F170+F164-F169</f>
        <v/>
      </c>
      <c r="G171" s="5">
        <f>G170+G164-G169</f>
        <v/>
      </c>
      <c r="H171" s="5">
        <f>H170+H164-H169</f>
        <v/>
      </c>
      <c r="I171" s="5">
        <f>I170+I164-I169</f>
        <v/>
      </c>
      <c r="J171" s="5">
        <f>J170+J164-J169</f>
        <v/>
      </c>
      <c r="K171" s="5">
        <f>K170+K164-K169</f>
        <v/>
      </c>
      <c r="L171" s="5">
        <f>L170+L164-L169</f>
        <v/>
      </c>
    </row>
    <row r="172">
      <c r="A172" t="inlineStr">
        <is>
          <t>Flux des investisseurs (entrée an d'acq., sortie an 10)</t>
        </is>
      </c>
      <c r="B172" s="5">
        <f>SUM(C172:L172)</f>
        <v/>
      </c>
      <c r="C172" s="5">
        <f>-IF(C$88=$B$5,$B$24*(1-$B$49)*(1-$B$25),0)</f>
        <v/>
      </c>
      <c r="D172" s="5">
        <f>-IF(D$88=$B$5,$B$24*(1-$B$49)*(1-$B$25),0)</f>
        <v/>
      </c>
      <c r="E172" s="5">
        <f>-IF(E$88=$B$5,$B$24*(1-$B$49)*(1-$B$25),0)</f>
        <v/>
      </c>
      <c r="F172" s="5">
        <f>-IF(F$88=$B$5,$B$24*(1-$B$49)*(1-$B$25),0)</f>
        <v/>
      </c>
      <c r="G172" s="5">
        <f>-IF(G$88=$B$5,$B$24*(1-$B$49)*(1-$B$25),0)</f>
        <v/>
      </c>
      <c r="H172" s="5">
        <f>-IF(H$88=$B$5,$B$24*(1-$B$49)*(1-$B$25),0)</f>
        <v/>
      </c>
      <c r="I172" s="5">
        <f>-IF(I$88=$B$5,$B$24*(1-$B$49)*(1-$B$25),0)</f>
        <v/>
      </c>
      <c r="J172" s="5">
        <f>-IF(J$88=$B$5,$B$24*(1-$B$49)*(1-$B$25),0)</f>
        <v/>
      </c>
      <c r="K172" s="5">
        <f>-IF(K$88=$B$5,$B$24*(1-$B$49)*(1-$B$25),0)</f>
        <v/>
      </c>
      <c r="L172" s="5">
        <f>-IF(L$88=$B$5,$B$24*(1-$B$49)*(1-$B$25),0)+MAX(0,L171)*(1-$B$42)</f>
        <v/>
      </c>
    </row>
    <row r="173">
      <c r="A173" t="inlineStr">
        <is>
          <t>Flux du fondateur et de sa holding (apports, sortie théorique an 10)</t>
        </is>
      </c>
      <c r="B173" s="5">
        <f>SUM(C173:L173)</f>
        <v/>
      </c>
      <c r="C173" s="5">
        <f>-IF(C$88=1,$B$23,0)-IF(C$88=$B$5,$B$24*(1-$B$49)*$B$25,0)</f>
        <v/>
      </c>
      <c r="D173" s="5">
        <f>-IF(D$88=1,$B$23,0)-IF(D$88=$B$5,$B$24*(1-$B$49)*$B$25,0)</f>
        <v/>
      </c>
      <c r="E173" s="5">
        <f>-IF(E$88=1,$B$23,0)-IF(E$88=$B$5,$B$24*(1-$B$49)*$B$25,0)</f>
        <v/>
      </c>
      <c r="F173" s="5">
        <f>-IF(F$88=1,$B$23,0)-IF(F$88=$B$5,$B$24*(1-$B$49)*$B$25,0)</f>
        <v/>
      </c>
      <c r="G173" s="5">
        <f>-IF(G$88=1,$B$23,0)-IF(G$88=$B$5,$B$24*(1-$B$49)*$B$25,0)</f>
        <v/>
      </c>
      <c r="H173" s="5">
        <f>-IF(H$88=1,$B$23,0)-IF(H$88=$B$5,$B$24*(1-$B$49)*$B$25,0)</f>
        <v/>
      </c>
      <c r="I173" s="5">
        <f>-IF(I$88=1,$B$23,0)-IF(I$88=$B$5,$B$24*(1-$B$49)*$B$25,0)</f>
        <v/>
      </c>
      <c r="J173" s="5">
        <f>-IF(J$88=1,$B$23,0)-IF(J$88=$B$5,$B$24*(1-$B$49)*$B$25,0)</f>
        <v/>
      </c>
      <c r="K173" s="5">
        <f>-IF(K$88=1,$B$23,0)-IF(K$88=$B$5,$B$24*(1-$B$49)*$B$25,0)</f>
        <v/>
      </c>
      <c r="L173" s="5">
        <f>-IF(L$88=1,$B$23,0)-IF(L$88=$B$5,$B$24*(1-$B$49)*$B$25,0)+MAX(0,L171)*$B$42</f>
        <v/>
      </c>
    </row>
    <row r="175">
      <c r="A175" s="10" t="inlineStr">
        <is>
          <t>8. Indicateurs clés</t>
        </is>
      </c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</row>
    <row r="176">
      <c r="A176" t="inlineStr">
        <is>
          <t>Emplois totaux (acq. + frais + travaux initiaux)</t>
        </is>
      </c>
      <c r="B176" s="18">
        <f>$B$7*(1+$B$8)+SUM(C125:L125)</f>
        <v/>
      </c>
    </row>
    <row r="177">
      <c r="A177" t="inlineStr">
        <is>
          <t>Ressources externes et apports prévus</t>
        </is>
      </c>
      <c r="B177" s="18">
        <f>$B$23+$B$24*(1-$B$49)+$B$26+$B$27+$B$31+$B$34</f>
        <v/>
      </c>
    </row>
    <row r="178">
      <c r="A178" t="inlineStr">
        <is>
          <t>CA année 5</t>
        </is>
      </c>
      <c r="B178" s="18">
        <f>G104</f>
        <v/>
      </c>
    </row>
    <row r="179">
      <c r="A179" t="inlineStr">
        <is>
          <t>EBITDA année 5</t>
        </is>
      </c>
      <c r="B179" s="18">
        <f>G122</f>
        <v/>
      </c>
    </row>
    <row r="180">
      <c r="A180" t="inlineStr">
        <is>
          <t>EBITDA année 10</t>
        </is>
      </c>
      <c r="B180" s="18">
        <f>L122</f>
        <v/>
      </c>
    </row>
    <row r="181">
      <c r="A181" t="inlineStr">
        <is>
          <t>Part équestre du CA année 5</t>
        </is>
      </c>
      <c r="B181" s="14">
        <f>G106</f>
        <v/>
      </c>
    </row>
    <row r="182">
      <c r="A182" t="inlineStr">
        <is>
          <t>Trésorerie minimale sur 10 ans</t>
        </is>
      </c>
      <c r="B182" s="18">
        <f>MIN(C164:L164)</f>
        <v/>
      </c>
    </row>
    <row r="183">
      <c r="A183" t="inlineStr">
        <is>
          <t>Trésorerie fin année 10</t>
        </is>
      </c>
      <c r="B183" s="18">
        <f>L164</f>
        <v/>
      </c>
    </row>
    <row r="184">
      <c r="A184" t="inlineStr">
        <is>
          <t>DSCR minimal (à partir de la 2e année d'exploitation)</t>
        </is>
      </c>
      <c r="B184" s="19">
        <f>IF(COUNTIFS(C166:L166,"&gt;-1E+300",C90:L90,"&gt;=2")=0,"n/a",_xlfn.MINIFS(C166:L166,C90:L90,"&gt;=2"))</f>
        <v/>
      </c>
    </row>
    <row r="185">
      <c r="A185" t="inlineStr">
        <is>
          <t>Nb d'années à cash-flow libre d'exploitation négatif (à partir de la 2e année d'exploitation)</t>
        </is>
      </c>
      <c r="B185" s="20">
        <f>COUNTIFS(C165:L165,"&lt;0",C90:L90,"&gt;=2")</f>
        <v/>
      </c>
    </row>
    <row r="186">
      <c r="A186" t="inlineStr">
        <is>
          <t>TRI investisseurs (sortie théorique an 10)</t>
        </is>
      </c>
      <c r="B186" s="14">
        <f>IF($B$24*(1-$B$25)=0,"sans objet",IFERROR(IRR(C172:L172,-0.05),"perte quasi totale (TRI non calculable)"))</f>
        <v/>
      </c>
    </row>
    <row r="187">
      <c r="A187" t="inlineStr">
        <is>
          <t>TRI fondateur (sortie théorique an 10)</t>
        </is>
      </c>
      <c r="B187" s="14">
        <f>IFERROR(IRR(C173:L173,-0.05),"perte quasi totale (TRI non calculable)")</f>
        <v/>
      </c>
    </row>
    <row r="188">
      <c r="A188" t="inlineStr">
        <is>
          <t>Dette bancaire soutenable estimée (DSCR 1,2 sur (EBITDA − IS − gros entretien) an 10, hors loyer privé ; taux et durée du scénario)</t>
        </is>
      </c>
      <c r="B188" s="18">
        <f>MAX(0,PV($B$28,$B$29,-(L122+L151-L128)/1.2))</f>
        <v/>
      </c>
    </row>
    <row r="189">
      <c r="A189" t="inlineStr">
        <is>
          <t>Fonds propres nécessaires (emplois + réserve + pertes d'exploitation cumulées − dette soutenable)</t>
        </is>
      </c>
      <c r="B189" s="18">
        <f>$B$7*(1+$B$8)+SUM(C125:L125)+$B$39-SUMIF(C157:L157,"&lt;0")-$B$188</f>
        <v/>
      </c>
    </row>
    <row r="190">
      <c r="A190" t="inlineStr">
        <is>
          <t>Part du capital du fondateur</t>
        </is>
      </c>
      <c r="B190" s="14">
        <f>$B$42</f>
        <v/>
      </c>
    </row>
    <row r="191">
      <c r="A191" t="inlineStr">
        <is>
          <t>Droits de vote du fondateur</t>
        </is>
      </c>
      <c r="B191" s="14">
        <f>$B$38</f>
        <v/>
      </c>
    </row>
    <row r="192">
      <c r="A192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2" s="4">
        <f>IF($B$182&lt;0,"NON VIABLE (trésorerie négative)",IF(AND($B$183&gt;=$B$39,OR($B$184="n/a",$B$184&gt;=1.2),$B$185=0),IF(NOT(OR($B$186="sans objet",AND(ISNUMBER($B$186),N($B$186)&gt;=$B$40))),"FRAGILE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E — Bail emphytéotique d'un domaine public (contrôle sans propriété) — cas central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0</v>
      </c>
      <c r="C7" t="inlineStr">
        <is>
          <t>€</t>
        </is>
      </c>
      <c r="D7" t="inlineStr">
        <is>
          <t>Pas d'achat : droit réel de 50-99 ans ; droit d'entrée INCONNU</t>
        </is>
      </c>
    </row>
    <row r="8">
      <c r="A8" t="inlineStr">
        <is>
          <t>Frais d'acquisition (droits + notaire)</t>
        </is>
      </c>
      <c r="B8" s="13" t="n">
        <v>0</v>
      </c>
      <c r="C8" t="inlineStr">
        <is>
          <t>%</t>
        </is>
      </c>
      <c r="D8" t="inlineStr"/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1200000</v>
      </c>
      <c r="C10" t="inlineStr">
        <is>
          <t>€</t>
        </is>
      </c>
      <c r="D10" t="inlineStr">
        <is>
          <t>A2 montage 4 : travaux à la charge du preneur 1,5 M€, dont ~0,3 M€ subventionnés côté propriétaire public (non acquis)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</t>
        </is>
      </c>
    </row>
    <row r="12">
      <c r="A12" t="inlineStr">
        <is>
          <t>Investissements événementiel / hébergement</t>
        </is>
      </c>
      <c r="B12" s="12" t="n">
        <v>150000</v>
      </c>
      <c r="C12" t="inlineStr">
        <is>
          <t>€</t>
        </is>
      </c>
      <c r="D12" t="inlineStr">
        <is>
          <t>EST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0.025</v>
      </c>
      <c r="C16" t="inlineStr">
        <is>
          <t>%</t>
        </is>
      </c>
      <c r="D16" t="inlineStr">
        <is>
          <t>≈ 40 k€/an sur la base des travaux (le preneur entretient)</t>
        </is>
      </c>
    </row>
    <row r="17">
      <c r="A17" t="inlineStr">
        <is>
          <t>Valeur de sortie an 10 (% prix + travaux cumulés)</t>
        </is>
      </c>
      <c r="B17" s="13" t="n">
        <v>0</v>
      </c>
      <c r="C17" t="inlineStr">
        <is>
          <t>%</t>
        </is>
      </c>
      <c r="D17" t="inlineStr">
        <is>
          <t>Améliorations reviennent au bailleur en fin de bail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250000</v>
      </c>
      <c r="C23" t="inlineStr">
        <is>
          <t>€</t>
        </is>
      </c>
      <c r="D23" t="inlineStr">
        <is>
          <t>S2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980000</v>
      </c>
      <c r="C27" t="inlineStr">
        <is>
          <t>€</t>
        </is>
      </c>
      <c r="D27" t="inlineStr">
        <is>
          <t>NON ACQUIS — prêt hypothéqué sur le droit réel (si le bailleur l'autorise) + prêts d'honneur 80 k€ [A2 montage 4]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15</v>
      </c>
      <c r="C29" t="inlineStr">
        <is>
          <t>ans</t>
        </is>
      </c>
      <c r="D29" t="inlineStr">
        <is>
          <t>A2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400000</v>
      </c>
      <c r="C34" t="inlineStr">
        <is>
          <t>€</t>
        </is>
      </c>
      <c r="D34" t="inlineStr">
        <is>
          <t>NON ACQUIS — obligations PSFP [A2 montage 4]</t>
        </is>
      </c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EST</t>
        </is>
      </c>
    </row>
    <row r="36">
      <c r="A36" t="inlineStr">
        <is>
          <t>Année de remboursement des obligations</t>
        </is>
      </c>
      <c r="B36" s="12" t="n">
        <v>7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Redevance emphytéotique</t>
        </is>
      </c>
      <c r="B87" s="12" t="n">
        <v>20000</v>
      </c>
      <c r="C87" s="16" t="n">
        <v>1</v>
      </c>
      <c r="G87" t="inlineStr">
        <is>
          <t>INC : aucun montant de redevance trouvé dans les sources v2 (Villa Valmer, Gaillon : non publiés) ; 20 k€ = hypothèse arbitraire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à mi-temps / prestataire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(2 ETP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Redevance emphytéotique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E allégé — bail emphytéotique d'un site en bon état : travaux 0,6 M€, dette 0,3 M€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0</v>
      </c>
      <c r="C7" t="inlineStr">
        <is>
          <t>€</t>
        </is>
      </c>
      <c r="D7" t="inlineStr">
        <is>
          <t>Pas d'achat : droit réel de 50-99 ans ; droit d'entrée INCONNU</t>
        </is>
      </c>
    </row>
    <row r="8">
      <c r="A8" t="inlineStr">
        <is>
          <t>Frais d'acquisition (droits + notaire)</t>
        </is>
      </c>
      <c r="B8" s="13" t="n">
        <v>0</v>
      </c>
      <c r="C8" t="inlineStr">
        <is>
          <t>%</t>
        </is>
      </c>
      <c r="D8" t="inlineStr"/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300000</v>
      </c>
      <c r="C10" t="inlineStr">
        <is>
          <t>€</t>
        </is>
      </c>
      <c r="D10" t="inlineStr">
        <is>
          <t>EST : site public déjà entretenu — hypothèse favorable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</t>
        </is>
      </c>
    </row>
    <row r="12">
      <c r="A12" t="inlineStr">
        <is>
          <t>Investissements événementiel / hébergement</t>
        </is>
      </c>
      <c r="B12" s="12" t="n">
        <v>150000</v>
      </c>
      <c r="C12" t="inlineStr">
        <is>
          <t>€</t>
        </is>
      </c>
      <c r="D12" t="inlineStr">
        <is>
          <t>EST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0.05</v>
      </c>
      <c r="C16" t="inlineStr">
        <is>
          <t>%</t>
        </is>
      </c>
      <c r="D16" t="inlineStr">
        <is>
          <t>≈ 30 k€/an sur la base des travaux</t>
        </is>
      </c>
    </row>
    <row r="17">
      <c r="A17" t="inlineStr">
        <is>
          <t>Valeur de sortie an 10 (% prix + travaux cumulés)</t>
        </is>
      </c>
      <c r="B17" s="13" t="n">
        <v>0</v>
      </c>
      <c r="C17" t="inlineStr">
        <is>
          <t>%</t>
        </is>
      </c>
      <c r="D17" t="inlineStr">
        <is>
          <t>Améliorations reviennent au bailleur en fin de bail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250000</v>
      </c>
      <c r="C23" t="inlineStr">
        <is>
          <t>€</t>
        </is>
      </c>
      <c r="D23" t="inlineStr">
        <is>
          <t>S2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300000</v>
      </c>
      <c r="C27" t="inlineStr">
        <is>
          <t>€</t>
        </is>
      </c>
      <c r="D27" t="inlineStr">
        <is>
          <t>NON ACQUIS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15</v>
      </c>
      <c r="C29" t="inlineStr">
        <is>
          <t>ans</t>
        </is>
      </c>
      <c r="D29" t="inlineStr">
        <is>
          <t>A2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EST</t>
        </is>
      </c>
    </row>
    <row r="36">
      <c r="A36" t="inlineStr">
        <is>
          <t>Année de remboursement des obligations</t>
        </is>
      </c>
      <c r="B36" s="12" t="n">
        <v>7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7">
      <c r="A87" t="inlineStr">
        <is>
          <t>Redevance emphytéotique</t>
        </is>
      </c>
      <c r="B87" s="12" t="n">
        <v>20000</v>
      </c>
      <c r="C87" s="16" t="n">
        <v>1</v>
      </c>
      <c r="G87" t="inlineStr">
        <is>
          <t>INC : aucun montant de redevance trouvé dans les sources v2 (Villa Valmer, Gaillon : non publiés) ; 20 k€ = hypothèse arbitraire</t>
        </is>
      </c>
    </row>
    <row r="89">
      <c r="A89" s="10" t="inlineStr">
        <is>
          <t>7. Calcul sur 10 ans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4" t="inlineStr">
        <is>
          <t>Année</t>
        </is>
      </c>
      <c r="B90" s="4" t="inlineStr">
        <is>
          <t>Total / réf.</t>
        </is>
      </c>
      <c r="C90" s="4" t="n">
        <v>1</v>
      </c>
      <c r="D90" s="4" t="n">
        <v>2</v>
      </c>
      <c r="E90" s="4" t="n">
        <v>3</v>
      </c>
      <c r="F90" s="4" t="n">
        <v>4</v>
      </c>
      <c r="G90" s="4" t="n">
        <v>5</v>
      </c>
      <c r="H90" s="4" t="n">
        <v>6</v>
      </c>
      <c r="I90" s="4" t="n">
        <v>7</v>
      </c>
      <c r="J90" s="4" t="n">
        <v>8</v>
      </c>
      <c r="K90" s="4" t="n">
        <v>9</v>
      </c>
      <c r="L90" s="4" t="n">
        <v>10</v>
      </c>
    </row>
    <row r="91">
      <c r="A91" t="inlineStr">
        <is>
          <t>Année d'ouverture effective</t>
        </is>
      </c>
      <c r="C91" s="8">
        <f>$B$6+$B$47</f>
        <v/>
      </c>
      <c r="D91" s="8">
        <f>$B$6+$B$47</f>
        <v/>
      </c>
      <c r="E91" s="8">
        <f>$B$6+$B$47</f>
        <v/>
      </c>
      <c r="F91" s="8">
        <f>$B$6+$B$47</f>
        <v/>
      </c>
      <c r="G91" s="8">
        <f>$B$6+$B$47</f>
        <v/>
      </c>
      <c r="H91" s="8">
        <f>$B$6+$B$47</f>
        <v/>
      </c>
      <c r="I91" s="8">
        <f>$B$6+$B$47</f>
        <v/>
      </c>
      <c r="J91" s="8">
        <f>$B$6+$B$47</f>
        <v/>
      </c>
      <c r="K91" s="8">
        <f>$B$6+$B$47</f>
        <v/>
      </c>
      <c r="L91" s="8">
        <f>$B$6+$B$47</f>
        <v/>
      </c>
    </row>
    <row r="92">
      <c r="A92" t="inlineStr">
        <is>
          <t>Rang de l'année d'exploitation</t>
        </is>
      </c>
      <c r="C92" s="8">
        <f>MAX(0,C$90-C91+1)</f>
        <v/>
      </c>
      <c r="D92" s="8">
        <f>MAX(0,D$90-D91+1)</f>
        <v/>
      </c>
      <c r="E92" s="8">
        <f>MAX(0,E$90-E91+1)</f>
        <v/>
      </c>
      <c r="F92" s="8">
        <f>MAX(0,F$90-F91+1)</f>
        <v/>
      </c>
      <c r="G92" s="8">
        <f>MAX(0,G$90-G91+1)</f>
        <v/>
      </c>
      <c r="H92" s="8">
        <f>MAX(0,H$90-H91+1)</f>
        <v/>
      </c>
      <c r="I92" s="8">
        <f>MAX(0,I$90-I91+1)</f>
        <v/>
      </c>
      <c r="J92" s="8">
        <f>MAX(0,J$90-J91+1)</f>
        <v/>
      </c>
      <c r="K92" s="8">
        <f>MAX(0,K$90-K91+1)</f>
        <v/>
      </c>
      <c r="L92" s="8">
        <f>MAX(0,L$90-L91+1)</f>
        <v/>
      </c>
    </row>
    <row r="93">
      <c r="A93" t="inlineStr">
        <is>
          <t>Coefficient de montée en charge</t>
        </is>
      </c>
      <c r="C93" s="6">
        <f>IF(C92=0,0,IF(C92=1,$B$53,IF(C92=2,$B$54,IF(C92=3,$B$55,1))))</f>
        <v/>
      </c>
      <c r="D93" s="6">
        <f>IF(D92=0,0,IF(D92=1,$B$53,IF(D92=2,$B$54,IF(D92=3,$B$55,1))))</f>
        <v/>
      </c>
      <c r="E93" s="6">
        <f>IF(E92=0,0,IF(E92=1,$B$53,IF(E92=2,$B$54,IF(E92=3,$B$55,1))))</f>
        <v/>
      </c>
      <c r="F93" s="6">
        <f>IF(F92=0,0,IF(F92=1,$B$53,IF(F92=2,$B$54,IF(F92=3,$B$55,1))))</f>
        <v/>
      </c>
      <c r="G93" s="6">
        <f>IF(G92=0,0,IF(G92=1,$B$53,IF(G92=2,$B$54,IF(G92=3,$B$55,1))))</f>
        <v/>
      </c>
      <c r="H93" s="6">
        <f>IF(H92=0,0,IF(H92=1,$B$53,IF(H92=2,$B$54,IF(H92=3,$B$55,1))))</f>
        <v/>
      </c>
      <c r="I93" s="6">
        <f>IF(I92=0,0,IF(I92=1,$B$53,IF(I92=2,$B$54,IF(I92=3,$B$55,1))))</f>
        <v/>
      </c>
      <c r="J93" s="6">
        <f>IF(J92=0,0,IF(J92=1,$B$53,IF(J92=2,$B$54,IF(J92=3,$B$55,1))))</f>
        <v/>
      </c>
      <c r="K93" s="6">
        <f>IF(K92=0,0,IF(K92=1,$B$53,IF(K92=2,$B$54,IF(K92=3,$B$55,1))))</f>
        <v/>
      </c>
      <c r="L93" s="6">
        <f>IF(L92=0,0,IF(L92=1,$B$53,IF(L92=2,$B$54,IF(L92=3,$B$55,1))))</f>
        <v/>
      </c>
    </row>
    <row r="94">
      <c r="A94" t="inlineStr">
        <is>
          <t>Indice prix</t>
        </is>
      </c>
      <c r="C94" s="17">
        <f>(1+$B$56)^(C$90-1)</f>
        <v/>
      </c>
      <c r="D94" s="17">
        <f>(1+$B$56)^(D$90-1)</f>
        <v/>
      </c>
      <c r="E94" s="17">
        <f>(1+$B$56)^(E$90-1)</f>
        <v/>
      </c>
      <c r="F94" s="17">
        <f>(1+$B$56)^(F$90-1)</f>
        <v/>
      </c>
      <c r="G94" s="17">
        <f>(1+$B$56)^(G$90-1)</f>
        <v/>
      </c>
      <c r="H94" s="17">
        <f>(1+$B$56)^(H$90-1)</f>
        <v/>
      </c>
      <c r="I94" s="17">
        <f>(1+$B$56)^(I$90-1)</f>
        <v/>
      </c>
      <c r="J94" s="17">
        <f>(1+$B$56)^(J$90-1)</f>
        <v/>
      </c>
      <c r="K94" s="17">
        <f>(1+$B$56)^(K$90-1)</f>
        <v/>
      </c>
      <c r="L94" s="17">
        <f>(1+$B$56)^(L$90-1)</f>
        <v/>
      </c>
    </row>
    <row r="95">
      <c r="A95" t="inlineStr">
        <is>
          <t>Indice charges</t>
        </is>
      </c>
      <c r="C95" s="17">
        <f>(1+$B$57)^(C$90-1)</f>
        <v/>
      </c>
      <c r="D95" s="17">
        <f>(1+$B$57)^(D$90-1)</f>
        <v/>
      </c>
      <c r="E95" s="17">
        <f>(1+$B$57)^(E$90-1)</f>
        <v/>
      </c>
      <c r="F95" s="17">
        <f>(1+$B$57)^(F$90-1)</f>
        <v/>
      </c>
      <c r="G95" s="17">
        <f>(1+$B$57)^(G$90-1)</f>
        <v/>
      </c>
      <c r="H95" s="17">
        <f>(1+$B$57)^(H$90-1)</f>
        <v/>
      </c>
      <c r="I95" s="17">
        <f>(1+$B$57)^(I$90-1)</f>
        <v/>
      </c>
      <c r="J95" s="17">
        <f>(1+$B$57)^(J$90-1)</f>
        <v/>
      </c>
      <c r="K95" s="17">
        <f>(1+$B$57)^(K$90-1)</f>
        <v/>
      </c>
      <c r="L95" s="17">
        <f>(1+$B$57)^(L$90-1)</f>
        <v/>
      </c>
    </row>
    <row r="96">
      <c r="A96" t="inlineStr">
        <is>
          <t>Murs détenus (1/0)</t>
        </is>
      </c>
      <c r="C96" s="8">
        <f>IF(C$90&gt;=$B$5,1,0)</f>
        <v/>
      </c>
      <c r="D96" s="8">
        <f>IF(D$90&gt;=$B$5,1,0)</f>
        <v/>
      </c>
      <c r="E96" s="8">
        <f>IF(E$90&gt;=$B$5,1,0)</f>
        <v/>
      </c>
      <c r="F96" s="8">
        <f>IF(F$90&gt;=$B$5,1,0)</f>
        <v/>
      </c>
      <c r="G96" s="8">
        <f>IF(G$90&gt;=$B$5,1,0)</f>
        <v/>
      </c>
      <c r="H96" s="8">
        <f>IF(H$90&gt;=$B$5,1,0)</f>
        <v/>
      </c>
      <c r="I96" s="8">
        <f>IF(I$90&gt;=$B$5,1,0)</f>
        <v/>
      </c>
      <c r="J96" s="8">
        <f>IF(J$90&gt;=$B$5,1,0)</f>
        <v/>
      </c>
      <c r="K96" s="8">
        <f>IF(K$90&gt;=$B$5,1,0)</f>
        <v/>
      </c>
      <c r="L96" s="8">
        <f>IF(L$90&gt;=$B$5,1,0)</f>
        <v/>
      </c>
    </row>
    <row r="98">
      <c r="A98" s="4" t="inlineStr">
        <is>
          <t>Compte de résultat</t>
        </is>
      </c>
    </row>
    <row r="99">
      <c r="A99" t="inlineStr">
        <is>
          <t xml:space="preserve">  Pension box premium (places occupées)</t>
        </is>
      </c>
      <c r="B99" s="5">
        <f>SUM(C99:L99)</f>
        <v/>
      </c>
      <c r="C99" s="5">
        <f>$B$65*$C$65*C93*C94*$B$45*(1-$E$65*$B$50)</f>
        <v/>
      </c>
      <c r="D99" s="5">
        <f>$B$65*$C$65*D93*D94*$B$45*(1-$E$65*$B$50)</f>
        <v/>
      </c>
      <c r="E99" s="5">
        <f>$B$65*$C$65*E93*E94*$B$45*(1-$E$65*$B$50)</f>
        <v/>
      </c>
      <c r="F99" s="5">
        <f>$B$65*$C$65*F93*F94*$B$45*(1-$E$65*$B$50)</f>
        <v/>
      </c>
      <c r="G99" s="5">
        <f>$B$65*$C$65*G93*G94*$B$45*(1-$E$65*$B$50)</f>
        <v/>
      </c>
      <c r="H99" s="5">
        <f>$B$65*$C$65*H93*H94*$B$45*(1-$E$65*$B$50)</f>
        <v/>
      </c>
      <c r="I99" s="5">
        <f>$B$65*$C$65*I93*I94*$B$45*(1-$E$65*$B$50)</f>
        <v/>
      </c>
      <c r="J99" s="5">
        <f>$B$65*$C$65*J93*J94*$B$45*(1-$E$65*$B$50)</f>
        <v/>
      </c>
      <c r="K99" s="5">
        <f>$B$65*$C$65*K93*K94*$B$45*(1-$E$65*$B$50)</f>
        <v/>
      </c>
      <c r="L99" s="5">
        <f>$B$65*$C$65*L93*L94*$B$45*(1-$E$65*$B$50)</f>
        <v/>
      </c>
    </row>
    <row r="100">
      <c r="A100" t="inlineStr">
        <is>
          <t xml:space="preserve">  Pension au pré (places occupées)</t>
        </is>
      </c>
      <c r="B100" s="5">
        <f>SUM(C100:L100)</f>
        <v/>
      </c>
      <c r="C100" s="5">
        <f>$B$66*$C$66*C93*C94*$B$45*(1-$E$66*$B$50)</f>
        <v/>
      </c>
      <c r="D100" s="5">
        <f>$B$66*$C$66*D93*D94*$B$45*(1-$E$66*$B$50)</f>
        <v/>
      </c>
      <c r="E100" s="5">
        <f>$B$66*$C$66*E93*E94*$B$45*(1-$E$66*$B$50)</f>
        <v/>
      </c>
      <c r="F100" s="5">
        <f>$B$66*$C$66*F93*F94*$B$45*(1-$E$66*$B$50)</f>
        <v/>
      </c>
      <c r="G100" s="5">
        <f>$B$66*$C$66*G93*G94*$B$45*(1-$E$66*$B$50)</f>
        <v/>
      </c>
      <c r="H100" s="5">
        <f>$B$66*$C$66*H93*H94*$B$45*(1-$E$66*$B$50)</f>
        <v/>
      </c>
      <c r="I100" s="5">
        <f>$B$66*$C$66*I93*I94*$B$45*(1-$E$66*$B$50)</f>
        <v/>
      </c>
      <c r="J100" s="5">
        <f>$B$66*$C$66*J93*J94*$B$45*(1-$E$66*$B$50)</f>
        <v/>
      </c>
      <c r="K100" s="5">
        <f>$B$66*$C$66*K93*K94*$B$45*(1-$E$66*$B$50)</f>
        <v/>
      </c>
      <c r="L100" s="5">
        <f>$B$66*$C$66*L93*L94*$B$45*(1-$E$66*$B$50)</f>
        <v/>
      </c>
    </row>
    <row r="101">
      <c r="A101" t="inlineStr">
        <is>
          <t xml:space="preserve">  Pension retraite / convalescence (places occupées)</t>
        </is>
      </c>
      <c r="B101" s="5">
        <f>SUM(C101:L101)</f>
        <v/>
      </c>
      <c r="C101" s="5">
        <f>$B$67*$C$67*C93*C94*$B$45*(1-$E$67*$B$50)</f>
        <v/>
      </c>
      <c r="D101" s="5">
        <f>$B$67*$C$67*D93*D94*$B$45*(1-$E$67*$B$50)</f>
        <v/>
      </c>
      <c r="E101" s="5">
        <f>$B$67*$C$67*E93*E94*$B$45*(1-$E$67*$B$50)</f>
        <v/>
      </c>
      <c r="F101" s="5">
        <f>$B$67*$C$67*F93*F94*$B$45*(1-$E$67*$B$50)</f>
        <v/>
      </c>
      <c r="G101" s="5">
        <f>$B$67*$C$67*G93*G94*$B$45*(1-$E$67*$B$50)</f>
        <v/>
      </c>
      <c r="H101" s="5">
        <f>$B$67*$C$67*H93*H94*$B$45*(1-$E$67*$B$50)</f>
        <v/>
      </c>
      <c r="I101" s="5">
        <f>$B$67*$C$67*I93*I94*$B$45*(1-$E$67*$B$50)</f>
        <v/>
      </c>
      <c r="J101" s="5">
        <f>$B$67*$C$67*J93*J94*$B$45*(1-$E$67*$B$50)</f>
        <v/>
      </c>
      <c r="K101" s="5">
        <f>$B$67*$C$67*K93*K94*$B$45*(1-$E$67*$B$50)</f>
        <v/>
      </c>
      <c r="L101" s="5">
        <f>$B$67*$C$67*L93*L94*$B$45*(1-$E$67*$B$50)</f>
        <v/>
      </c>
    </row>
    <row r="102">
      <c r="A102" t="inlineStr">
        <is>
          <t xml:space="preserve">  Mariages (location du lieu + hébergement 15 couchages)</t>
        </is>
      </c>
      <c r="B102" s="5">
        <f>SUM(C102:L102)</f>
        <v/>
      </c>
      <c r="C102" s="5">
        <f>$B$68*$C$68*C93*C94*$B$45*(1-$E$68*$B$50)</f>
        <v/>
      </c>
      <c r="D102" s="5">
        <f>$B$68*$C$68*D93*D94*$B$45*(1-$E$68*$B$50)</f>
        <v/>
      </c>
      <c r="E102" s="5">
        <f>$B$68*$C$68*E93*E94*$B$45*(1-$E$68*$B$50)</f>
        <v/>
      </c>
      <c r="F102" s="5">
        <f>$B$68*$C$68*F93*F94*$B$45*(1-$E$68*$B$50)</f>
        <v/>
      </c>
      <c r="G102" s="5">
        <f>$B$68*$C$68*G93*G94*$B$45*(1-$E$68*$B$50)</f>
        <v/>
      </c>
      <c r="H102" s="5">
        <f>$B$68*$C$68*H93*H94*$B$45*(1-$E$68*$B$50)</f>
        <v/>
      </c>
      <c r="I102" s="5">
        <f>$B$68*$C$68*I93*I94*$B$45*(1-$E$68*$B$50)</f>
        <v/>
      </c>
      <c r="J102" s="5">
        <f>$B$68*$C$68*J93*J94*$B$45*(1-$E$68*$B$50)</f>
        <v/>
      </c>
      <c r="K102" s="5">
        <f>$B$68*$C$68*K93*K94*$B$45*(1-$E$68*$B$50)</f>
        <v/>
      </c>
      <c r="L102" s="5">
        <f>$B$68*$C$68*L93*L94*$B$45*(1-$E$68*$B$50)</f>
        <v/>
      </c>
    </row>
    <row r="103">
      <c r="A103" t="inlineStr">
        <is>
          <t xml:space="preserve">  Gîte 15 couchages hors mariages (nuits)</t>
        </is>
      </c>
      <c r="B103" s="5">
        <f>SUM(C103:L103)</f>
        <v/>
      </c>
      <c r="C103" s="5">
        <f>$B$69*$C$69*C93*C94*$B$45*(1-$E$69*$B$50)</f>
        <v/>
      </c>
      <c r="D103" s="5">
        <f>$B$69*$C$69*D93*D94*$B$45*(1-$E$69*$B$50)</f>
        <v/>
      </c>
      <c r="E103" s="5">
        <f>$B$69*$C$69*E93*E94*$B$45*(1-$E$69*$B$50)</f>
        <v/>
      </c>
      <c r="F103" s="5">
        <f>$B$69*$C$69*F93*F94*$B$45*(1-$E$69*$B$50)</f>
        <v/>
      </c>
      <c r="G103" s="5">
        <f>$B$69*$C$69*G93*G94*$B$45*(1-$E$69*$B$50)</f>
        <v/>
      </c>
      <c r="H103" s="5">
        <f>$B$69*$C$69*H93*H94*$B$45*(1-$E$69*$B$50)</f>
        <v/>
      </c>
      <c r="I103" s="5">
        <f>$B$69*$C$69*I93*I94*$B$45*(1-$E$69*$B$50)</f>
        <v/>
      </c>
      <c r="J103" s="5">
        <f>$B$69*$C$69*J93*J94*$B$45*(1-$E$69*$B$50)</f>
        <v/>
      </c>
      <c r="K103" s="5">
        <f>$B$69*$C$69*K93*K94*$B$45*(1-$E$69*$B$50)</f>
        <v/>
      </c>
      <c r="L103" s="5">
        <f>$B$69*$C$69*L93*L94*$B$45*(1-$E$69*$B$50)</f>
        <v/>
      </c>
    </row>
    <row r="104">
      <c r="A104" t="inlineStr">
        <is>
          <t xml:space="preserve">  Séminaires à la journée (jours)</t>
        </is>
      </c>
      <c r="B104" s="5">
        <f>SUM(C104:L104)</f>
        <v/>
      </c>
      <c r="C104" s="5">
        <f>$B$70*$C$70*C93*C94*$B$45*(1-$E$70*$B$50)</f>
        <v/>
      </c>
      <c r="D104" s="5">
        <f>$B$70*$C$70*D93*D94*$B$45*(1-$E$70*$B$50)</f>
        <v/>
      </c>
      <c r="E104" s="5">
        <f>$B$70*$C$70*E93*E94*$B$45*(1-$E$70*$B$50)</f>
        <v/>
      </c>
      <c r="F104" s="5">
        <f>$B$70*$C$70*F93*F94*$B$45*(1-$E$70*$B$50)</f>
        <v/>
      </c>
      <c r="G104" s="5">
        <f>$B$70*$C$70*G93*G94*$B$45*(1-$E$70*$B$50)</f>
        <v/>
      </c>
      <c r="H104" s="5">
        <f>$B$70*$C$70*H93*H94*$B$45*(1-$E$70*$B$50)</f>
        <v/>
      </c>
      <c r="I104" s="5">
        <f>$B$70*$C$70*I93*I94*$B$45*(1-$E$70*$B$50)</f>
        <v/>
      </c>
      <c r="J104" s="5">
        <f>$B$70*$C$70*J93*J94*$B$45*(1-$E$70*$B$50)</f>
        <v/>
      </c>
      <c r="K104" s="5">
        <f>$B$70*$C$70*K93*K94*$B$45*(1-$E$70*$B$50)</f>
        <v/>
      </c>
      <c r="L104" s="5">
        <f>$B$70*$C$70*L93*L94*$B$45*(1-$E$70*$B$50)</f>
        <v/>
      </c>
    </row>
    <row r="105">
      <c r="A105" t="inlineStr">
        <is>
          <t xml:space="preserve">  Tournages / shootings (jours)</t>
        </is>
      </c>
      <c r="B105" s="5">
        <f>SUM(C105:L105)</f>
        <v/>
      </c>
      <c r="C105" s="5">
        <f>$B$71*$C$71*C93*C94*$B$45*(1-$E$71*$B$50)</f>
        <v/>
      </c>
      <c r="D105" s="5">
        <f>$B$71*$C$71*D93*D94*$B$45*(1-$E$71*$B$50)</f>
        <v/>
      </c>
      <c r="E105" s="5">
        <f>$B$71*$C$71*E93*E94*$B$45*(1-$E$71*$B$50)</f>
        <v/>
      </c>
      <c r="F105" s="5">
        <f>$B$71*$C$71*F93*F94*$B$45*(1-$E$71*$B$50)</f>
        <v/>
      </c>
      <c r="G105" s="5">
        <f>$B$71*$C$71*G93*G94*$B$45*(1-$E$71*$B$50)</f>
        <v/>
      </c>
      <c r="H105" s="5">
        <f>$B$71*$C$71*H93*H94*$B$45*(1-$E$71*$B$50)</f>
        <v/>
      </c>
      <c r="I105" s="5">
        <f>$B$71*$C$71*I93*I94*$B$45*(1-$E$71*$B$50)</f>
        <v/>
      </c>
      <c r="J105" s="5">
        <f>$B$71*$C$71*J93*J94*$B$45*(1-$E$71*$B$50)</f>
        <v/>
      </c>
      <c r="K105" s="5">
        <f>$B$71*$C$71*K93*K94*$B$45*(1-$E$71*$B$50)</f>
        <v/>
      </c>
      <c r="L105" s="5">
        <f>$B$71*$C$71*L93*L94*$B$45*(1-$E$71*$B$50)</f>
        <v/>
      </c>
    </row>
    <row r="106">
      <c r="A106" t="inlineStr">
        <is>
          <t xml:space="preserve">  Fermage / vente d'herbe (ha)</t>
        </is>
      </c>
      <c r="B106" s="5">
        <f>SUM(C106:L106)</f>
        <v/>
      </c>
      <c r="C106" s="5">
        <f>$B$72*$C$72*C93*C94*$B$45*(1-$E$72*$B$50)</f>
        <v/>
      </c>
      <c r="D106" s="5">
        <f>$B$72*$C$72*D93*D94*$B$45*(1-$E$72*$B$50)</f>
        <v/>
      </c>
      <c r="E106" s="5">
        <f>$B$72*$C$72*E93*E94*$B$45*(1-$E$72*$B$50)</f>
        <v/>
      </c>
      <c r="F106" s="5">
        <f>$B$72*$C$72*F93*F94*$B$45*(1-$E$72*$B$50)</f>
        <v/>
      </c>
      <c r="G106" s="5">
        <f>$B$72*$C$72*G93*G94*$B$45*(1-$E$72*$B$50)</f>
        <v/>
      </c>
      <c r="H106" s="5">
        <f>$B$72*$C$72*H93*H94*$B$45*(1-$E$72*$B$50)</f>
        <v/>
      </c>
      <c r="I106" s="5">
        <f>$B$72*$C$72*I93*I94*$B$45*(1-$E$72*$B$50)</f>
        <v/>
      </c>
      <c r="J106" s="5">
        <f>$B$72*$C$72*J93*J94*$B$45*(1-$E$72*$B$50)</f>
        <v/>
      </c>
      <c r="K106" s="5">
        <f>$B$72*$C$72*K93*K94*$B$45*(1-$E$72*$B$50)</f>
        <v/>
      </c>
      <c r="L106" s="5">
        <f>$B$72*$C$72*L93*L94*$B$45*(1-$E$72*$B$50)</f>
        <v/>
      </c>
    </row>
    <row r="107">
      <c r="A107" s="4" t="inlineStr">
        <is>
          <t>Chiffre d'affaires total</t>
        </is>
      </c>
      <c r="B107" s="18">
        <f>SUM(C107:L107)</f>
        <v/>
      </c>
      <c r="C107" s="18">
        <f>C99+C100+C101+C102+C103+C104+C105+C106</f>
        <v/>
      </c>
      <c r="D107" s="18">
        <f>D99+D100+D101+D102+D103+D104+D105+D106</f>
        <v/>
      </c>
      <c r="E107" s="18">
        <f>E99+E100+E101+E102+E103+E104+E105+E106</f>
        <v/>
      </c>
      <c r="F107" s="18">
        <f>F99+F100+F101+F102+F103+F104+F105+F106</f>
        <v/>
      </c>
      <c r="G107" s="18">
        <f>G99+G100+G101+G102+G103+G104+G105+G106</f>
        <v/>
      </c>
      <c r="H107" s="18">
        <f>H99+H100+H101+H102+H103+H104+H105+H106</f>
        <v/>
      </c>
      <c r="I107" s="18">
        <f>I99+I100+I101+I102+I103+I104+I105+I106</f>
        <v/>
      </c>
      <c r="J107" s="18">
        <f>J99+J100+J101+J102+J103+J104+J105+J106</f>
        <v/>
      </c>
      <c r="K107" s="18">
        <f>K99+K100+K101+K102+K103+K104+K105+K106</f>
        <v/>
      </c>
      <c r="L107" s="18">
        <f>L99+L100+L101+L102+L103+L104+L105+L106</f>
        <v/>
      </c>
    </row>
    <row r="108">
      <c r="A108" t="inlineStr">
        <is>
          <t xml:space="preserve">  dont équestre</t>
        </is>
      </c>
      <c r="B108" s="5">
        <f>SUM(C108:L108)</f>
        <v/>
      </c>
      <c r="C108" s="5">
        <f>C99*$F$65+C100*$F$66+C101*$F$67+C102*$F$68+C103*$F$69+C104*$F$70+C105*$F$71+C106*$F$72</f>
        <v/>
      </c>
      <c r="D108" s="5">
        <f>D99*$F$65+D100*$F$66+D101*$F$67+D102*$F$68+D103*$F$69+D104*$F$70+D105*$F$71+D106*$F$72</f>
        <v/>
      </c>
      <c r="E108" s="5">
        <f>E99*$F$65+E100*$F$66+E101*$F$67+E102*$F$68+E103*$F$69+E104*$F$70+E105*$F$71+E106*$F$72</f>
        <v/>
      </c>
      <c r="F108" s="5">
        <f>F99*$F$65+F100*$F$66+F101*$F$67+F102*$F$68+F103*$F$69+F104*$F$70+F105*$F$71+F106*$F$72</f>
        <v/>
      </c>
      <c r="G108" s="5">
        <f>G99*$F$65+G100*$F$66+G101*$F$67+G102*$F$68+G103*$F$69+G104*$F$70+G105*$F$71+G106*$F$72</f>
        <v/>
      </c>
      <c r="H108" s="5">
        <f>H99*$F$65+H100*$F$66+H101*$F$67+H102*$F$68+H103*$F$69+H104*$F$70+H105*$F$71+H106*$F$72</f>
        <v/>
      </c>
      <c r="I108" s="5">
        <f>I99*$F$65+I100*$F$66+I101*$F$67+I102*$F$68+I103*$F$69+I104*$F$70+I105*$F$71+I106*$F$72</f>
        <v/>
      </c>
      <c r="J108" s="5">
        <f>J99*$F$65+J100*$F$66+J101*$F$67+J102*$F$68+J103*$F$69+J104*$F$70+J105*$F$71+J106*$F$72</f>
        <v/>
      </c>
      <c r="K108" s="5">
        <f>K99*$F$65+K100*$F$66+K101*$F$67+K102*$F$68+K103*$F$69+K104*$F$70+K105*$F$71+K106*$F$72</f>
        <v/>
      </c>
      <c r="L108" s="5">
        <f>L99*$F$65+L100*$F$66+L101*$F$67+L102*$F$68+L103*$F$69+L104*$F$70+L105*$F$71+L106*$F$72</f>
        <v/>
      </c>
    </row>
    <row r="109">
      <c r="A109" t="inlineStr">
        <is>
          <t xml:space="preserve">  Part équestre du CA</t>
        </is>
      </c>
      <c r="C109" s="6">
        <f>IF(C107=0,0,C108/C107)</f>
        <v/>
      </c>
      <c r="D109" s="6">
        <f>IF(D107=0,0,D108/D107)</f>
        <v/>
      </c>
      <c r="E109" s="6">
        <f>IF(E107=0,0,E108/E107)</f>
        <v/>
      </c>
      <c r="F109" s="6">
        <f>IF(F107=0,0,F108/F107)</f>
        <v/>
      </c>
      <c r="G109" s="6">
        <f>IF(G107=0,0,G108/G107)</f>
        <v/>
      </c>
      <c r="H109" s="6">
        <f>IF(H107=0,0,H108/H107)</f>
        <v/>
      </c>
      <c r="I109" s="6">
        <f>IF(I107=0,0,I108/I107)</f>
        <v/>
      </c>
      <c r="J109" s="6">
        <f>IF(J107=0,0,J108/J107)</f>
        <v/>
      </c>
      <c r="K109" s="6">
        <f>IF(K107=0,0,K108/K107)</f>
        <v/>
      </c>
      <c r="L109" s="6">
        <f>IF(L107=0,0,L108/L107)</f>
        <v/>
      </c>
    </row>
    <row r="110">
      <c r="A110" t="inlineStr">
        <is>
          <t>Coûts variables</t>
        </is>
      </c>
      <c r="B110" s="5">
        <f>SUM(C110:L110)</f>
        <v/>
      </c>
      <c r="C110" s="5">
        <f>-(C99*$D$65+C100*$D$66+C101*$D$67+C102*$D$68+C103*$D$69+C104*$D$70+C105*$D$71+C106*$D$72)</f>
        <v/>
      </c>
      <c r="D110" s="5">
        <f>-(D99*$D$65+D100*$D$66+D101*$D$67+D102*$D$68+D103*$D$69+D104*$D$70+D105*$D$71+D106*$D$72)</f>
        <v/>
      </c>
      <c r="E110" s="5">
        <f>-(E99*$D$65+E100*$D$66+E101*$D$67+E102*$D$68+E103*$D$69+E104*$D$70+E105*$D$71+E106*$D$72)</f>
        <v/>
      </c>
      <c r="F110" s="5">
        <f>-(F99*$D$65+F100*$D$66+F101*$D$67+F102*$D$68+F103*$D$69+F104*$D$70+F105*$D$71+F106*$D$72)</f>
        <v/>
      </c>
      <c r="G110" s="5">
        <f>-(G99*$D$65+G100*$D$66+G101*$D$67+G102*$D$68+G103*$D$69+G104*$D$70+G105*$D$71+G106*$D$72)</f>
        <v/>
      </c>
      <c r="H110" s="5">
        <f>-(H99*$D$65+H100*$D$66+H101*$D$67+H102*$D$68+H103*$D$69+H104*$D$70+H105*$D$71+H106*$D$72)</f>
        <v/>
      </c>
      <c r="I110" s="5">
        <f>-(I99*$D$65+I100*$D$66+I101*$D$67+I102*$D$68+I103*$D$69+I104*$D$70+I105*$D$71+I106*$D$72)</f>
        <v/>
      </c>
      <c r="J110" s="5">
        <f>-(J99*$D$65+J100*$D$66+J101*$D$67+J102*$D$68+J103*$D$69+J104*$D$70+J105*$D$71+J106*$D$72)</f>
        <v/>
      </c>
      <c r="K110" s="5">
        <f>-(K99*$D$65+K100*$D$66+K101*$D$67+K102*$D$68+K103*$D$69+K104*$D$70+K105*$D$71+K106*$D$72)</f>
        <v/>
      </c>
      <c r="L110" s="5">
        <f>-(L99*$D$65+L100*$D$66+L101*$D$67+L102*$D$68+L103*$D$69+L104*$D$70+L105*$D$71+L106*$D$72)</f>
        <v/>
      </c>
    </row>
    <row r="111">
      <c r="A111" s="4" t="inlineStr">
        <is>
          <t>Marge sur coûts variables</t>
        </is>
      </c>
      <c r="B111" s="18">
        <f>SUM(C111:L111)</f>
        <v/>
      </c>
      <c r="C111" s="18">
        <f>C107+C110</f>
        <v/>
      </c>
      <c r="D111" s="18">
        <f>D107+D110</f>
        <v/>
      </c>
      <c r="E111" s="18">
        <f>E107+E110</f>
        <v/>
      </c>
      <c r="F111" s="18">
        <f>F107+F110</f>
        <v/>
      </c>
      <c r="G111" s="18">
        <f>G107+G110</f>
        <v/>
      </c>
      <c r="H111" s="18">
        <f>H107+H110</f>
        <v/>
      </c>
      <c r="I111" s="18">
        <f>I107+I110</f>
        <v/>
      </c>
      <c r="J111" s="18">
        <f>J107+J110</f>
        <v/>
      </c>
      <c r="K111" s="18">
        <f>K107+K110</f>
        <v/>
      </c>
      <c r="L111" s="18">
        <f>L107+L110</f>
        <v/>
      </c>
    </row>
    <row r="112">
      <c r="A112" t="inlineStr">
        <is>
          <t xml:space="preserve">  Taxe foncière</t>
        </is>
      </c>
      <c r="B112" s="5">
        <f>SUM(C112:L112)</f>
        <v/>
      </c>
      <c r="C112" s="5">
        <f>-$B$76*C95*IF($C$76=1,C96,IF(C92&gt;0,1,0))</f>
        <v/>
      </c>
      <c r="D112" s="5">
        <f>-$B$76*D95*IF($C$76=1,D96,IF(D92&gt;0,1,0))</f>
        <v/>
      </c>
      <c r="E112" s="5">
        <f>-$B$76*E95*IF($C$76=1,E96,IF(E92&gt;0,1,0))</f>
        <v/>
      </c>
      <c r="F112" s="5">
        <f>-$B$76*F95*IF($C$76=1,F96,IF(F92&gt;0,1,0))</f>
        <v/>
      </c>
      <c r="G112" s="5">
        <f>-$B$76*G95*IF($C$76=1,G96,IF(G92&gt;0,1,0))</f>
        <v/>
      </c>
      <c r="H112" s="5">
        <f>-$B$76*H95*IF($C$76=1,H96,IF(H92&gt;0,1,0))</f>
        <v/>
      </c>
      <c r="I112" s="5">
        <f>-$B$76*I95*IF($C$76=1,I96,IF(I92&gt;0,1,0))</f>
        <v/>
      </c>
      <c r="J112" s="5">
        <f>-$B$76*J95*IF($C$76=1,J96,IF(J92&gt;0,1,0))</f>
        <v/>
      </c>
      <c r="K112" s="5">
        <f>-$B$76*K95*IF($C$76=1,K96,IF(K92&gt;0,1,0))</f>
        <v/>
      </c>
      <c r="L112" s="5">
        <f>-$B$76*L95*IF($C$76=1,L96,IF(L92&gt;0,1,0))</f>
        <v/>
      </c>
    </row>
    <row r="113">
      <c r="A113" t="inlineStr">
        <is>
          <t xml:space="preserve">  Assurance multirisque château</t>
        </is>
      </c>
      <c r="B113" s="5">
        <f>SUM(C113:L113)</f>
        <v/>
      </c>
      <c r="C113" s="5">
        <f>-$B$77*C95*IF($C$77=1,C96,IF(C92&gt;0,1,0))</f>
        <v/>
      </c>
      <c r="D113" s="5">
        <f>-$B$77*D95*IF($C$77=1,D96,IF(D92&gt;0,1,0))</f>
        <v/>
      </c>
      <c r="E113" s="5">
        <f>-$B$77*E95*IF($C$77=1,E96,IF(E92&gt;0,1,0))</f>
        <v/>
      </c>
      <c r="F113" s="5">
        <f>-$B$77*F95*IF($C$77=1,F96,IF(F92&gt;0,1,0))</f>
        <v/>
      </c>
      <c r="G113" s="5">
        <f>-$B$77*G95*IF($C$77=1,G96,IF(G92&gt;0,1,0))</f>
        <v/>
      </c>
      <c r="H113" s="5">
        <f>-$B$77*H95*IF($C$77=1,H96,IF(H92&gt;0,1,0))</f>
        <v/>
      </c>
      <c r="I113" s="5">
        <f>-$B$77*I95*IF($C$77=1,I96,IF(I92&gt;0,1,0))</f>
        <v/>
      </c>
      <c r="J113" s="5">
        <f>-$B$77*J95*IF($C$77=1,J96,IF(J92&gt;0,1,0))</f>
        <v/>
      </c>
      <c r="K113" s="5">
        <f>-$B$77*K95*IF($C$77=1,K96,IF(K92&gt;0,1,0))</f>
        <v/>
      </c>
      <c r="L113" s="5">
        <f>-$B$77*L95*IF($C$77=1,L96,IF(L92&gt;0,1,0))</f>
        <v/>
      </c>
    </row>
    <row r="114">
      <c r="A114" t="inlineStr">
        <is>
          <t xml:space="preserve">  Énergie (chauffage partiel, électricité, eau)</t>
        </is>
      </c>
      <c r="B114" s="5">
        <f>SUM(C114:L114)</f>
        <v/>
      </c>
      <c r="C114" s="5">
        <f>-$B$78*C95*IF($C$78=1,C96,IF(C92&gt;0,1,0))</f>
        <v/>
      </c>
      <c r="D114" s="5">
        <f>-$B$78*D95*IF($C$78=1,D96,IF(D92&gt;0,1,0))</f>
        <v/>
      </c>
      <c r="E114" s="5">
        <f>-$B$78*E95*IF($C$78=1,E96,IF(E92&gt;0,1,0))</f>
        <v/>
      </c>
      <c r="F114" s="5">
        <f>-$B$78*F95*IF($C$78=1,F96,IF(F92&gt;0,1,0))</f>
        <v/>
      </c>
      <c r="G114" s="5">
        <f>-$B$78*G95*IF($C$78=1,G96,IF(G92&gt;0,1,0))</f>
        <v/>
      </c>
      <c r="H114" s="5">
        <f>-$B$78*H95*IF($C$78=1,H96,IF(H92&gt;0,1,0))</f>
        <v/>
      </c>
      <c r="I114" s="5">
        <f>-$B$78*I95*IF($C$78=1,I96,IF(I92&gt;0,1,0))</f>
        <v/>
      </c>
      <c r="J114" s="5">
        <f>-$B$78*J95*IF($C$78=1,J96,IF(J92&gt;0,1,0))</f>
        <v/>
      </c>
      <c r="K114" s="5">
        <f>-$B$78*K95*IF($C$78=1,K96,IF(K92&gt;0,1,0))</f>
        <v/>
      </c>
      <c r="L114" s="5">
        <f>-$B$78*L95*IF($C$78=1,L96,IF(L92&gt;0,1,0))</f>
        <v/>
      </c>
    </row>
    <row r="115">
      <c r="A115" t="inlineStr">
        <is>
          <t xml:space="preserve">  Jardinier à mi-temps / prestataire</t>
        </is>
      </c>
      <c r="B115" s="5">
        <f>SUM(C115:L115)</f>
        <v/>
      </c>
      <c r="C115" s="5">
        <f>-$B$79*C95*IF($C$79=1,C96,IF(C92&gt;0,1,0))</f>
        <v/>
      </c>
      <c r="D115" s="5">
        <f>-$B$79*D95*IF($C$79=1,D96,IF(D92&gt;0,1,0))</f>
        <v/>
      </c>
      <c r="E115" s="5">
        <f>-$B$79*E95*IF($C$79=1,E96,IF(E92&gt;0,1,0))</f>
        <v/>
      </c>
      <c r="F115" s="5">
        <f>-$B$79*F95*IF($C$79=1,F96,IF(F92&gt;0,1,0))</f>
        <v/>
      </c>
      <c r="G115" s="5">
        <f>-$B$79*G95*IF($C$79=1,G96,IF(G92&gt;0,1,0))</f>
        <v/>
      </c>
      <c r="H115" s="5">
        <f>-$B$79*H95*IF($C$79=1,H96,IF(H92&gt;0,1,0))</f>
        <v/>
      </c>
      <c r="I115" s="5">
        <f>-$B$79*I95*IF($C$79=1,I96,IF(I92&gt;0,1,0))</f>
        <v/>
      </c>
      <c r="J115" s="5">
        <f>-$B$79*J95*IF($C$79=1,J96,IF(J92&gt;0,1,0))</f>
        <v/>
      </c>
      <c r="K115" s="5">
        <f>-$B$79*K95*IF($C$79=1,K96,IF(K92&gt;0,1,0))</f>
        <v/>
      </c>
      <c r="L115" s="5">
        <f>-$B$79*L95*IF($C$79=1,L96,IF(L92&gt;0,1,0))</f>
        <v/>
      </c>
    </row>
    <row r="116">
      <c r="A116" t="inlineStr">
        <is>
          <t xml:space="preserve">  Divers (abonnements, petit matériel, véhicule, honoraires)</t>
        </is>
      </c>
      <c r="B116" s="5">
        <f>SUM(C116:L116)</f>
        <v/>
      </c>
      <c r="C116" s="5">
        <f>-$B$80*C95*IF($C$80=1,C96,IF(C92&gt;0,1,0))</f>
        <v/>
      </c>
      <c r="D116" s="5">
        <f>-$B$80*D95*IF($C$80=1,D96,IF(D92&gt;0,1,0))</f>
        <v/>
      </c>
      <c r="E116" s="5">
        <f>-$B$80*E95*IF($C$80=1,E96,IF(E92&gt;0,1,0))</f>
        <v/>
      </c>
      <c r="F116" s="5">
        <f>-$B$80*F95*IF($C$80=1,F96,IF(F92&gt;0,1,0))</f>
        <v/>
      </c>
      <c r="G116" s="5">
        <f>-$B$80*G95*IF($C$80=1,G96,IF(G92&gt;0,1,0))</f>
        <v/>
      </c>
      <c r="H116" s="5">
        <f>-$B$80*H95*IF($C$80=1,H96,IF(H92&gt;0,1,0))</f>
        <v/>
      </c>
      <c r="I116" s="5">
        <f>-$B$80*I95*IF($C$80=1,I96,IF(I92&gt;0,1,0))</f>
        <v/>
      </c>
      <c r="J116" s="5">
        <f>-$B$80*J95*IF($C$80=1,J96,IF(J92&gt;0,1,0))</f>
        <v/>
      </c>
      <c r="K116" s="5">
        <f>-$B$80*K95*IF($C$80=1,K96,IF(K92&gt;0,1,0))</f>
        <v/>
      </c>
      <c r="L116" s="5">
        <f>-$B$80*L95*IF($C$80=1,L96,IF(L92&gt;0,1,0))</f>
        <v/>
      </c>
    </row>
    <row r="117">
      <c r="A117" t="inlineStr">
        <is>
          <t xml:space="preserve">  Soigneurs (2 ETP chargés)</t>
        </is>
      </c>
      <c r="B117" s="5">
        <f>SUM(C117:L117)</f>
        <v/>
      </c>
      <c r="C117" s="5">
        <f>-$B$81*C95*IF($C$81=1,C96,IF(C92&gt;0,1,0))</f>
        <v/>
      </c>
      <c r="D117" s="5">
        <f>-$B$81*D95*IF($C$81=1,D96,IF(D92&gt;0,1,0))</f>
        <v/>
      </c>
      <c r="E117" s="5">
        <f>-$B$81*E95*IF($C$81=1,E96,IF(E92&gt;0,1,0))</f>
        <v/>
      </c>
      <c r="F117" s="5">
        <f>-$B$81*F95*IF($C$81=1,F96,IF(F92&gt;0,1,0))</f>
        <v/>
      </c>
      <c r="G117" s="5">
        <f>-$B$81*G95*IF($C$81=1,G96,IF(G92&gt;0,1,0))</f>
        <v/>
      </c>
      <c r="H117" s="5">
        <f>-$B$81*H95*IF($C$81=1,H96,IF(H92&gt;0,1,0))</f>
        <v/>
      </c>
      <c r="I117" s="5">
        <f>-$B$81*I95*IF($C$81=1,I96,IF(I92&gt;0,1,0))</f>
        <v/>
      </c>
      <c r="J117" s="5">
        <f>-$B$81*J95*IF($C$81=1,J96,IF(J92&gt;0,1,0))</f>
        <v/>
      </c>
      <c r="K117" s="5">
        <f>-$B$81*K95*IF($C$81=1,K96,IF(K92&gt;0,1,0))</f>
        <v/>
      </c>
      <c r="L117" s="5">
        <f>-$B$81*L95*IF($C$81=1,L96,IF(L92&gt;0,1,0))</f>
        <v/>
      </c>
    </row>
    <row r="118">
      <c r="A118" t="inlineStr">
        <is>
          <t xml:space="preserve">  Autres charges de structure équestres (entretien installations, matériel, assurance RC, énergie écuries)</t>
        </is>
      </c>
      <c r="B118" s="5">
        <f>SUM(C118:L118)</f>
        <v/>
      </c>
      <c r="C118" s="5">
        <f>-$B$82*C95*IF($C$82=1,C96,IF(C92&gt;0,1,0))</f>
        <v/>
      </c>
      <c r="D118" s="5">
        <f>-$B$82*D95*IF($C$82=1,D96,IF(D92&gt;0,1,0))</f>
        <v/>
      </c>
      <c r="E118" s="5">
        <f>-$B$82*E95*IF($C$82=1,E96,IF(E92&gt;0,1,0))</f>
        <v/>
      </c>
      <c r="F118" s="5">
        <f>-$B$82*F95*IF($C$82=1,F96,IF(F92&gt;0,1,0))</f>
        <v/>
      </c>
      <c r="G118" s="5">
        <f>-$B$82*G95*IF($C$82=1,G96,IF(G92&gt;0,1,0))</f>
        <v/>
      </c>
      <c r="H118" s="5">
        <f>-$B$82*H95*IF($C$82=1,H96,IF(H92&gt;0,1,0))</f>
        <v/>
      </c>
      <c r="I118" s="5">
        <f>-$B$82*I95*IF($C$82=1,I96,IF(I92&gt;0,1,0))</f>
        <v/>
      </c>
      <c r="J118" s="5">
        <f>-$B$82*J95*IF($C$82=1,J96,IF(J92&gt;0,1,0))</f>
        <v/>
      </c>
      <c r="K118" s="5">
        <f>-$B$82*K95*IF($C$82=1,K96,IF(K92&gt;0,1,0))</f>
        <v/>
      </c>
      <c r="L118" s="5">
        <f>-$B$82*L95*IF($C$82=1,L96,IF(L92&gt;0,1,0))</f>
        <v/>
      </c>
    </row>
    <row r="119">
      <c r="A119" t="inlineStr">
        <is>
          <t xml:space="preserve">  Coûts fixes mariages (coordination, nettoyage, publicité)</t>
        </is>
      </c>
      <c r="B119" s="5">
        <f>SUM(C119:L119)</f>
        <v/>
      </c>
      <c r="C119" s="5">
        <f>-$B$83*C95*IF($C$83=1,C96,IF(C92&gt;0,1,0))</f>
        <v/>
      </c>
      <c r="D119" s="5">
        <f>-$B$83*D95*IF($C$83=1,D96,IF(D92&gt;0,1,0))</f>
        <v/>
      </c>
      <c r="E119" s="5">
        <f>-$B$83*E95*IF($C$83=1,E96,IF(E92&gt;0,1,0))</f>
        <v/>
      </c>
      <c r="F119" s="5">
        <f>-$B$83*F95*IF($C$83=1,F96,IF(F92&gt;0,1,0))</f>
        <v/>
      </c>
      <c r="G119" s="5">
        <f>-$B$83*G95*IF($C$83=1,G96,IF(G92&gt;0,1,0))</f>
        <v/>
      </c>
      <c r="H119" s="5">
        <f>-$B$83*H95*IF($C$83=1,H96,IF(H92&gt;0,1,0))</f>
        <v/>
      </c>
      <c r="I119" s="5">
        <f>-$B$83*I95*IF($C$83=1,I96,IF(I92&gt;0,1,0))</f>
        <v/>
      </c>
      <c r="J119" s="5">
        <f>-$B$83*J95*IF($C$83=1,J96,IF(J92&gt;0,1,0))</f>
        <v/>
      </c>
      <c r="K119" s="5">
        <f>-$B$83*K95*IF($C$83=1,K96,IF(K92&gt;0,1,0))</f>
        <v/>
      </c>
      <c r="L119" s="5">
        <f>-$B$83*L95*IF($C$83=1,L96,IF(L92&gt;0,1,0))</f>
        <v/>
      </c>
    </row>
    <row r="120">
      <c r="A120" t="inlineStr">
        <is>
          <t xml:space="preserve">  Coûts fixes du gîte</t>
        </is>
      </c>
      <c r="B120" s="5">
        <f>SUM(C120:L120)</f>
        <v/>
      </c>
      <c r="C120" s="5">
        <f>-$B$84*C95*IF($C$84=1,C96,IF(C92&gt;0,1,0))</f>
        <v/>
      </c>
      <c r="D120" s="5">
        <f>-$B$84*D95*IF($C$84=1,D96,IF(D92&gt;0,1,0))</f>
        <v/>
      </c>
      <c r="E120" s="5">
        <f>-$B$84*E95*IF($C$84=1,E96,IF(E92&gt;0,1,0))</f>
        <v/>
      </c>
      <c r="F120" s="5">
        <f>-$B$84*F95*IF($C$84=1,F96,IF(F92&gt;0,1,0))</f>
        <v/>
      </c>
      <c r="G120" s="5">
        <f>-$B$84*G95*IF($C$84=1,G96,IF(G92&gt;0,1,0))</f>
        <v/>
      </c>
      <c r="H120" s="5">
        <f>-$B$84*H95*IF($C$84=1,H96,IF(H92&gt;0,1,0))</f>
        <v/>
      </c>
      <c r="I120" s="5">
        <f>-$B$84*I95*IF($C$84=1,I96,IF(I92&gt;0,1,0))</f>
        <v/>
      </c>
      <c r="J120" s="5">
        <f>-$B$84*J95*IF($C$84=1,J96,IF(J92&gt;0,1,0))</f>
        <v/>
      </c>
      <c r="K120" s="5">
        <f>-$B$84*K95*IF($C$84=1,K96,IF(K92&gt;0,1,0))</f>
        <v/>
      </c>
      <c r="L120" s="5">
        <f>-$B$84*L95*IF($C$84=1,L96,IF(L92&gt;0,1,0))</f>
        <v/>
      </c>
    </row>
    <row r="121">
      <c r="A121" t="inlineStr">
        <is>
          <t xml:space="preserve">  Commercial, site, salons</t>
        </is>
      </c>
      <c r="B121" s="5">
        <f>SUM(C121:L121)</f>
        <v/>
      </c>
      <c r="C121" s="5">
        <f>-$B$85*C95*IF($C$85=1,C96,IF(C92&gt;0,1,0))</f>
        <v/>
      </c>
      <c r="D121" s="5">
        <f>-$B$85*D95*IF($C$85=1,D96,IF(D92&gt;0,1,0))</f>
        <v/>
      </c>
      <c r="E121" s="5">
        <f>-$B$85*E95*IF($C$85=1,E96,IF(E92&gt;0,1,0))</f>
        <v/>
      </c>
      <c r="F121" s="5">
        <f>-$B$85*F95*IF($C$85=1,F96,IF(F92&gt;0,1,0))</f>
        <v/>
      </c>
      <c r="G121" s="5">
        <f>-$B$85*G95*IF($C$85=1,G96,IF(G92&gt;0,1,0))</f>
        <v/>
      </c>
      <c r="H121" s="5">
        <f>-$B$85*H95*IF($C$85=1,H96,IF(H92&gt;0,1,0))</f>
        <v/>
      </c>
      <c r="I121" s="5">
        <f>-$B$85*I95*IF($C$85=1,I96,IF(I92&gt;0,1,0))</f>
        <v/>
      </c>
      <c r="J121" s="5">
        <f>-$B$85*J95*IF($C$85=1,J96,IF(J92&gt;0,1,0))</f>
        <v/>
      </c>
      <c r="K121" s="5">
        <f>-$B$85*K95*IF($C$85=1,K96,IF(K92&gt;0,1,0))</f>
        <v/>
      </c>
      <c r="L121" s="5">
        <f>-$B$85*L95*IF($C$85=1,L96,IF(L92&gt;0,1,0))</f>
        <v/>
      </c>
    </row>
    <row r="122">
      <c r="A122" t="inlineStr">
        <is>
          <t xml:space="preserve">  Comptabilité, juridique, banque, logiciels</t>
        </is>
      </c>
      <c r="B122" s="5">
        <f>SUM(C122:L122)</f>
        <v/>
      </c>
      <c r="C122" s="5">
        <f>-$B$86*C95*IF($C$86=1,C96,IF(C92&gt;0,1,0))</f>
        <v/>
      </c>
      <c r="D122" s="5">
        <f>-$B$86*D95*IF($C$86=1,D96,IF(D92&gt;0,1,0))</f>
        <v/>
      </c>
      <c r="E122" s="5">
        <f>-$B$86*E95*IF($C$86=1,E96,IF(E92&gt;0,1,0))</f>
        <v/>
      </c>
      <c r="F122" s="5">
        <f>-$B$86*F95*IF($C$86=1,F96,IF(F92&gt;0,1,0))</f>
        <v/>
      </c>
      <c r="G122" s="5">
        <f>-$B$86*G95*IF($C$86=1,G96,IF(G92&gt;0,1,0))</f>
        <v/>
      </c>
      <c r="H122" s="5">
        <f>-$B$86*H95*IF($C$86=1,H96,IF(H92&gt;0,1,0))</f>
        <v/>
      </c>
      <c r="I122" s="5">
        <f>-$B$86*I95*IF($C$86=1,I96,IF(I92&gt;0,1,0))</f>
        <v/>
      </c>
      <c r="J122" s="5">
        <f>-$B$86*J95*IF($C$86=1,J96,IF(J92&gt;0,1,0))</f>
        <v/>
      </c>
      <c r="K122" s="5">
        <f>-$B$86*K95*IF($C$86=1,K96,IF(K92&gt;0,1,0))</f>
        <v/>
      </c>
      <c r="L122" s="5">
        <f>-$B$86*L95*IF($C$86=1,L96,IF(L92&gt;0,1,0))</f>
        <v/>
      </c>
    </row>
    <row r="123">
      <c r="A123" t="inlineStr">
        <is>
          <t xml:space="preserve">  Redevance emphytéotique</t>
        </is>
      </c>
      <c r="B123" s="5">
        <f>SUM(C123:L123)</f>
        <v/>
      </c>
      <c r="C123" s="5">
        <f>-$B$87*C95*IF($C$87=1,C96,IF(C92&gt;0,1,0))</f>
        <v/>
      </c>
      <c r="D123" s="5">
        <f>-$B$87*D95*IF($C$87=1,D96,IF(D92&gt;0,1,0))</f>
        <v/>
      </c>
      <c r="E123" s="5">
        <f>-$B$87*E95*IF($C$87=1,E96,IF(E92&gt;0,1,0))</f>
        <v/>
      </c>
      <c r="F123" s="5">
        <f>-$B$87*F95*IF($C$87=1,F96,IF(F92&gt;0,1,0))</f>
        <v/>
      </c>
      <c r="G123" s="5">
        <f>-$B$87*G95*IF($C$87=1,G96,IF(G92&gt;0,1,0))</f>
        <v/>
      </c>
      <c r="H123" s="5">
        <f>-$B$87*H95*IF($C$87=1,H96,IF(H92&gt;0,1,0))</f>
        <v/>
      </c>
      <c r="I123" s="5">
        <f>-$B$87*I95*IF($C$87=1,I96,IF(I92&gt;0,1,0))</f>
        <v/>
      </c>
      <c r="J123" s="5">
        <f>-$B$87*J95*IF($C$87=1,J96,IF(J92&gt;0,1,0))</f>
        <v/>
      </c>
      <c r="K123" s="5">
        <f>-$B$87*K95*IF($C$87=1,K96,IF(K92&gt;0,1,0))</f>
        <v/>
      </c>
      <c r="L123" s="5">
        <f>-$B$87*L95*IF($C$87=1,L96,IF(L92&gt;0,1,0))</f>
        <v/>
      </c>
    </row>
    <row r="124">
      <c r="A124" s="4" t="inlineStr">
        <is>
          <t>Charges fixes totales</t>
        </is>
      </c>
      <c r="B124" s="18">
        <f>SUM(C124:L124)</f>
        <v/>
      </c>
      <c r="C124" s="18">
        <f>C112+C113+C114+C115+C116+C117+C118+C119+C120+C121+C122+C123</f>
        <v/>
      </c>
      <c r="D124" s="18">
        <f>D112+D113+D114+D115+D116+D117+D118+D119+D120+D121+D122+D123</f>
        <v/>
      </c>
      <c r="E124" s="18">
        <f>E112+E113+E114+E115+E116+E117+E118+E119+E120+E121+E122+E123</f>
        <v/>
      </c>
      <c r="F124" s="18">
        <f>F112+F113+F114+F115+F116+F117+F118+F119+F120+F121+F122+F123</f>
        <v/>
      </c>
      <c r="G124" s="18">
        <f>G112+G113+G114+G115+G116+G117+G118+G119+G120+G121+G122+G123</f>
        <v/>
      </c>
      <c r="H124" s="18">
        <f>H112+H113+H114+H115+H116+H117+H118+H119+H120+H121+H122+H123</f>
        <v/>
      </c>
      <c r="I124" s="18">
        <f>I112+I113+I114+I115+I116+I117+I118+I119+I120+I121+I122+I123</f>
        <v/>
      </c>
      <c r="J124" s="18">
        <f>J112+J113+J114+J115+J116+J117+J118+J119+J120+J121+J122+J123</f>
        <v/>
      </c>
      <c r="K124" s="18">
        <f>K112+K113+K114+K115+K116+K117+K118+K119+K120+K121+K122+K123</f>
        <v/>
      </c>
      <c r="L124" s="18">
        <f>L112+L113+L114+L115+L116+L117+L118+L119+L120+L121+L122+L123</f>
        <v/>
      </c>
    </row>
    <row r="125">
      <c r="A125" t="inlineStr">
        <is>
          <t>Loyer des murs (avant acquisition)</t>
        </is>
      </c>
      <c r="B125" s="5">
        <f>SUM(C125:L125)</f>
        <v/>
      </c>
      <c r="C125" s="5">
        <f>-IF(C96=0,IF(C$90&gt;=$B$6,$B$18*C95,0),0)</f>
        <v/>
      </c>
      <c r="D125" s="5">
        <f>-IF(D96=0,IF(D$90&gt;=$B$6,$B$18*D95,0),0)</f>
        <v/>
      </c>
      <c r="E125" s="5">
        <f>-IF(E96=0,IF(E$90&gt;=$B$6,$B$18*E95,0),0)</f>
        <v/>
      </c>
      <c r="F125" s="5">
        <f>-IF(F96=0,IF(F$90&gt;=$B$6,$B$18*F95,0),0)</f>
        <v/>
      </c>
      <c r="G125" s="5">
        <f>-IF(G96=0,IF(G$90&gt;=$B$6,$B$18*G95,0),0)</f>
        <v/>
      </c>
      <c r="H125" s="5">
        <f>-IF(H96=0,IF(H$90&gt;=$B$6,$B$18*H95,0),0)</f>
        <v/>
      </c>
      <c r="I125" s="5">
        <f>-IF(I96=0,IF(I$90&gt;=$B$6,$B$18*I95,0),0)</f>
        <v/>
      </c>
      <c r="J125" s="5">
        <f>-IF(J96=0,IF(J$90&gt;=$B$6,$B$18*J95,0),0)</f>
        <v/>
      </c>
      <c r="K125" s="5">
        <f>-IF(K96=0,IF(K$90&gt;=$B$6,$B$18*K95,0),0)</f>
        <v/>
      </c>
      <c r="L125" s="5">
        <f>-IF(L96=0,IF(L$90&gt;=$B$6,$B$18*L95,0),0)</f>
        <v/>
      </c>
    </row>
    <row r="126">
      <c r="A126" s="4" t="inlineStr">
        <is>
          <t>EBITDA</t>
        </is>
      </c>
      <c r="B126" s="18">
        <f>SUM(C126:L126)</f>
        <v/>
      </c>
      <c r="C126" s="18">
        <f>C111+C124+C125</f>
        <v/>
      </c>
      <c r="D126" s="18">
        <f>D111+D124+D125</f>
        <v/>
      </c>
      <c r="E126" s="18">
        <f>E111+E124+E125</f>
        <v/>
      </c>
      <c r="F126" s="18">
        <f>F111+F124+F125</f>
        <v/>
      </c>
      <c r="G126" s="18">
        <f>G111+G124+G125</f>
        <v/>
      </c>
      <c r="H126" s="18">
        <f>H111+H124+H125</f>
        <v/>
      </c>
      <c r="I126" s="18">
        <f>I111+I124+I125</f>
        <v/>
      </c>
      <c r="J126" s="18">
        <f>J111+J124+J125</f>
        <v/>
      </c>
      <c r="K126" s="18">
        <f>K111+K124+K125</f>
        <v/>
      </c>
      <c r="L126" s="18">
        <f>L111+L124+L125</f>
        <v/>
      </c>
    </row>
    <row r="127">
      <c r="A127" t="inlineStr">
        <is>
          <t>Loyer de la partie privée (payé par le fondateur, dès qu'il occupe les murs)</t>
        </is>
      </c>
      <c r="B127" s="5">
        <f>SUM(C127:L127)</f>
        <v/>
      </c>
      <c r="C127" s="5">
        <f>C96*$B$20*C95</f>
        <v/>
      </c>
      <c r="D127" s="5">
        <f>D96*$B$20*D95</f>
        <v/>
      </c>
      <c r="E127" s="5">
        <f>E96*$B$20*E95</f>
        <v/>
      </c>
      <c r="F127" s="5">
        <f>F96*$B$20*F95</f>
        <v/>
      </c>
      <c r="G127" s="5">
        <f>G96*$B$20*G95</f>
        <v/>
      </c>
      <c r="H127" s="5">
        <f>H96*$B$20*H95</f>
        <v/>
      </c>
      <c r="I127" s="5">
        <f>I96*$B$20*I95</f>
        <v/>
      </c>
      <c r="J127" s="5">
        <f>J96*$B$20*J95</f>
        <v/>
      </c>
      <c r="K127" s="5">
        <f>K96*$B$20*K95</f>
        <v/>
      </c>
      <c r="L127" s="5">
        <f>L96*$B$20*L95</f>
        <v/>
      </c>
    </row>
    <row r="128">
      <c r="A128" t="inlineStr">
        <is>
          <t xml:space="preserve">  Marge d'EBITDA</t>
        </is>
      </c>
      <c r="C128" s="6">
        <f>IF(C107=0,0,C126/C107)</f>
        <v/>
      </c>
      <c r="D128" s="6">
        <f>IF(D107=0,0,D126/D107)</f>
        <v/>
      </c>
      <c r="E128" s="6">
        <f>IF(E107=0,0,E126/E107)</f>
        <v/>
      </c>
      <c r="F128" s="6">
        <f>IF(F107=0,0,F126/F107)</f>
        <v/>
      </c>
      <c r="G128" s="6">
        <f>IF(G107=0,0,G126/G107)</f>
        <v/>
      </c>
      <c r="H128" s="6">
        <f>IF(H107=0,0,H126/H107)</f>
        <v/>
      </c>
      <c r="I128" s="6">
        <f>IF(I107=0,0,I126/I107)</f>
        <v/>
      </c>
      <c r="J128" s="6">
        <f>IF(J107=0,0,J126/J107)</f>
        <v/>
      </c>
      <c r="K128" s="6">
        <f>IF(K107=0,0,K126/K107)</f>
        <v/>
      </c>
      <c r="L128" s="6">
        <f>IF(L107=0,0,L126/L107)</f>
        <v/>
      </c>
    </row>
    <row r="129">
      <c r="A129" t="inlineStr">
        <is>
          <t>Travaux et équipements initiaux</t>
        </is>
      </c>
      <c r="B129" s="5">
        <f>SUM(C129:L129)</f>
        <v/>
      </c>
      <c r="C129" s="5">
        <f>($B$10+$B$11+$B$12)*$B$46*IF(C$90=$B$5,$B$13,IF(C$90=$B$5+1,$B$14,IF(C$90=$B$5+2,$B$15,0)))*C95</f>
        <v/>
      </c>
      <c r="D129" s="5">
        <f>($B$10+$B$11+$B$12)*$B$46*IF(D$90=$B$5,$B$13,IF(D$90=$B$5+1,$B$14,IF(D$90=$B$5+2,$B$15,0)))*D95</f>
        <v/>
      </c>
      <c r="E129" s="5">
        <f>($B$10+$B$11+$B$12)*$B$46*IF(E$90=$B$5,$B$13,IF(E$90=$B$5+1,$B$14,IF(E$90=$B$5+2,$B$15,0)))*E95</f>
        <v/>
      </c>
      <c r="F129" s="5">
        <f>($B$10+$B$11+$B$12)*$B$46*IF(F$90=$B$5,$B$13,IF(F$90=$B$5+1,$B$14,IF(F$90=$B$5+2,$B$15,0)))*F95</f>
        <v/>
      </c>
      <c r="G129" s="5">
        <f>($B$10+$B$11+$B$12)*$B$46*IF(G$90=$B$5,$B$13,IF(G$90=$B$5+1,$B$14,IF(G$90=$B$5+2,$B$15,0)))*G95</f>
        <v/>
      </c>
      <c r="H129" s="5">
        <f>($B$10+$B$11+$B$12)*$B$46*IF(H$90=$B$5,$B$13,IF(H$90=$B$5+1,$B$14,IF(H$90=$B$5+2,$B$15,0)))*H95</f>
        <v/>
      </c>
      <c r="I129" s="5">
        <f>($B$10+$B$11+$B$12)*$B$46*IF(I$90=$B$5,$B$13,IF(I$90=$B$5+1,$B$14,IF(I$90=$B$5+2,$B$15,0)))*I95</f>
        <v/>
      </c>
      <c r="J129" s="5">
        <f>($B$10+$B$11+$B$12)*$B$46*IF(J$90=$B$5,$B$13,IF(J$90=$B$5+1,$B$14,IF(J$90=$B$5+2,$B$15,0)))*J95</f>
        <v/>
      </c>
      <c r="K129" s="5">
        <f>($B$10+$B$11+$B$12)*$B$46*IF(K$90=$B$5,$B$13,IF(K$90=$B$5+1,$B$14,IF(K$90=$B$5+2,$B$15,0)))*K95</f>
        <v/>
      </c>
      <c r="L129" s="5">
        <f>($B$10+$B$11+$B$12)*$B$46*IF(L$90=$B$5,$B$13,IF(L$90=$B$5+1,$B$14,IF(L$90=$B$5+2,$B$15,0)))*L95</f>
        <v/>
      </c>
    </row>
    <row r="130">
      <c r="A130" t="inlineStr">
        <is>
          <t>Travaux initiaux cumulés</t>
        </is>
      </c>
      <c r="C130" s="5">
        <f>C129</f>
        <v/>
      </c>
      <c r="D130" s="5">
        <f>C130+D129</f>
        <v/>
      </c>
      <c r="E130" s="5">
        <f>D130+E129</f>
        <v/>
      </c>
      <c r="F130" s="5">
        <f>E130+F129</f>
        <v/>
      </c>
      <c r="G130" s="5">
        <f>F130+G129</f>
        <v/>
      </c>
      <c r="H130" s="5">
        <f>G130+H129</f>
        <v/>
      </c>
      <c r="I130" s="5">
        <f>H130+I129</f>
        <v/>
      </c>
      <c r="J130" s="5">
        <f>I130+J129</f>
        <v/>
      </c>
      <c r="K130" s="5">
        <f>J130+K129</f>
        <v/>
      </c>
      <c r="L130" s="5">
        <f>K130+L129</f>
        <v/>
      </c>
    </row>
    <row r="131">
      <c r="A131" t="inlineStr">
        <is>
          <t>Acquisition (prix + frais)</t>
        </is>
      </c>
      <c r="B131" s="5">
        <f>SUM(C131:L131)</f>
        <v/>
      </c>
      <c r="C131" s="5">
        <f>IF(C$90=$B$5,$B$7*(1+$B$8),0)</f>
        <v/>
      </c>
      <c r="D131" s="5">
        <f>IF(D$90=$B$5,$B$7*(1+$B$8),0)</f>
        <v/>
      </c>
      <c r="E131" s="5">
        <f>IF(E$90=$B$5,$B$7*(1+$B$8),0)</f>
        <v/>
      </c>
      <c r="F131" s="5">
        <f>IF(F$90=$B$5,$B$7*(1+$B$8),0)</f>
        <v/>
      </c>
      <c r="G131" s="5">
        <f>IF(G$90=$B$5,$B$7*(1+$B$8),0)</f>
        <v/>
      </c>
      <c r="H131" s="5">
        <f>IF(H$90=$B$5,$B$7*(1+$B$8),0)</f>
        <v/>
      </c>
      <c r="I131" s="5">
        <f>IF(I$90=$B$5,$B$7*(1+$B$8),0)</f>
        <v/>
      </c>
      <c r="J131" s="5">
        <f>IF(J$90=$B$5,$B$7*(1+$B$8),0)</f>
        <v/>
      </c>
      <c r="K131" s="5">
        <f>IF(K$90=$B$5,$B$7*(1+$B$8),0)</f>
        <v/>
      </c>
      <c r="L131" s="5">
        <f>IF(L$90=$B$5,$B$7*(1+$B$8),0)</f>
        <v/>
      </c>
    </row>
    <row r="132">
      <c r="A132" t="inlineStr">
        <is>
          <t>Gros entretien patrimonial récurrent (% de la valeur du bâti + travaux)</t>
        </is>
      </c>
      <c r="B132" s="5">
        <f>SUM(C132:L132)</f>
        <v/>
      </c>
      <c r="C132" s="5">
        <f>IF(C$90&gt;=$B$5+3,$B$16*($B$7*$B$9+($B$10+$B$11+$B$12)*$B$46)*C95,0)</f>
        <v/>
      </c>
      <c r="D132" s="5">
        <f>IF(D$90&gt;=$B$5+3,$B$16*($B$7*$B$9+($B$10+$B$11+$B$12)*$B$46)*D95,0)</f>
        <v/>
      </c>
      <c r="E132" s="5">
        <f>IF(E$90&gt;=$B$5+3,$B$16*($B$7*$B$9+($B$10+$B$11+$B$12)*$B$46)*E95,0)</f>
        <v/>
      </c>
      <c r="F132" s="5">
        <f>IF(F$90&gt;=$B$5+3,$B$16*($B$7*$B$9+($B$10+$B$11+$B$12)*$B$46)*F95,0)</f>
        <v/>
      </c>
      <c r="G132" s="5">
        <f>IF(G$90&gt;=$B$5+3,$B$16*($B$7*$B$9+($B$10+$B$11+$B$12)*$B$46)*G95,0)</f>
        <v/>
      </c>
      <c r="H132" s="5">
        <f>IF(H$90&gt;=$B$5+3,$B$16*($B$7*$B$9+($B$10+$B$11+$B$12)*$B$46)*H95,0)</f>
        <v/>
      </c>
      <c r="I132" s="5">
        <f>IF(I$90&gt;=$B$5+3,$B$16*($B$7*$B$9+($B$10+$B$11+$B$12)*$B$46)*I95,0)</f>
        <v/>
      </c>
      <c r="J132" s="5">
        <f>IF(J$90&gt;=$B$5+3,$B$16*($B$7*$B$9+($B$10+$B$11+$B$12)*$B$46)*J95,0)</f>
        <v/>
      </c>
      <c r="K132" s="5">
        <f>IF(K$90&gt;=$B$5+3,$B$16*($B$7*$B$9+($B$10+$B$11+$B$12)*$B$46)*K95,0)</f>
        <v/>
      </c>
      <c r="L132" s="5">
        <f>IF(L$90&gt;=$B$5+3,$B$16*($B$7*$B$9+($B$10+$B$11+$B$12)*$B$46)*L95,0)</f>
        <v/>
      </c>
    </row>
    <row r="133">
      <c r="A133" t="inlineStr">
        <is>
          <t>Investissements amortissables cumulés</t>
        </is>
      </c>
      <c r="C133" s="5">
        <f>C129+C132</f>
        <v/>
      </c>
      <c r="D133" s="5">
        <f>C133+D129+D132</f>
        <v/>
      </c>
      <c r="E133" s="5">
        <f>D133+E129+E132</f>
        <v/>
      </c>
      <c r="F133" s="5">
        <f>E133+F129+F132</f>
        <v/>
      </c>
      <c r="G133" s="5">
        <f>F133+G129+G132</f>
        <v/>
      </c>
      <c r="H133" s="5">
        <f>G133+H129+H132</f>
        <v/>
      </c>
      <c r="I133" s="5">
        <f>H133+I129+I132</f>
        <v/>
      </c>
      <c r="J133" s="5">
        <f>I133+J129+J132</f>
        <v/>
      </c>
      <c r="K133" s="5">
        <f>J133+K129+K132</f>
        <v/>
      </c>
      <c r="L133" s="5">
        <f>K133+L129+L132</f>
        <v/>
      </c>
    </row>
    <row r="134">
      <c r="A134" t="inlineStr">
        <is>
          <t>Dotations aux amortissements (bâti 30 ans, travaux 15 ans)</t>
        </is>
      </c>
      <c r="B134" s="5">
        <f>SUM(C134:L134)</f>
        <v/>
      </c>
      <c r="C134" s="5">
        <f>-(C96*$B$7*(1+$B$8)*$B$9/30+C133/15)</f>
        <v/>
      </c>
      <c r="D134" s="5">
        <f>-(D96*$B$7*(1+$B$8)*$B$9/30+D133/15)</f>
        <v/>
      </c>
      <c r="E134" s="5">
        <f>-(E96*$B$7*(1+$B$8)*$B$9/30+E133/15)</f>
        <v/>
      </c>
      <c r="F134" s="5">
        <f>-(F96*$B$7*(1+$B$8)*$B$9/30+F133/15)</f>
        <v/>
      </c>
      <c r="G134" s="5">
        <f>-(G96*$B$7*(1+$B$8)*$B$9/30+G133/15)</f>
        <v/>
      </c>
      <c r="H134" s="5">
        <f>-(H96*$B$7*(1+$B$8)*$B$9/30+H133/15)</f>
        <v/>
      </c>
      <c r="I134" s="5">
        <f>-(I96*$B$7*(1+$B$8)*$B$9/30+I133/15)</f>
        <v/>
      </c>
      <c r="J134" s="5">
        <f>-(J96*$B$7*(1+$B$8)*$B$9/30+J133/15)</f>
        <v/>
      </c>
      <c r="K134" s="5">
        <f>-(K96*$B$7*(1+$B$8)*$B$9/30+K133/15)</f>
        <v/>
      </c>
      <c r="L134" s="5">
        <f>-(L96*$B$7*(1+$B$8)*$B$9/30+L133/15)</f>
        <v/>
      </c>
    </row>
    <row r="135">
      <c r="A135" s="4" t="inlineStr">
        <is>
          <t>Résultat d'exploitation</t>
        </is>
      </c>
      <c r="B135" s="18">
        <f>SUM(C135:L135)</f>
        <v/>
      </c>
      <c r="C135" s="18">
        <f>C126+C134</f>
        <v/>
      </c>
      <c r="D135" s="18">
        <f>D126+D134</f>
        <v/>
      </c>
      <c r="E135" s="18">
        <f>E126+E134</f>
        <v/>
      </c>
      <c r="F135" s="18">
        <f>F126+F134</f>
        <v/>
      </c>
      <c r="G135" s="18">
        <f>G126+G134</f>
        <v/>
      </c>
      <c r="H135" s="18">
        <f>H126+H134</f>
        <v/>
      </c>
      <c r="I135" s="18">
        <f>I126+I134</f>
        <v/>
      </c>
      <c r="J135" s="18">
        <f>J126+J134</f>
        <v/>
      </c>
      <c r="K135" s="18">
        <f>K126+K134</f>
        <v/>
      </c>
      <c r="L135" s="18">
        <f>L126+L134</f>
        <v/>
      </c>
    </row>
    <row r="137">
      <c r="A137" s="4" t="inlineStr">
        <is>
          <t>Échéancier des emprunts</t>
        </is>
      </c>
    </row>
    <row r="138">
      <c r="A138" t="inlineStr">
        <is>
          <t>Taux bancaire effectif</t>
        </is>
      </c>
      <c r="C138" s="6">
        <f>$B$28+$B$48</f>
        <v/>
      </c>
      <c r="D138" s="6">
        <f>$B$28+$B$48</f>
        <v/>
      </c>
      <c r="E138" s="6">
        <f>$B$28+$B$48</f>
        <v/>
      </c>
      <c r="F138" s="6">
        <f>$B$28+$B$48</f>
        <v/>
      </c>
      <c r="G138" s="6">
        <f>$B$28+$B$48</f>
        <v/>
      </c>
      <c r="H138" s="6">
        <f>$B$28+$B$48</f>
        <v/>
      </c>
      <c r="I138" s="6">
        <f>$B$28+$B$48</f>
        <v/>
      </c>
      <c r="J138" s="6">
        <f>$B$28+$B$48</f>
        <v/>
      </c>
      <c r="K138" s="6">
        <f>$B$28+$B$48</f>
        <v/>
      </c>
      <c r="L138" s="6">
        <f>$B$28+$B$48</f>
        <v/>
      </c>
    </row>
    <row r="139">
      <c r="A139" t="inlineStr">
        <is>
          <t>Rang de l'année d'emprunt</t>
        </is>
      </c>
      <c r="C139" s="8">
        <f>MAX(0,C$90-$B$5+1)</f>
        <v/>
      </c>
      <c r="D139" s="8">
        <f>MAX(0,D$90-$B$5+1)</f>
        <v/>
      </c>
      <c r="E139" s="8">
        <f>MAX(0,E$90-$B$5+1)</f>
        <v/>
      </c>
      <c r="F139" s="8">
        <f>MAX(0,F$90-$B$5+1)</f>
        <v/>
      </c>
      <c r="G139" s="8">
        <f>MAX(0,G$90-$B$5+1)</f>
        <v/>
      </c>
      <c r="H139" s="8">
        <f>MAX(0,H$90-$B$5+1)</f>
        <v/>
      </c>
      <c r="I139" s="8">
        <f>MAX(0,I$90-$B$5+1)</f>
        <v/>
      </c>
      <c r="J139" s="8">
        <f>MAX(0,J$90-$B$5+1)</f>
        <v/>
      </c>
      <c r="K139" s="8">
        <f>MAX(0,K$90-$B$5+1)</f>
        <v/>
      </c>
      <c r="L139" s="8">
        <f>MAX(0,L$90-$B$5+1)</f>
        <v/>
      </c>
    </row>
    <row r="140">
      <c r="A140" t="inlineStr">
        <is>
          <t>Dette bancaire — capital début</t>
        </is>
      </c>
      <c r="C140" s="5">
        <f>IF(C139=1,$B$27,0)</f>
        <v/>
      </c>
      <c r="D140" s="5">
        <f>IF(D139=1,$B$27,C143)</f>
        <v/>
      </c>
      <c r="E140" s="5">
        <f>IF(E139=1,$B$27,D143)</f>
        <v/>
      </c>
      <c r="F140" s="5">
        <f>IF(F139=1,$B$27,E143)</f>
        <v/>
      </c>
      <c r="G140" s="5">
        <f>IF(G139=1,$B$27,F143)</f>
        <v/>
      </c>
      <c r="H140" s="5">
        <f>IF(H139=1,$B$27,G143)</f>
        <v/>
      </c>
      <c r="I140" s="5">
        <f>IF(I139=1,$B$27,H143)</f>
        <v/>
      </c>
      <c r="J140" s="5">
        <f>IF(J139=1,$B$27,I143)</f>
        <v/>
      </c>
      <c r="K140" s="5">
        <f>IF(K139=1,$B$27,J143)</f>
        <v/>
      </c>
      <c r="L140" s="5">
        <f>IF(L139=1,$B$27,K143)</f>
        <v/>
      </c>
    </row>
    <row r="141">
      <c r="A141" t="inlineStr">
        <is>
          <t xml:space="preserve">  Intérêts</t>
        </is>
      </c>
      <c r="B141" s="5">
        <f>SUM(C141:L141)</f>
        <v/>
      </c>
      <c r="C141" s="5">
        <f>C140*C138</f>
        <v/>
      </c>
      <c r="D141" s="5">
        <f>D140*D138</f>
        <v/>
      </c>
      <c r="E141" s="5">
        <f>E140*E138</f>
        <v/>
      </c>
      <c r="F141" s="5">
        <f>F140*F138</f>
        <v/>
      </c>
      <c r="G141" s="5">
        <f>G140*G138</f>
        <v/>
      </c>
      <c r="H141" s="5">
        <f>H140*H138</f>
        <v/>
      </c>
      <c r="I141" s="5">
        <f>I140*I138</f>
        <v/>
      </c>
      <c r="J141" s="5">
        <f>J140*J138</f>
        <v/>
      </c>
      <c r="K141" s="5">
        <f>K140*K138</f>
        <v/>
      </c>
      <c r="L141" s="5">
        <f>L140*L138</f>
        <v/>
      </c>
    </row>
    <row r="142">
      <c r="A142" t="inlineStr">
        <is>
          <t xml:space="preserve">  Amortissement du capital</t>
        </is>
      </c>
      <c r="B142" s="5">
        <f>SUM(C142:L142)</f>
        <v/>
      </c>
      <c r="C142" s="5">
        <f>IF(OR(C139=0,C139&lt;=$B$30,C140&lt;=0),0,MIN(C140,PMT(C138,$B$29-$B$30,-$B$27)-C141))</f>
        <v/>
      </c>
      <c r="D142" s="5">
        <f>IF(OR(D139=0,D139&lt;=$B$30,D140&lt;=0),0,MIN(D140,PMT(D138,$B$29-$B$30,-$B$27)-D141))</f>
        <v/>
      </c>
      <c r="E142" s="5">
        <f>IF(OR(E139=0,E139&lt;=$B$30,E140&lt;=0),0,MIN(E140,PMT(E138,$B$29-$B$30,-$B$27)-E141))</f>
        <v/>
      </c>
      <c r="F142" s="5">
        <f>IF(OR(F139=0,F139&lt;=$B$30,F140&lt;=0),0,MIN(F140,PMT(F138,$B$29-$B$30,-$B$27)-F141))</f>
        <v/>
      </c>
      <c r="G142" s="5">
        <f>IF(OR(G139=0,G139&lt;=$B$30,G140&lt;=0),0,MIN(G140,PMT(G138,$B$29-$B$30,-$B$27)-G141))</f>
        <v/>
      </c>
      <c r="H142" s="5">
        <f>IF(OR(H139=0,H139&lt;=$B$30,H140&lt;=0),0,MIN(H140,PMT(H138,$B$29-$B$30,-$B$27)-H141))</f>
        <v/>
      </c>
      <c r="I142" s="5">
        <f>IF(OR(I139=0,I139&lt;=$B$30,I140&lt;=0),0,MIN(I140,PMT(I138,$B$29-$B$30,-$B$27)-I141))</f>
        <v/>
      </c>
      <c r="J142" s="5">
        <f>IF(OR(J139=0,J139&lt;=$B$30,J140&lt;=0),0,MIN(J140,PMT(J138,$B$29-$B$30,-$B$27)-J141))</f>
        <v/>
      </c>
      <c r="K142" s="5">
        <f>IF(OR(K139=0,K139&lt;=$B$30,K140&lt;=0),0,MIN(K140,PMT(K138,$B$29-$B$30,-$B$27)-K141))</f>
        <v/>
      </c>
      <c r="L142" s="5">
        <f>IF(OR(L139=0,L139&lt;=$B$30,L140&lt;=0),0,MIN(L140,PMT(L138,$B$29-$B$30,-$B$27)-L141))</f>
        <v/>
      </c>
    </row>
    <row r="143">
      <c r="A143" t="inlineStr">
        <is>
          <t>Dette bancaire — capital fin</t>
        </is>
      </c>
      <c r="C143" s="5">
        <f>C140-C142</f>
        <v/>
      </c>
      <c r="D143" s="5">
        <f>D140-D142</f>
        <v/>
      </c>
      <c r="E143" s="5">
        <f>E140-E142</f>
        <v/>
      </c>
      <c r="F143" s="5">
        <f>F140-F142</f>
        <v/>
      </c>
      <c r="G143" s="5">
        <f>G140-G142</f>
        <v/>
      </c>
      <c r="H143" s="5">
        <f>H140-H142</f>
        <v/>
      </c>
      <c r="I143" s="5">
        <f>I140-I142</f>
        <v/>
      </c>
      <c r="J143" s="5">
        <f>J140-J142</f>
        <v/>
      </c>
      <c r="K143" s="5">
        <f>K140-K142</f>
        <v/>
      </c>
      <c r="L143" s="5">
        <f>L140-L142</f>
        <v/>
      </c>
    </row>
    <row r="144">
      <c r="A144" t="inlineStr">
        <is>
          <t>Crédit-vendeur — capital début</t>
        </is>
      </c>
      <c r="C144" s="5">
        <f>IF(C139=1,$B$31,0)</f>
        <v/>
      </c>
      <c r="D144" s="5">
        <f>IF(D139=1,$B$31,C147)</f>
        <v/>
      </c>
      <c r="E144" s="5">
        <f>IF(E139=1,$B$31,D147)</f>
        <v/>
      </c>
      <c r="F144" s="5">
        <f>IF(F139=1,$B$31,E147)</f>
        <v/>
      </c>
      <c r="G144" s="5">
        <f>IF(G139=1,$B$31,F147)</f>
        <v/>
      </c>
      <c r="H144" s="5">
        <f>IF(H139=1,$B$31,G147)</f>
        <v/>
      </c>
      <c r="I144" s="5">
        <f>IF(I139=1,$B$31,H147)</f>
        <v/>
      </c>
      <c r="J144" s="5">
        <f>IF(J139=1,$B$31,I147)</f>
        <v/>
      </c>
      <c r="K144" s="5">
        <f>IF(K139=1,$B$31,J147)</f>
        <v/>
      </c>
      <c r="L144" s="5">
        <f>IF(L139=1,$B$31,K147)</f>
        <v/>
      </c>
    </row>
    <row r="145">
      <c r="A145" t="inlineStr">
        <is>
          <t xml:space="preserve">  Intérêts crédit-vendeur</t>
        </is>
      </c>
      <c r="B145" s="5">
        <f>SUM(C145:L145)</f>
        <v/>
      </c>
      <c r="C145" s="5">
        <f>C144*$B$32</f>
        <v/>
      </c>
      <c r="D145" s="5">
        <f>D144*$B$32</f>
        <v/>
      </c>
      <c r="E145" s="5">
        <f>E144*$B$32</f>
        <v/>
      </c>
      <c r="F145" s="5">
        <f>F144*$B$32</f>
        <v/>
      </c>
      <c r="G145" s="5">
        <f>G144*$B$32</f>
        <v/>
      </c>
      <c r="H145" s="5">
        <f>H144*$B$32</f>
        <v/>
      </c>
      <c r="I145" s="5">
        <f>I144*$B$32</f>
        <v/>
      </c>
      <c r="J145" s="5">
        <f>J144*$B$32</f>
        <v/>
      </c>
      <c r="K145" s="5">
        <f>K144*$B$32</f>
        <v/>
      </c>
      <c r="L145" s="5">
        <f>L144*$B$32</f>
        <v/>
      </c>
    </row>
    <row r="146">
      <c r="A146" t="inlineStr">
        <is>
          <t xml:space="preserve">  Amortissement crédit-vendeur</t>
        </is>
      </c>
      <c r="B146" s="5">
        <f>SUM(C146:L146)</f>
        <v/>
      </c>
      <c r="C146" s="5">
        <f>IF(OR(C139=0,C144&lt;=0),0,MIN(C144,IF($B$32=0,$B$31/$B$33,PMT($B$32,$B$33,-$B$31)-C145)))</f>
        <v/>
      </c>
      <c r="D146" s="5">
        <f>IF(OR(D139=0,D144&lt;=0),0,MIN(D144,IF($B$32=0,$B$31/$B$33,PMT($B$32,$B$33,-$B$31)-D145)))</f>
        <v/>
      </c>
      <c r="E146" s="5">
        <f>IF(OR(E139=0,E144&lt;=0),0,MIN(E144,IF($B$32=0,$B$31/$B$33,PMT($B$32,$B$33,-$B$31)-E145)))</f>
        <v/>
      </c>
      <c r="F146" s="5">
        <f>IF(OR(F139=0,F144&lt;=0),0,MIN(F144,IF($B$32=0,$B$31/$B$33,PMT($B$32,$B$33,-$B$31)-F145)))</f>
        <v/>
      </c>
      <c r="G146" s="5">
        <f>IF(OR(G139=0,G144&lt;=0),0,MIN(G144,IF($B$32=0,$B$31/$B$33,PMT($B$32,$B$33,-$B$31)-G145)))</f>
        <v/>
      </c>
      <c r="H146" s="5">
        <f>IF(OR(H139=0,H144&lt;=0),0,MIN(H144,IF($B$32=0,$B$31/$B$33,PMT($B$32,$B$33,-$B$31)-H145)))</f>
        <v/>
      </c>
      <c r="I146" s="5">
        <f>IF(OR(I139=0,I144&lt;=0),0,MIN(I144,IF($B$32=0,$B$31/$B$33,PMT($B$32,$B$33,-$B$31)-I145)))</f>
        <v/>
      </c>
      <c r="J146" s="5">
        <f>IF(OR(J139=0,J144&lt;=0),0,MIN(J144,IF($B$32=0,$B$31/$B$33,PMT($B$32,$B$33,-$B$31)-J145)))</f>
        <v/>
      </c>
      <c r="K146" s="5">
        <f>IF(OR(K139=0,K144&lt;=0),0,MIN(K144,IF($B$32=0,$B$31/$B$33,PMT($B$32,$B$33,-$B$31)-K145)))</f>
        <v/>
      </c>
      <c r="L146" s="5">
        <f>IF(OR(L139=0,L144&lt;=0),0,MIN(L144,IF($B$32=0,$B$31/$B$33,PMT($B$32,$B$33,-$B$31)-L145)))</f>
        <v/>
      </c>
    </row>
    <row r="147">
      <c r="A147" t="inlineStr">
        <is>
          <t>Crédit-vendeur — capital fin</t>
        </is>
      </c>
      <c r="C147" s="5">
        <f>C144-C146</f>
        <v/>
      </c>
      <c r="D147" s="5">
        <f>D144-D146</f>
        <v/>
      </c>
      <c r="E147" s="5">
        <f>E144-E146</f>
        <v/>
      </c>
      <c r="F147" s="5">
        <f>F144-F146</f>
        <v/>
      </c>
      <c r="G147" s="5">
        <f>G144-G146</f>
        <v/>
      </c>
      <c r="H147" s="5">
        <f>H144-H146</f>
        <v/>
      </c>
      <c r="I147" s="5">
        <f>I144-I146</f>
        <v/>
      </c>
      <c r="J147" s="5">
        <f>J144-J146</f>
        <v/>
      </c>
      <c r="K147" s="5">
        <f>K144-K146</f>
        <v/>
      </c>
      <c r="L147" s="5">
        <f>L144-L146</f>
        <v/>
      </c>
    </row>
    <row r="148">
      <c r="A148" t="inlineStr">
        <is>
          <t>Obligations — encours</t>
        </is>
      </c>
      <c r="C148" s="5">
        <f>IF(AND(C$90&gt;=$B$5,C$90&lt;=$B$36),$B$34,0)</f>
        <v/>
      </c>
      <c r="D148" s="5">
        <f>IF(AND(D$90&gt;=$B$5,D$90&lt;=$B$36),$B$34,0)</f>
        <v/>
      </c>
      <c r="E148" s="5">
        <f>IF(AND(E$90&gt;=$B$5,E$90&lt;=$B$36),$B$34,0)</f>
        <v/>
      </c>
      <c r="F148" s="5">
        <f>IF(AND(F$90&gt;=$B$5,F$90&lt;=$B$36),$B$34,0)</f>
        <v/>
      </c>
      <c r="G148" s="5">
        <f>IF(AND(G$90&gt;=$B$5,G$90&lt;=$B$36),$B$34,0)</f>
        <v/>
      </c>
      <c r="H148" s="5">
        <f>IF(AND(H$90&gt;=$B$5,H$90&lt;=$B$36),$B$34,0)</f>
        <v/>
      </c>
      <c r="I148" s="5">
        <f>IF(AND(I$90&gt;=$B$5,I$90&lt;=$B$36),$B$34,0)</f>
        <v/>
      </c>
      <c r="J148" s="5">
        <f>IF(AND(J$90&gt;=$B$5,J$90&lt;=$B$36),$B$34,0)</f>
        <v/>
      </c>
      <c r="K148" s="5">
        <f>IF(AND(K$90&gt;=$B$5,K$90&lt;=$B$36),$B$34,0)</f>
        <v/>
      </c>
      <c r="L148" s="5">
        <f>IF(AND(L$90&gt;=$B$5,L$90&lt;=$B$36),$B$34,0)</f>
        <v/>
      </c>
    </row>
    <row r="149">
      <c r="A149" t="inlineStr">
        <is>
          <t xml:space="preserve">  Coupons obligataires</t>
        </is>
      </c>
      <c r="B149" s="5">
        <f>SUM(C149:L149)</f>
        <v/>
      </c>
      <c r="C149" s="5">
        <f>C148*$B$35</f>
        <v/>
      </c>
      <c r="D149" s="5">
        <f>D148*$B$35</f>
        <v/>
      </c>
      <c r="E149" s="5">
        <f>E148*$B$35</f>
        <v/>
      </c>
      <c r="F149" s="5">
        <f>F148*$B$35</f>
        <v/>
      </c>
      <c r="G149" s="5">
        <f>G148*$B$35</f>
        <v/>
      </c>
      <c r="H149" s="5">
        <f>H148*$B$35</f>
        <v/>
      </c>
      <c r="I149" s="5">
        <f>I148*$B$35</f>
        <v/>
      </c>
      <c r="J149" s="5">
        <f>J148*$B$35</f>
        <v/>
      </c>
      <c r="K149" s="5">
        <f>K148*$B$35</f>
        <v/>
      </c>
      <c r="L149" s="5">
        <f>L148*$B$35</f>
        <v/>
      </c>
    </row>
    <row r="150">
      <c r="A150" t="inlineStr">
        <is>
          <t xml:space="preserve">  Remboursement obligations</t>
        </is>
      </c>
      <c r="B150" s="5">
        <f>SUM(C150:L150)</f>
        <v/>
      </c>
      <c r="C150" s="5">
        <f>IF(C$90=$B$36,$B$34,0)</f>
        <v/>
      </c>
      <c r="D150" s="5">
        <f>IF(D$90=$B$36,$B$34,0)</f>
        <v/>
      </c>
      <c r="E150" s="5">
        <f>IF(E$90=$B$36,$B$34,0)</f>
        <v/>
      </c>
      <c r="F150" s="5">
        <f>IF(F$90=$B$36,$B$34,0)</f>
        <v/>
      </c>
      <c r="G150" s="5">
        <f>IF(G$90=$B$36,$B$34,0)</f>
        <v/>
      </c>
      <c r="H150" s="5">
        <f>IF(H$90=$B$36,$B$34,0)</f>
        <v/>
      </c>
      <c r="I150" s="5">
        <f>IF(I$90=$B$36,$B$34,0)</f>
        <v/>
      </c>
      <c r="J150" s="5">
        <f>IF(J$90=$B$36,$B$34,0)</f>
        <v/>
      </c>
      <c r="K150" s="5">
        <f>IF(K$90=$B$36,$B$34,0)</f>
        <v/>
      </c>
      <c r="L150" s="5">
        <f>IF(L$90=$B$36,$B$34,0)</f>
        <v/>
      </c>
    </row>
    <row r="152">
      <c r="A152" t="inlineStr">
        <is>
          <t>Charges financières</t>
        </is>
      </c>
      <c r="B152" s="5">
        <f>SUM(C152:L152)</f>
        <v/>
      </c>
      <c r="C152" s="5">
        <f>-(C141+C145+C149)</f>
        <v/>
      </c>
      <c r="D152" s="5">
        <f>-(D141+D145+D149)</f>
        <v/>
      </c>
      <c r="E152" s="5">
        <f>-(E141+E145+E149)</f>
        <v/>
      </c>
      <c r="F152" s="5">
        <f>-(F141+F145+F149)</f>
        <v/>
      </c>
      <c r="G152" s="5">
        <f>-(G141+G145+G149)</f>
        <v/>
      </c>
      <c r="H152" s="5">
        <f>-(H141+H145+H149)</f>
        <v/>
      </c>
      <c r="I152" s="5">
        <f>-(I141+I145+I149)</f>
        <v/>
      </c>
      <c r="J152" s="5">
        <f>-(J141+J145+J149)</f>
        <v/>
      </c>
      <c r="K152" s="5">
        <f>-(K141+K145+K149)</f>
        <v/>
      </c>
      <c r="L152" s="5">
        <f>-(L141+L145+L149)</f>
        <v/>
      </c>
    </row>
    <row r="153">
      <c r="A153" s="4" t="inlineStr">
        <is>
          <t>Résultat avant impôt</t>
        </is>
      </c>
      <c r="B153" s="18">
        <f>SUM(C153:L153)</f>
        <v/>
      </c>
      <c r="C153" s="18">
        <f>C135+C152+C127</f>
        <v/>
      </c>
      <c r="D153" s="18">
        <f>D135+D152+D127</f>
        <v/>
      </c>
      <c r="E153" s="18">
        <f>E135+E152+E127</f>
        <v/>
      </c>
      <c r="F153" s="18">
        <f>F135+F152+F127</f>
        <v/>
      </c>
      <c r="G153" s="18">
        <f>G135+G152+G127</f>
        <v/>
      </c>
      <c r="H153" s="18">
        <f>H135+H152+H127</f>
        <v/>
      </c>
      <c r="I153" s="18">
        <f>I135+I152+I127</f>
        <v/>
      </c>
      <c r="J153" s="18">
        <f>J135+J152+J127</f>
        <v/>
      </c>
      <c r="K153" s="18">
        <f>K135+K152+K127</f>
        <v/>
      </c>
      <c r="L153" s="18">
        <f>L135+L152+L127</f>
        <v/>
      </c>
    </row>
    <row r="154">
      <c r="A154" t="inlineStr">
        <is>
          <t>Stock de déficits reportables (fin d'année)</t>
        </is>
      </c>
      <c r="C154" s="5">
        <f>MAX(0,-C153)</f>
        <v/>
      </c>
      <c r="D154" s="5">
        <f>MAX(0,C154-D153)</f>
        <v/>
      </c>
      <c r="E154" s="5">
        <f>MAX(0,D154-E153)</f>
        <v/>
      </c>
      <c r="F154" s="5">
        <f>MAX(0,E154-F153)</f>
        <v/>
      </c>
      <c r="G154" s="5">
        <f>MAX(0,F154-G153)</f>
        <v/>
      </c>
      <c r="H154" s="5">
        <f>MAX(0,G154-H153)</f>
        <v/>
      </c>
      <c r="I154" s="5">
        <f>MAX(0,H154-I153)</f>
        <v/>
      </c>
      <c r="J154" s="5">
        <f>MAX(0,I154-J153)</f>
        <v/>
      </c>
      <c r="K154" s="5">
        <f>MAX(0,J154-K153)</f>
        <v/>
      </c>
      <c r="L154" s="5">
        <f>MAX(0,K154-L153)</f>
        <v/>
      </c>
    </row>
    <row r="155">
      <c r="A155" t="inlineStr">
        <is>
          <t>Impôt sur les sociétés</t>
        </is>
      </c>
      <c r="B155" s="5">
        <f>SUM(C155:L155)</f>
        <v/>
      </c>
      <c r="C155" s="5">
        <f>-(MIN(MAX(0,C153),$B$61)*$B$60+MAX(0,MAX(0,C153)-$B$61)*$B$59)</f>
        <v/>
      </c>
      <c r="D155" s="5">
        <f>-(MIN(MAX(0,D153-C154),$B$61)*$B$60+MAX(0,MAX(0,D153-C154)-$B$61)*$B$59)</f>
        <v/>
      </c>
      <c r="E155" s="5">
        <f>-(MIN(MAX(0,E153-D154),$B$61)*$B$60+MAX(0,MAX(0,E153-D154)-$B$61)*$B$59)</f>
        <v/>
      </c>
      <c r="F155" s="5">
        <f>-(MIN(MAX(0,F153-E154),$B$61)*$B$60+MAX(0,MAX(0,F153-E154)-$B$61)*$B$59)</f>
        <v/>
      </c>
      <c r="G155" s="5">
        <f>-(MIN(MAX(0,G153-F154),$B$61)*$B$60+MAX(0,MAX(0,G153-F154)-$B$61)*$B$59)</f>
        <v/>
      </c>
      <c r="H155" s="5">
        <f>-(MIN(MAX(0,H153-G154),$B$61)*$B$60+MAX(0,MAX(0,H153-G154)-$B$61)*$B$59)</f>
        <v/>
      </c>
      <c r="I155" s="5">
        <f>-(MIN(MAX(0,I153-H154),$B$61)*$B$60+MAX(0,MAX(0,I153-H154)-$B$61)*$B$59)</f>
        <v/>
      </c>
      <c r="J155" s="5">
        <f>-(MIN(MAX(0,J153-I154),$B$61)*$B$60+MAX(0,MAX(0,J153-I154)-$B$61)*$B$59)</f>
        <v/>
      </c>
      <c r="K155" s="5">
        <f>-(MIN(MAX(0,K153-J154),$B$61)*$B$60+MAX(0,MAX(0,K153-J154)-$B$61)*$B$59)</f>
        <v/>
      </c>
      <c r="L155" s="5">
        <f>-(MIN(MAX(0,L153-K154),$B$61)*$B$60+MAX(0,MAX(0,L153-K154)-$B$61)*$B$59)</f>
        <v/>
      </c>
    </row>
    <row r="156">
      <c r="A156" s="4" t="inlineStr">
        <is>
          <t>Résultat net</t>
        </is>
      </c>
      <c r="B156" s="18">
        <f>SUM(C156:L156)</f>
        <v/>
      </c>
      <c r="C156" s="18">
        <f>C153+C155</f>
        <v/>
      </c>
      <c r="D156" s="18">
        <f>D153+D155</f>
        <v/>
      </c>
      <c r="E156" s="18">
        <f>E153+E155</f>
        <v/>
      </c>
      <c r="F156" s="18">
        <f>F153+F155</f>
        <v/>
      </c>
      <c r="G156" s="18">
        <f>G153+G155</f>
        <v/>
      </c>
      <c r="H156" s="18">
        <f>H153+H155</f>
        <v/>
      </c>
      <c r="I156" s="18">
        <f>I153+I155</f>
        <v/>
      </c>
      <c r="J156" s="18">
        <f>J153+J155</f>
        <v/>
      </c>
      <c r="K156" s="18">
        <f>K153+K155</f>
        <v/>
      </c>
      <c r="L156" s="18">
        <f>L153+L155</f>
        <v/>
      </c>
    </row>
    <row r="158">
      <c r="A158" s="4" t="inlineStr">
        <is>
          <t>Tableau des flux de trésorerie</t>
        </is>
      </c>
    </row>
    <row r="159">
      <c r="A159" t="inlineStr">
        <is>
          <t>BFR (niveau)</t>
        </is>
      </c>
      <c r="C159" s="5">
        <f>C107*$B$58</f>
        <v/>
      </c>
      <c r="D159" s="5">
        <f>D107*$B$58</f>
        <v/>
      </c>
      <c r="E159" s="5">
        <f>E107*$B$58</f>
        <v/>
      </c>
      <c r="F159" s="5">
        <f>F107*$B$58</f>
        <v/>
      </c>
      <c r="G159" s="5">
        <f>G107*$B$58</f>
        <v/>
      </c>
      <c r="H159" s="5">
        <f>H107*$B$58</f>
        <v/>
      </c>
      <c r="I159" s="5">
        <f>I107*$B$58</f>
        <v/>
      </c>
      <c r="J159" s="5">
        <f>J107*$B$58</f>
        <v/>
      </c>
      <c r="K159" s="5">
        <f>K107*$B$58</f>
        <v/>
      </c>
      <c r="L159" s="5">
        <f>L107*$B$58</f>
        <v/>
      </c>
    </row>
    <row r="160">
      <c r="A160" t="inlineStr">
        <is>
          <t>Variation du BFR</t>
        </is>
      </c>
      <c r="B160" s="5">
        <f>SUM(C160:L160)</f>
        <v/>
      </c>
      <c r="C160" s="5">
        <f>-C159</f>
        <v/>
      </c>
      <c r="D160" s="5">
        <f>-(D159-C159)</f>
        <v/>
      </c>
      <c r="E160" s="5">
        <f>-(E159-D159)</f>
        <v/>
      </c>
      <c r="F160" s="5">
        <f>-(F159-E159)</f>
        <v/>
      </c>
      <c r="G160" s="5">
        <f>-(G159-F159)</f>
        <v/>
      </c>
      <c r="H160" s="5">
        <f>-(H159-G159)</f>
        <v/>
      </c>
      <c r="I160" s="5">
        <f>-(I159-H159)</f>
        <v/>
      </c>
      <c r="J160" s="5">
        <f>-(J159-I159)</f>
        <v/>
      </c>
      <c r="K160" s="5">
        <f>-(K159-J159)</f>
        <v/>
      </c>
      <c r="L160" s="5">
        <f>-(L159-K159)</f>
        <v/>
      </c>
    </row>
    <row r="161">
      <c r="A161" s="4" t="inlineStr">
        <is>
          <t>Flux d'exploitation (EBITDA + loyer privé − IS − ΔBFR)</t>
        </is>
      </c>
      <c r="B161" s="18">
        <f>SUM(C161:L161)</f>
        <v/>
      </c>
      <c r="C161" s="18">
        <f>C126+C127+C155+C160</f>
        <v/>
      </c>
      <c r="D161" s="18">
        <f>D126+D127+D155+D160</f>
        <v/>
      </c>
      <c r="E161" s="18">
        <f>E126+E127+E155+E160</f>
        <v/>
      </c>
      <c r="F161" s="18">
        <f>F126+F127+F155+F160</f>
        <v/>
      </c>
      <c r="G161" s="18">
        <f>G126+G127+G155+G160</f>
        <v/>
      </c>
      <c r="H161" s="18">
        <f>H126+H127+H155+H160</f>
        <v/>
      </c>
      <c r="I161" s="18">
        <f>I126+I127+I155+I160</f>
        <v/>
      </c>
      <c r="J161" s="18">
        <f>J126+J127+J155+J160</f>
        <v/>
      </c>
      <c r="K161" s="18">
        <f>K126+K127+K155+K160</f>
        <v/>
      </c>
      <c r="L161" s="18">
        <f>L126+L127+L155+L160</f>
        <v/>
      </c>
    </row>
    <row r="162">
      <c r="A162" s="4" t="inlineStr">
        <is>
          <t>Flux d'investissement</t>
        </is>
      </c>
      <c r="B162" s="18">
        <f>SUM(C162:L162)</f>
        <v/>
      </c>
      <c r="C162" s="18">
        <f>-(C131+C129+C132)</f>
        <v/>
      </c>
      <c r="D162" s="18">
        <f>-(D131+D129+D132)</f>
        <v/>
      </c>
      <c r="E162" s="18">
        <f>-(E131+E129+E132)</f>
        <v/>
      </c>
      <c r="F162" s="18">
        <f>-(F131+F129+F132)</f>
        <v/>
      </c>
      <c r="G162" s="18">
        <f>-(G131+G129+G132)</f>
        <v/>
      </c>
      <c r="H162" s="18">
        <f>-(H131+H129+H132)</f>
        <v/>
      </c>
      <c r="I162" s="18">
        <f>-(I131+I129+I132)</f>
        <v/>
      </c>
      <c r="J162" s="18">
        <f>-(J131+J129+J132)</f>
        <v/>
      </c>
      <c r="K162" s="18">
        <f>-(K131+K129+K132)</f>
        <v/>
      </c>
      <c r="L162" s="18">
        <f>-(L131+L129+L132)</f>
        <v/>
      </c>
    </row>
    <row r="163">
      <c r="A163" t="inlineStr">
        <is>
          <t xml:space="preserve">  Apports en fonds propres + subventions</t>
        </is>
      </c>
      <c r="B163" s="5">
        <f>SUM(C163:L163)</f>
        <v/>
      </c>
      <c r="C163" s="5">
        <f>IF(C$90=1,$B$23,0)+IF(C$90=$B$5,$B$24*(1-$B$49)+$B$26,0)</f>
        <v/>
      </c>
      <c r="D163" s="5">
        <f>IF(D$90=1,$B$23,0)+IF(D$90=$B$5,$B$24*(1-$B$49)+$B$26,0)</f>
        <v/>
      </c>
      <c r="E163" s="5">
        <f>IF(E$90=1,$B$23,0)+IF(E$90=$B$5,$B$24*(1-$B$49)+$B$26,0)</f>
        <v/>
      </c>
      <c r="F163" s="5">
        <f>IF(F$90=1,$B$23,0)+IF(F$90=$B$5,$B$24*(1-$B$49)+$B$26,0)</f>
        <v/>
      </c>
      <c r="G163" s="5">
        <f>IF(G$90=1,$B$23,0)+IF(G$90=$B$5,$B$24*(1-$B$49)+$B$26,0)</f>
        <v/>
      </c>
      <c r="H163" s="5">
        <f>IF(H$90=1,$B$23,0)+IF(H$90=$B$5,$B$24*(1-$B$49)+$B$26,0)</f>
        <v/>
      </c>
      <c r="I163" s="5">
        <f>IF(I$90=1,$B$23,0)+IF(I$90=$B$5,$B$24*(1-$B$49)+$B$26,0)</f>
        <v/>
      </c>
      <c r="J163" s="5">
        <f>IF(J$90=1,$B$23,0)+IF(J$90=$B$5,$B$24*(1-$B$49)+$B$26,0)</f>
        <v/>
      </c>
      <c r="K163" s="5">
        <f>IF(K$90=1,$B$23,0)+IF(K$90=$B$5,$B$24*(1-$B$49)+$B$26,0)</f>
        <v/>
      </c>
      <c r="L163" s="5">
        <f>IF(L$90=1,$B$23,0)+IF(L$90=$B$5,$B$24*(1-$B$49)+$B$26,0)</f>
        <v/>
      </c>
    </row>
    <row r="164">
      <c r="A164" t="inlineStr">
        <is>
          <t xml:space="preserve">  Tirages dette + crédit-vendeur + obligations</t>
        </is>
      </c>
      <c r="B164" s="5">
        <f>SUM(C164:L164)</f>
        <v/>
      </c>
      <c r="C164" s="5">
        <f>IF(C$90=$B$5,$B$27+$B$31+$B$34,0)</f>
        <v/>
      </c>
      <c r="D164" s="5">
        <f>IF(D$90=$B$5,$B$27+$B$31+$B$34,0)</f>
        <v/>
      </c>
      <c r="E164" s="5">
        <f>IF(E$90=$B$5,$B$27+$B$31+$B$34,0)</f>
        <v/>
      </c>
      <c r="F164" s="5">
        <f>IF(F$90=$B$5,$B$27+$B$31+$B$34,0)</f>
        <v/>
      </c>
      <c r="G164" s="5">
        <f>IF(G$90=$B$5,$B$27+$B$31+$B$34,0)</f>
        <v/>
      </c>
      <c r="H164" s="5">
        <f>IF(H$90=$B$5,$B$27+$B$31+$B$34,0)</f>
        <v/>
      </c>
      <c r="I164" s="5">
        <f>IF(I$90=$B$5,$B$27+$B$31+$B$34,0)</f>
        <v/>
      </c>
      <c r="J164" s="5">
        <f>IF(J$90=$B$5,$B$27+$B$31+$B$34,0)</f>
        <v/>
      </c>
      <c r="K164" s="5">
        <f>IF(K$90=$B$5,$B$27+$B$31+$B$34,0)</f>
        <v/>
      </c>
      <c r="L164" s="5">
        <f>IF(L$90=$B$5,$B$27+$B$31+$B$34,0)</f>
        <v/>
      </c>
    </row>
    <row r="165">
      <c r="A165" t="inlineStr">
        <is>
          <t xml:space="preserve">  Service de la dette (intérêts + capital + coupons + rembt obligations)</t>
        </is>
      </c>
      <c r="B165" s="5">
        <f>SUM(C165:L165)</f>
        <v/>
      </c>
      <c r="C165" s="5">
        <f>-(C141+C142+C145+C146+C149+C150)</f>
        <v/>
      </c>
      <c r="D165" s="5">
        <f>-(D141+D142+D145+D146+D149+D150)</f>
        <v/>
      </c>
      <c r="E165" s="5">
        <f>-(E141+E142+E145+E146+E149+E150)</f>
        <v/>
      </c>
      <c r="F165" s="5">
        <f>-(F141+F142+F145+F146+F149+F150)</f>
        <v/>
      </c>
      <c r="G165" s="5">
        <f>-(G141+G142+G145+G146+G149+G150)</f>
        <v/>
      </c>
      <c r="H165" s="5">
        <f>-(H141+H142+H145+H146+H149+H150)</f>
        <v/>
      </c>
      <c r="I165" s="5">
        <f>-(I141+I142+I145+I146+I149+I150)</f>
        <v/>
      </c>
      <c r="J165" s="5">
        <f>-(J141+J142+J145+J146+J149+J150)</f>
        <v/>
      </c>
      <c r="K165" s="5">
        <f>-(K141+K142+K145+K146+K149+K150)</f>
        <v/>
      </c>
      <c r="L165" s="5">
        <f>-(L141+L142+L145+L146+L149+L150)</f>
        <v/>
      </c>
    </row>
    <row r="166">
      <c r="A166" s="4" t="inlineStr">
        <is>
          <t>Flux de financement</t>
        </is>
      </c>
      <c r="B166" s="18">
        <f>SUM(C166:L166)</f>
        <v/>
      </c>
      <c r="C166" s="18">
        <f>C163+C164+C165</f>
        <v/>
      </c>
      <c r="D166" s="18">
        <f>D163+D164+D165</f>
        <v/>
      </c>
      <c r="E166" s="18">
        <f>E163+E164+E165</f>
        <v/>
      </c>
      <c r="F166" s="18">
        <f>F163+F164+F165</f>
        <v/>
      </c>
      <c r="G166" s="18">
        <f>G163+G164+G165</f>
        <v/>
      </c>
      <c r="H166" s="18">
        <f>H163+H164+H165</f>
        <v/>
      </c>
      <c r="I166" s="18">
        <f>I163+I164+I165</f>
        <v/>
      </c>
      <c r="J166" s="18">
        <f>J163+J164+J165</f>
        <v/>
      </c>
      <c r="K166" s="18">
        <f>K163+K164+K165</f>
        <v/>
      </c>
      <c r="L166" s="18">
        <f>L163+L164+L165</f>
        <v/>
      </c>
    </row>
    <row r="167">
      <c r="A167" s="4" t="inlineStr">
        <is>
          <t>Variation de trésorerie</t>
        </is>
      </c>
      <c r="B167" s="18">
        <f>SUM(C167:L167)</f>
        <v/>
      </c>
      <c r="C167" s="18">
        <f>C161+C162+C166</f>
        <v/>
      </c>
      <c r="D167" s="18">
        <f>D161+D162+D166</f>
        <v/>
      </c>
      <c r="E167" s="18">
        <f>E161+E162+E166</f>
        <v/>
      </c>
      <c r="F167" s="18">
        <f>F161+F162+F166</f>
        <v/>
      </c>
      <c r="G167" s="18">
        <f>G161+G162+G166</f>
        <v/>
      </c>
      <c r="H167" s="18">
        <f>H161+H162+H166</f>
        <v/>
      </c>
      <c r="I167" s="18">
        <f>I161+I162+I166</f>
        <v/>
      </c>
      <c r="J167" s="18">
        <f>J161+J162+J166</f>
        <v/>
      </c>
      <c r="K167" s="18">
        <f>K161+K162+K166</f>
        <v/>
      </c>
      <c r="L167" s="18">
        <f>L161+L162+L166</f>
        <v/>
      </c>
    </row>
    <row r="168">
      <c r="A168" s="4" t="inlineStr">
        <is>
          <t>Trésorerie fin d'année</t>
        </is>
      </c>
      <c r="C168" s="18">
        <f>C167</f>
        <v/>
      </c>
      <c r="D168" s="18">
        <f>C168+D167</f>
        <v/>
      </c>
      <c r="E168" s="18">
        <f>D168+E167</f>
        <v/>
      </c>
      <c r="F168" s="18">
        <f>E168+F167</f>
        <v/>
      </c>
      <c r="G168" s="18">
        <f>F168+G167</f>
        <v/>
      </c>
      <c r="H168" s="18">
        <f>G168+H167</f>
        <v/>
      </c>
      <c r="I168" s="18">
        <f>H168+I167</f>
        <v/>
      </c>
      <c r="J168" s="18">
        <f>I168+J167</f>
        <v/>
      </c>
      <c r="K168" s="18">
        <f>J168+K167</f>
        <v/>
      </c>
      <c r="L168" s="18">
        <f>K168+L167</f>
        <v/>
      </c>
    </row>
    <row r="169">
      <c r="A169" t="inlineStr">
        <is>
          <t>Cash-flow libre d'exploitation (CFO − gros entretien − service dette hors obligations in fine)</t>
        </is>
      </c>
      <c r="B169" s="5">
        <f>SUM(C169:L169)</f>
        <v/>
      </c>
      <c r="C169" s="5">
        <f>C161-C132-(C141+C142+C145+C146+C149)</f>
        <v/>
      </c>
      <c r="D169" s="5">
        <f>D161-D132-(D141+D142+D145+D146+D149)</f>
        <v/>
      </c>
      <c r="E169" s="5">
        <f>E161-E132-(E141+E142+E145+E146+E149)</f>
        <v/>
      </c>
      <c r="F169" s="5">
        <f>F161-F132-(F141+F142+F145+F146+F149)</f>
        <v/>
      </c>
      <c r="G169" s="5">
        <f>G161-G132-(G141+G142+G145+G146+G149)</f>
        <v/>
      </c>
      <c r="H169" s="5">
        <f>H161-H132-(H141+H142+H145+H146+H149)</f>
        <v/>
      </c>
      <c r="I169" s="5">
        <f>I161-I132-(I141+I142+I145+I146+I149)</f>
        <v/>
      </c>
      <c r="J169" s="5">
        <f>J161-J132-(J141+J142+J145+J146+J149)</f>
        <v/>
      </c>
      <c r="K169" s="5">
        <f>K161-K132-(K141+K142+K145+K146+K149)</f>
        <v/>
      </c>
      <c r="L169" s="5">
        <f>L161-L132-(L141+L142+L145+L146+L149)</f>
        <v/>
      </c>
    </row>
    <row r="170">
      <c r="A170" t="inlineStr">
        <is>
          <t>DSCR ((EBITDA + loyer privé − IS − gros entretien) / service de la dette)</t>
        </is>
      </c>
      <c r="C170" s="7">
        <f>IF((C141+C142+C145+C146+C149)=0,"",(C126+C127+C155-C132)/(C141+C142+C145+C146+C149))</f>
        <v/>
      </c>
      <c r="D170" s="7">
        <f>IF((D141+D142+D145+D146+D149)=0,"",(D126+D127+D155-D132)/(D141+D142+D145+D146+D149))</f>
        <v/>
      </c>
      <c r="E170" s="7">
        <f>IF((E141+E142+E145+E146+E149)=0,"",(E126+E127+E155-E132)/(E141+E142+E145+E146+E149))</f>
        <v/>
      </c>
      <c r="F170" s="7">
        <f>IF((F141+F142+F145+F146+F149)=0,"",(F126+F127+F155-F132)/(F141+F142+F145+F146+F149))</f>
        <v/>
      </c>
      <c r="G170" s="7">
        <f>IF((G141+G142+G145+G146+G149)=0,"",(G126+G127+G155-G132)/(G141+G142+G145+G146+G149))</f>
        <v/>
      </c>
      <c r="H170" s="7">
        <f>IF((H141+H142+H145+H146+H149)=0,"",(H126+H127+H155-H132)/(H141+H142+H145+H146+H149))</f>
        <v/>
      </c>
      <c r="I170" s="7">
        <f>IF((I141+I142+I145+I146+I149)=0,"",(I126+I127+I155-I132)/(I141+I142+I145+I146+I149))</f>
        <v/>
      </c>
      <c r="J170" s="7">
        <f>IF((J141+J142+J145+J146+J149)=0,"",(J126+J127+J155-J132)/(J141+J142+J145+J146+J149))</f>
        <v/>
      </c>
      <c r="K170" s="7">
        <f>IF((K141+K142+K145+K146+K149)=0,"",(K126+K127+K155-K132)/(K141+K142+K145+K146+K149))</f>
        <v/>
      </c>
      <c r="L170" s="7">
        <f>IF((L141+L142+L145+L146+L149)=0,"",(L126+L127+L155-L132)/(L141+L142+L145+L146+L149))</f>
        <v/>
      </c>
    </row>
    <row r="172">
      <c r="A172" s="4" t="inlineStr">
        <is>
          <t>Rentabilité des investisseurs et contrôle</t>
        </is>
      </c>
    </row>
    <row r="173">
      <c r="A173" t="inlineStr">
        <is>
          <t>Dettes financières totales fin d'année</t>
        </is>
      </c>
      <c r="C173" s="5">
        <f>C143+C147+C148-C150</f>
        <v/>
      </c>
      <c r="D173" s="5">
        <f>D143+D147+D148-D150</f>
        <v/>
      </c>
      <c r="E173" s="5">
        <f>E143+E147+E148-E150</f>
        <v/>
      </c>
      <c r="F173" s="5">
        <f>F143+F147+F148-F150</f>
        <v/>
      </c>
      <c r="G173" s="5">
        <f>G143+G147+G148-G150</f>
        <v/>
      </c>
      <c r="H173" s="5">
        <f>H143+H147+H148-H150</f>
        <v/>
      </c>
      <c r="I173" s="5">
        <f>I143+I147+I148-I150</f>
        <v/>
      </c>
      <c r="J173" s="5">
        <f>J143+J147+J148-J150</f>
        <v/>
      </c>
      <c r="K173" s="5">
        <f>K143+K147+K148-K150</f>
        <v/>
      </c>
      <c r="L173" s="5">
        <f>L143+L147+L148-L150</f>
        <v/>
      </c>
    </row>
    <row r="174">
      <c r="A174" t="inlineStr">
        <is>
          <t>Valeur estimée de l'actif (si cédé cette année)</t>
        </is>
      </c>
      <c r="C174" s="5">
        <f>C96*($B$7+C130)*$B$17*(1-$B$19)</f>
        <v/>
      </c>
      <c r="D174" s="5">
        <f>D96*($B$7+D130)*$B$17*(1-$B$19)</f>
        <v/>
      </c>
      <c r="E174" s="5">
        <f>E96*($B$7+E130)*$B$17*(1-$B$19)</f>
        <v/>
      </c>
      <c r="F174" s="5">
        <f>F96*($B$7+F130)*$B$17*(1-$B$19)</f>
        <v/>
      </c>
      <c r="G174" s="5">
        <f>G96*($B$7+G130)*$B$17*(1-$B$19)</f>
        <v/>
      </c>
      <c r="H174" s="5">
        <f>H96*($B$7+H130)*$B$17*(1-$B$19)</f>
        <v/>
      </c>
      <c r="I174" s="5">
        <f>I96*($B$7+I130)*$B$17*(1-$B$19)</f>
        <v/>
      </c>
      <c r="J174" s="5">
        <f>J96*($B$7+J130)*$B$17*(1-$B$19)</f>
        <v/>
      </c>
      <c r="K174" s="5">
        <f>K96*($B$7+K130)*$B$17*(1-$B$19)</f>
        <v/>
      </c>
      <c r="L174" s="5">
        <f>L96*($B$7+L130)*$B$17*(1-$B$19)</f>
        <v/>
      </c>
    </row>
    <row r="175">
      <c r="A175" t="inlineStr">
        <is>
          <t>Valeur des fonds propres (actif + trésorerie − dettes)</t>
        </is>
      </c>
      <c r="C175" s="5">
        <f>C174+C168-C173</f>
        <v/>
      </c>
      <c r="D175" s="5">
        <f>D174+D168-D173</f>
        <v/>
      </c>
      <c r="E175" s="5">
        <f>E174+E168-E173</f>
        <v/>
      </c>
      <c r="F175" s="5">
        <f>F174+F168-F173</f>
        <v/>
      </c>
      <c r="G175" s="5">
        <f>G174+G168-G173</f>
        <v/>
      </c>
      <c r="H175" s="5">
        <f>H174+H168-H173</f>
        <v/>
      </c>
      <c r="I175" s="5">
        <f>I174+I168-I173</f>
        <v/>
      </c>
      <c r="J175" s="5">
        <f>J174+J168-J173</f>
        <v/>
      </c>
      <c r="K175" s="5">
        <f>K174+K168-K173</f>
        <v/>
      </c>
      <c r="L175" s="5">
        <f>L174+L168-L173</f>
        <v/>
      </c>
    </row>
    <row r="176">
      <c r="A176" t="inlineStr">
        <is>
          <t>Flux des investisseurs (entrée an d'acq., sortie an 10)</t>
        </is>
      </c>
      <c r="B176" s="5">
        <f>SUM(C176:L176)</f>
        <v/>
      </c>
      <c r="C176" s="5">
        <f>-IF(C$90=$B$5,$B$24*(1-$B$49)*(1-$B$25),0)</f>
        <v/>
      </c>
      <c r="D176" s="5">
        <f>-IF(D$90=$B$5,$B$24*(1-$B$49)*(1-$B$25),0)</f>
        <v/>
      </c>
      <c r="E176" s="5">
        <f>-IF(E$90=$B$5,$B$24*(1-$B$49)*(1-$B$25),0)</f>
        <v/>
      </c>
      <c r="F176" s="5">
        <f>-IF(F$90=$B$5,$B$24*(1-$B$49)*(1-$B$25),0)</f>
        <v/>
      </c>
      <c r="G176" s="5">
        <f>-IF(G$90=$B$5,$B$24*(1-$B$49)*(1-$B$25),0)</f>
        <v/>
      </c>
      <c r="H176" s="5">
        <f>-IF(H$90=$B$5,$B$24*(1-$B$49)*(1-$B$25),0)</f>
        <v/>
      </c>
      <c r="I176" s="5">
        <f>-IF(I$90=$B$5,$B$24*(1-$B$49)*(1-$B$25),0)</f>
        <v/>
      </c>
      <c r="J176" s="5">
        <f>-IF(J$90=$B$5,$B$24*(1-$B$49)*(1-$B$25),0)</f>
        <v/>
      </c>
      <c r="K176" s="5">
        <f>-IF(K$90=$B$5,$B$24*(1-$B$49)*(1-$B$25),0)</f>
        <v/>
      </c>
      <c r="L176" s="5">
        <f>-IF(L$90=$B$5,$B$24*(1-$B$49)*(1-$B$25),0)+MAX(0,L175)*(1-$B$42)</f>
        <v/>
      </c>
    </row>
    <row r="177">
      <c r="A177" t="inlineStr">
        <is>
          <t>Flux du fondateur et de sa holding (apports, sortie théorique an 10)</t>
        </is>
      </c>
      <c r="B177" s="5">
        <f>SUM(C177:L177)</f>
        <v/>
      </c>
      <c r="C177" s="5">
        <f>-IF(C$90=1,$B$23,0)-IF(C$90=$B$5,$B$24*(1-$B$49)*$B$25,0)</f>
        <v/>
      </c>
      <c r="D177" s="5">
        <f>-IF(D$90=1,$B$23,0)-IF(D$90=$B$5,$B$24*(1-$B$49)*$B$25,0)</f>
        <v/>
      </c>
      <c r="E177" s="5">
        <f>-IF(E$90=1,$B$23,0)-IF(E$90=$B$5,$B$24*(1-$B$49)*$B$25,0)</f>
        <v/>
      </c>
      <c r="F177" s="5">
        <f>-IF(F$90=1,$B$23,0)-IF(F$90=$B$5,$B$24*(1-$B$49)*$B$25,0)</f>
        <v/>
      </c>
      <c r="G177" s="5">
        <f>-IF(G$90=1,$B$23,0)-IF(G$90=$B$5,$B$24*(1-$B$49)*$B$25,0)</f>
        <v/>
      </c>
      <c r="H177" s="5">
        <f>-IF(H$90=1,$B$23,0)-IF(H$90=$B$5,$B$24*(1-$B$49)*$B$25,0)</f>
        <v/>
      </c>
      <c r="I177" s="5">
        <f>-IF(I$90=1,$B$23,0)-IF(I$90=$B$5,$B$24*(1-$B$49)*$B$25,0)</f>
        <v/>
      </c>
      <c r="J177" s="5">
        <f>-IF(J$90=1,$B$23,0)-IF(J$90=$B$5,$B$24*(1-$B$49)*$B$25,0)</f>
        <v/>
      </c>
      <c r="K177" s="5">
        <f>-IF(K$90=1,$B$23,0)-IF(K$90=$B$5,$B$24*(1-$B$49)*$B$25,0)</f>
        <v/>
      </c>
      <c r="L177" s="5">
        <f>-IF(L$90=1,$B$23,0)-IF(L$90=$B$5,$B$24*(1-$B$49)*$B$25,0)+MAX(0,L175)*$B$42</f>
        <v/>
      </c>
    </row>
    <row r="179">
      <c r="A179" s="10" t="inlineStr">
        <is>
          <t>8. Indicateurs clés</t>
        </is>
      </c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</row>
    <row r="180">
      <c r="A180" t="inlineStr">
        <is>
          <t>Emplois totaux (acq. + frais + travaux initiaux)</t>
        </is>
      </c>
      <c r="B180" s="18">
        <f>$B$7*(1+$B$8)+SUM(C129:L129)</f>
        <v/>
      </c>
    </row>
    <row r="181">
      <c r="A181" t="inlineStr">
        <is>
          <t>Ressources externes et apports prévus</t>
        </is>
      </c>
      <c r="B181" s="18">
        <f>$B$23+$B$24*(1-$B$49)+$B$26+$B$27+$B$31+$B$34</f>
        <v/>
      </c>
    </row>
    <row r="182">
      <c r="A182" t="inlineStr">
        <is>
          <t>CA année 5</t>
        </is>
      </c>
      <c r="B182" s="18">
        <f>G107</f>
        <v/>
      </c>
    </row>
    <row r="183">
      <c r="A183" t="inlineStr">
        <is>
          <t>EBITDA année 5</t>
        </is>
      </c>
      <c r="B183" s="18">
        <f>G126</f>
        <v/>
      </c>
    </row>
    <row r="184">
      <c r="A184" t="inlineStr">
        <is>
          <t>EBITDA année 10</t>
        </is>
      </c>
      <c r="B184" s="18">
        <f>L126</f>
        <v/>
      </c>
    </row>
    <row r="185">
      <c r="A185" t="inlineStr">
        <is>
          <t>Part équestre du CA année 5</t>
        </is>
      </c>
      <c r="B185" s="14">
        <f>G109</f>
        <v/>
      </c>
    </row>
    <row r="186">
      <c r="A186" t="inlineStr">
        <is>
          <t>Trésorerie minimale sur 10 ans</t>
        </is>
      </c>
      <c r="B186" s="18">
        <f>MIN(C168:L168)</f>
        <v/>
      </c>
    </row>
    <row r="187">
      <c r="A187" t="inlineStr">
        <is>
          <t>Trésorerie fin année 10</t>
        </is>
      </c>
      <c r="B187" s="18">
        <f>L168</f>
        <v/>
      </c>
    </row>
    <row r="188">
      <c r="A188" t="inlineStr">
        <is>
          <t>DSCR minimal (à partir de la 2e année d'exploitation)</t>
        </is>
      </c>
      <c r="B188" s="19">
        <f>IF(COUNTIFS(C170:L170,"&gt;-1E+300",C92:L92,"&gt;=2")=0,"n/a",_xlfn.MINIFS(C170:L170,C92:L92,"&gt;=2"))</f>
        <v/>
      </c>
    </row>
    <row r="189">
      <c r="A189" t="inlineStr">
        <is>
          <t>Nb d'années à cash-flow libre d'exploitation négatif (à partir de la 2e année d'exploitation)</t>
        </is>
      </c>
      <c r="B189" s="20">
        <f>COUNTIFS(C169:L169,"&lt;0",C92:L92,"&gt;=2")</f>
        <v/>
      </c>
    </row>
    <row r="190">
      <c r="A190" t="inlineStr">
        <is>
          <t>TRI investisseurs (sortie théorique an 10)</t>
        </is>
      </c>
      <c r="B190" s="14">
        <f>IF($B$24*(1-$B$25)=0,"sans objet",IFERROR(IRR(C176:L176,-0.05),"perte quasi totale (TRI non calculable)"))</f>
        <v/>
      </c>
    </row>
    <row r="191">
      <c r="A191" t="inlineStr">
        <is>
          <t>TRI fondateur (sortie théorique an 10)</t>
        </is>
      </c>
      <c r="B191" s="14">
        <f>IFERROR(IRR(C177:L177,-0.05),"perte quasi totale (TRI non calculable)")</f>
        <v/>
      </c>
    </row>
    <row r="192">
      <c r="A192" t="inlineStr">
        <is>
          <t>Dette bancaire soutenable estimée (DSCR 1,2 sur (EBITDA − IS − gros entretien) an 10, hors loyer privé ; taux et durée du scénario)</t>
        </is>
      </c>
      <c r="B192" s="18">
        <f>MAX(0,PV($B$28,$B$29,-(L126+L155-L132)/1.2))</f>
        <v/>
      </c>
    </row>
    <row r="193">
      <c r="A193" t="inlineStr">
        <is>
          <t>Fonds propres nécessaires (emplois + réserve + pertes d'exploitation cumulées − dette soutenable)</t>
        </is>
      </c>
      <c r="B193" s="18">
        <f>$B$7*(1+$B$8)+SUM(C129:L129)+$B$39-SUMIF(C161:L161,"&lt;0")-$B$192</f>
        <v/>
      </c>
    </row>
    <row r="194">
      <c r="A194" t="inlineStr">
        <is>
          <t>Part du capital du fondateur</t>
        </is>
      </c>
      <c r="B194" s="14">
        <f>$B$42</f>
        <v/>
      </c>
    </row>
    <row r="195">
      <c r="A195" t="inlineStr">
        <is>
          <t>Droits de vote du fondateur</t>
        </is>
      </c>
      <c r="B195" s="14">
        <f>$B$38</f>
        <v/>
      </c>
    </row>
    <row r="196">
      <c r="A196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6" s="4">
        <f>IF($B$186&lt;0,"NON VIABLE (trésorerie négative)",IF(AND($B$187&gt;=$B$39,OR($B$188="n/a",$B$188&gt;=1.2),$B$189=0),IF(NOT(OR($B$190="sans objet",AND(ISNUMBER($B$190),N($B$190)&gt;=$B$40))),"FRAGILE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CA-30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0.7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Travaux+30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1.3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Retard12m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Taux+2pts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0.02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RetraitFP50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0.5</v>
      </c>
      <c r="C49" t="inlineStr">
        <is>
          <t>%</t>
        </is>
      </c>
      <c r="D49" t="inlineStr">
        <is>
          <t>Stress test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Annul40evt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0.4</v>
      </c>
      <c r="C50" t="inlineStr">
        <is>
          <t>%</t>
        </is>
      </c>
      <c r="D50" t="inlineStr">
        <is>
          <t>Stress test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Scénario C — Le capital d'abord : achat en 2031 avec les fonds propres de la holding — cas central — STRESS Cumul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3400000</v>
      </c>
      <c r="C24" t="inlineStr">
        <is>
          <t>€</t>
        </is>
      </c>
      <c r="D24" t="inlineStr">
        <is>
          <t>Fonds propres de la HOLDING (reprises de PME) — NON acquis ; un LBO de ~1 M€ ne libère que ~50 k€/an [A2 montage 6]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0.85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1.15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0.01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CA-30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0.7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Travaux+30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1.3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Retard12m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Taux+2pts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0.02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RetraitFP50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0.5</v>
      </c>
      <c r="C49" t="inlineStr">
        <is>
          <t>%</t>
        </is>
      </c>
      <c r="D49" t="inlineStr">
        <is>
          <t>Stress test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Annul40evt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0.4</v>
      </c>
      <c r="C50" t="inlineStr">
        <is>
          <t>%</t>
        </is>
      </c>
      <c r="D50" t="inlineStr">
        <is>
          <t>Stress test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C négocié — vendeur en difficulté : prix −20 % (travaux inchangés) — STRESS Cumul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5</v>
      </c>
      <c r="C5" t="inlineStr">
        <is>
          <t>année</t>
        </is>
      </c>
      <c r="D5" t="inlineStr">
        <is>
          <t>Achat en année 5 (2031) quand la holding a le capital — NON acquis</t>
        </is>
      </c>
    </row>
    <row r="6">
      <c r="A6" t="inlineStr">
        <is>
          <t>Année d'ouverture commerciale (avant stress)</t>
        </is>
      </c>
      <c r="B6" s="12" t="n">
        <v>5</v>
      </c>
      <c r="C6" t="inlineStr">
        <is>
          <t>année</t>
        </is>
      </c>
      <c r="D6" t="inlineStr">
        <is>
          <t>Domaine déjà équipé : ouverture l'année de l'achat, montée en charge</t>
        </is>
      </c>
    </row>
    <row r="7">
      <c r="A7" t="inlineStr">
        <is>
          <t>Prix d'acquisition</t>
        </is>
      </c>
      <c r="B7" s="12" t="n">
        <v>2000000</v>
      </c>
      <c r="C7" t="inlineStr">
        <is>
          <t>€</t>
        </is>
      </c>
      <c r="D7" t="inlineStr">
        <is>
          <t>Prix −20 % : vendeur en difficulté (Ygrande vendu par la SAFER, Hus −35 %) — NON acquis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0</v>
      </c>
      <c r="C23" t="inlineStr">
        <is>
          <t>€</t>
        </is>
      </c>
      <c r="D23" t="inlineStr">
        <is>
          <t>Les fonds propres viennent de la holding (ligne suivante)</t>
        </is>
      </c>
    </row>
    <row r="24">
      <c r="A24" t="inlineStr">
        <is>
          <t>Fonds propres apportés à l'acquisition (investisseurs ou holding)</t>
        </is>
      </c>
      <c r="B24" s="12" t="n">
        <v>2600000</v>
      </c>
      <c r="C24" t="inlineStr">
        <is>
          <t>€</t>
        </is>
      </c>
      <c r="D24" t="inlineStr">
        <is>
          <t>Fonds propres HOLDING — NON acquis</t>
        </is>
      </c>
    </row>
    <row r="25">
      <c r="A25" t="inlineStr">
        <is>
          <t>Ces fonds propres viennent-ils de la holding du fondateur ? (1/0)</t>
        </is>
      </c>
      <c r="B25" s="12" t="n">
        <v>1</v>
      </c>
      <c r="C25" t="inlineStr"/>
      <c r="D25" t="inlineStr">
        <is>
          <t>Fonds propres = holding du fondateur</t>
        </is>
      </c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400000</v>
      </c>
      <c r="C27" t="inlineStr">
        <is>
          <t>€</t>
        </is>
      </c>
      <c r="D27" t="inlineStr">
        <is>
          <t>NON ACQUIS — limitée à la capacité de remboursement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/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0.85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1.15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0.01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CA-30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0.7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Travaux+30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1.3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Retard12m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Taux+2pts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0.02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RetraitFP50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0.5</v>
      </c>
      <c r="C49" t="inlineStr">
        <is>
          <t>%</t>
        </is>
      </c>
      <c r="D49" t="inlineStr">
        <is>
          <t>Stress test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Annul40evt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1</v>
      </c>
      <c r="C45" t="inlineStr">
        <is>
          <t>%</t>
        </is>
      </c>
      <c r="D45" t="inlineStr">
        <is>
          <t>neutre</t>
        </is>
      </c>
    </row>
    <row r="46">
      <c r="A46" t="inlineStr">
        <is>
          <t>Multiplicateur du budget travaux</t>
        </is>
      </c>
      <c r="B46" s="13" t="n">
        <v>1</v>
      </c>
      <c r="C46" t="inlineStr">
        <is>
          <t>%</t>
        </is>
      </c>
      <c r="D46" t="inlineStr">
        <is>
          <t>neutre</t>
        </is>
      </c>
    </row>
    <row r="47">
      <c r="A47" t="inlineStr">
        <is>
          <t>Retard d'ouverture</t>
        </is>
      </c>
      <c r="B47" s="12" t="n">
        <v>0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</v>
      </c>
      <c r="C48" t="inlineStr">
        <is>
          <t>%</t>
        </is>
      </c>
      <c r="D48" t="inlineStr">
        <is>
          <t>neutre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0.4</v>
      </c>
      <c r="C50" t="inlineStr">
        <is>
          <t>%</t>
        </is>
      </c>
      <c r="D50" t="inlineStr">
        <is>
          <t>Stress test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Diagnostic — B frugal sans dette : l'exploitation s'autofinance-t-elle ? — STRESS Cumul</t>
        </is>
      </c>
    </row>
    <row r="2">
      <c r="A2" s="9" t="inlineStr">
        <is>
          <t>Cellules jaunes/bleues = hypothèses éditables. Tout le reste est calculé. Colonne D (bloc hypothèses) = source ou statut (ESTIMATION = non vérifiée).</t>
        </is>
      </c>
    </row>
    <row r="4">
      <c r="A4" s="10" t="inlineStr">
        <is>
          <t>1. Calendrier, acquisition et travaux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Année d'acquisition des murs (1 = immédiate)</t>
        </is>
      </c>
      <c r="B5" s="12" t="n">
        <v>1</v>
      </c>
      <c r="C5" t="inlineStr">
        <is>
          <t>année</t>
        </is>
      </c>
      <c r="D5" t="inlineStr">
        <is>
          <t>Achat immédiat (2027)</t>
        </is>
      </c>
    </row>
    <row r="6">
      <c r="A6" t="inlineStr">
        <is>
          <t>Année d'ouverture commerciale (avant stress)</t>
        </is>
      </c>
      <c r="B6" s="12" t="n">
        <v>2</v>
      </c>
      <c r="C6" t="inlineStr">
        <is>
          <t>année</t>
        </is>
      </c>
      <c r="D6" t="inlineStr">
        <is>
          <t>Année 1 = travaux ; EST</t>
        </is>
      </c>
    </row>
    <row r="7">
      <c r="A7" t="inlineStr">
        <is>
          <t>Prix d'acquisition</t>
        </is>
      </c>
      <c r="B7" s="12" t="n">
        <v>2500000</v>
      </c>
      <c r="C7" t="inlineStr">
        <is>
          <t>€</t>
        </is>
      </c>
      <c r="D7" t="inlineStr">
        <is>
          <t>PL : médiane de 19 annonces de châteaux ≥ 30 ha (quartiles 1,29-3,07 M€) [A1]</t>
        </is>
      </c>
    </row>
    <row r="8">
      <c r="A8" t="inlineStr">
        <is>
          <t>Frais d'acquisition (droits + notaire)</t>
        </is>
      </c>
      <c r="B8" s="13" t="n">
        <v>0.075</v>
      </c>
      <c r="C8" t="inlineStr">
        <is>
          <t>%</t>
        </is>
      </c>
      <c r="D8" t="inlineStr">
        <is>
          <t>EST : DMTO ≈ 5,8-6,3 % + notaire ≈ 1,2 % ; vente SAFER : frais 8,4 % TTC mais exonération de droits possible [A1, PL]</t>
        </is>
      </c>
    </row>
    <row r="9">
      <c r="A9" t="inlineStr">
        <is>
          <t>Part du prix affectable au bâti (amortissable)</t>
        </is>
      </c>
      <c r="B9" s="13" t="n">
        <v>0.55</v>
      </c>
      <c r="C9" t="inlineStr">
        <is>
          <t>%</t>
        </is>
      </c>
      <c r="D9" t="inlineStr">
        <is>
          <t>EST</t>
        </is>
      </c>
    </row>
    <row r="10">
      <c r="A10" t="inlineStr">
        <is>
          <t>Travaux de restauration / mise aux normes</t>
        </is>
      </c>
      <c r="B10" s="12" t="n">
        <v>500000</v>
      </c>
      <c r="C10" t="inlineStr">
        <is>
          <t>€</t>
        </is>
      </c>
      <c r="D10" t="inlineStr">
        <is>
          <t>EST sans visite : top 5 des biens équipés 0,1-0,7 M€ [A1]</t>
        </is>
      </c>
    </row>
    <row r="11">
      <c r="A11" t="inlineStr">
        <is>
          <t>Investissements équestres (boxes, carrière, manège…)</t>
        </is>
      </c>
      <c r="B11" s="12" t="n">
        <v>150000</v>
      </c>
      <c r="C11" t="inlineStr">
        <is>
          <t>€</t>
        </is>
      </c>
      <c r="D11" t="inlineStr">
        <is>
          <t>EST : remise à niveau d'écuries existantes (une écurie neuve de 30 box coûterait 0,78-0,83 M€ HT [A3 H20])</t>
        </is>
      </c>
    </row>
    <row r="12">
      <c r="A12" t="inlineStr">
        <is>
          <t>Investissements événementiel / hébergement</t>
        </is>
      </c>
      <c r="B12" s="12" t="n">
        <v>250000</v>
      </c>
      <c r="C12" t="inlineStr">
        <is>
          <t>€</t>
        </is>
      </c>
      <c r="D12" t="inlineStr">
        <is>
          <t>EST : mise aux normes d'une salle existante + aménagement du gîte (neuf : 570 k€-1,24 M€ [A4 §13.2])</t>
        </is>
      </c>
    </row>
    <row r="13">
      <c r="A13" t="inlineStr">
        <is>
          <t>Répartition travaux : année d'acquisition</t>
        </is>
      </c>
      <c r="B13" s="13" t="n">
        <v>0.6</v>
      </c>
      <c r="C13" t="inlineStr">
        <is>
          <t>%</t>
        </is>
      </c>
      <c r="D13" t="inlineStr">
        <is>
          <t>EST</t>
        </is>
      </c>
    </row>
    <row r="14">
      <c r="A14" t="inlineStr">
        <is>
          <t>Répartition travaux : année +1</t>
        </is>
      </c>
      <c r="B14" s="13" t="n">
        <v>0.3</v>
      </c>
      <c r="C14" t="inlineStr">
        <is>
          <t>%</t>
        </is>
      </c>
      <c r="D14" t="inlineStr">
        <is>
          <t>EST</t>
        </is>
      </c>
    </row>
    <row r="15">
      <c r="A15" t="inlineStr">
        <is>
          <t>Répartition travaux : année +2</t>
        </is>
      </c>
      <c r="B15" s="13" t="n">
        <v>0.1</v>
      </c>
      <c r="C15" t="inlineStr">
        <is>
          <t>%</t>
        </is>
      </c>
      <c r="D15" t="inlineStr">
        <is>
          <t>EST</t>
        </is>
      </c>
    </row>
    <row r="16">
      <c r="A16" t="inlineStr">
        <is>
          <t>Gros entretien patrimonial annuel (% prix+travaux)</t>
        </is>
      </c>
      <c r="B16" s="13" t="n">
        <v>0.018</v>
      </c>
      <c r="C16" t="inlineStr">
        <is>
          <t>%</t>
        </is>
      </c>
      <c r="D16" t="inlineStr">
        <is>
          <t>≈ 41 k€/an sur (bâti + travaux) : Demeure Historique ≥ 40 k€/an hors restauration (PL [A8]) ; Barnes 20-80 k€/an [A4 §11] ; démarre en année d'acquisition + 3</t>
        </is>
      </c>
    </row>
    <row r="17">
      <c r="A17" t="inlineStr">
        <is>
          <t>Valeur de sortie an 10 (% prix + travaux cumulés)</t>
        </is>
      </c>
      <c r="B17" s="13" t="n">
        <v>0.8</v>
      </c>
      <c r="C17" t="inlineStr">
        <is>
          <t>%</t>
        </is>
      </c>
      <c r="D17" t="inlineStr">
        <is>
          <t>EST : Haras de Hus affiché 20 → 12,9 M€ ; les châteaux se revendent sous leur coût [A1, A7]</t>
        </is>
      </c>
    </row>
    <row r="18">
      <c r="A18" t="inlineStr">
        <is>
          <t>Loyer annuel versé avant acquisition (scénario location)</t>
        </is>
      </c>
      <c r="B18" s="12" t="n">
        <v>0</v>
      </c>
      <c r="C18" t="inlineStr">
        <is>
          <t>€</t>
        </is>
      </c>
      <c r="D18" t="inlineStr">
        <is>
          <t>Sans objet</t>
        </is>
      </c>
    </row>
    <row r="19">
      <c r="A19" t="inlineStr">
        <is>
          <t>Frais de cession à la sortie (% de la valeur)</t>
        </is>
      </c>
      <c r="B19" s="13" t="n">
        <v>0.05</v>
      </c>
      <c r="C19" t="inlineStr">
        <is>
          <t>%</t>
        </is>
      </c>
      <c r="D19" t="inlineStr">
        <is>
          <t>EST</t>
        </is>
      </c>
    </row>
    <row r="20">
      <c r="A20" t="inlineStr">
        <is>
          <t>Loyer de la partie privée payé par le fondateur (hors CA d'exploitation)</t>
        </is>
      </c>
      <c r="B20" s="12" t="n">
        <v>0</v>
      </c>
      <c r="C20" t="inlineStr">
        <is>
          <t>€</t>
        </is>
      </c>
      <c r="D20" t="inlineStr">
        <is>
          <t>Correction audit M1 : aucun loyer privé compté — le logis doit être détenu à part (SCI à l'IR, hors taxe 235 ter C [A6]) et payé par le fondateur personnellement</t>
        </is>
      </c>
    </row>
    <row r="22">
      <c r="A22" s="10" t="inlineStr">
        <is>
          <t>2. Financement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t="inlineStr">
        <is>
          <t>Apport du fondateur (année 1)</t>
        </is>
      </c>
      <c r="B23" s="12" t="n">
        <v>3900000</v>
      </c>
      <c r="C23" t="inlineStr">
        <is>
          <t>€</t>
        </is>
      </c>
      <c r="D23" t="inlineStr">
        <is>
          <t>Test : tout financé en fonds propres (emplois + réserve)</t>
        </is>
      </c>
    </row>
    <row r="24">
      <c r="A24" t="inlineStr">
        <is>
          <t>Fonds propres apportés à l'acquisition (investisseurs ou holding)</t>
        </is>
      </c>
      <c r="B24" s="12" t="n">
        <v>0</v>
      </c>
      <c r="C24" t="inlineStr">
        <is>
          <t>€</t>
        </is>
      </c>
      <c r="D24" t="inlineStr">
        <is>
          <t>Aucun investisseur</t>
        </is>
      </c>
    </row>
    <row r="25">
      <c r="A25" t="inlineStr">
        <is>
          <t>Ces fonds propres viennent-ils de la holding du fondateur ? (1/0)</t>
        </is>
      </c>
      <c r="B25" s="12" t="n">
        <v>0</v>
      </c>
      <c r="C25" t="inlineStr"/>
      <c r="D25" t="inlineStr"/>
    </row>
    <row r="26">
      <c r="A26" t="inlineStr">
        <is>
          <t>Subventions (non acquises : 0 par défaut)</t>
        </is>
      </c>
      <c r="B26" s="12" t="n">
        <v>0</v>
      </c>
      <c r="C26" t="inlineStr">
        <is>
          <t>€</t>
        </is>
      </c>
      <c r="D26" t="inlineStr">
        <is>
          <t>Aucune subvention considérée comme acquise</t>
        </is>
      </c>
    </row>
    <row r="27">
      <c r="A27" t="inlineStr">
        <is>
          <t>Dette bancaire (année d'acquisition)</t>
        </is>
      </c>
      <c r="B27" s="12" t="n">
        <v>0</v>
      </c>
      <c r="C27" t="inlineStr">
        <is>
          <t>€</t>
        </is>
      </c>
      <c r="D27" t="inlineStr">
        <is>
          <t>Test</t>
        </is>
      </c>
    </row>
    <row r="28">
      <c r="A28" t="inlineStr">
        <is>
          <t>Taux de la dette bancaire</t>
        </is>
      </c>
      <c r="B28" s="13" t="n">
        <v>0.04</v>
      </c>
      <c r="C28" t="inlineStr">
        <is>
          <t>%</t>
        </is>
      </c>
      <c r="D28" t="inlineStr">
        <is>
          <t>PL : nouveaux crédits PME 3,64 % (FBF, 06/2026) ; EX : 3,66 % (BdF, 08/2026) ; retenu 4,0 % [A2]</t>
        </is>
      </c>
    </row>
    <row r="29">
      <c r="A29" t="inlineStr">
        <is>
          <t>Durée dette bancaire</t>
        </is>
      </c>
      <c r="B29" s="12" t="n">
        <v>20</v>
      </c>
      <c r="C29" t="inlineStr">
        <is>
          <t>ans</t>
        </is>
      </c>
      <c r="D29" t="inlineStr">
        <is>
          <t>A2 (Bpifrance : 15 ans avec hypothèque, PL)</t>
        </is>
      </c>
    </row>
    <row r="30">
      <c r="A30" t="inlineStr">
        <is>
          <t>Différé d'amortissement (dans la durée)</t>
        </is>
      </c>
      <c r="B30" s="12" t="n">
        <v>1</v>
      </c>
      <c r="C30" t="inlineStr">
        <is>
          <t>ans</t>
        </is>
      </c>
      <c r="D30" t="inlineStr">
        <is>
          <t>EST</t>
        </is>
      </c>
    </row>
    <row r="31">
      <c r="A31" t="inlineStr">
        <is>
          <t>Crédit-vendeur</t>
        </is>
      </c>
      <c r="B31" s="12" t="n">
        <v>0</v>
      </c>
      <c r="C31" t="inlineStr">
        <is>
          <t>€</t>
        </is>
      </c>
      <c r="D31" t="inlineStr"/>
    </row>
    <row r="32">
      <c r="A32" t="inlineStr">
        <is>
          <t>Taux crédit-vendeur</t>
        </is>
      </c>
      <c r="B32" s="13" t="n">
        <v>0.03</v>
      </c>
      <c r="C32" t="inlineStr">
        <is>
          <t>%</t>
        </is>
      </c>
      <c r="D32" t="inlineStr">
        <is>
          <t>EST</t>
        </is>
      </c>
    </row>
    <row r="33">
      <c r="A33" t="inlineStr">
        <is>
          <t>Durée crédit-vendeur (amortissable)</t>
        </is>
      </c>
      <c r="B33" s="12" t="n">
        <v>12</v>
      </c>
      <c r="C33" t="inlineStr">
        <is>
          <t>ans</t>
        </is>
      </c>
      <c r="D33" t="inlineStr">
        <is>
          <t>EST</t>
        </is>
      </c>
    </row>
    <row r="34">
      <c r="A34" t="inlineStr">
        <is>
          <t>Obligations / quasi-fonds propres (in fine)</t>
        </is>
      </c>
      <c r="B34" s="12" t="n">
        <v>0</v>
      </c>
      <c r="C34" t="inlineStr">
        <is>
          <t>€</t>
        </is>
      </c>
      <c r="D34" t="inlineStr"/>
    </row>
    <row r="35">
      <c r="A35" t="inlineStr">
        <is>
          <t>Coupon annuel des obligations</t>
        </is>
      </c>
      <c r="B35" s="13" t="n">
        <v>0.07000000000000001</v>
      </c>
      <c r="C35" t="inlineStr">
        <is>
          <t>%</t>
        </is>
      </c>
      <c r="D35" t="inlineStr">
        <is>
          <t>PL : obligations Château Fontenay 7 % [A2]</t>
        </is>
      </c>
    </row>
    <row r="36">
      <c r="A36" t="inlineStr">
        <is>
          <t>Année de remboursement des obligations</t>
        </is>
      </c>
      <c r="B36" s="12" t="n">
        <v>6</v>
      </c>
      <c r="C36" t="inlineStr">
        <is>
          <t>année</t>
        </is>
      </c>
      <c r="D36" t="inlineStr">
        <is>
          <t>EST</t>
        </is>
      </c>
    </row>
    <row r="37">
      <c r="A37" t="inlineStr">
        <is>
          <t>Part de capital supplémentaire accordée au fondateur pour son travail (sweat equity)</t>
        </is>
      </c>
      <c r="B37" s="13" t="n">
        <v>0</v>
      </c>
      <c r="C37" t="inlineStr">
        <is>
          <t>%</t>
        </is>
      </c>
      <c r="D37" t="inlineStr">
        <is>
          <t>Fondateur seul</t>
        </is>
      </c>
    </row>
    <row r="38">
      <c r="A38" t="inlineStr">
        <is>
          <t>Droits de vote du fondateur</t>
        </is>
      </c>
      <c r="B38" s="13" t="n">
        <v>1</v>
      </c>
      <c r="C38" t="inlineStr">
        <is>
          <t>%</t>
        </is>
      </c>
      <c r="D38" t="inlineStr"/>
    </row>
    <row r="39">
      <c r="A39" t="inlineStr">
        <is>
          <t>Réserve de liquidité cible</t>
        </is>
      </c>
      <c r="B39" s="12" t="n">
        <v>150000</v>
      </c>
      <c r="C39" t="inlineStr">
        <is>
          <t>€</t>
        </is>
      </c>
      <c r="D39" t="inlineStr">
        <is>
          <t>EST</t>
        </is>
      </c>
    </row>
    <row r="40">
      <c r="A40" t="inlineStr">
        <is>
          <t>TRI minimal exigé par des investisseurs extérieurs</t>
        </is>
      </c>
      <c r="B40" s="13" t="n">
        <v>0.06</v>
      </c>
      <c r="C40" t="inlineStr">
        <is>
          <t>%</t>
        </is>
      </c>
      <c r="D40" t="inlineStr">
        <is>
          <t>EST : rendement minimal d'un investisseur en fonds propres illiquide (Anaxago affiche 8,7 % net, PL [A2])</t>
        </is>
      </c>
    </row>
    <row r="41">
      <c r="A41" t="inlineStr">
        <is>
          <t>Le dirigeant est-il rémunéré par le domaine ? (1/0)</t>
        </is>
      </c>
      <c r="B41" s="12" t="n">
        <v>0</v>
      </c>
      <c r="C41" t="inlineStr"/>
      <c r="D41" t="inlineStr">
        <is>
          <t>Variante frugale : fondateur non rémunéré par le domaine</t>
        </is>
      </c>
    </row>
    <row r="42">
      <c r="A42" t="inlineStr">
        <is>
          <t>Part du capital du fondateur (calculée : apports au prorata + prime d'industrie, plafonnée à 100 %)</t>
        </is>
      </c>
      <c r="B42" s="14">
        <f>MIN(1,($B$23+$B$24*$B$25)/MAX(1,$B$23+$B$24)+$B$37)</f>
        <v/>
      </c>
    </row>
    <row r="44">
      <c r="A44" s="10" t="inlineStr">
        <is>
          <t>3. Paramètres de stress (neutres = 100 % / 0)</t>
        </is>
      </c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</row>
    <row r="45">
      <c r="A45" t="inlineStr">
        <is>
          <t>Multiplicateur de chiffre d'affaires</t>
        </is>
      </c>
      <c r="B45" s="13" t="n">
        <v>0.85</v>
      </c>
      <c r="C45" t="inlineStr">
        <is>
          <t>%</t>
        </is>
      </c>
      <c r="D45" t="inlineStr">
        <is>
          <t>Stress test</t>
        </is>
      </c>
    </row>
    <row r="46">
      <c r="A46" t="inlineStr">
        <is>
          <t>Multiplicateur du budget travaux</t>
        </is>
      </c>
      <c r="B46" s="13" t="n">
        <v>1.15</v>
      </c>
      <c r="C46" t="inlineStr">
        <is>
          <t>%</t>
        </is>
      </c>
      <c r="D46" t="inlineStr">
        <is>
          <t>Stress test</t>
        </is>
      </c>
    </row>
    <row r="47">
      <c r="A47" t="inlineStr">
        <is>
          <t>Retard d'ouverture</t>
        </is>
      </c>
      <c r="B47" s="12" t="n">
        <v>1</v>
      </c>
      <c r="C47" t="inlineStr">
        <is>
          <t>ans</t>
        </is>
      </c>
      <c r="D47" t="inlineStr">
        <is>
          <t>neutre</t>
        </is>
      </c>
    </row>
    <row r="48">
      <c r="A48" t="inlineStr">
        <is>
          <t>Hausse du taux bancaire (points)</t>
        </is>
      </c>
      <c r="B48" s="13" t="n">
        <v>0.01</v>
      </c>
      <c r="C48" t="inlineStr">
        <is>
          <t>%</t>
        </is>
      </c>
      <c r="D48" t="inlineStr">
        <is>
          <t>Stress test</t>
        </is>
      </c>
    </row>
    <row r="49">
      <c r="A49" t="inlineStr">
        <is>
          <t>Part des fonds investisseurs non versée</t>
        </is>
      </c>
      <c r="B49" s="13" t="n">
        <v>0</v>
      </c>
      <c r="C49" t="inlineStr">
        <is>
          <t>%</t>
        </is>
      </c>
      <c r="D49" t="inlineStr">
        <is>
          <t>neutre</t>
        </is>
      </c>
    </row>
    <row r="50">
      <c r="A50" t="inlineStr">
        <is>
          <t>Part des événements annulés</t>
        </is>
      </c>
      <c r="B50" s="13" t="n">
        <v>0</v>
      </c>
      <c r="C50" t="inlineStr">
        <is>
          <t>%</t>
        </is>
      </c>
      <c r="D50" t="inlineStr">
        <is>
          <t>neutre</t>
        </is>
      </c>
    </row>
    <row r="52">
      <c r="A52" s="10" t="inlineStr">
        <is>
          <t>4. Exploitation — hypothèses générales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t="inlineStr">
        <is>
          <t>Montée en charge : 1re année d'exploitation</t>
        </is>
      </c>
      <c r="B53" s="13" t="n">
        <v>0.5</v>
      </c>
      <c r="C53" t="inlineStr">
        <is>
          <t>%</t>
        </is>
      </c>
      <c r="D53" t="inlineStr">
        <is>
          <t>A4 : mariages 40/70/100 % ; gîte 50/80/100 %</t>
        </is>
      </c>
    </row>
    <row r="54">
      <c r="A54" t="inlineStr">
        <is>
          <t>Montée en charge : 2e année</t>
        </is>
      </c>
      <c r="B54" s="13" t="n">
        <v>0.8</v>
      </c>
      <c r="C54" t="inlineStr">
        <is>
          <t>%</t>
        </is>
      </c>
      <c r="D54" t="inlineStr">
        <is>
          <t>EST</t>
        </is>
      </c>
    </row>
    <row r="55">
      <c r="A55" t="inlineStr">
        <is>
          <t>Montée en charge : 3e année</t>
        </is>
      </c>
      <c r="B55" s="13" t="n">
        <v>1</v>
      </c>
      <c r="C55" t="inlineStr">
        <is>
          <t>%</t>
        </is>
      </c>
      <c r="D55" t="inlineStr">
        <is>
          <t>EST</t>
        </is>
      </c>
    </row>
    <row r="56">
      <c r="A56" t="inlineStr">
        <is>
          <t>Indexation annuelle des prix</t>
        </is>
      </c>
      <c r="B56" s="13" t="n">
        <v>0.02</v>
      </c>
      <c r="C56" t="inlineStr">
        <is>
          <t>%</t>
        </is>
      </c>
      <c r="D56" t="inlineStr">
        <is>
          <t>EST</t>
        </is>
      </c>
    </row>
    <row r="57">
      <c r="A57" t="inlineStr">
        <is>
          <t>Inflation annuelle des charges</t>
        </is>
      </c>
      <c r="B57" s="13" t="n">
        <v>0.02</v>
      </c>
      <c r="C57" t="inlineStr">
        <is>
          <t>%</t>
        </is>
      </c>
      <c r="D57" t="inlineStr">
        <is>
          <t>EST : indexation identique aux prix (correction audit, biais pessimiste retiré)</t>
        </is>
      </c>
    </row>
    <row r="58">
      <c r="A58" t="inlineStr">
        <is>
          <t>BFR en % du CA (négatif = acomptes clients)</t>
        </is>
      </c>
      <c r="B58" s="13" t="n">
        <v>-0.03</v>
      </c>
      <c r="C58" t="inlineStr">
        <is>
          <t>%</t>
        </is>
      </c>
      <c r="D58" t="inlineStr">
        <is>
          <t>Acomptes (mariages, pensions payées d'avance) — EST</t>
        </is>
      </c>
    </row>
    <row r="59">
      <c r="A59" t="inlineStr">
        <is>
          <t>Taux normal d'IS</t>
        </is>
      </c>
      <c r="B59" s="13" t="n">
        <v>0.25</v>
      </c>
      <c r="C59" t="inlineStr">
        <is>
          <t>%</t>
        </is>
      </c>
      <c r="D59" t="inlineStr">
        <is>
          <t>PL : IS 25 % au-delà de 42 500 € [A6]</t>
        </is>
      </c>
    </row>
    <row r="60">
      <c r="A60" t="inlineStr">
        <is>
          <t>Taux réduit d'IS (PME, jusqu'au seuil)</t>
        </is>
      </c>
      <c r="B60" s="13" t="n">
        <v>0.15</v>
      </c>
      <c r="C60" t="inlineStr">
        <is>
          <t>%</t>
        </is>
      </c>
      <c r="D60" t="inlineStr">
        <is>
          <t>PL : 15 % jusqu'à 42 500 € (PME) [A6]</t>
        </is>
      </c>
    </row>
    <row r="61">
      <c r="A61" t="inlineStr">
        <is>
          <t>Seuil du taux réduit d'IS</t>
        </is>
      </c>
      <c r="B61" s="12" t="n">
        <v>42500</v>
      </c>
      <c r="C61" t="inlineStr">
        <is>
          <t>€</t>
        </is>
      </c>
      <c r="D61" t="inlineStr">
        <is>
          <t>PL [A6]</t>
        </is>
      </c>
    </row>
    <row r="63">
      <c r="A63" s="10" t="inlineStr">
        <is>
          <t>5. Lignes de revenus (à maturité, euros de l'année d'ouverture)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</row>
    <row r="64">
      <c r="A64" s="4" t="inlineStr">
        <is>
          <t>Libellé</t>
        </is>
      </c>
      <c r="B64" s="4" t="inlineStr">
        <is>
          <t>Volume</t>
        </is>
      </c>
      <c r="C64" s="4" t="inlineStr">
        <is>
          <t>Prix unitaire</t>
        </is>
      </c>
      <c r="D64" s="4" t="inlineStr">
        <is>
          <t>Coût var. %</t>
        </is>
      </c>
      <c r="E64" s="4" t="inlineStr">
        <is>
          <t>Événement ?</t>
        </is>
      </c>
      <c r="F64" s="4" t="inlineStr">
        <is>
          <t>Équestre ?</t>
        </is>
      </c>
      <c r="G64" s="4" t="inlineStr">
        <is>
          <t>Unité / source</t>
        </is>
      </c>
    </row>
    <row r="65">
      <c r="A65" t="inlineStr">
        <is>
          <t>Pension box premium (places occupées)</t>
        </is>
      </c>
      <c r="B65" s="15" t="n">
        <v>22</v>
      </c>
      <c r="C65" s="12" t="n">
        <v>5118</v>
      </c>
      <c r="D65" s="13" t="n">
        <v>0.23</v>
      </c>
      <c r="E65" s="16" t="n">
        <v>0</v>
      </c>
      <c r="F65" s="16" t="n">
        <v>1</v>
      </c>
      <c r="G65" t="inlineStr">
        <is>
          <t>PL : 450 € TTC/mois = 3e quartile hors IdF (médiane 375 €, 10 % des offres ≥ 520 €) [A3, recalcul A8] → 426,5 € HT à TVA 5,5 % ; 24 box × 92 % ; coûts directs 1 200 €/an EST</t>
        </is>
      </c>
    </row>
    <row r="66">
      <c r="A66" t="inlineStr">
        <is>
          <t>Pension au pré (places occupées)</t>
        </is>
      </c>
      <c r="B66" s="15" t="n">
        <v>23</v>
      </c>
      <c r="C66" s="12" t="n">
        <v>2502</v>
      </c>
      <c r="D66" s="13" t="n">
        <v>0.245</v>
      </c>
      <c r="E66" s="16" t="n">
        <v>0</v>
      </c>
      <c r="F66" s="16" t="n">
        <v>1</v>
      </c>
      <c r="G66" t="inlineStr">
        <is>
          <t>PL : 220 € TTC/mois (médianes 200-240 €) → 208,5 € HT [A3 H3] ; 25 places × 92 % ; coûts 613 €/an [A3 §4]</t>
        </is>
      </c>
    </row>
    <row r="67">
      <c r="A67" t="inlineStr">
        <is>
          <t>Pension retraite / convalescence (places occupées)</t>
        </is>
      </c>
      <c r="B67" s="15" t="n">
        <v>9</v>
      </c>
      <c r="C67" s="12" t="n">
        <v>2100</v>
      </c>
      <c r="D67" s="13" t="n">
        <v>0.24</v>
      </c>
      <c r="E67" s="16" t="n">
        <v>0</v>
      </c>
      <c r="F67" s="16" t="n">
        <v>1</v>
      </c>
      <c r="G67" t="inlineStr">
        <is>
          <t>PL : 210 € TTC/mois, TVA 20 % → 175 € HT [A3 H4] ; 10 places × 90 %</t>
        </is>
      </c>
    </row>
    <row r="68">
      <c r="A68" t="inlineStr">
        <is>
          <t>Mariages (location du lieu + hébergement 15 couchages)</t>
        </is>
      </c>
      <c r="B68" s="15" t="n">
        <v>12</v>
      </c>
      <c r="C68" s="12" t="n">
        <v>4197</v>
      </c>
      <c r="D68" s="13" t="n">
        <v>0.43</v>
      </c>
      <c r="E68" s="16" t="n">
        <v>1</v>
      </c>
      <c r="F68" s="16" t="n">
        <v>0</v>
      </c>
      <c r="G68" t="inlineStr">
        <is>
          <t>PL : médiane 3 400 € TTC location (17 châteaux) + 1 500 € TTC hébergement → 4 197 € HT [A4 §13.1] ; 12/an EST ; coût variable 1 450 € + 8 %</t>
        </is>
      </c>
    </row>
    <row r="69">
      <c r="A69" t="inlineStr">
        <is>
          <t>Gîte 15 couchages hors mariages (nuits)</t>
        </is>
      </c>
      <c r="B69" s="15" t="n">
        <v>92</v>
      </c>
      <c r="C69" s="12" t="n">
        <v>450</v>
      </c>
      <c r="D69" s="13" t="n">
        <v>0.45</v>
      </c>
      <c r="E69" s="16" t="n">
        <v>0</v>
      </c>
      <c r="F69" s="16" t="n">
        <v>0</v>
      </c>
      <c r="G69" t="inlineStr">
        <is>
          <t>PL : fourchettes de prix [A4 §4.2] ; 92 nuits EST (occupation annuelle ≈ 33 % observée en Normandie hors saison) [A4 §4.3]</t>
        </is>
      </c>
    </row>
    <row r="70">
      <c r="A70" t="inlineStr">
        <is>
          <t>Séminaires à la journée (jours)</t>
        </is>
      </c>
      <c r="B70" s="15" t="n">
        <v>12</v>
      </c>
      <c r="C70" s="12" t="n">
        <v>800</v>
      </c>
      <c r="D70" s="13" t="n">
        <v>0.19</v>
      </c>
      <c r="E70" s="16" t="n">
        <v>1</v>
      </c>
      <c r="F70" s="16" t="n">
        <v>0</v>
      </c>
      <c r="G70" t="inlineStr">
        <is>
          <t>PL : salle 1 000 €/jour (Feugerets) ; 800 € HT retenu [A4 §3]</t>
        </is>
      </c>
    </row>
    <row r="71">
      <c r="A71" t="inlineStr">
        <is>
          <t>Tournages / shootings (jours)</t>
        </is>
      </c>
      <c r="B71" s="15" t="n">
        <v>3</v>
      </c>
      <c r="C71" s="12" t="n">
        <v>2000</v>
      </c>
      <c r="D71" s="13" t="n">
        <v>0.15</v>
      </c>
      <c r="E71" s="16" t="n">
        <v>1</v>
      </c>
      <c r="F71" s="16" t="n">
        <v>0</v>
      </c>
      <c r="G71" t="inlineStr">
        <is>
          <t>PL : 1 500-4 000 €/jour [A4 §5] ; fréquence EST</t>
        </is>
      </c>
    </row>
    <row r="72">
      <c r="A72" t="inlineStr">
        <is>
          <t>Fermage / vente d'herbe (ha)</t>
        </is>
      </c>
      <c r="B72" s="15" t="n">
        <v>10</v>
      </c>
      <c r="C72" s="12" t="n">
        <v>150</v>
      </c>
      <c r="D72" s="13" t="n">
        <v>0</v>
      </c>
      <c r="E72" s="16" t="n">
        <v>0</v>
      </c>
      <c r="F72" s="16" t="n">
        <v>0</v>
      </c>
      <c r="G72" t="inlineStr">
        <is>
          <t>PL : arrêtés Orne/Calvados 2026-27 : 50-268 €/ha [A4 §8.2]</t>
        </is>
      </c>
    </row>
    <row r="74">
      <c r="A74" s="10" t="inlineStr">
        <is>
          <t>6. Charges fixes annuelles (euros de l'année d'ouverture)</t>
        </is>
      </c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</row>
    <row r="75">
      <c r="A75" s="4" t="inlineStr">
        <is>
          <t>Libellé</t>
        </is>
      </c>
      <c r="B75" s="4" t="inlineStr">
        <is>
          <t>Montant/an</t>
        </is>
      </c>
      <c r="C75" s="4" t="inlineStr">
        <is>
          <t>Dès l'acq. (1) / dès l'ouverture (0)</t>
        </is>
      </c>
      <c r="G75" s="4" t="inlineStr">
        <is>
          <t>Source / statut</t>
        </is>
      </c>
    </row>
    <row r="76">
      <c r="A76" t="inlineStr">
        <is>
          <t>Taxe foncière</t>
        </is>
      </c>
      <c r="B76" s="12" t="n">
        <v>6000</v>
      </c>
      <c r="C76" s="16" t="n">
        <v>1</v>
      </c>
      <c r="G76" t="inlineStr">
        <is>
          <t>EX : 2,6-4,0 k€ sur 3 annonces ; EST 4-8 k€ [A4 §11]</t>
        </is>
      </c>
    </row>
    <row r="77">
      <c r="A77" t="inlineStr">
        <is>
          <t>Assurance multirisque château</t>
        </is>
      </c>
      <c r="B77" s="12" t="n">
        <v>12000</v>
      </c>
      <c r="C77" s="16" t="n">
        <v>1</v>
      </c>
      <c r="G77" t="inlineStr">
        <is>
          <t>Correction audit : courtier spécialisé 15-30 k€ (fiabilité moyenne), annonces ≥ 2,5 k€ [A4 §11, A8] ; EST 12 k€</t>
        </is>
      </c>
    </row>
    <row r="78">
      <c r="A78" t="inlineStr">
        <is>
          <t>Énergie (chauffage partiel, électricité, eau)</t>
        </is>
      </c>
      <c r="B78" s="12" t="n">
        <v>20000</v>
      </c>
      <c r="C78" s="16" t="n">
        <v>1</v>
      </c>
      <c r="G78" t="inlineStr">
        <is>
          <t>PL : Meung, Louvignies ; EX annonce Montluçon 18-25 k€ [A1, A4 §11] ; EST</t>
        </is>
      </c>
    </row>
    <row r="79">
      <c r="A79" t="inlineStr">
        <is>
          <t>Jardinier à mi-temps / prestataire</t>
        </is>
      </c>
      <c r="B79" s="12" t="n">
        <v>14000</v>
      </c>
      <c r="C79" s="16" t="n">
        <v>1</v>
      </c>
      <c r="G79" t="inlineStr">
        <is>
          <t>Variante frugale — EST</t>
        </is>
      </c>
    </row>
    <row r="80">
      <c r="A80" t="inlineStr">
        <is>
          <t>Divers (abonnements, petit matériel, véhicule, honoraires)</t>
        </is>
      </c>
      <c r="B80" s="12" t="n">
        <v>8000</v>
      </c>
      <c r="C80" s="16" t="n">
        <v>1</v>
      </c>
      <c r="G80" t="inlineStr">
        <is>
          <t>EST</t>
        </is>
      </c>
    </row>
    <row r="81">
      <c r="A81" t="inlineStr">
        <is>
          <t>Soigneurs (2 ETP chargés)</t>
        </is>
      </c>
      <c r="B81" s="12" t="n">
        <v>60000</v>
      </c>
      <c r="C81" s="16" t="n">
        <v>0</v>
      </c>
      <c r="G81" t="inlineStr">
        <is>
          <t>Variante frugale : le fondateur est le 3e ETP de l'écurie (non payé)</t>
        </is>
      </c>
    </row>
    <row r="82">
      <c r="A82" t="inlineStr">
        <is>
          <t>Autres charges de structure équestres (entretien installations, matériel, assurance RC, énergie écuries)</t>
        </is>
      </c>
      <c r="B82" s="12" t="n">
        <v>30000</v>
      </c>
      <c r="C82" s="16" t="n">
        <v>0</v>
      </c>
      <c r="G82" t="inlineStr">
        <is>
          <t>Calibré pour un EBE équestre ≈ 37 % (réf. pension hébergement 36-38 %, PL [A3 H10])</t>
        </is>
      </c>
    </row>
    <row r="83">
      <c r="A83" t="inlineStr">
        <is>
          <t>Coûts fixes mariages (coordination, nettoyage, publicité)</t>
        </is>
      </c>
      <c r="B83" s="12" t="n">
        <v>11000</v>
      </c>
      <c r="C83" s="16" t="n">
        <v>0</v>
      </c>
      <c r="G83" t="inlineStr">
        <is>
          <t>EST [A4 §13.1]</t>
        </is>
      </c>
    </row>
    <row r="84">
      <c r="A84" t="inlineStr">
        <is>
          <t>Coûts fixes du gîte</t>
        </is>
      </c>
      <c r="B84" s="12" t="n">
        <v>4400</v>
      </c>
      <c r="C84" s="16" t="n">
        <v>0</v>
      </c>
      <c r="G84" t="inlineStr">
        <is>
          <t>EST [A4 §13.1]</t>
        </is>
      </c>
    </row>
    <row r="85">
      <c r="A85" t="inlineStr">
        <is>
          <t>Commercial, site, salons</t>
        </is>
      </c>
      <c r="B85" s="12" t="n">
        <v>12000</v>
      </c>
      <c r="C85" s="16" t="n">
        <v>0</v>
      </c>
      <c r="G85" t="inlineStr">
        <is>
          <t>EST</t>
        </is>
      </c>
    </row>
    <row r="86">
      <c r="A86" t="inlineStr">
        <is>
          <t>Comptabilité, juridique, banque, logiciels</t>
        </is>
      </c>
      <c r="B86" s="12" t="n">
        <v>12000</v>
      </c>
      <c r="C86" s="16" t="n">
        <v>0</v>
      </c>
      <c r="G86" t="inlineStr">
        <is>
          <t>EST</t>
        </is>
      </c>
    </row>
    <row r="88">
      <c r="A88" s="10" t="inlineStr">
        <is>
          <t>7. Calcul sur 10 ans</t>
        </is>
      </c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</row>
    <row r="89">
      <c r="A89" s="4" t="inlineStr">
        <is>
          <t>Année</t>
        </is>
      </c>
      <c r="B89" s="4" t="inlineStr">
        <is>
          <t>Total / réf.</t>
        </is>
      </c>
      <c r="C89" s="4" t="n">
        <v>1</v>
      </c>
      <c r="D89" s="4" t="n">
        <v>2</v>
      </c>
      <c r="E89" s="4" t="n">
        <v>3</v>
      </c>
      <c r="F89" s="4" t="n">
        <v>4</v>
      </c>
      <c r="G89" s="4" t="n">
        <v>5</v>
      </c>
      <c r="H89" s="4" t="n">
        <v>6</v>
      </c>
      <c r="I89" s="4" t="n">
        <v>7</v>
      </c>
      <c r="J89" s="4" t="n">
        <v>8</v>
      </c>
      <c r="K89" s="4" t="n">
        <v>9</v>
      </c>
      <c r="L89" s="4" t="n">
        <v>10</v>
      </c>
    </row>
    <row r="90">
      <c r="A90" t="inlineStr">
        <is>
          <t>Année d'ouverture effective</t>
        </is>
      </c>
      <c r="C90" s="8">
        <f>$B$6+$B$47</f>
        <v/>
      </c>
      <c r="D90" s="8">
        <f>$B$6+$B$47</f>
        <v/>
      </c>
      <c r="E90" s="8">
        <f>$B$6+$B$47</f>
        <v/>
      </c>
      <c r="F90" s="8">
        <f>$B$6+$B$47</f>
        <v/>
      </c>
      <c r="G90" s="8">
        <f>$B$6+$B$47</f>
        <v/>
      </c>
      <c r="H90" s="8">
        <f>$B$6+$B$47</f>
        <v/>
      </c>
      <c r="I90" s="8">
        <f>$B$6+$B$47</f>
        <v/>
      </c>
      <c r="J90" s="8">
        <f>$B$6+$B$47</f>
        <v/>
      </c>
      <c r="K90" s="8">
        <f>$B$6+$B$47</f>
        <v/>
      </c>
      <c r="L90" s="8">
        <f>$B$6+$B$47</f>
        <v/>
      </c>
    </row>
    <row r="91">
      <c r="A91" t="inlineStr">
        <is>
          <t>Rang de l'année d'exploitation</t>
        </is>
      </c>
      <c r="C91" s="8">
        <f>MAX(0,C$89-C90+1)</f>
        <v/>
      </c>
      <c r="D91" s="8">
        <f>MAX(0,D$89-D90+1)</f>
        <v/>
      </c>
      <c r="E91" s="8">
        <f>MAX(0,E$89-E90+1)</f>
        <v/>
      </c>
      <c r="F91" s="8">
        <f>MAX(0,F$89-F90+1)</f>
        <v/>
      </c>
      <c r="G91" s="8">
        <f>MAX(0,G$89-G90+1)</f>
        <v/>
      </c>
      <c r="H91" s="8">
        <f>MAX(0,H$89-H90+1)</f>
        <v/>
      </c>
      <c r="I91" s="8">
        <f>MAX(0,I$89-I90+1)</f>
        <v/>
      </c>
      <c r="J91" s="8">
        <f>MAX(0,J$89-J90+1)</f>
        <v/>
      </c>
      <c r="K91" s="8">
        <f>MAX(0,K$89-K90+1)</f>
        <v/>
      </c>
      <c r="L91" s="8">
        <f>MAX(0,L$89-L90+1)</f>
        <v/>
      </c>
    </row>
    <row r="92">
      <c r="A92" t="inlineStr">
        <is>
          <t>Coefficient de montée en charge</t>
        </is>
      </c>
      <c r="C92" s="6">
        <f>IF(C91=0,0,IF(C91=1,$B$53,IF(C91=2,$B$54,IF(C91=3,$B$55,1))))</f>
        <v/>
      </c>
      <c r="D92" s="6">
        <f>IF(D91=0,0,IF(D91=1,$B$53,IF(D91=2,$B$54,IF(D91=3,$B$55,1))))</f>
        <v/>
      </c>
      <c r="E92" s="6">
        <f>IF(E91=0,0,IF(E91=1,$B$53,IF(E91=2,$B$54,IF(E91=3,$B$55,1))))</f>
        <v/>
      </c>
      <c r="F92" s="6">
        <f>IF(F91=0,0,IF(F91=1,$B$53,IF(F91=2,$B$54,IF(F91=3,$B$55,1))))</f>
        <v/>
      </c>
      <c r="G92" s="6">
        <f>IF(G91=0,0,IF(G91=1,$B$53,IF(G91=2,$B$54,IF(G91=3,$B$55,1))))</f>
        <v/>
      </c>
      <c r="H92" s="6">
        <f>IF(H91=0,0,IF(H91=1,$B$53,IF(H91=2,$B$54,IF(H91=3,$B$55,1))))</f>
        <v/>
      </c>
      <c r="I92" s="6">
        <f>IF(I91=0,0,IF(I91=1,$B$53,IF(I91=2,$B$54,IF(I91=3,$B$55,1))))</f>
        <v/>
      </c>
      <c r="J92" s="6">
        <f>IF(J91=0,0,IF(J91=1,$B$53,IF(J91=2,$B$54,IF(J91=3,$B$55,1))))</f>
        <v/>
      </c>
      <c r="K92" s="6">
        <f>IF(K91=0,0,IF(K91=1,$B$53,IF(K91=2,$B$54,IF(K91=3,$B$55,1))))</f>
        <v/>
      </c>
      <c r="L92" s="6">
        <f>IF(L91=0,0,IF(L91=1,$B$53,IF(L91=2,$B$54,IF(L91=3,$B$55,1))))</f>
        <v/>
      </c>
    </row>
    <row r="93">
      <c r="A93" t="inlineStr">
        <is>
          <t>Indice prix</t>
        </is>
      </c>
      <c r="C93" s="17">
        <f>(1+$B$56)^(C$89-1)</f>
        <v/>
      </c>
      <c r="D93" s="17">
        <f>(1+$B$56)^(D$89-1)</f>
        <v/>
      </c>
      <c r="E93" s="17">
        <f>(1+$B$56)^(E$89-1)</f>
        <v/>
      </c>
      <c r="F93" s="17">
        <f>(1+$B$56)^(F$89-1)</f>
        <v/>
      </c>
      <c r="G93" s="17">
        <f>(1+$B$56)^(G$89-1)</f>
        <v/>
      </c>
      <c r="H93" s="17">
        <f>(1+$B$56)^(H$89-1)</f>
        <v/>
      </c>
      <c r="I93" s="17">
        <f>(1+$B$56)^(I$89-1)</f>
        <v/>
      </c>
      <c r="J93" s="17">
        <f>(1+$B$56)^(J$89-1)</f>
        <v/>
      </c>
      <c r="K93" s="17">
        <f>(1+$B$56)^(K$89-1)</f>
        <v/>
      </c>
      <c r="L93" s="17">
        <f>(1+$B$56)^(L$89-1)</f>
        <v/>
      </c>
    </row>
    <row r="94">
      <c r="A94" t="inlineStr">
        <is>
          <t>Indice charges</t>
        </is>
      </c>
      <c r="C94" s="17">
        <f>(1+$B$57)^(C$89-1)</f>
        <v/>
      </c>
      <c r="D94" s="17">
        <f>(1+$B$57)^(D$89-1)</f>
        <v/>
      </c>
      <c r="E94" s="17">
        <f>(1+$B$57)^(E$89-1)</f>
        <v/>
      </c>
      <c r="F94" s="17">
        <f>(1+$B$57)^(F$89-1)</f>
        <v/>
      </c>
      <c r="G94" s="17">
        <f>(1+$B$57)^(G$89-1)</f>
        <v/>
      </c>
      <c r="H94" s="17">
        <f>(1+$B$57)^(H$89-1)</f>
        <v/>
      </c>
      <c r="I94" s="17">
        <f>(1+$B$57)^(I$89-1)</f>
        <v/>
      </c>
      <c r="J94" s="17">
        <f>(1+$B$57)^(J$89-1)</f>
        <v/>
      </c>
      <c r="K94" s="17">
        <f>(1+$B$57)^(K$89-1)</f>
        <v/>
      </c>
      <c r="L94" s="17">
        <f>(1+$B$57)^(L$89-1)</f>
        <v/>
      </c>
    </row>
    <row r="95">
      <c r="A95" t="inlineStr">
        <is>
          <t>Murs détenus (1/0)</t>
        </is>
      </c>
      <c r="C95" s="8">
        <f>IF(C$89&gt;=$B$5,1,0)</f>
        <v/>
      </c>
      <c r="D95" s="8">
        <f>IF(D$89&gt;=$B$5,1,0)</f>
        <v/>
      </c>
      <c r="E95" s="8">
        <f>IF(E$89&gt;=$B$5,1,0)</f>
        <v/>
      </c>
      <c r="F95" s="8">
        <f>IF(F$89&gt;=$B$5,1,0)</f>
        <v/>
      </c>
      <c r="G95" s="8">
        <f>IF(G$89&gt;=$B$5,1,0)</f>
        <v/>
      </c>
      <c r="H95" s="8">
        <f>IF(H$89&gt;=$B$5,1,0)</f>
        <v/>
      </c>
      <c r="I95" s="8">
        <f>IF(I$89&gt;=$B$5,1,0)</f>
        <v/>
      </c>
      <c r="J95" s="8">
        <f>IF(J$89&gt;=$B$5,1,0)</f>
        <v/>
      </c>
      <c r="K95" s="8">
        <f>IF(K$89&gt;=$B$5,1,0)</f>
        <v/>
      </c>
      <c r="L95" s="8">
        <f>IF(L$89&gt;=$B$5,1,0)</f>
        <v/>
      </c>
    </row>
    <row r="97">
      <c r="A97" s="4" t="inlineStr">
        <is>
          <t>Compte de résultat</t>
        </is>
      </c>
    </row>
    <row r="98">
      <c r="A98" t="inlineStr">
        <is>
          <t xml:space="preserve">  Pension box premium (places occupées)</t>
        </is>
      </c>
      <c r="B98" s="5">
        <f>SUM(C98:L98)</f>
        <v/>
      </c>
      <c r="C98" s="5">
        <f>$B$65*$C$65*C92*C93*$B$45*(1-$E$65*$B$50)</f>
        <v/>
      </c>
      <c r="D98" s="5">
        <f>$B$65*$C$65*D92*D93*$B$45*(1-$E$65*$B$50)</f>
        <v/>
      </c>
      <c r="E98" s="5">
        <f>$B$65*$C$65*E92*E93*$B$45*(1-$E$65*$B$50)</f>
        <v/>
      </c>
      <c r="F98" s="5">
        <f>$B$65*$C$65*F92*F93*$B$45*(1-$E$65*$B$50)</f>
        <v/>
      </c>
      <c r="G98" s="5">
        <f>$B$65*$C$65*G92*G93*$B$45*(1-$E$65*$B$50)</f>
        <v/>
      </c>
      <c r="H98" s="5">
        <f>$B$65*$C$65*H92*H93*$B$45*(1-$E$65*$B$50)</f>
        <v/>
      </c>
      <c r="I98" s="5">
        <f>$B$65*$C$65*I92*I93*$B$45*(1-$E$65*$B$50)</f>
        <v/>
      </c>
      <c r="J98" s="5">
        <f>$B$65*$C$65*J92*J93*$B$45*(1-$E$65*$B$50)</f>
        <v/>
      </c>
      <c r="K98" s="5">
        <f>$B$65*$C$65*K92*K93*$B$45*(1-$E$65*$B$50)</f>
        <v/>
      </c>
      <c r="L98" s="5">
        <f>$B$65*$C$65*L92*L93*$B$45*(1-$E$65*$B$50)</f>
        <v/>
      </c>
    </row>
    <row r="99">
      <c r="A99" t="inlineStr">
        <is>
          <t xml:space="preserve">  Pension au pré (places occupées)</t>
        </is>
      </c>
      <c r="B99" s="5">
        <f>SUM(C99:L99)</f>
        <v/>
      </c>
      <c r="C99" s="5">
        <f>$B$66*$C$66*C92*C93*$B$45*(1-$E$66*$B$50)</f>
        <v/>
      </c>
      <c r="D99" s="5">
        <f>$B$66*$C$66*D92*D93*$B$45*(1-$E$66*$B$50)</f>
        <v/>
      </c>
      <c r="E99" s="5">
        <f>$B$66*$C$66*E92*E93*$B$45*(1-$E$66*$B$50)</f>
        <v/>
      </c>
      <c r="F99" s="5">
        <f>$B$66*$C$66*F92*F93*$B$45*(1-$E$66*$B$50)</f>
        <v/>
      </c>
      <c r="G99" s="5">
        <f>$B$66*$C$66*G92*G93*$B$45*(1-$E$66*$B$50)</f>
        <v/>
      </c>
      <c r="H99" s="5">
        <f>$B$66*$C$66*H92*H93*$B$45*(1-$E$66*$B$50)</f>
        <v/>
      </c>
      <c r="I99" s="5">
        <f>$B$66*$C$66*I92*I93*$B$45*(1-$E$66*$B$50)</f>
        <v/>
      </c>
      <c r="J99" s="5">
        <f>$B$66*$C$66*J92*J93*$B$45*(1-$E$66*$B$50)</f>
        <v/>
      </c>
      <c r="K99" s="5">
        <f>$B$66*$C$66*K92*K93*$B$45*(1-$E$66*$B$50)</f>
        <v/>
      </c>
      <c r="L99" s="5">
        <f>$B$66*$C$66*L92*L93*$B$45*(1-$E$66*$B$50)</f>
        <v/>
      </c>
    </row>
    <row r="100">
      <c r="A100" t="inlineStr">
        <is>
          <t xml:space="preserve">  Pension retraite / convalescence (places occupées)</t>
        </is>
      </c>
      <c r="B100" s="5">
        <f>SUM(C100:L100)</f>
        <v/>
      </c>
      <c r="C100" s="5">
        <f>$B$67*$C$67*C92*C93*$B$45*(1-$E$67*$B$50)</f>
        <v/>
      </c>
      <c r="D100" s="5">
        <f>$B$67*$C$67*D92*D93*$B$45*(1-$E$67*$B$50)</f>
        <v/>
      </c>
      <c r="E100" s="5">
        <f>$B$67*$C$67*E92*E93*$B$45*(1-$E$67*$B$50)</f>
        <v/>
      </c>
      <c r="F100" s="5">
        <f>$B$67*$C$67*F92*F93*$B$45*(1-$E$67*$B$50)</f>
        <v/>
      </c>
      <c r="G100" s="5">
        <f>$B$67*$C$67*G92*G93*$B$45*(1-$E$67*$B$50)</f>
        <v/>
      </c>
      <c r="H100" s="5">
        <f>$B$67*$C$67*H92*H93*$B$45*(1-$E$67*$B$50)</f>
        <v/>
      </c>
      <c r="I100" s="5">
        <f>$B$67*$C$67*I92*I93*$B$45*(1-$E$67*$B$50)</f>
        <v/>
      </c>
      <c r="J100" s="5">
        <f>$B$67*$C$67*J92*J93*$B$45*(1-$E$67*$B$50)</f>
        <v/>
      </c>
      <c r="K100" s="5">
        <f>$B$67*$C$67*K92*K93*$B$45*(1-$E$67*$B$50)</f>
        <v/>
      </c>
      <c r="L100" s="5">
        <f>$B$67*$C$67*L92*L93*$B$45*(1-$E$67*$B$50)</f>
        <v/>
      </c>
    </row>
    <row r="101">
      <c r="A101" t="inlineStr">
        <is>
          <t xml:space="preserve">  Mariages (location du lieu + hébergement 15 couchages)</t>
        </is>
      </c>
      <c r="B101" s="5">
        <f>SUM(C101:L101)</f>
        <v/>
      </c>
      <c r="C101" s="5">
        <f>$B$68*$C$68*C92*C93*$B$45*(1-$E$68*$B$50)</f>
        <v/>
      </c>
      <c r="D101" s="5">
        <f>$B$68*$C$68*D92*D93*$B$45*(1-$E$68*$B$50)</f>
        <v/>
      </c>
      <c r="E101" s="5">
        <f>$B$68*$C$68*E92*E93*$B$45*(1-$E$68*$B$50)</f>
        <v/>
      </c>
      <c r="F101" s="5">
        <f>$B$68*$C$68*F92*F93*$B$45*(1-$E$68*$B$50)</f>
        <v/>
      </c>
      <c r="G101" s="5">
        <f>$B$68*$C$68*G92*G93*$B$45*(1-$E$68*$B$50)</f>
        <v/>
      </c>
      <c r="H101" s="5">
        <f>$B$68*$C$68*H92*H93*$B$45*(1-$E$68*$B$50)</f>
        <v/>
      </c>
      <c r="I101" s="5">
        <f>$B$68*$C$68*I92*I93*$B$45*(1-$E$68*$B$50)</f>
        <v/>
      </c>
      <c r="J101" s="5">
        <f>$B$68*$C$68*J92*J93*$B$45*(1-$E$68*$B$50)</f>
        <v/>
      </c>
      <c r="K101" s="5">
        <f>$B$68*$C$68*K92*K93*$B$45*(1-$E$68*$B$50)</f>
        <v/>
      </c>
      <c r="L101" s="5">
        <f>$B$68*$C$68*L92*L93*$B$45*(1-$E$68*$B$50)</f>
        <v/>
      </c>
    </row>
    <row r="102">
      <c r="A102" t="inlineStr">
        <is>
          <t xml:space="preserve">  Gîte 15 couchages hors mariages (nuits)</t>
        </is>
      </c>
      <c r="B102" s="5">
        <f>SUM(C102:L102)</f>
        <v/>
      </c>
      <c r="C102" s="5">
        <f>$B$69*$C$69*C92*C93*$B$45*(1-$E$69*$B$50)</f>
        <v/>
      </c>
      <c r="D102" s="5">
        <f>$B$69*$C$69*D92*D93*$B$45*(1-$E$69*$B$50)</f>
        <v/>
      </c>
      <c r="E102" s="5">
        <f>$B$69*$C$69*E92*E93*$B$45*(1-$E$69*$B$50)</f>
        <v/>
      </c>
      <c r="F102" s="5">
        <f>$B$69*$C$69*F92*F93*$B$45*(1-$E$69*$B$50)</f>
        <v/>
      </c>
      <c r="G102" s="5">
        <f>$B$69*$C$69*G92*G93*$B$45*(1-$E$69*$B$50)</f>
        <v/>
      </c>
      <c r="H102" s="5">
        <f>$B$69*$C$69*H92*H93*$B$45*(1-$E$69*$B$50)</f>
        <v/>
      </c>
      <c r="I102" s="5">
        <f>$B$69*$C$69*I92*I93*$B$45*(1-$E$69*$B$50)</f>
        <v/>
      </c>
      <c r="J102" s="5">
        <f>$B$69*$C$69*J92*J93*$B$45*(1-$E$69*$B$50)</f>
        <v/>
      </c>
      <c r="K102" s="5">
        <f>$B$69*$C$69*K92*K93*$B$45*(1-$E$69*$B$50)</f>
        <v/>
      </c>
      <c r="L102" s="5">
        <f>$B$69*$C$69*L92*L93*$B$45*(1-$E$69*$B$50)</f>
        <v/>
      </c>
    </row>
    <row r="103">
      <c r="A103" t="inlineStr">
        <is>
          <t xml:space="preserve">  Séminaires à la journée (jours)</t>
        </is>
      </c>
      <c r="B103" s="5">
        <f>SUM(C103:L103)</f>
        <v/>
      </c>
      <c r="C103" s="5">
        <f>$B$70*$C$70*C92*C93*$B$45*(1-$E$70*$B$50)</f>
        <v/>
      </c>
      <c r="D103" s="5">
        <f>$B$70*$C$70*D92*D93*$B$45*(1-$E$70*$B$50)</f>
        <v/>
      </c>
      <c r="E103" s="5">
        <f>$B$70*$C$70*E92*E93*$B$45*(1-$E$70*$B$50)</f>
        <v/>
      </c>
      <c r="F103" s="5">
        <f>$B$70*$C$70*F92*F93*$B$45*(1-$E$70*$B$50)</f>
        <v/>
      </c>
      <c r="G103" s="5">
        <f>$B$70*$C$70*G92*G93*$B$45*(1-$E$70*$B$50)</f>
        <v/>
      </c>
      <c r="H103" s="5">
        <f>$B$70*$C$70*H92*H93*$B$45*(1-$E$70*$B$50)</f>
        <v/>
      </c>
      <c r="I103" s="5">
        <f>$B$70*$C$70*I92*I93*$B$45*(1-$E$70*$B$50)</f>
        <v/>
      </c>
      <c r="J103" s="5">
        <f>$B$70*$C$70*J92*J93*$B$45*(1-$E$70*$B$50)</f>
        <v/>
      </c>
      <c r="K103" s="5">
        <f>$B$70*$C$70*K92*K93*$B$45*(1-$E$70*$B$50)</f>
        <v/>
      </c>
      <c r="L103" s="5">
        <f>$B$70*$C$70*L92*L93*$B$45*(1-$E$70*$B$50)</f>
        <v/>
      </c>
    </row>
    <row r="104">
      <c r="A104" t="inlineStr">
        <is>
          <t xml:space="preserve">  Tournages / shootings (jours)</t>
        </is>
      </c>
      <c r="B104" s="5">
        <f>SUM(C104:L104)</f>
        <v/>
      </c>
      <c r="C104" s="5">
        <f>$B$71*$C$71*C92*C93*$B$45*(1-$E$71*$B$50)</f>
        <v/>
      </c>
      <c r="D104" s="5">
        <f>$B$71*$C$71*D92*D93*$B$45*(1-$E$71*$B$50)</f>
        <v/>
      </c>
      <c r="E104" s="5">
        <f>$B$71*$C$71*E92*E93*$B$45*(1-$E$71*$B$50)</f>
        <v/>
      </c>
      <c r="F104" s="5">
        <f>$B$71*$C$71*F92*F93*$B$45*(1-$E$71*$B$50)</f>
        <v/>
      </c>
      <c r="G104" s="5">
        <f>$B$71*$C$71*G92*G93*$B$45*(1-$E$71*$B$50)</f>
        <v/>
      </c>
      <c r="H104" s="5">
        <f>$B$71*$C$71*H92*H93*$B$45*(1-$E$71*$B$50)</f>
        <v/>
      </c>
      <c r="I104" s="5">
        <f>$B$71*$C$71*I92*I93*$B$45*(1-$E$71*$B$50)</f>
        <v/>
      </c>
      <c r="J104" s="5">
        <f>$B$71*$C$71*J92*J93*$B$45*(1-$E$71*$B$50)</f>
        <v/>
      </c>
      <c r="K104" s="5">
        <f>$B$71*$C$71*K92*K93*$B$45*(1-$E$71*$B$50)</f>
        <v/>
      </c>
      <c r="L104" s="5">
        <f>$B$71*$C$71*L92*L93*$B$45*(1-$E$71*$B$50)</f>
        <v/>
      </c>
    </row>
    <row r="105">
      <c r="A105" t="inlineStr">
        <is>
          <t xml:space="preserve">  Fermage / vente d'herbe (ha)</t>
        </is>
      </c>
      <c r="B105" s="5">
        <f>SUM(C105:L105)</f>
        <v/>
      </c>
      <c r="C105" s="5">
        <f>$B$72*$C$72*C92*C93*$B$45*(1-$E$72*$B$50)</f>
        <v/>
      </c>
      <c r="D105" s="5">
        <f>$B$72*$C$72*D92*D93*$B$45*(1-$E$72*$B$50)</f>
        <v/>
      </c>
      <c r="E105" s="5">
        <f>$B$72*$C$72*E92*E93*$B$45*(1-$E$72*$B$50)</f>
        <v/>
      </c>
      <c r="F105" s="5">
        <f>$B$72*$C$72*F92*F93*$B$45*(1-$E$72*$B$50)</f>
        <v/>
      </c>
      <c r="G105" s="5">
        <f>$B$72*$C$72*G92*G93*$B$45*(1-$E$72*$B$50)</f>
        <v/>
      </c>
      <c r="H105" s="5">
        <f>$B$72*$C$72*H92*H93*$B$45*(1-$E$72*$B$50)</f>
        <v/>
      </c>
      <c r="I105" s="5">
        <f>$B$72*$C$72*I92*I93*$B$45*(1-$E$72*$B$50)</f>
        <v/>
      </c>
      <c r="J105" s="5">
        <f>$B$72*$C$72*J92*J93*$B$45*(1-$E$72*$B$50)</f>
        <v/>
      </c>
      <c r="K105" s="5">
        <f>$B$72*$C$72*K92*K93*$B$45*(1-$E$72*$B$50)</f>
        <v/>
      </c>
      <c r="L105" s="5">
        <f>$B$72*$C$72*L92*L93*$B$45*(1-$E$72*$B$50)</f>
        <v/>
      </c>
    </row>
    <row r="106">
      <c r="A106" s="4" t="inlineStr">
        <is>
          <t>Chiffre d'affaires total</t>
        </is>
      </c>
      <c r="B106" s="18">
        <f>SUM(C106:L106)</f>
        <v/>
      </c>
      <c r="C106" s="18">
        <f>C98+C99+C100+C101+C102+C103+C104+C105</f>
        <v/>
      </c>
      <c r="D106" s="18">
        <f>D98+D99+D100+D101+D102+D103+D104+D105</f>
        <v/>
      </c>
      <c r="E106" s="18">
        <f>E98+E99+E100+E101+E102+E103+E104+E105</f>
        <v/>
      </c>
      <c r="F106" s="18">
        <f>F98+F99+F100+F101+F102+F103+F104+F105</f>
        <v/>
      </c>
      <c r="G106" s="18">
        <f>G98+G99+G100+G101+G102+G103+G104+G105</f>
        <v/>
      </c>
      <c r="H106" s="18">
        <f>H98+H99+H100+H101+H102+H103+H104+H105</f>
        <v/>
      </c>
      <c r="I106" s="18">
        <f>I98+I99+I100+I101+I102+I103+I104+I105</f>
        <v/>
      </c>
      <c r="J106" s="18">
        <f>J98+J99+J100+J101+J102+J103+J104+J105</f>
        <v/>
      </c>
      <c r="K106" s="18">
        <f>K98+K99+K100+K101+K102+K103+K104+K105</f>
        <v/>
      </c>
      <c r="L106" s="18">
        <f>L98+L99+L100+L101+L102+L103+L104+L105</f>
        <v/>
      </c>
    </row>
    <row r="107">
      <c r="A107" t="inlineStr">
        <is>
          <t xml:space="preserve">  dont équestre</t>
        </is>
      </c>
      <c r="B107" s="5">
        <f>SUM(C107:L107)</f>
        <v/>
      </c>
      <c r="C107" s="5">
        <f>C98*$F$65+C99*$F$66+C100*$F$67+C101*$F$68+C102*$F$69+C103*$F$70+C104*$F$71+C105*$F$72</f>
        <v/>
      </c>
      <c r="D107" s="5">
        <f>D98*$F$65+D99*$F$66+D100*$F$67+D101*$F$68+D102*$F$69+D103*$F$70+D104*$F$71+D105*$F$72</f>
        <v/>
      </c>
      <c r="E107" s="5">
        <f>E98*$F$65+E99*$F$66+E100*$F$67+E101*$F$68+E102*$F$69+E103*$F$70+E104*$F$71+E105*$F$72</f>
        <v/>
      </c>
      <c r="F107" s="5">
        <f>F98*$F$65+F99*$F$66+F100*$F$67+F101*$F$68+F102*$F$69+F103*$F$70+F104*$F$71+F105*$F$72</f>
        <v/>
      </c>
      <c r="G107" s="5">
        <f>G98*$F$65+G99*$F$66+G100*$F$67+G101*$F$68+G102*$F$69+G103*$F$70+G104*$F$71+G105*$F$72</f>
        <v/>
      </c>
      <c r="H107" s="5">
        <f>H98*$F$65+H99*$F$66+H100*$F$67+H101*$F$68+H102*$F$69+H103*$F$70+H104*$F$71+H105*$F$72</f>
        <v/>
      </c>
      <c r="I107" s="5">
        <f>I98*$F$65+I99*$F$66+I100*$F$67+I101*$F$68+I102*$F$69+I103*$F$70+I104*$F$71+I105*$F$72</f>
        <v/>
      </c>
      <c r="J107" s="5">
        <f>J98*$F$65+J99*$F$66+J100*$F$67+J101*$F$68+J102*$F$69+J103*$F$70+J104*$F$71+J105*$F$72</f>
        <v/>
      </c>
      <c r="K107" s="5">
        <f>K98*$F$65+K99*$F$66+K100*$F$67+K101*$F$68+K102*$F$69+K103*$F$70+K104*$F$71+K105*$F$72</f>
        <v/>
      </c>
      <c r="L107" s="5">
        <f>L98*$F$65+L99*$F$66+L100*$F$67+L101*$F$68+L102*$F$69+L103*$F$70+L104*$F$71+L105*$F$72</f>
        <v/>
      </c>
    </row>
    <row r="108">
      <c r="A108" t="inlineStr">
        <is>
          <t xml:space="preserve">  Part équestre du CA</t>
        </is>
      </c>
      <c r="C108" s="6">
        <f>IF(C106=0,0,C107/C106)</f>
        <v/>
      </c>
      <c r="D108" s="6">
        <f>IF(D106=0,0,D107/D106)</f>
        <v/>
      </c>
      <c r="E108" s="6">
        <f>IF(E106=0,0,E107/E106)</f>
        <v/>
      </c>
      <c r="F108" s="6">
        <f>IF(F106=0,0,F107/F106)</f>
        <v/>
      </c>
      <c r="G108" s="6">
        <f>IF(G106=0,0,G107/G106)</f>
        <v/>
      </c>
      <c r="H108" s="6">
        <f>IF(H106=0,0,H107/H106)</f>
        <v/>
      </c>
      <c r="I108" s="6">
        <f>IF(I106=0,0,I107/I106)</f>
        <v/>
      </c>
      <c r="J108" s="6">
        <f>IF(J106=0,0,J107/J106)</f>
        <v/>
      </c>
      <c r="K108" s="6">
        <f>IF(K106=0,0,K107/K106)</f>
        <v/>
      </c>
      <c r="L108" s="6">
        <f>IF(L106=0,0,L107/L106)</f>
        <v/>
      </c>
    </row>
    <row r="109">
      <c r="A109" t="inlineStr">
        <is>
          <t>Coûts variables</t>
        </is>
      </c>
      <c r="B109" s="5">
        <f>SUM(C109:L109)</f>
        <v/>
      </c>
      <c r="C109" s="5">
        <f>-(C98*$D$65+C99*$D$66+C100*$D$67+C101*$D$68+C102*$D$69+C103*$D$70+C104*$D$71+C105*$D$72)</f>
        <v/>
      </c>
      <c r="D109" s="5">
        <f>-(D98*$D$65+D99*$D$66+D100*$D$67+D101*$D$68+D102*$D$69+D103*$D$70+D104*$D$71+D105*$D$72)</f>
        <v/>
      </c>
      <c r="E109" s="5">
        <f>-(E98*$D$65+E99*$D$66+E100*$D$67+E101*$D$68+E102*$D$69+E103*$D$70+E104*$D$71+E105*$D$72)</f>
        <v/>
      </c>
      <c r="F109" s="5">
        <f>-(F98*$D$65+F99*$D$66+F100*$D$67+F101*$D$68+F102*$D$69+F103*$D$70+F104*$D$71+F105*$D$72)</f>
        <v/>
      </c>
      <c r="G109" s="5">
        <f>-(G98*$D$65+G99*$D$66+G100*$D$67+G101*$D$68+G102*$D$69+G103*$D$70+G104*$D$71+G105*$D$72)</f>
        <v/>
      </c>
      <c r="H109" s="5">
        <f>-(H98*$D$65+H99*$D$66+H100*$D$67+H101*$D$68+H102*$D$69+H103*$D$70+H104*$D$71+H105*$D$72)</f>
        <v/>
      </c>
      <c r="I109" s="5">
        <f>-(I98*$D$65+I99*$D$66+I100*$D$67+I101*$D$68+I102*$D$69+I103*$D$70+I104*$D$71+I105*$D$72)</f>
        <v/>
      </c>
      <c r="J109" s="5">
        <f>-(J98*$D$65+J99*$D$66+J100*$D$67+J101*$D$68+J102*$D$69+J103*$D$70+J104*$D$71+J105*$D$72)</f>
        <v/>
      </c>
      <c r="K109" s="5">
        <f>-(K98*$D$65+K99*$D$66+K100*$D$67+K101*$D$68+K102*$D$69+K103*$D$70+K104*$D$71+K105*$D$72)</f>
        <v/>
      </c>
      <c r="L109" s="5">
        <f>-(L98*$D$65+L99*$D$66+L100*$D$67+L101*$D$68+L102*$D$69+L103*$D$70+L104*$D$71+L105*$D$72)</f>
        <v/>
      </c>
    </row>
    <row r="110">
      <c r="A110" s="4" t="inlineStr">
        <is>
          <t>Marge sur coûts variables</t>
        </is>
      </c>
      <c r="B110" s="18">
        <f>SUM(C110:L110)</f>
        <v/>
      </c>
      <c r="C110" s="18">
        <f>C106+C109</f>
        <v/>
      </c>
      <c r="D110" s="18">
        <f>D106+D109</f>
        <v/>
      </c>
      <c r="E110" s="18">
        <f>E106+E109</f>
        <v/>
      </c>
      <c r="F110" s="18">
        <f>F106+F109</f>
        <v/>
      </c>
      <c r="G110" s="18">
        <f>G106+G109</f>
        <v/>
      </c>
      <c r="H110" s="18">
        <f>H106+H109</f>
        <v/>
      </c>
      <c r="I110" s="18">
        <f>I106+I109</f>
        <v/>
      </c>
      <c r="J110" s="18">
        <f>J106+J109</f>
        <v/>
      </c>
      <c r="K110" s="18">
        <f>K106+K109</f>
        <v/>
      </c>
      <c r="L110" s="18">
        <f>L106+L109</f>
        <v/>
      </c>
    </row>
    <row r="111">
      <c r="A111" t="inlineStr">
        <is>
          <t xml:space="preserve">  Taxe foncière</t>
        </is>
      </c>
      <c r="B111" s="5">
        <f>SUM(C111:L111)</f>
        <v/>
      </c>
      <c r="C111" s="5">
        <f>-$B$76*C94*IF($C$76=1,C95,IF(C91&gt;0,1,0))</f>
        <v/>
      </c>
      <c r="D111" s="5">
        <f>-$B$76*D94*IF($C$76=1,D95,IF(D91&gt;0,1,0))</f>
        <v/>
      </c>
      <c r="E111" s="5">
        <f>-$B$76*E94*IF($C$76=1,E95,IF(E91&gt;0,1,0))</f>
        <v/>
      </c>
      <c r="F111" s="5">
        <f>-$B$76*F94*IF($C$76=1,F95,IF(F91&gt;0,1,0))</f>
        <v/>
      </c>
      <c r="G111" s="5">
        <f>-$B$76*G94*IF($C$76=1,G95,IF(G91&gt;0,1,0))</f>
        <v/>
      </c>
      <c r="H111" s="5">
        <f>-$B$76*H94*IF($C$76=1,H95,IF(H91&gt;0,1,0))</f>
        <v/>
      </c>
      <c r="I111" s="5">
        <f>-$B$76*I94*IF($C$76=1,I95,IF(I91&gt;0,1,0))</f>
        <v/>
      </c>
      <c r="J111" s="5">
        <f>-$B$76*J94*IF($C$76=1,J95,IF(J91&gt;0,1,0))</f>
        <v/>
      </c>
      <c r="K111" s="5">
        <f>-$B$76*K94*IF($C$76=1,K95,IF(K91&gt;0,1,0))</f>
        <v/>
      </c>
      <c r="L111" s="5">
        <f>-$B$76*L94*IF($C$76=1,L95,IF(L91&gt;0,1,0))</f>
        <v/>
      </c>
    </row>
    <row r="112">
      <c r="A112" t="inlineStr">
        <is>
          <t xml:space="preserve">  Assurance multirisque château</t>
        </is>
      </c>
      <c r="B112" s="5">
        <f>SUM(C112:L112)</f>
        <v/>
      </c>
      <c r="C112" s="5">
        <f>-$B$77*C94*IF($C$77=1,C95,IF(C91&gt;0,1,0))</f>
        <v/>
      </c>
      <c r="D112" s="5">
        <f>-$B$77*D94*IF($C$77=1,D95,IF(D91&gt;0,1,0))</f>
        <v/>
      </c>
      <c r="E112" s="5">
        <f>-$B$77*E94*IF($C$77=1,E95,IF(E91&gt;0,1,0))</f>
        <v/>
      </c>
      <c r="F112" s="5">
        <f>-$B$77*F94*IF($C$77=1,F95,IF(F91&gt;0,1,0))</f>
        <v/>
      </c>
      <c r="G112" s="5">
        <f>-$B$77*G94*IF($C$77=1,G95,IF(G91&gt;0,1,0))</f>
        <v/>
      </c>
      <c r="H112" s="5">
        <f>-$B$77*H94*IF($C$77=1,H95,IF(H91&gt;0,1,0))</f>
        <v/>
      </c>
      <c r="I112" s="5">
        <f>-$B$77*I94*IF($C$77=1,I95,IF(I91&gt;0,1,0))</f>
        <v/>
      </c>
      <c r="J112" s="5">
        <f>-$B$77*J94*IF($C$77=1,J95,IF(J91&gt;0,1,0))</f>
        <v/>
      </c>
      <c r="K112" s="5">
        <f>-$B$77*K94*IF($C$77=1,K95,IF(K91&gt;0,1,0))</f>
        <v/>
      </c>
      <c r="L112" s="5">
        <f>-$B$77*L94*IF($C$77=1,L95,IF(L91&gt;0,1,0))</f>
        <v/>
      </c>
    </row>
    <row r="113">
      <c r="A113" t="inlineStr">
        <is>
          <t xml:space="preserve">  Énergie (chauffage partiel, électricité, eau)</t>
        </is>
      </c>
      <c r="B113" s="5">
        <f>SUM(C113:L113)</f>
        <v/>
      </c>
      <c r="C113" s="5">
        <f>-$B$78*C94*IF($C$78=1,C95,IF(C91&gt;0,1,0))</f>
        <v/>
      </c>
      <c r="D113" s="5">
        <f>-$B$78*D94*IF($C$78=1,D95,IF(D91&gt;0,1,0))</f>
        <v/>
      </c>
      <c r="E113" s="5">
        <f>-$B$78*E94*IF($C$78=1,E95,IF(E91&gt;0,1,0))</f>
        <v/>
      </c>
      <c r="F113" s="5">
        <f>-$B$78*F94*IF($C$78=1,F95,IF(F91&gt;0,1,0))</f>
        <v/>
      </c>
      <c r="G113" s="5">
        <f>-$B$78*G94*IF($C$78=1,G95,IF(G91&gt;0,1,0))</f>
        <v/>
      </c>
      <c r="H113" s="5">
        <f>-$B$78*H94*IF($C$78=1,H95,IF(H91&gt;0,1,0))</f>
        <v/>
      </c>
      <c r="I113" s="5">
        <f>-$B$78*I94*IF($C$78=1,I95,IF(I91&gt;0,1,0))</f>
        <v/>
      </c>
      <c r="J113" s="5">
        <f>-$B$78*J94*IF($C$78=1,J95,IF(J91&gt;0,1,0))</f>
        <v/>
      </c>
      <c r="K113" s="5">
        <f>-$B$78*K94*IF($C$78=1,K95,IF(K91&gt;0,1,0))</f>
        <v/>
      </c>
      <c r="L113" s="5">
        <f>-$B$78*L94*IF($C$78=1,L95,IF(L91&gt;0,1,0))</f>
        <v/>
      </c>
    </row>
    <row r="114">
      <c r="A114" t="inlineStr">
        <is>
          <t xml:space="preserve">  Jardinier à mi-temps / prestataire</t>
        </is>
      </c>
      <c r="B114" s="5">
        <f>SUM(C114:L114)</f>
        <v/>
      </c>
      <c r="C114" s="5">
        <f>-$B$79*C94*IF($C$79=1,C95,IF(C91&gt;0,1,0))</f>
        <v/>
      </c>
      <c r="D114" s="5">
        <f>-$B$79*D94*IF($C$79=1,D95,IF(D91&gt;0,1,0))</f>
        <v/>
      </c>
      <c r="E114" s="5">
        <f>-$B$79*E94*IF($C$79=1,E95,IF(E91&gt;0,1,0))</f>
        <v/>
      </c>
      <c r="F114" s="5">
        <f>-$B$79*F94*IF($C$79=1,F95,IF(F91&gt;0,1,0))</f>
        <v/>
      </c>
      <c r="G114" s="5">
        <f>-$B$79*G94*IF($C$79=1,G95,IF(G91&gt;0,1,0))</f>
        <v/>
      </c>
      <c r="H114" s="5">
        <f>-$B$79*H94*IF($C$79=1,H95,IF(H91&gt;0,1,0))</f>
        <v/>
      </c>
      <c r="I114" s="5">
        <f>-$B$79*I94*IF($C$79=1,I95,IF(I91&gt;0,1,0))</f>
        <v/>
      </c>
      <c r="J114" s="5">
        <f>-$B$79*J94*IF($C$79=1,J95,IF(J91&gt;0,1,0))</f>
        <v/>
      </c>
      <c r="K114" s="5">
        <f>-$B$79*K94*IF($C$79=1,K95,IF(K91&gt;0,1,0))</f>
        <v/>
      </c>
      <c r="L114" s="5">
        <f>-$B$79*L94*IF($C$79=1,L95,IF(L91&gt;0,1,0))</f>
        <v/>
      </c>
    </row>
    <row r="115">
      <c r="A115" t="inlineStr">
        <is>
          <t xml:space="preserve">  Divers (abonnements, petit matériel, véhicule, honoraires)</t>
        </is>
      </c>
      <c r="B115" s="5">
        <f>SUM(C115:L115)</f>
        <v/>
      </c>
      <c r="C115" s="5">
        <f>-$B$80*C94*IF($C$80=1,C95,IF(C91&gt;0,1,0))</f>
        <v/>
      </c>
      <c r="D115" s="5">
        <f>-$B$80*D94*IF($C$80=1,D95,IF(D91&gt;0,1,0))</f>
        <v/>
      </c>
      <c r="E115" s="5">
        <f>-$B$80*E94*IF($C$80=1,E95,IF(E91&gt;0,1,0))</f>
        <v/>
      </c>
      <c r="F115" s="5">
        <f>-$B$80*F94*IF($C$80=1,F95,IF(F91&gt;0,1,0))</f>
        <v/>
      </c>
      <c r="G115" s="5">
        <f>-$B$80*G94*IF($C$80=1,G95,IF(G91&gt;0,1,0))</f>
        <v/>
      </c>
      <c r="H115" s="5">
        <f>-$B$80*H94*IF($C$80=1,H95,IF(H91&gt;0,1,0))</f>
        <v/>
      </c>
      <c r="I115" s="5">
        <f>-$B$80*I94*IF($C$80=1,I95,IF(I91&gt;0,1,0))</f>
        <v/>
      </c>
      <c r="J115" s="5">
        <f>-$B$80*J94*IF($C$80=1,J95,IF(J91&gt;0,1,0))</f>
        <v/>
      </c>
      <c r="K115" s="5">
        <f>-$B$80*K94*IF($C$80=1,K95,IF(K91&gt;0,1,0))</f>
        <v/>
      </c>
      <c r="L115" s="5">
        <f>-$B$80*L94*IF($C$80=1,L95,IF(L91&gt;0,1,0))</f>
        <v/>
      </c>
    </row>
    <row r="116">
      <c r="A116" t="inlineStr">
        <is>
          <t xml:space="preserve">  Soigneurs (2 ETP chargés)</t>
        </is>
      </c>
      <c r="B116" s="5">
        <f>SUM(C116:L116)</f>
        <v/>
      </c>
      <c r="C116" s="5">
        <f>-$B$81*C94*IF($C$81=1,C95,IF(C91&gt;0,1,0))</f>
        <v/>
      </c>
      <c r="D116" s="5">
        <f>-$B$81*D94*IF($C$81=1,D95,IF(D91&gt;0,1,0))</f>
        <v/>
      </c>
      <c r="E116" s="5">
        <f>-$B$81*E94*IF($C$81=1,E95,IF(E91&gt;0,1,0))</f>
        <v/>
      </c>
      <c r="F116" s="5">
        <f>-$B$81*F94*IF($C$81=1,F95,IF(F91&gt;0,1,0))</f>
        <v/>
      </c>
      <c r="G116" s="5">
        <f>-$B$81*G94*IF($C$81=1,G95,IF(G91&gt;0,1,0))</f>
        <v/>
      </c>
      <c r="H116" s="5">
        <f>-$B$81*H94*IF($C$81=1,H95,IF(H91&gt;0,1,0))</f>
        <v/>
      </c>
      <c r="I116" s="5">
        <f>-$B$81*I94*IF($C$81=1,I95,IF(I91&gt;0,1,0))</f>
        <v/>
      </c>
      <c r="J116" s="5">
        <f>-$B$81*J94*IF($C$81=1,J95,IF(J91&gt;0,1,0))</f>
        <v/>
      </c>
      <c r="K116" s="5">
        <f>-$B$81*K94*IF($C$81=1,K95,IF(K91&gt;0,1,0))</f>
        <v/>
      </c>
      <c r="L116" s="5">
        <f>-$B$81*L94*IF($C$81=1,L95,IF(L91&gt;0,1,0))</f>
        <v/>
      </c>
    </row>
    <row r="117">
      <c r="A117" t="inlineStr">
        <is>
          <t xml:space="preserve">  Autres charges de structure équestres (entretien installations, matériel, assurance RC, énergie écuries)</t>
        </is>
      </c>
      <c r="B117" s="5">
        <f>SUM(C117:L117)</f>
        <v/>
      </c>
      <c r="C117" s="5">
        <f>-$B$82*C94*IF($C$82=1,C95,IF(C91&gt;0,1,0))</f>
        <v/>
      </c>
      <c r="D117" s="5">
        <f>-$B$82*D94*IF($C$82=1,D95,IF(D91&gt;0,1,0))</f>
        <v/>
      </c>
      <c r="E117" s="5">
        <f>-$B$82*E94*IF($C$82=1,E95,IF(E91&gt;0,1,0))</f>
        <v/>
      </c>
      <c r="F117" s="5">
        <f>-$B$82*F94*IF($C$82=1,F95,IF(F91&gt;0,1,0))</f>
        <v/>
      </c>
      <c r="G117" s="5">
        <f>-$B$82*G94*IF($C$82=1,G95,IF(G91&gt;0,1,0))</f>
        <v/>
      </c>
      <c r="H117" s="5">
        <f>-$B$82*H94*IF($C$82=1,H95,IF(H91&gt;0,1,0))</f>
        <v/>
      </c>
      <c r="I117" s="5">
        <f>-$B$82*I94*IF($C$82=1,I95,IF(I91&gt;0,1,0))</f>
        <v/>
      </c>
      <c r="J117" s="5">
        <f>-$B$82*J94*IF($C$82=1,J95,IF(J91&gt;0,1,0))</f>
        <v/>
      </c>
      <c r="K117" s="5">
        <f>-$B$82*K94*IF($C$82=1,K95,IF(K91&gt;0,1,0))</f>
        <v/>
      </c>
      <c r="L117" s="5">
        <f>-$B$82*L94*IF($C$82=1,L95,IF(L91&gt;0,1,0))</f>
        <v/>
      </c>
    </row>
    <row r="118">
      <c r="A118" t="inlineStr">
        <is>
          <t xml:space="preserve">  Coûts fixes mariages (coordination, nettoyage, publicité)</t>
        </is>
      </c>
      <c r="B118" s="5">
        <f>SUM(C118:L118)</f>
        <v/>
      </c>
      <c r="C118" s="5">
        <f>-$B$83*C94*IF($C$83=1,C95,IF(C91&gt;0,1,0))</f>
        <v/>
      </c>
      <c r="D118" s="5">
        <f>-$B$83*D94*IF($C$83=1,D95,IF(D91&gt;0,1,0))</f>
        <v/>
      </c>
      <c r="E118" s="5">
        <f>-$B$83*E94*IF($C$83=1,E95,IF(E91&gt;0,1,0))</f>
        <v/>
      </c>
      <c r="F118" s="5">
        <f>-$B$83*F94*IF($C$83=1,F95,IF(F91&gt;0,1,0))</f>
        <v/>
      </c>
      <c r="G118" s="5">
        <f>-$B$83*G94*IF($C$83=1,G95,IF(G91&gt;0,1,0))</f>
        <v/>
      </c>
      <c r="H118" s="5">
        <f>-$B$83*H94*IF($C$83=1,H95,IF(H91&gt;0,1,0))</f>
        <v/>
      </c>
      <c r="I118" s="5">
        <f>-$B$83*I94*IF($C$83=1,I95,IF(I91&gt;0,1,0))</f>
        <v/>
      </c>
      <c r="J118" s="5">
        <f>-$B$83*J94*IF($C$83=1,J95,IF(J91&gt;0,1,0))</f>
        <v/>
      </c>
      <c r="K118" s="5">
        <f>-$B$83*K94*IF($C$83=1,K95,IF(K91&gt;0,1,0))</f>
        <v/>
      </c>
      <c r="L118" s="5">
        <f>-$B$83*L94*IF($C$83=1,L95,IF(L91&gt;0,1,0))</f>
        <v/>
      </c>
    </row>
    <row r="119">
      <c r="A119" t="inlineStr">
        <is>
          <t xml:space="preserve">  Coûts fixes du gîte</t>
        </is>
      </c>
      <c r="B119" s="5">
        <f>SUM(C119:L119)</f>
        <v/>
      </c>
      <c r="C119" s="5">
        <f>-$B$84*C94*IF($C$84=1,C95,IF(C91&gt;0,1,0))</f>
        <v/>
      </c>
      <c r="D119" s="5">
        <f>-$B$84*D94*IF($C$84=1,D95,IF(D91&gt;0,1,0))</f>
        <v/>
      </c>
      <c r="E119" s="5">
        <f>-$B$84*E94*IF($C$84=1,E95,IF(E91&gt;0,1,0))</f>
        <v/>
      </c>
      <c r="F119" s="5">
        <f>-$B$84*F94*IF($C$84=1,F95,IF(F91&gt;0,1,0))</f>
        <v/>
      </c>
      <c r="G119" s="5">
        <f>-$B$84*G94*IF($C$84=1,G95,IF(G91&gt;0,1,0))</f>
        <v/>
      </c>
      <c r="H119" s="5">
        <f>-$B$84*H94*IF($C$84=1,H95,IF(H91&gt;0,1,0))</f>
        <v/>
      </c>
      <c r="I119" s="5">
        <f>-$B$84*I94*IF($C$84=1,I95,IF(I91&gt;0,1,0))</f>
        <v/>
      </c>
      <c r="J119" s="5">
        <f>-$B$84*J94*IF($C$84=1,J95,IF(J91&gt;0,1,0))</f>
        <v/>
      </c>
      <c r="K119" s="5">
        <f>-$B$84*K94*IF($C$84=1,K95,IF(K91&gt;0,1,0))</f>
        <v/>
      </c>
      <c r="L119" s="5">
        <f>-$B$84*L94*IF($C$84=1,L95,IF(L91&gt;0,1,0))</f>
        <v/>
      </c>
    </row>
    <row r="120">
      <c r="A120" t="inlineStr">
        <is>
          <t xml:space="preserve">  Commercial, site, salons</t>
        </is>
      </c>
      <c r="B120" s="5">
        <f>SUM(C120:L120)</f>
        <v/>
      </c>
      <c r="C120" s="5">
        <f>-$B$85*C94*IF($C$85=1,C95,IF(C91&gt;0,1,0))</f>
        <v/>
      </c>
      <c r="D120" s="5">
        <f>-$B$85*D94*IF($C$85=1,D95,IF(D91&gt;0,1,0))</f>
        <v/>
      </c>
      <c r="E120" s="5">
        <f>-$B$85*E94*IF($C$85=1,E95,IF(E91&gt;0,1,0))</f>
        <v/>
      </c>
      <c r="F120" s="5">
        <f>-$B$85*F94*IF($C$85=1,F95,IF(F91&gt;0,1,0))</f>
        <v/>
      </c>
      <c r="G120" s="5">
        <f>-$B$85*G94*IF($C$85=1,G95,IF(G91&gt;0,1,0))</f>
        <v/>
      </c>
      <c r="H120" s="5">
        <f>-$B$85*H94*IF($C$85=1,H95,IF(H91&gt;0,1,0))</f>
        <v/>
      </c>
      <c r="I120" s="5">
        <f>-$B$85*I94*IF($C$85=1,I95,IF(I91&gt;0,1,0))</f>
        <v/>
      </c>
      <c r="J120" s="5">
        <f>-$B$85*J94*IF($C$85=1,J95,IF(J91&gt;0,1,0))</f>
        <v/>
      </c>
      <c r="K120" s="5">
        <f>-$B$85*K94*IF($C$85=1,K95,IF(K91&gt;0,1,0))</f>
        <v/>
      </c>
      <c r="L120" s="5">
        <f>-$B$85*L94*IF($C$85=1,L95,IF(L91&gt;0,1,0))</f>
        <v/>
      </c>
    </row>
    <row r="121">
      <c r="A121" t="inlineStr">
        <is>
          <t xml:space="preserve">  Comptabilité, juridique, banque, logiciels</t>
        </is>
      </c>
      <c r="B121" s="5">
        <f>SUM(C121:L121)</f>
        <v/>
      </c>
      <c r="C121" s="5">
        <f>-$B$86*C94*IF($C$86=1,C95,IF(C91&gt;0,1,0))</f>
        <v/>
      </c>
      <c r="D121" s="5">
        <f>-$B$86*D94*IF($C$86=1,D95,IF(D91&gt;0,1,0))</f>
        <v/>
      </c>
      <c r="E121" s="5">
        <f>-$B$86*E94*IF($C$86=1,E95,IF(E91&gt;0,1,0))</f>
        <v/>
      </c>
      <c r="F121" s="5">
        <f>-$B$86*F94*IF($C$86=1,F95,IF(F91&gt;0,1,0))</f>
        <v/>
      </c>
      <c r="G121" s="5">
        <f>-$B$86*G94*IF($C$86=1,G95,IF(G91&gt;0,1,0))</f>
        <v/>
      </c>
      <c r="H121" s="5">
        <f>-$B$86*H94*IF($C$86=1,H95,IF(H91&gt;0,1,0))</f>
        <v/>
      </c>
      <c r="I121" s="5">
        <f>-$B$86*I94*IF($C$86=1,I95,IF(I91&gt;0,1,0))</f>
        <v/>
      </c>
      <c r="J121" s="5">
        <f>-$B$86*J94*IF($C$86=1,J95,IF(J91&gt;0,1,0))</f>
        <v/>
      </c>
      <c r="K121" s="5">
        <f>-$B$86*K94*IF($C$86=1,K95,IF(K91&gt;0,1,0))</f>
        <v/>
      </c>
      <c r="L121" s="5">
        <f>-$B$86*L94*IF($C$86=1,L95,IF(L91&gt;0,1,0))</f>
        <v/>
      </c>
    </row>
    <row r="122">
      <c r="A122" s="4" t="inlineStr">
        <is>
          <t>Charges fixes totales</t>
        </is>
      </c>
      <c r="B122" s="18">
        <f>SUM(C122:L122)</f>
        <v/>
      </c>
      <c r="C122" s="18">
        <f>C111+C112+C113+C114+C115+C116+C117+C118+C119+C120+C121</f>
        <v/>
      </c>
      <c r="D122" s="18">
        <f>D111+D112+D113+D114+D115+D116+D117+D118+D119+D120+D121</f>
        <v/>
      </c>
      <c r="E122" s="18">
        <f>E111+E112+E113+E114+E115+E116+E117+E118+E119+E120+E121</f>
        <v/>
      </c>
      <c r="F122" s="18">
        <f>F111+F112+F113+F114+F115+F116+F117+F118+F119+F120+F121</f>
        <v/>
      </c>
      <c r="G122" s="18">
        <f>G111+G112+G113+G114+G115+G116+G117+G118+G119+G120+G121</f>
        <v/>
      </c>
      <c r="H122" s="18">
        <f>H111+H112+H113+H114+H115+H116+H117+H118+H119+H120+H121</f>
        <v/>
      </c>
      <c r="I122" s="18">
        <f>I111+I112+I113+I114+I115+I116+I117+I118+I119+I120+I121</f>
        <v/>
      </c>
      <c r="J122" s="18">
        <f>J111+J112+J113+J114+J115+J116+J117+J118+J119+J120+J121</f>
        <v/>
      </c>
      <c r="K122" s="18">
        <f>K111+K112+K113+K114+K115+K116+K117+K118+K119+K120+K121</f>
        <v/>
      </c>
      <c r="L122" s="18">
        <f>L111+L112+L113+L114+L115+L116+L117+L118+L119+L120+L121</f>
        <v/>
      </c>
    </row>
    <row r="123">
      <c r="A123" t="inlineStr">
        <is>
          <t>Loyer des murs (avant acquisition)</t>
        </is>
      </c>
      <c r="B123" s="5">
        <f>SUM(C123:L123)</f>
        <v/>
      </c>
      <c r="C123" s="5">
        <f>-IF(C95=0,IF(C$89&gt;=$B$6,$B$18*C94,0),0)</f>
        <v/>
      </c>
      <c r="D123" s="5">
        <f>-IF(D95=0,IF(D$89&gt;=$B$6,$B$18*D94,0),0)</f>
        <v/>
      </c>
      <c r="E123" s="5">
        <f>-IF(E95=0,IF(E$89&gt;=$B$6,$B$18*E94,0),0)</f>
        <v/>
      </c>
      <c r="F123" s="5">
        <f>-IF(F95=0,IF(F$89&gt;=$B$6,$B$18*F94,0),0)</f>
        <v/>
      </c>
      <c r="G123" s="5">
        <f>-IF(G95=0,IF(G$89&gt;=$B$6,$B$18*G94,0),0)</f>
        <v/>
      </c>
      <c r="H123" s="5">
        <f>-IF(H95=0,IF(H$89&gt;=$B$6,$B$18*H94,0),0)</f>
        <v/>
      </c>
      <c r="I123" s="5">
        <f>-IF(I95=0,IF(I$89&gt;=$B$6,$B$18*I94,0),0)</f>
        <v/>
      </c>
      <c r="J123" s="5">
        <f>-IF(J95=0,IF(J$89&gt;=$B$6,$B$18*J94,0),0)</f>
        <v/>
      </c>
      <c r="K123" s="5">
        <f>-IF(K95=0,IF(K$89&gt;=$B$6,$B$18*K94,0),0)</f>
        <v/>
      </c>
      <c r="L123" s="5">
        <f>-IF(L95=0,IF(L$89&gt;=$B$6,$B$18*L94,0),0)</f>
        <v/>
      </c>
    </row>
    <row r="124">
      <c r="A124" s="4" t="inlineStr">
        <is>
          <t>EBITDA</t>
        </is>
      </c>
      <c r="B124" s="18">
        <f>SUM(C124:L124)</f>
        <v/>
      </c>
      <c r="C124" s="18">
        <f>C110+C122+C123</f>
        <v/>
      </c>
      <c r="D124" s="18">
        <f>D110+D122+D123</f>
        <v/>
      </c>
      <c r="E124" s="18">
        <f>E110+E122+E123</f>
        <v/>
      </c>
      <c r="F124" s="18">
        <f>F110+F122+F123</f>
        <v/>
      </c>
      <c r="G124" s="18">
        <f>G110+G122+G123</f>
        <v/>
      </c>
      <c r="H124" s="18">
        <f>H110+H122+H123</f>
        <v/>
      </c>
      <c r="I124" s="18">
        <f>I110+I122+I123</f>
        <v/>
      </c>
      <c r="J124" s="18">
        <f>J110+J122+J123</f>
        <v/>
      </c>
      <c r="K124" s="18">
        <f>K110+K122+K123</f>
        <v/>
      </c>
      <c r="L124" s="18">
        <f>L110+L122+L123</f>
        <v/>
      </c>
    </row>
    <row r="125">
      <c r="A125" t="inlineStr">
        <is>
          <t>Loyer de la partie privée (payé par le fondateur, dès qu'il occupe les murs)</t>
        </is>
      </c>
      <c r="B125" s="5">
        <f>SUM(C125:L125)</f>
        <v/>
      </c>
      <c r="C125" s="5">
        <f>C95*$B$20*C94</f>
        <v/>
      </c>
      <c r="D125" s="5">
        <f>D95*$B$20*D94</f>
        <v/>
      </c>
      <c r="E125" s="5">
        <f>E95*$B$20*E94</f>
        <v/>
      </c>
      <c r="F125" s="5">
        <f>F95*$B$20*F94</f>
        <v/>
      </c>
      <c r="G125" s="5">
        <f>G95*$B$20*G94</f>
        <v/>
      </c>
      <c r="H125" s="5">
        <f>H95*$B$20*H94</f>
        <v/>
      </c>
      <c r="I125" s="5">
        <f>I95*$B$20*I94</f>
        <v/>
      </c>
      <c r="J125" s="5">
        <f>J95*$B$20*J94</f>
        <v/>
      </c>
      <c r="K125" s="5">
        <f>K95*$B$20*K94</f>
        <v/>
      </c>
      <c r="L125" s="5">
        <f>L95*$B$20*L94</f>
        <v/>
      </c>
    </row>
    <row r="126">
      <c r="A126" t="inlineStr">
        <is>
          <t xml:space="preserve">  Marge d'EBITDA</t>
        </is>
      </c>
      <c r="C126" s="6">
        <f>IF(C106=0,0,C124/C106)</f>
        <v/>
      </c>
      <c r="D126" s="6">
        <f>IF(D106=0,0,D124/D106)</f>
        <v/>
      </c>
      <c r="E126" s="6">
        <f>IF(E106=0,0,E124/E106)</f>
        <v/>
      </c>
      <c r="F126" s="6">
        <f>IF(F106=0,0,F124/F106)</f>
        <v/>
      </c>
      <c r="G126" s="6">
        <f>IF(G106=0,0,G124/G106)</f>
        <v/>
      </c>
      <c r="H126" s="6">
        <f>IF(H106=0,0,H124/H106)</f>
        <v/>
      </c>
      <c r="I126" s="6">
        <f>IF(I106=0,0,I124/I106)</f>
        <v/>
      </c>
      <c r="J126" s="6">
        <f>IF(J106=0,0,J124/J106)</f>
        <v/>
      </c>
      <c r="K126" s="6">
        <f>IF(K106=0,0,K124/K106)</f>
        <v/>
      </c>
      <c r="L126" s="6">
        <f>IF(L106=0,0,L124/L106)</f>
        <v/>
      </c>
    </row>
    <row r="127">
      <c r="A127" t="inlineStr">
        <is>
          <t>Travaux et équipements initiaux</t>
        </is>
      </c>
      <c r="B127" s="5">
        <f>SUM(C127:L127)</f>
        <v/>
      </c>
      <c r="C127" s="5">
        <f>($B$10+$B$11+$B$12)*$B$46*IF(C$89=$B$5,$B$13,IF(C$89=$B$5+1,$B$14,IF(C$89=$B$5+2,$B$15,0)))*C94</f>
        <v/>
      </c>
      <c r="D127" s="5">
        <f>($B$10+$B$11+$B$12)*$B$46*IF(D$89=$B$5,$B$13,IF(D$89=$B$5+1,$B$14,IF(D$89=$B$5+2,$B$15,0)))*D94</f>
        <v/>
      </c>
      <c r="E127" s="5">
        <f>($B$10+$B$11+$B$12)*$B$46*IF(E$89=$B$5,$B$13,IF(E$89=$B$5+1,$B$14,IF(E$89=$B$5+2,$B$15,0)))*E94</f>
        <v/>
      </c>
      <c r="F127" s="5">
        <f>($B$10+$B$11+$B$12)*$B$46*IF(F$89=$B$5,$B$13,IF(F$89=$B$5+1,$B$14,IF(F$89=$B$5+2,$B$15,0)))*F94</f>
        <v/>
      </c>
      <c r="G127" s="5">
        <f>($B$10+$B$11+$B$12)*$B$46*IF(G$89=$B$5,$B$13,IF(G$89=$B$5+1,$B$14,IF(G$89=$B$5+2,$B$15,0)))*G94</f>
        <v/>
      </c>
      <c r="H127" s="5">
        <f>($B$10+$B$11+$B$12)*$B$46*IF(H$89=$B$5,$B$13,IF(H$89=$B$5+1,$B$14,IF(H$89=$B$5+2,$B$15,0)))*H94</f>
        <v/>
      </c>
      <c r="I127" s="5">
        <f>($B$10+$B$11+$B$12)*$B$46*IF(I$89=$B$5,$B$13,IF(I$89=$B$5+1,$B$14,IF(I$89=$B$5+2,$B$15,0)))*I94</f>
        <v/>
      </c>
      <c r="J127" s="5">
        <f>($B$10+$B$11+$B$12)*$B$46*IF(J$89=$B$5,$B$13,IF(J$89=$B$5+1,$B$14,IF(J$89=$B$5+2,$B$15,0)))*J94</f>
        <v/>
      </c>
      <c r="K127" s="5">
        <f>($B$10+$B$11+$B$12)*$B$46*IF(K$89=$B$5,$B$13,IF(K$89=$B$5+1,$B$14,IF(K$89=$B$5+2,$B$15,0)))*K94</f>
        <v/>
      </c>
      <c r="L127" s="5">
        <f>($B$10+$B$11+$B$12)*$B$46*IF(L$89=$B$5,$B$13,IF(L$89=$B$5+1,$B$14,IF(L$89=$B$5+2,$B$15,0)))*L94</f>
        <v/>
      </c>
    </row>
    <row r="128">
      <c r="A128" t="inlineStr">
        <is>
          <t>Travaux initiaux cumulés</t>
        </is>
      </c>
      <c r="C128" s="5">
        <f>C127</f>
        <v/>
      </c>
      <c r="D128" s="5">
        <f>C128+D127</f>
        <v/>
      </c>
      <c r="E128" s="5">
        <f>D128+E127</f>
        <v/>
      </c>
      <c r="F128" s="5">
        <f>E128+F127</f>
        <v/>
      </c>
      <c r="G128" s="5">
        <f>F128+G127</f>
        <v/>
      </c>
      <c r="H128" s="5">
        <f>G128+H127</f>
        <v/>
      </c>
      <c r="I128" s="5">
        <f>H128+I127</f>
        <v/>
      </c>
      <c r="J128" s="5">
        <f>I128+J127</f>
        <v/>
      </c>
      <c r="K128" s="5">
        <f>J128+K127</f>
        <v/>
      </c>
      <c r="L128" s="5">
        <f>K128+L127</f>
        <v/>
      </c>
    </row>
    <row r="129">
      <c r="A129" t="inlineStr">
        <is>
          <t>Acquisition (prix + frais)</t>
        </is>
      </c>
      <c r="B129" s="5">
        <f>SUM(C129:L129)</f>
        <v/>
      </c>
      <c r="C129" s="5">
        <f>IF(C$89=$B$5,$B$7*(1+$B$8),0)</f>
        <v/>
      </c>
      <c r="D129" s="5">
        <f>IF(D$89=$B$5,$B$7*(1+$B$8),0)</f>
        <v/>
      </c>
      <c r="E129" s="5">
        <f>IF(E$89=$B$5,$B$7*(1+$B$8),0)</f>
        <v/>
      </c>
      <c r="F129" s="5">
        <f>IF(F$89=$B$5,$B$7*(1+$B$8),0)</f>
        <v/>
      </c>
      <c r="G129" s="5">
        <f>IF(G$89=$B$5,$B$7*(1+$B$8),0)</f>
        <v/>
      </c>
      <c r="H129" s="5">
        <f>IF(H$89=$B$5,$B$7*(1+$B$8),0)</f>
        <v/>
      </c>
      <c r="I129" s="5">
        <f>IF(I$89=$B$5,$B$7*(1+$B$8),0)</f>
        <v/>
      </c>
      <c r="J129" s="5">
        <f>IF(J$89=$B$5,$B$7*(1+$B$8),0)</f>
        <v/>
      </c>
      <c r="K129" s="5">
        <f>IF(K$89=$B$5,$B$7*(1+$B$8),0)</f>
        <v/>
      </c>
      <c r="L129" s="5">
        <f>IF(L$89=$B$5,$B$7*(1+$B$8),0)</f>
        <v/>
      </c>
    </row>
    <row r="130">
      <c r="A130" t="inlineStr">
        <is>
          <t>Gros entretien patrimonial récurrent (% de la valeur du bâti + travaux)</t>
        </is>
      </c>
      <c r="B130" s="5">
        <f>SUM(C130:L130)</f>
        <v/>
      </c>
      <c r="C130" s="5">
        <f>IF(C$89&gt;=$B$5+3,$B$16*($B$7*$B$9+($B$10+$B$11+$B$12)*$B$46)*C94,0)</f>
        <v/>
      </c>
      <c r="D130" s="5">
        <f>IF(D$89&gt;=$B$5+3,$B$16*($B$7*$B$9+($B$10+$B$11+$B$12)*$B$46)*D94,0)</f>
        <v/>
      </c>
      <c r="E130" s="5">
        <f>IF(E$89&gt;=$B$5+3,$B$16*($B$7*$B$9+($B$10+$B$11+$B$12)*$B$46)*E94,0)</f>
        <v/>
      </c>
      <c r="F130" s="5">
        <f>IF(F$89&gt;=$B$5+3,$B$16*($B$7*$B$9+($B$10+$B$11+$B$12)*$B$46)*F94,0)</f>
        <v/>
      </c>
      <c r="G130" s="5">
        <f>IF(G$89&gt;=$B$5+3,$B$16*($B$7*$B$9+($B$10+$B$11+$B$12)*$B$46)*G94,0)</f>
        <v/>
      </c>
      <c r="H130" s="5">
        <f>IF(H$89&gt;=$B$5+3,$B$16*($B$7*$B$9+($B$10+$B$11+$B$12)*$B$46)*H94,0)</f>
        <v/>
      </c>
      <c r="I130" s="5">
        <f>IF(I$89&gt;=$B$5+3,$B$16*($B$7*$B$9+($B$10+$B$11+$B$12)*$B$46)*I94,0)</f>
        <v/>
      </c>
      <c r="J130" s="5">
        <f>IF(J$89&gt;=$B$5+3,$B$16*($B$7*$B$9+($B$10+$B$11+$B$12)*$B$46)*J94,0)</f>
        <v/>
      </c>
      <c r="K130" s="5">
        <f>IF(K$89&gt;=$B$5+3,$B$16*($B$7*$B$9+($B$10+$B$11+$B$12)*$B$46)*K94,0)</f>
        <v/>
      </c>
      <c r="L130" s="5">
        <f>IF(L$89&gt;=$B$5+3,$B$16*($B$7*$B$9+($B$10+$B$11+$B$12)*$B$46)*L94,0)</f>
        <v/>
      </c>
    </row>
    <row r="131">
      <c r="A131" t="inlineStr">
        <is>
          <t>Investissements amortissables cumulés</t>
        </is>
      </c>
      <c r="C131" s="5">
        <f>C127+C130</f>
        <v/>
      </c>
      <c r="D131" s="5">
        <f>C131+D127+D130</f>
        <v/>
      </c>
      <c r="E131" s="5">
        <f>D131+E127+E130</f>
        <v/>
      </c>
      <c r="F131" s="5">
        <f>E131+F127+F130</f>
        <v/>
      </c>
      <c r="G131" s="5">
        <f>F131+G127+G130</f>
        <v/>
      </c>
      <c r="H131" s="5">
        <f>G131+H127+H130</f>
        <v/>
      </c>
      <c r="I131" s="5">
        <f>H131+I127+I130</f>
        <v/>
      </c>
      <c r="J131" s="5">
        <f>I131+J127+J130</f>
        <v/>
      </c>
      <c r="K131" s="5">
        <f>J131+K127+K130</f>
        <v/>
      </c>
      <c r="L131" s="5">
        <f>K131+L127+L130</f>
        <v/>
      </c>
    </row>
    <row r="132">
      <c r="A132" t="inlineStr">
        <is>
          <t>Dotations aux amortissements (bâti 30 ans, travaux 15 ans)</t>
        </is>
      </c>
      <c r="B132" s="5">
        <f>SUM(C132:L132)</f>
        <v/>
      </c>
      <c r="C132" s="5">
        <f>-(C95*$B$7*(1+$B$8)*$B$9/30+C131/15)</f>
        <v/>
      </c>
      <c r="D132" s="5">
        <f>-(D95*$B$7*(1+$B$8)*$B$9/30+D131/15)</f>
        <v/>
      </c>
      <c r="E132" s="5">
        <f>-(E95*$B$7*(1+$B$8)*$B$9/30+E131/15)</f>
        <v/>
      </c>
      <c r="F132" s="5">
        <f>-(F95*$B$7*(1+$B$8)*$B$9/30+F131/15)</f>
        <v/>
      </c>
      <c r="G132" s="5">
        <f>-(G95*$B$7*(1+$B$8)*$B$9/30+G131/15)</f>
        <v/>
      </c>
      <c r="H132" s="5">
        <f>-(H95*$B$7*(1+$B$8)*$B$9/30+H131/15)</f>
        <v/>
      </c>
      <c r="I132" s="5">
        <f>-(I95*$B$7*(1+$B$8)*$B$9/30+I131/15)</f>
        <v/>
      </c>
      <c r="J132" s="5">
        <f>-(J95*$B$7*(1+$B$8)*$B$9/30+J131/15)</f>
        <v/>
      </c>
      <c r="K132" s="5">
        <f>-(K95*$B$7*(1+$B$8)*$B$9/30+K131/15)</f>
        <v/>
      </c>
      <c r="L132" s="5">
        <f>-(L95*$B$7*(1+$B$8)*$B$9/30+L131/15)</f>
        <v/>
      </c>
    </row>
    <row r="133">
      <c r="A133" s="4" t="inlineStr">
        <is>
          <t>Résultat d'exploitation</t>
        </is>
      </c>
      <c r="B133" s="18">
        <f>SUM(C133:L133)</f>
        <v/>
      </c>
      <c r="C133" s="18">
        <f>C124+C132</f>
        <v/>
      </c>
      <c r="D133" s="18">
        <f>D124+D132</f>
        <v/>
      </c>
      <c r="E133" s="18">
        <f>E124+E132</f>
        <v/>
      </c>
      <c r="F133" s="18">
        <f>F124+F132</f>
        <v/>
      </c>
      <c r="G133" s="18">
        <f>G124+G132</f>
        <v/>
      </c>
      <c r="H133" s="18">
        <f>H124+H132</f>
        <v/>
      </c>
      <c r="I133" s="18">
        <f>I124+I132</f>
        <v/>
      </c>
      <c r="J133" s="18">
        <f>J124+J132</f>
        <v/>
      </c>
      <c r="K133" s="18">
        <f>K124+K132</f>
        <v/>
      </c>
      <c r="L133" s="18">
        <f>L124+L132</f>
        <v/>
      </c>
    </row>
    <row r="135">
      <c r="A135" s="4" t="inlineStr">
        <is>
          <t>Échéancier des emprunts</t>
        </is>
      </c>
    </row>
    <row r="136">
      <c r="A136" t="inlineStr">
        <is>
          <t>Taux bancaire effectif</t>
        </is>
      </c>
      <c r="C136" s="6">
        <f>$B$28+$B$48</f>
        <v/>
      </c>
      <c r="D136" s="6">
        <f>$B$28+$B$48</f>
        <v/>
      </c>
      <c r="E136" s="6">
        <f>$B$28+$B$48</f>
        <v/>
      </c>
      <c r="F136" s="6">
        <f>$B$28+$B$48</f>
        <v/>
      </c>
      <c r="G136" s="6">
        <f>$B$28+$B$48</f>
        <v/>
      </c>
      <c r="H136" s="6">
        <f>$B$28+$B$48</f>
        <v/>
      </c>
      <c r="I136" s="6">
        <f>$B$28+$B$48</f>
        <v/>
      </c>
      <c r="J136" s="6">
        <f>$B$28+$B$48</f>
        <v/>
      </c>
      <c r="K136" s="6">
        <f>$B$28+$B$48</f>
        <v/>
      </c>
      <c r="L136" s="6">
        <f>$B$28+$B$48</f>
        <v/>
      </c>
    </row>
    <row r="137">
      <c r="A137" t="inlineStr">
        <is>
          <t>Rang de l'année d'emprunt</t>
        </is>
      </c>
      <c r="C137" s="8">
        <f>MAX(0,C$89-$B$5+1)</f>
        <v/>
      </c>
      <c r="D137" s="8">
        <f>MAX(0,D$89-$B$5+1)</f>
        <v/>
      </c>
      <c r="E137" s="8">
        <f>MAX(0,E$89-$B$5+1)</f>
        <v/>
      </c>
      <c r="F137" s="8">
        <f>MAX(0,F$89-$B$5+1)</f>
        <v/>
      </c>
      <c r="G137" s="8">
        <f>MAX(0,G$89-$B$5+1)</f>
        <v/>
      </c>
      <c r="H137" s="8">
        <f>MAX(0,H$89-$B$5+1)</f>
        <v/>
      </c>
      <c r="I137" s="8">
        <f>MAX(0,I$89-$B$5+1)</f>
        <v/>
      </c>
      <c r="J137" s="8">
        <f>MAX(0,J$89-$B$5+1)</f>
        <v/>
      </c>
      <c r="K137" s="8">
        <f>MAX(0,K$89-$B$5+1)</f>
        <v/>
      </c>
      <c r="L137" s="8">
        <f>MAX(0,L$89-$B$5+1)</f>
        <v/>
      </c>
    </row>
    <row r="138">
      <c r="A138" t="inlineStr">
        <is>
          <t>Dette bancaire — capital début</t>
        </is>
      </c>
      <c r="C138" s="5">
        <f>IF(C137=1,$B$27,0)</f>
        <v/>
      </c>
      <c r="D138" s="5">
        <f>IF(D137=1,$B$27,C141)</f>
        <v/>
      </c>
      <c r="E138" s="5">
        <f>IF(E137=1,$B$27,D141)</f>
        <v/>
      </c>
      <c r="F138" s="5">
        <f>IF(F137=1,$B$27,E141)</f>
        <v/>
      </c>
      <c r="G138" s="5">
        <f>IF(G137=1,$B$27,F141)</f>
        <v/>
      </c>
      <c r="H138" s="5">
        <f>IF(H137=1,$B$27,G141)</f>
        <v/>
      </c>
      <c r="I138" s="5">
        <f>IF(I137=1,$B$27,H141)</f>
        <v/>
      </c>
      <c r="J138" s="5">
        <f>IF(J137=1,$B$27,I141)</f>
        <v/>
      </c>
      <c r="K138" s="5">
        <f>IF(K137=1,$B$27,J141)</f>
        <v/>
      </c>
      <c r="L138" s="5">
        <f>IF(L137=1,$B$27,K141)</f>
        <v/>
      </c>
    </row>
    <row r="139">
      <c r="A139" t="inlineStr">
        <is>
          <t xml:space="preserve">  Intérêts</t>
        </is>
      </c>
      <c r="B139" s="5">
        <f>SUM(C139:L139)</f>
        <v/>
      </c>
      <c r="C139" s="5">
        <f>C138*C136</f>
        <v/>
      </c>
      <c r="D139" s="5">
        <f>D138*D136</f>
        <v/>
      </c>
      <c r="E139" s="5">
        <f>E138*E136</f>
        <v/>
      </c>
      <c r="F139" s="5">
        <f>F138*F136</f>
        <v/>
      </c>
      <c r="G139" s="5">
        <f>G138*G136</f>
        <v/>
      </c>
      <c r="H139" s="5">
        <f>H138*H136</f>
        <v/>
      </c>
      <c r="I139" s="5">
        <f>I138*I136</f>
        <v/>
      </c>
      <c r="J139" s="5">
        <f>J138*J136</f>
        <v/>
      </c>
      <c r="K139" s="5">
        <f>K138*K136</f>
        <v/>
      </c>
      <c r="L139" s="5">
        <f>L138*L136</f>
        <v/>
      </c>
    </row>
    <row r="140">
      <c r="A140" t="inlineStr">
        <is>
          <t xml:space="preserve">  Amortissement du capital</t>
        </is>
      </c>
      <c r="B140" s="5">
        <f>SUM(C140:L140)</f>
        <v/>
      </c>
      <c r="C140" s="5">
        <f>IF(OR(C137=0,C137&lt;=$B$30,C138&lt;=0),0,MIN(C138,PMT(C136,$B$29-$B$30,-$B$27)-C139))</f>
        <v/>
      </c>
      <c r="D140" s="5">
        <f>IF(OR(D137=0,D137&lt;=$B$30,D138&lt;=0),0,MIN(D138,PMT(D136,$B$29-$B$30,-$B$27)-D139))</f>
        <v/>
      </c>
      <c r="E140" s="5">
        <f>IF(OR(E137=0,E137&lt;=$B$30,E138&lt;=0),0,MIN(E138,PMT(E136,$B$29-$B$30,-$B$27)-E139))</f>
        <v/>
      </c>
      <c r="F140" s="5">
        <f>IF(OR(F137=0,F137&lt;=$B$30,F138&lt;=0),0,MIN(F138,PMT(F136,$B$29-$B$30,-$B$27)-F139))</f>
        <v/>
      </c>
      <c r="G140" s="5">
        <f>IF(OR(G137=0,G137&lt;=$B$30,G138&lt;=0),0,MIN(G138,PMT(G136,$B$29-$B$30,-$B$27)-G139))</f>
        <v/>
      </c>
      <c r="H140" s="5">
        <f>IF(OR(H137=0,H137&lt;=$B$30,H138&lt;=0),0,MIN(H138,PMT(H136,$B$29-$B$30,-$B$27)-H139))</f>
        <v/>
      </c>
      <c r="I140" s="5">
        <f>IF(OR(I137=0,I137&lt;=$B$30,I138&lt;=0),0,MIN(I138,PMT(I136,$B$29-$B$30,-$B$27)-I139))</f>
        <v/>
      </c>
      <c r="J140" s="5">
        <f>IF(OR(J137=0,J137&lt;=$B$30,J138&lt;=0),0,MIN(J138,PMT(J136,$B$29-$B$30,-$B$27)-J139))</f>
        <v/>
      </c>
      <c r="K140" s="5">
        <f>IF(OR(K137=0,K137&lt;=$B$30,K138&lt;=0),0,MIN(K138,PMT(K136,$B$29-$B$30,-$B$27)-K139))</f>
        <v/>
      </c>
      <c r="L140" s="5">
        <f>IF(OR(L137=0,L137&lt;=$B$30,L138&lt;=0),0,MIN(L138,PMT(L136,$B$29-$B$30,-$B$27)-L139))</f>
        <v/>
      </c>
    </row>
    <row r="141">
      <c r="A141" t="inlineStr">
        <is>
          <t>Dette bancaire — capital fin</t>
        </is>
      </c>
      <c r="C141" s="5">
        <f>C138-C140</f>
        <v/>
      </c>
      <c r="D141" s="5">
        <f>D138-D140</f>
        <v/>
      </c>
      <c r="E141" s="5">
        <f>E138-E140</f>
        <v/>
      </c>
      <c r="F141" s="5">
        <f>F138-F140</f>
        <v/>
      </c>
      <c r="G141" s="5">
        <f>G138-G140</f>
        <v/>
      </c>
      <c r="H141" s="5">
        <f>H138-H140</f>
        <v/>
      </c>
      <c r="I141" s="5">
        <f>I138-I140</f>
        <v/>
      </c>
      <c r="J141" s="5">
        <f>J138-J140</f>
        <v/>
      </c>
      <c r="K141" s="5">
        <f>K138-K140</f>
        <v/>
      </c>
      <c r="L141" s="5">
        <f>L138-L140</f>
        <v/>
      </c>
    </row>
    <row r="142">
      <c r="A142" t="inlineStr">
        <is>
          <t>Crédit-vendeur — capital début</t>
        </is>
      </c>
      <c r="C142" s="5">
        <f>IF(C137=1,$B$31,0)</f>
        <v/>
      </c>
      <c r="D142" s="5">
        <f>IF(D137=1,$B$31,C145)</f>
        <v/>
      </c>
      <c r="E142" s="5">
        <f>IF(E137=1,$B$31,D145)</f>
        <v/>
      </c>
      <c r="F142" s="5">
        <f>IF(F137=1,$B$31,E145)</f>
        <v/>
      </c>
      <c r="G142" s="5">
        <f>IF(G137=1,$B$31,F145)</f>
        <v/>
      </c>
      <c r="H142" s="5">
        <f>IF(H137=1,$B$31,G145)</f>
        <v/>
      </c>
      <c r="I142" s="5">
        <f>IF(I137=1,$B$31,H145)</f>
        <v/>
      </c>
      <c r="J142" s="5">
        <f>IF(J137=1,$B$31,I145)</f>
        <v/>
      </c>
      <c r="K142" s="5">
        <f>IF(K137=1,$B$31,J145)</f>
        <v/>
      </c>
      <c r="L142" s="5">
        <f>IF(L137=1,$B$31,K145)</f>
        <v/>
      </c>
    </row>
    <row r="143">
      <c r="A143" t="inlineStr">
        <is>
          <t xml:space="preserve">  Intérêts crédit-vendeur</t>
        </is>
      </c>
      <c r="B143" s="5">
        <f>SUM(C143:L143)</f>
        <v/>
      </c>
      <c r="C143" s="5">
        <f>C142*$B$32</f>
        <v/>
      </c>
      <c r="D143" s="5">
        <f>D142*$B$32</f>
        <v/>
      </c>
      <c r="E143" s="5">
        <f>E142*$B$32</f>
        <v/>
      </c>
      <c r="F143" s="5">
        <f>F142*$B$32</f>
        <v/>
      </c>
      <c r="G143" s="5">
        <f>G142*$B$32</f>
        <v/>
      </c>
      <c r="H143" s="5">
        <f>H142*$B$32</f>
        <v/>
      </c>
      <c r="I143" s="5">
        <f>I142*$B$32</f>
        <v/>
      </c>
      <c r="J143" s="5">
        <f>J142*$B$32</f>
        <v/>
      </c>
      <c r="K143" s="5">
        <f>K142*$B$32</f>
        <v/>
      </c>
      <c r="L143" s="5">
        <f>L142*$B$32</f>
        <v/>
      </c>
    </row>
    <row r="144">
      <c r="A144" t="inlineStr">
        <is>
          <t xml:space="preserve">  Amortissement crédit-vendeur</t>
        </is>
      </c>
      <c r="B144" s="5">
        <f>SUM(C144:L144)</f>
        <v/>
      </c>
      <c r="C144" s="5">
        <f>IF(OR(C137=0,C142&lt;=0),0,MIN(C142,IF($B$32=0,$B$31/$B$33,PMT($B$32,$B$33,-$B$31)-C143)))</f>
        <v/>
      </c>
      <c r="D144" s="5">
        <f>IF(OR(D137=0,D142&lt;=0),0,MIN(D142,IF($B$32=0,$B$31/$B$33,PMT($B$32,$B$33,-$B$31)-D143)))</f>
        <v/>
      </c>
      <c r="E144" s="5">
        <f>IF(OR(E137=0,E142&lt;=0),0,MIN(E142,IF($B$32=0,$B$31/$B$33,PMT($B$32,$B$33,-$B$31)-E143)))</f>
        <v/>
      </c>
      <c r="F144" s="5">
        <f>IF(OR(F137=0,F142&lt;=0),0,MIN(F142,IF($B$32=0,$B$31/$B$33,PMT($B$32,$B$33,-$B$31)-F143)))</f>
        <v/>
      </c>
      <c r="G144" s="5">
        <f>IF(OR(G137=0,G142&lt;=0),0,MIN(G142,IF($B$32=0,$B$31/$B$33,PMT($B$32,$B$33,-$B$31)-G143)))</f>
        <v/>
      </c>
      <c r="H144" s="5">
        <f>IF(OR(H137=0,H142&lt;=0),0,MIN(H142,IF($B$32=0,$B$31/$B$33,PMT($B$32,$B$33,-$B$31)-H143)))</f>
        <v/>
      </c>
      <c r="I144" s="5">
        <f>IF(OR(I137=0,I142&lt;=0),0,MIN(I142,IF($B$32=0,$B$31/$B$33,PMT($B$32,$B$33,-$B$31)-I143)))</f>
        <v/>
      </c>
      <c r="J144" s="5">
        <f>IF(OR(J137=0,J142&lt;=0),0,MIN(J142,IF($B$32=0,$B$31/$B$33,PMT($B$32,$B$33,-$B$31)-J143)))</f>
        <v/>
      </c>
      <c r="K144" s="5">
        <f>IF(OR(K137=0,K142&lt;=0),0,MIN(K142,IF($B$32=0,$B$31/$B$33,PMT($B$32,$B$33,-$B$31)-K143)))</f>
        <v/>
      </c>
      <c r="L144" s="5">
        <f>IF(OR(L137=0,L142&lt;=0),0,MIN(L142,IF($B$32=0,$B$31/$B$33,PMT($B$32,$B$33,-$B$31)-L143)))</f>
        <v/>
      </c>
    </row>
    <row r="145">
      <c r="A145" t="inlineStr">
        <is>
          <t>Crédit-vendeur — capital fin</t>
        </is>
      </c>
      <c r="C145" s="5">
        <f>C142-C144</f>
        <v/>
      </c>
      <c r="D145" s="5">
        <f>D142-D144</f>
        <v/>
      </c>
      <c r="E145" s="5">
        <f>E142-E144</f>
        <v/>
      </c>
      <c r="F145" s="5">
        <f>F142-F144</f>
        <v/>
      </c>
      <c r="G145" s="5">
        <f>G142-G144</f>
        <v/>
      </c>
      <c r="H145" s="5">
        <f>H142-H144</f>
        <v/>
      </c>
      <c r="I145" s="5">
        <f>I142-I144</f>
        <v/>
      </c>
      <c r="J145" s="5">
        <f>J142-J144</f>
        <v/>
      </c>
      <c r="K145" s="5">
        <f>K142-K144</f>
        <v/>
      </c>
      <c r="L145" s="5">
        <f>L142-L144</f>
        <v/>
      </c>
    </row>
    <row r="146">
      <c r="A146" t="inlineStr">
        <is>
          <t>Obligations — encours</t>
        </is>
      </c>
      <c r="C146" s="5">
        <f>IF(AND(C$89&gt;=$B$5,C$89&lt;=$B$36),$B$34,0)</f>
        <v/>
      </c>
      <c r="D146" s="5">
        <f>IF(AND(D$89&gt;=$B$5,D$89&lt;=$B$36),$B$34,0)</f>
        <v/>
      </c>
      <c r="E146" s="5">
        <f>IF(AND(E$89&gt;=$B$5,E$89&lt;=$B$36),$B$34,0)</f>
        <v/>
      </c>
      <c r="F146" s="5">
        <f>IF(AND(F$89&gt;=$B$5,F$89&lt;=$B$36),$B$34,0)</f>
        <v/>
      </c>
      <c r="G146" s="5">
        <f>IF(AND(G$89&gt;=$B$5,G$89&lt;=$B$36),$B$34,0)</f>
        <v/>
      </c>
      <c r="H146" s="5">
        <f>IF(AND(H$89&gt;=$B$5,H$89&lt;=$B$36),$B$34,0)</f>
        <v/>
      </c>
      <c r="I146" s="5">
        <f>IF(AND(I$89&gt;=$B$5,I$89&lt;=$B$36),$B$34,0)</f>
        <v/>
      </c>
      <c r="J146" s="5">
        <f>IF(AND(J$89&gt;=$B$5,J$89&lt;=$B$36),$B$34,0)</f>
        <v/>
      </c>
      <c r="K146" s="5">
        <f>IF(AND(K$89&gt;=$B$5,K$89&lt;=$B$36),$B$34,0)</f>
        <v/>
      </c>
      <c r="L146" s="5">
        <f>IF(AND(L$89&gt;=$B$5,L$89&lt;=$B$36),$B$34,0)</f>
        <v/>
      </c>
    </row>
    <row r="147">
      <c r="A147" t="inlineStr">
        <is>
          <t xml:space="preserve">  Coupons obligataires</t>
        </is>
      </c>
      <c r="B147" s="5">
        <f>SUM(C147:L147)</f>
        <v/>
      </c>
      <c r="C147" s="5">
        <f>C146*$B$35</f>
        <v/>
      </c>
      <c r="D147" s="5">
        <f>D146*$B$35</f>
        <v/>
      </c>
      <c r="E147" s="5">
        <f>E146*$B$35</f>
        <v/>
      </c>
      <c r="F147" s="5">
        <f>F146*$B$35</f>
        <v/>
      </c>
      <c r="G147" s="5">
        <f>G146*$B$35</f>
        <v/>
      </c>
      <c r="H147" s="5">
        <f>H146*$B$35</f>
        <v/>
      </c>
      <c r="I147" s="5">
        <f>I146*$B$35</f>
        <v/>
      </c>
      <c r="J147" s="5">
        <f>J146*$B$35</f>
        <v/>
      </c>
      <c r="K147" s="5">
        <f>K146*$B$35</f>
        <v/>
      </c>
      <c r="L147" s="5">
        <f>L146*$B$35</f>
        <v/>
      </c>
    </row>
    <row r="148">
      <c r="A148" t="inlineStr">
        <is>
          <t xml:space="preserve">  Remboursement obligations</t>
        </is>
      </c>
      <c r="B148" s="5">
        <f>SUM(C148:L148)</f>
        <v/>
      </c>
      <c r="C148" s="5">
        <f>IF(C$89=$B$36,$B$34,0)</f>
        <v/>
      </c>
      <c r="D148" s="5">
        <f>IF(D$89=$B$36,$B$34,0)</f>
        <v/>
      </c>
      <c r="E148" s="5">
        <f>IF(E$89=$B$36,$B$34,0)</f>
        <v/>
      </c>
      <c r="F148" s="5">
        <f>IF(F$89=$B$36,$B$34,0)</f>
        <v/>
      </c>
      <c r="G148" s="5">
        <f>IF(G$89=$B$36,$B$34,0)</f>
        <v/>
      </c>
      <c r="H148" s="5">
        <f>IF(H$89=$B$36,$B$34,0)</f>
        <v/>
      </c>
      <c r="I148" s="5">
        <f>IF(I$89=$B$36,$B$34,0)</f>
        <v/>
      </c>
      <c r="J148" s="5">
        <f>IF(J$89=$B$36,$B$34,0)</f>
        <v/>
      </c>
      <c r="K148" s="5">
        <f>IF(K$89=$B$36,$B$34,0)</f>
        <v/>
      </c>
      <c r="L148" s="5">
        <f>IF(L$89=$B$36,$B$34,0)</f>
        <v/>
      </c>
    </row>
    <row r="150">
      <c r="A150" t="inlineStr">
        <is>
          <t>Charges financières</t>
        </is>
      </c>
      <c r="B150" s="5">
        <f>SUM(C150:L150)</f>
        <v/>
      </c>
      <c r="C150" s="5">
        <f>-(C139+C143+C147)</f>
        <v/>
      </c>
      <c r="D150" s="5">
        <f>-(D139+D143+D147)</f>
        <v/>
      </c>
      <c r="E150" s="5">
        <f>-(E139+E143+E147)</f>
        <v/>
      </c>
      <c r="F150" s="5">
        <f>-(F139+F143+F147)</f>
        <v/>
      </c>
      <c r="G150" s="5">
        <f>-(G139+G143+G147)</f>
        <v/>
      </c>
      <c r="H150" s="5">
        <f>-(H139+H143+H147)</f>
        <v/>
      </c>
      <c r="I150" s="5">
        <f>-(I139+I143+I147)</f>
        <v/>
      </c>
      <c r="J150" s="5">
        <f>-(J139+J143+J147)</f>
        <v/>
      </c>
      <c r="K150" s="5">
        <f>-(K139+K143+K147)</f>
        <v/>
      </c>
      <c r="L150" s="5">
        <f>-(L139+L143+L147)</f>
        <v/>
      </c>
    </row>
    <row r="151">
      <c r="A151" s="4" t="inlineStr">
        <is>
          <t>Résultat avant impôt</t>
        </is>
      </c>
      <c r="B151" s="18">
        <f>SUM(C151:L151)</f>
        <v/>
      </c>
      <c r="C151" s="18">
        <f>C133+C150+C125</f>
        <v/>
      </c>
      <c r="D151" s="18">
        <f>D133+D150+D125</f>
        <v/>
      </c>
      <c r="E151" s="18">
        <f>E133+E150+E125</f>
        <v/>
      </c>
      <c r="F151" s="18">
        <f>F133+F150+F125</f>
        <v/>
      </c>
      <c r="G151" s="18">
        <f>G133+G150+G125</f>
        <v/>
      </c>
      <c r="H151" s="18">
        <f>H133+H150+H125</f>
        <v/>
      </c>
      <c r="I151" s="18">
        <f>I133+I150+I125</f>
        <v/>
      </c>
      <c r="J151" s="18">
        <f>J133+J150+J125</f>
        <v/>
      </c>
      <c r="K151" s="18">
        <f>K133+K150+K125</f>
        <v/>
      </c>
      <c r="L151" s="18">
        <f>L133+L150+L125</f>
        <v/>
      </c>
    </row>
    <row r="152">
      <c r="A152" t="inlineStr">
        <is>
          <t>Stock de déficits reportables (fin d'année)</t>
        </is>
      </c>
      <c r="C152" s="5">
        <f>MAX(0,-C151)</f>
        <v/>
      </c>
      <c r="D152" s="5">
        <f>MAX(0,C152-D151)</f>
        <v/>
      </c>
      <c r="E152" s="5">
        <f>MAX(0,D152-E151)</f>
        <v/>
      </c>
      <c r="F152" s="5">
        <f>MAX(0,E152-F151)</f>
        <v/>
      </c>
      <c r="G152" s="5">
        <f>MAX(0,F152-G151)</f>
        <v/>
      </c>
      <c r="H152" s="5">
        <f>MAX(0,G152-H151)</f>
        <v/>
      </c>
      <c r="I152" s="5">
        <f>MAX(0,H152-I151)</f>
        <v/>
      </c>
      <c r="J152" s="5">
        <f>MAX(0,I152-J151)</f>
        <v/>
      </c>
      <c r="K152" s="5">
        <f>MAX(0,J152-K151)</f>
        <v/>
      </c>
      <c r="L152" s="5">
        <f>MAX(0,K152-L151)</f>
        <v/>
      </c>
    </row>
    <row r="153">
      <c r="A153" t="inlineStr">
        <is>
          <t>Impôt sur les sociétés</t>
        </is>
      </c>
      <c r="B153" s="5">
        <f>SUM(C153:L153)</f>
        <v/>
      </c>
      <c r="C153" s="5">
        <f>-(MIN(MAX(0,C151),$B$61)*$B$60+MAX(0,MAX(0,C151)-$B$61)*$B$59)</f>
        <v/>
      </c>
      <c r="D153" s="5">
        <f>-(MIN(MAX(0,D151-C152),$B$61)*$B$60+MAX(0,MAX(0,D151-C152)-$B$61)*$B$59)</f>
        <v/>
      </c>
      <c r="E153" s="5">
        <f>-(MIN(MAX(0,E151-D152),$B$61)*$B$60+MAX(0,MAX(0,E151-D152)-$B$61)*$B$59)</f>
        <v/>
      </c>
      <c r="F153" s="5">
        <f>-(MIN(MAX(0,F151-E152),$B$61)*$B$60+MAX(0,MAX(0,F151-E152)-$B$61)*$B$59)</f>
        <v/>
      </c>
      <c r="G153" s="5">
        <f>-(MIN(MAX(0,G151-F152),$B$61)*$B$60+MAX(0,MAX(0,G151-F152)-$B$61)*$B$59)</f>
        <v/>
      </c>
      <c r="H153" s="5">
        <f>-(MIN(MAX(0,H151-G152),$B$61)*$B$60+MAX(0,MAX(0,H151-G152)-$B$61)*$B$59)</f>
        <v/>
      </c>
      <c r="I153" s="5">
        <f>-(MIN(MAX(0,I151-H152),$B$61)*$B$60+MAX(0,MAX(0,I151-H152)-$B$61)*$B$59)</f>
        <v/>
      </c>
      <c r="J153" s="5">
        <f>-(MIN(MAX(0,J151-I152),$B$61)*$B$60+MAX(0,MAX(0,J151-I152)-$B$61)*$B$59)</f>
        <v/>
      </c>
      <c r="K153" s="5">
        <f>-(MIN(MAX(0,K151-J152),$B$61)*$B$60+MAX(0,MAX(0,K151-J152)-$B$61)*$B$59)</f>
        <v/>
      </c>
      <c r="L153" s="5">
        <f>-(MIN(MAX(0,L151-K152),$B$61)*$B$60+MAX(0,MAX(0,L151-K152)-$B$61)*$B$59)</f>
        <v/>
      </c>
    </row>
    <row r="154">
      <c r="A154" s="4" t="inlineStr">
        <is>
          <t>Résultat net</t>
        </is>
      </c>
      <c r="B154" s="18">
        <f>SUM(C154:L154)</f>
        <v/>
      </c>
      <c r="C154" s="18">
        <f>C151+C153</f>
        <v/>
      </c>
      <c r="D154" s="18">
        <f>D151+D153</f>
        <v/>
      </c>
      <c r="E154" s="18">
        <f>E151+E153</f>
        <v/>
      </c>
      <c r="F154" s="18">
        <f>F151+F153</f>
        <v/>
      </c>
      <c r="G154" s="18">
        <f>G151+G153</f>
        <v/>
      </c>
      <c r="H154" s="18">
        <f>H151+H153</f>
        <v/>
      </c>
      <c r="I154" s="18">
        <f>I151+I153</f>
        <v/>
      </c>
      <c r="J154" s="18">
        <f>J151+J153</f>
        <v/>
      </c>
      <c r="K154" s="18">
        <f>K151+K153</f>
        <v/>
      </c>
      <c r="L154" s="18">
        <f>L151+L153</f>
        <v/>
      </c>
    </row>
    <row r="156">
      <c r="A156" s="4" t="inlineStr">
        <is>
          <t>Tableau des flux de trésorerie</t>
        </is>
      </c>
    </row>
    <row r="157">
      <c r="A157" t="inlineStr">
        <is>
          <t>BFR (niveau)</t>
        </is>
      </c>
      <c r="C157" s="5">
        <f>C106*$B$58</f>
        <v/>
      </c>
      <c r="D157" s="5">
        <f>D106*$B$58</f>
        <v/>
      </c>
      <c r="E157" s="5">
        <f>E106*$B$58</f>
        <v/>
      </c>
      <c r="F157" s="5">
        <f>F106*$B$58</f>
        <v/>
      </c>
      <c r="G157" s="5">
        <f>G106*$B$58</f>
        <v/>
      </c>
      <c r="H157" s="5">
        <f>H106*$B$58</f>
        <v/>
      </c>
      <c r="I157" s="5">
        <f>I106*$B$58</f>
        <v/>
      </c>
      <c r="J157" s="5">
        <f>J106*$B$58</f>
        <v/>
      </c>
      <c r="K157" s="5">
        <f>K106*$B$58</f>
        <v/>
      </c>
      <c r="L157" s="5">
        <f>L106*$B$58</f>
        <v/>
      </c>
    </row>
    <row r="158">
      <c r="A158" t="inlineStr">
        <is>
          <t>Variation du BFR</t>
        </is>
      </c>
      <c r="B158" s="5">
        <f>SUM(C158:L158)</f>
        <v/>
      </c>
      <c r="C158" s="5">
        <f>-C157</f>
        <v/>
      </c>
      <c r="D158" s="5">
        <f>-(D157-C157)</f>
        <v/>
      </c>
      <c r="E158" s="5">
        <f>-(E157-D157)</f>
        <v/>
      </c>
      <c r="F158" s="5">
        <f>-(F157-E157)</f>
        <v/>
      </c>
      <c r="G158" s="5">
        <f>-(G157-F157)</f>
        <v/>
      </c>
      <c r="H158" s="5">
        <f>-(H157-G157)</f>
        <v/>
      </c>
      <c r="I158" s="5">
        <f>-(I157-H157)</f>
        <v/>
      </c>
      <c r="J158" s="5">
        <f>-(J157-I157)</f>
        <v/>
      </c>
      <c r="K158" s="5">
        <f>-(K157-J157)</f>
        <v/>
      </c>
      <c r="L158" s="5">
        <f>-(L157-K157)</f>
        <v/>
      </c>
    </row>
    <row r="159">
      <c r="A159" s="4" t="inlineStr">
        <is>
          <t>Flux d'exploitation (EBITDA + loyer privé − IS − ΔBFR)</t>
        </is>
      </c>
      <c r="B159" s="18">
        <f>SUM(C159:L159)</f>
        <v/>
      </c>
      <c r="C159" s="18">
        <f>C124+C125+C153+C158</f>
        <v/>
      </c>
      <c r="D159" s="18">
        <f>D124+D125+D153+D158</f>
        <v/>
      </c>
      <c r="E159" s="18">
        <f>E124+E125+E153+E158</f>
        <v/>
      </c>
      <c r="F159" s="18">
        <f>F124+F125+F153+F158</f>
        <v/>
      </c>
      <c r="G159" s="18">
        <f>G124+G125+G153+G158</f>
        <v/>
      </c>
      <c r="H159" s="18">
        <f>H124+H125+H153+H158</f>
        <v/>
      </c>
      <c r="I159" s="18">
        <f>I124+I125+I153+I158</f>
        <v/>
      </c>
      <c r="J159" s="18">
        <f>J124+J125+J153+J158</f>
        <v/>
      </c>
      <c r="K159" s="18">
        <f>K124+K125+K153+K158</f>
        <v/>
      </c>
      <c r="L159" s="18">
        <f>L124+L125+L153+L158</f>
        <v/>
      </c>
    </row>
    <row r="160">
      <c r="A160" s="4" t="inlineStr">
        <is>
          <t>Flux d'investissement</t>
        </is>
      </c>
      <c r="B160" s="18">
        <f>SUM(C160:L160)</f>
        <v/>
      </c>
      <c r="C160" s="18">
        <f>-(C129+C127+C130)</f>
        <v/>
      </c>
      <c r="D160" s="18">
        <f>-(D129+D127+D130)</f>
        <v/>
      </c>
      <c r="E160" s="18">
        <f>-(E129+E127+E130)</f>
        <v/>
      </c>
      <c r="F160" s="18">
        <f>-(F129+F127+F130)</f>
        <v/>
      </c>
      <c r="G160" s="18">
        <f>-(G129+G127+G130)</f>
        <v/>
      </c>
      <c r="H160" s="18">
        <f>-(H129+H127+H130)</f>
        <v/>
      </c>
      <c r="I160" s="18">
        <f>-(I129+I127+I130)</f>
        <v/>
      </c>
      <c r="J160" s="18">
        <f>-(J129+J127+J130)</f>
        <v/>
      </c>
      <c r="K160" s="18">
        <f>-(K129+K127+K130)</f>
        <v/>
      </c>
      <c r="L160" s="18">
        <f>-(L129+L127+L130)</f>
        <v/>
      </c>
    </row>
    <row r="161">
      <c r="A161" t="inlineStr">
        <is>
          <t xml:space="preserve">  Apports en fonds propres + subventions</t>
        </is>
      </c>
      <c r="B161" s="5">
        <f>SUM(C161:L161)</f>
        <v/>
      </c>
      <c r="C161" s="5">
        <f>IF(C$89=1,$B$23,0)+IF(C$89=$B$5,$B$24*(1-$B$49)+$B$26,0)</f>
        <v/>
      </c>
      <c r="D161" s="5">
        <f>IF(D$89=1,$B$23,0)+IF(D$89=$B$5,$B$24*(1-$B$49)+$B$26,0)</f>
        <v/>
      </c>
      <c r="E161" s="5">
        <f>IF(E$89=1,$B$23,0)+IF(E$89=$B$5,$B$24*(1-$B$49)+$B$26,0)</f>
        <v/>
      </c>
      <c r="F161" s="5">
        <f>IF(F$89=1,$B$23,0)+IF(F$89=$B$5,$B$24*(1-$B$49)+$B$26,0)</f>
        <v/>
      </c>
      <c r="G161" s="5">
        <f>IF(G$89=1,$B$23,0)+IF(G$89=$B$5,$B$24*(1-$B$49)+$B$26,0)</f>
        <v/>
      </c>
      <c r="H161" s="5">
        <f>IF(H$89=1,$B$23,0)+IF(H$89=$B$5,$B$24*(1-$B$49)+$B$26,0)</f>
        <v/>
      </c>
      <c r="I161" s="5">
        <f>IF(I$89=1,$B$23,0)+IF(I$89=$B$5,$B$24*(1-$B$49)+$B$26,0)</f>
        <v/>
      </c>
      <c r="J161" s="5">
        <f>IF(J$89=1,$B$23,0)+IF(J$89=$B$5,$B$24*(1-$B$49)+$B$26,0)</f>
        <v/>
      </c>
      <c r="K161" s="5">
        <f>IF(K$89=1,$B$23,0)+IF(K$89=$B$5,$B$24*(1-$B$49)+$B$26,0)</f>
        <v/>
      </c>
      <c r="L161" s="5">
        <f>IF(L$89=1,$B$23,0)+IF(L$89=$B$5,$B$24*(1-$B$49)+$B$26,0)</f>
        <v/>
      </c>
    </row>
    <row r="162">
      <c r="A162" t="inlineStr">
        <is>
          <t xml:space="preserve">  Tirages dette + crédit-vendeur + obligations</t>
        </is>
      </c>
      <c r="B162" s="5">
        <f>SUM(C162:L162)</f>
        <v/>
      </c>
      <c r="C162" s="5">
        <f>IF(C$89=$B$5,$B$27+$B$31+$B$34,0)</f>
        <v/>
      </c>
      <c r="D162" s="5">
        <f>IF(D$89=$B$5,$B$27+$B$31+$B$34,0)</f>
        <v/>
      </c>
      <c r="E162" s="5">
        <f>IF(E$89=$B$5,$B$27+$B$31+$B$34,0)</f>
        <v/>
      </c>
      <c r="F162" s="5">
        <f>IF(F$89=$B$5,$B$27+$B$31+$B$34,0)</f>
        <v/>
      </c>
      <c r="G162" s="5">
        <f>IF(G$89=$B$5,$B$27+$B$31+$B$34,0)</f>
        <v/>
      </c>
      <c r="H162" s="5">
        <f>IF(H$89=$B$5,$B$27+$B$31+$B$34,0)</f>
        <v/>
      </c>
      <c r="I162" s="5">
        <f>IF(I$89=$B$5,$B$27+$B$31+$B$34,0)</f>
        <v/>
      </c>
      <c r="J162" s="5">
        <f>IF(J$89=$B$5,$B$27+$B$31+$B$34,0)</f>
        <v/>
      </c>
      <c r="K162" s="5">
        <f>IF(K$89=$B$5,$B$27+$B$31+$B$34,0)</f>
        <v/>
      </c>
      <c r="L162" s="5">
        <f>IF(L$89=$B$5,$B$27+$B$31+$B$34,0)</f>
        <v/>
      </c>
    </row>
    <row r="163">
      <c r="A163" t="inlineStr">
        <is>
          <t xml:space="preserve">  Service de la dette (intérêts + capital + coupons + rembt obligations)</t>
        </is>
      </c>
      <c r="B163" s="5">
        <f>SUM(C163:L163)</f>
        <v/>
      </c>
      <c r="C163" s="5">
        <f>-(C139+C140+C143+C144+C147+C148)</f>
        <v/>
      </c>
      <c r="D163" s="5">
        <f>-(D139+D140+D143+D144+D147+D148)</f>
        <v/>
      </c>
      <c r="E163" s="5">
        <f>-(E139+E140+E143+E144+E147+E148)</f>
        <v/>
      </c>
      <c r="F163" s="5">
        <f>-(F139+F140+F143+F144+F147+F148)</f>
        <v/>
      </c>
      <c r="G163" s="5">
        <f>-(G139+G140+G143+G144+G147+G148)</f>
        <v/>
      </c>
      <c r="H163" s="5">
        <f>-(H139+H140+H143+H144+H147+H148)</f>
        <v/>
      </c>
      <c r="I163" s="5">
        <f>-(I139+I140+I143+I144+I147+I148)</f>
        <v/>
      </c>
      <c r="J163" s="5">
        <f>-(J139+J140+J143+J144+J147+J148)</f>
        <v/>
      </c>
      <c r="K163" s="5">
        <f>-(K139+K140+K143+K144+K147+K148)</f>
        <v/>
      </c>
      <c r="L163" s="5">
        <f>-(L139+L140+L143+L144+L147+L148)</f>
        <v/>
      </c>
    </row>
    <row r="164">
      <c r="A164" s="4" t="inlineStr">
        <is>
          <t>Flux de financement</t>
        </is>
      </c>
      <c r="B164" s="18">
        <f>SUM(C164:L164)</f>
        <v/>
      </c>
      <c r="C164" s="18">
        <f>C161+C162+C163</f>
        <v/>
      </c>
      <c r="D164" s="18">
        <f>D161+D162+D163</f>
        <v/>
      </c>
      <c r="E164" s="18">
        <f>E161+E162+E163</f>
        <v/>
      </c>
      <c r="F164" s="18">
        <f>F161+F162+F163</f>
        <v/>
      </c>
      <c r="G164" s="18">
        <f>G161+G162+G163</f>
        <v/>
      </c>
      <c r="H164" s="18">
        <f>H161+H162+H163</f>
        <v/>
      </c>
      <c r="I164" s="18">
        <f>I161+I162+I163</f>
        <v/>
      </c>
      <c r="J164" s="18">
        <f>J161+J162+J163</f>
        <v/>
      </c>
      <c r="K164" s="18">
        <f>K161+K162+K163</f>
        <v/>
      </c>
      <c r="L164" s="18">
        <f>L161+L162+L163</f>
        <v/>
      </c>
    </row>
    <row r="165">
      <c r="A165" s="4" t="inlineStr">
        <is>
          <t>Variation de trésorerie</t>
        </is>
      </c>
      <c r="B165" s="18">
        <f>SUM(C165:L165)</f>
        <v/>
      </c>
      <c r="C165" s="18">
        <f>C159+C160+C164</f>
        <v/>
      </c>
      <c r="D165" s="18">
        <f>D159+D160+D164</f>
        <v/>
      </c>
      <c r="E165" s="18">
        <f>E159+E160+E164</f>
        <v/>
      </c>
      <c r="F165" s="18">
        <f>F159+F160+F164</f>
        <v/>
      </c>
      <c r="G165" s="18">
        <f>G159+G160+G164</f>
        <v/>
      </c>
      <c r="H165" s="18">
        <f>H159+H160+H164</f>
        <v/>
      </c>
      <c r="I165" s="18">
        <f>I159+I160+I164</f>
        <v/>
      </c>
      <c r="J165" s="18">
        <f>J159+J160+J164</f>
        <v/>
      </c>
      <c r="K165" s="18">
        <f>K159+K160+K164</f>
        <v/>
      </c>
      <c r="L165" s="18">
        <f>L159+L160+L164</f>
        <v/>
      </c>
    </row>
    <row r="166">
      <c r="A166" s="4" t="inlineStr">
        <is>
          <t>Trésorerie fin d'année</t>
        </is>
      </c>
      <c r="C166" s="18">
        <f>C165</f>
        <v/>
      </c>
      <c r="D166" s="18">
        <f>C166+D165</f>
        <v/>
      </c>
      <c r="E166" s="18">
        <f>D166+E165</f>
        <v/>
      </c>
      <c r="F166" s="18">
        <f>E166+F165</f>
        <v/>
      </c>
      <c r="G166" s="18">
        <f>F166+G165</f>
        <v/>
      </c>
      <c r="H166" s="18">
        <f>G166+H165</f>
        <v/>
      </c>
      <c r="I166" s="18">
        <f>H166+I165</f>
        <v/>
      </c>
      <c r="J166" s="18">
        <f>I166+J165</f>
        <v/>
      </c>
      <c r="K166" s="18">
        <f>J166+K165</f>
        <v/>
      </c>
      <c r="L166" s="18">
        <f>K166+L165</f>
        <v/>
      </c>
    </row>
    <row r="167">
      <c r="A167" t="inlineStr">
        <is>
          <t>Cash-flow libre d'exploitation (CFO − gros entretien − service dette hors obligations in fine)</t>
        </is>
      </c>
      <c r="B167" s="5">
        <f>SUM(C167:L167)</f>
        <v/>
      </c>
      <c r="C167" s="5">
        <f>C159-C130-(C139+C140+C143+C144+C147)</f>
        <v/>
      </c>
      <c r="D167" s="5">
        <f>D159-D130-(D139+D140+D143+D144+D147)</f>
        <v/>
      </c>
      <c r="E167" s="5">
        <f>E159-E130-(E139+E140+E143+E144+E147)</f>
        <v/>
      </c>
      <c r="F167" s="5">
        <f>F159-F130-(F139+F140+F143+F144+F147)</f>
        <v/>
      </c>
      <c r="G167" s="5">
        <f>G159-G130-(G139+G140+G143+G144+G147)</f>
        <v/>
      </c>
      <c r="H167" s="5">
        <f>H159-H130-(H139+H140+H143+H144+H147)</f>
        <v/>
      </c>
      <c r="I167" s="5">
        <f>I159-I130-(I139+I140+I143+I144+I147)</f>
        <v/>
      </c>
      <c r="J167" s="5">
        <f>J159-J130-(J139+J140+J143+J144+J147)</f>
        <v/>
      </c>
      <c r="K167" s="5">
        <f>K159-K130-(K139+K140+K143+K144+K147)</f>
        <v/>
      </c>
      <c r="L167" s="5">
        <f>L159-L130-(L139+L140+L143+L144+L147)</f>
        <v/>
      </c>
    </row>
    <row r="168">
      <c r="A168" t="inlineStr">
        <is>
          <t>DSCR ((EBITDA + loyer privé − IS − gros entretien) / service de la dette)</t>
        </is>
      </c>
      <c r="C168" s="7">
        <f>IF((C139+C140+C143+C144+C147)=0,"",(C124+C125+C153-C130)/(C139+C140+C143+C144+C147))</f>
        <v/>
      </c>
      <c r="D168" s="7">
        <f>IF((D139+D140+D143+D144+D147)=0,"",(D124+D125+D153-D130)/(D139+D140+D143+D144+D147))</f>
        <v/>
      </c>
      <c r="E168" s="7">
        <f>IF((E139+E140+E143+E144+E147)=0,"",(E124+E125+E153-E130)/(E139+E140+E143+E144+E147))</f>
        <v/>
      </c>
      <c r="F168" s="7">
        <f>IF((F139+F140+F143+F144+F147)=0,"",(F124+F125+F153-F130)/(F139+F140+F143+F144+F147))</f>
        <v/>
      </c>
      <c r="G168" s="7">
        <f>IF((G139+G140+G143+G144+G147)=0,"",(G124+G125+G153-G130)/(G139+G140+G143+G144+G147))</f>
        <v/>
      </c>
      <c r="H168" s="7">
        <f>IF((H139+H140+H143+H144+H147)=0,"",(H124+H125+H153-H130)/(H139+H140+H143+H144+H147))</f>
        <v/>
      </c>
      <c r="I168" s="7">
        <f>IF((I139+I140+I143+I144+I147)=0,"",(I124+I125+I153-I130)/(I139+I140+I143+I144+I147))</f>
        <v/>
      </c>
      <c r="J168" s="7">
        <f>IF((J139+J140+J143+J144+J147)=0,"",(J124+J125+J153-J130)/(J139+J140+J143+J144+J147))</f>
        <v/>
      </c>
      <c r="K168" s="7">
        <f>IF((K139+K140+K143+K144+K147)=0,"",(K124+K125+K153-K130)/(K139+K140+K143+K144+K147))</f>
        <v/>
      </c>
      <c r="L168" s="7">
        <f>IF((L139+L140+L143+L144+L147)=0,"",(L124+L125+L153-L130)/(L139+L140+L143+L144+L147))</f>
        <v/>
      </c>
    </row>
    <row r="170">
      <c r="A170" s="4" t="inlineStr">
        <is>
          <t>Rentabilité des investisseurs et contrôle</t>
        </is>
      </c>
    </row>
    <row r="171">
      <c r="A171" t="inlineStr">
        <is>
          <t>Dettes financières totales fin d'année</t>
        </is>
      </c>
      <c r="C171" s="5">
        <f>C141+C145+C146-C148</f>
        <v/>
      </c>
      <c r="D171" s="5">
        <f>D141+D145+D146-D148</f>
        <v/>
      </c>
      <c r="E171" s="5">
        <f>E141+E145+E146-E148</f>
        <v/>
      </c>
      <c r="F171" s="5">
        <f>F141+F145+F146-F148</f>
        <v/>
      </c>
      <c r="G171" s="5">
        <f>G141+G145+G146-G148</f>
        <v/>
      </c>
      <c r="H171" s="5">
        <f>H141+H145+H146-H148</f>
        <v/>
      </c>
      <c r="I171" s="5">
        <f>I141+I145+I146-I148</f>
        <v/>
      </c>
      <c r="J171" s="5">
        <f>J141+J145+J146-J148</f>
        <v/>
      </c>
      <c r="K171" s="5">
        <f>K141+K145+K146-K148</f>
        <v/>
      </c>
      <c r="L171" s="5">
        <f>L141+L145+L146-L148</f>
        <v/>
      </c>
    </row>
    <row r="172">
      <c r="A172" t="inlineStr">
        <is>
          <t>Valeur estimée de l'actif (si cédé cette année)</t>
        </is>
      </c>
      <c r="C172" s="5">
        <f>C95*($B$7+C128)*$B$17*(1-$B$19)</f>
        <v/>
      </c>
      <c r="D172" s="5">
        <f>D95*($B$7+D128)*$B$17*(1-$B$19)</f>
        <v/>
      </c>
      <c r="E172" s="5">
        <f>E95*($B$7+E128)*$B$17*(1-$B$19)</f>
        <v/>
      </c>
      <c r="F172" s="5">
        <f>F95*($B$7+F128)*$B$17*(1-$B$19)</f>
        <v/>
      </c>
      <c r="G172" s="5">
        <f>G95*($B$7+G128)*$B$17*(1-$B$19)</f>
        <v/>
      </c>
      <c r="H172" s="5">
        <f>H95*($B$7+H128)*$B$17*(1-$B$19)</f>
        <v/>
      </c>
      <c r="I172" s="5">
        <f>I95*($B$7+I128)*$B$17*(1-$B$19)</f>
        <v/>
      </c>
      <c r="J172" s="5">
        <f>J95*($B$7+J128)*$B$17*(1-$B$19)</f>
        <v/>
      </c>
      <c r="K172" s="5">
        <f>K95*($B$7+K128)*$B$17*(1-$B$19)</f>
        <v/>
      </c>
      <c r="L172" s="5">
        <f>L95*($B$7+L128)*$B$17*(1-$B$19)</f>
        <v/>
      </c>
    </row>
    <row r="173">
      <c r="A173" t="inlineStr">
        <is>
          <t>Valeur des fonds propres (actif + trésorerie − dettes)</t>
        </is>
      </c>
      <c r="C173" s="5">
        <f>C172+C166-C171</f>
        <v/>
      </c>
      <c r="D173" s="5">
        <f>D172+D166-D171</f>
        <v/>
      </c>
      <c r="E173" s="5">
        <f>E172+E166-E171</f>
        <v/>
      </c>
      <c r="F173" s="5">
        <f>F172+F166-F171</f>
        <v/>
      </c>
      <c r="G173" s="5">
        <f>G172+G166-G171</f>
        <v/>
      </c>
      <c r="H173" s="5">
        <f>H172+H166-H171</f>
        <v/>
      </c>
      <c r="I173" s="5">
        <f>I172+I166-I171</f>
        <v/>
      </c>
      <c r="J173" s="5">
        <f>J172+J166-J171</f>
        <v/>
      </c>
      <c r="K173" s="5">
        <f>K172+K166-K171</f>
        <v/>
      </c>
      <c r="L173" s="5">
        <f>L172+L166-L171</f>
        <v/>
      </c>
    </row>
    <row r="174">
      <c r="A174" t="inlineStr">
        <is>
          <t>Flux des investisseurs (entrée an d'acq., sortie an 10)</t>
        </is>
      </c>
      <c r="B174" s="5">
        <f>SUM(C174:L174)</f>
        <v/>
      </c>
      <c r="C174" s="5">
        <f>-IF(C$89=$B$5,$B$24*(1-$B$49)*(1-$B$25),0)</f>
        <v/>
      </c>
      <c r="D174" s="5">
        <f>-IF(D$89=$B$5,$B$24*(1-$B$49)*(1-$B$25),0)</f>
        <v/>
      </c>
      <c r="E174" s="5">
        <f>-IF(E$89=$B$5,$B$24*(1-$B$49)*(1-$B$25),0)</f>
        <v/>
      </c>
      <c r="F174" s="5">
        <f>-IF(F$89=$B$5,$B$24*(1-$B$49)*(1-$B$25),0)</f>
        <v/>
      </c>
      <c r="G174" s="5">
        <f>-IF(G$89=$B$5,$B$24*(1-$B$49)*(1-$B$25),0)</f>
        <v/>
      </c>
      <c r="H174" s="5">
        <f>-IF(H$89=$B$5,$B$24*(1-$B$49)*(1-$B$25),0)</f>
        <v/>
      </c>
      <c r="I174" s="5">
        <f>-IF(I$89=$B$5,$B$24*(1-$B$49)*(1-$B$25),0)</f>
        <v/>
      </c>
      <c r="J174" s="5">
        <f>-IF(J$89=$B$5,$B$24*(1-$B$49)*(1-$B$25),0)</f>
        <v/>
      </c>
      <c r="K174" s="5">
        <f>-IF(K$89=$B$5,$B$24*(1-$B$49)*(1-$B$25),0)</f>
        <v/>
      </c>
      <c r="L174" s="5">
        <f>-IF(L$89=$B$5,$B$24*(1-$B$49)*(1-$B$25),0)+MAX(0,L173)*(1-$B$42)</f>
        <v/>
      </c>
    </row>
    <row r="175">
      <c r="A175" t="inlineStr">
        <is>
          <t>Flux du fondateur et de sa holding (apports, sortie théorique an 10)</t>
        </is>
      </c>
      <c r="B175" s="5">
        <f>SUM(C175:L175)</f>
        <v/>
      </c>
      <c r="C175" s="5">
        <f>-IF(C$89=1,$B$23,0)-IF(C$89=$B$5,$B$24*(1-$B$49)*$B$25,0)</f>
        <v/>
      </c>
      <c r="D175" s="5">
        <f>-IF(D$89=1,$B$23,0)-IF(D$89=$B$5,$B$24*(1-$B$49)*$B$25,0)</f>
        <v/>
      </c>
      <c r="E175" s="5">
        <f>-IF(E$89=1,$B$23,0)-IF(E$89=$B$5,$B$24*(1-$B$49)*$B$25,0)</f>
        <v/>
      </c>
      <c r="F175" s="5">
        <f>-IF(F$89=1,$B$23,0)-IF(F$89=$B$5,$B$24*(1-$B$49)*$B$25,0)</f>
        <v/>
      </c>
      <c r="G175" s="5">
        <f>-IF(G$89=1,$B$23,0)-IF(G$89=$B$5,$B$24*(1-$B$49)*$B$25,0)</f>
        <v/>
      </c>
      <c r="H175" s="5">
        <f>-IF(H$89=1,$B$23,0)-IF(H$89=$B$5,$B$24*(1-$B$49)*$B$25,0)</f>
        <v/>
      </c>
      <c r="I175" s="5">
        <f>-IF(I$89=1,$B$23,0)-IF(I$89=$B$5,$B$24*(1-$B$49)*$B$25,0)</f>
        <v/>
      </c>
      <c r="J175" s="5">
        <f>-IF(J$89=1,$B$23,0)-IF(J$89=$B$5,$B$24*(1-$B$49)*$B$25,0)</f>
        <v/>
      </c>
      <c r="K175" s="5">
        <f>-IF(K$89=1,$B$23,0)-IF(K$89=$B$5,$B$24*(1-$B$49)*$B$25,0)</f>
        <v/>
      </c>
      <c r="L175" s="5">
        <f>-IF(L$89=1,$B$23,0)-IF(L$89=$B$5,$B$24*(1-$B$49)*$B$25,0)+MAX(0,L173)*$B$42</f>
        <v/>
      </c>
    </row>
    <row r="177">
      <c r="A177" s="10" t="inlineStr">
        <is>
          <t>8. Indicateurs clés</t>
        </is>
      </c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</row>
    <row r="178">
      <c r="A178" t="inlineStr">
        <is>
          <t>Emplois totaux (acq. + frais + travaux initiaux)</t>
        </is>
      </c>
      <c r="B178" s="18">
        <f>$B$7*(1+$B$8)+SUM(C127:L127)</f>
        <v/>
      </c>
    </row>
    <row r="179">
      <c r="A179" t="inlineStr">
        <is>
          <t>Ressources externes et apports prévus</t>
        </is>
      </c>
      <c r="B179" s="18">
        <f>$B$23+$B$24*(1-$B$49)+$B$26+$B$27+$B$31+$B$34</f>
        <v/>
      </c>
    </row>
    <row r="180">
      <c r="A180" t="inlineStr">
        <is>
          <t>CA année 5</t>
        </is>
      </c>
      <c r="B180" s="18">
        <f>G106</f>
        <v/>
      </c>
    </row>
    <row r="181">
      <c r="A181" t="inlineStr">
        <is>
          <t>EBITDA année 5</t>
        </is>
      </c>
      <c r="B181" s="18">
        <f>G124</f>
        <v/>
      </c>
    </row>
    <row r="182">
      <c r="A182" t="inlineStr">
        <is>
          <t>EBITDA année 10</t>
        </is>
      </c>
      <c r="B182" s="18">
        <f>L124</f>
        <v/>
      </c>
    </row>
    <row r="183">
      <c r="A183" t="inlineStr">
        <is>
          <t>Part équestre du CA année 5</t>
        </is>
      </c>
      <c r="B183" s="14">
        <f>G108</f>
        <v/>
      </c>
    </row>
    <row r="184">
      <c r="A184" t="inlineStr">
        <is>
          <t>Trésorerie minimale sur 10 ans</t>
        </is>
      </c>
      <c r="B184" s="18">
        <f>MIN(C166:L166)</f>
        <v/>
      </c>
    </row>
    <row r="185">
      <c r="A185" t="inlineStr">
        <is>
          <t>Trésorerie fin année 10</t>
        </is>
      </c>
      <c r="B185" s="18">
        <f>L166</f>
        <v/>
      </c>
    </row>
    <row r="186">
      <c r="A186" t="inlineStr">
        <is>
          <t>DSCR minimal (à partir de la 2e année d'exploitation)</t>
        </is>
      </c>
      <c r="B186" s="19">
        <f>IF(COUNTIFS(C168:L168,"&gt;-1E+300",C91:L91,"&gt;=2")=0,"n/a",_xlfn.MINIFS(C168:L168,C91:L91,"&gt;=2"))</f>
        <v/>
      </c>
    </row>
    <row r="187">
      <c r="A187" t="inlineStr">
        <is>
          <t>Nb d'années à cash-flow libre d'exploitation négatif (à partir de la 2e année d'exploitation)</t>
        </is>
      </c>
      <c r="B187" s="20">
        <f>COUNTIFS(C167:L167,"&lt;0",C91:L91,"&gt;=2")</f>
        <v/>
      </c>
    </row>
    <row r="188">
      <c r="A188" t="inlineStr">
        <is>
          <t>TRI investisseurs (sortie théorique an 10)</t>
        </is>
      </c>
      <c r="B188" s="14">
        <f>IF($B$24*(1-$B$25)=0,"sans objet",IFERROR(IRR(C174:L174,-0.05),"perte quasi totale (TRI non calculable)"))</f>
        <v/>
      </c>
    </row>
    <row r="189">
      <c r="A189" t="inlineStr">
        <is>
          <t>TRI fondateur (sortie théorique an 10)</t>
        </is>
      </c>
      <c r="B189" s="14">
        <f>IFERROR(IRR(C175:L175,-0.05),"perte quasi totale (TRI non calculable)")</f>
        <v/>
      </c>
    </row>
    <row r="190">
      <c r="A190" t="inlineStr">
        <is>
          <t>Dette bancaire soutenable estimée (DSCR 1,2 sur (EBITDA − IS − gros entretien) an 10, hors loyer privé ; taux et durée du scénario)</t>
        </is>
      </c>
      <c r="B190" s="18">
        <f>MAX(0,PV($B$28,$B$29,-(L124+L153-L130)/1.2))</f>
        <v/>
      </c>
    </row>
    <row r="191">
      <c r="A191" t="inlineStr">
        <is>
          <t>Fonds propres nécessaires (emplois + réserve + pertes d'exploitation cumulées − dette soutenable)</t>
        </is>
      </c>
      <c r="B191" s="18">
        <f>$B$7*(1+$B$8)+SUM(C127:L127)+$B$39-SUMIF(C159:L159,"&lt;0")-$B$190</f>
        <v/>
      </c>
    </row>
    <row r="192">
      <c r="A192" t="inlineStr">
        <is>
          <t>Part du capital du fondateur</t>
        </is>
      </c>
      <c r="B192" s="14">
        <f>$B$42</f>
        <v/>
      </c>
    </row>
    <row r="193">
      <c r="A193" t="inlineStr">
        <is>
          <t>Droits de vote du fondateur</t>
        </is>
      </c>
      <c r="B193" s="14">
        <f>$B$38</f>
        <v/>
      </c>
    </row>
    <row r="194">
      <c r="A194" s="4" t="inlineStr">
        <is>
          <t>Verdict (trésorerie ≥ 0 et ≥ réserve an 10, DSCR ≥ 1,2, cash-flow libre ≥ 0 dès la 2e année d'exploitation, TRI investisseurs extérieurs ≥ cible ; sinon NON AUTOFINANCÉ si le dirigeant n'est pas payé par le domaine)</t>
        </is>
      </c>
      <c r="B194" s="4">
        <f>IF($B$184&lt;0,"NON VIABLE (trésorerie négative)",IF(AND($B$185&gt;=$B$39,OR($B$186="n/a",$B$186&gt;=1.2),$B$187=0),IF(NOT(OR($B$188="sans objet",AND(ISNUMBER($B$188),N($B$188)&gt;=$B$40))),"FRAGILE (investisseurs non rémunérés)",IF($B$41=0,"NON AUTOFINANCÉ (dirigeant non payé par le domaine)","VIABLE sous hypothèses")),"FRAGILE"))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Moteur de capital H1 — une reprise de PME (valeur ≈ 1 M€) en 2027</t>
        </is>
      </c>
    </row>
    <row r="2">
      <c r="A2" s="9" t="inlineStr">
        <is>
          <t>Cellules jaunes = hypothèses éditables. Année 1 = 2027. Tout le reste est calculé. EBITDA des PME supposé APRÈS rémunération de marché d'un dirigeant opérationnel.</t>
        </is>
      </c>
    </row>
    <row r="4">
      <c r="A4" s="10" t="inlineStr">
        <is>
          <t>1. Hypothèses générales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Apport initial du fondateur dans la holding (année 1)</t>
        </is>
      </c>
      <c r="B5" s="12" t="n">
        <v>250000</v>
      </c>
      <c r="C5" t="inlineStr">
        <is>
          <t>€</t>
        </is>
      </c>
      <c r="D5" t="inlineStr">
        <is>
          <t>Scénario d'apport S2</t>
        </is>
      </c>
    </row>
    <row r="6">
      <c r="A6" t="inlineStr">
        <is>
          <t>Prêts d'honneur (à rembourser sur 5 ans, 0 %)</t>
        </is>
      </c>
      <c r="B6" s="12" t="n">
        <v>80000</v>
      </c>
      <c r="C6" t="inlineStr">
        <is>
          <t>€</t>
        </is>
      </c>
      <c r="D6" t="inlineStr">
        <is>
          <t>PL : prêts d'honneur 1 000-80 000 € [A2]</t>
        </is>
      </c>
    </row>
    <row r="7">
      <c r="A7" t="inlineStr">
        <is>
          <t>Frais d'acquisition d'une PME (% de la valeur)</t>
        </is>
      </c>
      <c r="B7" s="13" t="n">
        <v>0.05</v>
      </c>
      <c r="C7" t="inlineStr">
        <is>
          <t>%</t>
        </is>
      </c>
      <c r="D7" t="inlineStr">
        <is>
          <t>EST</t>
        </is>
      </c>
    </row>
    <row r="8">
      <c r="A8" t="inlineStr">
        <is>
          <t>Part financée par dette senior (% du prix + frais)</t>
        </is>
      </c>
      <c r="B8" s="13" t="n">
        <v>0.7</v>
      </c>
      <c r="C8" t="inlineStr">
        <is>
          <t>%</t>
        </is>
      </c>
      <c r="D8" t="inlineStr">
        <is>
          <t>PL : critère CRA — prêt ≤ 70 % du prix, ≤ 7 ans [A2]</t>
        </is>
      </c>
    </row>
    <row r="9">
      <c r="A9" t="inlineStr">
        <is>
          <t>Taux de la dette LBO</t>
        </is>
      </c>
      <c r="B9" s="13" t="n">
        <v>0.045</v>
      </c>
      <c r="C9" t="inlineStr">
        <is>
          <t>%</t>
        </is>
      </c>
      <c r="D9" t="inlineStr">
        <is>
          <t>EST : crédits aux PME 3,64 % (PL) + prime LBO</t>
        </is>
      </c>
    </row>
    <row r="10">
      <c r="A10" t="inlineStr">
        <is>
          <t>Durée de la dette LBO</t>
        </is>
      </c>
      <c r="B10" s="12" t="n">
        <v>7</v>
      </c>
      <c r="C10" t="inlineStr">
        <is>
          <t>ans</t>
        </is>
      </c>
      <c r="D10" t="inlineStr">
        <is>
          <t>PL : CRA [A2]</t>
        </is>
      </c>
    </row>
    <row r="11">
      <c r="A11" t="inlineStr">
        <is>
          <t>Investissements de maintien (% de l'EBITDA)</t>
        </is>
      </c>
      <c r="B11" s="13" t="n">
        <v>0.1</v>
      </c>
      <c r="C11" t="inlineStr">
        <is>
          <t>%</t>
        </is>
      </c>
      <c r="D11" t="inlineStr">
        <is>
          <t>EST</t>
        </is>
      </c>
    </row>
    <row r="12">
      <c r="A12" t="inlineStr">
        <is>
          <t>Croissance annuelle de l'EBITDA</t>
        </is>
      </c>
      <c r="B12" s="13" t="n">
        <v>0.02</v>
      </c>
      <c r="C12" t="inlineStr">
        <is>
          <t>%</t>
        </is>
      </c>
      <c r="D12" t="inlineStr">
        <is>
          <t>EST</t>
        </is>
      </c>
    </row>
    <row r="13">
      <c r="A13" t="inlineStr">
        <is>
          <t>Taux d'IS de la PME</t>
        </is>
      </c>
      <c r="B13" s="13" t="n">
        <v>0.25</v>
      </c>
      <c r="C13" t="inlineStr">
        <is>
          <t>%</t>
        </is>
      </c>
      <c r="D13" t="inlineStr">
        <is>
          <t>PL [A6] (taux réduit ignoré : prudent)</t>
        </is>
      </c>
    </row>
    <row r="14">
      <c r="A14" t="inlineStr">
        <is>
          <t>Frais annuels de la holding (comptable, juridique)</t>
        </is>
      </c>
      <c r="B14" s="12" t="n">
        <v>15000</v>
      </c>
      <c r="C14" t="inlineStr">
        <is>
          <t>€</t>
        </is>
      </c>
      <c r="D14" t="inlineStr">
        <is>
          <t>EST</t>
        </is>
      </c>
    </row>
    <row r="15">
      <c r="A15" t="inlineStr">
        <is>
          <t>Rémunération du fondateur versée par la holding (chargée)</t>
        </is>
      </c>
      <c r="B15" s="12" t="n">
        <v>0</v>
      </c>
      <c r="C15" t="inlineStr">
        <is>
          <t>€</t>
        </is>
      </c>
      <c r="D15" t="inlineStr">
        <is>
          <t>Le fondateur est rémunéré comme dirigeant de la PME (déjà dans l'EBITDA)</t>
        </is>
      </c>
    </row>
    <row r="16">
      <c r="A16" t="inlineStr">
        <is>
          <t>Multiple de valorisation à la revente (VE/EBITDA)</t>
        </is>
      </c>
      <c r="B16" s="21" t="n">
        <v>4.5</v>
      </c>
      <c r="C16" t="inlineStr">
        <is>
          <t>x</t>
        </is>
      </c>
      <c r="D16" t="inlineStr">
        <is>
          <t>EST non sourcé : multiple prudent pour une PME (à valider par un expert en transmission)</t>
        </is>
      </c>
    </row>
    <row r="17">
      <c r="A17" t="inlineStr">
        <is>
          <t>Année où l'on mesure la capacité d'apport (5 = 2031)</t>
        </is>
      </c>
      <c r="B17" s="12" t="n">
        <v>5</v>
      </c>
      <c r="C17" t="inlineStr">
        <is>
          <t>année</t>
        </is>
      </c>
      <c r="D17" t="inlineStr">
        <is>
          <t>2031</t>
        </is>
      </c>
    </row>
    <row r="18">
      <c r="A18" t="inlineStr">
        <is>
          <t>Fonds propres nécessaires pour le château (scénario C)</t>
        </is>
      </c>
      <c r="B18" s="12" t="n">
        <v>3400000</v>
      </c>
      <c r="C18" t="inlineStr">
        <is>
          <t>€</t>
        </is>
      </c>
      <c r="D18" t="inlineStr">
        <is>
          <t>Fonds propres du scénario C central (feuille C_central)</t>
        </is>
      </c>
    </row>
    <row r="20">
      <c r="A20" s="10" t="inlineStr">
        <is>
          <t>2. Reprises de PME (année d'acquisition 0 = pas de reprise)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4" t="inlineStr">
        <is>
          <t>Reprise</t>
        </is>
      </c>
      <c r="B21" s="4" t="inlineStr">
        <is>
          <t>Année</t>
        </is>
      </c>
      <c r="C21" s="4" t="inlineStr">
        <is>
          <t>EBITDA (€)</t>
        </is>
      </c>
      <c r="D21" s="4" t="inlineStr">
        <is>
          <t>Multiple VE/EBITDA</t>
        </is>
      </c>
      <c r="G21" s="4" t="inlineStr">
        <is>
          <t>Source / statut</t>
        </is>
      </c>
    </row>
    <row r="22">
      <c r="A22" t="inlineStr">
        <is>
          <t>Reprise 1</t>
        </is>
      </c>
      <c r="B22" s="22" t="n">
        <v>1</v>
      </c>
      <c r="C22" s="12" t="n">
        <v>220000</v>
      </c>
      <c r="D22" s="21" t="n">
        <v>4.5</v>
      </c>
      <c r="G22" t="inlineStr">
        <is>
          <t>EST : prix ≈ 1 M€ comme l'exemple de l'agent 2 (montage 6) ; multiple 4,5 non sourcé</t>
        </is>
      </c>
    </row>
    <row r="23">
      <c r="A23" t="inlineStr">
        <is>
          <t>Reprise 2</t>
        </is>
      </c>
      <c r="B23" s="22" t="n">
        <v>0</v>
      </c>
      <c r="C23" s="12" t="n">
        <v>0</v>
      </c>
      <c r="D23" s="21" t="n">
        <v>4.5</v>
      </c>
      <c r="G23" t="inlineStr"/>
    </row>
    <row r="24">
      <c r="A24" t="inlineStr">
        <is>
          <t>Reprise 3</t>
        </is>
      </c>
      <c r="B24" s="22" t="n">
        <v>0</v>
      </c>
      <c r="C24" s="12" t="n">
        <v>0</v>
      </c>
      <c r="D24" s="21" t="n">
        <v>4.5</v>
      </c>
      <c r="G24" t="inlineStr"/>
    </row>
    <row r="26">
      <c r="A26" s="10" t="inlineStr">
        <is>
          <t>3. Calcul annuel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4" t="inlineStr">
        <is>
          <t>Année</t>
        </is>
      </c>
      <c r="B27" s="4" t="inlineStr">
        <is>
          <t>Total / réf.</t>
        </is>
      </c>
      <c r="C27" s="4" t="n">
        <v>1</v>
      </c>
      <c r="D27" s="4" t="n">
        <v>2</v>
      </c>
      <c r="E27" s="4" t="n">
        <v>3</v>
      </c>
      <c r="F27" s="4" t="n">
        <v>4</v>
      </c>
      <c r="G27" s="4" t="n">
        <v>5</v>
      </c>
      <c r="H27" s="4" t="n">
        <v>6</v>
      </c>
      <c r="I27" s="4" t="n">
        <v>7</v>
      </c>
      <c r="J27" s="4" t="n">
        <v>8</v>
      </c>
      <c r="K27" s="4" t="n">
        <v>9</v>
      </c>
      <c r="L27" s="4" t="n">
        <v>10</v>
      </c>
    </row>
    <row r="28">
      <c r="A28" s="4" t="inlineStr">
        <is>
          <t>PME 1</t>
        </is>
      </c>
    </row>
    <row r="29">
      <c r="A29" t="inlineStr">
        <is>
          <t xml:space="preserve">  Active (1/0)</t>
        </is>
      </c>
      <c r="C29" s="8">
        <f>IF(AND($B$22&gt;0,C$27&gt;=$B$22),1,0)</f>
        <v/>
      </c>
      <c r="D29" s="8">
        <f>IF(AND($B$22&gt;0,D$27&gt;=$B$22),1,0)</f>
        <v/>
      </c>
      <c r="E29" s="8">
        <f>IF(AND($B$22&gt;0,E$27&gt;=$B$22),1,0)</f>
        <v/>
      </c>
      <c r="F29" s="8">
        <f>IF(AND($B$22&gt;0,F$27&gt;=$B$22),1,0)</f>
        <v/>
      </c>
      <c r="G29" s="8">
        <f>IF(AND($B$22&gt;0,G$27&gt;=$B$22),1,0)</f>
        <v/>
      </c>
      <c r="H29" s="8">
        <f>IF(AND($B$22&gt;0,H$27&gt;=$B$22),1,0)</f>
        <v/>
      </c>
      <c r="I29" s="8">
        <f>IF(AND($B$22&gt;0,I$27&gt;=$B$22),1,0)</f>
        <v/>
      </c>
      <c r="J29" s="8">
        <f>IF(AND($B$22&gt;0,J$27&gt;=$B$22),1,0)</f>
        <v/>
      </c>
      <c r="K29" s="8">
        <f>IF(AND($B$22&gt;0,K$27&gt;=$B$22),1,0)</f>
        <v/>
      </c>
      <c r="L29" s="8">
        <f>IF(AND($B$22&gt;0,L$27&gt;=$B$22),1,0)</f>
        <v/>
      </c>
    </row>
    <row r="30">
      <c r="A30" t="inlineStr">
        <is>
          <t xml:space="preserve">  Rang de l'année de détention</t>
        </is>
      </c>
      <c r="C30" s="8">
        <f>IF(C29=1,C$27-$B$22+1,0)</f>
        <v/>
      </c>
      <c r="D30" s="8">
        <f>IF(D29=1,D$27-$B$22+1,0)</f>
        <v/>
      </c>
      <c r="E30" s="8">
        <f>IF(E29=1,E$27-$B$22+1,0)</f>
        <v/>
      </c>
      <c r="F30" s="8">
        <f>IF(F29=1,F$27-$B$22+1,0)</f>
        <v/>
      </c>
      <c r="G30" s="8">
        <f>IF(G29=1,G$27-$B$22+1,0)</f>
        <v/>
      </c>
      <c r="H30" s="8">
        <f>IF(H29=1,H$27-$B$22+1,0)</f>
        <v/>
      </c>
      <c r="I30" s="8">
        <f>IF(I29=1,I$27-$B$22+1,0)</f>
        <v/>
      </c>
      <c r="J30" s="8">
        <f>IF(J29=1,J$27-$B$22+1,0)</f>
        <v/>
      </c>
      <c r="K30" s="8">
        <f>IF(K29=1,K$27-$B$22+1,0)</f>
        <v/>
      </c>
      <c r="L30" s="8">
        <f>IF(L29=1,L$27-$B$22+1,0)</f>
        <v/>
      </c>
    </row>
    <row r="31">
      <c r="A31" t="inlineStr">
        <is>
          <t xml:space="preserve">  EBITDA</t>
        </is>
      </c>
      <c r="B31" s="5">
        <f>SUM(C31:L31)</f>
        <v/>
      </c>
      <c r="C31" s="5">
        <f>C29*$C$22*(1+$B$12)^MAX(0,C30-1)</f>
        <v/>
      </c>
      <c r="D31" s="5">
        <f>D29*$C$22*(1+$B$12)^MAX(0,D30-1)</f>
        <v/>
      </c>
      <c r="E31" s="5">
        <f>E29*$C$22*(1+$B$12)^MAX(0,E30-1)</f>
        <v/>
      </c>
      <c r="F31" s="5">
        <f>F29*$C$22*(1+$B$12)^MAX(0,F30-1)</f>
        <v/>
      </c>
      <c r="G31" s="5">
        <f>G29*$C$22*(1+$B$12)^MAX(0,G30-1)</f>
        <v/>
      </c>
      <c r="H31" s="5">
        <f>H29*$C$22*(1+$B$12)^MAX(0,H30-1)</f>
        <v/>
      </c>
      <c r="I31" s="5">
        <f>I29*$C$22*(1+$B$12)^MAX(0,I30-1)</f>
        <v/>
      </c>
      <c r="J31" s="5">
        <f>J29*$C$22*(1+$B$12)^MAX(0,J30-1)</f>
        <v/>
      </c>
      <c r="K31" s="5">
        <f>K29*$C$22*(1+$B$12)^MAX(0,K30-1)</f>
        <v/>
      </c>
      <c r="L31" s="5">
        <f>L29*$C$22*(1+$B$12)^MAX(0,L30-1)</f>
        <v/>
      </c>
    </row>
    <row r="32">
      <c r="A32" t="inlineStr">
        <is>
          <t xml:space="preserve">  Dette restante fin d'année</t>
        </is>
      </c>
      <c r="C32" s="5">
        <f>IF(C29=0,0,IF(C30&gt;=$B$10,0,(($C$22*$D$22)*(1+$B$7)*$B$8)*((1+$B$9)^$B$10-(1+$B$9)^C30)/((1+$B$9)^$B$10-1)))</f>
        <v/>
      </c>
      <c r="D32" s="5">
        <f>IF(D29=0,0,IF(D30&gt;=$B$10,0,(($C$22*$D$22)*(1+$B$7)*$B$8)*((1+$B$9)^$B$10-(1+$B$9)^D30)/((1+$B$9)^$B$10-1)))</f>
        <v/>
      </c>
      <c r="E32" s="5">
        <f>IF(E29=0,0,IF(E30&gt;=$B$10,0,(($C$22*$D$22)*(1+$B$7)*$B$8)*((1+$B$9)^$B$10-(1+$B$9)^E30)/((1+$B$9)^$B$10-1)))</f>
        <v/>
      </c>
      <c r="F32" s="5">
        <f>IF(F29=0,0,IF(F30&gt;=$B$10,0,(($C$22*$D$22)*(1+$B$7)*$B$8)*((1+$B$9)^$B$10-(1+$B$9)^F30)/((1+$B$9)^$B$10-1)))</f>
        <v/>
      </c>
      <c r="G32" s="5">
        <f>IF(G29=0,0,IF(G30&gt;=$B$10,0,(($C$22*$D$22)*(1+$B$7)*$B$8)*((1+$B$9)^$B$10-(1+$B$9)^G30)/((1+$B$9)^$B$10-1)))</f>
        <v/>
      </c>
      <c r="H32" s="5">
        <f>IF(H29=0,0,IF(H30&gt;=$B$10,0,(($C$22*$D$22)*(1+$B$7)*$B$8)*((1+$B$9)^$B$10-(1+$B$9)^H30)/((1+$B$9)^$B$10-1)))</f>
        <v/>
      </c>
      <c r="I32" s="5">
        <f>IF(I29=0,0,IF(I30&gt;=$B$10,0,(($C$22*$D$22)*(1+$B$7)*$B$8)*((1+$B$9)^$B$10-(1+$B$9)^I30)/((1+$B$9)^$B$10-1)))</f>
        <v/>
      </c>
      <c r="J32" s="5">
        <f>IF(J29=0,0,IF(J30&gt;=$B$10,0,(($C$22*$D$22)*(1+$B$7)*$B$8)*((1+$B$9)^$B$10-(1+$B$9)^J30)/((1+$B$9)^$B$10-1)))</f>
        <v/>
      </c>
      <c r="K32" s="5">
        <f>IF(K29=0,0,IF(K30&gt;=$B$10,0,(($C$22*$D$22)*(1+$B$7)*$B$8)*((1+$B$9)^$B$10-(1+$B$9)^K30)/((1+$B$9)^$B$10-1)))</f>
        <v/>
      </c>
      <c r="L32" s="5">
        <f>IF(L29=0,0,IF(L30&gt;=$B$10,0,(($C$22*$D$22)*(1+$B$7)*$B$8)*((1+$B$9)^$B$10-(1+$B$9)^L30)/((1+$B$9)^$B$10-1)))</f>
        <v/>
      </c>
    </row>
    <row r="33">
      <c r="A33" t="inlineStr">
        <is>
          <t xml:space="preserve">  Annuité de dette</t>
        </is>
      </c>
      <c r="B33" s="5">
        <f>SUM(C33:L33)</f>
        <v/>
      </c>
      <c r="C33" s="5">
        <f>IF(AND(C29=1,C30&lt;=$B$10),PMT($B$9,$B$10,-(($C$22*$D$22)*(1+$B$7)*$B$8)),0)</f>
        <v/>
      </c>
      <c r="D33" s="5">
        <f>IF(AND(D29=1,D30&lt;=$B$10),PMT($B$9,$B$10,-(($C$22*$D$22)*(1+$B$7)*$B$8)),0)</f>
        <v/>
      </c>
      <c r="E33" s="5">
        <f>IF(AND(E29=1,E30&lt;=$B$10),PMT($B$9,$B$10,-(($C$22*$D$22)*(1+$B$7)*$B$8)),0)</f>
        <v/>
      </c>
      <c r="F33" s="5">
        <f>IF(AND(F29=1,F30&lt;=$B$10),PMT($B$9,$B$10,-(($C$22*$D$22)*(1+$B$7)*$B$8)),0)</f>
        <v/>
      </c>
      <c r="G33" s="5">
        <f>IF(AND(G29=1,G30&lt;=$B$10),PMT($B$9,$B$10,-(($C$22*$D$22)*(1+$B$7)*$B$8)),0)</f>
        <v/>
      </c>
      <c r="H33" s="5">
        <f>IF(AND(H29=1,H30&lt;=$B$10),PMT($B$9,$B$10,-(($C$22*$D$22)*(1+$B$7)*$B$8)),0)</f>
        <v/>
      </c>
      <c r="I33" s="5">
        <f>IF(AND(I29=1,I30&lt;=$B$10),PMT($B$9,$B$10,-(($C$22*$D$22)*(1+$B$7)*$B$8)),0)</f>
        <v/>
      </c>
      <c r="J33" s="5">
        <f>IF(AND(J29=1,J30&lt;=$B$10),PMT($B$9,$B$10,-(($C$22*$D$22)*(1+$B$7)*$B$8)),0)</f>
        <v/>
      </c>
      <c r="K33" s="5">
        <f>IF(AND(K29=1,K30&lt;=$B$10),PMT($B$9,$B$10,-(($C$22*$D$22)*(1+$B$7)*$B$8)),0)</f>
        <v/>
      </c>
      <c r="L33" s="5">
        <f>IF(AND(L29=1,L30&lt;=$B$10),PMT($B$9,$B$10,-(($C$22*$D$22)*(1+$B$7)*$B$8)),0)</f>
        <v/>
      </c>
    </row>
    <row r="34">
      <c r="A34" t="inlineStr">
        <is>
          <t xml:space="preserve">  dont intérêts</t>
        </is>
      </c>
      <c r="B34" s="5">
        <f>SUM(C34:L34)</f>
        <v/>
      </c>
      <c r="C34" s="5">
        <f>IF(AND(C29=1,C30&lt;=$B$10),(($C$22*$D$22)*(1+$B$7)*$B$8)*((1+$B$9)^$B$10-(1+$B$9)^(C30-1))/((1+$B$9)^$B$10-1)*$B$9,0)</f>
        <v/>
      </c>
      <c r="D34" s="5">
        <f>IF(AND(D29=1,D30&lt;=$B$10),(($C$22*$D$22)*(1+$B$7)*$B$8)*((1+$B$9)^$B$10-(1+$B$9)^(D30-1))/((1+$B$9)^$B$10-1)*$B$9,0)</f>
        <v/>
      </c>
      <c r="E34" s="5">
        <f>IF(AND(E29=1,E30&lt;=$B$10),(($C$22*$D$22)*(1+$B$7)*$B$8)*((1+$B$9)^$B$10-(1+$B$9)^(E30-1))/((1+$B$9)^$B$10-1)*$B$9,0)</f>
        <v/>
      </c>
      <c r="F34" s="5">
        <f>IF(AND(F29=1,F30&lt;=$B$10),(($C$22*$D$22)*(1+$B$7)*$B$8)*((1+$B$9)^$B$10-(1+$B$9)^(F30-1))/((1+$B$9)^$B$10-1)*$B$9,0)</f>
        <v/>
      </c>
      <c r="G34" s="5">
        <f>IF(AND(G29=1,G30&lt;=$B$10),(($C$22*$D$22)*(1+$B$7)*$B$8)*((1+$B$9)^$B$10-(1+$B$9)^(G30-1))/((1+$B$9)^$B$10-1)*$B$9,0)</f>
        <v/>
      </c>
      <c r="H34" s="5">
        <f>IF(AND(H29=1,H30&lt;=$B$10),(($C$22*$D$22)*(1+$B$7)*$B$8)*((1+$B$9)^$B$10-(1+$B$9)^(H30-1))/((1+$B$9)^$B$10-1)*$B$9,0)</f>
        <v/>
      </c>
      <c r="I34" s="5">
        <f>IF(AND(I29=1,I30&lt;=$B$10),(($C$22*$D$22)*(1+$B$7)*$B$8)*((1+$B$9)^$B$10-(1+$B$9)^(I30-1))/((1+$B$9)^$B$10-1)*$B$9,0)</f>
        <v/>
      </c>
      <c r="J34" s="5">
        <f>IF(AND(J29=1,J30&lt;=$B$10),(($C$22*$D$22)*(1+$B$7)*$B$8)*((1+$B$9)^$B$10-(1+$B$9)^(J30-1))/((1+$B$9)^$B$10-1)*$B$9,0)</f>
        <v/>
      </c>
      <c r="K34" s="5">
        <f>IF(AND(K29=1,K30&lt;=$B$10),(($C$22*$D$22)*(1+$B$7)*$B$8)*((1+$B$9)^$B$10-(1+$B$9)^(K30-1))/((1+$B$9)^$B$10-1)*$B$9,0)</f>
        <v/>
      </c>
      <c r="L34" s="5">
        <f>IF(AND(L29=1,L30&lt;=$B$10),(($C$22*$D$22)*(1+$B$7)*$B$8)*((1+$B$9)^$B$10-(1+$B$9)^(L30-1))/((1+$B$9)^$B$10-1)*$B$9,0)</f>
        <v/>
      </c>
    </row>
    <row r="35">
      <c r="A35" t="inlineStr">
        <is>
          <t xml:space="preserve">  Impôt sur les sociétés</t>
        </is>
      </c>
      <c r="B35" s="5">
        <f>SUM(C35:L35)</f>
        <v/>
      </c>
      <c r="C35" s="5">
        <f>MAX(0,C31*(1-$B$11)-C34)*$B$13</f>
        <v/>
      </c>
      <c r="D35" s="5">
        <f>MAX(0,D31*(1-$B$11)-D34)*$B$13</f>
        <v/>
      </c>
      <c r="E35" s="5">
        <f>MAX(0,E31*(1-$B$11)-E34)*$B$13</f>
        <v/>
      </c>
      <c r="F35" s="5">
        <f>MAX(0,F31*(1-$B$11)-F34)*$B$13</f>
        <v/>
      </c>
      <c r="G35" s="5">
        <f>MAX(0,G31*(1-$B$11)-G34)*$B$13</f>
        <v/>
      </c>
      <c r="H35" s="5">
        <f>MAX(0,H31*(1-$B$11)-H34)*$B$13</f>
        <v/>
      </c>
      <c r="I35" s="5">
        <f>MAX(0,I31*(1-$B$11)-I34)*$B$13</f>
        <v/>
      </c>
      <c r="J35" s="5">
        <f>MAX(0,J31*(1-$B$11)-J34)*$B$13</f>
        <v/>
      </c>
      <c r="K35" s="5">
        <f>MAX(0,K31*(1-$B$11)-K34)*$B$13</f>
        <v/>
      </c>
      <c r="L35" s="5">
        <f>MAX(0,L31*(1-$B$11)-L34)*$B$13</f>
        <v/>
      </c>
    </row>
    <row r="36">
      <c r="A36" s="4" t="inlineStr">
        <is>
          <t xml:space="preserve">  Cash-flow remonté à la holding (EBITDA − maintien − IS − annuité)</t>
        </is>
      </c>
      <c r="B36" s="18">
        <f>SUM(C36:L36)</f>
        <v/>
      </c>
      <c r="C36" s="18">
        <f>C31*(1-$B$11)-C35-C33</f>
        <v/>
      </c>
      <c r="D36" s="18">
        <f>D31*(1-$B$11)-D35-D33</f>
        <v/>
      </c>
      <c r="E36" s="18">
        <f>E31*(1-$B$11)-E35-E33</f>
        <v/>
      </c>
      <c r="F36" s="18">
        <f>F31*(1-$B$11)-F35-F33</f>
        <v/>
      </c>
      <c r="G36" s="18">
        <f>G31*(1-$B$11)-G35-G33</f>
        <v/>
      </c>
      <c r="H36" s="18">
        <f>H31*(1-$B$11)-H35-H33</f>
        <v/>
      </c>
      <c r="I36" s="18">
        <f>I31*(1-$B$11)-I35-I33</f>
        <v/>
      </c>
      <c r="J36" s="18">
        <f>J31*(1-$B$11)-J35-J33</f>
        <v/>
      </c>
      <c r="K36" s="18">
        <f>K31*(1-$B$11)-K35-K33</f>
        <v/>
      </c>
      <c r="L36" s="18">
        <f>L31*(1-$B$11)-L35-L33</f>
        <v/>
      </c>
    </row>
    <row r="37">
      <c r="A37" t="inlineStr">
        <is>
          <t xml:space="preserve">  Fonds propres à apporter l'année de la reprise</t>
        </is>
      </c>
      <c r="B37" s="5">
        <f>SUM(C37:L37)</f>
        <v/>
      </c>
      <c r="C37" s="5">
        <f>IF(AND($B$22&gt;0,C$27=$B$22),($C$22*$D$22)*(1+$B$7)-(($C$22*$D$22)*(1+$B$7)*$B$8),0)</f>
        <v/>
      </c>
      <c r="D37" s="5">
        <f>IF(AND($B$22&gt;0,D$27=$B$22),($C$22*$D$22)*(1+$B$7)-(($C$22*$D$22)*(1+$B$7)*$B$8),0)</f>
        <v/>
      </c>
      <c r="E37" s="5">
        <f>IF(AND($B$22&gt;0,E$27=$B$22),($C$22*$D$22)*(1+$B$7)-(($C$22*$D$22)*(1+$B$7)*$B$8),0)</f>
        <v/>
      </c>
      <c r="F37" s="5">
        <f>IF(AND($B$22&gt;0,F$27=$B$22),($C$22*$D$22)*(1+$B$7)-(($C$22*$D$22)*(1+$B$7)*$B$8),0)</f>
        <v/>
      </c>
      <c r="G37" s="5">
        <f>IF(AND($B$22&gt;0,G$27=$B$22),($C$22*$D$22)*(1+$B$7)-(($C$22*$D$22)*(1+$B$7)*$B$8),0)</f>
        <v/>
      </c>
      <c r="H37" s="5">
        <f>IF(AND($B$22&gt;0,H$27=$B$22),($C$22*$D$22)*(1+$B$7)-(($C$22*$D$22)*(1+$B$7)*$B$8),0)</f>
        <v/>
      </c>
      <c r="I37" s="5">
        <f>IF(AND($B$22&gt;0,I$27=$B$22),($C$22*$D$22)*(1+$B$7)-(($C$22*$D$22)*(1+$B$7)*$B$8),0)</f>
        <v/>
      </c>
      <c r="J37" s="5">
        <f>IF(AND($B$22&gt;0,J$27=$B$22),($C$22*$D$22)*(1+$B$7)-(($C$22*$D$22)*(1+$B$7)*$B$8),0)</f>
        <v/>
      </c>
      <c r="K37" s="5">
        <f>IF(AND($B$22&gt;0,K$27=$B$22),($C$22*$D$22)*(1+$B$7)-(($C$22*$D$22)*(1+$B$7)*$B$8),0)</f>
        <v/>
      </c>
      <c r="L37" s="5">
        <f>IF(AND($B$22&gt;0,L$27=$B$22),($C$22*$D$22)*(1+$B$7)-(($C$22*$D$22)*(1+$B$7)*$B$8),0)</f>
        <v/>
      </c>
    </row>
    <row r="38">
      <c r="A38" t="inlineStr">
        <is>
          <t xml:space="preserve">  Valeur nette des titres (VE de sortie − dette restante)</t>
        </is>
      </c>
      <c r="C38" s="5">
        <f>MAX(0,C31*$B$16-C32)</f>
        <v/>
      </c>
      <c r="D38" s="5">
        <f>MAX(0,D31*$B$16-D32)</f>
        <v/>
      </c>
      <c r="E38" s="5">
        <f>MAX(0,E31*$B$16-E32)</f>
        <v/>
      </c>
      <c r="F38" s="5">
        <f>MAX(0,F31*$B$16-F32)</f>
        <v/>
      </c>
      <c r="G38" s="5">
        <f>MAX(0,G31*$B$16-G32)</f>
        <v/>
      </c>
      <c r="H38" s="5">
        <f>MAX(0,H31*$B$16-H32)</f>
        <v/>
      </c>
      <c r="I38" s="5">
        <f>MAX(0,I31*$B$16-I32)</f>
        <v/>
      </c>
      <c r="J38" s="5">
        <f>MAX(0,J31*$B$16-J32)</f>
        <v/>
      </c>
      <c r="K38" s="5">
        <f>MAX(0,K31*$B$16-K32)</f>
        <v/>
      </c>
      <c r="L38" s="5">
        <f>MAX(0,L31*$B$16-L32)</f>
        <v/>
      </c>
    </row>
    <row r="39">
      <c r="A39" s="4" t="inlineStr">
        <is>
          <t>PME 2</t>
        </is>
      </c>
    </row>
    <row r="40">
      <c r="A40" t="inlineStr">
        <is>
          <t xml:space="preserve">  Active (1/0)</t>
        </is>
      </c>
      <c r="C40" s="8">
        <f>IF(AND($B$23&gt;0,C$27&gt;=$B$23),1,0)</f>
        <v/>
      </c>
      <c r="D40" s="8">
        <f>IF(AND($B$23&gt;0,D$27&gt;=$B$23),1,0)</f>
        <v/>
      </c>
      <c r="E40" s="8">
        <f>IF(AND($B$23&gt;0,E$27&gt;=$B$23),1,0)</f>
        <v/>
      </c>
      <c r="F40" s="8">
        <f>IF(AND($B$23&gt;0,F$27&gt;=$B$23),1,0)</f>
        <v/>
      </c>
      <c r="G40" s="8">
        <f>IF(AND($B$23&gt;0,G$27&gt;=$B$23),1,0)</f>
        <v/>
      </c>
      <c r="H40" s="8">
        <f>IF(AND($B$23&gt;0,H$27&gt;=$B$23),1,0)</f>
        <v/>
      </c>
      <c r="I40" s="8">
        <f>IF(AND($B$23&gt;0,I$27&gt;=$B$23),1,0)</f>
        <v/>
      </c>
      <c r="J40" s="8">
        <f>IF(AND($B$23&gt;0,J$27&gt;=$B$23),1,0)</f>
        <v/>
      </c>
      <c r="K40" s="8">
        <f>IF(AND($B$23&gt;0,K$27&gt;=$B$23),1,0)</f>
        <v/>
      </c>
      <c r="L40" s="8">
        <f>IF(AND($B$23&gt;0,L$27&gt;=$B$23),1,0)</f>
        <v/>
      </c>
    </row>
    <row r="41">
      <c r="A41" t="inlineStr">
        <is>
          <t xml:space="preserve">  Rang de l'année de détention</t>
        </is>
      </c>
      <c r="C41" s="8">
        <f>IF(C40=1,C$27-$B$23+1,0)</f>
        <v/>
      </c>
      <c r="D41" s="8">
        <f>IF(D40=1,D$27-$B$23+1,0)</f>
        <v/>
      </c>
      <c r="E41" s="8">
        <f>IF(E40=1,E$27-$B$23+1,0)</f>
        <v/>
      </c>
      <c r="F41" s="8">
        <f>IF(F40=1,F$27-$B$23+1,0)</f>
        <v/>
      </c>
      <c r="G41" s="8">
        <f>IF(G40=1,G$27-$B$23+1,0)</f>
        <v/>
      </c>
      <c r="H41" s="8">
        <f>IF(H40=1,H$27-$B$23+1,0)</f>
        <v/>
      </c>
      <c r="I41" s="8">
        <f>IF(I40=1,I$27-$B$23+1,0)</f>
        <v/>
      </c>
      <c r="J41" s="8">
        <f>IF(J40=1,J$27-$B$23+1,0)</f>
        <v/>
      </c>
      <c r="K41" s="8">
        <f>IF(K40=1,K$27-$B$23+1,0)</f>
        <v/>
      </c>
      <c r="L41" s="8">
        <f>IF(L40=1,L$27-$B$23+1,0)</f>
        <v/>
      </c>
    </row>
    <row r="42">
      <c r="A42" t="inlineStr">
        <is>
          <t xml:space="preserve">  EBITDA</t>
        </is>
      </c>
      <c r="B42" s="5">
        <f>SUM(C42:L42)</f>
        <v/>
      </c>
      <c r="C42" s="5">
        <f>C40*$C$23*(1+$B$12)^MAX(0,C41-1)</f>
        <v/>
      </c>
      <c r="D42" s="5">
        <f>D40*$C$23*(1+$B$12)^MAX(0,D41-1)</f>
        <v/>
      </c>
      <c r="E42" s="5">
        <f>E40*$C$23*(1+$B$12)^MAX(0,E41-1)</f>
        <v/>
      </c>
      <c r="F42" s="5">
        <f>F40*$C$23*(1+$B$12)^MAX(0,F41-1)</f>
        <v/>
      </c>
      <c r="G42" s="5">
        <f>G40*$C$23*(1+$B$12)^MAX(0,G41-1)</f>
        <v/>
      </c>
      <c r="H42" s="5">
        <f>H40*$C$23*(1+$B$12)^MAX(0,H41-1)</f>
        <v/>
      </c>
      <c r="I42" s="5">
        <f>I40*$C$23*(1+$B$12)^MAX(0,I41-1)</f>
        <v/>
      </c>
      <c r="J42" s="5">
        <f>J40*$C$23*(1+$B$12)^MAX(0,J41-1)</f>
        <v/>
      </c>
      <c r="K42" s="5">
        <f>K40*$C$23*(1+$B$12)^MAX(0,K41-1)</f>
        <v/>
      </c>
      <c r="L42" s="5">
        <f>L40*$C$23*(1+$B$12)^MAX(0,L41-1)</f>
        <v/>
      </c>
    </row>
    <row r="43">
      <c r="A43" t="inlineStr">
        <is>
          <t xml:space="preserve">  Dette restante fin d'année</t>
        </is>
      </c>
      <c r="C43" s="5">
        <f>IF(C40=0,0,IF(C41&gt;=$B$10,0,(($C$23*$D$23)*(1+$B$7)*$B$8)*((1+$B$9)^$B$10-(1+$B$9)^C41)/((1+$B$9)^$B$10-1)))</f>
        <v/>
      </c>
      <c r="D43" s="5">
        <f>IF(D40=0,0,IF(D41&gt;=$B$10,0,(($C$23*$D$23)*(1+$B$7)*$B$8)*((1+$B$9)^$B$10-(1+$B$9)^D41)/((1+$B$9)^$B$10-1)))</f>
        <v/>
      </c>
      <c r="E43" s="5">
        <f>IF(E40=0,0,IF(E41&gt;=$B$10,0,(($C$23*$D$23)*(1+$B$7)*$B$8)*((1+$B$9)^$B$10-(1+$B$9)^E41)/((1+$B$9)^$B$10-1)))</f>
        <v/>
      </c>
      <c r="F43" s="5">
        <f>IF(F40=0,0,IF(F41&gt;=$B$10,0,(($C$23*$D$23)*(1+$B$7)*$B$8)*((1+$B$9)^$B$10-(1+$B$9)^F41)/((1+$B$9)^$B$10-1)))</f>
        <v/>
      </c>
      <c r="G43" s="5">
        <f>IF(G40=0,0,IF(G41&gt;=$B$10,0,(($C$23*$D$23)*(1+$B$7)*$B$8)*((1+$B$9)^$B$10-(1+$B$9)^G41)/((1+$B$9)^$B$10-1)))</f>
        <v/>
      </c>
      <c r="H43" s="5">
        <f>IF(H40=0,0,IF(H41&gt;=$B$10,0,(($C$23*$D$23)*(1+$B$7)*$B$8)*((1+$B$9)^$B$10-(1+$B$9)^H41)/((1+$B$9)^$B$10-1)))</f>
        <v/>
      </c>
      <c r="I43" s="5">
        <f>IF(I40=0,0,IF(I41&gt;=$B$10,0,(($C$23*$D$23)*(1+$B$7)*$B$8)*((1+$B$9)^$B$10-(1+$B$9)^I41)/((1+$B$9)^$B$10-1)))</f>
        <v/>
      </c>
      <c r="J43" s="5">
        <f>IF(J40=0,0,IF(J41&gt;=$B$10,0,(($C$23*$D$23)*(1+$B$7)*$B$8)*((1+$B$9)^$B$10-(1+$B$9)^J41)/((1+$B$9)^$B$10-1)))</f>
        <v/>
      </c>
      <c r="K43" s="5">
        <f>IF(K40=0,0,IF(K41&gt;=$B$10,0,(($C$23*$D$23)*(1+$B$7)*$B$8)*((1+$B$9)^$B$10-(1+$B$9)^K41)/((1+$B$9)^$B$10-1)))</f>
        <v/>
      </c>
      <c r="L43" s="5">
        <f>IF(L40=0,0,IF(L41&gt;=$B$10,0,(($C$23*$D$23)*(1+$B$7)*$B$8)*((1+$B$9)^$B$10-(1+$B$9)^L41)/((1+$B$9)^$B$10-1)))</f>
        <v/>
      </c>
    </row>
    <row r="44">
      <c r="A44" t="inlineStr">
        <is>
          <t xml:space="preserve">  Annuité de dette</t>
        </is>
      </c>
      <c r="B44" s="5">
        <f>SUM(C44:L44)</f>
        <v/>
      </c>
      <c r="C44" s="5">
        <f>IF(AND(C40=1,C41&lt;=$B$10),PMT($B$9,$B$10,-(($C$23*$D$23)*(1+$B$7)*$B$8)),0)</f>
        <v/>
      </c>
      <c r="D44" s="5">
        <f>IF(AND(D40=1,D41&lt;=$B$10),PMT($B$9,$B$10,-(($C$23*$D$23)*(1+$B$7)*$B$8)),0)</f>
        <v/>
      </c>
      <c r="E44" s="5">
        <f>IF(AND(E40=1,E41&lt;=$B$10),PMT($B$9,$B$10,-(($C$23*$D$23)*(1+$B$7)*$B$8)),0)</f>
        <v/>
      </c>
      <c r="F44" s="5">
        <f>IF(AND(F40=1,F41&lt;=$B$10),PMT($B$9,$B$10,-(($C$23*$D$23)*(1+$B$7)*$B$8)),0)</f>
        <v/>
      </c>
      <c r="G44" s="5">
        <f>IF(AND(G40=1,G41&lt;=$B$10),PMT($B$9,$B$10,-(($C$23*$D$23)*(1+$B$7)*$B$8)),0)</f>
        <v/>
      </c>
      <c r="H44" s="5">
        <f>IF(AND(H40=1,H41&lt;=$B$10),PMT($B$9,$B$10,-(($C$23*$D$23)*(1+$B$7)*$B$8)),0)</f>
        <v/>
      </c>
      <c r="I44" s="5">
        <f>IF(AND(I40=1,I41&lt;=$B$10),PMT($B$9,$B$10,-(($C$23*$D$23)*(1+$B$7)*$B$8)),0)</f>
        <v/>
      </c>
      <c r="J44" s="5">
        <f>IF(AND(J40=1,J41&lt;=$B$10),PMT($B$9,$B$10,-(($C$23*$D$23)*(1+$B$7)*$B$8)),0)</f>
        <v/>
      </c>
      <c r="K44" s="5">
        <f>IF(AND(K40=1,K41&lt;=$B$10),PMT($B$9,$B$10,-(($C$23*$D$23)*(1+$B$7)*$B$8)),0)</f>
        <v/>
      </c>
      <c r="L44" s="5">
        <f>IF(AND(L40=1,L41&lt;=$B$10),PMT($B$9,$B$10,-(($C$23*$D$23)*(1+$B$7)*$B$8)),0)</f>
        <v/>
      </c>
    </row>
    <row r="45">
      <c r="A45" t="inlineStr">
        <is>
          <t xml:space="preserve">  dont intérêts</t>
        </is>
      </c>
      <c r="B45" s="5">
        <f>SUM(C45:L45)</f>
        <v/>
      </c>
      <c r="C45" s="5">
        <f>IF(AND(C40=1,C41&lt;=$B$10),(($C$23*$D$23)*(1+$B$7)*$B$8)*((1+$B$9)^$B$10-(1+$B$9)^(C41-1))/((1+$B$9)^$B$10-1)*$B$9,0)</f>
        <v/>
      </c>
      <c r="D45" s="5">
        <f>IF(AND(D40=1,D41&lt;=$B$10),(($C$23*$D$23)*(1+$B$7)*$B$8)*((1+$B$9)^$B$10-(1+$B$9)^(D41-1))/((1+$B$9)^$B$10-1)*$B$9,0)</f>
        <v/>
      </c>
      <c r="E45" s="5">
        <f>IF(AND(E40=1,E41&lt;=$B$10),(($C$23*$D$23)*(1+$B$7)*$B$8)*((1+$B$9)^$B$10-(1+$B$9)^(E41-1))/((1+$B$9)^$B$10-1)*$B$9,0)</f>
        <v/>
      </c>
      <c r="F45" s="5">
        <f>IF(AND(F40=1,F41&lt;=$B$10),(($C$23*$D$23)*(1+$B$7)*$B$8)*((1+$B$9)^$B$10-(1+$B$9)^(F41-1))/((1+$B$9)^$B$10-1)*$B$9,0)</f>
        <v/>
      </c>
      <c r="G45" s="5">
        <f>IF(AND(G40=1,G41&lt;=$B$10),(($C$23*$D$23)*(1+$B$7)*$B$8)*((1+$B$9)^$B$10-(1+$B$9)^(G41-1))/((1+$B$9)^$B$10-1)*$B$9,0)</f>
        <v/>
      </c>
      <c r="H45" s="5">
        <f>IF(AND(H40=1,H41&lt;=$B$10),(($C$23*$D$23)*(1+$B$7)*$B$8)*((1+$B$9)^$B$10-(1+$B$9)^(H41-1))/((1+$B$9)^$B$10-1)*$B$9,0)</f>
        <v/>
      </c>
      <c r="I45" s="5">
        <f>IF(AND(I40=1,I41&lt;=$B$10),(($C$23*$D$23)*(1+$B$7)*$B$8)*((1+$B$9)^$B$10-(1+$B$9)^(I41-1))/((1+$B$9)^$B$10-1)*$B$9,0)</f>
        <v/>
      </c>
      <c r="J45" s="5">
        <f>IF(AND(J40=1,J41&lt;=$B$10),(($C$23*$D$23)*(1+$B$7)*$B$8)*((1+$B$9)^$B$10-(1+$B$9)^(J41-1))/((1+$B$9)^$B$10-1)*$B$9,0)</f>
        <v/>
      </c>
      <c r="K45" s="5">
        <f>IF(AND(K40=1,K41&lt;=$B$10),(($C$23*$D$23)*(1+$B$7)*$B$8)*((1+$B$9)^$B$10-(1+$B$9)^(K41-1))/((1+$B$9)^$B$10-1)*$B$9,0)</f>
        <v/>
      </c>
      <c r="L45" s="5">
        <f>IF(AND(L40=1,L41&lt;=$B$10),(($C$23*$D$23)*(1+$B$7)*$B$8)*((1+$B$9)^$B$10-(1+$B$9)^(L41-1))/((1+$B$9)^$B$10-1)*$B$9,0)</f>
        <v/>
      </c>
    </row>
    <row r="46">
      <c r="A46" t="inlineStr">
        <is>
          <t xml:space="preserve">  Impôt sur les sociétés</t>
        </is>
      </c>
      <c r="B46" s="5">
        <f>SUM(C46:L46)</f>
        <v/>
      </c>
      <c r="C46" s="5">
        <f>MAX(0,C42*(1-$B$11)-C45)*$B$13</f>
        <v/>
      </c>
      <c r="D46" s="5">
        <f>MAX(0,D42*(1-$B$11)-D45)*$B$13</f>
        <v/>
      </c>
      <c r="E46" s="5">
        <f>MAX(0,E42*(1-$B$11)-E45)*$B$13</f>
        <v/>
      </c>
      <c r="F46" s="5">
        <f>MAX(0,F42*(1-$B$11)-F45)*$B$13</f>
        <v/>
      </c>
      <c r="G46" s="5">
        <f>MAX(0,G42*(1-$B$11)-G45)*$B$13</f>
        <v/>
      </c>
      <c r="H46" s="5">
        <f>MAX(0,H42*(1-$B$11)-H45)*$B$13</f>
        <v/>
      </c>
      <c r="I46" s="5">
        <f>MAX(0,I42*(1-$B$11)-I45)*$B$13</f>
        <v/>
      </c>
      <c r="J46" s="5">
        <f>MAX(0,J42*(1-$B$11)-J45)*$B$13</f>
        <v/>
      </c>
      <c r="K46" s="5">
        <f>MAX(0,K42*(1-$B$11)-K45)*$B$13</f>
        <v/>
      </c>
      <c r="L46" s="5">
        <f>MAX(0,L42*(1-$B$11)-L45)*$B$13</f>
        <v/>
      </c>
    </row>
    <row r="47">
      <c r="A47" s="4" t="inlineStr">
        <is>
          <t xml:space="preserve">  Cash-flow remonté à la holding (EBITDA − maintien − IS − annuité)</t>
        </is>
      </c>
      <c r="B47" s="18">
        <f>SUM(C47:L47)</f>
        <v/>
      </c>
      <c r="C47" s="18">
        <f>C42*(1-$B$11)-C46-C44</f>
        <v/>
      </c>
      <c r="D47" s="18">
        <f>D42*(1-$B$11)-D46-D44</f>
        <v/>
      </c>
      <c r="E47" s="18">
        <f>E42*(1-$B$11)-E46-E44</f>
        <v/>
      </c>
      <c r="F47" s="18">
        <f>F42*(1-$B$11)-F46-F44</f>
        <v/>
      </c>
      <c r="G47" s="18">
        <f>G42*(1-$B$11)-G46-G44</f>
        <v/>
      </c>
      <c r="H47" s="18">
        <f>H42*(1-$B$11)-H46-H44</f>
        <v/>
      </c>
      <c r="I47" s="18">
        <f>I42*(1-$B$11)-I46-I44</f>
        <v/>
      </c>
      <c r="J47" s="18">
        <f>J42*(1-$B$11)-J46-J44</f>
        <v/>
      </c>
      <c r="K47" s="18">
        <f>K42*(1-$B$11)-K46-K44</f>
        <v/>
      </c>
      <c r="L47" s="18">
        <f>L42*(1-$B$11)-L46-L44</f>
        <v/>
      </c>
    </row>
    <row r="48">
      <c r="A48" t="inlineStr">
        <is>
          <t xml:space="preserve">  Fonds propres à apporter l'année de la reprise</t>
        </is>
      </c>
      <c r="B48" s="5">
        <f>SUM(C48:L48)</f>
        <v/>
      </c>
      <c r="C48" s="5">
        <f>IF(AND($B$23&gt;0,C$27=$B$23),($C$23*$D$23)*(1+$B$7)-(($C$23*$D$23)*(1+$B$7)*$B$8),0)</f>
        <v/>
      </c>
      <c r="D48" s="5">
        <f>IF(AND($B$23&gt;0,D$27=$B$23),($C$23*$D$23)*(1+$B$7)-(($C$23*$D$23)*(1+$B$7)*$B$8),0)</f>
        <v/>
      </c>
      <c r="E48" s="5">
        <f>IF(AND($B$23&gt;0,E$27=$B$23),($C$23*$D$23)*(1+$B$7)-(($C$23*$D$23)*(1+$B$7)*$B$8),0)</f>
        <v/>
      </c>
      <c r="F48" s="5">
        <f>IF(AND($B$23&gt;0,F$27=$B$23),($C$23*$D$23)*(1+$B$7)-(($C$23*$D$23)*(1+$B$7)*$B$8),0)</f>
        <v/>
      </c>
      <c r="G48" s="5">
        <f>IF(AND($B$23&gt;0,G$27=$B$23),($C$23*$D$23)*(1+$B$7)-(($C$23*$D$23)*(1+$B$7)*$B$8),0)</f>
        <v/>
      </c>
      <c r="H48" s="5">
        <f>IF(AND($B$23&gt;0,H$27=$B$23),($C$23*$D$23)*(1+$B$7)-(($C$23*$D$23)*(1+$B$7)*$B$8),0)</f>
        <v/>
      </c>
      <c r="I48" s="5">
        <f>IF(AND($B$23&gt;0,I$27=$B$23),($C$23*$D$23)*(1+$B$7)-(($C$23*$D$23)*(1+$B$7)*$B$8),0)</f>
        <v/>
      </c>
      <c r="J48" s="5">
        <f>IF(AND($B$23&gt;0,J$27=$B$23),($C$23*$D$23)*(1+$B$7)-(($C$23*$D$23)*(1+$B$7)*$B$8),0)</f>
        <v/>
      </c>
      <c r="K48" s="5">
        <f>IF(AND($B$23&gt;0,K$27=$B$23),($C$23*$D$23)*(1+$B$7)-(($C$23*$D$23)*(1+$B$7)*$B$8),0)</f>
        <v/>
      </c>
      <c r="L48" s="5">
        <f>IF(AND($B$23&gt;0,L$27=$B$23),($C$23*$D$23)*(1+$B$7)-(($C$23*$D$23)*(1+$B$7)*$B$8),0)</f>
        <v/>
      </c>
    </row>
    <row r="49">
      <c r="A49" t="inlineStr">
        <is>
          <t xml:space="preserve">  Valeur nette des titres (VE de sortie − dette restante)</t>
        </is>
      </c>
      <c r="C49" s="5">
        <f>MAX(0,C42*$B$16-C43)</f>
        <v/>
      </c>
      <c r="D49" s="5">
        <f>MAX(0,D42*$B$16-D43)</f>
        <v/>
      </c>
      <c r="E49" s="5">
        <f>MAX(0,E42*$B$16-E43)</f>
        <v/>
      </c>
      <c r="F49" s="5">
        <f>MAX(0,F42*$B$16-F43)</f>
        <v/>
      </c>
      <c r="G49" s="5">
        <f>MAX(0,G42*$B$16-G43)</f>
        <v/>
      </c>
      <c r="H49" s="5">
        <f>MAX(0,H42*$B$16-H43)</f>
        <v/>
      </c>
      <c r="I49" s="5">
        <f>MAX(0,I42*$B$16-I43)</f>
        <v/>
      </c>
      <c r="J49" s="5">
        <f>MAX(0,J42*$B$16-J43)</f>
        <v/>
      </c>
      <c r="K49" s="5">
        <f>MAX(0,K42*$B$16-K43)</f>
        <v/>
      </c>
      <c r="L49" s="5">
        <f>MAX(0,L42*$B$16-L43)</f>
        <v/>
      </c>
    </row>
    <row r="50">
      <c r="A50" s="4" t="inlineStr">
        <is>
          <t>PME 3</t>
        </is>
      </c>
    </row>
    <row r="51">
      <c r="A51" t="inlineStr">
        <is>
          <t xml:space="preserve">  Active (1/0)</t>
        </is>
      </c>
      <c r="C51" s="8">
        <f>IF(AND($B$24&gt;0,C$27&gt;=$B$24),1,0)</f>
        <v/>
      </c>
      <c r="D51" s="8">
        <f>IF(AND($B$24&gt;0,D$27&gt;=$B$24),1,0)</f>
        <v/>
      </c>
      <c r="E51" s="8">
        <f>IF(AND($B$24&gt;0,E$27&gt;=$B$24),1,0)</f>
        <v/>
      </c>
      <c r="F51" s="8">
        <f>IF(AND($B$24&gt;0,F$27&gt;=$B$24),1,0)</f>
        <v/>
      </c>
      <c r="G51" s="8">
        <f>IF(AND($B$24&gt;0,G$27&gt;=$B$24),1,0)</f>
        <v/>
      </c>
      <c r="H51" s="8">
        <f>IF(AND($B$24&gt;0,H$27&gt;=$B$24),1,0)</f>
        <v/>
      </c>
      <c r="I51" s="8">
        <f>IF(AND($B$24&gt;0,I$27&gt;=$B$24),1,0)</f>
        <v/>
      </c>
      <c r="J51" s="8">
        <f>IF(AND($B$24&gt;0,J$27&gt;=$B$24),1,0)</f>
        <v/>
      </c>
      <c r="K51" s="8">
        <f>IF(AND($B$24&gt;0,K$27&gt;=$B$24),1,0)</f>
        <v/>
      </c>
      <c r="L51" s="8">
        <f>IF(AND($B$24&gt;0,L$27&gt;=$B$24),1,0)</f>
        <v/>
      </c>
    </row>
    <row r="52">
      <c r="A52" t="inlineStr">
        <is>
          <t xml:space="preserve">  Rang de l'année de détention</t>
        </is>
      </c>
      <c r="C52" s="8">
        <f>IF(C51=1,C$27-$B$24+1,0)</f>
        <v/>
      </c>
      <c r="D52" s="8">
        <f>IF(D51=1,D$27-$B$24+1,0)</f>
        <v/>
      </c>
      <c r="E52" s="8">
        <f>IF(E51=1,E$27-$B$24+1,0)</f>
        <v/>
      </c>
      <c r="F52" s="8">
        <f>IF(F51=1,F$27-$B$24+1,0)</f>
        <v/>
      </c>
      <c r="G52" s="8">
        <f>IF(G51=1,G$27-$B$24+1,0)</f>
        <v/>
      </c>
      <c r="H52" s="8">
        <f>IF(H51=1,H$27-$B$24+1,0)</f>
        <v/>
      </c>
      <c r="I52" s="8">
        <f>IF(I51=1,I$27-$B$24+1,0)</f>
        <v/>
      </c>
      <c r="J52" s="8">
        <f>IF(J51=1,J$27-$B$24+1,0)</f>
        <v/>
      </c>
      <c r="K52" s="8">
        <f>IF(K51=1,K$27-$B$24+1,0)</f>
        <v/>
      </c>
      <c r="L52" s="8">
        <f>IF(L51=1,L$27-$B$24+1,0)</f>
        <v/>
      </c>
    </row>
    <row r="53">
      <c r="A53" t="inlineStr">
        <is>
          <t xml:space="preserve">  EBITDA</t>
        </is>
      </c>
      <c r="B53" s="5">
        <f>SUM(C53:L53)</f>
        <v/>
      </c>
      <c r="C53" s="5">
        <f>C51*$C$24*(1+$B$12)^MAX(0,C52-1)</f>
        <v/>
      </c>
      <c r="D53" s="5">
        <f>D51*$C$24*(1+$B$12)^MAX(0,D52-1)</f>
        <v/>
      </c>
      <c r="E53" s="5">
        <f>E51*$C$24*(1+$B$12)^MAX(0,E52-1)</f>
        <v/>
      </c>
      <c r="F53" s="5">
        <f>F51*$C$24*(1+$B$12)^MAX(0,F52-1)</f>
        <v/>
      </c>
      <c r="G53" s="5">
        <f>G51*$C$24*(1+$B$12)^MAX(0,G52-1)</f>
        <v/>
      </c>
      <c r="H53" s="5">
        <f>H51*$C$24*(1+$B$12)^MAX(0,H52-1)</f>
        <v/>
      </c>
      <c r="I53" s="5">
        <f>I51*$C$24*(1+$B$12)^MAX(0,I52-1)</f>
        <v/>
      </c>
      <c r="J53" s="5">
        <f>J51*$C$24*(1+$B$12)^MAX(0,J52-1)</f>
        <v/>
      </c>
      <c r="K53" s="5">
        <f>K51*$C$24*(1+$B$12)^MAX(0,K52-1)</f>
        <v/>
      </c>
      <c r="L53" s="5">
        <f>L51*$C$24*(1+$B$12)^MAX(0,L52-1)</f>
        <v/>
      </c>
    </row>
    <row r="54">
      <c r="A54" t="inlineStr">
        <is>
          <t xml:space="preserve">  Dette restante fin d'année</t>
        </is>
      </c>
      <c r="C54" s="5">
        <f>IF(C51=0,0,IF(C52&gt;=$B$10,0,(($C$24*$D$24)*(1+$B$7)*$B$8)*((1+$B$9)^$B$10-(1+$B$9)^C52)/((1+$B$9)^$B$10-1)))</f>
        <v/>
      </c>
      <c r="D54" s="5">
        <f>IF(D51=0,0,IF(D52&gt;=$B$10,0,(($C$24*$D$24)*(1+$B$7)*$B$8)*((1+$B$9)^$B$10-(1+$B$9)^D52)/((1+$B$9)^$B$10-1)))</f>
        <v/>
      </c>
      <c r="E54" s="5">
        <f>IF(E51=0,0,IF(E52&gt;=$B$10,0,(($C$24*$D$24)*(1+$B$7)*$B$8)*((1+$B$9)^$B$10-(1+$B$9)^E52)/((1+$B$9)^$B$10-1)))</f>
        <v/>
      </c>
      <c r="F54" s="5">
        <f>IF(F51=0,0,IF(F52&gt;=$B$10,0,(($C$24*$D$24)*(1+$B$7)*$B$8)*((1+$B$9)^$B$10-(1+$B$9)^F52)/((1+$B$9)^$B$10-1)))</f>
        <v/>
      </c>
      <c r="G54" s="5">
        <f>IF(G51=0,0,IF(G52&gt;=$B$10,0,(($C$24*$D$24)*(1+$B$7)*$B$8)*((1+$B$9)^$B$10-(1+$B$9)^G52)/((1+$B$9)^$B$10-1)))</f>
        <v/>
      </c>
      <c r="H54" s="5">
        <f>IF(H51=0,0,IF(H52&gt;=$B$10,0,(($C$24*$D$24)*(1+$B$7)*$B$8)*((1+$B$9)^$B$10-(1+$B$9)^H52)/((1+$B$9)^$B$10-1)))</f>
        <v/>
      </c>
      <c r="I54" s="5">
        <f>IF(I51=0,0,IF(I52&gt;=$B$10,0,(($C$24*$D$24)*(1+$B$7)*$B$8)*((1+$B$9)^$B$10-(1+$B$9)^I52)/((1+$B$9)^$B$10-1)))</f>
        <v/>
      </c>
      <c r="J54" s="5">
        <f>IF(J51=0,0,IF(J52&gt;=$B$10,0,(($C$24*$D$24)*(1+$B$7)*$B$8)*((1+$B$9)^$B$10-(1+$B$9)^J52)/((1+$B$9)^$B$10-1)))</f>
        <v/>
      </c>
      <c r="K54" s="5">
        <f>IF(K51=0,0,IF(K52&gt;=$B$10,0,(($C$24*$D$24)*(1+$B$7)*$B$8)*((1+$B$9)^$B$10-(1+$B$9)^K52)/((1+$B$9)^$B$10-1)))</f>
        <v/>
      </c>
      <c r="L54" s="5">
        <f>IF(L51=0,0,IF(L52&gt;=$B$10,0,(($C$24*$D$24)*(1+$B$7)*$B$8)*((1+$B$9)^$B$10-(1+$B$9)^L52)/((1+$B$9)^$B$10-1)))</f>
        <v/>
      </c>
    </row>
    <row r="55">
      <c r="A55" t="inlineStr">
        <is>
          <t xml:space="preserve">  Annuité de dette</t>
        </is>
      </c>
      <c r="B55" s="5">
        <f>SUM(C55:L55)</f>
        <v/>
      </c>
      <c r="C55" s="5">
        <f>IF(AND(C51=1,C52&lt;=$B$10),PMT($B$9,$B$10,-(($C$24*$D$24)*(1+$B$7)*$B$8)),0)</f>
        <v/>
      </c>
      <c r="D55" s="5">
        <f>IF(AND(D51=1,D52&lt;=$B$10),PMT($B$9,$B$10,-(($C$24*$D$24)*(1+$B$7)*$B$8)),0)</f>
        <v/>
      </c>
      <c r="E55" s="5">
        <f>IF(AND(E51=1,E52&lt;=$B$10),PMT($B$9,$B$10,-(($C$24*$D$24)*(1+$B$7)*$B$8)),0)</f>
        <v/>
      </c>
      <c r="F55" s="5">
        <f>IF(AND(F51=1,F52&lt;=$B$10),PMT($B$9,$B$10,-(($C$24*$D$24)*(1+$B$7)*$B$8)),0)</f>
        <v/>
      </c>
      <c r="G55" s="5">
        <f>IF(AND(G51=1,G52&lt;=$B$10),PMT($B$9,$B$10,-(($C$24*$D$24)*(1+$B$7)*$B$8)),0)</f>
        <v/>
      </c>
      <c r="H55" s="5">
        <f>IF(AND(H51=1,H52&lt;=$B$10),PMT($B$9,$B$10,-(($C$24*$D$24)*(1+$B$7)*$B$8)),0)</f>
        <v/>
      </c>
      <c r="I55" s="5">
        <f>IF(AND(I51=1,I52&lt;=$B$10),PMT($B$9,$B$10,-(($C$24*$D$24)*(1+$B$7)*$B$8)),0)</f>
        <v/>
      </c>
      <c r="J55" s="5">
        <f>IF(AND(J51=1,J52&lt;=$B$10),PMT($B$9,$B$10,-(($C$24*$D$24)*(1+$B$7)*$B$8)),0)</f>
        <v/>
      </c>
      <c r="K55" s="5">
        <f>IF(AND(K51=1,K52&lt;=$B$10),PMT($B$9,$B$10,-(($C$24*$D$24)*(1+$B$7)*$B$8)),0)</f>
        <v/>
      </c>
      <c r="L55" s="5">
        <f>IF(AND(L51=1,L52&lt;=$B$10),PMT($B$9,$B$10,-(($C$24*$D$24)*(1+$B$7)*$B$8)),0)</f>
        <v/>
      </c>
    </row>
    <row r="56">
      <c r="A56" t="inlineStr">
        <is>
          <t xml:space="preserve">  dont intérêts</t>
        </is>
      </c>
      <c r="B56" s="5">
        <f>SUM(C56:L56)</f>
        <v/>
      </c>
      <c r="C56" s="5">
        <f>IF(AND(C51=1,C52&lt;=$B$10),(($C$24*$D$24)*(1+$B$7)*$B$8)*((1+$B$9)^$B$10-(1+$B$9)^(C52-1))/((1+$B$9)^$B$10-1)*$B$9,0)</f>
        <v/>
      </c>
      <c r="D56" s="5">
        <f>IF(AND(D51=1,D52&lt;=$B$10),(($C$24*$D$24)*(1+$B$7)*$B$8)*((1+$B$9)^$B$10-(1+$B$9)^(D52-1))/((1+$B$9)^$B$10-1)*$B$9,0)</f>
        <v/>
      </c>
      <c r="E56" s="5">
        <f>IF(AND(E51=1,E52&lt;=$B$10),(($C$24*$D$24)*(1+$B$7)*$B$8)*((1+$B$9)^$B$10-(1+$B$9)^(E52-1))/((1+$B$9)^$B$10-1)*$B$9,0)</f>
        <v/>
      </c>
      <c r="F56" s="5">
        <f>IF(AND(F51=1,F52&lt;=$B$10),(($C$24*$D$24)*(1+$B$7)*$B$8)*((1+$B$9)^$B$10-(1+$B$9)^(F52-1))/((1+$B$9)^$B$10-1)*$B$9,0)</f>
        <v/>
      </c>
      <c r="G56" s="5">
        <f>IF(AND(G51=1,G52&lt;=$B$10),(($C$24*$D$24)*(1+$B$7)*$B$8)*((1+$B$9)^$B$10-(1+$B$9)^(G52-1))/((1+$B$9)^$B$10-1)*$B$9,0)</f>
        <v/>
      </c>
      <c r="H56" s="5">
        <f>IF(AND(H51=1,H52&lt;=$B$10),(($C$24*$D$24)*(1+$B$7)*$B$8)*((1+$B$9)^$B$10-(1+$B$9)^(H52-1))/((1+$B$9)^$B$10-1)*$B$9,0)</f>
        <v/>
      </c>
      <c r="I56" s="5">
        <f>IF(AND(I51=1,I52&lt;=$B$10),(($C$24*$D$24)*(1+$B$7)*$B$8)*((1+$B$9)^$B$10-(1+$B$9)^(I52-1))/((1+$B$9)^$B$10-1)*$B$9,0)</f>
        <v/>
      </c>
      <c r="J56" s="5">
        <f>IF(AND(J51=1,J52&lt;=$B$10),(($C$24*$D$24)*(1+$B$7)*$B$8)*((1+$B$9)^$B$10-(1+$B$9)^(J52-1))/((1+$B$9)^$B$10-1)*$B$9,0)</f>
        <v/>
      </c>
      <c r="K56" s="5">
        <f>IF(AND(K51=1,K52&lt;=$B$10),(($C$24*$D$24)*(1+$B$7)*$B$8)*((1+$B$9)^$B$10-(1+$B$9)^(K52-1))/((1+$B$9)^$B$10-1)*$B$9,0)</f>
        <v/>
      </c>
      <c r="L56" s="5">
        <f>IF(AND(L51=1,L52&lt;=$B$10),(($C$24*$D$24)*(1+$B$7)*$B$8)*((1+$B$9)^$B$10-(1+$B$9)^(L52-1))/((1+$B$9)^$B$10-1)*$B$9,0)</f>
        <v/>
      </c>
    </row>
    <row r="57">
      <c r="A57" t="inlineStr">
        <is>
          <t xml:space="preserve">  Impôt sur les sociétés</t>
        </is>
      </c>
      <c r="B57" s="5">
        <f>SUM(C57:L57)</f>
        <v/>
      </c>
      <c r="C57" s="5">
        <f>MAX(0,C53*(1-$B$11)-C56)*$B$13</f>
        <v/>
      </c>
      <c r="D57" s="5">
        <f>MAX(0,D53*(1-$B$11)-D56)*$B$13</f>
        <v/>
      </c>
      <c r="E57" s="5">
        <f>MAX(0,E53*(1-$B$11)-E56)*$B$13</f>
        <v/>
      </c>
      <c r="F57" s="5">
        <f>MAX(0,F53*(1-$B$11)-F56)*$B$13</f>
        <v/>
      </c>
      <c r="G57" s="5">
        <f>MAX(0,G53*(1-$B$11)-G56)*$B$13</f>
        <v/>
      </c>
      <c r="H57" s="5">
        <f>MAX(0,H53*(1-$B$11)-H56)*$B$13</f>
        <v/>
      </c>
      <c r="I57" s="5">
        <f>MAX(0,I53*(1-$B$11)-I56)*$B$13</f>
        <v/>
      </c>
      <c r="J57" s="5">
        <f>MAX(0,J53*(1-$B$11)-J56)*$B$13</f>
        <v/>
      </c>
      <c r="K57" s="5">
        <f>MAX(0,K53*(1-$B$11)-K56)*$B$13</f>
        <v/>
      </c>
      <c r="L57" s="5">
        <f>MAX(0,L53*(1-$B$11)-L56)*$B$13</f>
        <v/>
      </c>
    </row>
    <row r="58">
      <c r="A58" s="4" t="inlineStr">
        <is>
          <t xml:space="preserve">  Cash-flow remonté à la holding (EBITDA − maintien − IS − annuité)</t>
        </is>
      </c>
      <c r="B58" s="18">
        <f>SUM(C58:L58)</f>
        <v/>
      </c>
      <c r="C58" s="18">
        <f>C53*(1-$B$11)-C57-C55</f>
        <v/>
      </c>
      <c r="D58" s="18">
        <f>D53*(1-$B$11)-D57-D55</f>
        <v/>
      </c>
      <c r="E58" s="18">
        <f>E53*(1-$B$11)-E57-E55</f>
        <v/>
      </c>
      <c r="F58" s="18">
        <f>F53*(1-$B$11)-F57-F55</f>
        <v/>
      </c>
      <c r="G58" s="18">
        <f>G53*(1-$B$11)-G57-G55</f>
        <v/>
      </c>
      <c r="H58" s="18">
        <f>H53*(1-$B$11)-H57-H55</f>
        <v/>
      </c>
      <c r="I58" s="18">
        <f>I53*(1-$B$11)-I57-I55</f>
        <v/>
      </c>
      <c r="J58" s="18">
        <f>J53*(1-$B$11)-J57-J55</f>
        <v/>
      </c>
      <c r="K58" s="18">
        <f>K53*(1-$B$11)-K57-K55</f>
        <v/>
      </c>
      <c r="L58" s="18">
        <f>L53*(1-$B$11)-L57-L55</f>
        <v/>
      </c>
    </row>
    <row r="59">
      <c r="A59" t="inlineStr">
        <is>
          <t xml:space="preserve">  Fonds propres à apporter l'année de la reprise</t>
        </is>
      </c>
      <c r="B59" s="5">
        <f>SUM(C59:L59)</f>
        <v/>
      </c>
      <c r="C59" s="5">
        <f>IF(AND($B$24&gt;0,C$27=$B$24),($C$24*$D$24)*(1+$B$7)-(($C$24*$D$24)*(1+$B$7)*$B$8),0)</f>
        <v/>
      </c>
      <c r="D59" s="5">
        <f>IF(AND($B$24&gt;0,D$27=$B$24),($C$24*$D$24)*(1+$B$7)-(($C$24*$D$24)*(1+$B$7)*$B$8),0)</f>
        <v/>
      </c>
      <c r="E59" s="5">
        <f>IF(AND($B$24&gt;0,E$27=$B$24),($C$24*$D$24)*(1+$B$7)-(($C$24*$D$24)*(1+$B$7)*$B$8),0)</f>
        <v/>
      </c>
      <c r="F59" s="5">
        <f>IF(AND($B$24&gt;0,F$27=$B$24),($C$24*$D$24)*(1+$B$7)-(($C$24*$D$24)*(1+$B$7)*$B$8),0)</f>
        <v/>
      </c>
      <c r="G59" s="5">
        <f>IF(AND($B$24&gt;0,G$27=$B$24),($C$24*$D$24)*(1+$B$7)-(($C$24*$D$24)*(1+$B$7)*$B$8),0)</f>
        <v/>
      </c>
      <c r="H59" s="5">
        <f>IF(AND($B$24&gt;0,H$27=$B$24),($C$24*$D$24)*(1+$B$7)-(($C$24*$D$24)*(1+$B$7)*$B$8),0)</f>
        <v/>
      </c>
      <c r="I59" s="5">
        <f>IF(AND($B$24&gt;0,I$27=$B$24),($C$24*$D$24)*(1+$B$7)-(($C$24*$D$24)*(1+$B$7)*$B$8),0)</f>
        <v/>
      </c>
      <c r="J59" s="5">
        <f>IF(AND($B$24&gt;0,J$27=$B$24),($C$24*$D$24)*(1+$B$7)-(($C$24*$D$24)*(1+$B$7)*$B$8),0)</f>
        <v/>
      </c>
      <c r="K59" s="5">
        <f>IF(AND($B$24&gt;0,K$27=$B$24),($C$24*$D$24)*(1+$B$7)-(($C$24*$D$24)*(1+$B$7)*$B$8),0)</f>
        <v/>
      </c>
      <c r="L59" s="5">
        <f>IF(AND($B$24&gt;0,L$27=$B$24),($C$24*$D$24)*(1+$B$7)-(($C$24*$D$24)*(1+$B$7)*$B$8),0)</f>
        <v/>
      </c>
    </row>
    <row r="60">
      <c r="A60" t="inlineStr">
        <is>
          <t xml:space="preserve">  Valeur nette des titres (VE de sortie − dette restante)</t>
        </is>
      </c>
      <c r="C60" s="5">
        <f>MAX(0,C53*$B$16-C54)</f>
        <v/>
      </c>
      <c r="D60" s="5">
        <f>MAX(0,D53*$B$16-D54)</f>
        <v/>
      </c>
      <c r="E60" s="5">
        <f>MAX(0,E53*$B$16-E54)</f>
        <v/>
      </c>
      <c r="F60" s="5">
        <f>MAX(0,F53*$B$16-F54)</f>
        <v/>
      </c>
      <c r="G60" s="5">
        <f>MAX(0,G53*$B$16-G54)</f>
        <v/>
      </c>
      <c r="H60" s="5">
        <f>MAX(0,H53*$B$16-H54)</f>
        <v/>
      </c>
      <c r="I60" s="5">
        <f>MAX(0,I53*$B$16-I54)</f>
        <v/>
      </c>
      <c r="J60" s="5">
        <f>MAX(0,J53*$B$16-J54)</f>
        <v/>
      </c>
      <c r="K60" s="5">
        <f>MAX(0,K53*$B$16-K54)</f>
        <v/>
      </c>
      <c r="L60" s="5">
        <f>MAX(0,L53*$B$16-L54)</f>
        <v/>
      </c>
    </row>
    <row r="62">
      <c r="A62" s="4" t="inlineStr">
        <is>
          <t>Holding</t>
        </is>
      </c>
    </row>
    <row r="63">
      <c r="A63" s="4" t="inlineStr">
        <is>
          <t>Flux net de la holding</t>
        </is>
      </c>
      <c r="B63" s="18">
        <f>SUM(C63:L63)</f>
        <v/>
      </c>
      <c r="C63" s="18">
        <f>IF(C$27=1,$B$5+$B$6,0)-IF(AND(C$27&gt;=1,C$27&lt;=5),$B$6/5,0)-$B$14-$B$15+C36+C47+C58-(C37+C48+C59)</f>
        <v/>
      </c>
      <c r="D63" s="18">
        <f>IF(D$27=1,$B$5+$B$6,0)-IF(AND(D$27&gt;=1,D$27&lt;=5),$B$6/5,0)-$B$14-$B$15+D36+D47+D58-(D37+D48+D59)</f>
        <v/>
      </c>
      <c r="E63" s="18">
        <f>IF(E$27=1,$B$5+$B$6,0)-IF(AND(E$27&gt;=1,E$27&lt;=5),$B$6/5,0)-$B$14-$B$15+E36+E47+E58-(E37+E48+E59)</f>
        <v/>
      </c>
      <c r="F63" s="18">
        <f>IF(F$27=1,$B$5+$B$6,0)-IF(AND(F$27&gt;=1,F$27&lt;=5),$B$6/5,0)-$B$14-$B$15+F36+F47+F58-(F37+F48+F59)</f>
        <v/>
      </c>
      <c r="G63" s="18">
        <f>IF(G$27=1,$B$5+$B$6,0)-IF(AND(G$27&gt;=1,G$27&lt;=5),$B$6/5,0)-$B$14-$B$15+G36+G47+G58-(G37+G48+G59)</f>
        <v/>
      </c>
      <c r="H63" s="18">
        <f>IF(H$27=1,$B$5+$B$6,0)-IF(AND(H$27&gt;=1,H$27&lt;=5),$B$6/5,0)-$B$14-$B$15+H36+H47+H58-(H37+H48+H59)</f>
        <v/>
      </c>
      <c r="I63" s="18">
        <f>IF(I$27=1,$B$5+$B$6,0)-IF(AND(I$27&gt;=1,I$27&lt;=5),$B$6/5,0)-$B$14-$B$15+I36+I47+I58-(I37+I48+I59)</f>
        <v/>
      </c>
      <c r="J63" s="18">
        <f>IF(J$27=1,$B$5+$B$6,0)-IF(AND(J$27&gt;=1,J$27&lt;=5),$B$6/5,0)-$B$14-$B$15+J36+J47+J58-(J37+J48+J59)</f>
        <v/>
      </c>
      <c r="K63" s="18">
        <f>IF(K$27=1,$B$5+$B$6,0)-IF(AND(K$27&gt;=1,K$27&lt;=5),$B$6/5,0)-$B$14-$B$15+K36+K47+K58-(K37+K48+K59)</f>
        <v/>
      </c>
      <c r="L63" s="18">
        <f>IF(L$27=1,$B$5+$B$6,0)-IF(AND(L$27&gt;=1,L$27&lt;=5),$B$6/5,0)-$B$14-$B$15+L36+L47+L58-(L37+L48+L59)</f>
        <v/>
      </c>
    </row>
    <row r="64">
      <c r="A64" s="4" t="inlineStr">
        <is>
          <t>Trésorerie de la holding fin d'année</t>
        </is>
      </c>
      <c r="C64" s="18">
        <f>C63</f>
        <v/>
      </c>
      <c r="D64" s="18">
        <f>C64+D63</f>
        <v/>
      </c>
      <c r="E64" s="18">
        <f>D64+E63</f>
        <v/>
      </c>
      <c r="F64" s="18">
        <f>E64+F63</f>
        <v/>
      </c>
      <c r="G64" s="18">
        <f>F64+G63</f>
        <v/>
      </c>
      <c r="H64" s="18">
        <f>G64+H63</f>
        <v/>
      </c>
      <c r="I64" s="18">
        <f>H64+I63</f>
        <v/>
      </c>
      <c r="J64" s="18">
        <f>I64+J63</f>
        <v/>
      </c>
      <c r="K64" s="18">
        <f>J64+K63</f>
        <v/>
      </c>
      <c r="L64" s="18">
        <f>K64+L63</f>
        <v/>
      </c>
    </row>
    <row r="65">
      <c r="A65" t="inlineStr">
        <is>
          <t>Valeur nette des participations (si revente)</t>
        </is>
      </c>
      <c r="C65" s="5">
        <f>C38+C49+C60</f>
        <v/>
      </c>
      <c r="D65" s="5">
        <f>D38+D49+D60</f>
        <v/>
      </c>
      <c r="E65" s="5">
        <f>E38+E49+E60</f>
        <v/>
      </c>
      <c r="F65" s="5">
        <f>F38+F49+F60</f>
        <v/>
      </c>
      <c r="G65" s="5">
        <f>G38+G49+G60</f>
        <v/>
      </c>
      <c r="H65" s="5">
        <f>H38+H49+H60</f>
        <v/>
      </c>
      <c r="I65" s="5">
        <f>I38+I49+I60</f>
        <v/>
      </c>
      <c r="J65" s="5">
        <f>J38+J49+J60</f>
        <v/>
      </c>
      <c r="K65" s="5">
        <f>K38+K49+K60</f>
        <v/>
      </c>
      <c r="L65" s="5">
        <f>L38+L49+L60</f>
        <v/>
      </c>
    </row>
    <row r="66">
      <c r="A66" s="4" t="inlineStr">
        <is>
          <t>Capacité d'apport si revente des PME (trésorerie + valeur nette)</t>
        </is>
      </c>
      <c r="C66" s="18">
        <f>C64+C65</f>
        <v/>
      </c>
      <c r="D66" s="18">
        <f>D64+D65</f>
        <v/>
      </c>
      <c r="E66" s="18">
        <f>E64+E65</f>
        <v/>
      </c>
      <c r="F66" s="18">
        <f>F64+F65</f>
        <v/>
      </c>
      <c r="G66" s="18">
        <f>G64+G65</f>
        <v/>
      </c>
      <c r="H66" s="18">
        <f>H64+H65</f>
        <v/>
      </c>
      <c r="I66" s="18">
        <f>I64+I65</f>
        <v/>
      </c>
      <c r="J66" s="18">
        <f>J64+J65</f>
        <v/>
      </c>
      <c r="K66" s="18">
        <f>K64+K65</f>
        <v/>
      </c>
      <c r="L66" s="18">
        <f>L64+L65</f>
        <v/>
      </c>
    </row>
    <row r="68">
      <c r="A68" s="10" t="inlineStr">
        <is>
          <t>4. Indicateurs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t="inlineStr">
        <is>
          <t>Trésorerie minimale de la holding (négative = apport manquant)</t>
        </is>
      </c>
      <c r="B69" s="18">
        <f>MIN(C64:L64)</f>
        <v/>
      </c>
    </row>
    <row r="70">
      <c r="A70" t="inlineStr">
        <is>
          <t>Trésorerie disponible l'année cible (sans revendre les PME)</t>
        </is>
      </c>
      <c r="B70" s="18">
        <f>INDEX(C64:L64,$B$17)</f>
        <v/>
      </c>
    </row>
    <row r="71">
      <c r="A71" t="inlineStr">
        <is>
          <t>Capacité d'apport l'année cible en revendant toutes les PME</t>
        </is>
      </c>
      <c r="B71" s="18">
        <f>INDEX(C66:L66,$B$17)</f>
        <v/>
      </c>
    </row>
    <row r="72">
      <c r="A72" t="inlineStr">
        <is>
          <t>Fonds propres nécessaires pour le château (scénario C)</t>
        </is>
      </c>
      <c r="B72" s="18">
        <f>$B$18</f>
        <v/>
      </c>
    </row>
    <row r="73">
      <c r="A73" t="inlineStr">
        <is>
          <t>Couverture du besoin sans revente</t>
        </is>
      </c>
      <c r="B73" s="14">
        <f>IF($B$18=0,"n/a",INDEX(C64:L64,$B$17)/$B$18)</f>
        <v/>
      </c>
    </row>
    <row r="74">
      <c r="A74" t="inlineStr">
        <is>
          <t>Couverture du besoin avec revente</t>
        </is>
      </c>
      <c r="B74" s="14">
        <f>IF($B$18=0,"n/a",INDEX(C66:L66,$B$17)/$B$18)</f>
        <v/>
      </c>
    </row>
    <row r="75">
      <c r="A75" t="inlineStr">
        <is>
          <t>Année où la trésorerie (sans revente) atteint le besoin</t>
        </is>
      </c>
      <c r="B75" s="20">
        <f>IFERROR(MATCH(TRUE,INDEX(C64:L64&gt;=$B$18,0),0),"pas avant l'an 10")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Moteur de capital H2 — deux reprises (2027 puis 2029)</t>
        </is>
      </c>
    </row>
    <row r="2">
      <c r="A2" s="9" t="inlineStr">
        <is>
          <t>Cellules jaunes = hypothèses éditables. Année 1 = 2027. Tout le reste est calculé. EBITDA des PME supposé APRÈS rémunération de marché d'un dirigeant opérationnel.</t>
        </is>
      </c>
    </row>
    <row r="4">
      <c r="A4" s="10" t="inlineStr">
        <is>
          <t>1. Hypothèses générales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Apport initial du fondateur dans la holding (année 1)</t>
        </is>
      </c>
      <c r="B5" s="12" t="n">
        <v>250000</v>
      </c>
      <c r="C5" t="inlineStr">
        <is>
          <t>€</t>
        </is>
      </c>
      <c r="D5" t="inlineStr">
        <is>
          <t>Scénario d'apport S2</t>
        </is>
      </c>
    </row>
    <row r="6">
      <c r="A6" t="inlineStr">
        <is>
          <t>Prêts d'honneur (à rembourser sur 5 ans, 0 %)</t>
        </is>
      </c>
      <c r="B6" s="12" t="n">
        <v>80000</v>
      </c>
      <c r="C6" t="inlineStr">
        <is>
          <t>€</t>
        </is>
      </c>
      <c r="D6" t="inlineStr">
        <is>
          <t>PL : prêts d'honneur 1 000-80 000 € [A2]</t>
        </is>
      </c>
    </row>
    <row r="7">
      <c r="A7" t="inlineStr">
        <is>
          <t>Frais d'acquisition d'une PME (% de la valeur)</t>
        </is>
      </c>
      <c r="B7" s="13" t="n">
        <v>0.05</v>
      </c>
      <c r="C7" t="inlineStr">
        <is>
          <t>%</t>
        </is>
      </c>
      <c r="D7" t="inlineStr">
        <is>
          <t>EST</t>
        </is>
      </c>
    </row>
    <row r="8">
      <c r="A8" t="inlineStr">
        <is>
          <t>Part financée par dette senior (% du prix + frais)</t>
        </is>
      </c>
      <c r="B8" s="13" t="n">
        <v>0.7</v>
      </c>
      <c r="C8" t="inlineStr">
        <is>
          <t>%</t>
        </is>
      </c>
      <c r="D8" t="inlineStr">
        <is>
          <t>PL : critère CRA — prêt ≤ 70 % du prix, ≤ 7 ans [A2]</t>
        </is>
      </c>
    </row>
    <row r="9">
      <c r="A9" t="inlineStr">
        <is>
          <t>Taux de la dette LBO</t>
        </is>
      </c>
      <c r="B9" s="13" t="n">
        <v>0.045</v>
      </c>
      <c r="C9" t="inlineStr">
        <is>
          <t>%</t>
        </is>
      </c>
      <c r="D9" t="inlineStr">
        <is>
          <t>EST : crédits aux PME 3,64 % (PL) + prime LBO</t>
        </is>
      </c>
    </row>
    <row r="10">
      <c r="A10" t="inlineStr">
        <is>
          <t>Durée de la dette LBO</t>
        </is>
      </c>
      <c r="B10" s="12" t="n">
        <v>7</v>
      </c>
      <c r="C10" t="inlineStr">
        <is>
          <t>ans</t>
        </is>
      </c>
      <c r="D10" t="inlineStr">
        <is>
          <t>PL : CRA [A2]</t>
        </is>
      </c>
    </row>
    <row r="11">
      <c r="A11" t="inlineStr">
        <is>
          <t>Investissements de maintien (% de l'EBITDA)</t>
        </is>
      </c>
      <c r="B11" s="13" t="n">
        <v>0.1</v>
      </c>
      <c r="C11" t="inlineStr">
        <is>
          <t>%</t>
        </is>
      </c>
      <c r="D11" t="inlineStr">
        <is>
          <t>EST</t>
        </is>
      </c>
    </row>
    <row r="12">
      <c r="A12" t="inlineStr">
        <is>
          <t>Croissance annuelle de l'EBITDA</t>
        </is>
      </c>
      <c r="B12" s="13" t="n">
        <v>0.02</v>
      </c>
      <c r="C12" t="inlineStr">
        <is>
          <t>%</t>
        </is>
      </c>
      <c r="D12" t="inlineStr">
        <is>
          <t>EST</t>
        </is>
      </c>
    </row>
    <row r="13">
      <c r="A13" t="inlineStr">
        <is>
          <t>Taux d'IS de la PME</t>
        </is>
      </c>
      <c r="B13" s="13" t="n">
        <v>0.25</v>
      </c>
      <c r="C13" t="inlineStr">
        <is>
          <t>%</t>
        </is>
      </c>
      <c r="D13" t="inlineStr">
        <is>
          <t>PL [A6] (taux réduit ignoré : prudent)</t>
        </is>
      </c>
    </row>
    <row r="14">
      <c r="A14" t="inlineStr">
        <is>
          <t>Frais annuels de la holding (comptable, juridique)</t>
        </is>
      </c>
      <c r="B14" s="12" t="n">
        <v>15000</v>
      </c>
      <c r="C14" t="inlineStr">
        <is>
          <t>€</t>
        </is>
      </c>
      <c r="D14" t="inlineStr">
        <is>
          <t>EST</t>
        </is>
      </c>
    </row>
    <row r="15">
      <c r="A15" t="inlineStr">
        <is>
          <t>Rémunération du fondateur versée par la holding (chargée)</t>
        </is>
      </c>
      <c r="B15" s="12" t="n">
        <v>0</v>
      </c>
      <c r="C15" t="inlineStr">
        <is>
          <t>€</t>
        </is>
      </c>
      <c r="D15" t="inlineStr">
        <is>
          <t>Le fondateur est rémunéré comme dirigeant de la PME (déjà dans l'EBITDA)</t>
        </is>
      </c>
    </row>
    <row r="16">
      <c r="A16" t="inlineStr">
        <is>
          <t>Multiple de valorisation à la revente (VE/EBITDA)</t>
        </is>
      </c>
      <c r="B16" s="21" t="n">
        <v>4.5</v>
      </c>
      <c r="C16" t="inlineStr">
        <is>
          <t>x</t>
        </is>
      </c>
      <c r="D16" t="inlineStr">
        <is>
          <t>EST non sourcé : multiple prudent pour une PME (à valider par un expert en transmission)</t>
        </is>
      </c>
    </row>
    <row r="17">
      <c r="A17" t="inlineStr">
        <is>
          <t>Année où l'on mesure la capacité d'apport (5 = 2031)</t>
        </is>
      </c>
      <c r="B17" s="12" t="n">
        <v>5</v>
      </c>
      <c r="C17" t="inlineStr">
        <is>
          <t>année</t>
        </is>
      </c>
      <c r="D17" t="inlineStr">
        <is>
          <t>2031</t>
        </is>
      </c>
    </row>
    <row r="18">
      <c r="A18" t="inlineStr">
        <is>
          <t>Fonds propres nécessaires pour le château (scénario C)</t>
        </is>
      </c>
      <c r="B18" s="12" t="n">
        <v>3400000</v>
      </c>
      <c r="C18" t="inlineStr">
        <is>
          <t>€</t>
        </is>
      </c>
      <c r="D18" t="inlineStr">
        <is>
          <t>Fonds propres du scénario C central (feuille C_central)</t>
        </is>
      </c>
    </row>
    <row r="20">
      <c r="A20" s="10" t="inlineStr">
        <is>
          <t>2. Reprises de PME (année d'acquisition 0 = pas de reprise)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4" t="inlineStr">
        <is>
          <t>Reprise</t>
        </is>
      </c>
      <c r="B21" s="4" t="inlineStr">
        <is>
          <t>Année</t>
        </is>
      </c>
      <c r="C21" s="4" t="inlineStr">
        <is>
          <t>EBITDA (€)</t>
        </is>
      </c>
      <c r="D21" s="4" t="inlineStr">
        <is>
          <t>Multiple VE/EBITDA</t>
        </is>
      </c>
      <c r="G21" s="4" t="inlineStr">
        <is>
          <t>Source / statut</t>
        </is>
      </c>
    </row>
    <row r="22">
      <c r="A22" t="inlineStr">
        <is>
          <t>Reprise 1</t>
        </is>
      </c>
      <c r="B22" s="22" t="n">
        <v>1</v>
      </c>
      <c r="C22" s="12" t="n">
        <v>220000</v>
      </c>
      <c r="D22" s="21" t="n">
        <v>4.5</v>
      </c>
      <c r="G22" t="inlineStr">
        <is>
          <t>EST</t>
        </is>
      </c>
    </row>
    <row r="23">
      <c r="A23" t="inlineStr">
        <is>
          <t>Reprise 2</t>
        </is>
      </c>
      <c r="B23" s="22" t="n">
        <v>3</v>
      </c>
      <c r="C23" s="12" t="n">
        <v>300000</v>
      </c>
      <c r="D23" s="21" t="n">
        <v>4.5</v>
      </c>
      <c r="G23" t="inlineStr">
        <is>
          <t>EST : fonds propres à trouver dans la trésorerie de la holding</t>
        </is>
      </c>
    </row>
    <row r="24">
      <c r="A24" t="inlineStr">
        <is>
          <t>Reprise 3</t>
        </is>
      </c>
      <c r="B24" s="22" t="n">
        <v>0</v>
      </c>
      <c r="C24" s="12" t="n">
        <v>0</v>
      </c>
      <c r="D24" s="21" t="n">
        <v>4.5</v>
      </c>
      <c r="G24" t="inlineStr"/>
    </row>
    <row r="26">
      <c r="A26" s="10" t="inlineStr">
        <is>
          <t>3. Calcul annuel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4" t="inlineStr">
        <is>
          <t>Année</t>
        </is>
      </c>
      <c r="B27" s="4" t="inlineStr">
        <is>
          <t>Total / réf.</t>
        </is>
      </c>
      <c r="C27" s="4" t="n">
        <v>1</v>
      </c>
      <c r="D27" s="4" t="n">
        <v>2</v>
      </c>
      <c r="E27" s="4" t="n">
        <v>3</v>
      </c>
      <c r="F27" s="4" t="n">
        <v>4</v>
      </c>
      <c r="G27" s="4" t="n">
        <v>5</v>
      </c>
      <c r="H27" s="4" t="n">
        <v>6</v>
      </c>
      <c r="I27" s="4" t="n">
        <v>7</v>
      </c>
      <c r="J27" s="4" t="n">
        <v>8</v>
      </c>
      <c r="K27" s="4" t="n">
        <v>9</v>
      </c>
      <c r="L27" s="4" t="n">
        <v>10</v>
      </c>
    </row>
    <row r="28">
      <c r="A28" s="4" t="inlineStr">
        <is>
          <t>PME 1</t>
        </is>
      </c>
    </row>
    <row r="29">
      <c r="A29" t="inlineStr">
        <is>
          <t xml:space="preserve">  Active (1/0)</t>
        </is>
      </c>
      <c r="C29" s="8">
        <f>IF(AND($B$22&gt;0,C$27&gt;=$B$22),1,0)</f>
        <v/>
      </c>
      <c r="D29" s="8">
        <f>IF(AND($B$22&gt;0,D$27&gt;=$B$22),1,0)</f>
        <v/>
      </c>
      <c r="E29" s="8">
        <f>IF(AND($B$22&gt;0,E$27&gt;=$B$22),1,0)</f>
        <v/>
      </c>
      <c r="F29" s="8">
        <f>IF(AND($B$22&gt;0,F$27&gt;=$B$22),1,0)</f>
        <v/>
      </c>
      <c r="G29" s="8">
        <f>IF(AND($B$22&gt;0,G$27&gt;=$B$22),1,0)</f>
        <v/>
      </c>
      <c r="H29" s="8">
        <f>IF(AND($B$22&gt;0,H$27&gt;=$B$22),1,0)</f>
        <v/>
      </c>
      <c r="I29" s="8">
        <f>IF(AND($B$22&gt;0,I$27&gt;=$B$22),1,0)</f>
        <v/>
      </c>
      <c r="J29" s="8">
        <f>IF(AND($B$22&gt;0,J$27&gt;=$B$22),1,0)</f>
        <v/>
      </c>
      <c r="K29" s="8">
        <f>IF(AND($B$22&gt;0,K$27&gt;=$B$22),1,0)</f>
        <v/>
      </c>
      <c r="L29" s="8">
        <f>IF(AND($B$22&gt;0,L$27&gt;=$B$22),1,0)</f>
        <v/>
      </c>
    </row>
    <row r="30">
      <c r="A30" t="inlineStr">
        <is>
          <t xml:space="preserve">  Rang de l'année de détention</t>
        </is>
      </c>
      <c r="C30" s="8">
        <f>IF(C29=1,C$27-$B$22+1,0)</f>
        <v/>
      </c>
      <c r="D30" s="8">
        <f>IF(D29=1,D$27-$B$22+1,0)</f>
        <v/>
      </c>
      <c r="E30" s="8">
        <f>IF(E29=1,E$27-$B$22+1,0)</f>
        <v/>
      </c>
      <c r="F30" s="8">
        <f>IF(F29=1,F$27-$B$22+1,0)</f>
        <v/>
      </c>
      <c r="G30" s="8">
        <f>IF(G29=1,G$27-$B$22+1,0)</f>
        <v/>
      </c>
      <c r="H30" s="8">
        <f>IF(H29=1,H$27-$B$22+1,0)</f>
        <v/>
      </c>
      <c r="I30" s="8">
        <f>IF(I29=1,I$27-$B$22+1,0)</f>
        <v/>
      </c>
      <c r="J30" s="8">
        <f>IF(J29=1,J$27-$B$22+1,0)</f>
        <v/>
      </c>
      <c r="K30" s="8">
        <f>IF(K29=1,K$27-$B$22+1,0)</f>
        <v/>
      </c>
      <c r="L30" s="8">
        <f>IF(L29=1,L$27-$B$22+1,0)</f>
        <v/>
      </c>
    </row>
    <row r="31">
      <c r="A31" t="inlineStr">
        <is>
          <t xml:space="preserve">  EBITDA</t>
        </is>
      </c>
      <c r="B31" s="5">
        <f>SUM(C31:L31)</f>
        <v/>
      </c>
      <c r="C31" s="5">
        <f>C29*$C$22*(1+$B$12)^MAX(0,C30-1)</f>
        <v/>
      </c>
      <c r="D31" s="5">
        <f>D29*$C$22*(1+$B$12)^MAX(0,D30-1)</f>
        <v/>
      </c>
      <c r="E31" s="5">
        <f>E29*$C$22*(1+$B$12)^MAX(0,E30-1)</f>
        <v/>
      </c>
      <c r="F31" s="5">
        <f>F29*$C$22*(1+$B$12)^MAX(0,F30-1)</f>
        <v/>
      </c>
      <c r="G31" s="5">
        <f>G29*$C$22*(1+$B$12)^MAX(0,G30-1)</f>
        <v/>
      </c>
      <c r="H31" s="5">
        <f>H29*$C$22*(1+$B$12)^MAX(0,H30-1)</f>
        <v/>
      </c>
      <c r="I31" s="5">
        <f>I29*$C$22*(1+$B$12)^MAX(0,I30-1)</f>
        <v/>
      </c>
      <c r="J31" s="5">
        <f>J29*$C$22*(1+$B$12)^MAX(0,J30-1)</f>
        <v/>
      </c>
      <c r="K31" s="5">
        <f>K29*$C$22*(1+$B$12)^MAX(0,K30-1)</f>
        <v/>
      </c>
      <c r="L31" s="5">
        <f>L29*$C$22*(1+$B$12)^MAX(0,L30-1)</f>
        <v/>
      </c>
    </row>
    <row r="32">
      <c r="A32" t="inlineStr">
        <is>
          <t xml:space="preserve">  Dette restante fin d'année</t>
        </is>
      </c>
      <c r="C32" s="5">
        <f>IF(C29=0,0,IF(C30&gt;=$B$10,0,(($C$22*$D$22)*(1+$B$7)*$B$8)*((1+$B$9)^$B$10-(1+$B$9)^C30)/((1+$B$9)^$B$10-1)))</f>
        <v/>
      </c>
      <c r="D32" s="5">
        <f>IF(D29=0,0,IF(D30&gt;=$B$10,0,(($C$22*$D$22)*(1+$B$7)*$B$8)*((1+$B$9)^$B$10-(1+$B$9)^D30)/((1+$B$9)^$B$10-1)))</f>
        <v/>
      </c>
      <c r="E32" s="5">
        <f>IF(E29=0,0,IF(E30&gt;=$B$10,0,(($C$22*$D$22)*(1+$B$7)*$B$8)*((1+$B$9)^$B$10-(1+$B$9)^E30)/((1+$B$9)^$B$10-1)))</f>
        <v/>
      </c>
      <c r="F32" s="5">
        <f>IF(F29=0,0,IF(F30&gt;=$B$10,0,(($C$22*$D$22)*(1+$B$7)*$B$8)*((1+$B$9)^$B$10-(1+$B$9)^F30)/((1+$B$9)^$B$10-1)))</f>
        <v/>
      </c>
      <c r="G32" s="5">
        <f>IF(G29=0,0,IF(G30&gt;=$B$10,0,(($C$22*$D$22)*(1+$B$7)*$B$8)*((1+$B$9)^$B$10-(1+$B$9)^G30)/((1+$B$9)^$B$10-1)))</f>
        <v/>
      </c>
      <c r="H32" s="5">
        <f>IF(H29=0,0,IF(H30&gt;=$B$10,0,(($C$22*$D$22)*(1+$B$7)*$B$8)*((1+$B$9)^$B$10-(1+$B$9)^H30)/((1+$B$9)^$B$10-1)))</f>
        <v/>
      </c>
      <c r="I32" s="5">
        <f>IF(I29=0,0,IF(I30&gt;=$B$10,0,(($C$22*$D$22)*(1+$B$7)*$B$8)*((1+$B$9)^$B$10-(1+$B$9)^I30)/((1+$B$9)^$B$10-1)))</f>
        <v/>
      </c>
      <c r="J32" s="5">
        <f>IF(J29=0,0,IF(J30&gt;=$B$10,0,(($C$22*$D$22)*(1+$B$7)*$B$8)*((1+$B$9)^$B$10-(1+$B$9)^J30)/((1+$B$9)^$B$10-1)))</f>
        <v/>
      </c>
      <c r="K32" s="5">
        <f>IF(K29=0,0,IF(K30&gt;=$B$10,0,(($C$22*$D$22)*(1+$B$7)*$B$8)*((1+$B$9)^$B$10-(1+$B$9)^K30)/((1+$B$9)^$B$10-1)))</f>
        <v/>
      </c>
      <c r="L32" s="5">
        <f>IF(L29=0,0,IF(L30&gt;=$B$10,0,(($C$22*$D$22)*(1+$B$7)*$B$8)*((1+$B$9)^$B$10-(1+$B$9)^L30)/((1+$B$9)^$B$10-1)))</f>
        <v/>
      </c>
    </row>
    <row r="33">
      <c r="A33" t="inlineStr">
        <is>
          <t xml:space="preserve">  Annuité de dette</t>
        </is>
      </c>
      <c r="B33" s="5">
        <f>SUM(C33:L33)</f>
        <v/>
      </c>
      <c r="C33" s="5">
        <f>IF(AND(C29=1,C30&lt;=$B$10),PMT($B$9,$B$10,-(($C$22*$D$22)*(1+$B$7)*$B$8)),0)</f>
        <v/>
      </c>
      <c r="D33" s="5">
        <f>IF(AND(D29=1,D30&lt;=$B$10),PMT($B$9,$B$10,-(($C$22*$D$22)*(1+$B$7)*$B$8)),0)</f>
        <v/>
      </c>
      <c r="E33" s="5">
        <f>IF(AND(E29=1,E30&lt;=$B$10),PMT($B$9,$B$10,-(($C$22*$D$22)*(1+$B$7)*$B$8)),0)</f>
        <v/>
      </c>
      <c r="F33" s="5">
        <f>IF(AND(F29=1,F30&lt;=$B$10),PMT($B$9,$B$10,-(($C$22*$D$22)*(1+$B$7)*$B$8)),0)</f>
        <v/>
      </c>
      <c r="G33" s="5">
        <f>IF(AND(G29=1,G30&lt;=$B$10),PMT($B$9,$B$10,-(($C$22*$D$22)*(1+$B$7)*$B$8)),0)</f>
        <v/>
      </c>
      <c r="H33" s="5">
        <f>IF(AND(H29=1,H30&lt;=$B$10),PMT($B$9,$B$10,-(($C$22*$D$22)*(1+$B$7)*$B$8)),0)</f>
        <v/>
      </c>
      <c r="I33" s="5">
        <f>IF(AND(I29=1,I30&lt;=$B$10),PMT($B$9,$B$10,-(($C$22*$D$22)*(1+$B$7)*$B$8)),0)</f>
        <v/>
      </c>
      <c r="J33" s="5">
        <f>IF(AND(J29=1,J30&lt;=$B$10),PMT($B$9,$B$10,-(($C$22*$D$22)*(1+$B$7)*$B$8)),0)</f>
        <v/>
      </c>
      <c r="K33" s="5">
        <f>IF(AND(K29=1,K30&lt;=$B$10),PMT($B$9,$B$10,-(($C$22*$D$22)*(1+$B$7)*$B$8)),0)</f>
        <v/>
      </c>
      <c r="L33" s="5">
        <f>IF(AND(L29=1,L30&lt;=$B$10),PMT($B$9,$B$10,-(($C$22*$D$22)*(1+$B$7)*$B$8)),0)</f>
        <v/>
      </c>
    </row>
    <row r="34">
      <c r="A34" t="inlineStr">
        <is>
          <t xml:space="preserve">  dont intérêts</t>
        </is>
      </c>
      <c r="B34" s="5">
        <f>SUM(C34:L34)</f>
        <v/>
      </c>
      <c r="C34" s="5">
        <f>IF(AND(C29=1,C30&lt;=$B$10),(($C$22*$D$22)*(1+$B$7)*$B$8)*((1+$B$9)^$B$10-(1+$B$9)^(C30-1))/((1+$B$9)^$B$10-1)*$B$9,0)</f>
        <v/>
      </c>
      <c r="D34" s="5">
        <f>IF(AND(D29=1,D30&lt;=$B$10),(($C$22*$D$22)*(1+$B$7)*$B$8)*((1+$B$9)^$B$10-(1+$B$9)^(D30-1))/((1+$B$9)^$B$10-1)*$B$9,0)</f>
        <v/>
      </c>
      <c r="E34" s="5">
        <f>IF(AND(E29=1,E30&lt;=$B$10),(($C$22*$D$22)*(1+$B$7)*$B$8)*((1+$B$9)^$B$10-(1+$B$9)^(E30-1))/((1+$B$9)^$B$10-1)*$B$9,0)</f>
        <v/>
      </c>
      <c r="F34" s="5">
        <f>IF(AND(F29=1,F30&lt;=$B$10),(($C$22*$D$22)*(1+$B$7)*$B$8)*((1+$B$9)^$B$10-(1+$B$9)^(F30-1))/((1+$B$9)^$B$10-1)*$B$9,0)</f>
        <v/>
      </c>
      <c r="G34" s="5">
        <f>IF(AND(G29=1,G30&lt;=$B$10),(($C$22*$D$22)*(1+$B$7)*$B$8)*((1+$B$9)^$B$10-(1+$B$9)^(G30-1))/((1+$B$9)^$B$10-1)*$B$9,0)</f>
        <v/>
      </c>
      <c r="H34" s="5">
        <f>IF(AND(H29=1,H30&lt;=$B$10),(($C$22*$D$22)*(1+$B$7)*$B$8)*((1+$B$9)^$B$10-(1+$B$9)^(H30-1))/((1+$B$9)^$B$10-1)*$B$9,0)</f>
        <v/>
      </c>
      <c r="I34" s="5">
        <f>IF(AND(I29=1,I30&lt;=$B$10),(($C$22*$D$22)*(1+$B$7)*$B$8)*((1+$B$9)^$B$10-(1+$B$9)^(I30-1))/((1+$B$9)^$B$10-1)*$B$9,0)</f>
        <v/>
      </c>
      <c r="J34" s="5">
        <f>IF(AND(J29=1,J30&lt;=$B$10),(($C$22*$D$22)*(1+$B$7)*$B$8)*((1+$B$9)^$B$10-(1+$B$9)^(J30-1))/((1+$B$9)^$B$10-1)*$B$9,0)</f>
        <v/>
      </c>
      <c r="K34" s="5">
        <f>IF(AND(K29=1,K30&lt;=$B$10),(($C$22*$D$22)*(1+$B$7)*$B$8)*((1+$B$9)^$B$10-(1+$B$9)^(K30-1))/((1+$B$9)^$B$10-1)*$B$9,0)</f>
        <v/>
      </c>
      <c r="L34" s="5">
        <f>IF(AND(L29=1,L30&lt;=$B$10),(($C$22*$D$22)*(1+$B$7)*$B$8)*((1+$B$9)^$B$10-(1+$B$9)^(L30-1))/((1+$B$9)^$B$10-1)*$B$9,0)</f>
        <v/>
      </c>
    </row>
    <row r="35">
      <c r="A35" t="inlineStr">
        <is>
          <t xml:space="preserve">  Impôt sur les sociétés</t>
        </is>
      </c>
      <c r="B35" s="5">
        <f>SUM(C35:L35)</f>
        <v/>
      </c>
      <c r="C35" s="5">
        <f>MAX(0,C31*(1-$B$11)-C34)*$B$13</f>
        <v/>
      </c>
      <c r="D35" s="5">
        <f>MAX(0,D31*(1-$B$11)-D34)*$B$13</f>
        <v/>
      </c>
      <c r="E35" s="5">
        <f>MAX(0,E31*(1-$B$11)-E34)*$B$13</f>
        <v/>
      </c>
      <c r="F35" s="5">
        <f>MAX(0,F31*(1-$B$11)-F34)*$B$13</f>
        <v/>
      </c>
      <c r="G35" s="5">
        <f>MAX(0,G31*(1-$B$11)-G34)*$B$13</f>
        <v/>
      </c>
      <c r="H35" s="5">
        <f>MAX(0,H31*(1-$B$11)-H34)*$B$13</f>
        <v/>
      </c>
      <c r="I35" s="5">
        <f>MAX(0,I31*(1-$B$11)-I34)*$B$13</f>
        <v/>
      </c>
      <c r="J35" s="5">
        <f>MAX(0,J31*(1-$B$11)-J34)*$B$13</f>
        <v/>
      </c>
      <c r="K35" s="5">
        <f>MAX(0,K31*(1-$B$11)-K34)*$B$13</f>
        <v/>
      </c>
      <c r="L35" s="5">
        <f>MAX(0,L31*(1-$B$11)-L34)*$B$13</f>
        <v/>
      </c>
    </row>
    <row r="36">
      <c r="A36" s="4" t="inlineStr">
        <is>
          <t xml:space="preserve">  Cash-flow remonté à la holding (EBITDA − maintien − IS − annuité)</t>
        </is>
      </c>
      <c r="B36" s="18">
        <f>SUM(C36:L36)</f>
        <v/>
      </c>
      <c r="C36" s="18">
        <f>C31*(1-$B$11)-C35-C33</f>
        <v/>
      </c>
      <c r="D36" s="18">
        <f>D31*(1-$B$11)-D35-D33</f>
        <v/>
      </c>
      <c r="E36" s="18">
        <f>E31*(1-$B$11)-E35-E33</f>
        <v/>
      </c>
      <c r="F36" s="18">
        <f>F31*(1-$B$11)-F35-F33</f>
        <v/>
      </c>
      <c r="G36" s="18">
        <f>G31*(1-$B$11)-G35-G33</f>
        <v/>
      </c>
      <c r="H36" s="18">
        <f>H31*(1-$B$11)-H35-H33</f>
        <v/>
      </c>
      <c r="I36" s="18">
        <f>I31*(1-$B$11)-I35-I33</f>
        <v/>
      </c>
      <c r="J36" s="18">
        <f>J31*(1-$B$11)-J35-J33</f>
        <v/>
      </c>
      <c r="K36" s="18">
        <f>K31*(1-$B$11)-K35-K33</f>
        <v/>
      </c>
      <c r="L36" s="18">
        <f>L31*(1-$B$11)-L35-L33</f>
        <v/>
      </c>
    </row>
    <row r="37">
      <c r="A37" t="inlineStr">
        <is>
          <t xml:space="preserve">  Fonds propres à apporter l'année de la reprise</t>
        </is>
      </c>
      <c r="B37" s="5">
        <f>SUM(C37:L37)</f>
        <v/>
      </c>
      <c r="C37" s="5">
        <f>IF(AND($B$22&gt;0,C$27=$B$22),($C$22*$D$22)*(1+$B$7)-(($C$22*$D$22)*(1+$B$7)*$B$8),0)</f>
        <v/>
      </c>
      <c r="D37" s="5">
        <f>IF(AND($B$22&gt;0,D$27=$B$22),($C$22*$D$22)*(1+$B$7)-(($C$22*$D$22)*(1+$B$7)*$B$8),0)</f>
        <v/>
      </c>
      <c r="E37" s="5">
        <f>IF(AND($B$22&gt;0,E$27=$B$22),($C$22*$D$22)*(1+$B$7)-(($C$22*$D$22)*(1+$B$7)*$B$8),0)</f>
        <v/>
      </c>
      <c r="F37" s="5">
        <f>IF(AND($B$22&gt;0,F$27=$B$22),($C$22*$D$22)*(1+$B$7)-(($C$22*$D$22)*(1+$B$7)*$B$8),0)</f>
        <v/>
      </c>
      <c r="G37" s="5">
        <f>IF(AND($B$22&gt;0,G$27=$B$22),($C$22*$D$22)*(1+$B$7)-(($C$22*$D$22)*(1+$B$7)*$B$8),0)</f>
        <v/>
      </c>
      <c r="H37" s="5">
        <f>IF(AND($B$22&gt;0,H$27=$B$22),($C$22*$D$22)*(1+$B$7)-(($C$22*$D$22)*(1+$B$7)*$B$8),0)</f>
        <v/>
      </c>
      <c r="I37" s="5">
        <f>IF(AND($B$22&gt;0,I$27=$B$22),($C$22*$D$22)*(1+$B$7)-(($C$22*$D$22)*(1+$B$7)*$B$8),0)</f>
        <v/>
      </c>
      <c r="J37" s="5">
        <f>IF(AND($B$22&gt;0,J$27=$B$22),($C$22*$D$22)*(1+$B$7)-(($C$22*$D$22)*(1+$B$7)*$B$8),0)</f>
        <v/>
      </c>
      <c r="K37" s="5">
        <f>IF(AND($B$22&gt;0,K$27=$B$22),($C$22*$D$22)*(1+$B$7)-(($C$22*$D$22)*(1+$B$7)*$B$8),0)</f>
        <v/>
      </c>
      <c r="L37" s="5">
        <f>IF(AND($B$22&gt;0,L$27=$B$22),($C$22*$D$22)*(1+$B$7)-(($C$22*$D$22)*(1+$B$7)*$B$8),0)</f>
        <v/>
      </c>
    </row>
    <row r="38">
      <c r="A38" t="inlineStr">
        <is>
          <t xml:space="preserve">  Valeur nette des titres (VE de sortie − dette restante)</t>
        </is>
      </c>
      <c r="C38" s="5">
        <f>MAX(0,C31*$B$16-C32)</f>
        <v/>
      </c>
      <c r="D38" s="5">
        <f>MAX(0,D31*$B$16-D32)</f>
        <v/>
      </c>
      <c r="E38" s="5">
        <f>MAX(0,E31*$B$16-E32)</f>
        <v/>
      </c>
      <c r="F38" s="5">
        <f>MAX(0,F31*$B$16-F32)</f>
        <v/>
      </c>
      <c r="G38" s="5">
        <f>MAX(0,G31*$B$16-G32)</f>
        <v/>
      </c>
      <c r="H38" s="5">
        <f>MAX(0,H31*$B$16-H32)</f>
        <v/>
      </c>
      <c r="I38" s="5">
        <f>MAX(0,I31*$B$16-I32)</f>
        <v/>
      </c>
      <c r="J38" s="5">
        <f>MAX(0,J31*$B$16-J32)</f>
        <v/>
      </c>
      <c r="K38" s="5">
        <f>MAX(0,K31*$B$16-K32)</f>
        <v/>
      </c>
      <c r="L38" s="5">
        <f>MAX(0,L31*$B$16-L32)</f>
        <v/>
      </c>
    </row>
    <row r="39">
      <c r="A39" s="4" t="inlineStr">
        <is>
          <t>PME 2</t>
        </is>
      </c>
    </row>
    <row r="40">
      <c r="A40" t="inlineStr">
        <is>
          <t xml:space="preserve">  Active (1/0)</t>
        </is>
      </c>
      <c r="C40" s="8">
        <f>IF(AND($B$23&gt;0,C$27&gt;=$B$23),1,0)</f>
        <v/>
      </c>
      <c r="D40" s="8">
        <f>IF(AND($B$23&gt;0,D$27&gt;=$B$23),1,0)</f>
        <v/>
      </c>
      <c r="E40" s="8">
        <f>IF(AND($B$23&gt;0,E$27&gt;=$B$23),1,0)</f>
        <v/>
      </c>
      <c r="F40" s="8">
        <f>IF(AND($B$23&gt;0,F$27&gt;=$B$23),1,0)</f>
        <v/>
      </c>
      <c r="G40" s="8">
        <f>IF(AND($B$23&gt;0,G$27&gt;=$B$23),1,0)</f>
        <v/>
      </c>
      <c r="H40" s="8">
        <f>IF(AND($B$23&gt;0,H$27&gt;=$B$23),1,0)</f>
        <v/>
      </c>
      <c r="I40" s="8">
        <f>IF(AND($B$23&gt;0,I$27&gt;=$B$23),1,0)</f>
        <v/>
      </c>
      <c r="J40" s="8">
        <f>IF(AND($B$23&gt;0,J$27&gt;=$B$23),1,0)</f>
        <v/>
      </c>
      <c r="K40" s="8">
        <f>IF(AND($B$23&gt;0,K$27&gt;=$B$23),1,0)</f>
        <v/>
      </c>
      <c r="L40" s="8">
        <f>IF(AND($B$23&gt;0,L$27&gt;=$B$23),1,0)</f>
        <v/>
      </c>
    </row>
    <row r="41">
      <c r="A41" t="inlineStr">
        <is>
          <t xml:space="preserve">  Rang de l'année de détention</t>
        </is>
      </c>
      <c r="C41" s="8">
        <f>IF(C40=1,C$27-$B$23+1,0)</f>
        <v/>
      </c>
      <c r="D41" s="8">
        <f>IF(D40=1,D$27-$B$23+1,0)</f>
        <v/>
      </c>
      <c r="E41" s="8">
        <f>IF(E40=1,E$27-$B$23+1,0)</f>
        <v/>
      </c>
      <c r="F41" s="8">
        <f>IF(F40=1,F$27-$B$23+1,0)</f>
        <v/>
      </c>
      <c r="G41" s="8">
        <f>IF(G40=1,G$27-$B$23+1,0)</f>
        <v/>
      </c>
      <c r="H41" s="8">
        <f>IF(H40=1,H$27-$B$23+1,0)</f>
        <v/>
      </c>
      <c r="I41" s="8">
        <f>IF(I40=1,I$27-$B$23+1,0)</f>
        <v/>
      </c>
      <c r="J41" s="8">
        <f>IF(J40=1,J$27-$B$23+1,0)</f>
        <v/>
      </c>
      <c r="K41" s="8">
        <f>IF(K40=1,K$27-$B$23+1,0)</f>
        <v/>
      </c>
      <c r="L41" s="8">
        <f>IF(L40=1,L$27-$B$23+1,0)</f>
        <v/>
      </c>
    </row>
    <row r="42">
      <c r="A42" t="inlineStr">
        <is>
          <t xml:space="preserve">  EBITDA</t>
        </is>
      </c>
      <c r="B42" s="5">
        <f>SUM(C42:L42)</f>
        <v/>
      </c>
      <c r="C42" s="5">
        <f>C40*$C$23*(1+$B$12)^MAX(0,C41-1)</f>
        <v/>
      </c>
      <c r="D42" s="5">
        <f>D40*$C$23*(1+$B$12)^MAX(0,D41-1)</f>
        <v/>
      </c>
      <c r="E42" s="5">
        <f>E40*$C$23*(1+$B$12)^MAX(0,E41-1)</f>
        <v/>
      </c>
      <c r="F42" s="5">
        <f>F40*$C$23*(1+$B$12)^MAX(0,F41-1)</f>
        <v/>
      </c>
      <c r="G42" s="5">
        <f>G40*$C$23*(1+$B$12)^MAX(0,G41-1)</f>
        <v/>
      </c>
      <c r="H42" s="5">
        <f>H40*$C$23*(1+$B$12)^MAX(0,H41-1)</f>
        <v/>
      </c>
      <c r="I42" s="5">
        <f>I40*$C$23*(1+$B$12)^MAX(0,I41-1)</f>
        <v/>
      </c>
      <c r="J42" s="5">
        <f>J40*$C$23*(1+$B$12)^MAX(0,J41-1)</f>
        <v/>
      </c>
      <c r="K42" s="5">
        <f>K40*$C$23*(1+$B$12)^MAX(0,K41-1)</f>
        <v/>
      </c>
      <c r="L42" s="5">
        <f>L40*$C$23*(1+$B$12)^MAX(0,L41-1)</f>
        <v/>
      </c>
    </row>
    <row r="43">
      <c r="A43" t="inlineStr">
        <is>
          <t xml:space="preserve">  Dette restante fin d'année</t>
        </is>
      </c>
      <c r="C43" s="5">
        <f>IF(C40=0,0,IF(C41&gt;=$B$10,0,(($C$23*$D$23)*(1+$B$7)*$B$8)*((1+$B$9)^$B$10-(1+$B$9)^C41)/((1+$B$9)^$B$10-1)))</f>
        <v/>
      </c>
      <c r="D43" s="5">
        <f>IF(D40=0,0,IF(D41&gt;=$B$10,0,(($C$23*$D$23)*(1+$B$7)*$B$8)*((1+$B$9)^$B$10-(1+$B$9)^D41)/((1+$B$9)^$B$10-1)))</f>
        <v/>
      </c>
      <c r="E43" s="5">
        <f>IF(E40=0,0,IF(E41&gt;=$B$10,0,(($C$23*$D$23)*(1+$B$7)*$B$8)*((1+$B$9)^$B$10-(1+$B$9)^E41)/((1+$B$9)^$B$10-1)))</f>
        <v/>
      </c>
      <c r="F43" s="5">
        <f>IF(F40=0,0,IF(F41&gt;=$B$10,0,(($C$23*$D$23)*(1+$B$7)*$B$8)*((1+$B$9)^$B$10-(1+$B$9)^F41)/((1+$B$9)^$B$10-1)))</f>
        <v/>
      </c>
      <c r="G43" s="5">
        <f>IF(G40=0,0,IF(G41&gt;=$B$10,0,(($C$23*$D$23)*(1+$B$7)*$B$8)*((1+$B$9)^$B$10-(1+$B$9)^G41)/((1+$B$9)^$B$10-1)))</f>
        <v/>
      </c>
      <c r="H43" s="5">
        <f>IF(H40=0,0,IF(H41&gt;=$B$10,0,(($C$23*$D$23)*(1+$B$7)*$B$8)*((1+$B$9)^$B$10-(1+$B$9)^H41)/((1+$B$9)^$B$10-1)))</f>
        <v/>
      </c>
      <c r="I43" s="5">
        <f>IF(I40=0,0,IF(I41&gt;=$B$10,0,(($C$23*$D$23)*(1+$B$7)*$B$8)*((1+$B$9)^$B$10-(1+$B$9)^I41)/((1+$B$9)^$B$10-1)))</f>
        <v/>
      </c>
      <c r="J43" s="5">
        <f>IF(J40=0,0,IF(J41&gt;=$B$10,0,(($C$23*$D$23)*(1+$B$7)*$B$8)*((1+$B$9)^$B$10-(1+$B$9)^J41)/((1+$B$9)^$B$10-1)))</f>
        <v/>
      </c>
      <c r="K43" s="5">
        <f>IF(K40=0,0,IF(K41&gt;=$B$10,0,(($C$23*$D$23)*(1+$B$7)*$B$8)*((1+$B$9)^$B$10-(1+$B$9)^K41)/((1+$B$9)^$B$10-1)))</f>
        <v/>
      </c>
      <c r="L43" s="5">
        <f>IF(L40=0,0,IF(L41&gt;=$B$10,0,(($C$23*$D$23)*(1+$B$7)*$B$8)*((1+$B$9)^$B$10-(1+$B$9)^L41)/((1+$B$9)^$B$10-1)))</f>
        <v/>
      </c>
    </row>
    <row r="44">
      <c r="A44" t="inlineStr">
        <is>
          <t xml:space="preserve">  Annuité de dette</t>
        </is>
      </c>
      <c r="B44" s="5">
        <f>SUM(C44:L44)</f>
        <v/>
      </c>
      <c r="C44" s="5">
        <f>IF(AND(C40=1,C41&lt;=$B$10),PMT($B$9,$B$10,-(($C$23*$D$23)*(1+$B$7)*$B$8)),0)</f>
        <v/>
      </c>
      <c r="D44" s="5">
        <f>IF(AND(D40=1,D41&lt;=$B$10),PMT($B$9,$B$10,-(($C$23*$D$23)*(1+$B$7)*$B$8)),0)</f>
        <v/>
      </c>
      <c r="E44" s="5">
        <f>IF(AND(E40=1,E41&lt;=$B$10),PMT($B$9,$B$10,-(($C$23*$D$23)*(1+$B$7)*$B$8)),0)</f>
        <v/>
      </c>
      <c r="F44" s="5">
        <f>IF(AND(F40=1,F41&lt;=$B$10),PMT($B$9,$B$10,-(($C$23*$D$23)*(1+$B$7)*$B$8)),0)</f>
        <v/>
      </c>
      <c r="G44" s="5">
        <f>IF(AND(G40=1,G41&lt;=$B$10),PMT($B$9,$B$10,-(($C$23*$D$23)*(1+$B$7)*$B$8)),0)</f>
        <v/>
      </c>
      <c r="H44" s="5">
        <f>IF(AND(H40=1,H41&lt;=$B$10),PMT($B$9,$B$10,-(($C$23*$D$23)*(1+$B$7)*$B$8)),0)</f>
        <v/>
      </c>
      <c r="I44" s="5">
        <f>IF(AND(I40=1,I41&lt;=$B$10),PMT($B$9,$B$10,-(($C$23*$D$23)*(1+$B$7)*$B$8)),0)</f>
        <v/>
      </c>
      <c r="J44" s="5">
        <f>IF(AND(J40=1,J41&lt;=$B$10),PMT($B$9,$B$10,-(($C$23*$D$23)*(1+$B$7)*$B$8)),0)</f>
        <v/>
      </c>
      <c r="K44" s="5">
        <f>IF(AND(K40=1,K41&lt;=$B$10),PMT($B$9,$B$10,-(($C$23*$D$23)*(1+$B$7)*$B$8)),0)</f>
        <v/>
      </c>
      <c r="L44" s="5">
        <f>IF(AND(L40=1,L41&lt;=$B$10),PMT($B$9,$B$10,-(($C$23*$D$23)*(1+$B$7)*$B$8)),0)</f>
        <v/>
      </c>
    </row>
    <row r="45">
      <c r="A45" t="inlineStr">
        <is>
          <t xml:space="preserve">  dont intérêts</t>
        </is>
      </c>
      <c r="B45" s="5">
        <f>SUM(C45:L45)</f>
        <v/>
      </c>
      <c r="C45" s="5">
        <f>IF(AND(C40=1,C41&lt;=$B$10),(($C$23*$D$23)*(1+$B$7)*$B$8)*((1+$B$9)^$B$10-(1+$B$9)^(C41-1))/((1+$B$9)^$B$10-1)*$B$9,0)</f>
        <v/>
      </c>
      <c r="D45" s="5">
        <f>IF(AND(D40=1,D41&lt;=$B$10),(($C$23*$D$23)*(1+$B$7)*$B$8)*((1+$B$9)^$B$10-(1+$B$9)^(D41-1))/((1+$B$9)^$B$10-1)*$B$9,0)</f>
        <v/>
      </c>
      <c r="E45" s="5">
        <f>IF(AND(E40=1,E41&lt;=$B$10),(($C$23*$D$23)*(1+$B$7)*$B$8)*((1+$B$9)^$B$10-(1+$B$9)^(E41-1))/((1+$B$9)^$B$10-1)*$B$9,0)</f>
        <v/>
      </c>
      <c r="F45" s="5">
        <f>IF(AND(F40=1,F41&lt;=$B$10),(($C$23*$D$23)*(1+$B$7)*$B$8)*((1+$B$9)^$B$10-(1+$B$9)^(F41-1))/((1+$B$9)^$B$10-1)*$B$9,0)</f>
        <v/>
      </c>
      <c r="G45" s="5">
        <f>IF(AND(G40=1,G41&lt;=$B$10),(($C$23*$D$23)*(1+$B$7)*$B$8)*((1+$B$9)^$B$10-(1+$B$9)^(G41-1))/((1+$B$9)^$B$10-1)*$B$9,0)</f>
        <v/>
      </c>
      <c r="H45" s="5">
        <f>IF(AND(H40=1,H41&lt;=$B$10),(($C$23*$D$23)*(1+$B$7)*$B$8)*((1+$B$9)^$B$10-(1+$B$9)^(H41-1))/((1+$B$9)^$B$10-1)*$B$9,0)</f>
        <v/>
      </c>
      <c r="I45" s="5">
        <f>IF(AND(I40=1,I41&lt;=$B$10),(($C$23*$D$23)*(1+$B$7)*$B$8)*((1+$B$9)^$B$10-(1+$B$9)^(I41-1))/((1+$B$9)^$B$10-1)*$B$9,0)</f>
        <v/>
      </c>
      <c r="J45" s="5">
        <f>IF(AND(J40=1,J41&lt;=$B$10),(($C$23*$D$23)*(1+$B$7)*$B$8)*((1+$B$9)^$B$10-(1+$B$9)^(J41-1))/((1+$B$9)^$B$10-1)*$B$9,0)</f>
        <v/>
      </c>
      <c r="K45" s="5">
        <f>IF(AND(K40=1,K41&lt;=$B$10),(($C$23*$D$23)*(1+$B$7)*$B$8)*((1+$B$9)^$B$10-(1+$B$9)^(K41-1))/((1+$B$9)^$B$10-1)*$B$9,0)</f>
        <v/>
      </c>
      <c r="L45" s="5">
        <f>IF(AND(L40=1,L41&lt;=$B$10),(($C$23*$D$23)*(1+$B$7)*$B$8)*((1+$B$9)^$B$10-(1+$B$9)^(L41-1))/((1+$B$9)^$B$10-1)*$B$9,0)</f>
        <v/>
      </c>
    </row>
    <row r="46">
      <c r="A46" t="inlineStr">
        <is>
          <t xml:space="preserve">  Impôt sur les sociétés</t>
        </is>
      </c>
      <c r="B46" s="5">
        <f>SUM(C46:L46)</f>
        <v/>
      </c>
      <c r="C46" s="5">
        <f>MAX(0,C42*(1-$B$11)-C45)*$B$13</f>
        <v/>
      </c>
      <c r="D46" s="5">
        <f>MAX(0,D42*(1-$B$11)-D45)*$B$13</f>
        <v/>
      </c>
      <c r="E46" s="5">
        <f>MAX(0,E42*(1-$B$11)-E45)*$B$13</f>
        <v/>
      </c>
      <c r="F46" s="5">
        <f>MAX(0,F42*(1-$B$11)-F45)*$B$13</f>
        <v/>
      </c>
      <c r="G46" s="5">
        <f>MAX(0,G42*(1-$B$11)-G45)*$B$13</f>
        <v/>
      </c>
      <c r="H46" s="5">
        <f>MAX(0,H42*(1-$B$11)-H45)*$B$13</f>
        <v/>
      </c>
      <c r="I46" s="5">
        <f>MAX(0,I42*(1-$B$11)-I45)*$B$13</f>
        <v/>
      </c>
      <c r="J46" s="5">
        <f>MAX(0,J42*(1-$B$11)-J45)*$B$13</f>
        <v/>
      </c>
      <c r="K46" s="5">
        <f>MAX(0,K42*(1-$B$11)-K45)*$B$13</f>
        <v/>
      </c>
      <c r="L46" s="5">
        <f>MAX(0,L42*(1-$B$11)-L45)*$B$13</f>
        <v/>
      </c>
    </row>
    <row r="47">
      <c r="A47" s="4" t="inlineStr">
        <is>
          <t xml:space="preserve">  Cash-flow remonté à la holding (EBITDA − maintien − IS − annuité)</t>
        </is>
      </c>
      <c r="B47" s="18">
        <f>SUM(C47:L47)</f>
        <v/>
      </c>
      <c r="C47" s="18">
        <f>C42*(1-$B$11)-C46-C44</f>
        <v/>
      </c>
      <c r="D47" s="18">
        <f>D42*(1-$B$11)-D46-D44</f>
        <v/>
      </c>
      <c r="E47" s="18">
        <f>E42*(1-$B$11)-E46-E44</f>
        <v/>
      </c>
      <c r="F47" s="18">
        <f>F42*(1-$B$11)-F46-F44</f>
        <v/>
      </c>
      <c r="G47" s="18">
        <f>G42*(1-$B$11)-G46-G44</f>
        <v/>
      </c>
      <c r="H47" s="18">
        <f>H42*(1-$B$11)-H46-H44</f>
        <v/>
      </c>
      <c r="I47" s="18">
        <f>I42*(1-$B$11)-I46-I44</f>
        <v/>
      </c>
      <c r="J47" s="18">
        <f>J42*(1-$B$11)-J46-J44</f>
        <v/>
      </c>
      <c r="K47" s="18">
        <f>K42*(1-$B$11)-K46-K44</f>
        <v/>
      </c>
      <c r="L47" s="18">
        <f>L42*(1-$B$11)-L46-L44</f>
        <v/>
      </c>
    </row>
    <row r="48">
      <c r="A48" t="inlineStr">
        <is>
          <t xml:space="preserve">  Fonds propres à apporter l'année de la reprise</t>
        </is>
      </c>
      <c r="B48" s="5">
        <f>SUM(C48:L48)</f>
        <v/>
      </c>
      <c r="C48" s="5">
        <f>IF(AND($B$23&gt;0,C$27=$B$23),($C$23*$D$23)*(1+$B$7)-(($C$23*$D$23)*(1+$B$7)*$B$8),0)</f>
        <v/>
      </c>
      <c r="D48" s="5">
        <f>IF(AND($B$23&gt;0,D$27=$B$23),($C$23*$D$23)*(1+$B$7)-(($C$23*$D$23)*(1+$B$7)*$B$8),0)</f>
        <v/>
      </c>
      <c r="E48" s="5">
        <f>IF(AND($B$23&gt;0,E$27=$B$23),($C$23*$D$23)*(1+$B$7)-(($C$23*$D$23)*(1+$B$7)*$B$8),0)</f>
        <v/>
      </c>
      <c r="F48" s="5">
        <f>IF(AND($B$23&gt;0,F$27=$B$23),($C$23*$D$23)*(1+$B$7)-(($C$23*$D$23)*(1+$B$7)*$B$8),0)</f>
        <v/>
      </c>
      <c r="G48" s="5">
        <f>IF(AND($B$23&gt;0,G$27=$B$23),($C$23*$D$23)*(1+$B$7)-(($C$23*$D$23)*(1+$B$7)*$B$8),0)</f>
        <v/>
      </c>
      <c r="H48" s="5">
        <f>IF(AND($B$23&gt;0,H$27=$B$23),($C$23*$D$23)*(1+$B$7)-(($C$23*$D$23)*(1+$B$7)*$B$8),0)</f>
        <v/>
      </c>
      <c r="I48" s="5">
        <f>IF(AND($B$23&gt;0,I$27=$B$23),($C$23*$D$23)*(1+$B$7)-(($C$23*$D$23)*(1+$B$7)*$B$8),0)</f>
        <v/>
      </c>
      <c r="J48" s="5">
        <f>IF(AND($B$23&gt;0,J$27=$B$23),($C$23*$D$23)*(1+$B$7)-(($C$23*$D$23)*(1+$B$7)*$B$8),0)</f>
        <v/>
      </c>
      <c r="K48" s="5">
        <f>IF(AND($B$23&gt;0,K$27=$B$23),($C$23*$D$23)*(1+$B$7)-(($C$23*$D$23)*(1+$B$7)*$B$8),0)</f>
        <v/>
      </c>
      <c r="L48" s="5">
        <f>IF(AND($B$23&gt;0,L$27=$B$23),($C$23*$D$23)*(1+$B$7)-(($C$23*$D$23)*(1+$B$7)*$B$8),0)</f>
        <v/>
      </c>
    </row>
    <row r="49">
      <c r="A49" t="inlineStr">
        <is>
          <t xml:space="preserve">  Valeur nette des titres (VE de sortie − dette restante)</t>
        </is>
      </c>
      <c r="C49" s="5">
        <f>MAX(0,C42*$B$16-C43)</f>
        <v/>
      </c>
      <c r="D49" s="5">
        <f>MAX(0,D42*$B$16-D43)</f>
        <v/>
      </c>
      <c r="E49" s="5">
        <f>MAX(0,E42*$B$16-E43)</f>
        <v/>
      </c>
      <c r="F49" s="5">
        <f>MAX(0,F42*$B$16-F43)</f>
        <v/>
      </c>
      <c r="G49" s="5">
        <f>MAX(0,G42*$B$16-G43)</f>
        <v/>
      </c>
      <c r="H49" s="5">
        <f>MAX(0,H42*$B$16-H43)</f>
        <v/>
      </c>
      <c r="I49" s="5">
        <f>MAX(0,I42*$B$16-I43)</f>
        <v/>
      </c>
      <c r="J49" s="5">
        <f>MAX(0,J42*$B$16-J43)</f>
        <v/>
      </c>
      <c r="K49" s="5">
        <f>MAX(0,K42*$B$16-K43)</f>
        <v/>
      </c>
      <c r="L49" s="5">
        <f>MAX(0,L42*$B$16-L43)</f>
        <v/>
      </c>
    </row>
    <row r="50">
      <c r="A50" s="4" t="inlineStr">
        <is>
          <t>PME 3</t>
        </is>
      </c>
    </row>
    <row r="51">
      <c r="A51" t="inlineStr">
        <is>
          <t xml:space="preserve">  Active (1/0)</t>
        </is>
      </c>
      <c r="C51" s="8">
        <f>IF(AND($B$24&gt;0,C$27&gt;=$B$24),1,0)</f>
        <v/>
      </c>
      <c r="D51" s="8">
        <f>IF(AND($B$24&gt;0,D$27&gt;=$B$24),1,0)</f>
        <v/>
      </c>
      <c r="E51" s="8">
        <f>IF(AND($B$24&gt;0,E$27&gt;=$B$24),1,0)</f>
        <v/>
      </c>
      <c r="F51" s="8">
        <f>IF(AND($B$24&gt;0,F$27&gt;=$B$24),1,0)</f>
        <v/>
      </c>
      <c r="G51" s="8">
        <f>IF(AND($B$24&gt;0,G$27&gt;=$B$24),1,0)</f>
        <v/>
      </c>
      <c r="H51" s="8">
        <f>IF(AND($B$24&gt;0,H$27&gt;=$B$24),1,0)</f>
        <v/>
      </c>
      <c r="I51" s="8">
        <f>IF(AND($B$24&gt;0,I$27&gt;=$B$24),1,0)</f>
        <v/>
      </c>
      <c r="J51" s="8">
        <f>IF(AND($B$24&gt;0,J$27&gt;=$B$24),1,0)</f>
        <v/>
      </c>
      <c r="K51" s="8">
        <f>IF(AND($B$24&gt;0,K$27&gt;=$B$24),1,0)</f>
        <v/>
      </c>
      <c r="L51" s="8">
        <f>IF(AND($B$24&gt;0,L$27&gt;=$B$24),1,0)</f>
        <v/>
      </c>
    </row>
    <row r="52">
      <c r="A52" t="inlineStr">
        <is>
          <t xml:space="preserve">  Rang de l'année de détention</t>
        </is>
      </c>
      <c r="C52" s="8">
        <f>IF(C51=1,C$27-$B$24+1,0)</f>
        <v/>
      </c>
      <c r="D52" s="8">
        <f>IF(D51=1,D$27-$B$24+1,0)</f>
        <v/>
      </c>
      <c r="E52" s="8">
        <f>IF(E51=1,E$27-$B$24+1,0)</f>
        <v/>
      </c>
      <c r="F52" s="8">
        <f>IF(F51=1,F$27-$B$24+1,0)</f>
        <v/>
      </c>
      <c r="G52" s="8">
        <f>IF(G51=1,G$27-$B$24+1,0)</f>
        <v/>
      </c>
      <c r="H52" s="8">
        <f>IF(H51=1,H$27-$B$24+1,0)</f>
        <v/>
      </c>
      <c r="I52" s="8">
        <f>IF(I51=1,I$27-$B$24+1,0)</f>
        <v/>
      </c>
      <c r="J52" s="8">
        <f>IF(J51=1,J$27-$B$24+1,0)</f>
        <v/>
      </c>
      <c r="K52" s="8">
        <f>IF(K51=1,K$27-$B$24+1,0)</f>
        <v/>
      </c>
      <c r="L52" s="8">
        <f>IF(L51=1,L$27-$B$24+1,0)</f>
        <v/>
      </c>
    </row>
    <row r="53">
      <c r="A53" t="inlineStr">
        <is>
          <t xml:space="preserve">  EBITDA</t>
        </is>
      </c>
      <c r="B53" s="5">
        <f>SUM(C53:L53)</f>
        <v/>
      </c>
      <c r="C53" s="5">
        <f>C51*$C$24*(1+$B$12)^MAX(0,C52-1)</f>
        <v/>
      </c>
      <c r="D53" s="5">
        <f>D51*$C$24*(1+$B$12)^MAX(0,D52-1)</f>
        <v/>
      </c>
      <c r="E53" s="5">
        <f>E51*$C$24*(1+$B$12)^MAX(0,E52-1)</f>
        <v/>
      </c>
      <c r="F53" s="5">
        <f>F51*$C$24*(1+$B$12)^MAX(0,F52-1)</f>
        <v/>
      </c>
      <c r="G53" s="5">
        <f>G51*$C$24*(1+$B$12)^MAX(0,G52-1)</f>
        <v/>
      </c>
      <c r="H53" s="5">
        <f>H51*$C$24*(1+$B$12)^MAX(0,H52-1)</f>
        <v/>
      </c>
      <c r="I53" s="5">
        <f>I51*$C$24*(1+$B$12)^MAX(0,I52-1)</f>
        <v/>
      </c>
      <c r="J53" s="5">
        <f>J51*$C$24*(1+$B$12)^MAX(0,J52-1)</f>
        <v/>
      </c>
      <c r="K53" s="5">
        <f>K51*$C$24*(1+$B$12)^MAX(0,K52-1)</f>
        <v/>
      </c>
      <c r="L53" s="5">
        <f>L51*$C$24*(1+$B$12)^MAX(0,L52-1)</f>
        <v/>
      </c>
    </row>
    <row r="54">
      <c r="A54" t="inlineStr">
        <is>
          <t xml:space="preserve">  Dette restante fin d'année</t>
        </is>
      </c>
      <c r="C54" s="5">
        <f>IF(C51=0,0,IF(C52&gt;=$B$10,0,(($C$24*$D$24)*(1+$B$7)*$B$8)*((1+$B$9)^$B$10-(1+$B$9)^C52)/((1+$B$9)^$B$10-1)))</f>
        <v/>
      </c>
      <c r="D54" s="5">
        <f>IF(D51=0,0,IF(D52&gt;=$B$10,0,(($C$24*$D$24)*(1+$B$7)*$B$8)*((1+$B$9)^$B$10-(1+$B$9)^D52)/((1+$B$9)^$B$10-1)))</f>
        <v/>
      </c>
      <c r="E54" s="5">
        <f>IF(E51=0,0,IF(E52&gt;=$B$10,0,(($C$24*$D$24)*(1+$B$7)*$B$8)*((1+$B$9)^$B$10-(1+$B$9)^E52)/((1+$B$9)^$B$10-1)))</f>
        <v/>
      </c>
      <c r="F54" s="5">
        <f>IF(F51=0,0,IF(F52&gt;=$B$10,0,(($C$24*$D$24)*(1+$B$7)*$B$8)*((1+$B$9)^$B$10-(1+$B$9)^F52)/((1+$B$9)^$B$10-1)))</f>
        <v/>
      </c>
      <c r="G54" s="5">
        <f>IF(G51=0,0,IF(G52&gt;=$B$10,0,(($C$24*$D$24)*(1+$B$7)*$B$8)*((1+$B$9)^$B$10-(1+$B$9)^G52)/((1+$B$9)^$B$10-1)))</f>
        <v/>
      </c>
      <c r="H54" s="5">
        <f>IF(H51=0,0,IF(H52&gt;=$B$10,0,(($C$24*$D$24)*(1+$B$7)*$B$8)*((1+$B$9)^$B$10-(1+$B$9)^H52)/((1+$B$9)^$B$10-1)))</f>
        <v/>
      </c>
      <c r="I54" s="5">
        <f>IF(I51=0,0,IF(I52&gt;=$B$10,0,(($C$24*$D$24)*(1+$B$7)*$B$8)*((1+$B$9)^$B$10-(1+$B$9)^I52)/((1+$B$9)^$B$10-1)))</f>
        <v/>
      </c>
      <c r="J54" s="5">
        <f>IF(J51=0,0,IF(J52&gt;=$B$10,0,(($C$24*$D$24)*(1+$B$7)*$B$8)*((1+$B$9)^$B$10-(1+$B$9)^J52)/((1+$B$9)^$B$10-1)))</f>
        <v/>
      </c>
      <c r="K54" s="5">
        <f>IF(K51=0,0,IF(K52&gt;=$B$10,0,(($C$24*$D$24)*(1+$B$7)*$B$8)*((1+$B$9)^$B$10-(1+$B$9)^K52)/((1+$B$9)^$B$10-1)))</f>
        <v/>
      </c>
      <c r="L54" s="5">
        <f>IF(L51=0,0,IF(L52&gt;=$B$10,0,(($C$24*$D$24)*(1+$B$7)*$B$8)*((1+$B$9)^$B$10-(1+$B$9)^L52)/((1+$B$9)^$B$10-1)))</f>
        <v/>
      </c>
    </row>
    <row r="55">
      <c r="A55" t="inlineStr">
        <is>
          <t xml:space="preserve">  Annuité de dette</t>
        </is>
      </c>
      <c r="B55" s="5">
        <f>SUM(C55:L55)</f>
        <v/>
      </c>
      <c r="C55" s="5">
        <f>IF(AND(C51=1,C52&lt;=$B$10),PMT($B$9,$B$10,-(($C$24*$D$24)*(1+$B$7)*$B$8)),0)</f>
        <v/>
      </c>
      <c r="D55" s="5">
        <f>IF(AND(D51=1,D52&lt;=$B$10),PMT($B$9,$B$10,-(($C$24*$D$24)*(1+$B$7)*$B$8)),0)</f>
        <v/>
      </c>
      <c r="E55" s="5">
        <f>IF(AND(E51=1,E52&lt;=$B$10),PMT($B$9,$B$10,-(($C$24*$D$24)*(1+$B$7)*$B$8)),0)</f>
        <v/>
      </c>
      <c r="F55" s="5">
        <f>IF(AND(F51=1,F52&lt;=$B$10),PMT($B$9,$B$10,-(($C$24*$D$24)*(1+$B$7)*$B$8)),0)</f>
        <v/>
      </c>
      <c r="G55" s="5">
        <f>IF(AND(G51=1,G52&lt;=$B$10),PMT($B$9,$B$10,-(($C$24*$D$24)*(1+$B$7)*$B$8)),0)</f>
        <v/>
      </c>
      <c r="H55" s="5">
        <f>IF(AND(H51=1,H52&lt;=$B$10),PMT($B$9,$B$10,-(($C$24*$D$24)*(1+$B$7)*$B$8)),0)</f>
        <v/>
      </c>
      <c r="I55" s="5">
        <f>IF(AND(I51=1,I52&lt;=$B$10),PMT($B$9,$B$10,-(($C$24*$D$24)*(1+$B$7)*$B$8)),0)</f>
        <v/>
      </c>
      <c r="J55" s="5">
        <f>IF(AND(J51=1,J52&lt;=$B$10),PMT($B$9,$B$10,-(($C$24*$D$24)*(1+$B$7)*$B$8)),0)</f>
        <v/>
      </c>
      <c r="K55" s="5">
        <f>IF(AND(K51=1,K52&lt;=$B$10),PMT($B$9,$B$10,-(($C$24*$D$24)*(1+$B$7)*$B$8)),0)</f>
        <v/>
      </c>
      <c r="L55" s="5">
        <f>IF(AND(L51=1,L52&lt;=$B$10),PMT($B$9,$B$10,-(($C$24*$D$24)*(1+$B$7)*$B$8)),0)</f>
        <v/>
      </c>
    </row>
    <row r="56">
      <c r="A56" t="inlineStr">
        <is>
          <t xml:space="preserve">  dont intérêts</t>
        </is>
      </c>
      <c r="B56" s="5">
        <f>SUM(C56:L56)</f>
        <v/>
      </c>
      <c r="C56" s="5">
        <f>IF(AND(C51=1,C52&lt;=$B$10),(($C$24*$D$24)*(1+$B$7)*$B$8)*((1+$B$9)^$B$10-(1+$B$9)^(C52-1))/((1+$B$9)^$B$10-1)*$B$9,0)</f>
        <v/>
      </c>
      <c r="D56" s="5">
        <f>IF(AND(D51=1,D52&lt;=$B$10),(($C$24*$D$24)*(1+$B$7)*$B$8)*((1+$B$9)^$B$10-(1+$B$9)^(D52-1))/((1+$B$9)^$B$10-1)*$B$9,0)</f>
        <v/>
      </c>
      <c r="E56" s="5">
        <f>IF(AND(E51=1,E52&lt;=$B$10),(($C$24*$D$24)*(1+$B$7)*$B$8)*((1+$B$9)^$B$10-(1+$B$9)^(E52-1))/((1+$B$9)^$B$10-1)*$B$9,0)</f>
        <v/>
      </c>
      <c r="F56" s="5">
        <f>IF(AND(F51=1,F52&lt;=$B$10),(($C$24*$D$24)*(1+$B$7)*$B$8)*((1+$B$9)^$B$10-(1+$B$9)^(F52-1))/((1+$B$9)^$B$10-1)*$B$9,0)</f>
        <v/>
      </c>
      <c r="G56" s="5">
        <f>IF(AND(G51=1,G52&lt;=$B$10),(($C$24*$D$24)*(1+$B$7)*$B$8)*((1+$B$9)^$B$10-(1+$B$9)^(G52-1))/((1+$B$9)^$B$10-1)*$B$9,0)</f>
        <v/>
      </c>
      <c r="H56" s="5">
        <f>IF(AND(H51=1,H52&lt;=$B$10),(($C$24*$D$24)*(1+$B$7)*$B$8)*((1+$B$9)^$B$10-(1+$B$9)^(H52-1))/((1+$B$9)^$B$10-1)*$B$9,0)</f>
        <v/>
      </c>
      <c r="I56" s="5">
        <f>IF(AND(I51=1,I52&lt;=$B$10),(($C$24*$D$24)*(1+$B$7)*$B$8)*((1+$B$9)^$B$10-(1+$B$9)^(I52-1))/((1+$B$9)^$B$10-1)*$B$9,0)</f>
        <v/>
      </c>
      <c r="J56" s="5">
        <f>IF(AND(J51=1,J52&lt;=$B$10),(($C$24*$D$24)*(1+$B$7)*$B$8)*((1+$B$9)^$B$10-(1+$B$9)^(J52-1))/((1+$B$9)^$B$10-1)*$B$9,0)</f>
        <v/>
      </c>
      <c r="K56" s="5">
        <f>IF(AND(K51=1,K52&lt;=$B$10),(($C$24*$D$24)*(1+$B$7)*$B$8)*((1+$B$9)^$B$10-(1+$B$9)^(K52-1))/((1+$B$9)^$B$10-1)*$B$9,0)</f>
        <v/>
      </c>
      <c r="L56" s="5">
        <f>IF(AND(L51=1,L52&lt;=$B$10),(($C$24*$D$24)*(1+$B$7)*$B$8)*((1+$B$9)^$B$10-(1+$B$9)^(L52-1))/((1+$B$9)^$B$10-1)*$B$9,0)</f>
        <v/>
      </c>
    </row>
    <row r="57">
      <c r="A57" t="inlineStr">
        <is>
          <t xml:space="preserve">  Impôt sur les sociétés</t>
        </is>
      </c>
      <c r="B57" s="5">
        <f>SUM(C57:L57)</f>
        <v/>
      </c>
      <c r="C57" s="5">
        <f>MAX(0,C53*(1-$B$11)-C56)*$B$13</f>
        <v/>
      </c>
      <c r="D57" s="5">
        <f>MAX(0,D53*(1-$B$11)-D56)*$B$13</f>
        <v/>
      </c>
      <c r="E57" s="5">
        <f>MAX(0,E53*(1-$B$11)-E56)*$B$13</f>
        <v/>
      </c>
      <c r="F57" s="5">
        <f>MAX(0,F53*(1-$B$11)-F56)*$B$13</f>
        <v/>
      </c>
      <c r="G57" s="5">
        <f>MAX(0,G53*(1-$B$11)-G56)*$B$13</f>
        <v/>
      </c>
      <c r="H57" s="5">
        <f>MAX(0,H53*(1-$B$11)-H56)*$B$13</f>
        <v/>
      </c>
      <c r="I57" s="5">
        <f>MAX(0,I53*(1-$B$11)-I56)*$B$13</f>
        <v/>
      </c>
      <c r="J57" s="5">
        <f>MAX(0,J53*(1-$B$11)-J56)*$B$13</f>
        <v/>
      </c>
      <c r="K57" s="5">
        <f>MAX(0,K53*(1-$B$11)-K56)*$B$13</f>
        <v/>
      </c>
      <c r="L57" s="5">
        <f>MAX(0,L53*(1-$B$11)-L56)*$B$13</f>
        <v/>
      </c>
    </row>
    <row r="58">
      <c r="A58" s="4" t="inlineStr">
        <is>
          <t xml:space="preserve">  Cash-flow remonté à la holding (EBITDA − maintien − IS − annuité)</t>
        </is>
      </c>
      <c r="B58" s="18">
        <f>SUM(C58:L58)</f>
        <v/>
      </c>
      <c r="C58" s="18">
        <f>C53*(1-$B$11)-C57-C55</f>
        <v/>
      </c>
      <c r="D58" s="18">
        <f>D53*(1-$B$11)-D57-D55</f>
        <v/>
      </c>
      <c r="E58" s="18">
        <f>E53*(1-$B$11)-E57-E55</f>
        <v/>
      </c>
      <c r="F58" s="18">
        <f>F53*(1-$B$11)-F57-F55</f>
        <v/>
      </c>
      <c r="G58" s="18">
        <f>G53*(1-$B$11)-G57-G55</f>
        <v/>
      </c>
      <c r="H58" s="18">
        <f>H53*(1-$B$11)-H57-H55</f>
        <v/>
      </c>
      <c r="I58" s="18">
        <f>I53*(1-$B$11)-I57-I55</f>
        <v/>
      </c>
      <c r="J58" s="18">
        <f>J53*(1-$B$11)-J57-J55</f>
        <v/>
      </c>
      <c r="K58" s="18">
        <f>K53*(1-$B$11)-K57-K55</f>
        <v/>
      </c>
      <c r="L58" s="18">
        <f>L53*(1-$B$11)-L57-L55</f>
        <v/>
      </c>
    </row>
    <row r="59">
      <c r="A59" t="inlineStr">
        <is>
          <t xml:space="preserve">  Fonds propres à apporter l'année de la reprise</t>
        </is>
      </c>
      <c r="B59" s="5">
        <f>SUM(C59:L59)</f>
        <v/>
      </c>
      <c r="C59" s="5">
        <f>IF(AND($B$24&gt;0,C$27=$B$24),($C$24*$D$24)*(1+$B$7)-(($C$24*$D$24)*(1+$B$7)*$B$8),0)</f>
        <v/>
      </c>
      <c r="D59" s="5">
        <f>IF(AND($B$24&gt;0,D$27=$B$24),($C$24*$D$24)*(1+$B$7)-(($C$24*$D$24)*(1+$B$7)*$B$8),0)</f>
        <v/>
      </c>
      <c r="E59" s="5">
        <f>IF(AND($B$24&gt;0,E$27=$B$24),($C$24*$D$24)*(1+$B$7)-(($C$24*$D$24)*(1+$B$7)*$B$8),0)</f>
        <v/>
      </c>
      <c r="F59" s="5">
        <f>IF(AND($B$24&gt;0,F$27=$B$24),($C$24*$D$24)*(1+$B$7)-(($C$24*$D$24)*(1+$B$7)*$B$8),0)</f>
        <v/>
      </c>
      <c r="G59" s="5">
        <f>IF(AND($B$24&gt;0,G$27=$B$24),($C$24*$D$24)*(1+$B$7)-(($C$24*$D$24)*(1+$B$7)*$B$8),0)</f>
        <v/>
      </c>
      <c r="H59" s="5">
        <f>IF(AND($B$24&gt;0,H$27=$B$24),($C$24*$D$24)*(1+$B$7)-(($C$24*$D$24)*(1+$B$7)*$B$8),0)</f>
        <v/>
      </c>
      <c r="I59" s="5">
        <f>IF(AND($B$24&gt;0,I$27=$B$24),($C$24*$D$24)*(1+$B$7)-(($C$24*$D$24)*(1+$B$7)*$B$8),0)</f>
        <v/>
      </c>
      <c r="J59" s="5">
        <f>IF(AND($B$24&gt;0,J$27=$B$24),($C$24*$D$24)*(1+$B$7)-(($C$24*$D$24)*(1+$B$7)*$B$8),0)</f>
        <v/>
      </c>
      <c r="K59" s="5">
        <f>IF(AND($B$24&gt;0,K$27=$B$24),($C$24*$D$24)*(1+$B$7)-(($C$24*$D$24)*(1+$B$7)*$B$8),0)</f>
        <v/>
      </c>
      <c r="L59" s="5">
        <f>IF(AND($B$24&gt;0,L$27=$B$24),($C$24*$D$24)*(1+$B$7)-(($C$24*$D$24)*(1+$B$7)*$B$8),0)</f>
        <v/>
      </c>
    </row>
    <row r="60">
      <c r="A60" t="inlineStr">
        <is>
          <t xml:space="preserve">  Valeur nette des titres (VE de sortie − dette restante)</t>
        </is>
      </c>
      <c r="C60" s="5">
        <f>MAX(0,C53*$B$16-C54)</f>
        <v/>
      </c>
      <c r="D60" s="5">
        <f>MAX(0,D53*$B$16-D54)</f>
        <v/>
      </c>
      <c r="E60" s="5">
        <f>MAX(0,E53*$B$16-E54)</f>
        <v/>
      </c>
      <c r="F60" s="5">
        <f>MAX(0,F53*$B$16-F54)</f>
        <v/>
      </c>
      <c r="G60" s="5">
        <f>MAX(0,G53*$B$16-G54)</f>
        <v/>
      </c>
      <c r="H60" s="5">
        <f>MAX(0,H53*$B$16-H54)</f>
        <v/>
      </c>
      <c r="I60" s="5">
        <f>MAX(0,I53*$B$16-I54)</f>
        <v/>
      </c>
      <c r="J60" s="5">
        <f>MAX(0,J53*$B$16-J54)</f>
        <v/>
      </c>
      <c r="K60" s="5">
        <f>MAX(0,K53*$B$16-K54)</f>
        <v/>
      </c>
      <c r="L60" s="5">
        <f>MAX(0,L53*$B$16-L54)</f>
        <v/>
      </c>
    </row>
    <row r="62">
      <c r="A62" s="4" t="inlineStr">
        <is>
          <t>Holding</t>
        </is>
      </c>
    </row>
    <row r="63">
      <c r="A63" s="4" t="inlineStr">
        <is>
          <t>Flux net de la holding</t>
        </is>
      </c>
      <c r="B63" s="18">
        <f>SUM(C63:L63)</f>
        <v/>
      </c>
      <c r="C63" s="18">
        <f>IF(C$27=1,$B$5+$B$6,0)-IF(AND(C$27&gt;=1,C$27&lt;=5),$B$6/5,0)-$B$14-$B$15+C36+C47+C58-(C37+C48+C59)</f>
        <v/>
      </c>
      <c r="D63" s="18">
        <f>IF(D$27=1,$B$5+$B$6,0)-IF(AND(D$27&gt;=1,D$27&lt;=5),$B$6/5,0)-$B$14-$B$15+D36+D47+D58-(D37+D48+D59)</f>
        <v/>
      </c>
      <c r="E63" s="18">
        <f>IF(E$27=1,$B$5+$B$6,0)-IF(AND(E$27&gt;=1,E$27&lt;=5),$B$6/5,0)-$B$14-$B$15+E36+E47+E58-(E37+E48+E59)</f>
        <v/>
      </c>
      <c r="F63" s="18">
        <f>IF(F$27=1,$B$5+$B$6,0)-IF(AND(F$27&gt;=1,F$27&lt;=5),$B$6/5,0)-$B$14-$B$15+F36+F47+F58-(F37+F48+F59)</f>
        <v/>
      </c>
      <c r="G63" s="18">
        <f>IF(G$27=1,$B$5+$B$6,0)-IF(AND(G$27&gt;=1,G$27&lt;=5),$B$6/5,0)-$B$14-$B$15+G36+G47+G58-(G37+G48+G59)</f>
        <v/>
      </c>
      <c r="H63" s="18">
        <f>IF(H$27=1,$B$5+$B$6,0)-IF(AND(H$27&gt;=1,H$27&lt;=5),$B$6/5,0)-$B$14-$B$15+H36+H47+H58-(H37+H48+H59)</f>
        <v/>
      </c>
      <c r="I63" s="18">
        <f>IF(I$27=1,$B$5+$B$6,0)-IF(AND(I$27&gt;=1,I$27&lt;=5),$B$6/5,0)-$B$14-$B$15+I36+I47+I58-(I37+I48+I59)</f>
        <v/>
      </c>
      <c r="J63" s="18">
        <f>IF(J$27=1,$B$5+$B$6,0)-IF(AND(J$27&gt;=1,J$27&lt;=5),$B$6/5,0)-$B$14-$B$15+J36+J47+J58-(J37+J48+J59)</f>
        <v/>
      </c>
      <c r="K63" s="18">
        <f>IF(K$27=1,$B$5+$B$6,0)-IF(AND(K$27&gt;=1,K$27&lt;=5),$B$6/5,0)-$B$14-$B$15+K36+K47+K58-(K37+K48+K59)</f>
        <v/>
      </c>
      <c r="L63" s="18">
        <f>IF(L$27=1,$B$5+$B$6,0)-IF(AND(L$27&gt;=1,L$27&lt;=5),$B$6/5,0)-$B$14-$B$15+L36+L47+L58-(L37+L48+L59)</f>
        <v/>
      </c>
    </row>
    <row r="64">
      <c r="A64" s="4" t="inlineStr">
        <is>
          <t>Trésorerie de la holding fin d'année</t>
        </is>
      </c>
      <c r="C64" s="18">
        <f>C63</f>
        <v/>
      </c>
      <c r="D64" s="18">
        <f>C64+D63</f>
        <v/>
      </c>
      <c r="E64" s="18">
        <f>D64+E63</f>
        <v/>
      </c>
      <c r="F64" s="18">
        <f>E64+F63</f>
        <v/>
      </c>
      <c r="G64" s="18">
        <f>F64+G63</f>
        <v/>
      </c>
      <c r="H64" s="18">
        <f>G64+H63</f>
        <v/>
      </c>
      <c r="I64" s="18">
        <f>H64+I63</f>
        <v/>
      </c>
      <c r="J64" s="18">
        <f>I64+J63</f>
        <v/>
      </c>
      <c r="K64" s="18">
        <f>J64+K63</f>
        <v/>
      </c>
      <c r="L64" s="18">
        <f>K64+L63</f>
        <v/>
      </c>
    </row>
    <row r="65">
      <c r="A65" t="inlineStr">
        <is>
          <t>Valeur nette des participations (si revente)</t>
        </is>
      </c>
      <c r="C65" s="5">
        <f>C38+C49+C60</f>
        <v/>
      </c>
      <c r="D65" s="5">
        <f>D38+D49+D60</f>
        <v/>
      </c>
      <c r="E65" s="5">
        <f>E38+E49+E60</f>
        <v/>
      </c>
      <c r="F65" s="5">
        <f>F38+F49+F60</f>
        <v/>
      </c>
      <c r="G65" s="5">
        <f>G38+G49+G60</f>
        <v/>
      </c>
      <c r="H65" s="5">
        <f>H38+H49+H60</f>
        <v/>
      </c>
      <c r="I65" s="5">
        <f>I38+I49+I60</f>
        <v/>
      </c>
      <c r="J65" s="5">
        <f>J38+J49+J60</f>
        <v/>
      </c>
      <c r="K65" s="5">
        <f>K38+K49+K60</f>
        <v/>
      </c>
      <c r="L65" s="5">
        <f>L38+L49+L60</f>
        <v/>
      </c>
    </row>
    <row r="66">
      <c r="A66" s="4" t="inlineStr">
        <is>
          <t>Capacité d'apport si revente des PME (trésorerie + valeur nette)</t>
        </is>
      </c>
      <c r="C66" s="18">
        <f>C64+C65</f>
        <v/>
      </c>
      <c r="D66" s="18">
        <f>D64+D65</f>
        <v/>
      </c>
      <c r="E66" s="18">
        <f>E64+E65</f>
        <v/>
      </c>
      <c r="F66" s="18">
        <f>F64+F65</f>
        <v/>
      </c>
      <c r="G66" s="18">
        <f>G64+G65</f>
        <v/>
      </c>
      <c r="H66" s="18">
        <f>H64+H65</f>
        <v/>
      </c>
      <c r="I66" s="18">
        <f>I64+I65</f>
        <v/>
      </c>
      <c r="J66" s="18">
        <f>J64+J65</f>
        <v/>
      </c>
      <c r="K66" s="18">
        <f>K64+K65</f>
        <v/>
      </c>
      <c r="L66" s="18">
        <f>L64+L65</f>
        <v/>
      </c>
    </row>
    <row r="68">
      <c r="A68" s="10" t="inlineStr">
        <is>
          <t>4. Indicateurs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t="inlineStr">
        <is>
          <t>Trésorerie minimale de la holding (négative = apport manquant)</t>
        </is>
      </c>
      <c r="B69" s="18">
        <f>MIN(C64:L64)</f>
        <v/>
      </c>
    </row>
    <row r="70">
      <c r="A70" t="inlineStr">
        <is>
          <t>Trésorerie disponible l'année cible (sans revendre les PME)</t>
        </is>
      </c>
      <c r="B70" s="18">
        <f>INDEX(C64:L64,$B$17)</f>
        <v/>
      </c>
    </row>
    <row r="71">
      <c r="A71" t="inlineStr">
        <is>
          <t>Capacité d'apport l'année cible en revendant toutes les PME</t>
        </is>
      </c>
      <c r="B71" s="18">
        <f>INDEX(C66:L66,$B$17)</f>
        <v/>
      </c>
    </row>
    <row r="72">
      <c r="A72" t="inlineStr">
        <is>
          <t>Fonds propres nécessaires pour le château (scénario C)</t>
        </is>
      </c>
      <c r="B72" s="18">
        <f>$B$18</f>
        <v/>
      </c>
    </row>
    <row r="73">
      <c r="A73" t="inlineStr">
        <is>
          <t>Couverture du besoin sans revente</t>
        </is>
      </c>
      <c r="B73" s="14">
        <f>IF($B$18=0,"n/a",INDEX(C64:L64,$B$17)/$B$18)</f>
        <v/>
      </c>
    </row>
    <row r="74">
      <c r="A74" t="inlineStr">
        <is>
          <t>Couverture du besoin avec revente</t>
        </is>
      </c>
      <c r="B74" s="14">
        <f>IF($B$18=0,"n/a",INDEX(C66:L66,$B$17)/$B$18)</f>
        <v/>
      </c>
    </row>
    <row r="75">
      <c r="A75" t="inlineStr">
        <is>
          <t>Année où la trésorerie (sans revente) atteint le besoin</t>
        </is>
      </c>
      <c r="B75" s="20">
        <f>IFERROR(MATCH(TRUE,INDEX(C64:L64&gt;=$B$18,0),0),"pas avant l'an 10")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Moteur de capital H3 — trajectoire ambitieuse : apport 1 M€, trois reprises (2027, 2029, 2030)</t>
        </is>
      </c>
    </row>
    <row r="2">
      <c r="A2" s="9" t="inlineStr">
        <is>
          <t>Cellules jaunes = hypothèses éditables. Année 1 = 2027. Tout le reste est calculé. EBITDA des PME supposé APRÈS rémunération de marché d'un dirigeant opérationnel.</t>
        </is>
      </c>
    </row>
    <row r="4">
      <c r="A4" s="10" t="inlineStr">
        <is>
          <t>1. Hypothèses générales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t="inlineStr">
        <is>
          <t>Apport initial du fondateur dans la holding (année 1)</t>
        </is>
      </c>
      <c r="B5" s="12" t="n">
        <v>1000000</v>
      </c>
      <c r="C5" t="inlineStr">
        <is>
          <t>€</t>
        </is>
      </c>
      <c r="D5" t="inlineStr">
        <is>
          <t>Scénario d'apport S3</t>
        </is>
      </c>
    </row>
    <row r="6">
      <c r="A6" t="inlineStr">
        <is>
          <t>Prêts d'honneur (à rembourser sur 5 ans, 0 %)</t>
        </is>
      </c>
      <c r="B6" s="12" t="n">
        <v>80000</v>
      </c>
      <c r="C6" t="inlineStr">
        <is>
          <t>€</t>
        </is>
      </c>
      <c r="D6" t="inlineStr">
        <is>
          <t>PL : prêts d'honneur 1 000-80 000 € [A2]</t>
        </is>
      </c>
    </row>
    <row r="7">
      <c r="A7" t="inlineStr">
        <is>
          <t>Frais d'acquisition d'une PME (% de la valeur)</t>
        </is>
      </c>
      <c r="B7" s="13" t="n">
        <v>0.05</v>
      </c>
      <c r="C7" t="inlineStr">
        <is>
          <t>%</t>
        </is>
      </c>
      <c r="D7" t="inlineStr">
        <is>
          <t>EST</t>
        </is>
      </c>
    </row>
    <row r="8">
      <c r="A8" t="inlineStr">
        <is>
          <t>Part financée par dette senior (% du prix + frais)</t>
        </is>
      </c>
      <c r="B8" s="13" t="n">
        <v>0.7</v>
      </c>
      <c r="C8" t="inlineStr">
        <is>
          <t>%</t>
        </is>
      </c>
      <c r="D8" t="inlineStr">
        <is>
          <t>PL : critère CRA — prêt ≤ 70 % du prix, ≤ 7 ans [A2]</t>
        </is>
      </c>
    </row>
    <row r="9">
      <c r="A9" t="inlineStr">
        <is>
          <t>Taux de la dette LBO</t>
        </is>
      </c>
      <c r="B9" s="13" t="n">
        <v>0.045</v>
      </c>
      <c r="C9" t="inlineStr">
        <is>
          <t>%</t>
        </is>
      </c>
      <c r="D9" t="inlineStr">
        <is>
          <t>EST : crédits aux PME 3,64 % (PL) + prime LBO</t>
        </is>
      </c>
    </row>
    <row r="10">
      <c r="A10" t="inlineStr">
        <is>
          <t>Durée de la dette LBO</t>
        </is>
      </c>
      <c r="B10" s="12" t="n">
        <v>7</v>
      </c>
      <c r="C10" t="inlineStr">
        <is>
          <t>ans</t>
        </is>
      </c>
      <c r="D10" t="inlineStr">
        <is>
          <t>PL : CRA [A2]</t>
        </is>
      </c>
    </row>
    <row r="11">
      <c r="A11" t="inlineStr">
        <is>
          <t>Investissements de maintien (% de l'EBITDA)</t>
        </is>
      </c>
      <c r="B11" s="13" t="n">
        <v>0.1</v>
      </c>
      <c r="C11" t="inlineStr">
        <is>
          <t>%</t>
        </is>
      </c>
      <c r="D11" t="inlineStr">
        <is>
          <t>EST</t>
        </is>
      </c>
    </row>
    <row r="12">
      <c r="A12" t="inlineStr">
        <is>
          <t>Croissance annuelle de l'EBITDA</t>
        </is>
      </c>
      <c r="B12" s="13" t="n">
        <v>0.02</v>
      </c>
      <c r="C12" t="inlineStr">
        <is>
          <t>%</t>
        </is>
      </c>
      <c r="D12" t="inlineStr">
        <is>
          <t>EST</t>
        </is>
      </c>
    </row>
    <row r="13">
      <c r="A13" t="inlineStr">
        <is>
          <t>Taux d'IS de la PME</t>
        </is>
      </c>
      <c r="B13" s="13" t="n">
        <v>0.25</v>
      </c>
      <c r="C13" t="inlineStr">
        <is>
          <t>%</t>
        </is>
      </c>
      <c r="D13" t="inlineStr">
        <is>
          <t>PL [A6] (taux réduit ignoré : prudent)</t>
        </is>
      </c>
    </row>
    <row r="14">
      <c r="A14" t="inlineStr">
        <is>
          <t>Frais annuels de la holding (comptable, juridique)</t>
        </is>
      </c>
      <c r="B14" s="12" t="n">
        <v>15000</v>
      </c>
      <c r="C14" t="inlineStr">
        <is>
          <t>€</t>
        </is>
      </c>
      <c r="D14" t="inlineStr">
        <is>
          <t>EST</t>
        </is>
      </c>
    </row>
    <row r="15">
      <c r="A15" t="inlineStr">
        <is>
          <t>Rémunération du fondateur versée par la holding (chargée)</t>
        </is>
      </c>
      <c r="B15" s="12" t="n">
        <v>0</v>
      </c>
      <c r="C15" t="inlineStr">
        <is>
          <t>€</t>
        </is>
      </c>
      <c r="D15" t="inlineStr">
        <is>
          <t>Le fondateur est rémunéré comme dirigeant de la PME (déjà dans l'EBITDA)</t>
        </is>
      </c>
    </row>
    <row r="16">
      <c r="A16" t="inlineStr">
        <is>
          <t>Multiple de valorisation à la revente (VE/EBITDA)</t>
        </is>
      </c>
      <c r="B16" s="21" t="n">
        <v>4.5</v>
      </c>
      <c r="C16" t="inlineStr">
        <is>
          <t>x</t>
        </is>
      </c>
      <c r="D16" t="inlineStr">
        <is>
          <t>EST non sourcé : multiple prudent pour une PME (à valider par un expert en transmission)</t>
        </is>
      </c>
    </row>
    <row r="17">
      <c r="A17" t="inlineStr">
        <is>
          <t>Année où l'on mesure la capacité d'apport (5 = 2031)</t>
        </is>
      </c>
      <c r="B17" s="12" t="n">
        <v>5</v>
      </c>
      <c r="C17" t="inlineStr">
        <is>
          <t>année</t>
        </is>
      </c>
      <c r="D17" t="inlineStr">
        <is>
          <t>2031</t>
        </is>
      </c>
    </row>
    <row r="18">
      <c r="A18" t="inlineStr">
        <is>
          <t>Fonds propres nécessaires pour le château (scénario C)</t>
        </is>
      </c>
      <c r="B18" s="12" t="n">
        <v>3400000</v>
      </c>
      <c r="C18" t="inlineStr">
        <is>
          <t>€</t>
        </is>
      </c>
      <c r="D18" t="inlineStr">
        <is>
          <t>Fonds propres du scénario C central (feuille C_central)</t>
        </is>
      </c>
    </row>
    <row r="20">
      <c r="A20" s="10" t="inlineStr">
        <is>
          <t>2. Reprises de PME (année d'acquisition 0 = pas de reprise)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4" t="inlineStr">
        <is>
          <t>Reprise</t>
        </is>
      </c>
      <c r="B21" s="4" t="inlineStr">
        <is>
          <t>Année</t>
        </is>
      </c>
      <c r="C21" s="4" t="inlineStr">
        <is>
          <t>EBITDA (€)</t>
        </is>
      </c>
      <c r="D21" s="4" t="inlineStr">
        <is>
          <t>Multiple VE/EBITDA</t>
        </is>
      </c>
      <c r="G21" s="4" t="inlineStr">
        <is>
          <t>Source / statut</t>
        </is>
      </c>
    </row>
    <row r="22">
      <c r="A22" t="inlineStr">
        <is>
          <t>Reprise 1</t>
        </is>
      </c>
      <c r="B22" s="22" t="n">
        <v>1</v>
      </c>
      <c r="C22" s="12" t="n">
        <v>450000</v>
      </c>
      <c r="D22" s="21" t="n">
        <v>4.5</v>
      </c>
      <c r="G22" t="inlineStr">
        <is>
          <t>EST</t>
        </is>
      </c>
    </row>
    <row r="23">
      <c r="A23" t="inlineStr">
        <is>
          <t>Reprise 2</t>
        </is>
      </c>
      <c r="B23" s="22" t="n">
        <v>3</v>
      </c>
      <c r="C23" s="12" t="n">
        <v>500000</v>
      </c>
      <c r="D23" s="21" t="n">
        <v>4.5</v>
      </c>
      <c r="G23" t="inlineStr">
        <is>
          <t>EST</t>
        </is>
      </c>
    </row>
    <row r="24">
      <c r="A24" t="inlineStr">
        <is>
          <t>Reprise 3</t>
        </is>
      </c>
      <c r="B24" s="22" t="n">
        <v>4</v>
      </c>
      <c r="C24" s="12" t="n">
        <v>600000</v>
      </c>
      <c r="D24" s="21" t="n">
        <v>4.5</v>
      </c>
      <c r="G24" t="inlineStr">
        <is>
          <t>EST</t>
        </is>
      </c>
    </row>
    <row r="26">
      <c r="A26" s="10" t="inlineStr">
        <is>
          <t>3. Calcul annuel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4" t="inlineStr">
        <is>
          <t>Année</t>
        </is>
      </c>
      <c r="B27" s="4" t="inlineStr">
        <is>
          <t>Total / réf.</t>
        </is>
      </c>
      <c r="C27" s="4" t="n">
        <v>1</v>
      </c>
      <c r="D27" s="4" t="n">
        <v>2</v>
      </c>
      <c r="E27" s="4" t="n">
        <v>3</v>
      </c>
      <c r="F27" s="4" t="n">
        <v>4</v>
      </c>
      <c r="G27" s="4" t="n">
        <v>5</v>
      </c>
      <c r="H27" s="4" t="n">
        <v>6</v>
      </c>
      <c r="I27" s="4" t="n">
        <v>7</v>
      </c>
      <c r="J27" s="4" t="n">
        <v>8</v>
      </c>
      <c r="K27" s="4" t="n">
        <v>9</v>
      </c>
      <c r="L27" s="4" t="n">
        <v>10</v>
      </c>
    </row>
    <row r="28">
      <c r="A28" s="4" t="inlineStr">
        <is>
          <t>PME 1</t>
        </is>
      </c>
    </row>
    <row r="29">
      <c r="A29" t="inlineStr">
        <is>
          <t xml:space="preserve">  Active (1/0)</t>
        </is>
      </c>
      <c r="C29" s="8">
        <f>IF(AND($B$22&gt;0,C$27&gt;=$B$22),1,0)</f>
        <v/>
      </c>
      <c r="D29" s="8">
        <f>IF(AND($B$22&gt;0,D$27&gt;=$B$22),1,0)</f>
        <v/>
      </c>
      <c r="E29" s="8">
        <f>IF(AND($B$22&gt;0,E$27&gt;=$B$22),1,0)</f>
        <v/>
      </c>
      <c r="F29" s="8">
        <f>IF(AND($B$22&gt;0,F$27&gt;=$B$22),1,0)</f>
        <v/>
      </c>
      <c r="G29" s="8">
        <f>IF(AND($B$22&gt;0,G$27&gt;=$B$22),1,0)</f>
        <v/>
      </c>
      <c r="H29" s="8">
        <f>IF(AND($B$22&gt;0,H$27&gt;=$B$22),1,0)</f>
        <v/>
      </c>
      <c r="I29" s="8">
        <f>IF(AND($B$22&gt;0,I$27&gt;=$B$22),1,0)</f>
        <v/>
      </c>
      <c r="J29" s="8">
        <f>IF(AND($B$22&gt;0,J$27&gt;=$B$22),1,0)</f>
        <v/>
      </c>
      <c r="K29" s="8">
        <f>IF(AND($B$22&gt;0,K$27&gt;=$B$22),1,0)</f>
        <v/>
      </c>
      <c r="L29" s="8">
        <f>IF(AND($B$22&gt;0,L$27&gt;=$B$22),1,0)</f>
        <v/>
      </c>
    </row>
    <row r="30">
      <c r="A30" t="inlineStr">
        <is>
          <t xml:space="preserve">  Rang de l'année de détention</t>
        </is>
      </c>
      <c r="C30" s="8">
        <f>IF(C29=1,C$27-$B$22+1,0)</f>
        <v/>
      </c>
      <c r="D30" s="8">
        <f>IF(D29=1,D$27-$B$22+1,0)</f>
        <v/>
      </c>
      <c r="E30" s="8">
        <f>IF(E29=1,E$27-$B$22+1,0)</f>
        <v/>
      </c>
      <c r="F30" s="8">
        <f>IF(F29=1,F$27-$B$22+1,0)</f>
        <v/>
      </c>
      <c r="G30" s="8">
        <f>IF(G29=1,G$27-$B$22+1,0)</f>
        <v/>
      </c>
      <c r="H30" s="8">
        <f>IF(H29=1,H$27-$B$22+1,0)</f>
        <v/>
      </c>
      <c r="I30" s="8">
        <f>IF(I29=1,I$27-$B$22+1,0)</f>
        <v/>
      </c>
      <c r="J30" s="8">
        <f>IF(J29=1,J$27-$B$22+1,0)</f>
        <v/>
      </c>
      <c r="K30" s="8">
        <f>IF(K29=1,K$27-$B$22+1,0)</f>
        <v/>
      </c>
      <c r="L30" s="8">
        <f>IF(L29=1,L$27-$B$22+1,0)</f>
        <v/>
      </c>
    </row>
    <row r="31">
      <c r="A31" t="inlineStr">
        <is>
          <t xml:space="preserve">  EBITDA</t>
        </is>
      </c>
      <c r="B31" s="5">
        <f>SUM(C31:L31)</f>
        <v/>
      </c>
      <c r="C31" s="5">
        <f>C29*$C$22*(1+$B$12)^MAX(0,C30-1)</f>
        <v/>
      </c>
      <c r="D31" s="5">
        <f>D29*$C$22*(1+$B$12)^MAX(0,D30-1)</f>
        <v/>
      </c>
      <c r="E31" s="5">
        <f>E29*$C$22*(1+$B$12)^MAX(0,E30-1)</f>
        <v/>
      </c>
      <c r="F31" s="5">
        <f>F29*$C$22*(1+$B$12)^MAX(0,F30-1)</f>
        <v/>
      </c>
      <c r="G31" s="5">
        <f>G29*$C$22*(1+$B$12)^MAX(0,G30-1)</f>
        <v/>
      </c>
      <c r="H31" s="5">
        <f>H29*$C$22*(1+$B$12)^MAX(0,H30-1)</f>
        <v/>
      </c>
      <c r="I31" s="5">
        <f>I29*$C$22*(1+$B$12)^MAX(0,I30-1)</f>
        <v/>
      </c>
      <c r="J31" s="5">
        <f>J29*$C$22*(1+$B$12)^MAX(0,J30-1)</f>
        <v/>
      </c>
      <c r="K31" s="5">
        <f>K29*$C$22*(1+$B$12)^MAX(0,K30-1)</f>
        <v/>
      </c>
      <c r="L31" s="5">
        <f>L29*$C$22*(1+$B$12)^MAX(0,L30-1)</f>
        <v/>
      </c>
    </row>
    <row r="32">
      <c r="A32" t="inlineStr">
        <is>
          <t xml:space="preserve">  Dette restante fin d'année</t>
        </is>
      </c>
      <c r="C32" s="5">
        <f>IF(C29=0,0,IF(C30&gt;=$B$10,0,(($C$22*$D$22)*(1+$B$7)*$B$8)*((1+$B$9)^$B$10-(1+$B$9)^C30)/((1+$B$9)^$B$10-1)))</f>
        <v/>
      </c>
      <c r="D32" s="5">
        <f>IF(D29=0,0,IF(D30&gt;=$B$10,0,(($C$22*$D$22)*(1+$B$7)*$B$8)*((1+$B$9)^$B$10-(1+$B$9)^D30)/((1+$B$9)^$B$10-1)))</f>
        <v/>
      </c>
      <c r="E32" s="5">
        <f>IF(E29=0,0,IF(E30&gt;=$B$10,0,(($C$22*$D$22)*(1+$B$7)*$B$8)*((1+$B$9)^$B$10-(1+$B$9)^E30)/((1+$B$9)^$B$10-1)))</f>
        <v/>
      </c>
      <c r="F32" s="5">
        <f>IF(F29=0,0,IF(F30&gt;=$B$10,0,(($C$22*$D$22)*(1+$B$7)*$B$8)*((1+$B$9)^$B$10-(1+$B$9)^F30)/((1+$B$9)^$B$10-1)))</f>
        <v/>
      </c>
      <c r="G32" s="5">
        <f>IF(G29=0,0,IF(G30&gt;=$B$10,0,(($C$22*$D$22)*(1+$B$7)*$B$8)*((1+$B$9)^$B$10-(1+$B$9)^G30)/((1+$B$9)^$B$10-1)))</f>
        <v/>
      </c>
      <c r="H32" s="5">
        <f>IF(H29=0,0,IF(H30&gt;=$B$10,0,(($C$22*$D$22)*(1+$B$7)*$B$8)*((1+$B$9)^$B$10-(1+$B$9)^H30)/((1+$B$9)^$B$10-1)))</f>
        <v/>
      </c>
      <c r="I32" s="5">
        <f>IF(I29=0,0,IF(I30&gt;=$B$10,0,(($C$22*$D$22)*(1+$B$7)*$B$8)*((1+$B$9)^$B$10-(1+$B$9)^I30)/((1+$B$9)^$B$10-1)))</f>
        <v/>
      </c>
      <c r="J32" s="5">
        <f>IF(J29=0,0,IF(J30&gt;=$B$10,0,(($C$22*$D$22)*(1+$B$7)*$B$8)*((1+$B$9)^$B$10-(1+$B$9)^J30)/((1+$B$9)^$B$10-1)))</f>
        <v/>
      </c>
      <c r="K32" s="5">
        <f>IF(K29=0,0,IF(K30&gt;=$B$10,0,(($C$22*$D$22)*(1+$B$7)*$B$8)*((1+$B$9)^$B$10-(1+$B$9)^K30)/((1+$B$9)^$B$10-1)))</f>
        <v/>
      </c>
      <c r="L32" s="5">
        <f>IF(L29=0,0,IF(L30&gt;=$B$10,0,(($C$22*$D$22)*(1+$B$7)*$B$8)*((1+$B$9)^$B$10-(1+$B$9)^L30)/((1+$B$9)^$B$10-1)))</f>
        <v/>
      </c>
    </row>
    <row r="33">
      <c r="A33" t="inlineStr">
        <is>
          <t xml:space="preserve">  Annuité de dette</t>
        </is>
      </c>
      <c r="B33" s="5">
        <f>SUM(C33:L33)</f>
        <v/>
      </c>
      <c r="C33" s="5">
        <f>IF(AND(C29=1,C30&lt;=$B$10),PMT($B$9,$B$10,-(($C$22*$D$22)*(1+$B$7)*$B$8)),0)</f>
        <v/>
      </c>
      <c r="D33" s="5">
        <f>IF(AND(D29=1,D30&lt;=$B$10),PMT($B$9,$B$10,-(($C$22*$D$22)*(1+$B$7)*$B$8)),0)</f>
        <v/>
      </c>
      <c r="E33" s="5">
        <f>IF(AND(E29=1,E30&lt;=$B$10),PMT($B$9,$B$10,-(($C$22*$D$22)*(1+$B$7)*$B$8)),0)</f>
        <v/>
      </c>
      <c r="F33" s="5">
        <f>IF(AND(F29=1,F30&lt;=$B$10),PMT($B$9,$B$10,-(($C$22*$D$22)*(1+$B$7)*$B$8)),0)</f>
        <v/>
      </c>
      <c r="G33" s="5">
        <f>IF(AND(G29=1,G30&lt;=$B$10),PMT($B$9,$B$10,-(($C$22*$D$22)*(1+$B$7)*$B$8)),0)</f>
        <v/>
      </c>
      <c r="H33" s="5">
        <f>IF(AND(H29=1,H30&lt;=$B$10),PMT($B$9,$B$10,-(($C$22*$D$22)*(1+$B$7)*$B$8)),0)</f>
        <v/>
      </c>
      <c r="I33" s="5">
        <f>IF(AND(I29=1,I30&lt;=$B$10),PMT($B$9,$B$10,-(($C$22*$D$22)*(1+$B$7)*$B$8)),0)</f>
        <v/>
      </c>
      <c r="J33" s="5">
        <f>IF(AND(J29=1,J30&lt;=$B$10),PMT($B$9,$B$10,-(($C$22*$D$22)*(1+$B$7)*$B$8)),0)</f>
        <v/>
      </c>
      <c r="K33" s="5">
        <f>IF(AND(K29=1,K30&lt;=$B$10),PMT($B$9,$B$10,-(($C$22*$D$22)*(1+$B$7)*$B$8)),0)</f>
        <v/>
      </c>
      <c r="L33" s="5">
        <f>IF(AND(L29=1,L30&lt;=$B$10),PMT($B$9,$B$10,-(($C$22*$D$22)*(1+$B$7)*$B$8)),0)</f>
        <v/>
      </c>
    </row>
    <row r="34">
      <c r="A34" t="inlineStr">
        <is>
          <t xml:space="preserve">  dont intérêts</t>
        </is>
      </c>
      <c r="B34" s="5">
        <f>SUM(C34:L34)</f>
        <v/>
      </c>
      <c r="C34" s="5">
        <f>IF(AND(C29=1,C30&lt;=$B$10),(($C$22*$D$22)*(1+$B$7)*$B$8)*((1+$B$9)^$B$10-(1+$B$9)^(C30-1))/((1+$B$9)^$B$10-1)*$B$9,0)</f>
        <v/>
      </c>
      <c r="D34" s="5">
        <f>IF(AND(D29=1,D30&lt;=$B$10),(($C$22*$D$22)*(1+$B$7)*$B$8)*((1+$B$9)^$B$10-(1+$B$9)^(D30-1))/((1+$B$9)^$B$10-1)*$B$9,0)</f>
        <v/>
      </c>
      <c r="E34" s="5">
        <f>IF(AND(E29=1,E30&lt;=$B$10),(($C$22*$D$22)*(1+$B$7)*$B$8)*((1+$B$9)^$B$10-(1+$B$9)^(E30-1))/((1+$B$9)^$B$10-1)*$B$9,0)</f>
        <v/>
      </c>
      <c r="F34" s="5">
        <f>IF(AND(F29=1,F30&lt;=$B$10),(($C$22*$D$22)*(1+$B$7)*$B$8)*((1+$B$9)^$B$10-(1+$B$9)^(F30-1))/((1+$B$9)^$B$10-1)*$B$9,0)</f>
        <v/>
      </c>
      <c r="G34" s="5">
        <f>IF(AND(G29=1,G30&lt;=$B$10),(($C$22*$D$22)*(1+$B$7)*$B$8)*((1+$B$9)^$B$10-(1+$B$9)^(G30-1))/((1+$B$9)^$B$10-1)*$B$9,0)</f>
        <v/>
      </c>
      <c r="H34" s="5">
        <f>IF(AND(H29=1,H30&lt;=$B$10),(($C$22*$D$22)*(1+$B$7)*$B$8)*((1+$B$9)^$B$10-(1+$B$9)^(H30-1))/((1+$B$9)^$B$10-1)*$B$9,0)</f>
        <v/>
      </c>
      <c r="I34" s="5">
        <f>IF(AND(I29=1,I30&lt;=$B$10),(($C$22*$D$22)*(1+$B$7)*$B$8)*((1+$B$9)^$B$10-(1+$B$9)^(I30-1))/((1+$B$9)^$B$10-1)*$B$9,0)</f>
        <v/>
      </c>
      <c r="J34" s="5">
        <f>IF(AND(J29=1,J30&lt;=$B$10),(($C$22*$D$22)*(1+$B$7)*$B$8)*((1+$B$9)^$B$10-(1+$B$9)^(J30-1))/((1+$B$9)^$B$10-1)*$B$9,0)</f>
        <v/>
      </c>
      <c r="K34" s="5">
        <f>IF(AND(K29=1,K30&lt;=$B$10),(($C$22*$D$22)*(1+$B$7)*$B$8)*((1+$B$9)^$B$10-(1+$B$9)^(K30-1))/((1+$B$9)^$B$10-1)*$B$9,0)</f>
        <v/>
      </c>
      <c r="L34" s="5">
        <f>IF(AND(L29=1,L30&lt;=$B$10),(($C$22*$D$22)*(1+$B$7)*$B$8)*((1+$B$9)^$B$10-(1+$B$9)^(L30-1))/((1+$B$9)^$B$10-1)*$B$9,0)</f>
        <v/>
      </c>
    </row>
    <row r="35">
      <c r="A35" t="inlineStr">
        <is>
          <t xml:space="preserve">  Impôt sur les sociétés</t>
        </is>
      </c>
      <c r="B35" s="5">
        <f>SUM(C35:L35)</f>
        <v/>
      </c>
      <c r="C35" s="5">
        <f>MAX(0,C31*(1-$B$11)-C34)*$B$13</f>
        <v/>
      </c>
      <c r="D35" s="5">
        <f>MAX(0,D31*(1-$B$11)-D34)*$B$13</f>
        <v/>
      </c>
      <c r="E35" s="5">
        <f>MAX(0,E31*(1-$B$11)-E34)*$B$13</f>
        <v/>
      </c>
      <c r="F35" s="5">
        <f>MAX(0,F31*(1-$B$11)-F34)*$B$13</f>
        <v/>
      </c>
      <c r="G35" s="5">
        <f>MAX(0,G31*(1-$B$11)-G34)*$B$13</f>
        <v/>
      </c>
      <c r="H35" s="5">
        <f>MAX(0,H31*(1-$B$11)-H34)*$B$13</f>
        <v/>
      </c>
      <c r="I35" s="5">
        <f>MAX(0,I31*(1-$B$11)-I34)*$B$13</f>
        <v/>
      </c>
      <c r="J35" s="5">
        <f>MAX(0,J31*(1-$B$11)-J34)*$B$13</f>
        <v/>
      </c>
      <c r="K35" s="5">
        <f>MAX(0,K31*(1-$B$11)-K34)*$B$13</f>
        <v/>
      </c>
      <c r="L35" s="5">
        <f>MAX(0,L31*(1-$B$11)-L34)*$B$13</f>
        <v/>
      </c>
    </row>
    <row r="36">
      <c r="A36" s="4" t="inlineStr">
        <is>
          <t xml:space="preserve">  Cash-flow remonté à la holding (EBITDA − maintien − IS − annuité)</t>
        </is>
      </c>
      <c r="B36" s="18">
        <f>SUM(C36:L36)</f>
        <v/>
      </c>
      <c r="C36" s="18">
        <f>C31*(1-$B$11)-C35-C33</f>
        <v/>
      </c>
      <c r="D36" s="18">
        <f>D31*(1-$B$11)-D35-D33</f>
        <v/>
      </c>
      <c r="E36" s="18">
        <f>E31*(1-$B$11)-E35-E33</f>
        <v/>
      </c>
      <c r="F36" s="18">
        <f>F31*(1-$B$11)-F35-F33</f>
        <v/>
      </c>
      <c r="G36" s="18">
        <f>G31*(1-$B$11)-G35-G33</f>
        <v/>
      </c>
      <c r="H36" s="18">
        <f>H31*(1-$B$11)-H35-H33</f>
        <v/>
      </c>
      <c r="I36" s="18">
        <f>I31*(1-$B$11)-I35-I33</f>
        <v/>
      </c>
      <c r="J36" s="18">
        <f>J31*(1-$B$11)-J35-J33</f>
        <v/>
      </c>
      <c r="K36" s="18">
        <f>K31*(1-$B$11)-K35-K33</f>
        <v/>
      </c>
      <c r="L36" s="18">
        <f>L31*(1-$B$11)-L35-L33</f>
        <v/>
      </c>
    </row>
    <row r="37">
      <c r="A37" t="inlineStr">
        <is>
          <t xml:space="preserve">  Fonds propres à apporter l'année de la reprise</t>
        </is>
      </c>
      <c r="B37" s="5">
        <f>SUM(C37:L37)</f>
        <v/>
      </c>
      <c r="C37" s="5">
        <f>IF(AND($B$22&gt;0,C$27=$B$22),($C$22*$D$22)*(1+$B$7)-(($C$22*$D$22)*(1+$B$7)*$B$8),0)</f>
        <v/>
      </c>
      <c r="D37" s="5">
        <f>IF(AND($B$22&gt;0,D$27=$B$22),($C$22*$D$22)*(1+$B$7)-(($C$22*$D$22)*(1+$B$7)*$B$8),0)</f>
        <v/>
      </c>
      <c r="E37" s="5">
        <f>IF(AND($B$22&gt;0,E$27=$B$22),($C$22*$D$22)*(1+$B$7)-(($C$22*$D$22)*(1+$B$7)*$B$8),0)</f>
        <v/>
      </c>
      <c r="F37" s="5">
        <f>IF(AND($B$22&gt;0,F$27=$B$22),($C$22*$D$22)*(1+$B$7)-(($C$22*$D$22)*(1+$B$7)*$B$8),0)</f>
        <v/>
      </c>
      <c r="G37" s="5">
        <f>IF(AND($B$22&gt;0,G$27=$B$22),($C$22*$D$22)*(1+$B$7)-(($C$22*$D$22)*(1+$B$7)*$B$8),0)</f>
        <v/>
      </c>
      <c r="H37" s="5">
        <f>IF(AND($B$22&gt;0,H$27=$B$22),($C$22*$D$22)*(1+$B$7)-(($C$22*$D$22)*(1+$B$7)*$B$8),0)</f>
        <v/>
      </c>
      <c r="I37" s="5">
        <f>IF(AND($B$22&gt;0,I$27=$B$22),($C$22*$D$22)*(1+$B$7)-(($C$22*$D$22)*(1+$B$7)*$B$8),0)</f>
        <v/>
      </c>
      <c r="J37" s="5">
        <f>IF(AND($B$22&gt;0,J$27=$B$22),($C$22*$D$22)*(1+$B$7)-(($C$22*$D$22)*(1+$B$7)*$B$8),0)</f>
        <v/>
      </c>
      <c r="K37" s="5">
        <f>IF(AND($B$22&gt;0,K$27=$B$22),($C$22*$D$22)*(1+$B$7)-(($C$22*$D$22)*(1+$B$7)*$B$8),0)</f>
        <v/>
      </c>
      <c r="L37" s="5">
        <f>IF(AND($B$22&gt;0,L$27=$B$22),($C$22*$D$22)*(1+$B$7)-(($C$22*$D$22)*(1+$B$7)*$B$8),0)</f>
        <v/>
      </c>
    </row>
    <row r="38">
      <c r="A38" t="inlineStr">
        <is>
          <t xml:space="preserve">  Valeur nette des titres (VE de sortie − dette restante)</t>
        </is>
      </c>
      <c r="C38" s="5">
        <f>MAX(0,C31*$B$16-C32)</f>
        <v/>
      </c>
      <c r="D38" s="5">
        <f>MAX(0,D31*$B$16-D32)</f>
        <v/>
      </c>
      <c r="E38" s="5">
        <f>MAX(0,E31*$B$16-E32)</f>
        <v/>
      </c>
      <c r="F38" s="5">
        <f>MAX(0,F31*$B$16-F32)</f>
        <v/>
      </c>
      <c r="G38" s="5">
        <f>MAX(0,G31*$B$16-G32)</f>
        <v/>
      </c>
      <c r="H38" s="5">
        <f>MAX(0,H31*$B$16-H32)</f>
        <v/>
      </c>
      <c r="I38" s="5">
        <f>MAX(0,I31*$B$16-I32)</f>
        <v/>
      </c>
      <c r="J38" s="5">
        <f>MAX(0,J31*$B$16-J32)</f>
        <v/>
      </c>
      <c r="K38" s="5">
        <f>MAX(0,K31*$B$16-K32)</f>
        <v/>
      </c>
      <c r="L38" s="5">
        <f>MAX(0,L31*$B$16-L32)</f>
        <v/>
      </c>
    </row>
    <row r="39">
      <c r="A39" s="4" t="inlineStr">
        <is>
          <t>PME 2</t>
        </is>
      </c>
    </row>
    <row r="40">
      <c r="A40" t="inlineStr">
        <is>
          <t xml:space="preserve">  Active (1/0)</t>
        </is>
      </c>
      <c r="C40" s="8">
        <f>IF(AND($B$23&gt;0,C$27&gt;=$B$23),1,0)</f>
        <v/>
      </c>
      <c r="D40" s="8">
        <f>IF(AND($B$23&gt;0,D$27&gt;=$B$23),1,0)</f>
        <v/>
      </c>
      <c r="E40" s="8">
        <f>IF(AND($B$23&gt;0,E$27&gt;=$B$23),1,0)</f>
        <v/>
      </c>
      <c r="F40" s="8">
        <f>IF(AND($B$23&gt;0,F$27&gt;=$B$23),1,0)</f>
        <v/>
      </c>
      <c r="G40" s="8">
        <f>IF(AND($B$23&gt;0,G$27&gt;=$B$23),1,0)</f>
        <v/>
      </c>
      <c r="H40" s="8">
        <f>IF(AND($B$23&gt;0,H$27&gt;=$B$23),1,0)</f>
        <v/>
      </c>
      <c r="I40" s="8">
        <f>IF(AND($B$23&gt;0,I$27&gt;=$B$23),1,0)</f>
        <v/>
      </c>
      <c r="J40" s="8">
        <f>IF(AND($B$23&gt;0,J$27&gt;=$B$23),1,0)</f>
        <v/>
      </c>
      <c r="K40" s="8">
        <f>IF(AND($B$23&gt;0,K$27&gt;=$B$23),1,0)</f>
        <v/>
      </c>
      <c r="L40" s="8">
        <f>IF(AND($B$23&gt;0,L$27&gt;=$B$23),1,0)</f>
        <v/>
      </c>
    </row>
    <row r="41">
      <c r="A41" t="inlineStr">
        <is>
          <t xml:space="preserve">  Rang de l'année de détention</t>
        </is>
      </c>
      <c r="C41" s="8">
        <f>IF(C40=1,C$27-$B$23+1,0)</f>
        <v/>
      </c>
      <c r="D41" s="8">
        <f>IF(D40=1,D$27-$B$23+1,0)</f>
        <v/>
      </c>
      <c r="E41" s="8">
        <f>IF(E40=1,E$27-$B$23+1,0)</f>
        <v/>
      </c>
      <c r="F41" s="8">
        <f>IF(F40=1,F$27-$B$23+1,0)</f>
        <v/>
      </c>
      <c r="G41" s="8">
        <f>IF(G40=1,G$27-$B$23+1,0)</f>
        <v/>
      </c>
      <c r="H41" s="8">
        <f>IF(H40=1,H$27-$B$23+1,0)</f>
        <v/>
      </c>
      <c r="I41" s="8">
        <f>IF(I40=1,I$27-$B$23+1,0)</f>
        <v/>
      </c>
      <c r="J41" s="8">
        <f>IF(J40=1,J$27-$B$23+1,0)</f>
        <v/>
      </c>
      <c r="K41" s="8">
        <f>IF(K40=1,K$27-$B$23+1,0)</f>
        <v/>
      </c>
      <c r="L41" s="8">
        <f>IF(L40=1,L$27-$B$23+1,0)</f>
        <v/>
      </c>
    </row>
    <row r="42">
      <c r="A42" t="inlineStr">
        <is>
          <t xml:space="preserve">  EBITDA</t>
        </is>
      </c>
      <c r="B42" s="5">
        <f>SUM(C42:L42)</f>
        <v/>
      </c>
      <c r="C42" s="5">
        <f>C40*$C$23*(1+$B$12)^MAX(0,C41-1)</f>
        <v/>
      </c>
      <c r="D42" s="5">
        <f>D40*$C$23*(1+$B$12)^MAX(0,D41-1)</f>
        <v/>
      </c>
      <c r="E42" s="5">
        <f>E40*$C$23*(1+$B$12)^MAX(0,E41-1)</f>
        <v/>
      </c>
      <c r="F42" s="5">
        <f>F40*$C$23*(1+$B$12)^MAX(0,F41-1)</f>
        <v/>
      </c>
      <c r="G42" s="5">
        <f>G40*$C$23*(1+$B$12)^MAX(0,G41-1)</f>
        <v/>
      </c>
      <c r="H42" s="5">
        <f>H40*$C$23*(1+$B$12)^MAX(0,H41-1)</f>
        <v/>
      </c>
      <c r="I42" s="5">
        <f>I40*$C$23*(1+$B$12)^MAX(0,I41-1)</f>
        <v/>
      </c>
      <c r="J42" s="5">
        <f>J40*$C$23*(1+$B$12)^MAX(0,J41-1)</f>
        <v/>
      </c>
      <c r="K42" s="5">
        <f>K40*$C$23*(1+$B$12)^MAX(0,K41-1)</f>
        <v/>
      </c>
      <c r="L42" s="5">
        <f>L40*$C$23*(1+$B$12)^MAX(0,L41-1)</f>
        <v/>
      </c>
    </row>
    <row r="43">
      <c r="A43" t="inlineStr">
        <is>
          <t xml:space="preserve">  Dette restante fin d'année</t>
        </is>
      </c>
      <c r="C43" s="5">
        <f>IF(C40=0,0,IF(C41&gt;=$B$10,0,(($C$23*$D$23)*(1+$B$7)*$B$8)*((1+$B$9)^$B$10-(1+$B$9)^C41)/((1+$B$9)^$B$10-1)))</f>
        <v/>
      </c>
      <c r="D43" s="5">
        <f>IF(D40=0,0,IF(D41&gt;=$B$10,0,(($C$23*$D$23)*(1+$B$7)*$B$8)*((1+$B$9)^$B$10-(1+$B$9)^D41)/((1+$B$9)^$B$10-1)))</f>
        <v/>
      </c>
      <c r="E43" s="5">
        <f>IF(E40=0,0,IF(E41&gt;=$B$10,0,(($C$23*$D$23)*(1+$B$7)*$B$8)*((1+$B$9)^$B$10-(1+$B$9)^E41)/((1+$B$9)^$B$10-1)))</f>
        <v/>
      </c>
      <c r="F43" s="5">
        <f>IF(F40=0,0,IF(F41&gt;=$B$10,0,(($C$23*$D$23)*(1+$B$7)*$B$8)*((1+$B$9)^$B$10-(1+$B$9)^F41)/((1+$B$9)^$B$10-1)))</f>
        <v/>
      </c>
      <c r="G43" s="5">
        <f>IF(G40=0,0,IF(G41&gt;=$B$10,0,(($C$23*$D$23)*(1+$B$7)*$B$8)*((1+$B$9)^$B$10-(1+$B$9)^G41)/((1+$B$9)^$B$10-1)))</f>
        <v/>
      </c>
      <c r="H43" s="5">
        <f>IF(H40=0,0,IF(H41&gt;=$B$10,0,(($C$23*$D$23)*(1+$B$7)*$B$8)*((1+$B$9)^$B$10-(1+$B$9)^H41)/((1+$B$9)^$B$10-1)))</f>
        <v/>
      </c>
      <c r="I43" s="5">
        <f>IF(I40=0,0,IF(I41&gt;=$B$10,0,(($C$23*$D$23)*(1+$B$7)*$B$8)*((1+$B$9)^$B$10-(1+$B$9)^I41)/((1+$B$9)^$B$10-1)))</f>
        <v/>
      </c>
      <c r="J43" s="5">
        <f>IF(J40=0,0,IF(J41&gt;=$B$10,0,(($C$23*$D$23)*(1+$B$7)*$B$8)*((1+$B$9)^$B$10-(1+$B$9)^J41)/((1+$B$9)^$B$10-1)))</f>
        <v/>
      </c>
      <c r="K43" s="5">
        <f>IF(K40=0,0,IF(K41&gt;=$B$10,0,(($C$23*$D$23)*(1+$B$7)*$B$8)*((1+$B$9)^$B$10-(1+$B$9)^K41)/((1+$B$9)^$B$10-1)))</f>
        <v/>
      </c>
      <c r="L43" s="5">
        <f>IF(L40=0,0,IF(L41&gt;=$B$10,0,(($C$23*$D$23)*(1+$B$7)*$B$8)*((1+$B$9)^$B$10-(1+$B$9)^L41)/((1+$B$9)^$B$10-1)))</f>
        <v/>
      </c>
    </row>
    <row r="44">
      <c r="A44" t="inlineStr">
        <is>
          <t xml:space="preserve">  Annuité de dette</t>
        </is>
      </c>
      <c r="B44" s="5">
        <f>SUM(C44:L44)</f>
        <v/>
      </c>
      <c r="C44" s="5">
        <f>IF(AND(C40=1,C41&lt;=$B$10),PMT($B$9,$B$10,-(($C$23*$D$23)*(1+$B$7)*$B$8)),0)</f>
        <v/>
      </c>
      <c r="D44" s="5">
        <f>IF(AND(D40=1,D41&lt;=$B$10),PMT($B$9,$B$10,-(($C$23*$D$23)*(1+$B$7)*$B$8)),0)</f>
        <v/>
      </c>
      <c r="E44" s="5">
        <f>IF(AND(E40=1,E41&lt;=$B$10),PMT($B$9,$B$10,-(($C$23*$D$23)*(1+$B$7)*$B$8)),0)</f>
        <v/>
      </c>
      <c r="F44" s="5">
        <f>IF(AND(F40=1,F41&lt;=$B$10),PMT($B$9,$B$10,-(($C$23*$D$23)*(1+$B$7)*$B$8)),0)</f>
        <v/>
      </c>
      <c r="G44" s="5">
        <f>IF(AND(G40=1,G41&lt;=$B$10),PMT($B$9,$B$10,-(($C$23*$D$23)*(1+$B$7)*$B$8)),0)</f>
        <v/>
      </c>
      <c r="H44" s="5">
        <f>IF(AND(H40=1,H41&lt;=$B$10),PMT($B$9,$B$10,-(($C$23*$D$23)*(1+$B$7)*$B$8)),0)</f>
        <v/>
      </c>
      <c r="I44" s="5">
        <f>IF(AND(I40=1,I41&lt;=$B$10),PMT($B$9,$B$10,-(($C$23*$D$23)*(1+$B$7)*$B$8)),0)</f>
        <v/>
      </c>
      <c r="J44" s="5">
        <f>IF(AND(J40=1,J41&lt;=$B$10),PMT($B$9,$B$10,-(($C$23*$D$23)*(1+$B$7)*$B$8)),0)</f>
        <v/>
      </c>
      <c r="K44" s="5">
        <f>IF(AND(K40=1,K41&lt;=$B$10),PMT($B$9,$B$10,-(($C$23*$D$23)*(1+$B$7)*$B$8)),0)</f>
        <v/>
      </c>
      <c r="L44" s="5">
        <f>IF(AND(L40=1,L41&lt;=$B$10),PMT($B$9,$B$10,-(($C$23*$D$23)*(1+$B$7)*$B$8)),0)</f>
        <v/>
      </c>
    </row>
    <row r="45">
      <c r="A45" t="inlineStr">
        <is>
          <t xml:space="preserve">  dont intérêts</t>
        </is>
      </c>
      <c r="B45" s="5">
        <f>SUM(C45:L45)</f>
        <v/>
      </c>
      <c r="C45" s="5">
        <f>IF(AND(C40=1,C41&lt;=$B$10),(($C$23*$D$23)*(1+$B$7)*$B$8)*((1+$B$9)^$B$10-(1+$B$9)^(C41-1))/((1+$B$9)^$B$10-1)*$B$9,0)</f>
        <v/>
      </c>
      <c r="D45" s="5">
        <f>IF(AND(D40=1,D41&lt;=$B$10),(($C$23*$D$23)*(1+$B$7)*$B$8)*((1+$B$9)^$B$10-(1+$B$9)^(D41-1))/((1+$B$9)^$B$10-1)*$B$9,0)</f>
        <v/>
      </c>
      <c r="E45" s="5">
        <f>IF(AND(E40=1,E41&lt;=$B$10),(($C$23*$D$23)*(1+$B$7)*$B$8)*((1+$B$9)^$B$10-(1+$B$9)^(E41-1))/((1+$B$9)^$B$10-1)*$B$9,0)</f>
        <v/>
      </c>
      <c r="F45" s="5">
        <f>IF(AND(F40=1,F41&lt;=$B$10),(($C$23*$D$23)*(1+$B$7)*$B$8)*((1+$B$9)^$B$10-(1+$B$9)^(F41-1))/((1+$B$9)^$B$10-1)*$B$9,0)</f>
        <v/>
      </c>
      <c r="G45" s="5">
        <f>IF(AND(G40=1,G41&lt;=$B$10),(($C$23*$D$23)*(1+$B$7)*$B$8)*((1+$B$9)^$B$10-(1+$B$9)^(G41-1))/((1+$B$9)^$B$10-1)*$B$9,0)</f>
        <v/>
      </c>
      <c r="H45" s="5">
        <f>IF(AND(H40=1,H41&lt;=$B$10),(($C$23*$D$23)*(1+$B$7)*$B$8)*((1+$B$9)^$B$10-(1+$B$9)^(H41-1))/((1+$B$9)^$B$10-1)*$B$9,0)</f>
        <v/>
      </c>
      <c r="I45" s="5">
        <f>IF(AND(I40=1,I41&lt;=$B$10),(($C$23*$D$23)*(1+$B$7)*$B$8)*((1+$B$9)^$B$10-(1+$B$9)^(I41-1))/((1+$B$9)^$B$10-1)*$B$9,0)</f>
        <v/>
      </c>
      <c r="J45" s="5">
        <f>IF(AND(J40=1,J41&lt;=$B$10),(($C$23*$D$23)*(1+$B$7)*$B$8)*((1+$B$9)^$B$10-(1+$B$9)^(J41-1))/((1+$B$9)^$B$10-1)*$B$9,0)</f>
        <v/>
      </c>
      <c r="K45" s="5">
        <f>IF(AND(K40=1,K41&lt;=$B$10),(($C$23*$D$23)*(1+$B$7)*$B$8)*((1+$B$9)^$B$10-(1+$B$9)^(K41-1))/((1+$B$9)^$B$10-1)*$B$9,0)</f>
        <v/>
      </c>
      <c r="L45" s="5">
        <f>IF(AND(L40=1,L41&lt;=$B$10),(($C$23*$D$23)*(1+$B$7)*$B$8)*((1+$B$9)^$B$10-(1+$B$9)^(L41-1))/((1+$B$9)^$B$10-1)*$B$9,0)</f>
        <v/>
      </c>
    </row>
    <row r="46">
      <c r="A46" t="inlineStr">
        <is>
          <t xml:space="preserve">  Impôt sur les sociétés</t>
        </is>
      </c>
      <c r="B46" s="5">
        <f>SUM(C46:L46)</f>
        <v/>
      </c>
      <c r="C46" s="5">
        <f>MAX(0,C42*(1-$B$11)-C45)*$B$13</f>
        <v/>
      </c>
      <c r="D46" s="5">
        <f>MAX(0,D42*(1-$B$11)-D45)*$B$13</f>
        <v/>
      </c>
      <c r="E46" s="5">
        <f>MAX(0,E42*(1-$B$11)-E45)*$B$13</f>
        <v/>
      </c>
      <c r="F46" s="5">
        <f>MAX(0,F42*(1-$B$11)-F45)*$B$13</f>
        <v/>
      </c>
      <c r="G46" s="5">
        <f>MAX(0,G42*(1-$B$11)-G45)*$B$13</f>
        <v/>
      </c>
      <c r="H46" s="5">
        <f>MAX(0,H42*(1-$B$11)-H45)*$B$13</f>
        <v/>
      </c>
      <c r="I46" s="5">
        <f>MAX(0,I42*(1-$B$11)-I45)*$B$13</f>
        <v/>
      </c>
      <c r="J46" s="5">
        <f>MAX(0,J42*(1-$B$11)-J45)*$B$13</f>
        <v/>
      </c>
      <c r="K46" s="5">
        <f>MAX(0,K42*(1-$B$11)-K45)*$B$13</f>
        <v/>
      </c>
      <c r="L46" s="5">
        <f>MAX(0,L42*(1-$B$11)-L45)*$B$13</f>
        <v/>
      </c>
    </row>
    <row r="47">
      <c r="A47" s="4" t="inlineStr">
        <is>
          <t xml:space="preserve">  Cash-flow remonté à la holding (EBITDA − maintien − IS − annuité)</t>
        </is>
      </c>
      <c r="B47" s="18">
        <f>SUM(C47:L47)</f>
        <v/>
      </c>
      <c r="C47" s="18">
        <f>C42*(1-$B$11)-C46-C44</f>
        <v/>
      </c>
      <c r="D47" s="18">
        <f>D42*(1-$B$11)-D46-D44</f>
        <v/>
      </c>
      <c r="E47" s="18">
        <f>E42*(1-$B$11)-E46-E44</f>
        <v/>
      </c>
      <c r="F47" s="18">
        <f>F42*(1-$B$11)-F46-F44</f>
        <v/>
      </c>
      <c r="G47" s="18">
        <f>G42*(1-$B$11)-G46-G44</f>
        <v/>
      </c>
      <c r="H47" s="18">
        <f>H42*(1-$B$11)-H46-H44</f>
        <v/>
      </c>
      <c r="I47" s="18">
        <f>I42*(1-$B$11)-I46-I44</f>
        <v/>
      </c>
      <c r="J47" s="18">
        <f>J42*(1-$B$11)-J46-J44</f>
        <v/>
      </c>
      <c r="K47" s="18">
        <f>K42*(1-$B$11)-K46-K44</f>
        <v/>
      </c>
      <c r="L47" s="18">
        <f>L42*(1-$B$11)-L46-L44</f>
        <v/>
      </c>
    </row>
    <row r="48">
      <c r="A48" t="inlineStr">
        <is>
          <t xml:space="preserve">  Fonds propres à apporter l'année de la reprise</t>
        </is>
      </c>
      <c r="B48" s="5">
        <f>SUM(C48:L48)</f>
        <v/>
      </c>
      <c r="C48" s="5">
        <f>IF(AND($B$23&gt;0,C$27=$B$23),($C$23*$D$23)*(1+$B$7)-(($C$23*$D$23)*(1+$B$7)*$B$8),0)</f>
        <v/>
      </c>
      <c r="D48" s="5">
        <f>IF(AND($B$23&gt;0,D$27=$B$23),($C$23*$D$23)*(1+$B$7)-(($C$23*$D$23)*(1+$B$7)*$B$8),0)</f>
        <v/>
      </c>
      <c r="E48" s="5">
        <f>IF(AND($B$23&gt;0,E$27=$B$23),($C$23*$D$23)*(1+$B$7)-(($C$23*$D$23)*(1+$B$7)*$B$8),0)</f>
        <v/>
      </c>
      <c r="F48" s="5">
        <f>IF(AND($B$23&gt;0,F$27=$B$23),($C$23*$D$23)*(1+$B$7)-(($C$23*$D$23)*(1+$B$7)*$B$8),0)</f>
        <v/>
      </c>
      <c r="G48" s="5">
        <f>IF(AND($B$23&gt;0,G$27=$B$23),($C$23*$D$23)*(1+$B$7)-(($C$23*$D$23)*(1+$B$7)*$B$8),0)</f>
        <v/>
      </c>
      <c r="H48" s="5">
        <f>IF(AND($B$23&gt;0,H$27=$B$23),($C$23*$D$23)*(1+$B$7)-(($C$23*$D$23)*(1+$B$7)*$B$8),0)</f>
        <v/>
      </c>
      <c r="I48" s="5">
        <f>IF(AND($B$23&gt;0,I$27=$B$23),($C$23*$D$23)*(1+$B$7)-(($C$23*$D$23)*(1+$B$7)*$B$8),0)</f>
        <v/>
      </c>
      <c r="J48" s="5">
        <f>IF(AND($B$23&gt;0,J$27=$B$23),($C$23*$D$23)*(1+$B$7)-(($C$23*$D$23)*(1+$B$7)*$B$8),0)</f>
        <v/>
      </c>
      <c r="K48" s="5">
        <f>IF(AND($B$23&gt;0,K$27=$B$23),($C$23*$D$23)*(1+$B$7)-(($C$23*$D$23)*(1+$B$7)*$B$8),0)</f>
        <v/>
      </c>
      <c r="L48" s="5">
        <f>IF(AND($B$23&gt;0,L$27=$B$23),($C$23*$D$23)*(1+$B$7)-(($C$23*$D$23)*(1+$B$7)*$B$8),0)</f>
        <v/>
      </c>
    </row>
    <row r="49">
      <c r="A49" t="inlineStr">
        <is>
          <t xml:space="preserve">  Valeur nette des titres (VE de sortie − dette restante)</t>
        </is>
      </c>
      <c r="C49" s="5">
        <f>MAX(0,C42*$B$16-C43)</f>
        <v/>
      </c>
      <c r="D49" s="5">
        <f>MAX(0,D42*$B$16-D43)</f>
        <v/>
      </c>
      <c r="E49" s="5">
        <f>MAX(0,E42*$B$16-E43)</f>
        <v/>
      </c>
      <c r="F49" s="5">
        <f>MAX(0,F42*$B$16-F43)</f>
        <v/>
      </c>
      <c r="G49" s="5">
        <f>MAX(0,G42*$B$16-G43)</f>
        <v/>
      </c>
      <c r="H49" s="5">
        <f>MAX(0,H42*$B$16-H43)</f>
        <v/>
      </c>
      <c r="I49" s="5">
        <f>MAX(0,I42*$B$16-I43)</f>
        <v/>
      </c>
      <c r="J49" s="5">
        <f>MAX(0,J42*$B$16-J43)</f>
        <v/>
      </c>
      <c r="K49" s="5">
        <f>MAX(0,K42*$B$16-K43)</f>
        <v/>
      </c>
      <c r="L49" s="5">
        <f>MAX(0,L42*$B$16-L43)</f>
        <v/>
      </c>
    </row>
    <row r="50">
      <c r="A50" s="4" t="inlineStr">
        <is>
          <t>PME 3</t>
        </is>
      </c>
    </row>
    <row r="51">
      <c r="A51" t="inlineStr">
        <is>
          <t xml:space="preserve">  Active (1/0)</t>
        </is>
      </c>
      <c r="C51" s="8">
        <f>IF(AND($B$24&gt;0,C$27&gt;=$B$24),1,0)</f>
        <v/>
      </c>
      <c r="D51" s="8">
        <f>IF(AND($B$24&gt;0,D$27&gt;=$B$24),1,0)</f>
        <v/>
      </c>
      <c r="E51" s="8">
        <f>IF(AND($B$24&gt;0,E$27&gt;=$B$24),1,0)</f>
        <v/>
      </c>
      <c r="F51" s="8">
        <f>IF(AND($B$24&gt;0,F$27&gt;=$B$24),1,0)</f>
        <v/>
      </c>
      <c r="G51" s="8">
        <f>IF(AND($B$24&gt;0,G$27&gt;=$B$24),1,0)</f>
        <v/>
      </c>
      <c r="H51" s="8">
        <f>IF(AND($B$24&gt;0,H$27&gt;=$B$24),1,0)</f>
        <v/>
      </c>
      <c r="I51" s="8">
        <f>IF(AND($B$24&gt;0,I$27&gt;=$B$24),1,0)</f>
        <v/>
      </c>
      <c r="J51" s="8">
        <f>IF(AND($B$24&gt;0,J$27&gt;=$B$24),1,0)</f>
        <v/>
      </c>
      <c r="K51" s="8">
        <f>IF(AND($B$24&gt;0,K$27&gt;=$B$24),1,0)</f>
        <v/>
      </c>
      <c r="L51" s="8">
        <f>IF(AND($B$24&gt;0,L$27&gt;=$B$24),1,0)</f>
        <v/>
      </c>
    </row>
    <row r="52">
      <c r="A52" t="inlineStr">
        <is>
          <t xml:space="preserve">  Rang de l'année de détention</t>
        </is>
      </c>
      <c r="C52" s="8">
        <f>IF(C51=1,C$27-$B$24+1,0)</f>
        <v/>
      </c>
      <c r="D52" s="8">
        <f>IF(D51=1,D$27-$B$24+1,0)</f>
        <v/>
      </c>
      <c r="E52" s="8">
        <f>IF(E51=1,E$27-$B$24+1,0)</f>
        <v/>
      </c>
      <c r="F52" s="8">
        <f>IF(F51=1,F$27-$B$24+1,0)</f>
        <v/>
      </c>
      <c r="G52" s="8">
        <f>IF(G51=1,G$27-$B$24+1,0)</f>
        <v/>
      </c>
      <c r="H52" s="8">
        <f>IF(H51=1,H$27-$B$24+1,0)</f>
        <v/>
      </c>
      <c r="I52" s="8">
        <f>IF(I51=1,I$27-$B$24+1,0)</f>
        <v/>
      </c>
      <c r="J52" s="8">
        <f>IF(J51=1,J$27-$B$24+1,0)</f>
        <v/>
      </c>
      <c r="K52" s="8">
        <f>IF(K51=1,K$27-$B$24+1,0)</f>
        <v/>
      </c>
      <c r="L52" s="8">
        <f>IF(L51=1,L$27-$B$24+1,0)</f>
        <v/>
      </c>
    </row>
    <row r="53">
      <c r="A53" t="inlineStr">
        <is>
          <t xml:space="preserve">  EBITDA</t>
        </is>
      </c>
      <c r="B53" s="5">
        <f>SUM(C53:L53)</f>
        <v/>
      </c>
      <c r="C53" s="5">
        <f>C51*$C$24*(1+$B$12)^MAX(0,C52-1)</f>
        <v/>
      </c>
      <c r="D53" s="5">
        <f>D51*$C$24*(1+$B$12)^MAX(0,D52-1)</f>
        <v/>
      </c>
      <c r="E53" s="5">
        <f>E51*$C$24*(1+$B$12)^MAX(0,E52-1)</f>
        <v/>
      </c>
      <c r="F53" s="5">
        <f>F51*$C$24*(1+$B$12)^MAX(0,F52-1)</f>
        <v/>
      </c>
      <c r="G53" s="5">
        <f>G51*$C$24*(1+$B$12)^MAX(0,G52-1)</f>
        <v/>
      </c>
      <c r="H53" s="5">
        <f>H51*$C$24*(1+$B$12)^MAX(0,H52-1)</f>
        <v/>
      </c>
      <c r="I53" s="5">
        <f>I51*$C$24*(1+$B$12)^MAX(0,I52-1)</f>
        <v/>
      </c>
      <c r="J53" s="5">
        <f>J51*$C$24*(1+$B$12)^MAX(0,J52-1)</f>
        <v/>
      </c>
      <c r="K53" s="5">
        <f>K51*$C$24*(1+$B$12)^MAX(0,K52-1)</f>
        <v/>
      </c>
      <c r="L53" s="5">
        <f>L51*$C$24*(1+$B$12)^MAX(0,L52-1)</f>
        <v/>
      </c>
    </row>
    <row r="54">
      <c r="A54" t="inlineStr">
        <is>
          <t xml:space="preserve">  Dette restante fin d'année</t>
        </is>
      </c>
      <c r="C54" s="5">
        <f>IF(C51=0,0,IF(C52&gt;=$B$10,0,(($C$24*$D$24)*(1+$B$7)*$B$8)*((1+$B$9)^$B$10-(1+$B$9)^C52)/((1+$B$9)^$B$10-1)))</f>
        <v/>
      </c>
      <c r="D54" s="5">
        <f>IF(D51=0,0,IF(D52&gt;=$B$10,0,(($C$24*$D$24)*(1+$B$7)*$B$8)*((1+$B$9)^$B$10-(1+$B$9)^D52)/((1+$B$9)^$B$10-1)))</f>
        <v/>
      </c>
      <c r="E54" s="5">
        <f>IF(E51=0,0,IF(E52&gt;=$B$10,0,(($C$24*$D$24)*(1+$B$7)*$B$8)*((1+$B$9)^$B$10-(1+$B$9)^E52)/((1+$B$9)^$B$10-1)))</f>
        <v/>
      </c>
      <c r="F54" s="5">
        <f>IF(F51=0,0,IF(F52&gt;=$B$10,0,(($C$24*$D$24)*(1+$B$7)*$B$8)*((1+$B$9)^$B$10-(1+$B$9)^F52)/((1+$B$9)^$B$10-1)))</f>
        <v/>
      </c>
      <c r="G54" s="5">
        <f>IF(G51=0,0,IF(G52&gt;=$B$10,0,(($C$24*$D$24)*(1+$B$7)*$B$8)*((1+$B$9)^$B$10-(1+$B$9)^G52)/((1+$B$9)^$B$10-1)))</f>
        <v/>
      </c>
      <c r="H54" s="5">
        <f>IF(H51=0,0,IF(H52&gt;=$B$10,0,(($C$24*$D$24)*(1+$B$7)*$B$8)*((1+$B$9)^$B$10-(1+$B$9)^H52)/((1+$B$9)^$B$10-1)))</f>
        <v/>
      </c>
      <c r="I54" s="5">
        <f>IF(I51=0,0,IF(I52&gt;=$B$10,0,(($C$24*$D$24)*(1+$B$7)*$B$8)*((1+$B$9)^$B$10-(1+$B$9)^I52)/((1+$B$9)^$B$10-1)))</f>
        <v/>
      </c>
      <c r="J54" s="5">
        <f>IF(J51=0,0,IF(J52&gt;=$B$10,0,(($C$24*$D$24)*(1+$B$7)*$B$8)*((1+$B$9)^$B$10-(1+$B$9)^J52)/((1+$B$9)^$B$10-1)))</f>
        <v/>
      </c>
      <c r="K54" s="5">
        <f>IF(K51=0,0,IF(K52&gt;=$B$10,0,(($C$24*$D$24)*(1+$B$7)*$B$8)*((1+$B$9)^$B$10-(1+$B$9)^K52)/((1+$B$9)^$B$10-1)))</f>
        <v/>
      </c>
      <c r="L54" s="5">
        <f>IF(L51=0,0,IF(L52&gt;=$B$10,0,(($C$24*$D$24)*(1+$B$7)*$B$8)*((1+$B$9)^$B$10-(1+$B$9)^L52)/((1+$B$9)^$B$10-1)))</f>
        <v/>
      </c>
    </row>
    <row r="55">
      <c r="A55" t="inlineStr">
        <is>
          <t xml:space="preserve">  Annuité de dette</t>
        </is>
      </c>
      <c r="B55" s="5">
        <f>SUM(C55:L55)</f>
        <v/>
      </c>
      <c r="C55" s="5">
        <f>IF(AND(C51=1,C52&lt;=$B$10),PMT($B$9,$B$10,-(($C$24*$D$24)*(1+$B$7)*$B$8)),0)</f>
        <v/>
      </c>
      <c r="D55" s="5">
        <f>IF(AND(D51=1,D52&lt;=$B$10),PMT($B$9,$B$10,-(($C$24*$D$24)*(1+$B$7)*$B$8)),0)</f>
        <v/>
      </c>
      <c r="E55" s="5">
        <f>IF(AND(E51=1,E52&lt;=$B$10),PMT($B$9,$B$10,-(($C$24*$D$24)*(1+$B$7)*$B$8)),0)</f>
        <v/>
      </c>
      <c r="F55" s="5">
        <f>IF(AND(F51=1,F52&lt;=$B$10),PMT($B$9,$B$10,-(($C$24*$D$24)*(1+$B$7)*$B$8)),0)</f>
        <v/>
      </c>
      <c r="G55" s="5">
        <f>IF(AND(G51=1,G52&lt;=$B$10),PMT($B$9,$B$10,-(($C$24*$D$24)*(1+$B$7)*$B$8)),0)</f>
        <v/>
      </c>
      <c r="H55" s="5">
        <f>IF(AND(H51=1,H52&lt;=$B$10),PMT($B$9,$B$10,-(($C$24*$D$24)*(1+$B$7)*$B$8)),0)</f>
        <v/>
      </c>
      <c r="I55" s="5">
        <f>IF(AND(I51=1,I52&lt;=$B$10),PMT($B$9,$B$10,-(($C$24*$D$24)*(1+$B$7)*$B$8)),0)</f>
        <v/>
      </c>
      <c r="J55" s="5">
        <f>IF(AND(J51=1,J52&lt;=$B$10),PMT($B$9,$B$10,-(($C$24*$D$24)*(1+$B$7)*$B$8)),0)</f>
        <v/>
      </c>
      <c r="K55" s="5">
        <f>IF(AND(K51=1,K52&lt;=$B$10),PMT($B$9,$B$10,-(($C$24*$D$24)*(1+$B$7)*$B$8)),0)</f>
        <v/>
      </c>
      <c r="L55" s="5">
        <f>IF(AND(L51=1,L52&lt;=$B$10),PMT($B$9,$B$10,-(($C$24*$D$24)*(1+$B$7)*$B$8)),0)</f>
        <v/>
      </c>
    </row>
    <row r="56">
      <c r="A56" t="inlineStr">
        <is>
          <t xml:space="preserve">  dont intérêts</t>
        </is>
      </c>
      <c r="B56" s="5">
        <f>SUM(C56:L56)</f>
        <v/>
      </c>
      <c r="C56" s="5">
        <f>IF(AND(C51=1,C52&lt;=$B$10),(($C$24*$D$24)*(1+$B$7)*$B$8)*((1+$B$9)^$B$10-(1+$B$9)^(C52-1))/((1+$B$9)^$B$10-1)*$B$9,0)</f>
        <v/>
      </c>
      <c r="D56" s="5">
        <f>IF(AND(D51=1,D52&lt;=$B$10),(($C$24*$D$24)*(1+$B$7)*$B$8)*((1+$B$9)^$B$10-(1+$B$9)^(D52-1))/((1+$B$9)^$B$10-1)*$B$9,0)</f>
        <v/>
      </c>
      <c r="E56" s="5">
        <f>IF(AND(E51=1,E52&lt;=$B$10),(($C$24*$D$24)*(1+$B$7)*$B$8)*((1+$B$9)^$B$10-(1+$B$9)^(E52-1))/((1+$B$9)^$B$10-1)*$B$9,0)</f>
        <v/>
      </c>
      <c r="F56" s="5">
        <f>IF(AND(F51=1,F52&lt;=$B$10),(($C$24*$D$24)*(1+$B$7)*$B$8)*((1+$B$9)^$B$10-(1+$B$9)^(F52-1))/((1+$B$9)^$B$10-1)*$B$9,0)</f>
        <v/>
      </c>
      <c r="G56" s="5">
        <f>IF(AND(G51=1,G52&lt;=$B$10),(($C$24*$D$24)*(1+$B$7)*$B$8)*((1+$B$9)^$B$10-(1+$B$9)^(G52-1))/((1+$B$9)^$B$10-1)*$B$9,0)</f>
        <v/>
      </c>
      <c r="H56" s="5">
        <f>IF(AND(H51=1,H52&lt;=$B$10),(($C$24*$D$24)*(1+$B$7)*$B$8)*((1+$B$9)^$B$10-(1+$B$9)^(H52-1))/((1+$B$9)^$B$10-1)*$B$9,0)</f>
        <v/>
      </c>
      <c r="I56" s="5">
        <f>IF(AND(I51=1,I52&lt;=$B$10),(($C$24*$D$24)*(1+$B$7)*$B$8)*((1+$B$9)^$B$10-(1+$B$9)^(I52-1))/((1+$B$9)^$B$10-1)*$B$9,0)</f>
        <v/>
      </c>
      <c r="J56" s="5">
        <f>IF(AND(J51=1,J52&lt;=$B$10),(($C$24*$D$24)*(1+$B$7)*$B$8)*((1+$B$9)^$B$10-(1+$B$9)^(J52-1))/((1+$B$9)^$B$10-1)*$B$9,0)</f>
        <v/>
      </c>
      <c r="K56" s="5">
        <f>IF(AND(K51=1,K52&lt;=$B$10),(($C$24*$D$24)*(1+$B$7)*$B$8)*((1+$B$9)^$B$10-(1+$B$9)^(K52-1))/((1+$B$9)^$B$10-1)*$B$9,0)</f>
        <v/>
      </c>
      <c r="L56" s="5">
        <f>IF(AND(L51=1,L52&lt;=$B$10),(($C$24*$D$24)*(1+$B$7)*$B$8)*((1+$B$9)^$B$10-(1+$B$9)^(L52-1))/((1+$B$9)^$B$10-1)*$B$9,0)</f>
        <v/>
      </c>
    </row>
    <row r="57">
      <c r="A57" t="inlineStr">
        <is>
          <t xml:space="preserve">  Impôt sur les sociétés</t>
        </is>
      </c>
      <c r="B57" s="5">
        <f>SUM(C57:L57)</f>
        <v/>
      </c>
      <c r="C57" s="5">
        <f>MAX(0,C53*(1-$B$11)-C56)*$B$13</f>
        <v/>
      </c>
      <c r="D57" s="5">
        <f>MAX(0,D53*(1-$B$11)-D56)*$B$13</f>
        <v/>
      </c>
      <c r="E57" s="5">
        <f>MAX(0,E53*(1-$B$11)-E56)*$B$13</f>
        <v/>
      </c>
      <c r="F57" s="5">
        <f>MAX(0,F53*(1-$B$11)-F56)*$B$13</f>
        <v/>
      </c>
      <c r="G57" s="5">
        <f>MAX(0,G53*(1-$B$11)-G56)*$B$13</f>
        <v/>
      </c>
      <c r="H57" s="5">
        <f>MAX(0,H53*(1-$B$11)-H56)*$B$13</f>
        <v/>
      </c>
      <c r="I57" s="5">
        <f>MAX(0,I53*(1-$B$11)-I56)*$B$13</f>
        <v/>
      </c>
      <c r="J57" s="5">
        <f>MAX(0,J53*(1-$B$11)-J56)*$B$13</f>
        <v/>
      </c>
      <c r="K57" s="5">
        <f>MAX(0,K53*(1-$B$11)-K56)*$B$13</f>
        <v/>
      </c>
      <c r="L57" s="5">
        <f>MAX(0,L53*(1-$B$11)-L56)*$B$13</f>
        <v/>
      </c>
    </row>
    <row r="58">
      <c r="A58" s="4" t="inlineStr">
        <is>
          <t xml:space="preserve">  Cash-flow remonté à la holding (EBITDA − maintien − IS − annuité)</t>
        </is>
      </c>
      <c r="B58" s="18">
        <f>SUM(C58:L58)</f>
        <v/>
      </c>
      <c r="C58" s="18">
        <f>C53*(1-$B$11)-C57-C55</f>
        <v/>
      </c>
      <c r="D58" s="18">
        <f>D53*(1-$B$11)-D57-D55</f>
        <v/>
      </c>
      <c r="E58" s="18">
        <f>E53*(1-$B$11)-E57-E55</f>
        <v/>
      </c>
      <c r="F58" s="18">
        <f>F53*(1-$B$11)-F57-F55</f>
        <v/>
      </c>
      <c r="G58" s="18">
        <f>G53*(1-$B$11)-G57-G55</f>
        <v/>
      </c>
      <c r="H58" s="18">
        <f>H53*(1-$B$11)-H57-H55</f>
        <v/>
      </c>
      <c r="I58" s="18">
        <f>I53*(1-$B$11)-I57-I55</f>
        <v/>
      </c>
      <c r="J58" s="18">
        <f>J53*(1-$B$11)-J57-J55</f>
        <v/>
      </c>
      <c r="K58" s="18">
        <f>K53*(1-$B$11)-K57-K55</f>
        <v/>
      </c>
      <c r="L58" s="18">
        <f>L53*(1-$B$11)-L57-L55</f>
        <v/>
      </c>
    </row>
    <row r="59">
      <c r="A59" t="inlineStr">
        <is>
          <t xml:space="preserve">  Fonds propres à apporter l'année de la reprise</t>
        </is>
      </c>
      <c r="B59" s="5">
        <f>SUM(C59:L59)</f>
        <v/>
      </c>
      <c r="C59" s="5">
        <f>IF(AND($B$24&gt;0,C$27=$B$24),($C$24*$D$24)*(1+$B$7)-(($C$24*$D$24)*(1+$B$7)*$B$8),0)</f>
        <v/>
      </c>
      <c r="D59" s="5">
        <f>IF(AND($B$24&gt;0,D$27=$B$24),($C$24*$D$24)*(1+$B$7)-(($C$24*$D$24)*(1+$B$7)*$B$8),0)</f>
        <v/>
      </c>
      <c r="E59" s="5">
        <f>IF(AND($B$24&gt;0,E$27=$B$24),($C$24*$D$24)*(1+$B$7)-(($C$24*$D$24)*(1+$B$7)*$B$8),0)</f>
        <v/>
      </c>
      <c r="F59" s="5">
        <f>IF(AND($B$24&gt;0,F$27=$B$24),($C$24*$D$24)*(1+$B$7)-(($C$24*$D$24)*(1+$B$7)*$B$8),0)</f>
        <v/>
      </c>
      <c r="G59" s="5">
        <f>IF(AND($B$24&gt;0,G$27=$B$24),($C$24*$D$24)*(1+$B$7)-(($C$24*$D$24)*(1+$B$7)*$B$8),0)</f>
        <v/>
      </c>
      <c r="H59" s="5">
        <f>IF(AND($B$24&gt;0,H$27=$B$24),($C$24*$D$24)*(1+$B$7)-(($C$24*$D$24)*(1+$B$7)*$B$8),0)</f>
        <v/>
      </c>
      <c r="I59" s="5">
        <f>IF(AND($B$24&gt;0,I$27=$B$24),($C$24*$D$24)*(1+$B$7)-(($C$24*$D$24)*(1+$B$7)*$B$8),0)</f>
        <v/>
      </c>
      <c r="J59" s="5">
        <f>IF(AND($B$24&gt;0,J$27=$B$24),($C$24*$D$24)*(1+$B$7)-(($C$24*$D$24)*(1+$B$7)*$B$8),0)</f>
        <v/>
      </c>
      <c r="K59" s="5">
        <f>IF(AND($B$24&gt;0,K$27=$B$24),($C$24*$D$24)*(1+$B$7)-(($C$24*$D$24)*(1+$B$7)*$B$8),0)</f>
        <v/>
      </c>
      <c r="L59" s="5">
        <f>IF(AND($B$24&gt;0,L$27=$B$24),($C$24*$D$24)*(1+$B$7)-(($C$24*$D$24)*(1+$B$7)*$B$8),0)</f>
        <v/>
      </c>
    </row>
    <row r="60">
      <c r="A60" t="inlineStr">
        <is>
          <t xml:space="preserve">  Valeur nette des titres (VE de sortie − dette restante)</t>
        </is>
      </c>
      <c r="C60" s="5">
        <f>MAX(0,C53*$B$16-C54)</f>
        <v/>
      </c>
      <c r="D60" s="5">
        <f>MAX(0,D53*$B$16-D54)</f>
        <v/>
      </c>
      <c r="E60" s="5">
        <f>MAX(0,E53*$B$16-E54)</f>
        <v/>
      </c>
      <c r="F60" s="5">
        <f>MAX(0,F53*$B$16-F54)</f>
        <v/>
      </c>
      <c r="G60" s="5">
        <f>MAX(0,G53*$B$16-G54)</f>
        <v/>
      </c>
      <c r="H60" s="5">
        <f>MAX(0,H53*$B$16-H54)</f>
        <v/>
      </c>
      <c r="I60" s="5">
        <f>MAX(0,I53*$B$16-I54)</f>
        <v/>
      </c>
      <c r="J60" s="5">
        <f>MAX(0,J53*$B$16-J54)</f>
        <v/>
      </c>
      <c r="K60" s="5">
        <f>MAX(0,K53*$B$16-K54)</f>
        <v/>
      </c>
      <c r="L60" s="5">
        <f>MAX(0,L53*$B$16-L54)</f>
        <v/>
      </c>
    </row>
    <row r="62">
      <c r="A62" s="4" t="inlineStr">
        <is>
          <t>Holding</t>
        </is>
      </c>
    </row>
    <row r="63">
      <c r="A63" s="4" t="inlineStr">
        <is>
          <t>Flux net de la holding</t>
        </is>
      </c>
      <c r="B63" s="18">
        <f>SUM(C63:L63)</f>
        <v/>
      </c>
      <c r="C63" s="18">
        <f>IF(C$27=1,$B$5+$B$6,0)-IF(AND(C$27&gt;=1,C$27&lt;=5),$B$6/5,0)-$B$14-$B$15+C36+C47+C58-(C37+C48+C59)</f>
        <v/>
      </c>
      <c r="D63" s="18">
        <f>IF(D$27=1,$B$5+$B$6,0)-IF(AND(D$27&gt;=1,D$27&lt;=5),$B$6/5,0)-$B$14-$B$15+D36+D47+D58-(D37+D48+D59)</f>
        <v/>
      </c>
      <c r="E63" s="18">
        <f>IF(E$27=1,$B$5+$B$6,0)-IF(AND(E$27&gt;=1,E$27&lt;=5),$B$6/5,0)-$B$14-$B$15+E36+E47+E58-(E37+E48+E59)</f>
        <v/>
      </c>
      <c r="F63" s="18">
        <f>IF(F$27=1,$B$5+$B$6,0)-IF(AND(F$27&gt;=1,F$27&lt;=5),$B$6/5,0)-$B$14-$B$15+F36+F47+F58-(F37+F48+F59)</f>
        <v/>
      </c>
      <c r="G63" s="18">
        <f>IF(G$27=1,$B$5+$B$6,0)-IF(AND(G$27&gt;=1,G$27&lt;=5),$B$6/5,0)-$B$14-$B$15+G36+G47+G58-(G37+G48+G59)</f>
        <v/>
      </c>
      <c r="H63" s="18">
        <f>IF(H$27=1,$B$5+$B$6,0)-IF(AND(H$27&gt;=1,H$27&lt;=5),$B$6/5,0)-$B$14-$B$15+H36+H47+H58-(H37+H48+H59)</f>
        <v/>
      </c>
      <c r="I63" s="18">
        <f>IF(I$27=1,$B$5+$B$6,0)-IF(AND(I$27&gt;=1,I$27&lt;=5),$B$6/5,0)-$B$14-$B$15+I36+I47+I58-(I37+I48+I59)</f>
        <v/>
      </c>
      <c r="J63" s="18">
        <f>IF(J$27=1,$B$5+$B$6,0)-IF(AND(J$27&gt;=1,J$27&lt;=5),$B$6/5,0)-$B$14-$B$15+J36+J47+J58-(J37+J48+J59)</f>
        <v/>
      </c>
      <c r="K63" s="18">
        <f>IF(K$27=1,$B$5+$B$6,0)-IF(AND(K$27&gt;=1,K$27&lt;=5),$B$6/5,0)-$B$14-$B$15+K36+K47+K58-(K37+K48+K59)</f>
        <v/>
      </c>
      <c r="L63" s="18">
        <f>IF(L$27=1,$B$5+$B$6,0)-IF(AND(L$27&gt;=1,L$27&lt;=5),$B$6/5,0)-$B$14-$B$15+L36+L47+L58-(L37+L48+L59)</f>
        <v/>
      </c>
    </row>
    <row r="64">
      <c r="A64" s="4" t="inlineStr">
        <is>
          <t>Trésorerie de la holding fin d'année</t>
        </is>
      </c>
      <c r="C64" s="18">
        <f>C63</f>
        <v/>
      </c>
      <c r="D64" s="18">
        <f>C64+D63</f>
        <v/>
      </c>
      <c r="E64" s="18">
        <f>D64+E63</f>
        <v/>
      </c>
      <c r="F64" s="18">
        <f>E64+F63</f>
        <v/>
      </c>
      <c r="G64" s="18">
        <f>F64+G63</f>
        <v/>
      </c>
      <c r="H64" s="18">
        <f>G64+H63</f>
        <v/>
      </c>
      <c r="I64" s="18">
        <f>H64+I63</f>
        <v/>
      </c>
      <c r="J64" s="18">
        <f>I64+J63</f>
        <v/>
      </c>
      <c r="K64" s="18">
        <f>J64+K63</f>
        <v/>
      </c>
      <c r="L64" s="18">
        <f>K64+L63</f>
        <v/>
      </c>
    </row>
    <row r="65">
      <c r="A65" t="inlineStr">
        <is>
          <t>Valeur nette des participations (si revente)</t>
        </is>
      </c>
      <c r="C65" s="5">
        <f>C38+C49+C60</f>
        <v/>
      </c>
      <c r="D65" s="5">
        <f>D38+D49+D60</f>
        <v/>
      </c>
      <c r="E65" s="5">
        <f>E38+E49+E60</f>
        <v/>
      </c>
      <c r="F65" s="5">
        <f>F38+F49+F60</f>
        <v/>
      </c>
      <c r="G65" s="5">
        <f>G38+G49+G60</f>
        <v/>
      </c>
      <c r="H65" s="5">
        <f>H38+H49+H60</f>
        <v/>
      </c>
      <c r="I65" s="5">
        <f>I38+I49+I60</f>
        <v/>
      </c>
      <c r="J65" s="5">
        <f>J38+J49+J60</f>
        <v/>
      </c>
      <c r="K65" s="5">
        <f>K38+K49+K60</f>
        <v/>
      </c>
      <c r="L65" s="5">
        <f>L38+L49+L60</f>
        <v/>
      </c>
    </row>
    <row r="66">
      <c r="A66" s="4" t="inlineStr">
        <is>
          <t>Capacité d'apport si revente des PME (trésorerie + valeur nette)</t>
        </is>
      </c>
      <c r="C66" s="18">
        <f>C64+C65</f>
        <v/>
      </c>
      <c r="D66" s="18">
        <f>D64+D65</f>
        <v/>
      </c>
      <c r="E66" s="18">
        <f>E64+E65</f>
        <v/>
      </c>
      <c r="F66" s="18">
        <f>F64+F65</f>
        <v/>
      </c>
      <c r="G66" s="18">
        <f>G64+G65</f>
        <v/>
      </c>
      <c r="H66" s="18">
        <f>H64+H65</f>
        <v/>
      </c>
      <c r="I66" s="18">
        <f>I64+I65</f>
        <v/>
      </c>
      <c r="J66" s="18">
        <f>J64+J65</f>
        <v/>
      </c>
      <c r="K66" s="18">
        <f>K64+K65</f>
        <v/>
      </c>
      <c r="L66" s="18">
        <f>L64+L65</f>
        <v/>
      </c>
    </row>
    <row r="68">
      <c r="A68" s="10" t="inlineStr">
        <is>
          <t>4. Indicateurs</t>
        </is>
      </c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</row>
    <row r="69">
      <c r="A69" t="inlineStr">
        <is>
          <t>Trésorerie minimale de la holding (négative = apport manquant)</t>
        </is>
      </c>
      <c r="B69" s="18">
        <f>MIN(C64:L64)</f>
        <v/>
      </c>
    </row>
    <row r="70">
      <c r="A70" t="inlineStr">
        <is>
          <t>Trésorerie disponible l'année cible (sans revendre les PME)</t>
        </is>
      </c>
      <c r="B70" s="18">
        <f>INDEX(C64:L64,$B$17)</f>
        <v/>
      </c>
    </row>
    <row r="71">
      <c r="A71" t="inlineStr">
        <is>
          <t>Capacité d'apport l'année cible en revendant toutes les PME</t>
        </is>
      </c>
      <c r="B71" s="18">
        <f>INDEX(C66:L66,$B$17)</f>
        <v/>
      </c>
    </row>
    <row r="72">
      <c r="A72" t="inlineStr">
        <is>
          <t>Fonds propres nécessaires pour le château (scénario C)</t>
        </is>
      </c>
      <c r="B72" s="18">
        <f>$B$18</f>
        <v/>
      </c>
    </row>
    <row r="73">
      <c r="A73" t="inlineStr">
        <is>
          <t>Couverture du besoin sans revente</t>
        </is>
      </c>
      <c r="B73" s="14">
        <f>IF($B$18=0,"n/a",INDEX(C64:L64,$B$17)/$B$18)</f>
        <v/>
      </c>
    </row>
    <row r="74">
      <c r="A74" t="inlineStr">
        <is>
          <t>Couverture du besoin avec revente</t>
        </is>
      </c>
      <c r="B74" s="14">
        <f>IF($B$18=0,"n/a",INDEX(C66:L66,$B$17)/$B$18)</f>
        <v/>
      </c>
    </row>
    <row r="75">
      <c r="A75" t="inlineStr">
        <is>
          <t>Année où la trésorerie (sans revente) atteint le besoin</t>
        </is>
      </c>
      <c r="B75" s="20">
        <f>IFERROR(MATCH(TRUE,INDEX(C64:L64&gt;=$B$18,0),0),"pas avant l'an 10")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4" t="inlineStr">
        <is>
          <t>Hypothèse</t>
        </is>
      </c>
      <c r="B1" s="4" t="inlineStr">
        <is>
          <t>Source / justification / statut</t>
        </is>
      </c>
    </row>
    <row r="2">
      <c r="A2" t="inlineStr">
        <is>
          <t>Prix du domaine 2,5 M€</t>
        </is>
      </c>
      <c r="B2" s="2" t="inlineStr">
        <is>
          <t>PL : médiane de 19 annonces French-Property de châteaux ≥ 30 ha (quartiles 1,29-3,07 M€), relevées le 2026-10-14 [01_OPPORTUNITES]. Prix total par ha : médiane ≈ 59 k€/ha.</t>
        </is>
      </c>
    </row>
    <row r="3">
      <c r="A3" t="inlineStr">
        <is>
          <t>Frais d'acquisition 7,5 %</t>
        </is>
      </c>
      <c r="B3" s="2" t="inlineStr">
        <is>
          <t>EST : DMTO + notaire ; vente SAFER : frais 8,4 % TTC, exonération des droits si destination agricole maintenue (une annonce, PL).</t>
        </is>
      </c>
    </row>
    <row r="4">
      <c r="A4" t="inlineStr">
        <is>
          <t>Taux 4,0 % / 20 ans</t>
        </is>
      </c>
      <c r="B4" s="2" t="inlineStr">
        <is>
          <t>PL : FBF, crédits aux PME 3,64 % (06/2026) ; EX : BdF 3,66 % (08/2026). Bpifrance : 15 ans avec hypothèque (PL). Critères CRA pour une reprise : ≤ 7 ans, ≤ 70 % du prix (PL).</t>
        </is>
      </c>
    </row>
    <row r="5">
      <c r="A5" t="inlineStr">
        <is>
          <t>Pensions</t>
        </is>
      </c>
      <c r="B5" s="2" t="inlineStr">
        <is>
          <t>PL : annuaire pension-chevaux.com, 402 tarifs de 114 écuries (Normandie, Centre, PdL, IdF) — box 350-450 € TTC (médianes), premium 540-650 €, pré 200-240 €, retraite 170-230 €, travail 535-656 €. TVA 5,5 % (pension liée aux installations) ou 20 % (retraite, valorisation) — BOFiP 2024 (PL), risque de requalification.</t>
        </is>
      </c>
    </row>
    <row r="6">
      <c r="A6" t="inlineStr">
        <is>
          <t>Calibrage équestre</t>
        </is>
      </c>
      <c r="B6" s="2" t="inlineStr">
        <is>
          <t>PL : Réseau Équin (synthèse 2024, données 2022) — EBE/produit brut 36-38 % (pension hébergement), 23-28 % (pension travail, centre équestre) ; échantillon de structures performantes.</t>
        </is>
      </c>
    </row>
    <row r="7">
      <c r="A7" t="inlineStr">
        <is>
          <t>Salaires</t>
        </is>
      </c>
      <c r="B7" s="2" t="inlineStr">
        <is>
          <t>PL : Smic 2026 1 867,02 € brut/mois ; grille IDCC 7026 coef. 100-109 inférieure au Smic ; productivité 1 ETP / 17-20 équidés.</t>
        </is>
      </c>
    </row>
    <row r="8">
      <c r="A8" t="inlineStr">
        <is>
          <t>Mariages</t>
        </is>
      </c>
      <c r="B8" s="2" t="inlineStr">
        <is>
          <t>PL : 1001 Salles, 27 fiches de châteaux — location week-end sans hébergement médiane 3 400 € TTC, avec hébergement 6 800 € TTC. INSEE : 251 000 mariages en 2025, 68 % mai-septembre. Volume 12/an : EST.</t>
        </is>
      </c>
    </row>
    <row r="9">
      <c r="A9" t="inlineStr">
        <is>
          <t>Gîte, séminaires, tournages, fermage</t>
        </is>
      </c>
      <c r="B9" s="2" t="inlineStr">
        <is>
          <t>PL : fourchettes de prix des lieux, arrêtés de fermage Orne/Calvados 2026-27, commission du film des Pays de la Loire. Volumes : EST.</t>
        </is>
      </c>
    </row>
    <row r="10">
      <c r="A10" t="inlineStr">
        <is>
          <t>Charges du château (≈ 68 k€/an + gros entretien ≈ 40 k€)</t>
        </is>
      </c>
      <c r="B10" s="2" t="inlineStr">
        <is>
          <t>Mix PL/EX/EST [A4 §11] : taxe foncière 2,6-4,0 k€ observée, assurance ≥ 2,5 k€, énergie 15-25 k€, Smic, Barnes 20-80 k€/an de charges.</t>
        </is>
      </c>
    </row>
    <row r="11">
      <c r="A11" t="inlineStr">
        <is>
          <t>Travaux</t>
        </is>
      </c>
      <c r="B11" s="2" t="inlineStr">
        <is>
          <t>EST sans visite ni devis : domaine déjà équipé (top 5 de l'agent 1 : 0,1-0,7 M€). Écurie neuve 30 box : 0,78-0,83 M€ HT ; salle ERP + gîte neufs : 0,57-1,24 M€.</t>
        </is>
      </c>
    </row>
    <row r="12">
      <c r="A12" t="inlineStr">
        <is>
          <t>Valeur de sortie 80 %</t>
        </is>
      </c>
      <c r="B12" s="2" t="inlineStr">
        <is>
          <t>EST ; contre-exemple Haras de Hus : CA 1,77 M€, résultat d'exploitation −3,9 M€ (2024, Xerfi, PL), prix affiché 20 → 12,9 M€.</t>
        </is>
      </c>
    </row>
    <row r="13">
      <c r="A13" t="inlineStr">
        <is>
          <t>Cas prudent</t>
        </is>
      </c>
      <c r="B13" s="2" t="inlineStr">
        <is>
          <t>Volumes × 0,8 ; prix × 0,92 ; charges fixes × 1,1 ; travaux × 1,25 ; montée en charge 40/65/85 %.</t>
        </is>
      </c>
    </row>
    <row r="14">
      <c r="A14" t="inlineStr">
        <is>
          <t>Cas optimiste</t>
        </is>
      </c>
      <c r="B14" s="2" t="inlineStr">
        <is>
          <t>Volumes × 1,15 ; prix × 1,08 ; charges fixes × 0,95 ; travaux inchangés ; montée en charge 60/90/100 %.</t>
        </is>
      </c>
    </row>
    <row r="15">
      <c r="A15" t="inlineStr">
        <is>
          <t>Financements</t>
        </is>
      </c>
      <c r="B15" s="2" t="inlineStr">
        <is>
          <t>AUCUN n'est acquis : banques, investisseurs, vendeur, obligataires, holding, subventions. Personne n'a été contacté.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2026-10-14T18:18:02Z</dcterms:created>
  <dcterms:modified xmlns:dcterms="http://purl.org/dc/terms/" xmlns:xsi="http://www.w3.org/2001/XMLSchema-instance" xsi:type="dcterms:W3CDTF">2026-10-14T18:18:03Z</dcterms:modified>
</cp:coreProperties>
</file>