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Hypotheses" sheetId="2" state="visible" r:id="rId4"/>
    <sheet name="Budget" sheetId="3" state="visible" r:id="rId5"/>
    <sheet name="Moteurs" sheetId="4" state="visible" r:id="rId6"/>
    <sheet name="Modeles" sheetId="5" state="visible" r:id="rId7"/>
    <sheet name="Proj_S2_sans_moteur" sheetId="6" state="visible" r:id="rId8"/>
    <sheet name="Proj_S2_solution" sheetId="7" state="visible" r:id="rId9"/>
    <sheet name="ST_S2_ca30" sheetId="8" state="visible" r:id="rId10"/>
    <sheet name="ST_S2_crise" sheetId="9" state="visible" r:id="rId11"/>
    <sheet name="ST_S2_travaux" sheetId="10" state="visible" r:id="rId12"/>
    <sheet name="ST_S2_energie" sheetId="11" state="visible" r:id="rId13"/>
    <sheet name="ST_S2_salaires" sheetId="12" state="visible" r:id="rId14"/>
    <sheet name="ST_S2_moteur" sheetId="13" state="visible" r:id="rId15"/>
    <sheet name="ST_S2_cumul" sheetId="14" state="visible" r:id="rId16"/>
    <sheet name="Proj_S1_solution" sheetId="15" state="visible" r:id="rId17"/>
    <sheet name="ST_S1_cumul" sheetId="16" state="visible" r:id="rId18"/>
    <sheet name="Proj_S3_solution" sheetId="17" state="visible" r:id="rId19"/>
    <sheet name="Stress_synthese" sheetId="18" state="visible" r:id="rId20"/>
    <sheet name="Sources" sheetId="19" state="visible" r:id="rId21"/>
  </sheets>
  <definedNames>
    <definedName function="false" hidden="false" name="anc_ca_chambre" vbProcedure="false">Hypotheses!$D$191</definedName>
    <definedName function="false" hidden="false" name="anc_ca_chambre_def" vbProcedure="false">Hypotheses!$E$191</definedName>
    <definedName function="false" hidden="false" name="anc_ca_chambre_fav" vbProcedure="false">Hypotheses!$C$191</definedName>
    <definedName function="false" hidden="false" name="anc_chambres" vbProcedure="false">Hypotheses!$D$192</definedName>
    <definedName function="false" hidden="false" name="anc_chambres_def" vbProcedure="false">Hypotheses!$E$192</definedName>
    <definedName function="false" hidden="false" name="anc_chambres_fav" vbProcedure="false">Hypotheses!$C$192</definedName>
    <definedName function="false" hidden="false" name="anc_frais_bailleur" vbProcedure="false">Hypotheses!$D$193</definedName>
    <definedName function="false" hidden="false" name="anc_frais_bailleur_def" vbProcedure="false">Hypotheses!$E$193</definedName>
    <definedName function="false" hidden="false" name="anc_frais_bailleur_fav" vbProcedure="false">Hypotheses!$C$193</definedName>
    <definedName function="false" hidden="false" name="anc_part_transferee" vbProcedure="false">Hypotheses!$D$194</definedName>
    <definedName function="false" hidden="false" name="anc_part_transferee_def" vbProcedure="false">Hypotheses!$E$194</definedName>
    <definedName function="false" hidden="false" name="anc_part_transferee_fav" vbProcedure="false">Hypotheses!$C$194</definedName>
    <definedName function="false" hidden="false" name="anc_taux_loyer" vbProcedure="false">Hypotheses!$D$195</definedName>
    <definedName function="false" hidden="false" name="anc_taux_loyer_def" vbProcedure="false">Hypotheses!$E$195</definedName>
    <definedName function="false" hidden="false" name="anc_taux_loyer_fav" vbProcedure="false">Hypotheses!$C$195</definedName>
    <definedName function="false" hidden="false" name="assurance_taux" vbProcedure="false">Hypotheses!$D$12</definedName>
    <definedName function="false" hidden="false" name="assurance_taux_def" vbProcedure="false">Hypotheses!$E$12</definedName>
    <definedName function="false" hidden="false" name="assurance_taux_fav" vbProcedure="false">Hypotheses!$C$12</definedName>
    <definedName function="false" hidden="false" name="auto_capex" vbProcedure="false">Hypotheses!$D$237</definedName>
    <definedName function="false" hidden="false" name="auto_capex_def" vbProcedure="false">Hypotheses!$E$237</definedName>
    <definedName function="false" hidden="false" name="auto_capex_fav" vbProcedure="false">Hypotheses!$C$237</definedName>
    <definedName function="false" hidden="false" name="auto_fixe" vbProcedure="false">Hypotheses!$D$238</definedName>
    <definedName function="false" hidden="false" name="auto_fixe_def" vbProcedure="false">Hypotheses!$E$238</definedName>
    <definedName function="false" hidden="false" name="auto_fixe_fav" vbProcedure="false">Hypotheses!$C$238</definedName>
    <definedName function="false" hidden="false" name="auto_occ" vbProcedure="false">Hypotheses!$D$239</definedName>
    <definedName function="false" hidden="false" name="auto_occ_def" vbProcedure="false">Hypotheses!$E$239</definedName>
    <definedName function="false" hidden="false" name="auto_occ_fav" vbProcedure="false">Hypotheses!$C$239</definedName>
    <definedName function="false" hidden="false" name="auto_places" vbProcedure="false">Hypotheses!$D$240</definedName>
    <definedName function="false" hidden="false" name="auto_places_def" vbProcedure="false">Hypotheses!$E$240</definedName>
    <definedName function="false" hidden="false" name="auto_places_fav" vbProcedure="false">Hypotheses!$C$240</definedName>
    <definedName function="false" hidden="false" name="auto_prix" vbProcedure="false">Hypotheses!$D$241</definedName>
    <definedName function="false" hidden="false" name="auto_prix_def" vbProcedure="false">Hypotheses!$E$241</definedName>
    <definedName function="false" hidden="false" name="auto_prix_fav" vbProcedure="false">Hypotheses!$C$241</definedName>
    <definedName function="false" hidden="false" name="bois_cout_ha" vbProcedure="false">Hypotheses!$D$175</definedName>
    <definedName function="false" hidden="false" name="bois_cout_ha_def" vbProcedure="false">Hypotheses!$E$175</definedName>
    <definedName function="false" hidden="false" name="bois_cout_ha_fav" vbProcedure="false">Hypotheses!$C$175</definedName>
    <definedName function="false" hidden="false" name="bois_net_ha" vbProcedure="false">Hypotheses!$D$214</definedName>
    <definedName function="false" hidden="false" name="bois_net_ha_def" vbProcedure="false">Hypotheses!$E$214</definedName>
    <definedName function="false" hidden="false" name="bois_net_ha_fav" vbProcedure="false">Hypotheses!$C$214</definedName>
    <definedName function="false" hidden="false" name="box_entretien" vbProcedure="false">Hypotheses!$D$176</definedName>
    <definedName function="false" hidden="false" name="box_entretien_def" vbProcedure="false">Hypotheses!$E$176</definedName>
    <definedName function="false" hidden="false" name="box_entretien_fav" vbProcedure="false">Hypotheses!$C$176</definedName>
    <definedName function="false" hidden="false" name="bud_admin_S1" vbProcedure="false">Budget!$F$39</definedName>
    <definedName function="false" hidden="false" name="bud_admin_S1_def" vbProcedure="false">Budget!$G$39</definedName>
    <definedName function="false" hidden="false" name="bud_admin_S1_fav" vbProcedure="false">Budget!$E$39</definedName>
    <definedName function="false" hidden="false" name="bud_admin_S2" vbProcedure="false">Budget!$I$39</definedName>
    <definedName function="false" hidden="false" name="bud_admin_S2_def" vbProcedure="false">Budget!$J$39</definedName>
    <definedName function="false" hidden="false" name="bud_admin_S2_fav" vbProcedure="false">Budget!$H$39</definedName>
    <definedName function="false" hidden="false" name="bud_admin_S3" vbProcedure="false">Budget!$L$39</definedName>
    <definedName function="false" hidden="false" name="bud_admin_S3_def" vbProcedure="false">Budget!$M$39</definedName>
    <definedName function="false" hidden="false" name="bud_admin_S3_fav" vbProcedure="false">Budget!$K$39</definedName>
    <definedName function="false" hidden="false" name="bud_assurance_autres_S1" vbProcedure="false">Budget!$F$35</definedName>
    <definedName function="false" hidden="false" name="bud_assurance_autres_S1_def" vbProcedure="false">Budget!$G$35</definedName>
    <definedName function="false" hidden="false" name="bud_assurance_autres_S1_fav" vbProcedure="false">Budget!$E$35</definedName>
    <definedName function="false" hidden="false" name="bud_assurance_autres_S2" vbProcedure="false">Budget!$I$35</definedName>
    <definedName function="false" hidden="false" name="bud_assurance_autres_S2_def" vbProcedure="false">Budget!$J$35</definedName>
    <definedName function="false" hidden="false" name="bud_assurance_autres_S2_fav" vbProcedure="false">Budget!$H$35</definedName>
    <definedName function="false" hidden="false" name="bud_assurance_autres_S3" vbProcedure="false">Budget!$L$35</definedName>
    <definedName function="false" hidden="false" name="bud_assurance_autres_S3_def" vbProcedure="false">Budget!$M$35</definedName>
    <definedName function="false" hidden="false" name="bud_assurance_autres_S3_fav" vbProcedure="false">Budget!$K$35</definedName>
    <definedName function="false" hidden="false" name="bud_assurance_bati_S1" vbProcedure="false">Budget!$F$34</definedName>
    <definedName function="false" hidden="false" name="bud_assurance_bati_S1_def" vbProcedure="false">Budget!$G$34</definedName>
    <definedName function="false" hidden="false" name="bud_assurance_bati_S1_fav" vbProcedure="false">Budget!$E$34</definedName>
    <definedName function="false" hidden="false" name="bud_assurance_bati_S2" vbProcedure="false">Budget!$I$34</definedName>
    <definedName function="false" hidden="false" name="bud_assurance_bati_S2_def" vbProcedure="false">Budget!$J$34</definedName>
    <definedName function="false" hidden="false" name="bud_assurance_bati_S2_fav" vbProcedure="false">Budget!$H$34</definedName>
    <definedName function="false" hidden="false" name="bud_assurance_bati_S3" vbProcedure="false">Budget!$L$34</definedName>
    <definedName function="false" hidden="false" name="bud_assurance_bati_S3_def" vbProcedure="false">Budget!$M$34</definedName>
    <definedName function="false" hidden="false" name="bud_assurance_bati_S3_fav" vbProcedure="false">Budget!$K$34</definedName>
    <definedName function="false" hidden="false" name="bud_bati_courant_S1" vbProcedure="false">Budget!$F$6</definedName>
    <definedName function="false" hidden="false" name="bud_bati_courant_S1_def" vbProcedure="false">Budget!$G$6</definedName>
    <definedName function="false" hidden="false" name="bud_bati_courant_S1_fav" vbProcedure="false">Budget!$E$6</definedName>
    <definedName function="false" hidden="false" name="bud_bati_courant_S2" vbProcedure="false">Budget!$I$6</definedName>
    <definedName function="false" hidden="false" name="bud_bati_courant_S2_def" vbProcedure="false">Budget!$J$6</definedName>
    <definedName function="false" hidden="false" name="bud_bati_courant_S2_fav" vbProcedure="false">Budget!$H$6</definedName>
    <definedName function="false" hidden="false" name="bud_bati_courant_S3" vbProcedure="false">Budget!$L$6</definedName>
    <definedName function="false" hidden="false" name="bud_bati_courant_S3_def" vbProcedure="false">Budget!$M$6</definedName>
    <definedName function="false" hidden="false" name="bud_bati_courant_S3_fav" vbProcedure="false">Budget!$K$6</definedName>
    <definedName function="false" hidden="false" name="bud_bati_ge_S1" vbProcedure="false">Budget!$F$7</definedName>
    <definedName function="false" hidden="false" name="bud_bati_ge_S1_def" vbProcedure="false">Budget!$G$7</definedName>
    <definedName function="false" hidden="false" name="bud_bati_ge_S1_fav" vbProcedure="false">Budget!$E$7</definedName>
    <definedName function="false" hidden="false" name="bud_bati_ge_S2" vbProcedure="false">Budget!$I$7</definedName>
    <definedName function="false" hidden="false" name="bud_bati_ge_S2_def" vbProcedure="false">Budget!$J$7</definedName>
    <definedName function="false" hidden="false" name="bud_bati_ge_S2_fav" vbProcedure="false">Budget!$H$7</definedName>
    <definedName function="false" hidden="false" name="bud_bati_ge_S3" vbProcedure="false">Budget!$L$7</definedName>
    <definedName function="false" hidden="false" name="bud_bati_ge_S3_def" vbProcedure="false">Budget!$M$7</definedName>
    <definedName function="false" hidden="false" name="bud_bati_ge_S3_fav" vbProcedure="false">Budget!$K$7</definedName>
    <definedName function="false" hidden="false" name="bud_besoin_en_pct_valeur_S1" vbProcedure="false">Budget!$F$54</definedName>
    <definedName function="false" hidden="false" name="bud_besoin_en_pct_valeur_S1_def" vbProcedure="false">Budget!$G$54</definedName>
    <definedName function="false" hidden="false" name="bud_besoin_en_pct_valeur_S1_fav" vbProcedure="false">Budget!$E$54</definedName>
    <definedName function="false" hidden="false" name="bud_besoin_en_pct_valeur_S2" vbProcedure="false">Budget!$I$54</definedName>
    <definedName function="false" hidden="false" name="bud_besoin_en_pct_valeur_S2_def" vbProcedure="false">Budget!$J$54</definedName>
    <definedName function="false" hidden="false" name="bud_besoin_en_pct_valeur_S2_fav" vbProcedure="false">Budget!$H$54</definedName>
    <definedName function="false" hidden="false" name="bud_besoin_en_pct_valeur_S3" vbProcedure="false">Budget!$L$54</definedName>
    <definedName function="false" hidden="false" name="bud_besoin_en_pct_valeur_S3_def" vbProcedure="false">Budget!$M$54</definedName>
    <definedName function="false" hidden="false" name="bud_besoin_en_pct_valeur_S3_fav" vbProcedure="false">Budget!$K$54</definedName>
    <definedName function="false" hidden="false" name="bud_besoin_ht_societe_S1" vbProcedure="false">Budget!$F$52</definedName>
    <definedName function="false" hidden="false" name="bud_besoin_ht_societe_S1_def" vbProcedure="false">Budget!$G$52</definedName>
    <definedName function="false" hidden="false" name="bud_besoin_ht_societe_S1_fav" vbProcedure="false">Budget!$E$52</definedName>
    <definedName function="false" hidden="false" name="bud_besoin_ht_societe_S2" vbProcedure="false">Budget!$I$52</definedName>
    <definedName function="false" hidden="false" name="bud_besoin_ht_societe_S2_def" vbProcedure="false">Budget!$J$52</definedName>
    <definedName function="false" hidden="false" name="bud_besoin_ht_societe_S2_fav" vbProcedure="false">Budget!$H$52</definedName>
    <definedName function="false" hidden="false" name="bud_besoin_ht_societe_S3" vbProcedure="false">Budget!$L$52</definedName>
    <definedName function="false" hidden="false" name="bud_besoin_ht_societe_S3_def" vbProcedure="false">Budget!$M$52</definedName>
    <definedName function="false" hidden="false" name="bud_besoin_ht_societe_S3_fav" vbProcedure="false">Budget!$K$52</definedName>
    <definedName function="false" hidden="false" name="bud_besoin_par_m2_S1" vbProcedure="false">Budget!$F$53</definedName>
    <definedName function="false" hidden="false" name="bud_besoin_par_m2_S1_def" vbProcedure="false">Budget!$G$53</definedName>
    <definedName function="false" hidden="false" name="bud_besoin_par_m2_S1_fav" vbProcedure="false">Budget!$E$53</definedName>
    <definedName function="false" hidden="false" name="bud_besoin_par_m2_S2" vbProcedure="false">Budget!$I$53</definedName>
    <definedName function="false" hidden="false" name="bud_besoin_par_m2_S2_def" vbProcedure="false">Budget!$J$53</definedName>
    <definedName function="false" hidden="false" name="bud_besoin_par_m2_S2_fav" vbProcedure="false">Budget!$H$53</definedName>
    <definedName function="false" hidden="false" name="bud_besoin_par_m2_S3" vbProcedure="false">Budget!$L$53</definedName>
    <definedName function="false" hidden="false" name="bud_besoin_par_m2_S3_def" vbProcedure="false">Budget!$M$53</definedName>
    <definedName function="false" hidden="false" name="bud_besoin_par_m2_S3_fav" vbProcedure="false">Budget!$K$53</definedName>
    <definedName function="false" hidden="false" name="bud_bois_S1" vbProcedure="false">Budget!$F$25</definedName>
    <definedName function="false" hidden="false" name="bud_bois_S1_def" vbProcedure="false">Budget!$G$25</definedName>
    <definedName function="false" hidden="false" name="bud_bois_S1_fav" vbProcedure="false">Budget!$E$25</definedName>
    <definedName function="false" hidden="false" name="bud_bois_S2" vbProcedure="false">Budget!$I$25</definedName>
    <definedName function="false" hidden="false" name="bud_bois_S2_def" vbProcedure="false">Budget!$J$25</definedName>
    <definedName function="false" hidden="false" name="bud_bois_S2_fav" vbProcedure="false">Budget!$H$25</definedName>
    <definedName function="false" hidden="false" name="bud_bois_S3" vbProcedure="false">Budget!$L$25</definedName>
    <definedName function="false" hidden="false" name="bud_bois_S3_def" vbProcedure="false">Budget!$M$25</definedName>
    <definedName function="false" hidden="false" name="bud_bois_S3_fav" vbProcedure="false">Budget!$K$25</definedName>
    <definedName function="false" hidden="false" name="bud_chauffage_S1" vbProcedure="false">Budget!$F$30</definedName>
    <definedName function="false" hidden="false" name="bud_chauffage_S1_def" vbProcedure="false">Budget!$G$30</definedName>
    <definedName function="false" hidden="false" name="bud_chauffage_S1_fav" vbProcedure="false">Budget!$E$30</definedName>
    <definedName function="false" hidden="false" name="bud_chauffage_S2" vbProcedure="false">Budget!$I$30</definedName>
    <definedName function="false" hidden="false" name="bud_chauffage_S2_def" vbProcedure="false">Budget!$J$30</definedName>
    <definedName function="false" hidden="false" name="bud_chauffage_S2_fav" vbProcedure="false">Budget!$H$30</definedName>
    <definedName function="false" hidden="false" name="bud_chauffage_S3" vbProcedure="false">Budget!$L$30</definedName>
    <definedName function="false" hidden="false" name="bud_chauffage_S3_def" vbProcedure="false">Budget!$M$30</definedName>
    <definedName function="false" hidden="false" name="bud_chauffage_S3_fav" vbProcedure="false">Budget!$K$30</definedName>
    <definedName function="false" hidden="false" name="bud_chevaux_S1" vbProcedure="false">Budget!$F$28</definedName>
    <definedName function="false" hidden="false" name="bud_chevaux_S1_def" vbProcedure="false">Budget!$G$28</definedName>
    <definedName function="false" hidden="false" name="bud_chevaux_S1_fav" vbProcedure="false">Budget!$E$28</definedName>
    <definedName function="false" hidden="false" name="bud_chevaux_S2" vbProcedure="false">Budget!$I$28</definedName>
    <definedName function="false" hidden="false" name="bud_chevaux_S2_def" vbProcedure="false">Budget!$J$28</definedName>
    <definedName function="false" hidden="false" name="bud_chevaux_S2_fav" vbProcedure="false">Budget!$H$28</definedName>
    <definedName function="false" hidden="false" name="bud_chevaux_S3" vbProcedure="false">Budget!$L$28</definedName>
    <definedName function="false" hidden="false" name="bud_chevaux_S3_def" vbProcedure="false">Budget!$M$28</definedName>
    <definedName function="false" hidden="false" name="bud_chevaux_S3_fav" vbProcedure="false">Budget!$K$28</definedName>
    <definedName function="false" hidden="false" name="bud_clotures_S1" vbProcedure="false">Budget!$F$24</definedName>
    <definedName function="false" hidden="false" name="bud_clotures_S1_def" vbProcedure="false">Budget!$G$24</definedName>
    <definedName function="false" hidden="false" name="bud_clotures_S1_fav" vbProcedure="false">Budget!$E$24</definedName>
    <definedName function="false" hidden="false" name="bud_clotures_S2" vbProcedure="false">Budget!$I$24</definedName>
    <definedName function="false" hidden="false" name="bud_clotures_S2_def" vbProcedure="false">Budget!$J$24</definedName>
    <definedName function="false" hidden="false" name="bud_clotures_S2_fav" vbProcedure="false">Budget!$H$24</definedName>
    <definedName function="false" hidden="false" name="bud_clotures_S3" vbProcedure="false">Budget!$L$24</definedName>
    <definedName function="false" hidden="false" name="bud_clotures_S3_def" vbProcedure="false">Budget!$M$24</definedName>
    <definedName function="false" hidden="false" name="bud_clotures_S3_fav" vbProcedure="false">Budget!$K$24</definedName>
    <definedName function="false" hidden="false" name="bud_dette_annuite_S1" vbProcedure="false">Budget!$F$55</definedName>
    <definedName function="false" hidden="false" name="bud_dette_annuite_S1_def" vbProcedure="false">Budget!$G$55</definedName>
    <definedName function="false" hidden="false" name="bud_dette_annuite_S1_fav" vbProcedure="false">Budget!$E$55</definedName>
    <definedName function="false" hidden="false" name="bud_dette_annuite_S2" vbProcedure="false">Budget!$I$55</definedName>
    <definedName function="false" hidden="false" name="bud_dette_annuite_S2_def" vbProcedure="false">Budget!$J$55</definedName>
    <definedName function="false" hidden="false" name="bud_dette_annuite_S2_fav" vbProcedure="false">Budget!$H$55</definedName>
    <definedName function="false" hidden="false" name="bud_dette_annuite_S3" vbProcedure="false">Budget!$L$55</definedName>
    <definedName function="false" hidden="false" name="bud_dette_annuite_S3_def" vbProcedure="false">Budget!$M$55</definedName>
    <definedName function="false" hidden="false" name="bud_dette_annuite_S3_fav" vbProcedure="false">Budget!$K$55</definedName>
    <definedName function="false" hidden="false" name="bud_dont_bati_S1" vbProcedure="false">Budget!$F$49</definedName>
    <definedName function="false" hidden="false" name="bud_dont_bati_S1_def" vbProcedure="false">Budget!$G$49</definedName>
    <definedName function="false" hidden="false" name="bud_dont_bati_S1_fav" vbProcedure="false">Budget!$E$49</definedName>
    <definedName function="false" hidden="false" name="bud_dont_bati_S2" vbProcedure="false">Budget!$I$49</definedName>
    <definedName function="false" hidden="false" name="bud_dont_bati_S2_def" vbProcedure="false">Budget!$J$49</definedName>
    <definedName function="false" hidden="false" name="bud_dont_bati_S2_fav" vbProcedure="false">Budget!$H$49</definedName>
    <definedName function="false" hidden="false" name="bud_dont_bati_S3" vbProcedure="false">Budget!$L$49</definedName>
    <definedName function="false" hidden="false" name="bud_dont_bati_S3_def" vbProcedure="false">Budget!$M$49</definedName>
    <definedName function="false" hidden="false" name="bud_dont_bati_S3_fav" vbProcedure="false">Budget!$K$49</definedName>
    <definedName function="false" hidden="false" name="bud_dont_personnel_calc_S1" vbProcedure="false">Budget!$F$41</definedName>
    <definedName function="false" hidden="false" name="bud_dont_personnel_calc_S1_def" vbProcedure="false">Budget!$G$41</definedName>
    <definedName function="false" hidden="false" name="bud_dont_personnel_calc_S1_fav" vbProcedure="false">Budget!$E$41</definedName>
    <definedName function="false" hidden="false" name="bud_dont_personnel_calc_S2" vbProcedure="false">Budget!$I$41</definedName>
    <definedName function="false" hidden="false" name="bud_dont_personnel_calc_S2_def" vbProcedure="false">Budget!$J$41</definedName>
    <definedName function="false" hidden="false" name="bud_dont_personnel_calc_S2_fav" vbProcedure="false">Budget!$H$41</definedName>
    <definedName function="false" hidden="false" name="bud_dont_personnel_calc_S3" vbProcedure="false">Budget!$L$41</definedName>
    <definedName function="false" hidden="false" name="bud_dont_personnel_calc_S3_def" vbProcedure="false">Budget!$M$41</definedName>
    <definedName function="false" hidden="false" name="bud_dont_personnel_calc_S3_fav" vbProcedure="false">Budget!$K$41</definedName>
    <definedName function="false" hidden="false" name="bud_dont_personnel_S1" vbProcedure="false">Budget!$F$48</definedName>
    <definedName function="false" hidden="false" name="bud_dont_personnel_S1_def" vbProcedure="false">Budget!$G$48</definedName>
    <definedName function="false" hidden="false" name="bud_dont_personnel_S1_fav" vbProcedure="false">Budget!$E$48</definedName>
    <definedName function="false" hidden="false" name="bud_dont_personnel_S2" vbProcedure="false">Budget!$I$48</definedName>
    <definedName function="false" hidden="false" name="bud_dont_personnel_S2_def" vbProcedure="false">Budget!$J$48</definedName>
    <definedName function="false" hidden="false" name="bud_dont_personnel_S2_fav" vbProcedure="false">Budget!$H$48</definedName>
    <definedName function="false" hidden="false" name="bud_dont_personnel_S3" vbProcedure="false">Budget!$L$48</definedName>
    <definedName function="false" hidden="false" name="bud_dont_personnel_S3_def" vbProcedure="false">Budget!$M$48</definedName>
    <definedName function="false" hidden="false" name="bud_dont_personnel_S3_fav" vbProcedure="false">Budget!$K$48</definedName>
    <definedName function="false" hidden="false" name="bud_eau_S1" vbProcedure="false">Budget!$F$33</definedName>
    <definedName function="false" hidden="false" name="bud_eau_S1_def" vbProcedure="false">Budget!$G$33</definedName>
    <definedName function="false" hidden="false" name="bud_eau_S1_fav" vbProcedure="false">Budget!$E$33</definedName>
    <definedName function="false" hidden="false" name="bud_eau_S2" vbProcedure="false">Budget!$I$33</definedName>
    <definedName function="false" hidden="false" name="bud_eau_S2_def" vbProcedure="false">Budget!$J$33</definedName>
    <definedName function="false" hidden="false" name="bud_eau_S2_fav" vbProcedure="false">Budget!$H$33</definedName>
    <definedName function="false" hidden="false" name="bud_eau_S3" vbProcedure="false">Budget!$L$33</definedName>
    <definedName function="false" hidden="false" name="bud_eau_S3_def" vbProcedure="false">Budget!$M$33</definedName>
    <definedName function="false" hidden="false" name="bud_eau_S3_fav" vbProcedure="false">Budget!$K$33</definedName>
    <definedName function="false" hidden="false" name="bud_electricite_S1" vbProcedure="false">Budget!$F$32</definedName>
    <definedName function="false" hidden="false" name="bud_electricite_S1_def" vbProcedure="false">Budget!$G$32</definedName>
    <definedName function="false" hidden="false" name="bud_electricite_S1_fav" vbProcedure="false">Budget!$E$32</definedName>
    <definedName function="false" hidden="false" name="bud_electricite_S2" vbProcedure="false">Budget!$I$32</definedName>
    <definedName function="false" hidden="false" name="bud_electricite_S2_def" vbProcedure="false">Budget!$J$32</definedName>
    <definedName function="false" hidden="false" name="bud_electricite_S2_fav" vbProcedure="false">Budget!$H$32</definedName>
    <definedName function="false" hidden="false" name="bud_electricite_S3" vbProcedure="false">Budget!$L$32</definedName>
    <definedName function="false" hidden="false" name="bud_electricite_S3_def" vbProcedure="false">Budget!$M$32</definedName>
    <definedName function="false" hidden="false" name="bud_electricite_S3_fav" vbProcedure="false">Budget!$K$32</definedName>
    <definedName function="false" hidden="false" name="bud_equip_entretien_S1" vbProcedure="false">Budget!$F$27</definedName>
    <definedName function="false" hidden="false" name="bud_equip_entretien_S1_def" vbProcedure="false">Budget!$G$27</definedName>
    <definedName function="false" hidden="false" name="bud_equip_entretien_S1_fav" vbProcedure="false">Budget!$E$27</definedName>
    <definedName function="false" hidden="false" name="bud_equip_entretien_S2" vbProcedure="false">Budget!$I$27</definedName>
    <definedName function="false" hidden="false" name="bud_equip_entretien_S2_def" vbProcedure="false">Budget!$J$27</definedName>
    <definedName function="false" hidden="false" name="bud_equip_entretien_S2_fav" vbProcedure="false">Budget!$H$27</definedName>
    <definedName function="false" hidden="false" name="bud_equip_entretien_S3" vbProcedure="false">Budget!$L$27</definedName>
    <definedName function="false" hidden="false" name="bud_equip_entretien_S3_def" vbProcedure="false">Budget!$M$27</definedName>
    <definedName function="false" hidden="false" name="bud_equip_entretien_S3_fav" vbProcedure="false">Budget!$K$27</definedName>
    <definedName function="false" hidden="false" name="bud_equip_renouv_S1" vbProcedure="false">Budget!$F$26</definedName>
    <definedName function="false" hidden="false" name="bud_equip_renouv_S1_def" vbProcedure="false">Budget!$G$26</definedName>
    <definedName function="false" hidden="false" name="bud_equip_renouv_S1_fav" vbProcedure="false">Budget!$E$26</definedName>
    <definedName function="false" hidden="false" name="bud_equip_renouv_S2" vbProcedure="false">Budget!$I$26</definedName>
    <definedName function="false" hidden="false" name="bud_equip_renouv_S2_def" vbProcedure="false">Budget!$J$26</definedName>
    <definedName function="false" hidden="false" name="bud_equip_renouv_S2_fav" vbProcedure="false">Budget!$H$26</definedName>
    <definedName function="false" hidden="false" name="bud_equip_renouv_S3" vbProcedure="false">Budget!$L$26</definedName>
    <definedName function="false" hidden="false" name="bud_equip_renouv_S3_def" vbProcedure="false">Budget!$M$26</definedName>
    <definedName function="false" hidden="false" name="bud_equip_renouv_S3_fav" vbProcedure="false">Budget!$K$26</definedName>
    <definedName function="false" hidden="false" name="bud_etp_total_S1" vbProcedure="false">Budget!$F$42</definedName>
    <definedName function="false" hidden="false" name="bud_etp_total_S1_def" vbProcedure="false">Budget!$G$42</definedName>
    <definedName function="false" hidden="false" name="bud_etp_total_S1_fav" vbProcedure="false">Budget!$E$42</definedName>
    <definedName function="false" hidden="false" name="bud_etp_total_S2" vbProcedure="false">Budget!$I$42</definedName>
    <definedName function="false" hidden="false" name="bud_etp_total_S2_def" vbProcedure="false">Budget!$J$42</definedName>
    <definedName function="false" hidden="false" name="bud_etp_total_S2_fav" vbProcedure="false">Budget!$H$42</definedName>
    <definedName function="false" hidden="false" name="bud_etp_total_S3" vbProcedure="false">Budget!$L$42</definedName>
    <definedName function="false" hidden="false" name="bud_etp_total_S3_def" vbProcedure="false">Budget!$M$42</definedName>
    <definedName function="false" hidden="false" name="bud_etp_total_S3_fav" vbProcedure="false">Budget!$K$42</definedName>
    <definedName function="false" hidden="false" name="bud_honoraires_patrimoine_S1" vbProcedure="false">Budget!$F$40</definedName>
    <definedName function="false" hidden="false" name="bud_honoraires_patrimoine_S1_def" vbProcedure="false">Budget!$G$40</definedName>
    <definedName function="false" hidden="false" name="bud_honoraires_patrimoine_S1_fav" vbProcedure="false">Budget!$E$40</definedName>
    <definedName function="false" hidden="false" name="bud_honoraires_patrimoine_S2" vbProcedure="false">Budget!$I$40</definedName>
    <definedName function="false" hidden="false" name="bud_honoraires_patrimoine_S2_def" vbProcedure="false">Budget!$J$40</definedName>
    <definedName function="false" hidden="false" name="bud_honoraires_patrimoine_S2_fav" vbProcedure="false">Budget!$H$40</definedName>
    <definedName function="false" hidden="false" name="bud_honoraires_patrimoine_S3" vbProcedure="false">Budget!$L$40</definedName>
    <definedName function="false" hidden="false" name="bud_honoraires_patrimoine_S3_def" vbProcedure="false">Budget!$M$40</definedName>
    <definedName function="false" hidden="false" name="bud_honoraires_patrimoine_S3_fav" vbProcedure="false">Budget!$K$40</definedName>
    <definedName function="false" hidden="false" name="bud_hors_gel_S1" vbProcedure="false">Budget!$F$31</definedName>
    <definedName function="false" hidden="false" name="bud_hors_gel_S1_def" vbProcedure="false">Budget!$G$31</definedName>
    <definedName function="false" hidden="false" name="bud_hors_gel_S1_fav" vbProcedure="false">Budget!$E$31</definedName>
    <definedName function="false" hidden="false" name="bud_hors_gel_S2" vbProcedure="false">Budget!$I$31</definedName>
    <definedName function="false" hidden="false" name="bud_hors_gel_S2_def" vbProcedure="false">Budget!$J$31</definedName>
    <definedName function="false" hidden="false" name="bud_hors_gel_S2_fav" vbProcedure="false">Budget!$H$31</definedName>
    <definedName function="false" hidden="false" name="bud_hors_gel_S3" vbProcedure="false">Budget!$L$31</definedName>
    <definedName function="false" hidden="false" name="bud_hors_gel_S3_def" vbProcedure="false">Budget!$M$31</definedName>
    <definedName function="false" hidden="false" name="bud_hors_gel_S3_fav" vbProcedure="false">Budget!$K$31</definedName>
    <definedName function="false" hidden="false" name="bud_ifi_S1" vbProcedure="false">Budget!$F$38</definedName>
    <definedName function="false" hidden="false" name="bud_ifi_S1_def" vbProcedure="false">Budget!$G$38</definedName>
    <definedName function="false" hidden="false" name="bud_ifi_S1_fav" vbProcedure="false">Budget!$E$38</definedName>
    <definedName function="false" hidden="false" name="bud_ifi_S2" vbProcedure="false">Budget!$I$38</definedName>
    <definedName function="false" hidden="false" name="bud_ifi_S2_def" vbProcedure="false">Budget!$J$38</definedName>
    <definedName function="false" hidden="false" name="bud_ifi_S2_fav" vbProcedure="false">Budget!$H$38</definedName>
    <definedName function="false" hidden="false" name="bud_ifi_S3" vbProcedure="false">Budget!$L$38</definedName>
    <definedName function="false" hidden="false" name="bud_ifi_S3_def" vbProcedure="false">Budget!$M$38</definedName>
    <definedName function="false" hidden="false" name="bud_ifi_S3_fav" vbProcedure="false">Budget!$K$38</definedName>
    <definedName function="false" hidden="false" name="bud_imprevus_S1" vbProcedure="false">Budget!$F$45</definedName>
    <definedName function="false" hidden="false" name="bud_imprevus_S1_def" vbProcedure="false">Budget!$G$45</definedName>
    <definedName function="false" hidden="false" name="bud_imprevus_S1_fav" vbProcedure="false">Budget!$E$45</definedName>
    <definedName function="false" hidden="false" name="bud_imprevus_S2" vbProcedure="false">Budget!$I$45</definedName>
    <definedName function="false" hidden="false" name="bud_imprevus_S2_def" vbProcedure="false">Budget!$J$45</definedName>
    <definedName function="false" hidden="false" name="bud_imprevus_S2_fav" vbProcedure="false">Budget!$H$45</definedName>
    <definedName function="false" hidden="false" name="bud_imprevus_S3" vbProcedure="false">Budget!$L$45</definedName>
    <definedName function="false" hidden="false" name="bud_imprevus_S3_def" vbProcedure="false">Budget!$M$45</definedName>
    <definedName function="false" hidden="false" name="bud_imprevus_S3_fav" vbProcedure="false">Budget!$K$45</definedName>
    <definedName function="false" hidden="false" name="bud_imprevus_travaux_S1" vbProcedure="false">Budget!$F$8</definedName>
    <definedName function="false" hidden="false" name="bud_imprevus_travaux_S1_def" vbProcedure="false">Budget!$G$8</definedName>
    <definedName function="false" hidden="false" name="bud_imprevus_travaux_S1_fav" vbProcedure="false">Budget!$E$8</definedName>
    <definedName function="false" hidden="false" name="bud_imprevus_travaux_S2" vbProcedure="false">Budget!$I$8</definedName>
    <definedName function="false" hidden="false" name="bud_imprevus_travaux_S2_def" vbProcedure="false">Budget!$J$8</definedName>
    <definedName function="false" hidden="false" name="bud_imprevus_travaux_S2_fav" vbProcedure="false">Budget!$H$8</definedName>
    <definedName function="false" hidden="false" name="bud_imprevus_travaux_S3" vbProcedure="false">Budget!$L$8</definedName>
    <definedName function="false" hidden="false" name="bud_imprevus_travaux_S3_def" vbProcedure="false">Budget!$M$8</definedName>
    <definedName function="false" hidden="false" name="bud_imprevus_travaux_S3_fav" vbProcedure="false">Budget!$K$8</definedName>
    <definedName function="false" hidden="false" name="bud_installations_eq_S1" vbProcedure="false">Budget!$F$29</definedName>
    <definedName function="false" hidden="false" name="bud_installations_eq_S1_def" vbProcedure="false">Budget!$G$29</definedName>
    <definedName function="false" hidden="false" name="bud_installations_eq_S1_fav" vbProcedure="false">Budget!$E$29</definedName>
    <definedName function="false" hidden="false" name="bud_installations_eq_S2" vbProcedure="false">Budget!$I$29</definedName>
    <definedName function="false" hidden="false" name="bud_installations_eq_S2_def" vbProcedure="false">Budget!$J$29</definedName>
    <definedName function="false" hidden="false" name="bud_installations_eq_S2_fav" vbProcedure="false">Budget!$H$29</definedName>
    <definedName function="false" hidden="false" name="bud_installations_eq_S3" vbProcedure="false">Budget!$L$29</definedName>
    <definedName function="false" hidden="false" name="bud_installations_eq_S3_def" vbProcedure="false">Budget!$M$29</definedName>
    <definedName function="false" hidden="false" name="bud_installations_eq_S3_fav" vbProcedure="false">Budget!$K$29</definedName>
    <definedName function="false" hidden="false" name="bud_invest_futurs_S1" vbProcedure="false">Budget!$F$46</definedName>
    <definedName function="false" hidden="false" name="bud_invest_futurs_S1_def" vbProcedure="false">Budget!$G$46</definedName>
    <definedName function="false" hidden="false" name="bud_invest_futurs_S1_fav" vbProcedure="false">Budget!$E$46</definedName>
    <definedName function="false" hidden="false" name="bud_invest_futurs_S2" vbProcedure="false">Budget!$I$46</definedName>
    <definedName function="false" hidden="false" name="bud_invest_futurs_S2_def" vbProcedure="false">Budget!$J$46</definedName>
    <definedName function="false" hidden="false" name="bud_invest_futurs_S2_fav" vbProcedure="false">Budget!$H$46</definedName>
    <definedName function="false" hidden="false" name="bud_invest_futurs_S3" vbProcedure="false">Budget!$L$46</definedName>
    <definedName function="false" hidden="false" name="bud_invest_futurs_S3_def" vbProcedure="false">Budget!$M$46</definedName>
    <definedName function="false" hidden="false" name="bud_invest_futurs_S3_fav" vbProcedure="false">Budget!$K$46</definedName>
    <definedName function="false" hidden="false" name="bud_jardins_reguliers_S1" vbProcedure="false">Budget!$F$21</definedName>
    <definedName function="false" hidden="false" name="bud_jardins_reguliers_S1_def" vbProcedure="false">Budget!$G$21</definedName>
    <definedName function="false" hidden="false" name="bud_jardins_reguliers_S1_fav" vbProcedure="false">Budget!$E$21</definedName>
    <definedName function="false" hidden="false" name="bud_jardins_reguliers_S2" vbProcedure="false">Budget!$I$21</definedName>
    <definedName function="false" hidden="false" name="bud_jardins_reguliers_S2_def" vbProcedure="false">Budget!$J$21</definedName>
    <definedName function="false" hidden="false" name="bud_jardins_reguliers_S2_fav" vbProcedure="false">Budget!$H$21</definedName>
    <definedName function="false" hidden="false" name="bud_jardins_reguliers_S3" vbProcedure="false">Budget!$L$21</definedName>
    <definedName function="false" hidden="false" name="bud_jardins_reguliers_S3_def" vbProcedure="false">Budget!$M$21</definedName>
    <definedName function="false" hidden="false" name="bud_jardins_reguliers_S3_fav" vbProcedure="false">Budget!$K$21</definedName>
    <definedName function="false" hidden="false" name="bud_moe_do_S1" vbProcedure="false">Budget!$F$9</definedName>
    <definedName function="false" hidden="false" name="bud_moe_do_S1_def" vbProcedure="false">Budget!$G$9</definedName>
    <definedName function="false" hidden="false" name="bud_moe_do_S1_fav" vbProcedure="false">Budget!$E$9</definedName>
    <definedName function="false" hidden="false" name="bud_moe_do_S2" vbProcedure="false">Budget!$I$9</definedName>
    <definedName function="false" hidden="false" name="bud_moe_do_S2_def" vbProcedure="false">Budget!$J$9</definedName>
    <definedName function="false" hidden="false" name="bud_moe_do_S2_fav" vbProcedure="false">Budget!$H$9</definedName>
    <definedName function="false" hidden="false" name="bud_moe_do_S3" vbProcedure="false">Budget!$L$9</definedName>
    <definedName function="false" hidden="false" name="bud_moe_do_S3_def" vbProcedure="false">Budget!$M$9</definedName>
    <definedName function="false" hidden="false" name="bud_moe_do_S3_fav" vbProcedure="false">Budget!$K$9</definedName>
    <definedName function="false" hidden="false" name="bud_parc_S1" vbProcedure="false">Budget!$F$22</definedName>
    <definedName function="false" hidden="false" name="bud_parc_S1_def" vbProcedure="false">Budget!$G$22</definedName>
    <definedName function="false" hidden="false" name="bud_parc_S1_fav" vbProcedure="false">Budget!$E$22</definedName>
    <definedName function="false" hidden="false" name="bud_parc_S2" vbProcedure="false">Budget!$I$22</definedName>
    <definedName function="false" hidden="false" name="bud_parc_S2_def" vbProcedure="false">Budget!$J$22</definedName>
    <definedName function="false" hidden="false" name="bud_parc_S2_fav" vbProcedure="false">Budget!$H$22</definedName>
    <definedName function="false" hidden="false" name="bud_parc_S3" vbProcedure="false">Budget!$L$22</definedName>
    <definedName function="false" hidden="false" name="bud_parc_S3_def" vbProcedure="false">Budget!$M$22</definedName>
    <definedName function="false" hidden="false" name="bud_parc_S3_fav" vbProcedure="false">Budget!$K$22</definedName>
    <definedName function="false" hidden="false" name="bud_part_bati_S1" vbProcedure="false">Budget!$F$51</definedName>
    <definedName function="false" hidden="false" name="bud_part_bati_S1_def" vbProcedure="false">Budget!$G$51</definedName>
    <definedName function="false" hidden="false" name="bud_part_bati_S1_fav" vbProcedure="false">Budget!$E$51</definedName>
    <definedName function="false" hidden="false" name="bud_part_bati_S2" vbProcedure="false">Budget!$I$51</definedName>
    <definedName function="false" hidden="false" name="bud_part_bati_S2_def" vbProcedure="false">Budget!$J$51</definedName>
    <definedName function="false" hidden="false" name="bud_part_bati_S2_fav" vbProcedure="false">Budget!$H$51</definedName>
    <definedName function="false" hidden="false" name="bud_part_bati_S3" vbProcedure="false">Budget!$L$51</definedName>
    <definedName function="false" hidden="false" name="bud_part_bati_S3_def" vbProcedure="false">Budget!$M$51</definedName>
    <definedName function="false" hidden="false" name="bud_part_bati_S3_fav" vbProcedure="false">Budget!$K$51</definedName>
    <definedName function="false" hidden="false" name="bud_part_personnel_S1" vbProcedure="false">Budget!$F$50</definedName>
    <definedName function="false" hidden="false" name="bud_part_personnel_S1_def" vbProcedure="false">Budget!$G$50</definedName>
    <definedName function="false" hidden="false" name="bud_part_personnel_S1_fav" vbProcedure="false">Budget!$E$50</definedName>
    <definedName function="false" hidden="false" name="bud_part_personnel_S2" vbProcedure="false">Budget!$I$50</definedName>
    <definedName function="false" hidden="false" name="bud_part_personnel_S2_def" vbProcedure="false">Budget!$J$50</definedName>
    <definedName function="false" hidden="false" name="bud_part_personnel_S2_fav" vbProcedure="false">Budget!$H$50</definedName>
    <definedName function="false" hidden="false" name="bud_part_personnel_S3" vbProcedure="false">Budget!$L$50</definedName>
    <definedName function="false" hidden="false" name="bud_part_personnel_S3_def" vbProcedure="false">Budget!$M$50</definedName>
    <definedName function="false" hidden="false" name="bud_part_personnel_S3_fav" vbProcedure="false">Budget!$K$50</definedName>
    <definedName function="false" hidden="false" name="bud_pers_admin_S1" vbProcedure="false">Budget!$F$12</definedName>
    <definedName function="false" hidden="false" name="bud_pers_admin_S1_def" vbProcedure="false">Budget!$G$12</definedName>
    <definedName function="false" hidden="false" name="bud_pers_admin_S1_fav" vbProcedure="false">Budget!$E$12</definedName>
    <definedName function="false" hidden="false" name="bud_pers_admin_S2" vbProcedure="false">Budget!$I$12</definedName>
    <definedName function="false" hidden="false" name="bud_pers_admin_S2_def" vbProcedure="false">Budget!$J$12</definedName>
    <definedName function="false" hidden="false" name="bud_pers_admin_S2_fav" vbProcedure="false">Budget!$H$12</definedName>
    <definedName function="false" hidden="false" name="bud_pers_admin_S3" vbProcedure="false">Budget!$L$12</definedName>
    <definedName function="false" hidden="false" name="bud_pers_admin_S3_def" vbProcedure="false">Budget!$M$12</definedName>
    <definedName function="false" hidden="false" name="bud_pers_admin_S3_fav" vbProcedure="false">Budget!$K$12</definedName>
    <definedName function="false" hidden="false" name="bud_pers_agricole_S1" vbProcedure="false">Budget!$F$16</definedName>
    <definedName function="false" hidden="false" name="bud_pers_agricole_S1_def" vbProcedure="false">Budget!$G$16</definedName>
    <definedName function="false" hidden="false" name="bud_pers_agricole_S1_fav" vbProcedure="false">Budget!$E$16</definedName>
    <definedName function="false" hidden="false" name="bud_pers_agricole_S2" vbProcedure="false">Budget!$I$16</definedName>
    <definedName function="false" hidden="false" name="bud_pers_agricole_S2_def" vbProcedure="false">Budget!$J$16</definedName>
    <definedName function="false" hidden="false" name="bud_pers_agricole_S2_fav" vbProcedure="false">Budget!$H$16</definedName>
    <definedName function="false" hidden="false" name="bud_pers_agricole_S3" vbProcedure="false">Budget!$L$16</definedName>
    <definedName function="false" hidden="false" name="bud_pers_agricole_S3_def" vbProcedure="false">Budget!$M$16</definedName>
    <definedName function="false" hidden="false" name="bud_pers_agricole_S3_fav" vbProcedure="false">Budget!$K$16</definedName>
    <definedName function="false" hidden="false" name="bud_pers_chef_jardinier_S1" vbProcedure="false">Budget!$F$13</definedName>
    <definedName function="false" hidden="false" name="bud_pers_chef_jardinier_S1_def" vbProcedure="false">Budget!$G$13</definedName>
    <definedName function="false" hidden="false" name="bud_pers_chef_jardinier_S1_fav" vbProcedure="false">Budget!$E$13</definedName>
    <definedName function="false" hidden="false" name="bud_pers_chef_jardinier_S2" vbProcedure="false">Budget!$I$13</definedName>
    <definedName function="false" hidden="false" name="bud_pers_chef_jardinier_S2_def" vbProcedure="false">Budget!$J$13</definedName>
    <definedName function="false" hidden="false" name="bud_pers_chef_jardinier_S2_fav" vbProcedure="false">Budget!$H$13</definedName>
    <definedName function="false" hidden="false" name="bud_pers_chef_jardinier_S3" vbProcedure="false">Budget!$L$13</definedName>
    <definedName function="false" hidden="false" name="bud_pers_chef_jardinier_S3_def" vbProcedure="false">Budget!$M$13</definedName>
    <definedName function="false" hidden="false" name="bud_pers_chef_jardinier_S3_fav" vbProcedure="false">Budget!$K$13</definedName>
    <definedName function="false" hidden="false" name="bud_pers_direction_S1" vbProcedure="false">Budget!$F$11</definedName>
    <definedName function="false" hidden="false" name="bud_pers_direction_S1_def" vbProcedure="false">Budget!$G$11</definedName>
    <definedName function="false" hidden="false" name="bud_pers_direction_S1_fav" vbProcedure="false">Budget!$E$11</definedName>
    <definedName function="false" hidden="false" name="bud_pers_direction_S2" vbProcedure="false">Budget!$I$11</definedName>
    <definedName function="false" hidden="false" name="bud_pers_direction_S2_def" vbProcedure="false">Budget!$J$11</definedName>
    <definedName function="false" hidden="false" name="bud_pers_direction_S2_fav" vbProcedure="false">Budget!$H$11</definedName>
    <definedName function="false" hidden="false" name="bud_pers_direction_S3" vbProcedure="false">Budget!$L$11</definedName>
    <definedName function="false" hidden="false" name="bud_pers_direction_S3_def" vbProcedure="false">Budget!$M$11</definedName>
    <definedName function="false" hidden="false" name="bud_pers_direction_S3_fav" vbProcedure="false">Budget!$K$11</definedName>
    <definedName function="false" hidden="false" name="bud_pers_entretien_S1" vbProcedure="false">Budget!$F$15</definedName>
    <definedName function="false" hidden="false" name="bud_pers_entretien_S1_def" vbProcedure="false">Budget!$G$15</definedName>
    <definedName function="false" hidden="false" name="bud_pers_entretien_S1_fav" vbProcedure="false">Budget!$E$15</definedName>
    <definedName function="false" hidden="false" name="bud_pers_entretien_S2" vbProcedure="false">Budget!$I$15</definedName>
    <definedName function="false" hidden="false" name="bud_pers_entretien_S2_def" vbProcedure="false">Budget!$J$15</definedName>
    <definedName function="false" hidden="false" name="bud_pers_entretien_S2_fav" vbProcedure="false">Budget!$H$15</definedName>
    <definedName function="false" hidden="false" name="bud_pers_entretien_S3" vbProcedure="false">Budget!$L$15</definedName>
    <definedName function="false" hidden="false" name="bud_pers_entretien_S3_def" vbProcedure="false">Budget!$M$15</definedName>
    <definedName function="false" hidden="false" name="bud_pers_entretien_S3_fav" vbProcedure="false">Budget!$K$15</definedName>
    <definedName function="false" hidden="false" name="bud_pers_equestre_S1" vbProcedure="false">Budget!$F$17</definedName>
    <definedName function="false" hidden="false" name="bud_pers_equestre_S1_def" vbProcedure="false">Budget!$G$17</definedName>
    <definedName function="false" hidden="false" name="bud_pers_equestre_S1_fav" vbProcedure="false">Budget!$E$17</definedName>
    <definedName function="false" hidden="false" name="bud_pers_equestre_S2" vbProcedure="false">Budget!$I$17</definedName>
    <definedName function="false" hidden="false" name="bud_pers_equestre_S2_def" vbProcedure="false">Budget!$J$17</definedName>
    <definedName function="false" hidden="false" name="bud_pers_equestre_S2_fav" vbProcedure="false">Budget!$H$17</definedName>
    <definedName function="false" hidden="false" name="bud_pers_equestre_S3" vbProcedure="false">Budget!$L$17</definedName>
    <definedName function="false" hidden="false" name="bud_pers_equestre_S3_def" vbProcedure="false">Budget!$M$17</definedName>
    <definedName function="false" hidden="false" name="bud_pers_equestre_S3_fav" vbProcedure="false">Budget!$K$17</definedName>
    <definedName function="false" hidden="false" name="bud_pers_gouvernance_S1" vbProcedure="false">Budget!$F$19</definedName>
    <definedName function="false" hidden="false" name="bud_pers_gouvernance_S1_def" vbProcedure="false">Budget!$G$19</definedName>
    <definedName function="false" hidden="false" name="bud_pers_gouvernance_S1_fav" vbProcedure="false">Budget!$E$19</definedName>
    <definedName function="false" hidden="false" name="bud_pers_gouvernance_S2" vbProcedure="false">Budget!$I$19</definedName>
    <definedName function="false" hidden="false" name="bud_pers_gouvernance_S2_def" vbProcedure="false">Budget!$J$19</definedName>
    <definedName function="false" hidden="false" name="bud_pers_gouvernance_S2_fav" vbProcedure="false">Budget!$H$19</definedName>
    <definedName function="false" hidden="false" name="bud_pers_gouvernance_S3" vbProcedure="false">Budget!$L$19</definedName>
    <definedName function="false" hidden="false" name="bud_pers_gouvernance_S3_def" vbProcedure="false">Budget!$M$19</definedName>
    <definedName function="false" hidden="false" name="bud_pers_gouvernance_S3_fav" vbProcedure="false">Budget!$K$19</definedName>
    <definedName function="false" hidden="false" name="bud_pers_jardins_S1" vbProcedure="false">Budget!$F$14</definedName>
    <definedName function="false" hidden="false" name="bud_pers_jardins_S1_def" vbProcedure="false">Budget!$G$14</definedName>
    <definedName function="false" hidden="false" name="bud_pers_jardins_S1_fav" vbProcedure="false">Budget!$E$14</definedName>
    <definedName function="false" hidden="false" name="bud_pers_jardins_S2" vbProcedure="false">Budget!$I$14</definedName>
    <definedName function="false" hidden="false" name="bud_pers_jardins_S2_def" vbProcedure="false">Budget!$J$14</definedName>
    <definedName function="false" hidden="false" name="bud_pers_jardins_S2_fav" vbProcedure="false">Budget!$H$14</definedName>
    <definedName function="false" hidden="false" name="bud_pers_jardins_S3" vbProcedure="false">Budget!$L$14</definedName>
    <definedName function="false" hidden="false" name="bud_pers_jardins_S3_def" vbProcedure="false">Budget!$M$14</definedName>
    <definedName function="false" hidden="false" name="bud_pers_jardins_S3_fav" vbProcedure="false">Budget!$K$14</definedName>
    <definedName function="false" hidden="false" name="bud_pers_maison_S1" vbProcedure="false">Budget!$F$20</definedName>
    <definedName function="false" hidden="false" name="bud_pers_maison_S1_def" vbProcedure="false">Budget!$G$20</definedName>
    <definedName function="false" hidden="false" name="bud_pers_maison_S1_fav" vbProcedure="false">Budget!$E$20</definedName>
    <definedName function="false" hidden="false" name="bud_pers_maison_S2" vbProcedure="false">Budget!$I$20</definedName>
    <definedName function="false" hidden="false" name="bud_pers_maison_S2_def" vbProcedure="false">Budget!$J$20</definedName>
    <definedName function="false" hidden="false" name="bud_pers_maison_S2_fav" vbProcedure="false">Budget!$H$20</definedName>
    <definedName function="false" hidden="false" name="bud_pers_maison_S3" vbProcedure="false">Budget!$L$20</definedName>
    <definedName function="false" hidden="false" name="bud_pers_maison_S3_def" vbProcedure="false">Budget!$M$20</definedName>
    <definedName function="false" hidden="false" name="bud_pers_maison_S3_fav" vbProcedure="false">Budget!$K$20</definedName>
    <definedName function="false" hidden="false" name="bud_pers_resp_ecurie_S1" vbProcedure="false">Budget!$F$18</definedName>
    <definedName function="false" hidden="false" name="bud_pers_resp_ecurie_S1_def" vbProcedure="false">Budget!$G$18</definedName>
    <definedName function="false" hidden="false" name="bud_pers_resp_ecurie_S1_fav" vbProcedure="false">Budget!$E$18</definedName>
    <definedName function="false" hidden="false" name="bud_pers_resp_ecurie_S2" vbProcedure="false">Budget!$I$18</definedName>
    <definedName function="false" hidden="false" name="bud_pers_resp_ecurie_S2_def" vbProcedure="false">Budget!$J$18</definedName>
    <definedName function="false" hidden="false" name="bud_pers_resp_ecurie_S2_fav" vbProcedure="false">Budget!$H$18</definedName>
    <definedName function="false" hidden="false" name="bud_pers_resp_ecurie_S3" vbProcedure="false">Budget!$L$18</definedName>
    <definedName function="false" hidden="false" name="bud_pers_resp_ecurie_S3_def" vbProcedure="false">Budget!$M$18</definedName>
    <definedName function="false" hidden="false" name="bud_pers_resp_ecurie_S3_fav" vbProcedure="false">Budget!$K$18</definedName>
    <definedName function="false" hidden="false" name="bud_prairies_S1" vbProcedure="false">Budget!$F$23</definedName>
    <definedName function="false" hidden="false" name="bud_prairies_S1_def" vbProcedure="false">Budget!$G$23</definedName>
    <definedName function="false" hidden="false" name="bud_prairies_S1_fav" vbProcedure="false">Budget!$E$23</definedName>
    <definedName function="false" hidden="false" name="bud_prairies_S2" vbProcedure="false">Budget!$I$23</definedName>
    <definedName function="false" hidden="false" name="bud_prairies_S2_def" vbProcedure="false">Budget!$J$23</definedName>
    <definedName function="false" hidden="false" name="bud_prairies_S2_fav" vbProcedure="false">Budget!$H$23</definedName>
    <definedName function="false" hidden="false" name="bud_prairies_S3" vbProcedure="false">Budget!$L$23</definedName>
    <definedName function="false" hidden="false" name="bud_prairies_S3_def" vbProcedure="false">Budget!$M$23</definedName>
    <definedName function="false" hidden="false" name="bud_prairies_S3_fav" vbProcedure="false">Budget!$K$23</definedName>
    <definedName function="false" hidden="false" name="bud_securite_S1" vbProcedure="false">Budget!$F$10</definedName>
    <definedName function="false" hidden="false" name="bud_securite_S1_def" vbProcedure="false">Budget!$G$10</definedName>
    <definedName function="false" hidden="false" name="bud_securite_S1_fav" vbProcedure="false">Budget!$E$10</definedName>
    <definedName function="false" hidden="false" name="bud_securite_S2" vbProcedure="false">Budget!$I$10</definedName>
    <definedName function="false" hidden="false" name="bud_securite_S2_def" vbProcedure="false">Budget!$J$10</definedName>
    <definedName function="false" hidden="false" name="bud_securite_S2_fav" vbProcedure="false">Budget!$H$10</definedName>
    <definedName function="false" hidden="false" name="bud_securite_S3" vbProcedure="false">Budget!$L$10</definedName>
    <definedName function="false" hidden="false" name="bud_securite_S3_def" vbProcedure="false">Budget!$M$10</definedName>
    <definedName function="false" hidden="false" name="bud_securite_S3_fav" vbProcedure="false">Budget!$K$10</definedName>
    <definedName function="false" hidden="false" name="bud_st_fonctionnement_S1" vbProcedure="false">Budget!$F$43</definedName>
    <definedName function="false" hidden="false" name="bud_st_fonctionnement_S1_def" vbProcedure="false">Budget!$G$43</definedName>
    <definedName function="false" hidden="false" name="bud_st_fonctionnement_S1_fav" vbProcedure="false">Budget!$E$43</definedName>
    <definedName function="false" hidden="false" name="bud_st_fonctionnement_S2" vbProcedure="false">Budget!$I$43</definedName>
    <definedName function="false" hidden="false" name="bud_st_fonctionnement_S2_def" vbProcedure="false">Budget!$J$43</definedName>
    <definedName function="false" hidden="false" name="bud_st_fonctionnement_S2_fav" vbProcedure="false">Budget!$H$43</definedName>
    <definedName function="false" hidden="false" name="bud_st_fonctionnement_S3" vbProcedure="false">Budget!$L$43</definedName>
    <definedName function="false" hidden="false" name="bud_st_fonctionnement_S3_def" vbProcedure="false">Budget!$M$43</definedName>
    <definedName function="false" hidden="false" name="bud_st_fonctionnement_S3_fav" vbProcedure="false">Budget!$K$43</definedName>
    <definedName function="false" hidden="false" name="bud_st_provisions_S1" vbProcedure="false">Budget!$F$44</definedName>
    <definedName function="false" hidden="false" name="bud_st_provisions_S1_def" vbProcedure="false">Budget!$G$44</definedName>
    <definedName function="false" hidden="false" name="bud_st_provisions_S1_fav" vbProcedure="false">Budget!$E$44</definedName>
    <definedName function="false" hidden="false" name="bud_st_provisions_S2" vbProcedure="false">Budget!$I$44</definedName>
    <definedName function="false" hidden="false" name="bud_st_provisions_S2_def" vbProcedure="false">Budget!$J$44</definedName>
    <definedName function="false" hidden="false" name="bud_st_provisions_S2_fav" vbProcedure="false">Budget!$H$44</definedName>
    <definedName function="false" hidden="false" name="bud_st_provisions_S3" vbProcedure="false">Budget!$L$44</definedName>
    <definedName function="false" hidden="false" name="bud_st_provisions_S3_def" vbProcedure="false">Budget!$M$44</definedName>
    <definedName function="false" hidden="false" name="bud_st_provisions_S3_fav" vbProcedure="false">Budget!$K$44</definedName>
    <definedName function="false" hidden="false" name="bud_taxe_fonciere_bati_S1" vbProcedure="false">Budget!$F$36</definedName>
    <definedName function="false" hidden="false" name="bud_taxe_fonciere_bati_S1_def" vbProcedure="false">Budget!$G$36</definedName>
    <definedName function="false" hidden="false" name="bud_taxe_fonciere_bati_S1_fav" vbProcedure="false">Budget!$E$36</definedName>
    <definedName function="false" hidden="false" name="bud_taxe_fonciere_bati_S2" vbProcedure="false">Budget!$I$36</definedName>
    <definedName function="false" hidden="false" name="bud_taxe_fonciere_bati_S2_def" vbProcedure="false">Budget!$J$36</definedName>
    <definedName function="false" hidden="false" name="bud_taxe_fonciere_bati_S2_fav" vbProcedure="false">Budget!$H$36</definedName>
    <definedName function="false" hidden="false" name="bud_taxe_fonciere_bati_S3" vbProcedure="false">Budget!$L$36</definedName>
    <definedName function="false" hidden="false" name="bud_taxe_fonciere_bati_S3_def" vbProcedure="false">Budget!$M$36</definedName>
    <definedName function="false" hidden="false" name="bud_taxe_fonciere_bati_S3_fav" vbProcedure="false">Budget!$K$36</definedName>
    <definedName function="false" hidden="false" name="bud_taxe_fonciere_non_bati_S1" vbProcedure="false">Budget!$F$37</definedName>
    <definedName function="false" hidden="false" name="bud_taxe_fonciere_non_bati_S1_def" vbProcedure="false">Budget!$G$37</definedName>
    <definedName function="false" hidden="false" name="bud_taxe_fonciere_non_bati_S1_fav" vbProcedure="false">Budget!$E$37</definedName>
    <definedName function="false" hidden="false" name="bud_taxe_fonciere_non_bati_S2" vbProcedure="false">Budget!$I$37</definedName>
    <definedName function="false" hidden="false" name="bud_taxe_fonciere_non_bati_S2_def" vbProcedure="false">Budget!$J$37</definedName>
    <definedName function="false" hidden="false" name="bud_taxe_fonciere_non_bati_S2_fav" vbProcedure="false">Budget!$H$37</definedName>
    <definedName function="false" hidden="false" name="bud_taxe_fonciere_non_bati_S3" vbProcedure="false">Budget!$L$37</definedName>
    <definedName function="false" hidden="false" name="bud_taxe_fonciere_non_bati_S3_def" vbProcedure="false">Budget!$M$37</definedName>
    <definedName function="false" hidden="false" name="bud_taxe_fonciere_non_bati_S3_fav" vbProcedure="false">Budget!$K$37</definedName>
    <definedName function="false" hidden="false" name="bud_total_avec_dette_S1" vbProcedure="false">Budget!$F$56</definedName>
    <definedName function="false" hidden="false" name="bud_total_avec_dette_S1_def" vbProcedure="false">Budget!$G$56</definedName>
    <definedName function="false" hidden="false" name="bud_total_avec_dette_S1_fav" vbProcedure="false">Budget!$E$56</definedName>
    <definedName function="false" hidden="false" name="bud_total_avec_dette_S2" vbProcedure="false">Budget!$I$56</definedName>
    <definedName function="false" hidden="false" name="bud_total_avec_dette_S2_def" vbProcedure="false">Budget!$J$56</definedName>
    <definedName function="false" hidden="false" name="bud_total_avec_dette_S2_fav" vbProcedure="false">Budget!$H$56</definedName>
    <definedName function="false" hidden="false" name="bud_total_avec_dette_S3" vbProcedure="false">Budget!$L$56</definedName>
    <definedName function="false" hidden="false" name="bud_total_avec_dette_S3_def" vbProcedure="false">Budget!$M$56</definedName>
    <definedName function="false" hidden="false" name="bud_total_avec_dette_S3_fav" vbProcedure="false">Budget!$K$56</definedName>
    <definedName function="false" hidden="false" name="bud_total_besoin_S1" vbProcedure="false">Budget!$F$47</definedName>
    <definedName function="false" hidden="false" name="bud_total_besoin_S1_def" vbProcedure="false">Budget!$G$47</definedName>
    <definedName function="false" hidden="false" name="bud_total_besoin_S1_fav" vbProcedure="false">Budget!$E$47</definedName>
    <definedName function="false" hidden="false" name="bud_total_besoin_S2" vbProcedure="false">Budget!$I$47</definedName>
    <definedName function="false" hidden="false" name="bud_total_besoin_S2_def" vbProcedure="false">Budget!$J$47</definedName>
    <definedName function="false" hidden="false" name="bud_total_besoin_S2_fav" vbProcedure="false">Budget!$H$47</definedName>
    <definedName function="false" hidden="false" name="bud_total_besoin_S3" vbProcedure="false">Budget!$L$47</definedName>
    <definedName function="false" hidden="false" name="bud_total_besoin_S3_def" vbProcedure="false">Budget!$M$47</definedName>
    <definedName function="false" hidden="false" name="bud_total_besoin_S3_fav" vbProcedure="false">Budget!$K$47</definedName>
    <definedName function="false" hidden="false" name="bud_valeur_reconstruction_S1" vbProcedure="false">Budget!$F$5</definedName>
    <definedName function="false" hidden="false" name="bud_valeur_reconstruction_S1_def" vbProcedure="false">Budget!$G$5</definedName>
    <definedName function="false" hidden="false" name="bud_valeur_reconstruction_S1_fav" vbProcedure="false">Budget!$E$5</definedName>
    <definedName function="false" hidden="false" name="bud_valeur_reconstruction_S2" vbProcedure="false">Budget!$I$5</definedName>
    <definedName function="false" hidden="false" name="bud_valeur_reconstruction_S2_def" vbProcedure="false">Budget!$J$5</definedName>
    <definedName function="false" hidden="false" name="bud_valeur_reconstruction_S2_fav" vbProcedure="false">Budget!$H$5</definedName>
    <definedName function="false" hidden="false" name="bud_valeur_reconstruction_S3" vbProcedure="false">Budget!$L$5</definedName>
    <definedName function="false" hidden="false" name="bud_valeur_reconstruction_S3_def" vbProcedure="false">Budget!$M$5</definedName>
    <definedName function="false" hidden="false" name="bud_valeur_reconstruction_S3_fav" vbProcedure="false">Budget!$K$5</definedName>
    <definedName function="false" hidden="false" name="campagne_periode" vbProcedure="false">Hypotheses!$D$316</definedName>
    <definedName function="false" hidden="false" name="campagne_periode_def" vbProcedure="false">Hypotheses!$E$316</definedName>
    <definedName function="false" hidden="false" name="campagne_periode_fav" vbProcedure="false">Hypotheses!$C$316</definedName>
    <definedName function="false" hidden="false" name="cfg_M1_ANC" vbProcedure="false">Hypotheses!$D$34</definedName>
    <definedName function="false" hidden="false" name="cfg_M1_ANC_def" vbProcedure="false">Hypotheses!$E$34</definedName>
    <definedName function="false" hidden="false" name="cfg_M1_ANC_fav" vbProcedure="false">Hypotheses!$C$34</definedName>
    <definedName function="false" hidden="false" name="cfg_M1_AUTO" vbProcedure="false">Hypotheses!$D$35</definedName>
    <definedName function="false" hidden="false" name="cfg_M1_AUTO_def" vbProcedure="false">Hypotheses!$E$35</definedName>
    <definedName function="false" hidden="false" name="cfg_M1_AUTO_fav" vbProcedure="false">Hypotheses!$C$35</definedName>
    <definedName function="false" hidden="false" name="cfg_M1_BOIS" vbProcedure="false">Hypotheses!$D$36</definedName>
    <definedName function="false" hidden="false" name="cfg_M1_BOIS_def" vbProcedure="false">Hypotheses!$E$36</definedName>
    <definedName function="false" hidden="false" name="cfg_M1_BOIS_fav" vbProcedure="false">Hypotheses!$C$36</definedName>
    <definedName function="false" hidden="false" name="cfg_M1_EQ_HDG" vbProcedure="false">Hypotheses!$D$37</definedName>
    <definedName function="false" hidden="false" name="cfg_M1_EQ_HDG_def" vbProcedure="false">Hypotheses!$E$37</definedName>
    <definedName function="false" hidden="false" name="cfg_M1_EQ_HDG_fav" vbProcedure="false">Hypotheses!$C$37</definedName>
    <definedName function="false" hidden="false" name="cfg_M1_EQ_PRO" vbProcedure="false">Hypotheses!$D$38</definedName>
    <definedName function="false" hidden="false" name="cfg_M1_EQ_PRO_def" vbProcedure="false">Hypotheses!$E$38</definedName>
    <definedName function="false" hidden="false" name="cfg_M1_EQ_PRO_fav" vbProcedure="false">Hypotheses!$C$38</definedName>
    <definedName function="false" hidden="false" name="cfg_M1_EQ_RET" vbProcedure="false">Hypotheses!$D$39</definedName>
    <definedName function="false" hidden="false" name="cfg_M1_EQ_RET_def" vbProcedure="false">Hypotheses!$E$39</definedName>
    <definedName function="false" hidden="false" name="cfg_M1_EQ_RET_fav" vbProcedure="false">Hypotheses!$C$39</definedName>
    <definedName function="false" hidden="false" name="cfg_M1_EQ_STD" vbProcedure="false">Hypotheses!$D$40</definedName>
    <definedName function="false" hidden="false" name="cfg_M1_EQ_STD_def" vbProcedure="false">Hypotheses!$E$40</definedName>
    <definedName function="false" hidden="false" name="cfg_M1_EQ_STD_fav" vbProcedure="false">Hypotheses!$C$40</definedName>
    <definedName function="false" hidden="false" name="cfg_M1_EVT" vbProcedure="false">Hypotheses!$D$41</definedName>
    <definedName function="false" hidden="false" name="cfg_M1_EVT_def" vbProcedure="false">Hypotheses!$E$41</definedName>
    <definedName function="false" hidden="false" name="cfg_M1_EVT_fav" vbProcedure="false">Hypotheses!$C$41</definedName>
    <definedName function="false" hidden="false" name="cfg_M1_GITE" vbProcedure="false">Hypotheses!$D$42</definedName>
    <definedName function="false" hidden="false" name="cfg_M1_GITE_def" vbProcedure="false">Hypotheses!$E$42</definedName>
    <definedName function="false" hidden="false" name="cfg_M1_GITE_fav" vbProcedure="false">Hypotheses!$C$42</definedName>
    <definedName function="false" hidden="false" name="cfg_M1_HOTEL" vbProcedure="false">Hypotheses!$D$43</definedName>
    <definedName function="false" hidden="false" name="cfg_M1_HOTEL_def" vbProcedure="false">Hypotheses!$E$43</definedName>
    <definedName function="false" hidden="false" name="cfg_M1_HOTEL_fav" vbProcedure="false">Hypotheses!$C$43</definedName>
    <definedName function="false" hidden="false" name="cfg_M1_LOG" vbProcedure="false">Hypotheses!$D$44</definedName>
    <definedName function="false" hidden="false" name="cfg_M1_LOG_def" vbProcedure="false">Hypotheses!$E$44</definedName>
    <definedName function="false" hidden="false" name="cfg_M1_LOG_fav" vbProcedure="false">Hypotheses!$C$44</definedName>
    <definedName function="false" hidden="false" name="cfg_M1_LUX" vbProcedure="false">Hypotheses!$D$45</definedName>
    <definedName function="false" hidden="false" name="cfg_M1_LUX_def" vbProcedure="false">Hypotheses!$E$45</definedName>
    <definedName function="false" hidden="false" name="cfg_M1_LUX_fav" vbProcedure="false">Hypotheses!$C$45</definedName>
    <definedName function="false" hidden="false" name="cfg_M1_PV" vbProcedure="false">Hypotheses!$D$46</definedName>
    <definedName function="false" hidden="false" name="cfg_M1_PV_def" vbProcedure="false">Hypotheses!$E$46</definedName>
    <definedName function="false" hidden="false" name="cfg_M1_PV_fav" vbProcedure="false">Hypotheses!$C$46</definedName>
    <definedName function="false" hidden="false" name="cfg_M1_REPRO" vbProcedure="false">Hypotheses!$D$47</definedName>
    <definedName function="false" hidden="false" name="cfg_M1_REPRO_def" vbProcedure="false">Hypotheses!$E$47</definedName>
    <definedName function="false" hidden="false" name="cfg_M1_REPRO_fav" vbProcedure="false">Hypotheses!$C$47</definedName>
    <definedName function="false" hidden="false" name="cfg_M1_SEMJ" vbProcedure="false">Hypotheses!$D$48</definedName>
    <definedName function="false" hidden="false" name="cfg_M1_SEMJ_def" vbProcedure="false">Hypotheses!$E$48</definedName>
    <definedName function="false" hidden="false" name="cfg_M1_SEMJ_fav" vbProcedure="false">Hypotheses!$C$48</definedName>
    <definedName function="false" hidden="false" name="cfg_M1_STOCK" vbProcedure="false">Hypotheses!$D$49</definedName>
    <definedName function="false" hidden="false" name="cfg_M1_STOCK_def" vbProcedure="false">Hypotheses!$E$49</definedName>
    <definedName function="false" hidden="false" name="cfg_M1_STOCK_fav" vbProcedure="false">Hypotheses!$C$49</definedName>
    <definedName function="false" hidden="false" name="cfg_M1_TOURN" vbProcedure="false">Hypotheses!$D$50</definedName>
    <definedName function="false" hidden="false" name="cfg_M1_TOURN_def" vbProcedure="false">Hypotheses!$E$50</definedName>
    <definedName function="false" hidden="false" name="cfg_M1_TOURN_fav" vbProcedure="false">Hypotheses!$C$50</definedName>
    <definedName function="false" hidden="false" name="cfg_M2_ANC" vbProcedure="false">Hypotheses!$D$51</definedName>
    <definedName function="false" hidden="false" name="cfg_M2_ANC_def" vbProcedure="false">Hypotheses!$E$51</definedName>
    <definedName function="false" hidden="false" name="cfg_M2_ANC_fav" vbProcedure="false">Hypotheses!$C$51</definedName>
    <definedName function="false" hidden="false" name="cfg_M2_AUTO" vbProcedure="false">Hypotheses!$D$52</definedName>
    <definedName function="false" hidden="false" name="cfg_M2_AUTO_def" vbProcedure="false">Hypotheses!$E$52</definedName>
    <definedName function="false" hidden="false" name="cfg_M2_AUTO_fav" vbProcedure="false">Hypotheses!$C$52</definedName>
    <definedName function="false" hidden="false" name="cfg_M2_BOIS" vbProcedure="false">Hypotheses!$D$53</definedName>
    <definedName function="false" hidden="false" name="cfg_M2_BOIS_def" vbProcedure="false">Hypotheses!$E$53</definedName>
    <definedName function="false" hidden="false" name="cfg_M2_BOIS_fav" vbProcedure="false">Hypotheses!$C$53</definedName>
    <definedName function="false" hidden="false" name="cfg_M2_EQ_HDG" vbProcedure="false">Hypotheses!$D$54</definedName>
    <definedName function="false" hidden="false" name="cfg_M2_EQ_HDG_def" vbProcedure="false">Hypotheses!$E$54</definedName>
    <definedName function="false" hidden="false" name="cfg_M2_EQ_HDG_fav" vbProcedure="false">Hypotheses!$C$54</definedName>
    <definedName function="false" hidden="false" name="cfg_M2_EQ_PRO" vbProcedure="false">Hypotheses!$D$55</definedName>
    <definedName function="false" hidden="false" name="cfg_M2_EQ_PRO_def" vbProcedure="false">Hypotheses!$E$55</definedName>
    <definedName function="false" hidden="false" name="cfg_M2_EQ_PRO_fav" vbProcedure="false">Hypotheses!$C$55</definedName>
    <definedName function="false" hidden="false" name="cfg_M2_EQ_RET" vbProcedure="false">Hypotheses!$D$56</definedName>
    <definedName function="false" hidden="false" name="cfg_M2_EQ_RET_def" vbProcedure="false">Hypotheses!$E$56</definedName>
    <definedName function="false" hidden="false" name="cfg_M2_EQ_RET_fav" vbProcedure="false">Hypotheses!$C$56</definedName>
    <definedName function="false" hidden="false" name="cfg_M2_EQ_STD" vbProcedure="false">Hypotheses!$D$57</definedName>
    <definedName function="false" hidden="false" name="cfg_M2_EQ_STD_def" vbProcedure="false">Hypotheses!$E$57</definedName>
    <definedName function="false" hidden="false" name="cfg_M2_EQ_STD_fav" vbProcedure="false">Hypotheses!$C$57</definedName>
    <definedName function="false" hidden="false" name="cfg_M2_EVT" vbProcedure="false">Hypotheses!$D$58</definedName>
    <definedName function="false" hidden="false" name="cfg_M2_EVT_def" vbProcedure="false">Hypotheses!$E$58</definedName>
    <definedName function="false" hidden="false" name="cfg_M2_EVT_fav" vbProcedure="false">Hypotheses!$C$58</definedName>
    <definedName function="false" hidden="false" name="cfg_M2_GITE" vbProcedure="false">Hypotheses!$D$59</definedName>
    <definedName function="false" hidden="false" name="cfg_M2_GITE_def" vbProcedure="false">Hypotheses!$E$59</definedName>
    <definedName function="false" hidden="false" name="cfg_M2_GITE_fav" vbProcedure="false">Hypotheses!$C$59</definedName>
    <definedName function="false" hidden="false" name="cfg_M2_HOTEL" vbProcedure="false">Hypotheses!$D$60</definedName>
    <definedName function="false" hidden="false" name="cfg_M2_HOTEL_def" vbProcedure="false">Hypotheses!$E$60</definedName>
    <definedName function="false" hidden="false" name="cfg_M2_HOTEL_fav" vbProcedure="false">Hypotheses!$C$60</definedName>
    <definedName function="false" hidden="false" name="cfg_M2_LOG" vbProcedure="false">Hypotheses!$D$61</definedName>
    <definedName function="false" hidden="false" name="cfg_M2_LOG_def" vbProcedure="false">Hypotheses!$E$61</definedName>
    <definedName function="false" hidden="false" name="cfg_M2_LOG_fav" vbProcedure="false">Hypotheses!$C$61</definedName>
    <definedName function="false" hidden="false" name="cfg_M2_LUX" vbProcedure="false">Hypotheses!$D$62</definedName>
    <definedName function="false" hidden="false" name="cfg_M2_LUX_def" vbProcedure="false">Hypotheses!$E$62</definedName>
    <definedName function="false" hidden="false" name="cfg_M2_LUX_fav" vbProcedure="false">Hypotheses!$C$62</definedName>
    <definedName function="false" hidden="false" name="cfg_M2_PV" vbProcedure="false">Hypotheses!$D$63</definedName>
    <definedName function="false" hidden="false" name="cfg_M2_PV_def" vbProcedure="false">Hypotheses!$E$63</definedName>
    <definedName function="false" hidden="false" name="cfg_M2_PV_fav" vbProcedure="false">Hypotheses!$C$63</definedName>
    <definedName function="false" hidden="false" name="cfg_M2_REPRO" vbProcedure="false">Hypotheses!$D$64</definedName>
    <definedName function="false" hidden="false" name="cfg_M2_REPRO_def" vbProcedure="false">Hypotheses!$E$64</definedName>
    <definedName function="false" hidden="false" name="cfg_M2_REPRO_fav" vbProcedure="false">Hypotheses!$C$64</definedName>
    <definedName function="false" hidden="false" name="cfg_M2_SEMJ" vbProcedure="false">Hypotheses!$D$65</definedName>
    <definedName function="false" hidden="false" name="cfg_M2_SEMJ_def" vbProcedure="false">Hypotheses!$E$65</definedName>
    <definedName function="false" hidden="false" name="cfg_M2_SEMJ_fav" vbProcedure="false">Hypotheses!$C$65</definedName>
    <definedName function="false" hidden="false" name="cfg_M2_STOCK" vbProcedure="false">Hypotheses!$D$66</definedName>
    <definedName function="false" hidden="false" name="cfg_M2_STOCK_def" vbProcedure="false">Hypotheses!$E$66</definedName>
    <definedName function="false" hidden="false" name="cfg_M2_STOCK_fav" vbProcedure="false">Hypotheses!$C$66</definedName>
    <definedName function="false" hidden="false" name="cfg_M2_TOURN" vbProcedure="false">Hypotheses!$D$67</definedName>
    <definedName function="false" hidden="false" name="cfg_M2_TOURN_def" vbProcedure="false">Hypotheses!$E$67</definedName>
    <definedName function="false" hidden="false" name="cfg_M2_TOURN_fav" vbProcedure="false">Hypotheses!$C$67</definedName>
    <definedName function="false" hidden="false" name="cfg_M3_ANC" vbProcedure="false">Hypotheses!$D$68</definedName>
    <definedName function="false" hidden="false" name="cfg_M3_ANC_def" vbProcedure="false">Hypotheses!$E$68</definedName>
    <definedName function="false" hidden="false" name="cfg_M3_ANC_fav" vbProcedure="false">Hypotheses!$C$68</definedName>
    <definedName function="false" hidden="false" name="cfg_M3_AUTO" vbProcedure="false">Hypotheses!$D$69</definedName>
    <definedName function="false" hidden="false" name="cfg_M3_AUTO_def" vbProcedure="false">Hypotheses!$E$69</definedName>
    <definedName function="false" hidden="false" name="cfg_M3_AUTO_fav" vbProcedure="false">Hypotheses!$C$69</definedName>
    <definedName function="false" hidden="false" name="cfg_M3_BOIS" vbProcedure="false">Hypotheses!$D$70</definedName>
    <definedName function="false" hidden="false" name="cfg_M3_BOIS_def" vbProcedure="false">Hypotheses!$E$70</definedName>
    <definedName function="false" hidden="false" name="cfg_M3_BOIS_fav" vbProcedure="false">Hypotheses!$C$70</definedName>
    <definedName function="false" hidden="false" name="cfg_M3_EQ_HDG" vbProcedure="false">Hypotheses!$D$71</definedName>
    <definedName function="false" hidden="false" name="cfg_M3_EQ_HDG_def" vbProcedure="false">Hypotheses!$E$71</definedName>
    <definedName function="false" hidden="false" name="cfg_M3_EQ_HDG_fav" vbProcedure="false">Hypotheses!$C$71</definedName>
    <definedName function="false" hidden="false" name="cfg_M3_EQ_PRO" vbProcedure="false">Hypotheses!$D$72</definedName>
    <definedName function="false" hidden="false" name="cfg_M3_EQ_PRO_def" vbProcedure="false">Hypotheses!$E$72</definedName>
    <definedName function="false" hidden="false" name="cfg_M3_EQ_PRO_fav" vbProcedure="false">Hypotheses!$C$72</definedName>
    <definedName function="false" hidden="false" name="cfg_M3_EQ_RET" vbProcedure="false">Hypotheses!$D$73</definedName>
    <definedName function="false" hidden="false" name="cfg_M3_EQ_RET_def" vbProcedure="false">Hypotheses!$E$73</definedName>
    <definedName function="false" hidden="false" name="cfg_M3_EQ_RET_fav" vbProcedure="false">Hypotheses!$C$73</definedName>
    <definedName function="false" hidden="false" name="cfg_M3_EQ_STD" vbProcedure="false">Hypotheses!$D$74</definedName>
    <definedName function="false" hidden="false" name="cfg_M3_EQ_STD_def" vbProcedure="false">Hypotheses!$E$74</definedName>
    <definedName function="false" hidden="false" name="cfg_M3_EQ_STD_fav" vbProcedure="false">Hypotheses!$C$74</definedName>
    <definedName function="false" hidden="false" name="cfg_M3_EVT" vbProcedure="false">Hypotheses!$D$75</definedName>
    <definedName function="false" hidden="false" name="cfg_M3_EVT_def" vbProcedure="false">Hypotheses!$E$75</definedName>
    <definedName function="false" hidden="false" name="cfg_M3_EVT_fav" vbProcedure="false">Hypotheses!$C$75</definedName>
    <definedName function="false" hidden="false" name="cfg_M3_GITE" vbProcedure="false">Hypotheses!$D$76</definedName>
    <definedName function="false" hidden="false" name="cfg_M3_GITE_def" vbProcedure="false">Hypotheses!$E$76</definedName>
    <definedName function="false" hidden="false" name="cfg_M3_GITE_fav" vbProcedure="false">Hypotheses!$C$76</definedName>
    <definedName function="false" hidden="false" name="cfg_M3_HOTEL" vbProcedure="false">Hypotheses!$D$77</definedName>
    <definedName function="false" hidden="false" name="cfg_M3_HOTEL_def" vbProcedure="false">Hypotheses!$E$77</definedName>
    <definedName function="false" hidden="false" name="cfg_M3_HOTEL_fav" vbProcedure="false">Hypotheses!$C$77</definedName>
    <definedName function="false" hidden="false" name="cfg_M3_LOG" vbProcedure="false">Hypotheses!$D$78</definedName>
    <definedName function="false" hidden="false" name="cfg_M3_LOG_def" vbProcedure="false">Hypotheses!$E$78</definedName>
    <definedName function="false" hidden="false" name="cfg_M3_LOG_fav" vbProcedure="false">Hypotheses!$C$78</definedName>
    <definedName function="false" hidden="false" name="cfg_M3_LUX" vbProcedure="false">Hypotheses!$D$79</definedName>
    <definedName function="false" hidden="false" name="cfg_M3_LUX_def" vbProcedure="false">Hypotheses!$E$79</definedName>
    <definedName function="false" hidden="false" name="cfg_M3_LUX_fav" vbProcedure="false">Hypotheses!$C$79</definedName>
    <definedName function="false" hidden="false" name="cfg_M3_PV" vbProcedure="false">Hypotheses!$D$80</definedName>
    <definedName function="false" hidden="false" name="cfg_M3_PV_def" vbProcedure="false">Hypotheses!$E$80</definedName>
    <definedName function="false" hidden="false" name="cfg_M3_PV_fav" vbProcedure="false">Hypotheses!$C$80</definedName>
    <definedName function="false" hidden="false" name="cfg_M3_REPRO" vbProcedure="false">Hypotheses!$D$81</definedName>
    <definedName function="false" hidden="false" name="cfg_M3_REPRO_def" vbProcedure="false">Hypotheses!$E$81</definedName>
    <definedName function="false" hidden="false" name="cfg_M3_REPRO_fav" vbProcedure="false">Hypotheses!$C$81</definedName>
    <definedName function="false" hidden="false" name="cfg_M3_SEMJ" vbProcedure="false">Hypotheses!$D$82</definedName>
    <definedName function="false" hidden="false" name="cfg_M3_SEMJ_def" vbProcedure="false">Hypotheses!$E$82</definedName>
    <definedName function="false" hidden="false" name="cfg_M3_SEMJ_fav" vbProcedure="false">Hypotheses!$C$82</definedName>
    <definedName function="false" hidden="false" name="cfg_M3_STOCK" vbProcedure="false">Hypotheses!$D$83</definedName>
    <definedName function="false" hidden="false" name="cfg_M3_STOCK_def" vbProcedure="false">Hypotheses!$E$83</definedName>
    <definedName function="false" hidden="false" name="cfg_M3_STOCK_fav" vbProcedure="false">Hypotheses!$C$83</definedName>
    <definedName function="false" hidden="false" name="cfg_M3_TOURN" vbProcedure="false">Hypotheses!$D$84</definedName>
    <definedName function="false" hidden="false" name="cfg_M3_TOURN_def" vbProcedure="false">Hypotheses!$E$84</definedName>
    <definedName function="false" hidden="false" name="cfg_M3_TOURN_fav" vbProcedure="false">Hypotheses!$C$84</definedName>
    <definedName function="false" hidden="false" name="cfg_M4_ANC" vbProcedure="false">Hypotheses!$D$85</definedName>
    <definedName function="false" hidden="false" name="cfg_M4_ANC_def" vbProcedure="false">Hypotheses!$E$85</definedName>
    <definedName function="false" hidden="false" name="cfg_M4_ANC_fav" vbProcedure="false">Hypotheses!$C$85</definedName>
    <definedName function="false" hidden="false" name="cfg_M4_AUTO" vbProcedure="false">Hypotheses!$D$86</definedName>
    <definedName function="false" hidden="false" name="cfg_M4_AUTO_def" vbProcedure="false">Hypotheses!$E$86</definedName>
    <definedName function="false" hidden="false" name="cfg_M4_AUTO_fav" vbProcedure="false">Hypotheses!$C$86</definedName>
    <definedName function="false" hidden="false" name="cfg_M4_BOIS" vbProcedure="false">Hypotheses!$D$87</definedName>
    <definedName function="false" hidden="false" name="cfg_M4_BOIS_def" vbProcedure="false">Hypotheses!$E$87</definedName>
    <definedName function="false" hidden="false" name="cfg_M4_BOIS_fav" vbProcedure="false">Hypotheses!$C$87</definedName>
    <definedName function="false" hidden="false" name="cfg_M4_EQ_HDG" vbProcedure="false">Hypotheses!$D$88</definedName>
    <definedName function="false" hidden="false" name="cfg_M4_EQ_HDG_def" vbProcedure="false">Hypotheses!$E$88</definedName>
    <definedName function="false" hidden="false" name="cfg_M4_EQ_HDG_fav" vbProcedure="false">Hypotheses!$C$88</definedName>
    <definedName function="false" hidden="false" name="cfg_M4_EQ_PRO" vbProcedure="false">Hypotheses!$D$89</definedName>
    <definedName function="false" hidden="false" name="cfg_M4_EQ_PRO_def" vbProcedure="false">Hypotheses!$E$89</definedName>
    <definedName function="false" hidden="false" name="cfg_M4_EQ_PRO_fav" vbProcedure="false">Hypotheses!$C$89</definedName>
    <definedName function="false" hidden="false" name="cfg_M4_EQ_RET" vbProcedure="false">Hypotheses!$D$90</definedName>
    <definedName function="false" hidden="false" name="cfg_M4_EQ_RET_def" vbProcedure="false">Hypotheses!$E$90</definedName>
    <definedName function="false" hidden="false" name="cfg_M4_EQ_RET_fav" vbProcedure="false">Hypotheses!$C$90</definedName>
    <definedName function="false" hidden="false" name="cfg_M4_EQ_STD" vbProcedure="false">Hypotheses!$D$91</definedName>
    <definedName function="false" hidden="false" name="cfg_M4_EQ_STD_def" vbProcedure="false">Hypotheses!$E$91</definedName>
    <definedName function="false" hidden="false" name="cfg_M4_EQ_STD_fav" vbProcedure="false">Hypotheses!$C$91</definedName>
    <definedName function="false" hidden="false" name="cfg_M4_EVT" vbProcedure="false">Hypotheses!$D$92</definedName>
    <definedName function="false" hidden="false" name="cfg_M4_EVT_def" vbProcedure="false">Hypotheses!$E$92</definedName>
    <definedName function="false" hidden="false" name="cfg_M4_EVT_fav" vbProcedure="false">Hypotheses!$C$92</definedName>
    <definedName function="false" hidden="false" name="cfg_M4_GITE" vbProcedure="false">Hypotheses!$D$93</definedName>
    <definedName function="false" hidden="false" name="cfg_M4_GITE_def" vbProcedure="false">Hypotheses!$E$93</definedName>
    <definedName function="false" hidden="false" name="cfg_M4_GITE_fav" vbProcedure="false">Hypotheses!$C$93</definedName>
    <definedName function="false" hidden="false" name="cfg_M4_HOTEL" vbProcedure="false">Hypotheses!$D$94</definedName>
    <definedName function="false" hidden="false" name="cfg_M4_HOTEL_def" vbProcedure="false">Hypotheses!$E$94</definedName>
    <definedName function="false" hidden="false" name="cfg_M4_HOTEL_fav" vbProcedure="false">Hypotheses!$C$94</definedName>
    <definedName function="false" hidden="false" name="cfg_M4_LOG" vbProcedure="false">Hypotheses!$D$95</definedName>
    <definedName function="false" hidden="false" name="cfg_M4_LOG_def" vbProcedure="false">Hypotheses!$E$95</definedName>
    <definedName function="false" hidden="false" name="cfg_M4_LOG_fav" vbProcedure="false">Hypotheses!$C$95</definedName>
    <definedName function="false" hidden="false" name="cfg_M4_LUX" vbProcedure="false">Hypotheses!$D$96</definedName>
    <definedName function="false" hidden="false" name="cfg_M4_LUX_def" vbProcedure="false">Hypotheses!$E$96</definedName>
    <definedName function="false" hidden="false" name="cfg_M4_LUX_fav" vbProcedure="false">Hypotheses!$C$96</definedName>
    <definedName function="false" hidden="false" name="cfg_M4_PV" vbProcedure="false">Hypotheses!$D$97</definedName>
    <definedName function="false" hidden="false" name="cfg_M4_PV_def" vbProcedure="false">Hypotheses!$E$97</definedName>
    <definedName function="false" hidden="false" name="cfg_M4_PV_fav" vbProcedure="false">Hypotheses!$C$97</definedName>
    <definedName function="false" hidden="false" name="cfg_M4_REPRO" vbProcedure="false">Hypotheses!$D$98</definedName>
    <definedName function="false" hidden="false" name="cfg_M4_REPRO_def" vbProcedure="false">Hypotheses!$E$98</definedName>
    <definedName function="false" hidden="false" name="cfg_M4_REPRO_fav" vbProcedure="false">Hypotheses!$C$98</definedName>
    <definedName function="false" hidden="false" name="cfg_M4_SEMJ" vbProcedure="false">Hypotheses!$D$99</definedName>
    <definedName function="false" hidden="false" name="cfg_M4_SEMJ_def" vbProcedure="false">Hypotheses!$E$99</definedName>
    <definedName function="false" hidden="false" name="cfg_M4_SEMJ_fav" vbProcedure="false">Hypotheses!$C$99</definedName>
    <definedName function="false" hidden="false" name="cfg_M4_STOCK" vbProcedure="false">Hypotheses!$D$100</definedName>
    <definedName function="false" hidden="false" name="cfg_M4_STOCK_def" vbProcedure="false">Hypotheses!$E$100</definedName>
    <definedName function="false" hidden="false" name="cfg_M4_STOCK_fav" vbProcedure="false">Hypotheses!$C$100</definedName>
    <definedName function="false" hidden="false" name="cfg_M4_TOURN" vbProcedure="false">Hypotheses!$D$101</definedName>
    <definedName function="false" hidden="false" name="cfg_M4_TOURN_def" vbProcedure="false">Hypotheses!$E$101</definedName>
    <definedName function="false" hidden="false" name="cfg_M4_TOURN_fav" vbProcedure="false">Hypotheses!$C$101</definedName>
    <definedName function="false" hidden="false" name="cfg_M5_ANC" vbProcedure="false">Hypotheses!$D$102</definedName>
    <definedName function="false" hidden="false" name="cfg_M5_ANC_def" vbProcedure="false">Hypotheses!$E$102</definedName>
    <definedName function="false" hidden="false" name="cfg_M5_ANC_fav" vbProcedure="false">Hypotheses!$C$102</definedName>
    <definedName function="false" hidden="false" name="cfg_M5_AUTO" vbProcedure="false">Hypotheses!$D$103</definedName>
    <definedName function="false" hidden="false" name="cfg_M5_AUTO_def" vbProcedure="false">Hypotheses!$E$103</definedName>
    <definedName function="false" hidden="false" name="cfg_M5_AUTO_fav" vbProcedure="false">Hypotheses!$C$103</definedName>
    <definedName function="false" hidden="false" name="cfg_M5_BOIS" vbProcedure="false">Hypotheses!$D$104</definedName>
    <definedName function="false" hidden="false" name="cfg_M5_BOIS_def" vbProcedure="false">Hypotheses!$E$104</definedName>
    <definedName function="false" hidden="false" name="cfg_M5_BOIS_fav" vbProcedure="false">Hypotheses!$C$104</definedName>
    <definedName function="false" hidden="false" name="cfg_M5_EQ_HDG" vbProcedure="false">Hypotheses!$D$105</definedName>
    <definedName function="false" hidden="false" name="cfg_M5_EQ_HDG_def" vbProcedure="false">Hypotheses!$E$105</definedName>
    <definedName function="false" hidden="false" name="cfg_M5_EQ_HDG_fav" vbProcedure="false">Hypotheses!$C$105</definedName>
    <definedName function="false" hidden="false" name="cfg_M5_EQ_PRO" vbProcedure="false">Hypotheses!$D$106</definedName>
    <definedName function="false" hidden="false" name="cfg_M5_EQ_PRO_def" vbProcedure="false">Hypotheses!$E$106</definedName>
    <definedName function="false" hidden="false" name="cfg_M5_EQ_PRO_fav" vbProcedure="false">Hypotheses!$C$106</definedName>
    <definedName function="false" hidden="false" name="cfg_M5_EQ_RET" vbProcedure="false">Hypotheses!$D$107</definedName>
    <definedName function="false" hidden="false" name="cfg_M5_EQ_RET_def" vbProcedure="false">Hypotheses!$E$107</definedName>
    <definedName function="false" hidden="false" name="cfg_M5_EQ_RET_fav" vbProcedure="false">Hypotheses!$C$107</definedName>
    <definedName function="false" hidden="false" name="cfg_M5_EQ_STD" vbProcedure="false">Hypotheses!$D$108</definedName>
    <definedName function="false" hidden="false" name="cfg_M5_EQ_STD_def" vbProcedure="false">Hypotheses!$E$108</definedName>
    <definedName function="false" hidden="false" name="cfg_M5_EQ_STD_fav" vbProcedure="false">Hypotheses!$C$108</definedName>
    <definedName function="false" hidden="false" name="cfg_M5_EVT" vbProcedure="false">Hypotheses!$D$109</definedName>
    <definedName function="false" hidden="false" name="cfg_M5_EVT_def" vbProcedure="false">Hypotheses!$E$109</definedName>
    <definedName function="false" hidden="false" name="cfg_M5_EVT_fav" vbProcedure="false">Hypotheses!$C$109</definedName>
    <definedName function="false" hidden="false" name="cfg_M5_GITE" vbProcedure="false">Hypotheses!$D$110</definedName>
    <definedName function="false" hidden="false" name="cfg_M5_GITE_def" vbProcedure="false">Hypotheses!$E$110</definedName>
    <definedName function="false" hidden="false" name="cfg_M5_GITE_fav" vbProcedure="false">Hypotheses!$C$110</definedName>
    <definedName function="false" hidden="false" name="cfg_M5_HOTEL" vbProcedure="false">Hypotheses!$D$111</definedName>
    <definedName function="false" hidden="false" name="cfg_M5_HOTEL_def" vbProcedure="false">Hypotheses!$E$111</definedName>
    <definedName function="false" hidden="false" name="cfg_M5_HOTEL_fav" vbProcedure="false">Hypotheses!$C$111</definedName>
    <definedName function="false" hidden="false" name="cfg_M5_LOG" vbProcedure="false">Hypotheses!$D$112</definedName>
    <definedName function="false" hidden="false" name="cfg_M5_LOG_def" vbProcedure="false">Hypotheses!$E$112</definedName>
    <definedName function="false" hidden="false" name="cfg_M5_LOG_fav" vbProcedure="false">Hypotheses!$C$112</definedName>
    <definedName function="false" hidden="false" name="cfg_M5_LUX" vbProcedure="false">Hypotheses!$D$113</definedName>
    <definedName function="false" hidden="false" name="cfg_M5_LUX_def" vbProcedure="false">Hypotheses!$E$113</definedName>
    <definedName function="false" hidden="false" name="cfg_M5_LUX_fav" vbProcedure="false">Hypotheses!$C$113</definedName>
    <definedName function="false" hidden="false" name="cfg_M5_PV" vbProcedure="false">Hypotheses!$D$114</definedName>
    <definedName function="false" hidden="false" name="cfg_M5_PV_def" vbProcedure="false">Hypotheses!$E$114</definedName>
    <definedName function="false" hidden="false" name="cfg_M5_PV_fav" vbProcedure="false">Hypotheses!$C$114</definedName>
    <definedName function="false" hidden="false" name="cfg_M5_REPRO" vbProcedure="false">Hypotheses!$D$115</definedName>
    <definedName function="false" hidden="false" name="cfg_M5_REPRO_def" vbProcedure="false">Hypotheses!$E$115</definedName>
    <definedName function="false" hidden="false" name="cfg_M5_REPRO_fav" vbProcedure="false">Hypotheses!$C$115</definedName>
    <definedName function="false" hidden="false" name="cfg_M5_SEMJ" vbProcedure="false">Hypotheses!$D$116</definedName>
    <definedName function="false" hidden="false" name="cfg_M5_SEMJ_def" vbProcedure="false">Hypotheses!$E$116</definedName>
    <definedName function="false" hidden="false" name="cfg_M5_SEMJ_fav" vbProcedure="false">Hypotheses!$C$116</definedName>
    <definedName function="false" hidden="false" name="cfg_M5_STOCK" vbProcedure="false">Hypotheses!$D$117</definedName>
    <definedName function="false" hidden="false" name="cfg_M5_STOCK_def" vbProcedure="false">Hypotheses!$E$117</definedName>
    <definedName function="false" hidden="false" name="cfg_M5_STOCK_fav" vbProcedure="false">Hypotheses!$C$117</definedName>
    <definedName function="false" hidden="false" name="cfg_M5_TOURN" vbProcedure="false">Hypotheses!$D$118</definedName>
    <definedName function="false" hidden="false" name="cfg_M5_TOURN_def" vbProcedure="false">Hypotheses!$E$118</definedName>
    <definedName function="false" hidden="false" name="cfg_M5_TOURN_fav" vbProcedure="false">Hypotheses!$C$118</definedName>
    <definedName function="false" hidden="false" name="cfg_M6_ANC" vbProcedure="false">Hypotheses!$D$119</definedName>
    <definedName function="false" hidden="false" name="cfg_M6_ANC_def" vbProcedure="false">Hypotheses!$E$119</definedName>
    <definedName function="false" hidden="false" name="cfg_M6_ANC_fav" vbProcedure="false">Hypotheses!$C$119</definedName>
    <definedName function="false" hidden="false" name="cfg_M6_AUTO" vbProcedure="false">Hypotheses!$D$120</definedName>
    <definedName function="false" hidden="false" name="cfg_M6_AUTO_def" vbProcedure="false">Hypotheses!$E$120</definedName>
    <definedName function="false" hidden="false" name="cfg_M6_AUTO_fav" vbProcedure="false">Hypotheses!$C$120</definedName>
    <definedName function="false" hidden="false" name="cfg_M6_BOIS" vbProcedure="false">Hypotheses!$D$121</definedName>
    <definedName function="false" hidden="false" name="cfg_M6_BOIS_def" vbProcedure="false">Hypotheses!$E$121</definedName>
    <definedName function="false" hidden="false" name="cfg_M6_BOIS_fav" vbProcedure="false">Hypotheses!$C$121</definedName>
    <definedName function="false" hidden="false" name="cfg_M6_EQ_HDG" vbProcedure="false">Hypotheses!$D$122</definedName>
    <definedName function="false" hidden="false" name="cfg_M6_EQ_HDG_def" vbProcedure="false">Hypotheses!$E$122</definedName>
    <definedName function="false" hidden="false" name="cfg_M6_EQ_HDG_fav" vbProcedure="false">Hypotheses!$C$122</definedName>
    <definedName function="false" hidden="false" name="cfg_M6_EQ_PRO" vbProcedure="false">Hypotheses!$D$123</definedName>
    <definedName function="false" hidden="false" name="cfg_M6_EQ_PRO_def" vbProcedure="false">Hypotheses!$E$123</definedName>
    <definedName function="false" hidden="false" name="cfg_M6_EQ_PRO_fav" vbProcedure="false">Hypotheses!$C$123</definedName>
    <definedName function="false" hidden="false" name="cfg_M6_EQ_RET" vbProcedure="false">Hypotheses!$D$124</definedName>
    <definedName function="false" hidden="false" name="cfg_M6_EQ_RET_def" vbProcedure="false">Hypotheses!$E$124</definedName>
    <definedName function="false" hidden="false" name="cfg_M6_EQ_RET_fav" vbProcedure="false">Hypotheses!$C$124</definedName>
    <definedName function="false" hidden="false" name="cfg_M6_EQ_STD" vbProcedure="false">Hypotheses!$D$125</definedName>
    <definedName function="false" hidden="false" name="cfg_M6_EQ_STD_def" vbProcedure="false">Hypotheses!$E$125</definedName>
    <definedName function="false" hidden="false" name="cfg_M6_EQ_STD_fav" vbProcedure="false">Hypotheses!$C$125</definedName>
    <definedName function="false" hidden="false" name="cfg_M6_EVT" vbProcedure="false">Hypotheses!$D$126</definedName>
    <definedName function="false" hidden="false" name="cfg_M6_EVT_def" vbProcedure="false">Hypotheses!$E$126</definedName>
    <definedName function="false" hidden="false" name="cfg_M6_EVT_fav" vbProcedure="false">Hypotheses!$C$126</definedName>
    <definedName function="false" hidden="false" name="cfg_M6_GITE" vbProcedure="false">Hypotheses!$D$127</definedName>
    <definedName function="false" hidden="false" name="cfg_M6_GITE_def" vbProcedure="false">Hypotheses!$E$127</definedName>
    <definedName function="false" hidden="false" name="cfg_M6_GITE_fav" vbProcedure="false">Hypotheses!$C$127</definedName>
    <definedName function="false" hidden="false" name="cfg_M6_HOTEL" vbProcedure="false">Hypotheses!$D$128</definedName>
    <definedName function="false" hidden="false" name="cfg_M6_HOTEL_def" vbProcedure="false">Hypotheses!$E$128</definedName>
    <definedName function="false" hidden="false" name="cfg_M6_HOTEL_fav" vbProcedure="false">Hypotheses!$C$128</definedName>
    <definedName function="false" hidden="false" name="cfg_M6_LOG" vbProcedure="false">Hypotheses!$D$129</definedName>
    <definedName function="false" hidden="false" name="cfg_M6_LOG_def" vbProcedure="false">Hypotheses!$E$129</definedName>
    <definedName function="false" hidden="false" name="cfg_M6_LOG_fav" vbProcedure="false">Hypotheses!$C$129</definedName>
    <definedName function="false" hidden="false" name="cfg_M6_LUX" vbProcedure="false">Hypotheses!$D$130</definedName>
    <definedName function="false" hidden="false" name="cfg_M6_LUX_def" vbProcedure="false">Hypotheses!$E$130</definedName>
    <definedName function="false" hidden="false" name="cfg_M6_LUX_fav" vbProcedure="false">Hypotheses!$C$130</definedName>
    <definedName function="false" hidden="false" name="cfg_M6_PV" vbProcedure="false">Hypotheses!$D$131</definedName>
    <definedName function="false" hidden="false" name="cfg_M6_PV_def" vbProcedure="false">Hypotheses!$E$131</definedName>
    <definedName function="false" hidden="false" name="cfg_M6_PV_fav" vbProcedure="false">Hypotheses!$C$131</definedName>
    <definedName function="false" hidden="false" name="cfg_M6_REPRO" vbProcedure="false">Hypotheses!$D$132</definedName>
    <definedName function="false" hidden="false" name="cfg_M6_REPRO_def" vbProcedure="false">Hypotheses!$E$132</definedName>
    <definedName function="false" hidden="false" name="cfg_M6_REPRO_fav" vbProcedure="false">Hypotheses!$C$132</definedName>
    <definedName function="false" hidden="false" name="cfg_M6_SEMJ" vbProcedure="false">Hypotheses!$D$133</definedName>
    <definedName function="false" hidden="false" name="cfg_M6_SEMJ_def" vbProcedure="false">Hypotheses!$E$133</definedName>
    <definedName function="false" hidden="false" name="cfg_M6_SEMJ_fav" vbProcedure="false">Hypotheses!$C$133</definedName>
    <definedName function="false" hidden="false" name="cfg_M6_STOCK" vbProcedure="false">Hypotheses!$D$134</definedName>
    <definedName function="false" hidden="false" name="cfg_M6_STOCK_def" vbProcedure="false">Hypotheses!$E$134</definedName>
    <definedName function="false" hidden="false" name="cfg_M6_STOCK_fav" vbProcedure="false">Hypotheses!$C$134</definedName>
    <definedName function="false" hidden="false" name="cfg_M6_TOURN" vbProcedure="false">Hypotheses!$D$135</definedName>
    <definedName function="false" hidden="false" name="cfg_M6_TOURN_def" vbProcedure="false">Hypotheses!$E$135</definedName>
    <definedName function="false" hidden="false" name="cfg_M6_TOURN_fav" vbProcedure="false">Hypotheses!$C$135</definedName>
    <definedName function="false" hidden="false" name="cfg_M7_ANC" vbProcedure="false">Hypotheses!$D$136</definedName>
    <definedName function="false" hidden="false" name="cfg_M7_ANC_def" vbProcedure="false">Hypotheses!$E$136</definedName>
    <definedName function="false" hidden="false" name="cfg_M7_ANC_fav" vbProcedure="false">Hypotheses!$C$136</definedName>
    <definedName function="false" hidden="false" name="cfg_M7_AUTO" vbProcedure="false">Hypotheses!$D$137</definedName>
    <definedName function="false" hidden="false" name="cfg_M7_AUTO_def" vbProcedure="false">Hypotheses!$E$137</definedName>
    <definedName function="false" hidden="false" name="cfg_M7_AUTO_fav" vbProcedure="false">Hypotheses!$C$137</definedName>
    <definedName function="false" hidden="false" name="cfg_M7_BOIS" vbProcedure="false">Hypotheses!$D$138</definedName>
    <definedName function="false" hidden="false" name="cfg_M7_BOIS_def" vbProcedure="false">Hypotheses!$E$138</definedName>
    <definedName function="false" hidden="false" name="cfg_M7_BOIS_fav" vbProcedure="false">Hypotheses!$C$138</definedName>
    <definedName function="false" hidden="false" name="cfg_M7_EQ_HDG" vbProcedure="false">Hypotheses!$D$139</definedName>
    <definedName function="false" hidden="false" name="cfg_M7_EQ_HDG_def" vbProcedure="false">Hypotheses!$E$139</definedName>
    <definedName function="false" hidden="false" name="cfg_M7_EQ_HDG_fav" vbProcedure="false">Hypotheses!$C$139</definedName>
    <definedName function="false" hidden="false" name="cfg_M7_EQ_PRO" vbProcedure="false">Hypotheses!$D$140</definedName>
    <definedName function="false" hidden="false" name="cfg_M7_EQ_PRO_def" vbProcedure="false">Hypotheses!$E$140</definedName>
    <definedName function="false" hidden="false" name="cfg_M7_EQ_PRO_fav" vbProcedure="false">Hypotheses!$C$140</definedName>
    <definedName function="false" hidden="false" name="cfg_M7_EQ_RET" vbProcedure="false">Hypotheses!$D$141</definedName>
    <definedName function="false" hidden="false" name="cfg_M7_EQ_RET_def" vbProcedure="false">Hypotheses!$E$141</definedName>
    <definedName function="false" hidden="false" name="cfg_M7_EQ_RET_fav" vbProcedure="false">Hypotheses!$C$141</definedName>
    <definedName function="false" hidden="false" name="cfg_M7_EQ_STD" vbProcedure="false">Hypotheses!$D$142</definedName>
    <definedName function="false" hidden="false" name="cfg_M7_EQ_STD_def" vbProcedure="false">Hypotheses!$E$142</definedName>
    <definedName function="false" hidden="false" name="cfg_M7_EQ_STD_fav" vbProcedure="false">Hypotheses!$C$142</definedName>
    <definedName function="false" hidden="false" name="cfg_M7_EVT" vbProcedure="false">Hypotheses!$D$143</definedName>
    <definedName function="false" hidden="false" name="cfg_M7_EVT_def" vbProcedure="false">Hypotheses!$E$143</definedName>
    <definedName function="false" hidden="false" name="cfg_M7_EVT_fav" vbProcedure="false">Hypotheses!$C$143</definedName>
    <definedName function="false" hidden="false" name="cfg_M7_GITE" vbProcedure="false">Hypotheses!$D$144</definedName>
    <definedName function="false" hidden="false" name="cfg_M7_GITE_def" vbProcedure="false">Hypotheses!$E$144</definedName>
    <definedName function="false" hidden="false" name="cfg_M7_GITE_fav" vbProcedure="false">Hypotheses!$C$144</definedName>
    <definedName function="false" hidden="false" name="cfg_M7_HOTEL" vbProcedure="false">Hypotheses!$D$145</definedName>
    <definedName function="false" hidden="false" name="cfg_M7_HOTEL_def" vbProcedure="false">Hypotheses!$E$145</definedName>
    <definedName function="false" hidden="false" name="cfg_M7_HOTEL_fav" vbProcedure="false">Hypotheses!$C$145</definedName>
    <definedName function="false" hidden="false" name="cfg_M7_LOG" vbProcedure="false">Hypotheses!$D$146</definedName>
    <definedName function="false" hidden="false" name="cfg_M7_LOG_def" vbProcedure="false">Hypotheses!$E$146</definedName>
    <definedName function="false" hidden="false" name="cfg_M7_LOG_fav" vbProcedure="false">Hypotheses!$C$146</definedName>
    <definedName function="false" hidden="false" name="cfg_M7_LUX" vbProcedure="false">Hypotheses!$D$147</definedName>
    <definedName function="false" hidden="false" name="cfg_M7_LUX_def" vbProcedure="false">Hypotheses!$E$147</definedName>
    <definedName function="false" hidden="false" name="cfg_M7_LUX_fav" vbProcedure="false">Hypotheses!$C$147</definedName>
    <definedName function="false" hidden="false" name="cfg_M7_PV" vbProcedure="false">Hypotheses!$D$148</definedName>
    <definedName function="false" hidden="false" name="cfg_M7_PV_def" vbProcedure="false">Hypotheses!$E$148</definedName>
    <definedName function="false" hidden="false" name="cfg_M7_PV_fav" vbProcedure="false">Hypotheses!$C$148</definedName>
    <definedName function="false" hidden="false" name="cfg_M7_REPRO" vbProcedure="false">Hypotheses!$D$149</definedName>
    <definedName function="false" hidden="false" name="cfg_M7_REPRO_def" vbProcedure="false">Hypotheses!$E$149</definedName>
    <definedName function="false" hidden="false" name="cfg_M7_REPRO_fav" vbProcedure="false">Hypotheses!$C$149</definedName>
    <definedName function="false" hidden="false" name="cfg_M7_SEMJ" vbProcedure="false">Hypotheses!$D$150</definedName>
    <definedName function="false" hidden="false" name="cfg_M7_SEMJ_def" vbProcedure="false">Hypotheses!$E$150</definedName>
    <definedName function="false" hidden="false" name="cfg_M7_SEMJ_fav" vbProcedure="false">Hypotheses!$C$150</definedName>
    <definedName function="false" hidden="false" name="cfg_M7_STOCK" vbProcedure="false">Hypotheses!$D$151</definedName>
    <definedName function="false" hidden="false" name="cfg_M7_STOCK_def" vbProcedure="false">Hypotheses!$E$151</definedName>
    <definedName function="false" hidden="false" name="cfg_M7_STOCK_fav" vbProcedure="false">Hypotheses!$C$151</definedName>
    <definedName function="false" hidden="false" name="cfg_M7_TOURN" vbProcedure="false">Hypotheses!$D$152</definedName>
    <definedName function="false" hidden="false" name="cfg_M7_TOURN_def" vbProcedure="false">Hypotheses!$E$152</definedName>
    <definedName function="false" hidden="false" name="cfg_M7_TOURN_fav" vbProcedure="false">Hypotheses!$C$152</definedName>
    <definedName function="false" hidden="false" name="cfg_M8_ANC" vbProcedure="false">Hypotheses!$D$153</definedName>
    <definedName function="false" hidden="false" name="cfg_M8_ANC_def" vbProcedure="false">Hypotheses!$E$153</definedName>
    <definedName function="false" hidden="false" name="cfg_M8_ANC_fav" vbProcedure="false">Hypotheses!$C$153</definedName>
    <definedName function="false" hidden="false" name="cfg_M8_AUTO" vbProcedure="false">Hypotheses!$D$154</definedName>
    <definedName function="false" hidden="false" name="cfg_M8_AUTO_def" vbProcedure="false">Hypotheses!$E$154</definedName>
    <definedName function="false" hidden="false" name="cfg_M8_AUTO_fav" vbProcedure="false">Hypotheses!$C$154</definedName>
    <definedName function="false" hidden="false" name="cfg_M8_BOIS" vbProcedure="false">Hypotheses!$D$155</definedName>
    <definedName function="false" hidden="false" name="cfg_M8_BOIS_def" vbProcedure="false">Hypotheses!$E$155</definedName>
    <definedName function="false" hidden="false" name="cfg_M8_BOIS_fav" vbProcedure="false">Hypotheses!$C$155</definedName>
    <definedName function="false" hidden="false" name="cfg_M8_EQ_HDG" vbProcedure="false">Hypotheses!$D$156</definedName>
    <definedName function="false" hidden="false" name="cfg_M8_EQ_HDG_def" vbProcedure="false">Hypotheses!$E$156</definedName>
    <definedName function="false" hidden="false" name="cfg_M8_EQ_HDG_fav" vbProcedure="false">Hypotheses!$C$156</definedName>
    <definedName function="false" hidden="false" name="cfg_M8_EQ_PRO" vbProcedure="false">Hypotheses!$D$157</definedName>
    <definedName function="false" hidden="false" name="cfg_M8_EQ_PRO_def" vbProcedure="false">Hypotheses!$E$157</definedName>
    <definedName function="false" hidden="false" name="cfg_M8_EQ_PRO_fav" vbProcedure="false">Hypotheses!$C$157</definedName>
    <definedName function="false" hidden="false" name="cfg_M8_EQ_RET" vbProcedure="false">Hypotheses!$D$158</definedName>
    <definedName function="false" hidden="false" name="cfg_M8_EQ_RET_def" vbProcedure="false">Hypotheses!$E$158</definedName>
    <definedName function="false" hidden="false" name="cfg_M8_EQ_RET_fav" vbProcedure="false">Hypotheses!$C$158</definedName>
    <definedName function="false" hidden="false" name="cfg_M8_EQ_STD" vbProcedure="false">Hypotheses!$D$159</definedName>
    <definedName function="false" hidden="false" name="cfg_M8_EQ_STD_def" vbProcedure="false">Hypotheses!$E$159</definedName>
    <definedName function="false" hidden="false" name="cfg_M8_EQ_STD_fav" vbProcedure="false">Hypotheses!$C$159</definedName>
    <definedName function="false" hidden="false" name="cfg_M8_EVT" vbProcedure="false">Hypotheses!$D$160</definedName>
    <definedName function="false" hidden="false" name="cfg_M8_EVT_def" vbProcedure="false">Hypotheses!$E$160</definedName>
    <definedName function="false" hidden="false" name="cfg_M8_EVT_fav" vbProcedure="false">Hypotheses!$C$160</definedName>
    <definedName function="false" hidden="false" name="cfg_M8_GITE" vbProcedure="false">Hypotheses!$D$161</definedName>
    <definedName function="false" hidden="false" name="cfg_M8_GITE_def" vbProcedure="false">Hypotheses!$E$161</definedName>
    <definedName function="false" hidden="false" name="cfg_M8_GITE_fav" vbProcedure="false">Hypotheses!$C$161</definedName>
    <definedName function="false" hidden="false" name="cfg_M8_HOTEL" vbProcedure="false">Hypotheses!$D$162</definedName>
    <definedName function="false" hidden="false" name="cfg_M8_HOTEL_def" vbProcedure="false">Hypotheses!$E$162</definedName>
    <definedName function="false" hidden="false" name="cfg_M8_HOTEL_fav" vbProcedure="false">Hypotheses!$C$162</definedName>
    <definedName function="false" hidden="false" name="cfg_M8_LOG" vbProcedure="false">Hypotheses!$D$163</definedName>
    <definedName function="false" hidden="false" name="cfg_M8_LOG_def" vbProcedure="false">Hypotheses!$E$163</definedName>
    <definedName function="false" hidden="false" name="cfg_M8_LOG_fav" vbProcedure="false">Hypotheses!$C$163</definedName>
    <definedName function="false" hidden="false" name="cfg_M8_LUX" vbProcedure="false">Hypotheses!$D$164</definedName>
    <definedName function="false" hidden="false" name="cfg_M8_LUX_def" vbProcedure="false">Hypotheses!$E$164</definedName>
    <definedName function="false" hidden="false" name="cfg_M8_LUX_fav" vbProcedure="false">Hypotheses!$C$164</definedName>
    <definedName function="false" hidden="false" name="cfg_M8_PV" vbProcedure="false">Hypotheses!$D$165</definedName>
    <definedName function="false" hidden="false" name="cfg_M8_PV_def" vbProcedure="false">Hypotheses!$E$165</definedName>
    <definedName function="false" hidden="false" name="cfg_M8_PV_fav" vbProcedure="false">Hypotheses!$C$165</definedName>
    <definedName function="false" hidden="false" name="cfg_M8_REPRO" vbProcedure="false">Hypotheses!$D$166</definedName>
    <definedName function="false" hidden="false" name="cfg_M8_REPRO_def" vbProcedure="false">Hypotheses!$E$166</definedName>
    <definedName function="false" hidden="false" name="cfg_M8_REPRO_fav" vbProcedure="false">Hypotheses!$C$166</definedName>
    <definedName function="false" hidden="false" name="cfg_M8_SEMJ" vbProcedure="false">Hypotheses!$D$167</definedName>
    <definedName function="false" hidden="false" name="cfg_M8_SEMJ_def" vbProcedure="false">Hypotheses!$E$167</definedName>
    <definedName function="false" hidden="false" name="cfg_M8_SEMJ_fav" vbProcedure="false">Hypotheses!$C$167</definedName>
    <definedName function="false" hidden="false" name="cfg_M8_STOCK" vbProcedure="false">Hypotheses!$D$168</definedName>
    <definedName function="false" hidden="false" name="cfg_M8_STOCK_def" vbProcedure="false">Hypotheses!$E$168</definedName>
    <definedName function="false" hidden="false" name="cfg_M8_STOCK_fav" vbProcedure="false">Hypotheses!$C$168</definedName>
    <definedName function="false" hidden="false" name="cfg_M8_TOURN" vbProcedure="false">Hypotheses!$D$169</definedName>
    <definedName function="false" hidden="false" name="cfg_M8_TOURN_def" vbProcedure="false">Hypotheses!$E$169</definedName>
    <definedName function="false" hidden="false" name="cfg_M8_TOURN_fav" vbProcedure="false">Hypotheses!$C$169</definedName>
    <definedName function="false" hidden="false" name="chauffage_kwh_m2" vbProcedure="false">Hypotheses!$D$549</definedName>
    <definedName function="false" hidden="false" name="chauffage_kwh_m2_def" vbProcedure="false">Hypotheses!$E$549</definedName>
    <definedName function="false" hidden="false" name="chauffage_kwh_m2_fav" vbProcedure="false">Hypotheses!$C$549</definedName>
    <definedName function="false" hidden="false" name="cheval_an" vbProcedure="false">Hypotheses!$D$177</definedName>
    <definedName function="false" hidden="false" name="cheval_an_def" vbProcedure="false">Hypotheses!$E$177</definedName>
    <definedName function="false" hidden="false" name="cheval_an_fav" vbProcedure="false">Hypotheses!$C$177</definedName>
    <definedName function="false" hidden="false" name="cloture_ml" vbProcedure="false">Hypotheses!$D$178</definedName>
    <definedName function="false" hidden="false" name="cloture_ml_def" vbProcedure="false">Hypotheses!$E$178</definedName>
    <definedName function="false" hidden="false" name="cloture_ml_fav" vbProcedure="false">Hypotheses!$C$178</definedName>
    <definedName function="false" hidden="false" name="cloture_vie" vbProcedure="false">Hypotheses!$D$179</definedName>
    <definedName function="false" hidden="false" name="cloture_vie_def" vbProcedure="false">Hypotheses!$E$179</definedName>
    <definedName function="false" hidden="false" name="cloture_vie_fav" vbProcedure="false">Hypotheses!$C$179</definedName>
    <definedName function="false" hidden="false" name="cout_admin_salarie" vbProcedure="false">Hypotheses!$D$276</definedName>
    <definedName function="false" hidden="false" name="cout_admin_salarie_def" vbProcedure="false">Hypotheses!$E$276</definedName>
    <definedName function="false" hidden="false" name="cout_admin_salarie_fav" vbProcedure="false">Hypotheses!$C$276</definedName>
    <definedName function="false" hidden="false" name="cout_agent_entretien" vbProcedure="false">Hypotheses!$D$277</definedName>
    <definedName function="false" hidden="false" name="cout_agent_entretien_def" vbProcedure="false">Hypotheses!$E$277</definedName>
    <definedName function="false" hidden="false" name="cout_agent_entretien_fav" vbProcedure="false">Hypotheses!$C$277</definedName>
    <definedName function="false" hidden="false" name="cout_chef_jardinier" vbProcedure="false">Hypotheses!$D$278</definedName>
    <definedName function="false" hidden="false" name="cout_chef_jardinier_def" vbProcedure="false">Hypotheses!$E$278</definedName>
    <definedName function="false" hidden="false" name="cout_chef_jardinier_fav" vbProcedure="false">Hypotheses!$C$278</definedName>
    <definedName function="false" hidden="false" name="cout_jardinier" vbProcedure="false">Hypotheses!$D$279</definedName>
    <definedName function="false" hidden="false" name="cout_jardinier_def" vbProcedure="false">Hypotheses!$E$279</definedName>
    <definedName function="false" hidden="false" name="cout_jardinier_fav" vbProcedure="false">Hypotheses!$C$279</definedName>
    <definedName function="false" hidden="false" name="cout_maison" vbProcedure="false">Hypotheses!$D$280</definedName>
    <definedName function="false" hidden="false" name="cout_maison_def" vbProcedure="false">Hypotheses!$E$280</definedName>
    <definedName function="false" hidden="false" name="cout_maison_fav" vbProcedure="false">Hypotheses!$C$280</definedName>
    <definedName function="false" hidden="false" name="cout_ouvrier_agricole" vbProcedure="false">Hypotheses!$D$281</definedName>
    <definedName function="false" hidden="false" name="cout_ouvrier_agricole_def" vbProcedure="false">Hypotheses!$E$281</definedName>
    <definedName function="false" hidden="false" name="cout_ouvrier_agricole_fav" vbProcedure="false">Hypotheses!$C$281</definedName>
    <definedName function="false" hidden="false" name="cout_resp_ecurie" vbProcedure="false">Hypotheses!$D$282</definedName>
    <definedName function="false" hidden="false" name="cout_resp_ecurie_def" vbProcedure="false">Hypotheses!$E$282</definedName>
    <definedName function="false" hidden="false" name="cout_resp_ecurie_fav" vbProcedure="false">Hypotheses!$C$282</definedName>
    <definedName function="false" hidden="false" name="cout_soigneur" vbProcedure="false">Hypotheses!$D$283</definedName>
    <definedName function="false" hidden="false" name="cout_soigneur_def" vbProcedure="false">Hypotheses!$E$283</definedName>
    <definedName function="false" hidden="false" name="cout_soigneur_fav" vbProcedure="false">Hypotheses!$C$283</definedName>
    <definedName function="false" hidden="false" name="dette_active" vbProcedure="false">Hypotheses!$D$345</definedName>
    <definedName function="false" hidden="false" name="dette_active_def" vbProcedure="false">Hypotheses!$E$345</definedName>
    <definedName function="false" hidden="false" name="dette_active_fav" vbProcedure="false">Hypotheses!$C$345</definedName>
    <definedName function="false" hidden="false" name="dette_duree" vbProcedure="false">Hypotheses!$D$380</definedName>
    <definedName function="false" hidden="false" name="dette_duree_def" vbProcedure="false">Hypotheses!$E$380</definedName>
    <definedName function="false" hidden="false" name="dette_duree_fav" vbProcedure="false">Hypotheses!$C$380</definedName>
    <definedName function="false" hidden="false" name="dette_quotite" vbProcedure="false">Hypotheses!$D$381</definedName>
    <definedName function="false" hidden="false" name="dette_quotite_def" vbProcedure="false">Hypotheses!$E$381</definedName>
    <definedName function="false" hidden="false" name="dette_quotite_fav" vbProcedure="false">Hypotheses!$C$381</definedName>
    <definedName function="false" hidden="false" name="dette_taux" vbProcedure="false">Hypotheses!$D$382</definedName>
    <definedName function="false" hidden="false" name="dette_taux_def" vbProcedure="false">Hypotheses!$E$382</definedName>
    <definedName function="false" hidden="false" name="dette_taux_fav" vbProcedure="false">Hypotheses!$C$382</definedName>
    <definedName function="false" hidden="false" name="dot_rendement" vbProcedure="false">Hypotheses!$D$317</definedName>
    <definedName function="false" hidden="false" name="dot_rendement_def" vbProcedure="false">Hypotheses!$E$317</definedName>
    <definedName function="false" hidden="false" name="dot_rendement_fav" vbProcedure="false">Hypotheses!$C$317</definedName>
    <definedName function="false" hidden="false" name="dot_taux_net" vbProcedure="false">Hypotheses!$D$211</definedName>
    <definedName function="false" hidden="false" name="dot_taux_net_def" vbProcedure="false">Hypotheses!$E$211</definedName>
    <definedName function="false" hidden="false" name="dot_taux_net_fav" vbProcedure="false">Hypotheses!$C$211</definedName>
    <definedName function="false" hidden="false" name="ent_conversion" vbProcedure="false">Hypotheses!$D$212</definedName>
    <definedName function="false" hidden="false" name="ent_conversion_def" vbProcedure="false">Hypotheses!$E$212</definedName>
    <definedName function="false" hidden="false" name="ent_conversion_fav" vbProcedure="false">Hypotheses!$C$212</definedName>
    <definedName function="false" hidden="false" name="equip_entretien_taux" vbProcedure="false">Hypotheses!$D$180</definedName>
    <definedName function="false" hidden="false" name="equip_entretien_taux_def" vbProcedure="false">Hypotheses!$E$180</definedName>
    <definedName function="false" hidden="false" name="equip_entretien_taux_fav" vbProcedure="false">Hypotheses!$C$180</definedName>
    <definedName function="false" hidden="false" name="equip_vie" vbProcedure="false">Hypotheses!$D$181</definedName>
    <definedName function="false" hidden="false" name="equip_vie_def" vbProcedure="false">Hypotheses!$E$181</definedName>
    <definedName function="false" hidden="false" name="equip_vie_fav" vbProcedure="false">Hypotheses!$C$181</definedName>
    <definedName function="false" hidden="false" name="eq_hdg_boxes" vbProcedure="false">Hypotheses!$D$218</definedName>
    <definedName function="false" hidden="false" name="eq_hdg_boxes_def" vbProcedure="false">Hypotheses!$E$218</definedName>
    <definedName function="false" hidden="false" name="eq_hdg_boxes_fav" vbProcedure="false">Hypotheses!$C$218</definedName>
    <definedName function="false" hidden="false" name="eq_hdg_cout_fixe" vbProcedure="false">Hypotheses!$D$219</definedName>
    <definedName function="false" hidden="false" name="eq_hdg_cout_fixe_def" vbProcedure="false">Hypotheses!$E$219</definedName>
    <definedName function="false" hidden="false" name="eq_hdg_cout_fixe_fav" vbProcedure="false">Hypotheses!$C$219</definedName>
    <definedName function="false" hidden="false" name="eq_hdg_cout_var" vbProcedure="false">Hypotheses!$D$220</definedName>
    <definedName function="false" hidden="false" name="eq_hdg_cout_var_def" vbProcedure="false">Hypotheses!$E$220</definedName>
    <definedName function="false" hidden="false" name="eq_hdg_cout_var_fav" vbProcedure="false">Hypotheses!$C$220</definedName>
    <definedName function="false" hidden="false" name="eq_hdg_occ" vbProcedure="false">Hypotheses!$D$221</definedName>
    <definedName function="false" hidden="false" name="eq_hdg_occ_def" vbProcedure="false">Hypotheses!$E$221</definedName>
    <definedName function="false" hidden="false" name="eq_hdg_occ_fav" vbProcedure="false">Hypotheses!$C$221</definedName>
    <definedName function="false" hidden="false" name="eq_hdg_prix_ht" vbProcedure="false">Hypotheses!$D$222</definedName>
    <definedName function="false" hidden="false" name="eq_hdg_prix_ht_def" vbProcedure="false">Hypotheses!$E$222</definedName>
    <definedName function="false" hidden="false" name="eq_hdg_prix_ht_fav" vbProcedure="false">Hypotheses!$C$222</definedName>
    <definedName function="false" hidden="false" name="eq_pro_boxes" vbProcedure="false">Hypotheses!$D$223</definedName>
    <definedName function="false" hidden="false" name="eq_pro_boxes_def" vbProcedure="false">Hypotheses!$E$223</definedName>
    <definedName function="false" hidden="false" name="eq_pro_boxes_fav" vbProcedure="false">Hypotheses!$C$223</definedName>
    <definedName function="false" hidden="false" name="eq_pro_cout_box" vbProcedure="false">Hypotheses!$D$224</definedName>
    <definedName function="false" hidden="false" name="eq_pro_cout_box_def" vbProcedure="false">Hypotheses!$E$224</definedName>
    <definedName function="false" hidden="false" name="eq_pro_cout_box_fav" vbProcedure="false">Hypotheses!$C$224</definedName>
    <definedName function="false" hidden="false" name="eq_pro_loyer_box" vbProcedure="false">Hypotheses!$D$225</definedName>
    <definedName function="false" hidden="false" name="eq_pro_loyer_box_def" vbProcedure="false">Hypotheses!$E$225</definedName>
    <definedName function="false" hidden="false" name="eq_pro_loyer_box_fav" vbProcedure="false">Hypotheses!$C$225</definedName>
    <definedName function="false" hidden="false" name="eq_ret_chevaux" vbProcedure="false">Hypotheses!$D$226</definedName>
    <definedName function="false" hidden="false" name="eq_ret_chevaux_def" vbProcedure="false">Hypotheses!$E$226</definedName>
    <definedName function="false" hidden="false" name="eq_ret_chevaux_fav" vbProcedure="false">Hypotheses!$C$226</definedName>
    <definedName function="false" hidden="false" name="eq_ret_cout" vbProcedure="false">Hypotheses!$D$227</definedName>
    <definedName function="false" hidden="false" name="eq_ret_cout_def" vbProcedure="false">Hypotheses!$E$227</definedName>
    <definedName function="false" hidden="false" name="eq_ret_cout_fav" vbProcedure="false">Hypotheses!$C$227</definedName>
    <definedName function="false" hidden="false" name="eq_ret_occ" vbProcedure="false">Hypotheses!$D$228</definedName>
    <definedName function="false" hidden="false" name="eq_ret_occ_def" vbProcedure="false">Hypotheses!$E$228</definedName>
    <definedName function="false" hidden="false" name="eq_ret_occ_fav" vbProcedure="false">Hypotheses!$C$228</definedName>
    <definedName function="false" hidden="false" name="eq_ret_prix_ht" vbProcedure="false">Hypotheses!$D$229</definedName>
    <definedName function="false" hidden="false" name="eq_ret_prix_ht_def" vbProcedure="false">Hypotheses!$E$229</definedName>
    <definedName function="false" hidden="false" name="eq_ret_prix_ht_fav" vbProcedure="false">Hypotheses!$C$229</definedName>
    <definedName function="false" hidden="false" name="eq_std_boxes" vbProcedure="false">Hypotheses!$D$230</definedName>
    <definedName function="false" hidden="false" name="eq_std_boxes_def" vbProcedure="false">Hypotheses!$E$230</definedName>
    <definedName function="false" hidden="false" name="eq_std_boxes_fav" vbProcedure="false">Hypotheses!$C$230</definedName>
    <definedName function="false" hidden="false" name="eq_std_cout_fixe" vbProcedure="false">Hypotheses!$D$231</definedName>
    <definedName function="false" hidden="false" name="eq_std_cout_fixe_def" vbProcedure="false">Hypotheses!$E$231</definedName>
    <definedName function="false" hidden="false" name="eq_std_cout_fixe_fav" vbProcedure="false">Hypotheses!$C$231</definedName>
    <definedName function="false" hidden="false" name="eq_std_cout_var" vbProcedure="false">Hypotheses!$D$232</definedName>
    <definedName function="false" hidden="false" name="eq_std_cout_var_def" vbProcedure="false">Hypotheses!$E$232</definedName>
    <definedName function="false" hidden="false" name="eq_std_cout_var_fav" vbProcedure="false">Hypotheses!$C$232</definedName>
    <definedName function="false" hidden="false" name="eq_std_occ" vbProcedure="false">Hypotheses!$D$233</definedName>
    <definedName function="false" hidden="false" name="eq_std_occ_def" vbProcedure="false">Hypotheses!$E$233</definedName>
    <definedName function="false" hidden="false" name="eq_std_occ_fav" vbProcedure="false">Hypotheses!$C$233</definedName>
    <definedName function="false" hidden="false" name="eq_std_prix_ht" vbProcedure="false">Hypotheses!$D$234</definedName>
    <definedName function="false" hidden="false" name="eq_std_prix_ht_def" vbProcedure="false">Hypotheses!$E$234</definedName>
    <definedName function="false" hidden="false" name="eq_std_prix_ht_fav" vbProcedure="false">Hypotheses!$C$234</definedName>
    <definedName function="false" hidden="false" name="evt_capex" vbProcedure="false">Hypotheses!$D$242</definedName>
    <definedName function="false" hidden="false" name="evt_capex_def" vbProcedure="false">Hypotheses!$E$242</definedName>
    <definedName function="false" hidden="false" name="evt_capex_fav" vbProcedure="false">Hypotheses!$C$242</definedName>
    <definedName function="false" hidden="false" name="evt_fixe" vbProcedure="false">Hypotheses!$D$243</definedName>
    <definedName function="false" hidden="false" name="evt_fixe_def" vbProcedure="false">Hypotheses!$E$243</definedName>
    <definedName function="false" hidden="false" name="evt_fixe_fav" vbProcedure="false">Hypotheses!$C$243</definedName>
    <definedName function="false" hidden="false" name="evt_nb" vbProcedure="false">Hypotheses!$D$244</definedName>
    <definedName function="false" hidden="false" name="evt_nb_def" vbProcedure="false">Hypotheses!$E$244</definedName>
    <definedName function="false" hidden="false" name="evt_nb_fav" vbProcedure="false">Hypotheses!$C$244</definedName>
    <definedName function="false" hidden="false" name="evt_prix_ht" vbProcedure="false">Hypotheses!$D$245</definedName>
    <definedName function="false" hidden="false" name="evt_prix_ht_def" vbProcedure="false">Hypotheses!$E$245</definedName>
    <definedName function="false" hidden="false" name="evt_prix_ht_fav" vbProcedure="false">Hypotheses!$C$245</definedName>
    <definedName function="false" hidden="false" name="evt_var" vbProcedure="false">Hypotheses!$D$246</definedName>
    <definedName function="false" hidden="false" name="evt_var_def" vbProcedure="false">Hypotheses!$E$246</definedName>
    <definedName function="false" hidden="false" name="evt_var_fav" vbProcedure="false">Hypotheses!$C$246</definedName>
    <definedName function="false" hidden="false" name="flex_report" vbProcedure="false">Hypotheses!$D$346</definedName>
    <definedName function="false" hidden="false" name="flex_report_def" vbProcedure="false">Hypotheses!$E$346</definedName>
    <definedName function="false" hidden="false" name="flex_report_fav" vbProcedure="false">Hypotheses!$C$346</definedName>
    <definedName function="false" hidden="false" name="flex_seuil" vbProcedure="false">Hypotheses!$D$347</definedName>
    <definedName function="false" hidden="false" name="flex_seuil_def" vbProcedure="false">Hypotheses!$E$347</definedName>
    <definedName function="false" hidden="false" name="flex_seuil_fav" vbProcedure="false">Hypotheses!$C$347</definedName>
    <definedName function="false" hidden="false" name="flex_taux" vbProcedure="false">Hypotheses!$D$348</definedName>
    <definedName function="false" hidden="false" name="flex_taux_def" vbProcedure="false">Hypotheses!$E$348</definedName>
    <definedName function="false" hidden="false" name="flex_taux_fav" vbProcedure="false">Hypotheses!$C$348</definedName>
    <definedName function="false" hidden="false" name="fuite_fiscale" vbProcedure="false">Hypotheses!$D$170</definedName>
    <definedName function="false" hidden="false" name="fuite_fiscale_def" vbProcedure="false">Hypotheses!$E$170</definedName>
    <definedName function="false" hidden="false" name="fuite_fiscale_fav" vbProcedure="false">Hypotheses!$C$170</definedName>
    <definedName function="false" hidden="false" name="gite_capex" vbProcedure="false">Hypotheses!$D$247</definedName>
    <definedName function="false" hidden="false" name="gite_capex_def" vbProcedure="false">Hypotheses!$E$247</definedName>
    <definedName function="false" hidden="false" name="gite_capex_fav" vbProcedure="false">Hypotheses!$C$247</definedName>
    <definedName function="false" hidden="false" name="gite_fixe" vbProcedure="false">Hypotheses!$D$248</definedName>
    <definedName function="false" hidden="false" name="gite_fixe_def" vbProcedure="false">Hypotheses!$E$248</definedName>
    <definedName function="false" hidden="false" name="gite_fixe_fav" vbProcedure="false">Hypotheses!$C$248</definedName>
    <definedName function="false" hidden="false" name="gite_prix_semaine" vbProcedure="false">Hypotheses!$D$249</definedName>
    <definedName function="false" hidden="false" name="gite_prix_semaine_def" vbProcedure="false">Hypotheses!$E$249</definedName>
    <definedName function="false" hidden="false" name="gite_prix_semaine_fav" vbProcedure="false">Hypotheses!$C$249</definedName>
    <definedName function="false" hidden="false" name="gite_semaines" vbProcedure="false">Hypotheses!$D$250</definedName>
    <definedName function="false" hidden="false" name="gite_semaines_def" vbProcedure="false">Hypotheses!$E$250</definedName>
    <definedName function="false" hidden="false" name="gite_semaines_fav" vbProcedure="false">Hypotheses!$C$250</definedName>
    <definedName function="false" hidden="false" name="gite_var" vbProcedure="false">Hypotheses!$D$251</definedName>
    <definedName function="false" hidden="false" name="gite_var_def" vbProcedure="false">Hypotheses!$E$251</definedName>
    <definedName function="false" hidden="false" name="gite_var_fav" vbProcedure="false">Hypotheses!$C$251</definedName>
    <definedName function="false" hidden="false" name="g_assurance" vbProcedure="false">Hypotheses!$D$318</definedName>
    <definedName function="false" hidden="false" name="g_assurance_def" vbProcedure="false">Hypotheses!$E$318</definedName>
    <definedName function="false" hidden="false" name="g_assurance_fav" vbProcedure="false">Hypotheses!$C$318</definedName>
    <definedName function="false" hidden="false" name="g_energie" vbProcedure="false">Hypotheses!$D$319</definedName>
    <definedName function="false" hidden="false" name="g_energie_def" vbProcedure="false">Hypotheses!$E$319</definedName>
    <definedName function="false" hidden="false" name="g_energie_fav" vbProcedure="false">Hypotheses!$C$319</definedName>
    <definedName function="false" hidden="false" name="g_recettes" vbProcedure="false">Hypotheses!$D$320</definedName>
    <definedName function="false" hidden="false" name="g_recettes_def" vbProcedure="false">Hypotheses!$E$320</definedName>
    <definedName function="false" hidden="false" name="g_recettes_fav" vbProcedure="false">Hypotheses!$C$320</definedName>
    <definedName function="false" hidden="false" name="g_salaires" vbProcedure="false">Hypotheses!$D$321</definedName>
    <definedName function="false" hidden="false" name="g_salaires_def" vbProcedure="false">Hypotheses!$E$321</definedName>
    <definedName function="false" hidden="false" name="g_salaires_fav" vbProcedure="false">Hypotheses!$C$321</definedName>
    <definedName function="false" hidden="false" name="g_travaux" vbProcedure="false">Hypotheses!$D$322</definedName>
    <definedName function="false" hidden="false" name="g_travaux_def" vbProcedure="false">Hypotheses!$E$322</definedName>
    <definedName function="false" hidden="false" name="g_travaux_fav" vbProcedure="false">Hypotheses!$C$322</definedName>
    <definedName function="false" hidden="false" name="horsgel_kwh_m2" vbProcedure="false">Hypotheses!$D$550</definedName>
    <definedName function="false" hidden="false" name="horsgel_kwh_m2_def" vbProcedure="false">Hypotheses!$E$550</definedName>
    <definedName function="false" hidden="false" name="horsgel_kwh_m2_fav" vbProcedure="false">Hypotheses!$C$550</definedName>
    <definedName function="false" hidden="false" name="hot_autres_charges" vbProcedure="false">Hypotheses!$D$203</definedName>
    <definedName function="false" hidden="false" name="hot_autres_charges_def" vbProcedure="false">Hypotheses!$E$203</definedName>
    <definedName function="false" hidden="false" name="hot_autres_charges_fav" vbProcedure="false">Hypotheses!$C$203</definedName>
    <definedName function="false" hidden="false" name="hot_autres_recettes" vbProcedure="false">Hypotheses!$D$204</definedName>
    <definedName function="false" hidden="false" name="hot_autres_recettes_def" vbProcedure="false">Hypotheses!$E$204</definedName>
    <definedName function="false" hidden="false" name="hot_autres_recettes_fav" vbProcedure="false">Hypotheses!$C$204</definedName>
    <definedName function="false" hidden="false" name="hot_capex_chambre" vbProcedure="false">Hypotheses!$D$205</definedName>
    <definedName function="false" hidden="false" name="hot_capex_chambre_def" vbProcedure="false">Hypotheses!$E$205</definedName>
    <definedName function="false" hidden="false" name="hot_capex_chambre_fav" vbProcedure="false">Hypotheses!$C$205</definedName>
    <definedName function="false" hidden="false" name="hot_chambres" vbProcedure="false">Hypotheses!$D$206</definedName>
    <definedName function="false" hidden="false" name="hot_chambres_def" vbProcedure="false">Hypotheses!$E$206</definedName>
    <definedName function="false" hidden="false" name="hot_chambres_fav" vbProcedure="false">Hypotheses!$C$206</definedName>
    <definedName function="false" hidden="false" name="hot_cout_etp" vbProcedure="false">Hypotheses!$D$207</definedName>
    <definedName function="false" hidden="false" name="hot_cout_etp_def" vbProcedure="false">Hypotheses!$E$207</definedName>
    <definedName function="false" hidden="false" name="hot_cout_etp_fav" vbProcedure="false">Hypotheses!$C$207</definedName>
    <definedName function="false" hidden="false" name="hot_etp_chambre" vbProcedure="false">Hypotheses!$D$208</definedName>
    <definedName function="false" hidden="false" name="hot_etp_chambre_def" vbProcedure="false">Hypotheses!$E$208</definedName>
    <definedName function="false" hidden="false" name="hot_etp_chambre_fav" vbProcedure="false">Hypotheses!$C$208</definedName>
    <definedName function="false" hidden="false" name="hot_revpar" vbProcedure="false">Hypotheses!$D$209</definedName>
    <definedName function="false" hidden="false" name="hot_revpar_def" vbProcedure="false">Hypotheses!$E$209</definedName>
    <definedName function="false" hidden="false" name="hot_revpar_fav" vbProcedure="false">Hypotheses!$C$209</definedName>
    <definedName function="false" hidden="false" name="ifi_abattement_rp" vbProcedure="false">Hypotheses!$D$13</definedName>
    <definedName function="false" hidden="false" name="ifi_abattement_rp_def" vbProcedure="false">Hypotheses!$E$13</definedName>
    <definedName function="false" hidden="false" name="ifi_abattement_rp_fav" vbProcedure="false">Hypotheses!$C$13</definedName>
    <definedName function="false" hidden="false" name="inflation" vbProcedure="false">Hypotheses!$D$323</definedName>
    <definedName function="false" hidden="false" name="inflation_def" vbProcedure="false">Hypotheses!$E$323</definedName>
    <definedName function="false" hidden="false" name="inflation_fav" vbProcedure="false">Hypotheses!$C$323</definedName>
    <definedName function="false" hidden="false" name="jardin_ha" vbProcedure="false">Hypotheses!$D$182</definedName>
    <definedName function="false" hidden="false" name="jardin_ha_def" vbProcedure="false">Hypotheses!$E$182</definedName>
    <definedName function="false" hidden="false" name="jardin_ha_fav" vbProcedure="false">Hypotheses!$C$182</definedName>
    <definedName function="false" hidden="false" name="lissage_depense" vbProcedure="false">Hypotheses!$D$349</definedName>
    <definedName function="false" hidden="false" name="lissage_depense_def" vbProcedure="false">Hypotheses!$E$349</definedName>
    <definedName function="false" hidden="false" name="lissage_depense_fav" vbProcedure="false">Hypotheses!$C$349</definedName>
    <definedName function="false" hidden="false" name="log_capex_m2" vbProcedure="false">Hypotheses!$D$252</definedName>
    <definedName function="false" hidden="false" name="log_capex_m2_def" vbProcedure="false">Hypotheses!$E$252</definedName>
    <definedName function="false" hidden="false" name="log_capex_m2_fav" vbProcedure="false">Hypotheses!$C$252</definedName>
    <definedName function="false" hidden="false" name="log_charges" vbProcedure="false">Hypotheses!$D$253</definedName>
    <definedName function="false" hidden="false" name="log_charges_def" vbProcedure="false">Hypotheses!$E$253</definedName>
    <definedName function="false" hidden="false" name="log_charges_fav" vbProcedure="false">Hypotheses!$C$253</definedName>
    <definedName function="false" hidden="false" name="log_loyer_m2" vbProcedure="false">Hypotheses!$D$254</definedName>
    <definedName function="false" hidden="false" name="log_loyer_m2_def" vbProcedure="false">Hypotheses!$E$254</definedName>
    <definedName function="false" hidden="false" name="log_loyer_m2_fav" vbProcedure="false">Hypotheses!$C$254</definedName>
    <definedName function="false" hidden="false" name="log_m2" vbProcedure="false">Hypotheses!$D$255</definedName>
    <definedName function="false" hidden="false" name="log_m2_def" vbProcedure="false">Hypotheses!$E$255</definedName>
    <definedName function="false" hidden="false" name="log_m2_fav" vbProcedure="false">Hypotheses!$C$255</definedName>
    <definedName function="false" hidden="false" name="log_vacance" vbProcedure="false">Hypotheses!$D$256</definedName>
    <definedName function="false" hidden="false" name="log_vacance_def" vbProcedure="false">Hypotheses!$E$256</definedName>
    <definedName function="false" hidden="false" name="log_vacance_fav" vbProcedure="false">Hypotheses!$C$256</definedName>
    <definedName function="false" hidden="false" name="lux_capex" vbProcedure="false">Hypotheses!$D$196</definedName>
    <definedName function="false" hidden="false" name="lux_capex_def" vbProcedure="false">Hypotheses!$E$196</definedName>
    <definedName function="false" hidden="false" name="lux_capex_fav" vbProcedure="false">Hypotheses!$C$196</definedName>
    <definedName function="false" hidden="false" name="lux_commission" vbProcedure="false">Hypotheses!$D$197</definedName>
    <definedName function="false" hidden="false" name="lux_commission_def" vbProcedure="false">Hypotheses!$E$197</definedName>
    <definedName function="false" hidden="false" name="lux_commission_fav" vbProcedure="false">Hypotheses!$C$197</definedName>
    <definedName function="false" hidden="false" name="lux_fixe" vbProcedure="false">Hypotheses!$D$198</definedName>
    <definedName function="false" hidden="false" name="lux_fixe_def" vbProcedure="false">Hypotheses!$E$198</definedName>
    <definedName function="false" hidden="false" name="lux_fixe_fav" vbProcedure="false">Hypotheses!$C$198</definedName>
    <definedName function="false" hidden="false" name="lux_prix_semaine" vbProcedure="false">Hypotheses!$D$199</definedName>
    <definedName function="false" hidden="false" name="lux_prix_semaine_def" vbProcedure="false">Hypotheses!$E$199</definedName>
    <definedName function="false" hidden="false" name="lux_prix_semaine_fav" vbProcedure="false">Hypotheses!$C$199</definedName>
    <definedName function="false" hidden="false" name="lux_semaines" vbProcedure="false">Hypotheses!$D$200</definedName>
    <definedName function="false" hidden="false" name="lux_semaines_def" vbProcedure="false">Hypotheses!$E$200</definedName>
    <definedName function="false" hidden="false" name="lux_semaines_fav" vbProcedure="false">Hypotheses!$C$200</definedName>
    <definedName function="false" hidden="false" name="lux_var" vbProcedure="false">Hypotheses!$D$201</definedName>
    <definedName function="false" hidden="false" name="lux_var_def" vbProcedure="false">Hypotheses!$E$201</definedName>
    <definedName function="false" hidden="false" name="lux_var_fav" vbProcedure="false">Hypotheses!$C$201</definedName>
    <definedName function="false" hidden="false" name="manege_cout_m2" vbProcedure="false">Hypotheses!$D$183</definedName>
    <definedName function="false" hidden="false" name="manege_cout_m2_def" vbProcedure="false">Hypotheses!$E$183</definedName>
    <definedName function="false" hidden="false" name="manege_cout_m2_fav" vbProcedure="false">Hypotheses!$C$183</definedName>
    <definedName function="false" hidden="false" name="manege_vie" vbProcedure="false">Hypotheses!$D$184</definedName>
    <definedName function="false" hidden="false" name="manege_vie_def" vbProcedure="false">Hypotheses!$E$184</definedName>
    <definedName function="false" hidden="false" name="manege_vie_fav" vbProcedure="false">Hypotheses!$C$184</definedName>
    <definedName function="false" hidden="false" name="mh_actif" vbProcedure="false">Hypotheses!$D$350</definedName>
    <definedName function="false" hidden="false" name="mh_actif_def" vbProcedure="false">Hypotheses!$E$350</definedName>
    <definedName function="false" hidden="false" name="mh_actif_fav" vbProcedure="false">Hypotheses!$C$350</definedName>
    <definedName function="false" hidden="false" name="mh_part_deductible" vbProcedure="false">Hypotheses!$D$324</definedName>
    <definedName function="false" hidden="false" name="mh_part_deductible_def" vbProcedure="false">Hypotheses!$E$324</definedName>
    <definedName function="false" hidden="false" name="mh_part_deductible_fav" vbProcedure="false">Hypotheses!$C$324</definedName>
    <definedName function="false" hidden="false" name="mh_taux_deduction" vbProcedure="false">Hypotheses!$D$325</definedName>
    <definedName function="false" hidden="false" name="mh_taux_deduction_def" vbProcedure="false">Hypotheses!$E$325</definedName>
    <definedName function="false" hidden="false" name="mh_taux_deduction_fav" vbProcedure="false">Hypotheses!$C$325</definedName>
    <definedName function="false" hidden="false" name="mh_tmi" vbProcedure="false">Hypotheses!$D$326</definedName>
    <definedName function="false" hidden="false" name="mh_tmi_def" vbProcedure="false">Hypotheses!$E$326</definedName>
    <definedName function="false" hidden="false" name="mh_tmi_fav" vbProcedure="false">Hypotheses!$C$326</definedName>
    <definedName function="false" hidden="false" name="mod_couv_M1" vbProcedure="false">Modeles!$F$8</definedName>
    <definedName function="false" hidden="false" name="mod_couv_M1_def" vbProcedure="false">Modeles!$G$8</definedName>
    <definedName function="false" hidden="false" name="mod_couv_M1_fav" vbProcedure="false">Modeles!$E$8</definedName>
    <definedName function="false" hidden="false" name="mod_couv_M2" vbProcedure="false">Modeles!$F$17</definedName>
    <definedName function="false" hidden="false" name="mod_couv_M2_def" vbProcedure="false">Modeles!$G$17</definedName>
    <definedName function="false" hidden="false" name="mod_couv_M2_fav" vbProcedure="false">Modeles!$E$17</definedName>
    <definedName function="false" hidden="false" name="mod_couv_M3" vbProcedure="false">Modeles!$F$26</definedName>
    <definedName function="false" hidden="false" name="mod_couv_M3_def" vbProcedure="false">Modeles!$G$26</definedName>
    <definedName function="false" hidden="false" name="mod_couv_M3_fav" vbProcedure="false">Modeles!$E$26</definedName>
    <definedName function="false" hidden="false" name="mod_couv_M4" vbProcedure="false">Modeles!$F$35</definedName>
    <definedName function="false" hidden="false" name="mod_couv_M4_def" vbProcedure="false">Modeles!$G$35</definedName>
    <definedName function="false" hidden="false" name="mod_couv_M4_fav" vbProcedure="false">Modeles!$E$35</definedName>
    <definedName function="false" hidden="false" name="mod_couv_M5" vbProcedure="false">Modeles!$F$44</definedName>
    <definedName function="false" hidden="false" name="mod_couv_M5_def" vbProcedure="false">Modeles!$G$44</definedName>
    <definedName function="false" hidden="false" name="mod_couv_M5_fav" vbProcedure="false">Modeles!$E$44</definedName>
    <definedName function="false" hidden="false" name="mod_couv_M6" vbProcedure="false">Modeles!$F$53</definedName>
    <definedName function="false" hidden="false" name="mod_couv_M6_def" vbProcedure="false">Modeles!$G$53</definedName>
    <definedName function="false" hidden="false" name="mod_couv_M6_fav" vbProcedure="false">Modeles!$E$53</definedName>
    <definedName function="false" hidden="false" name="mod_couv_M7" vbProcedure="false">Modeles!$F$62</definedName>
    <definedName function="false" hidden="false" name="mod_couv_M7_def" vbProcedure="false">Modeles!$G$62</definedName>
    <definedName function="false" hidden="false" name="mod_couv_M7_fav" vbProcedure="false">Modeles!$E$62</definedName>
    <definedName function="false" hidden="false" name="mod_couv_M8" vbProcedure="false">Modeles!$F$71</definedName>
    <definedName function="false" hidden="false" name="mod_couv_M8_def" vbProcedure="false">Modeles!$G$71</definedName>
    <definedName function="false" hidden="false" name="mod_couv_M8_fav" vbProcedure="false">Modeles!$E$71</definedName>
    <definedName function="false" hidden="false" name="mod_M1_besoin" vbProcedure="false">Modeles!$F$7</definedName>
    <definedName function="false" hidden="false" name="mod_M1_besoin_def" vbProcedure="false">Modeles!$G$7</definedName>
    <definedName function="false" hidden="false" name="mod_M1_besoin_fav" vbProcedure="false">Modeles!$E$7</definedName>
    <definedName function="false" hidden="false" name="mod_M1_brute" vbProcedure="false">Modeles!$F$5</definedName>
    <definedName function="false" hidden="false" name="mod_M1_brute_def" vbProcedure="false">Modeles!$G$5</definedName>
    <definedName function="false" hidden="false" name="mod_M1_brute_fav" vbProcedure="false">Modeles!$E$5</definedName>
    <definedName function="false" hidden="false" name="mod_M1_dotation" vbProcedure="false">Modeles!$F$10</definedName>
    <definedName function="false" hidden="false" name="mod_M1_dotation_def" vbProcedure="false">Modeles!$G$10</definedName>
    <definedName function="false" hidden="false" name="mod_M1_dotation_fav" vbProcedure="false">Modeles!$E$10</definedName>
    <definedName function="false" hidden="false" name="mod_M1_ebitda" vbProcedure="false">Modeles!$F$11</definedName>
    <definedName function="false" hidden="false" name="mod_M1_ebitda_def" vbProcedure="false">Modeles!$G$11</definedName>
    <definedName function="false" hidden="false" name="mod_M1_ebitda_fav" vbProcedure="false">Modeles!$E$11</definedName>
    <definedName function="false" hidden="false" name="mod_M1_ecart" vbProcedure="false">Modeles!$F$9</definedName>
    <definedName function="false" hidden="false" name="mod_M1_ecart_def" vbProcedure="false">Modeles!$G$9</definedName>
    <definedName function="false" hidden="false" name="mod_M1_ecart_fav" vbProcedure="false">Modeles!$E$9</definedName>
    <definedName function="false" hidden="false" name="mod_M1_invest" vbProcedure="false">Modeles!$F$12</definedName>
    <definedName function="false" hidden="false" name="mod_M1_invest_def" vbProcedure="false">Modeles!$G$12</definedName>
    <definedName function="false" hidden="false" name="mod_M1_invest_fav" vbProcedure="false">Modeles!$E$12</definedName>
    <definedName function="false" hidden="false" name="mod_M1_nette" vbProcedure="false">Modeles!$F$6</definedName>
    <definedName function="false" hidden="false" name="mod_M1_nette_def" vbProcedure="false">Modeles!$G$6</definedName>
    <definedName function="false" hidden="false" name="mod_M1_nette_fav" vbProcedure="false">Modeles!$E$6</definedName>
    <definedName function="false" hidden="false" name="mod_M2_besoin" vbProcedure="false">Modeles!$F$16</definedName>
    <definedName function="false" hidden="false" name="mod_M2_besoin_def" vbProcedure="false">Modeles!$G$16</definedName>
    <definedName function="false" hidden="false" name="mod_M2_besoin_fav" vbProcedure="false">Modeles!$E$16</definedName>
    <definedName function="false" hidden="false" name="mod_M2_brute" vbProcedure="false">Modeles!$F$14</definedName>
    <definedName function="false" hidden="false" name="mod_M2_brute_def" vbProcedure="false">Modeles!$G$14</definedName>
    <definedName function="false" hidden="false" name="mod_M2_brute_fav" vbProcedure="false">Modeles!$E$14</definedName>
    <definedName function="false" hidden="false" name="mod_M2_dotation" vbProcedure="false">Modeles!$F$19</definedName>
    <definedName function="false" hidden="false" name="mod_M2_dotation_def" vbProcedure="false">Modeles!$G$19</definedName>
    <definedName function="false" hidden="false" name="mod_M2_dotation_fav" vbProcedure="false">Modeles!$E$19</definedName>
    <definedName function="false" hidden="false" name="mod_M2_ebitda" vbProcedure="false">Modeles!$F$20</definedName>
    <definedName function="false" hidden="false" name="mod_M2_ebitda_def" vbProcedure="false">Modeles!$G$20</definedName>
    <definedName function="false" hidden="false" name="mod_M2_ebitda_fav" vbProcedure="false">Modeles!$E$20</definedName>
    <definedName function="false" hidden="false" name="mod_M2_ecart" vbProcedure="false">Modeles!$F$18</definedName>
    <definedName function="false" hidden="false" name="mod_M2_ecart_def" vbProcedure="false">Modeles!$G$18</definedName>
    <definedName function="false" hidden="false" name="mod_M2_ecart_fav" vbProcedure="false">Modeles!$E$18</definedName>
    <definedName function="false" hidden="false" name="mod_M2_invest" vbProcedure="false">Modeles!$F$21</definedName>
    <definedName function="false" hidden="false" name="mod_M2_invest_def" vbProcedure="false">Modeles!$G$21</definedName>
    <definedName function="false" hidden="false" name="mod_M2_invest_fav" vbProcedure="false">Modeles!$E$21</definedName>
    <definedName function="false" hidden="false" name="mod_M2_nette" vbProcedure="false">Modeles!$F$15</definedName>
    <definedName function="false" hidden="false" name="mod_M2_nette_def" vbProcedure="false">Modeles!$G$15</definedName>
    <definedName function="false" hidden="false" name="mod_M2_nette_fav" vbProcedure="false">Modeles!$E$15</definedName>
    <definedName function="false" hidden="false" name="mod_M3_besoin" vbProcedure="false">Modeles!$F$25</definedName>
    <definedName function="false" hidden="false" name="mod_M3_besoin_def" vbProcedure="false">Modeles!$G$25</definedName>
    <definedName function="false" hidden="false" name="mod_M3_besoin_fav" vbProcedure="false">Modeles!$E$25</definedName>
    <definedName function="false" hidden="false" name="mod_M3_brute" vbProcedure="false">Modeles!$F$23</definedName>
    <definedName function="false" hidden="false" name="mod_M3_brute_def" vbProcedure="false">Modeles!$G$23</definedName>
    <definedName function="false" hidden="false" name="mod_M3_brute_fav" vbProcedure="false">Modeles!$E$23</definedName>
    <definedName function="false" hidden="false" name="mod_M3_dotation" vbProcedure="false">Modeles!$F$28</definedName>
    <definedName function="false" hidden="false" name="mod_M3_dotation_def" vbProcedure="false">Modeles!$G$28</definedName>
    <definedName function="false" hidden="false" name="mod_M3_dotation_fav" vbProcedure="false">Modeles!$E$28</definedName>
    <definedName function="false" hidden="false" name="mod_M3_ebitda" vbProcedure="false">Modeles!$F$29</definedName>
    <definedName function="false" hidden="false" name="mod_M3_ebitda_def" vbProcedure="false">Modeles!$G$29</definedName>
    <definedName function="false" hidden="false" name="mod_M3_ebitda_fav" vbProcedure="false">Modeles!$E$29</definedName>
    <definedName function="false" hidden="false" name="mod_M3_ecart" vbProcedure="false">Modeles!$F$27</definedName>
    <definedName function="false" hidden="false" name="mod_M3_ecart_def" vbProcedure="false">Modeles!$G$27</definedName>
    <definedName function="false" hidden="false" name="mod_M3_ecart_fav" vbProcedure="false">Modeles!$E$27</definedName>
    <definedName function="false" hidden="false" name="mod_M3_invest" vbProcedure="false">Modeles!$F$30</definedName>
    <definedName function="false" hidden="false" name="mod_M3_invest_def" vbProcedure="false">Modeles!$G$30</definedName>
    <definedName function="false" hidden="false" name="mod_M3_invest_fav" vbProcedure="false">Modeles!$E$30</definedName>
    <definedName function="false" hidden="false" name="mod_M3_nette" vbProcedure="false">Modeles!$F$24</definedName>
    <definedName function="false" hidden="false" name="mod_M3_nette_def" vbProcedure="false">Modeles!$G$24</definedName>
    <definedName function="false" hidden="false" name="mod_M3_nette_fav" vbProcedure="false">Modeles!$E$24</definedName>
    <definedName function="false" hidden="false" name="mod_M4_besoin" vbProcedure="false">Modeles!$F$34</definedName>
    <definedName function="false" hidden="false" name="mod_M4_besoin_def" vbProcedure="false">Modeles!$G$34</definedName>
    <definedName function="false" hidden="false" name="mod_M4_besoin_fav" vbProcedure="false">Modeles!$E$34</definedName>
    <definedName function="false" hidden="false" name="mod_M4_brute" vbProcedure="false">Modeles!$F$32</definedName>
    <definedName function="false" hidden="false" name="mod_M4_brute_def" vbProcedure="false">Modeles!$G$32</definedName>
    <definedName function="false" hidden="false" name="mod_M4_brute_fav" vbProcedure="false">Modeles!$E$32</definedName>
    <definedName function="false" hidden="false" name="mod_M4_dotation" vbProcedure="false">Modeles!$F$37</definedName>
    <definedName function="false" hidden="false" name="mod_M4_dotation_def" vbProcedure="false">Modeles!$G$37</definedName>
    <definedName function="false" hidden="false" name="mod_M4_dotation_fav" vbProcedure="false">Modeles!$E$37</definedName>
    <definedName function="false" hidden="false" name="mod_M4_ebitda" vbProcedure="false">Modeles!$F$38</definedName>
    <definedName function="false" hidden="false" name="mod_M4_ebitda_def" vbProcedure="false">Modeles!$G$38</definedName>
    <definedName function="false" hidden="false" name="mod_M4_ebitda_fav" vbProcedure="false">Modeles!$E$38</definedName>
    <definedName function="false" hidden="false" name="mod_M4_ecart" vbProcedure="false">Modeles!$F$36</definedName>
    <definedName function="false" hidden="false" name="mod_M4_ecart_def" vbProcedure="false">Modeles!$G$36</definedName>
    <definedName function="false" hidden="false" name="mod_M4_ecart_fav" vbProcedure="false">Modeles!$E$36</definedName>
    <definedName function="false" hidden="false" name="mod_M4_invest" vbProcedure="false">Modeles!$F$39</definedName>
    <definedName function="false" hidden="false" name="mod_M4_invest_def" vbProcedure="false">Modeles!$G$39</definedName>
    <definedName function="false" hidden="false" name="mod_M4_invest_fav" vbProcedure="false">Modeles!$E$39</definedName>
    <definedName function="false" hidden="false" name="mod_M4_nette" vbProcedure="false">Modeles!$F$33</definedName>
    <definedName function="false" hidden="false" name="mod_M4_nette_def" vbProcedure="false">Modeles!$G$33</definedName>
    <definedName function="false" hidden="false" name="mod_M4_nette_fav" vbProcedure="false">Modeles!$E$33</definedName>
    <definedName function="false" hidden="false" name="mod_M5_besoin" vbProcedure="false">Modeles!$F$43</definedName>
    <definedName function="false" hidden="false" name="mod_M5_besoin_def" vbProcedure="false">Modeles!$G$43</definedName>
    <definedName function="false" hidden="false" name="mod_M5_besoin_fav" vbProcedure="false">Modeles!$E$43</definedName>
    <definedName function="false" hidden="false" name="mod_M5_brute" vbProcedure="false">Modeles!$F$41</definedName>
    <definedName function="false" hidden="false" name="mod_M5_brute_def" vbProcedure="false">Modeles!$G$41</definedName>
    <definedName function="false" hidden="false" name="mod_M5_brute_fav" vbProcedure="false">Modeles!$E$41</definedName>
    <definedName function="false" hidden="false" name="mod_M5_dotation" vbProcedure="false">Modeles!$F$46</definedName>
    <definedName function="false" hidden="false" name="mod_M5_dotation_def" vbProcedure="false">Modeles!$G$46</definedName>
    <definedName function="false" hidden="false" name="mod_M5_dotation_fav" vbProcedure="false">Modeles!$E$46</definedName>
    <definedName function="false" hidden="false" name="mod_M5_ebitda" vbProcedure="false">Modeles!$F$47</definedName>
    <definedName function="false" hidden="false" name="mod_M5_ebitda_def" vbProcedure="false">Modeles!$G$47</definedName>
    <definedName function="false" hidden="false" name="mod_M5_ebitda_fav" vbProcedure="false">Modeles!$E$47</definedName>
    <definedName function="false" hidden="false" name="mod_M5_ecart" vbProcedure="false">Modeles!$F$45</definedName>
    <definedName function="false" hidden="false" name="mod_M5_ecart_def" vbProcedure="false">Modeles!$G$45</definedName>
    <definedName function="false" hidden="false" name="mod_M5_ecart_fav" vbProcedure="false">Modeles!$E$45</definedName>
    <definedName function="false" hidden="false" name="mod_M5_invest" vbProcedure="false">Modeles!$F$48</definedName>
    <definedName function="false" hidden="false" name="mod_M5_invest_def" vbProcedure="false">Modeles!$G$48</definedName>
    <definedName function="false" hidden="false" name="mod_M5_invest_fav" vbProcedure="false">Modeles!$E$48</definedName>
    <definedName function="false" hidden="false" name="mod_M5_nette" vbProcedure="false">Modeles!$F$42</definedName>
    <definedName function="false" hidden="false" name="mod_M5_nette_def" vbProcedure="false">Modeles!$G$42</definedName>
    <definedName function="false" hidden="false" name="mod_M5_nette_fav" vbProcedure="false">Modeles!$E$42</definedName>
    <definedName function="false" hidden="false" name="mod_M6_besoin" vbProcedure="false">Modeles!$F$52</definedName>
    <definedName function="false" hidden="false" name="mod_M6_besoin_def" vbProcedure="false">Modeles!$G$52</definedName>
    <definedName function="false" hidden="false" name="mod_M6_besoin_fav" vbProcedure="false">Modeles!$E$52</definedName>
    <definedName function="false" hidden="false" name="mod_M6_brute" vbProcedure="false">Modeles!$F$50</definedName>
    <definedName function="false" hidden="false" name="mod_M6_brute_def" vbProcedure="false">Modeles!$G$50</definedName>
    <definedName function="false" hidden="false" name="mod_M6_brute_fav" vbProcedure="false">Modeles!$E$50</definedName>
    <definedName function="false" hidden="false" name="mod_M6_dotation" vbProcedure="false">Modeles!$F$55</definedName>
    <definedName function="false" hidden="false" name="mod_M6_dotation_def" vbProcedure="false">Modeles!$G$55</definedName>
    <definedName function="false" hidden="false" name="mod_M6_dotation_fav" vbProcedure="false">Modeles!$E$55</definedName>
    <definedName function="false" hidden="false" name="mod_M6_ebitda" vbProcedure="false">Modeles!$F$56</definedName>
    <definedName function="false" hidden="false" name="mod_M6_ebitda_def" vbProcedure="false">Modeles!$G$56</definedName>
    <definedName function="false" hidden="false" name="mod_M6_ebitda_fav" vbProcedure="false">Modeles!$E$56</definedName>
    <definedName function="false" hidden="false" name="mod_M6_ecart" vbProcedure="false">Modeles!$F$54</definedName>
    <definedName function="false" hidden="false" name="mod_M6_ecart_def" vbProcedure="false">Modeles!$G$54</definedName>
    <definedName function="false" hidden="false" name="mod_M6_ecart_fav" vbProcedure="false">Modeles!$E$54</definedName>
    <definedName function="false" hidden="false" name="mod_M6_invest" vbProcedure="false">Modeles!$F$57</definedName>
    <definedName function="false" hidden="false" name="mod_M6_invest_def" vbProcedure="false">Modeles!$G$57</definedName>
    <definedName function="false" hidden="false" name="mod_M6_invest_fav" vbProcedure="false">Modeles!$E$57</definedName>
    <definedName function="false" hidden="false" name="mod_M6_nette" vbProcedure="false">Modeles!$F$51</definedName>
    <definedName function="false" hidden="false" name="mod_M6_nette_def" vbProcedure="false">Modeles!$G$51</definedName>
    <definedName function="false" hidden="false" name="mod_M6_nette_fav" vbProcedure="false">Modeles!$E$51</definedName>
    <definedName function="false" hidden="false" name="mod_M7_besoin" vbProcedure="false">Modeles!$F$61</definedName>
    <definedName function="false" hidden="false" name="mod_M7_besoin_def" vbProcedure="false">Modeles!$G$61</definedName>
    <definedName function="false" hidden="false" name="mod_M7_besoin_fav" vbProcedure="false">Modeles!$E$61</definedName>
    <definedName function="false" hidden="false" name="mod_M7_brute" vbProcedure="false">Modeles!$F$59</definedName>
    <definedName function="false" hidden="false" name="mod_M7_brute_def" vbProcedure="false">Modeles!$G$59</definedName>
    <definedName function="false" hidden="false" name="mod_M7_brute_fav" vbProcedure="false">Modeles!$E$59</definedName>
    <definedName function="false" hidden="false" name="mod_M7_dotation" vbProcedure="false">Modeles!$F$64</definedName>
    <definedName function="false" hidden="false" name="mod_M7_dotation_def" vbProcedure="false">Modeles!$G$64</definedName>
    <definedName function="false" hidden="false" name="mod_M7_dotation_fav" vbProcedure="false">Modeles!$E$64</definedName>
    <definedName function="false" hidden="false" name="mod_M7_ebitda" vbProcedure="false">Modeles!$F$65</definedName>
    <definedName function="false" hidden="false" name="mod_M7_ebitda_def" vbProcedure="false">Modeles!$G$65</definedName>
    <definedName function="false" hidden="false" name="mod_M7_ebitda_fav" vbProcedure="false">Modeles!$E$65</definedName>
    <definedName function="false" hidden="false" name="mod_M7_ecart" vbProcedure="false">Modeles!$F$63</definedName>
    <definedName function="false" hidden="false" name="mod_M7_ecart_def" vbProcedure="false">Modeles!$G$63</definedName>
    <definedName function="false" hidden="false" name="mod_M7_ecart_fav" vbProcedure="false">Modeles!$E$63</definedName>
    <definedName function="false" hidden="false" name="mod_M7_invest" vbProcedure="false">Modeles!$F$66</definedName>
    <definedName function="false" hidden="false" name="mod_M7_invest_def" vbProcedure="false">Modeles!$G$66</definedName>
    <definedName function="false" hidden="false" name="mod_M7_invest_fav" vbProcedure="false">Modeles!$E$66</definedName>
    <definedName function="false" hidden="false" name="mod_M7_nette" vbProcedure="false">Modeles!$F$60</definedName>
    <definedName function="false" hidden="false" name="mod_M7_nette_def" vbProcedure="false">Modeles!$G$60</definedName>
    <definedName function="false" hidden="false" name="mod_M7_nette_fav" vbProcedure="false">Modeles!$E$60</definedName>
    <definedName function="false" hidden="false" name="mod_M8_besoin" vbProcedure="false">Modeles!$F$70</definedName>
    <definedName function="false" hidden="false" name="mod_M8_besoin_def" vbProcedure="false">Modeles!$G$70</definedName>
    <definedName function="false" hidden="false" name="mod_M8_besoin_fav" vbProcedure="false">Modeles!$E$70</definedName>
    <definedName function="false" hidden="false" name="mod_M8_brute" vbProcedure="false">Modeles!$F$68</definedName>
    <definedName function="false" hidden="false" name="mod_M8_brute_def" vbProcedure="false">Modeles!$G$68</definedName>
    <definedName function="false" hidden="false" name="mod_M8_brute_fav" vbProcedure="false">Modeles!$E$68</definedName>
    <definedName function="false" hidden="false" name="mod_M8_dotation" vbProcedure="false">Modeles!$F$73</definedName>
    <definedName function="false" hidden="false" name="mod_M8_dotation_def" vbProcedure="false">Modeles!$G$73</definedName>
    <definedName function="false" hidden="false" name="mod_M8_dotation_fav" vbProcedure="false">Modeles!$E$73</definedName>
    <definedName function="false" hidden="false" name="mod_M8_ebitda" vbProcedure="false">Modeles!$F$74</definedName>
    <definedName function="false" hidden="false" name="mod_M8_ebitda_def" vbProcedure="false">Modeles!$G$74</definedName>
    <definedName function="false" hidden="false" name="mod_M8_ebitda_fav" vbProcedure="false">Modeles!$E$74</definedName>
    <definedName function="false" hidden="false" name="mod_M8_ecart" vbProcedure="false">Modeles!$F$72</definedName>
    <definedName function="false" hidden="false" name="mod_M8_ecart_def" vbProcedure="false">Modeles!$G$72</definedName>
    <definedName function="false" hidden="false" name="mod_M8_ecart_fav" vbProcedure="false">Modeles!$E$72</definedName>
    <definedName function="false" hidden="false" name="mod_M8_invest" vbProcedure="false">Modeles!$F$75</definedName>
    <definedName function="false" hidden="false" name="mod_M8_invest_def" vbProcedure="false">Modeles!$G$75</definedName>
    <definedName function="false" hidden="false" name="mod_M8_invest_fav" vbProcedure="false">Modeles!$E$75</definedName>
    <definedName function="false" hidden="false" name="mod_M8_nette" vbProcedure="false">Modeles!$F$69</definedName>
    <definedName function="false" hidden="false" name="mod_M8_nette_def" vbProcedure="false">Modeles!$G$69</definedName>
    <definedName function="false" hidden="false" name="mod_M8_nette_fav" vbProcedure="false">Modeles!$E$69</definedName>
    <definedName function="false" hidden="false" name="mod_part_M1_recurrent" vbProcedure="false">Modeles!$F$13</definedName>
    <definedName function="false" hidden="false" name="mod_part_M1_recurrent_def" vbProcedure="false">Modeles!$G$13</definedName>
    <definedName function="false" hidden="false" name="mod_part_M1_recurrent_fav" vbProcedure="false">Modeles!$E$13</definedName>
    <definedName function="false" hidden="false" name="mod_part_M2_recurrent" vbProcedure="false">Modeles!$F$22</definedName>
    <definedName function="false" hidden="false" name="mod_part_M2_recurrent_def" vbProcedure="false">Modeles!$G$22</definedName>
    <definedName function="false" hidden="false" name="mod_part_M2_recurrent_fav" vbProcedure="false">Modeles!$E$22</definedName>
    <definedName function="false" hidden="false" name="mod_part_M3_recurrent" vbProcedure="false">Modeles!$F$31</definedName>
    <definedName function="false" hidden="false" name="mod_part_M3_recurrent_def" vbProcedure="false">Modeles!$G$31</definedName>
    <definedName function="false" hidden="false" name="mod_part_M3_recurrent_fav" vbProcedure="false">Modeles!$E$31</definedName>
    <definedName function="false" hidden="false" name="mod_part_M4_recurrent" vbProcedure="false">Modeles!$F$40</definedName>
    <definedName function="false" hidden="false" name="mod_part_M4_recurrent_def" vbProcedure="false">Modeles!$G$40</definedName>
    <definedName function="false" hidden="false" name="mod_part_M4_recurrent_fav" vbProcedure="false">Modeles!$E$40</definedName>
    <definedName function="false" hidden="false" name="mod_part_M5_recurrent" vbProcedure="false">Modeles!$F$49</definedName>
    <definedName function="false" hidden="false" name="mod_part_M5_recurrent_def" vbProcedure="false">Modeles!$G$49</definedName>
    <definedName function="false" hidden="false" name="mod_part_M5_recurrent_fav" vbProcedure="false">Modeles!$E$49</definedName>
    <definedName function="false" hidden="false" name="mod_part_M6_recurrent" vbProcedure="false">Modeles!$F$58</definedName>
    <definedName function="false" hidden="false" name="mod_part_M6_recurrent_def" vbProcedure="false">Modeles!$G$58</definedName>
    <definedName function="false" hidden="false" name="mod_part_M6_recurrent_fav" vbProcedure="false">Modeles!$E$58</definedName>
    <definedName function="false" hidden="false" name="mod_part_M7_recurrent" vbProcedure="false">Modeles!$F$67</definedName>
    <definedName function="false" hidden="false" name="mod_part_M7_recurrent_def" vbProcedure="false">Modeles!$G$67</definedName>
    <definedName function="false" hidden="false" name="mod_part_M7_recurrent_fav" vbProcedure="false">Modeles!$E$67</definedName>
    <definedName function="false" hidden="false" name="mod_part_M8_recurrent" vbProcedure="false">Modeles!$F$76</definedName>
    <definedName function="false" hidden="false" name="mod_part_M8_recurrent_def" vbProcedure="false">Modeles!$G$76</definedName>
    <definedName function="false" hidden="false" name="mod_part_M8_recurrent_fav" vbProcedure="false">Modeles!$E$76</definedName>
    <definedName function="false" hidden="false" name="mot_anc_cn" vbProcedure="false">Moteurs!$F$42</definedName>
    <definedName function="false" hidden="false" name="mot_anc_cn_def" vbProcedure="false">Moteurs!$G$42</definedName>
    <definedName function="false" hidden="false" name="mot_anc_cn_fav" vbProcedure="false">Moteurs!$E$42</definedName>
    <definedName function="false" hidden="false" name="mot_anc_eco" vbProcedure="false">Moteurs!$F$41</definedName>
    <definedName function="false" hidden="false" name="mot_anc_eco_def" vbProcedure="false">Moteurs!$G$41</definedName>
    <definedName function="false" hidden="false" name="mot_anc_eco_fav" vbProcedure="false">Moteurs!$E$41</definedName>
    <definedName function="false" hidden="false" name="mot_anc_loyer" vbProcedure="false">Moteurs!$F$40</definedName>
    <definedName function="false" hidden="false" name="mot_anc_loyer_def" vbProcedure="false">Moteurs!$G$40</definedName>
    <definedName function="false" hidden="false" name="mot_anc_loyer_fav" vbProcedure="false">Moteurs!$E$40</definedName>
    <definedName function="false" hidden="false" name="mot_auto_cn" vbProcedure="false">Moteurs!$F$32</definedName>
    <definedName function="false" hidden="false" name="mot_auto_cn_def" vbProcedure="false">Moteurs!$G$32</definedName>
    <definedName function="false" hidden="false" name="mot_auto_cn_fav" vbProcedure="false">Moteurs!$E$32</definedName>
    <definedName function="false" hidden="false" name="mot_bois_cn" vbProcedure="false">Moteurs!$F$34</definedName>
    <definedName function="false" hidden="false" name="mot_bois_cn_def" vbProcedure="false">Moteurs!$G$34</definedName>
    <definedName function="false" hidden="false" name="mot_bois_cn_fav" vbProcedure="false">Moteurs!$E$34</definedName>
    <definedName function="false" hidden="false" name="mot_dot_cn_par_m" vbProcedure="false">Moteurs!$F$45</definedName>
    <definedName function="false" hidden="false" name="mot_dot_cn_par_m_def" vbProcedure="false">Moteurs!$G$45</definedName>
    <definedName function="false" hidden="false" name="mot_dot_cn_par_m_fav" vbProcedure="false">Moteurs!$E$45</definedName>
    <definedName function="false" hidden="false" name="mot_ent_cn_par_m" vbProcedure="false">Moteurs!$F$46</definedName>
    <definedName function="false" hidden="false" name="mot_ent_cn_par_m_def" vbProcedure="false">Moteurs!$G$46</definedName>
    <definedName function="false" hidden="false" name="mot_ent_cn_par_m_fav" vbProcedure="false">Moteurs!$E$46</definedName>
    <definedName function="false" hidden="false" name="mot_eq_hdg_ca" vbProcedure="false">Moteurs!$F$8</definedName>
    <definedName function="false" hidden="false" name="mot_eq_hdg_ca_def" vbProcedure="false">Moteurs!$G$8</definedName>
    <definedName function="false" hidden="false" name="mot_eq_hdg_ca_fav" vbProcedure="false">Moteurs!$E$8</definedName>
    <definedName function="false" hidden="false" name="mot_eq_hdg_ch" vbProcedure="false">Moteurs!$F$9</definedName>
    <definedName function="false" hidden="false" name="mot_eq_hdg_ch_def" vbProcedure="false">Moteurs!$G$9</definedName>
    <definedName function="false" hidden="false" name="mot_eq_hdg_ch_fav" vbProcedure="false">Moteurs!$E$9</definedName>
    <definedName function="false" hidden="false" name="mot_eq_hdg_cn" vbProcedure="false">Moteurs!$F$10</definedName>
    <definedName function="false" hidden="false" name="mot_eq_hdg_cn_def" vbProcedure="false">Moteurs!$G$10</definedName>
    <definedName function="false" hidden="false" name="mot_eq_hdg_cn_fav" vbProcedure="false">Moteurs!$E$10</definedName>
    <definedName function="false" hidden="false" name="mot_eq_pro_ca" vbProcedure="false">Moteurs!$F$11</definedName>
    <definedName function="false" hidden="false" name="mot_eq_pro_ca_def" vbProcedure="false">Moteurs!$G$11</definedName>
    <definedName function="false" hidden="false" name="mot_eq_pro_ca_fav" vbProcedure="false">Moteurs!$E$11</definedName>
    <definedName function="false" hidden="false" name="mot_eq_pro_cn" vbProcedure="false">Moteurs!$F$12</definedName>
    <definedName function="false" hidden="false" name="mot_eq_pro_cn_def" vbProcedure="false">Moteurs!$G$12</definedName>
    <definedName function="false" hidden="false" name="mot_eq_pro_cn_fav" vbProcedure="false">Moteurs!$E$12</definedName>
    <definedName function="false" hidden="false" name="mot_eq_ret_ca" vbProcedure="false">Moteurs!$F$13</definedName>
    <definedName function="false" hidden="false" name="mot_eq_ret_ca_def" vbProcedure="false">Moteurs!$G$13</definedName>
    <definedName function="false" hidden="false" name="mot_eq_ret_ca_fav" vbProcedure="false">Moteurs!$E$13</definedName>
    <definedName function="false" hidden="false" name="mot_eq_ret_cn" vbProcedure="false">Moteurs!$F$14</definedName>
    <definedName function="false" hidden="false" name="mot_eq_ret_cn_def" vbProcedure="false">Moteurs!$G$14</definedName>
    <definedName function="false" hidden="false" name="mot_eq_ret_cn_fav" vbProcedure="false">Moteurs!$E$14</definedName>
    <definedName function="false" hidden="false" name="mot_eq_std_ca" vbProcedure="false">Moteurs!$F$5</definedName>
    <definedName function="false" hidden="false" name="mot_eq_std_ca_def" vbProcedure="false">Moteurs!$G$5</definedName>
    <definedName function="false" hidden="false" name="mot_eq_std_ca_fav" vbProcedure="false">Moteurs!$E$5</definedName>
    <definedName function="false" hidden="false" name="mot_eq_std_ch" vbProcedure="false">Moteurs!$F$6</definedName>
    <definedName function="false" hidden="false" name="mot_eq_std_ch_def" vbProcedure="false">Moteurs!$G$6</definedName>
    <definedName function="false" hidden="false" name="mot_eq_std_ch_fav" vbProcedure="false">Moteurs!$E$6</definedName>
    <definedName function="false" hidden="false" name="mot_eq_std_cn" vbProcedure="false">Moteurs!$F$7</definedName>
    <definedName function="false" hidden="false" name="mot_eq_std_cn_def" vbProcedure="false">Moteurs!$G$7</definedName>
    <definedName function="false" hidden="false" name="mot_eq_std_cn_fav" vbProcedure="false">Moteurs!$E$7</definedName>
    <definedName function="false" hidden="false" name="mot_evt_ca" vbProcedure="false">Moteurs!$F$16</definedName>
    <definedName function="false" hidden="false" name="mot_evt_ca_def" vbProcedure="false">Moteurs!$G$16</definedName>
    <definedName function="false" hidden="false" name="mot_evt_ca_fav" vbProcedure="false">Moteurs!$E$16</definedName>
    <definedName function="false" hidden="false" name="mot_evt_ch" vbProcedure="false">Moteurs!$F$17</definedName>
    <definedName function="false" hidden="false" name="mot_evt_ch_def" vbProcedure="false">Moteurs!$G$17</definedName>
    <definedName function="false" hidden="false" name="mot_evt_ch_fav" vbProcedure="false">Moteurs!$E$17</definedName>
    <definedName function="false" hidden="false" name="mot_evt_cn" vbProcedure="false">Moteurs!$F$19</definedName>
    <definedName function="false" hidden="false" name="mot_evt_cn_def" vbProcedure="false">Moteurs!$G$19</definedName>
    <definedName function="false" hidden="false" name="mot_evt_cn_fav" vbProcedure="false">Moteurs!$E$19</definedName>
    <definedName function="false" hidden="false" name="mot_evt_inv" vbProcedure="false">Moteurs!$F$20</definedName>
    <definedName function="false" hidden="false" name="mot_evt_inv_def" vbProcedure="false">Moteurs!$G$20</definedName>
    <definedName function="false" hidden="false" name="mot_evt_inv_fav" vbProcedure="false">Moteurs!$E$20</definedName>
    <definedName function="false" hidden="false" name="mot_evt_rv" vbProcedure="false">Moteurs!$F$18</definedName>
    <definedName function="false" hidden="false" name="mot_evt_rv_def" vbProcedure="false">Moteurs!$G$18</definedName>
    <definedName function="false" hidden="false" name="mot_evt_rv_fav" vbProcedure="false">Moteurs!$E$18</definedName>
    <definedName function="false" hidden="false" name="mot_gite_ca" vbProcedure="false">Moteurs!$F$24</definedName>
    <definedName function="false" hidden="false" name="mot_gite_ca_def" vbProcedure="false">Moteurs!$G$24</definedName>
    <definedName function="false" hidden="false" name="mot_gite_ca_fav" vbProcedure="false">Moteurs!$E$24</definedName>
    <definedName function="false" hidden="false" name="mot_gite_cn" vbProcedure="false">Moteurs!$F$25</definedName>
    <definedName function="false" hidden="false" name="mot_gite_cn_def" vbProcedure="false">Moteurs!$G$25</definedName>
    <definedName function="false" hidden="false" name="mot_gite_cn_fav" vbProcedure="false">Moteurs!$E$25</definedName>
    <definedName function="false" hidden="false" name="mot_gite_inv" vbProcedure="false">Moteurs!$F$26</definedName>
    <definedName function="false" hidden="false" name="mot_gite_inv_def" vbProcedure="false">Moteurs!$G$26</definedName>
    <definedName function="false" hidden="false" name="mot_gite_inv_fav" vbProcedure="false">Moteurs!$E$26</definedName>
    <definedName function="false" hidden="false" name="mot_hot_ca" vbProcedure="false">Moteurs!$F$35</definedName>
    <definedName function="false" hidden="false" name="mot_hot_ca_def" vbProcedure="false">Moteurs!$G$35</definedName>
    <definedName function="false" hidden="false" name="mot_hot_ca_fav" vbProcedure="false">Moteurs!$E$35</definedName>
    <definedName function="false" hidden="false" name="mot_hot_ch" vbProcedure="false">Moteurs!$F$36</definedName>
    <definedName function="false" hidden="false" name="mot_hot_ch_def" vbProcedure="false">Moteurs!$G$36</definedName>
    <definedName function="false" hidden="false" name="mot_hot_ch_fav" vbProcedure="false">Moteurs!$E$36</definedName>
    <definedName function="false" hidden="false" name="mot_hot_cn" vbProcedure="false">Moteurs!$F$38</definedName>
    <definedName function="false" hidden="false" name="mot_hot_cn_def" vbProcedure="false">Moteurs!$G$38</definedName>
    <definedName function="false" hidden="false" name="mot_hot_cn_fav" vbProcedure="false">Moteurs!$E$38</definedName>
    <definedName function="false" hidden="false" name="mot_hot_inv" vbProcedure="false">Moteurs!$F$39</definedName>
    <definedName function="false" hidden="false" name="mot_hot_inv_def" vbProcedure="false">Moteurs!$G$39</definedName>
    <definedName function="false" hidden="false" name="mot_hot_inv_fav" vbProcedure="false">Moteurs!$E$39</definedName>
    <definedName function="false" hidden="false" name="mot_hot_rv" vbProcedure="false">Moteurs!$F$37</definedName>
    <definedName function="false" hidden="false" name="mot_hot_rv_def" vbProcedure="false">Moteurs!$G$37</definedName>
    <definedName function="false" hidden="false" name="mot_hot_rv_fav" vbProcedure="false">Moteurs!$E$37</definedName>
    <definedName function="false" hidden="false" name="mot_log_ca" vbProcedure="false">Moteurs!$F$27</definedName>
    <definedName function="false" hidden="false" name="mot_log_ca_def" vbProcedure="false">Moteurs!$G$27</definedName>
    <definedName function="false" hidden="false" name="mot_log_ca_fav" vbProcedure="false">Moteurs!$E$27</definedName>
    <definedName function="false" hidden="false" name="mot_log_cn" vbProcedure="false">Moteurs!$F$28</definedName>
    <definedName function="false" hidden="false" name="mot_log_cn_def" vbProcedure="false">Moteurs!$G$28</definedName>
    <definedName function="false" hidden="false" name="mot_log_cn_fav" vbProcedure="false">Moteurs!$E$28</definedName>
    <definedName function="false" hidden="false" name="mot_log_inv" vbProcedure="false">Moteurs!$F$29</definedName>
    <definedName function="false" hidden="false" name="mot_log_inv_def" vbProcedure="false">Moteurs!$G$29</definedName>
    <definedName function="false" hidden="false" name="mot_log_inv_fav" vbProcedure="false">Moteurs!$E$29</definedName>
    <definedName function="false" hidden="false" name="mot_log_rdt" vbProcedure="false">Moteurs!$F$30</definedName>
    <definedName function="false" hidden="false" name="mot_log_rdt_def" vbProcedure="false">Moteurs!$G$30</definedName>
    <definedName function="false" hidden="false" name="mot_log_rdt_fav" vbProcedure="false">Moteurs!$E$30</definedName>
    <definedName function="false" hidden="false" name="mot_lux_ca" vbProcedure="false">Moteurs!$F$43</definedName>
    <definedName function="false" hidden="false" name="mot_lux_ca_def" vbProcedure="false">Moteurs!$G$43</definedName>
    <definedName function="false" hidden="false" name="mot_lux_ca_fav" vbProcedure="false">Moteurs!$E$43</definedName>
    <definedName function="false" hidden="false" name="mot_lux_cn" vbProcedure="false">Moteurs!$F$44</definedName>
    <definedName function="false" hidden="false" name="mot_lux_cn_def" vbProcedure="false">Moteurs!$G$44</definedName>
    <definedName function="false" hidden="false" name="mot_lux_cn_fav" vbProcedure="false">Moteurs!$E$44</definedName>
    <definedName function="false" hidden="false" name="mot_pv_cn" vbProcedure="false">Moteurs!$F$33</definedName>
    <definedName function="false" hidden="false" name="mot_pv_cn_def" vbProcedure="false">Moteurs!$G$33</definedName>
    <definedName function="false" hidden="false" name="mot_pv_cn_fav" vbProcedure="false">Moteurs!$E$33</definedName>
    <definedName function="false" hidden="false" name="mot_repro_cn" vbProcedure="false">Moteurs!$F$15</definedName>
    <definedName function="false" hidden="false" name="mot_repro_cn_def" vbProcedure="false">Moteurs!$G$15</definedName>
    <definedName function="false" hidden="false" name="mot_repro_cn_fav" vbProcedure="false">Moteurs!$E$15</definedName>
    <definedName function="false" hidden="false" name="mot_semj_ca" vbProcedure="false">Moteurs!$F$22</definedName>
    <definedName function="false" hidden="false" name="mot_semj_ca_def" vbProcedure="false">Moteurs!$G$22</definedName>
    <definedName function="false" hidden="false" name="mot_semj_ca_fav" vbProcedure="false">Moteurs!$E$22</definedName>
    <definedName function="false" hidden="false" name="mot_semj_cn" vbProcedure="false">Moteurs!$F$23</definedName>
    <definedName function="false" hidden="false" name="mot_semj_cn_def" vbProcedure="false">Moteurs!$G$23</definedName>
    <definedName function="false" hidden="false" name="mot_semj_cn_fav" vbProcedure="false">Moteurs!$E$23</definedName>
    <definedName function="false" hidden="false" name="mot_stock_cn" vbProcedure="false">Moteurs!$F$31</definedName>
    <definedName function="false" hidden="false" name="mot_stock_cn_def" vbProcedure="false">Moteurs!$G$31</definedName>
    <definedName function="false" hidden="false" name="mot_stock_cn_fav" vbProcedure="false">Moteurs!$E$31</definedName>
    <definedName function="false" hidden="false" name="mot_tourn_cn" vbProcedure="false">Moteurs!$F$21</definedName>
    <definedName function="false" hidden="false" name="mot_tourn_cn_def" vbProcedure="false">Moteurs!$G$21</definedName>
    <definedName function="false" hidden="false" name="mot_tourn_cn_fav" vbProcedure="false">Moteurs!$E$21</definedName>
    <definedName function="false" hidden="false" name="parc_ha" vbProcedure="false">Hypotheses!$D$185</definedName>
    <definedName function="false" hidden="false" name="parc_ha_def" vbProcedure="false">Hypotheses!$E$185</definedName>
    <definedName function="false" hidden="false" name="parc_ha_fav" vbProcedure="false">Hypotheses!$C$185</definedName>
    <definedName function="false" hidden="false" name="part_surplus_dotation" vbProcedure="false">Hypotheses!$D$327</definedName>
    <definedName function="false" hidden="false" name="part_surplus_dotation_def" vbProcedure="false">Hypotheses!$E$327</definedName>
    <definedName function="false" hidden="false" name="part_surplus_dotation_fav" vbProcedure="false">Hypotheses!$C$327</definedName>
    <definedName function="false" hidden="false" name="pilotage_actif" vbProcedure="false">Hypotheses!$D$351</definedName>
    <definedName function="false" hidden="false" name="pilotage_actif_def" vbProcedure="false">Hypotheses!$E$351</definedName>
    <definedName function="false" hidden="false" name="pilotage_actif_fav" vbProcedure="false">Hypotheses!$C$351</definedName>
    <definedName function="false" hidden="false" name="prairie_ha" vbProcedure="false">Hypotheses!$D$186</definedName>
    <definedName function="false" hidden="false" name="prairie_ha_def" vbProcedure="false">Hypotheses!$E$186</definedName>
    <definedName function="false" hidden="false" name="prairie_ha_fav" vbProcedure="false">Hypotheses!$C$186</definedName>
    <definedName function="false" hidden="false" name="prix_chaleur_kwh" vbProcedure="false">Hypotheses!$D$551</definedName>
    <definedName function="false" hidden="false" name="prix_chaleur_kwh_def" vbProcedure="false">Hypotheses!$E$551</definedName>
    <definedName function="false" hidden="false" name="prix_chaleur_kwh_fav" vbProcedure="false">Hypotheses!$C$551</definedName>
    <definedName function="false" hidden="false" name="prix_elec_kwh" vbProcedure="false">Hypotheses!$D$552</definedName>
    <definedName function="false" hidden="false" name="prix_elec_kwh_def" vbProcedure="false">Hypotheses!$E$552</definedName>
    <definedName function="false" hidden="false" name="prix_elec_kwh_fav" vbProcedure="false">Hypotheses!$C$552</definedName>
    <definedName function="false" hidden="false" name="prj_Proj_S1_solution_act_nette" vbProcedure="false">Proj_S1_solution!$E$29:$X$29</definedName>
    <definedName function="false" hidden="false" name="prj_Proj_S1_solution_dotation_fin" vbProcedure="false">Proj_S1_solution!$E$44:$X$44</definedName>
    <definedName function="false" hidden="false" name="prj_Proj_S1_solution_flux_solde" vbProcedure="false">Proj_S1_solution!$E$42:$X$42</definedName>
    <definedName function="false" hidden="false" name="prj_Proj_S1_solution_kpi_couverture" vbProcedure="false">Proj_S1_solution!$E$47:$X$47</definedName>
    <definedName function="false" hidden="false" name="prj_Proj_S1_solution_kpi_deficit" vbProcedure="false">Proj_S1_solution!$E$49:$X$49</definedName>
    <definedName function="false" hidden="false" name="prj_Proj_S1_solution_kpi_liquidite" vbProcedure="false">Proj_S1_solution!$E$46:$X$46</definedName>
    <definedName function="false" hidden="false" name="prj_Proj_S1_solution_reserve" vbProcedure="false">Proj_S1_solution!$E$45:$X$45</definedName>
    <definedName function="false" hidden="false" name="prj_Proj_S1_solution_tension" vbProcedure="false">Proj_S1_solution!$E$12:$X$12</definedName>
    <definedName function="false" hidden="false" name="prj_Proj_S1_solution_total_charges" vbProcedure="false">Proj_S1_solution!$E$18:$X$18</definedName>
    <definedName function="false" hidden="false" name="prj_Proj_S2_sans_moteur_act_nette" vbProcedure="false">Proj_S2_sans_moteur!$E$29:$X$29</definedName>
    <definedName function="false" hidden="false" name="prj_Proj_S2_sans_moteur_dotation_fin" vbProcedure="false">Proj_S2_sans_moteur!$E$44:$X$44</definedName>
    <definedName function="false" hidden="false" name="prj_Proj_S2_sans_moteur_flux_solde" vbProcedure="false">Proj_S2_sans_moteur!$E$42:$X$42</definedName>
    <definedName function="false" hidden="false" name="prj_Proj_S2_sans_moteur_kpi_couverture" vbProcedure="false">Proj_S2_sans_moteur!$E$47:$X$47</definedName>
    <definedName function="false" hidden="false" name="prj_Proj_S2_sans_moteur_kpi_deficit" vbProcedure="false">Proj_S2_sans_moteur!$E$49:$X$49</definedName>
    <definedName function="false" hidden="false" name="prj_Proj_S2_sans_moteur_kpi_liquidite" vbProcedure="false">Proj_S2_sans_moteur!$E$46:$X$46</definedName>
    <definedName function="false" hidden="false" name="prj_Proj_S2_sans_moteur_reserve" vbProcedure="false">Proj_S2_sans_moteur!$E$45:$X$45</definedName>
    <definedName function="false" hidden="false" name="prj_Proj_S2_sans_moteur_tension" vbProcedure="false">Proj_S2_sans_moteur!$E$12:$X$12</definedName>
    <definedName function="false" hidden="false" name="prj_Proj_S2_sans_moteur_total_charges" vbProcedure="false">Proj_S2_sans_moteur!$E$18:$X$18</definedName>
    <definedName function="false" hidden="false" name="prj_Proj_S2_solution_act_nette" vbProcedure="false">Proj_S2_solution!$E$29:$X$29</definedName>
    <definedName function="false" hidden="false" name="prj_Proj_S2_solution_dotation_fin" vbProcedure="false">Proj_S2_solution!$E$44:$X$44</definedName>
    <definedName function="false" hidden="false" name="prj_Proj_S2_solution_flux_solde" vbProcedure="false">Proj_S2_solution!$E$42:$X$42</definedName>
    <definedName function="false" hidden="false" name="prj_Proj_S2_solution_kpi_couverture" vbProcedure="false">Proj_S2_solution!$E$47:$X$47</definedName>
    <definedName function="false" hidden="false" name="prj_Proj_S2_solution_kpi_deficit" vbProcedure="false">Proj_S2_solution!$E$49:$X$49</definedName>
    <definedName function="false" hidden="false" name="prj_Proj_S2_solution_kpi_liquidite" vbProcedure="false">Proj_S2_solution!$E$46:$X$46</definedName>
    <definedName function="false" hidden="false" name="prj_Proj_S2_solution_reserve" vbProcedure="false">Proj_S2_solution!$E$45:$X$45</definedName>
    <definedName function="false" hidden="false" name="prj_Proj_S2_solution_tension" vbProcedure="false">Proj_S2_solution!$E$12:$X$12</definedName>
    <definedName function="false" hidden="false" name="prj_Proj_S2_solution_total_charges" vbProcedure="false">Proj_S2_solution!$E$18:$X$18</definedName>
    <definedName function="false" hidden="false" name="prj_Proj_S3_solution_act_nette" vbProcedure="false">Proj_S3_solution!$E$29:$X$29</definedName>
    <definedName function="false" hidden="false" name="prj_Proj_S3_solution_dotation_fin" vbProcedure="false">Proj_S3_solution!$E$44:$X$44</definedName>
    <definedName function="false" hidden="false" name="prj_Proj_S3_solution_flux_solde" vbProcedure="false">Proj_S3_solution!$E$42:$X$42</definedName>
    <definedName function="false" hidden="false" name="prj_Proj_S3_solution_kpi_couverture" vbProcedure="false">Proj_S3_solution!$E$47:$X$47</definedName>
    <definedName function="false" hidden="false" name="prj_Proj_S3_solution_kpi_deficit" vbProcedure="false">Proj_S3_solution!$E$49:$X$49</definedName>
    <definedName function="false" hidden="false" name="prj_Proj_S3_solution_kpi_liquidite" vbProcedure="false">Proj_S3_solution!$E$46:$X$46</definedName>
    <definedName function="false" hidden="false" name="prj_Proj_S3_solution_reserve" vbProcedure="false">Proj_S3_solution!$E$45:$X$45</definedName>
    <definedName function="false" hidden="false" name="prj_Proj_S3_solution_tension" vbProcedure="false">Proj_S3_solution!$E$12:$X$12</definedName>
    <definedName function="false" hidden="false" name="prj_Proj_S3_solution_total_charges" vbProcedure="false">Proj_S3_solution!$E$18:$X$18</definedName>
    <definedName function="false" hidden="false" name="prj_ST_S1_cumul_act_nette" vbProcedure="false">ST_S1_cumul!$E$29:$X$29</definedName>
    <definedName function="false" hidden="false" name="prj_ST_S1_cumul_dotation_fin" vbProcedure="false">ST_S1_cumul!$E$44:$X$44</definedName>
    <definedName function="false" hidden="false" name="prj_ST_S1_cumul_flux_solde" vbProcedure="false">ST_S1_cumul!$E$42:$X$42</definedName>
    <definedName function="false" hidden="false" name="prj_ST_S1_cumul_kpi_couverture" vbProcedure="false">ST_S1_cumul!$E$47:$X$47</definedName>
    <definedName function="false" hidden="false" name="prj_ST_S1_cumul_kpi_deficit" vbProcedure="false">ST_S1_cumul!$E$49:$X$49</definedName>
    <definedName function="false" hidden="false" name="prj_ST_S1_cumul_kpi_liquidite" vbProcedure="false">ST_S1_cumul!$E$46:$X$46</definedName>
    <definedName function="false" hidden="false" name="prj_ST_S1_cumul_reserve" vbProcedure="false">ST_S1_cumul!$E$45:$X$45</definedName>
    <definedName function="false" hidden="false" name="prj_ST_S1_cumul_tension" vbProcedure="false">ST_S1_cumul!$E$12:$X$12</definedName>
    <definedName function="false" hidden="false" name="prj_ST_S1_cumul_total_charges" vbProcedure="false">ST_S1_cumul!$E$18:$X$18</definedName>
    <definedName function="false" hidden="false" name="prj_ST_S2_ca30_act_nette" vbProcedure="false">ST_S2_ca30!$E$29:$X$29</definedName>
    <definedName function="false" hidden="false" name="prj_ST_S2_ca30_dotation_fin" vbProcedure="false">ST_S2_ca30!$E$44:$X$44</definedName>
    <definedName function="false" hidden="false" name="prj_ST_S2_ca30_flux_solde" vbProcedure="false">ST_S2_ca30!$E$42:$X$42</definedName>
    <definedName function="false" hidden="false" name="prj_ST_S2_ca30_kpi_couverture" vbProcedure="false">ST_S2_ca30!$E$47:$X$47</definedName>
    <definedName function="false" hidden="false" name="prj_ST_S2_ca30_kpi_deficit" vbProcedure="false">ST_S2_ca30!$E$49:$X$49</definedName>
    <definedName function="false" hidden="false" name="prj_ST_S2_ca30_kpi_liquidite" vbProcedure="false">ST_S2_ca30!$E$46:$X$46</definedName>
    <definedName function="false" hidden="false" name="prj_ST_S2_ca30_reserve" vbProcedure="false">ST_S2_ca30!$E$45:$X$45</definedName>
    <definedName function="false" hidden="false" name="prj_ST_S2_ca30_tension" vbProcedure="false">ST_S2_ca30!$E$12:$X$12</definedName>
    <definedName function="false" hidden="false" name="prj_ST_S2_ca30_total_charges" vbProcedure="false">ST_S2_ca30!$E$18:$X$18</definedName>
    <definedName function="false" hidden="false" name="prj_ST_S2_crise_act_nette" vbProcedure="false">ST_S2_crise!$E$29:$X$29</definedName>
    <definedName function="false" hidden="false" name="prj_ST_S2_crise_dotation_fin" vbProcedure="false">ST_S2_crise!$E$44:$X$44</definedName>
    <definedName function="false" hidden="false" name="prj_ST_S2_crise_flux_solde" vbProcedure="false">ST_S2_crise!$E$42:$X$42</definedName>
    <definedName function="false" hidden="false" name="prj_ST_S2_crise_kpi_couverture" vbProcedure="false">ST_S2_crise!$E$47:$X$47</definedName>
    <definedName function="false" hidden="false" name="prj_ST_S2_crise_kpi_deficit" vbProcedure="false">ST_S2_crise!$E$49:$X$49</definedName>
    <definedName function="false" hidden="false" name="prj_ST_S2_crise_kpi_liquidite" vbProcedure="false">ST_S2_crise!$E$46:$X$46</definedName>
    <definedName function="false" hidden="false" name="prj_ST_S2_crise_reserve" vbProcedure="false">ST_S2_crise!$E$45:$X$45</definedName>
    <definedName function="false" hidden="false" name="prj_ST_S2_crise_tension" vbProcedure="false">ST_S2_crise!$E$12:$X$12</definedName>
    <definedName function="false" hidden="false" name="prj_ST_S2_crise_total_charges" vbProcedure="false">ST_S2_crise!$E$18:$X$18</definedName>
    <definedName function="false" hidden="false" name="prj_ST_S2_cumul_act_nette" vbProcedure="false">ST_S2_cumul!$E$29:$X$29</definedName>
    <definedName function="false" hidden="false" name="prj_ST_S2_cumul_dotation_fin" vbProcedure="false">ST_S2_cumul!$E$44:$X$44</definedName>
    <definedName function="false" hidden="false" name="prj_ST_S2_cumul_flux_solde" vbProcedure="false">ST_S2_cumul!$E$42:$X$42</definedName>
    <definedName function="false" hidden="false" name="prj_ST_S2_cumul_kpi_couverture" vbProcedure="false">ST_S2_cumul!$E$47:$X$47</definedName>
    <definedName function="false" hidden="false" name="prj_ST_S2_cumul_kpi_deficit" vbProcedure="false">ST_S2_cumul!$E$49:$X$49</definedName>
    <definedName function="false" hidden="false" name="prj_ST_S2_cumul_kpi_liquidite" vbProcedure="false">ST_S2_cumul!$E$46:$X$46</definedName>
    <definedName function="false" hidden="false" name="prj_ST_S2_cumul_reserve" vbProcedure="false">ST_S2_cumul!$E$45:$X$45</definedName>
    <definedName function="false" hidden="false" name="prj_ST_S2_cumul_tension" vbProcedure="false">ST_S2_cumul!$E$12:$X$12</definedName>
    <definedName function="false" hidden="false" name="prj_ST_S2_cumul_total_charges" vbProcedure="false">ST_S2_cumul!$E$18:$X$18</definedName>
    <definedName function="false" hidden="false" name="prj_ST_S2_energie_act_nette" vbProcedure="false">ST_S2_energie!$E$29:$X$29</definedName>
    <definedName function="false" hidden="false" name="prj_ST_S2_energie_dotation_fin" vbProcedure="false">ST_S2_energie!$E$44:$X$44</definedName>
    <definedName function="false" hidden="false" name="prj_ST_S2_energie_flux_solde" vbProcedure="false">ST_S2_energie!$E$42:$X$42</definedName>
    <definedName function="false" hidden="false" name="prj_ST_S2_energie_kpi_couverture" vbProcedure="false">ST_S2_energie!$E$47:$X$47</definedName>
    <definedName function="false" hidden="false" name="prj_ST_S2_energie_kpi_deficit" vbProcedure="false">ST_S2_energie!$E$49:$X$49</definedName>
    <definedName function="false" hidden="false" name="prj_ST_S2_energie_kpi_liquidite" vbProcedure="false">ST_S2_energie!$E$46:$X$46</definedName>
    <definedName function="false" hidden="false" name="prj_ST_S2_energie_reserve" vbProcedure="false">ST_S2_energie!$E$45:$X$45</definedName>
    <definedName function="false" hidden="false" name="prj_ST_S2_energie_tension" vbProcedure="false">ST_S2_energie!$E$12:$X$12</definedName>
    <definedName function="false" hidden="false" name="prj_ST_S2_energie_total_charges" vbProcedure="false">ST_S2_energie!$E$18:$X$18</definedName>
    <definedName function="false" hidden="false" name="prj_ST_S2_moteur_act_nette" vbProcedure="false">ST_S2_moteur!$E$29:$X$29</definedName>
    <definedName function="false" hidden="false" name="prj_ST_S2_moteur_dotation_fin" vbProcedure="false">ST_S2_moteur!$E$44:$X$44</definedName>
    <definedName function="false" hidden="false" name="prj_ST_S2_moteur_flux_solde" vbProcedure="false">ST_S2_moteur!$E$42:$X$42</definedName>
    <definedName function="false" hidden="false" name="prj_ST_S2_moteur_kpi_couverture" vbProcedure="false">ST_S2_moteur!$E$47:$X$47</definedName>
    <definedName function="false" hidden="false" name="prj_ST_S2_moteur_kpi_deficit" vbProcedure="false">ST_S2_moteur!$E$49:$X$49</definedName>
    <definedName function="false" hidden="false" name="prj_ST_S2_moteur_kpi_liquidite" vbProcedure="false">ST_S2_moteur!$E$46:$X$46</definedName>
    <definedName function="false" hidden="false" name="prj_ST_S2_moteur_reserve" vbProcedure="false">ST_S2_moteur!$E$45:$X$45</definedName>
    <definedName function="false" hidden="false" name="prj_ST_S2_moteur_tension" vbProcedure="false">ST_S2_moteur!$E$12:$X$12</definedName>
    <definedName function="false" hidden="false" name="prj_ST_S2_moteur_total_charges" vbProcedure="false">ST_S2_moteur!$E$18:$X$18</definedName>
    <definedName function="false" hidden="false" name="prj_ST_S2_salaires_act_nette" vbProcedure="false">ST_S2_salaires!$E$29:$X$29</definedName>
    <definedName function="false" hidden="false" name="prj_ST_S2_salaires_dotation_fin" vbProcedure="false">ST_S2_salaires!$E$44:$X$44</definedName>
    <definedName function="false" hidden="false" name="prj_ST_S2_salaires_flux_solde" vbProcedure="false">ST_S2_salaires!$E$42:$X$42</definedName>
    <definedName function="false" hidden="false" name="prj_ST_S2_salaires_kpi_couverture" vbProcedure="false">ST_S2_salaires!$E$47:$X$47</definedName>
    <definedName function="false" hidden="false" name="prj_ST_S2_salaires_kpi_deficit" vbProcedure="false">ST_S2_salaires!$E$49:$X$49</definedName>
    <definedName function="false" hidden="false" name="prj_ST_S2_salaires_kpi_liquidite" vbProcedure="false">ST_S2_salaires!$E$46:$X$46</definedName>
    <definedName function="false" hidden="false" name="prj_ST_S2_salaires_reserve" vbProcedure="false">ST_S2_salaires!$E$45:$X$45</definedName>
    <definedName function="false" hidden="false" name="prj_ST_S2_salaires_tension" vbProcedure="false">ST_S2_salaires!$E$12:$X$12</definedName>
    <definedName function="false" hidden="false" name="prj_ST_S2_salaires_total_charges" vbProcedure="false">ST_S2_salaires!$E$18:$X$18</definedName>
    <definedName function="false" hidden="false" name="prj_ST_S2_travaux_act_nette" vbProcedure="false">ST_S2_travaux!$E$29:$X$29</definedName>
    <definedName function="false" hidden="false" name="prj_ST_S2_travaux_dotation_fin" vbProcedure="false">ST_S2_travaux!$E$44:$X$44</definedName>
    <definedName function="false" hidden="false" name="prj_ST_S2_travaux_flux_solde" vbProcedure="false">ST_S2_travaux!$E$42:$X$42</definedName>
    <definedName function="false" hidden="false" name="prj_ST_S2_travaux_kpi_couverture" vbProcedure="false">ST_S2_travaux!$E$47:$X$47</definedName>
    <definedName function="false" hidden="false" name="prj_ST_S2_travaux_kpi_deficit" vbProcedure="false">ST_S2_travaux!$E$49:$X$49</definedName>
    <definedName function="false" hidden="false" name="prj_ST_S2_travaux_kpi_liquidite" vbProcedure="false">ST_S2_travaux!$E$46:$X$46</definedName>
    <definedName function="false" hidden="false" name="prj_ST_S2_travaux_reserve" vbProcedure="false">ST_S2_travaux!$E$45:$X$45</definedName>
    <definedName function="false" hidden="false" name="prj_ST_S2_travaux_tension" vbProcedure="false">ST_S2_travaux!$E$12:$X$12</definedName>
    <definedName function="false" hidden="false" name="prj_ST_S2_travaux_total_charges" vbProcedure="false">ST_S2_travaux!$E$18:$X$18</definedName>
    <definedName function="false" hidden="false" name="pv_ha" vbProcedure="false">Hypotheses!$D$215</definedName>
    <definedName function="false" hidden="false" name="pv_ha_def" vbProcedure="false">Hypotheses!$E$215</definedName>
    <definedName function="false" hidden="false" name="pv_ha_fav" vbProcedure="false">Hypotheses!$C$215</definedName>
    <definedName function="false" hidden="false" name="pv_loyer_ha" vbProcedure="false">Hypotheses!$D$216</definedName>
    <definedName function="false" hidden="false" name="pv_loyer_ha_def" vbProcedure="false">Hypotheses!$E$216</definedName>
    <definedName function="false" hidden="false" name="pv_loyer_ha_fav" vbProcedure="false">Hypotheses!$C$216</definedName>
    <definedName function="false" hidden="false" name="rampe_an1" vbProcedure="false">Hypotheses!$D$328</definedName>
    <definedName function="false" hidden="false" name="rampe_an1_def" vbProcedure="false">Hypotheses!$E$328</definedName>
    <definedName function="false" hidden="false" name="rampe_an1_fav" vbProcedure="false">Hypotheses!$C$328</definedName>
    <definedName function="false" hidden="false" name="rampe_an2" vbProcedure="false">Hypotheses!$D$329</definedName>
    <definedName function="false" hidden="false" name="rampe_an2_def" vbProcedure="false">Hypotheses!$E$329</definedName>
    <definedName function="false" hidden="false" name="rampe_an2_fav" vbProcedure="false">Hypotheses!$C$329</definedName>
    <definedName function="false" hidden="false" name="repro_contrib" vbProcedure="false">Hypotheses!$D$235</definedName>
    <definedName function="false" hidden="false" name="repro_contrib_def" vbProcedure="false">Hypotheses!$E$235</definedName>
    <definedName function="false" hidden="false" name="repro_contrib_fav" vbProcedure="false">Hypotheses!$C$235</definedName>
    <definedName function="false" hidden="false" name="retrait_urgence" vbProcedure="false">Hypotheses!$D$352</definedName>
    <definedName function="false" hidden="false" name="retrait_urgence_def" vbProcedure="false">Hypotheses!$E$352</definedName>
    <definedName function="false" hidden="false" name="retrait_urgence_fav" vbProcedure="false">Hypotheses!$C$352</definedName>
    <definedName function="false" hidden="false" name="S1_admin" vbProcedure="false">Hypotheses!$D$6</definedName>
    <definedName function="false" hidden="false" name="S1_admin_def" vbProcedure="false">Hypotheses!$E$6</definedName>
    <definedName function="false" hidden="false" name="S1_admin_fav" vbProcedure="false">Hypotheses!$C$6</definedName>
    <definedName function="false" hidden="false" name="S1_assurances_autres" vbProcedure="false">Hypotheses!$D$7</definedName>
    <definedName function="false" hidden="false" name="S1_assurances_autres_def" vbProcedure="false">Hypotheses!$E$7</definedName>
    <definedName function="false" hidden="false" name="S1_assurances_autres_fav" vbProcedure="false">Hypotheses!$C$7</definedName>
    <definedName function="false" hidden="false" name="S1_cout_direction" vbProcedure="false">Hypotheses!$D$270</definedName>
    <definedName function="false" hidden="false" name="S1_cout_direction_def" vbProcedure="false">Hypotheses!$E$270</definedName>
    <definedName function="false" hidden="false" name="S1_cout_direction_fav" vbProcedure="false">Hypotheses!$C$270</definedName>
    <definedName function="false" hidden="false" name="S1_cout_gouvernance" vbProcedure="false">Hypotheses!$D$271</definedName>
    <definedName function="false" hidden="false" name="S1_cout_gouvernance_def" vbProcedure="false">Hypotheses!$E$271</definedName>
    <definedName function="false" hidden="false" name="S1_cout_gouvernance_fav" vbProcedure="false">Hypotheses!$C$271</definedName>
    <definedName function="false" hidden="false" name="S1_eau" vbProcedure="false">Hypotheses!$D$540</definedName>
    <definedName function="false" hidden="false" name="S1_eau_def" vbProcedure="false">Hypotheses!$E$540</definedName>
    <definedName function="false" hidden="false" name="S1_eau_fav" vbProcedure="false">Hypotheses!$C$540</definedName>
    <definedName function="false" hidden="false" name="S1_ech_bois" vbProcedure="false">Hypotheses!$D$355</definedName>
    <definedName function="false" hidden="false" name="S1_ech_bois_def" vbProcedure="false">Hypotheses!$E$355</definedName>
    <definedName function="false" hidden="false" name="S1_ech_bois_fav" vbProcedure="false">Hypotheses!$C$355</definedName>
    <definedName function="false" hidden="false" name="S1_ech_eq_ret" vbProcedure="false">Hypotheses!$D$356</definedName>
    <definedName function="false" hidden="false" name="S1_ech_eq_ret_def" vbProcedure="false">Hypotheses!$E$356</definedName>
    <definedName function="false" hidden="false" name="S1_ech_eq_ret_fav" vbProcedure="false">Hypotheses!$C$356</definedName>
    <definedName function="false" hidden="false" name="S1_ech_eq_std" vbProcedure="false">Hypotheses!$D$357</definedName>
    <definedName function="false" hidden="false" name="S1_ech_eq_std_def" vbProcedure="false">Hypotheses!$E$357</definedName>
    <definedName function="false" hidden="false" name="S1_ech_eq_std_fav" vbProcedure="false">Hypotheses!$C$357</definedName>
    <definedName function="false" hidden="false" name="S1_ech_log" vbProcedure="false">Hypotheses!$D$358</definedName>
    <definedName function="false" hidden="false" name="S1_ech_log_def" vbProcedure="false">Hypotheses!$E$358</definedName>
    <definedName function="false" hidden="false" name="S1_ech_log_fav" vbProcedure="false">Hypotheses!$C$358</definedName>
    <definedName function="false" hidden="false" name="S1_ech_pv" vbProcedure="false">Hypotheses!$D$359</definedName>
    <definedName function="false" hidden="false" name="S1_ech_pv_def" vbProcedure="false">Hypotheses!$E$359</definedName>
    <definedName function="false" hidden="false" name="S1_ech_pv_fav" vbProcedure="false">Hypotheses!$C$359</definedName>
    <definedName function="false" hidden="false" name="S1_ech_stock" vbProcedure="false">Hypotheses!$D$360</definedName>
    <definedName function="false" hidden="false" name="S1_ech_stock_def" vbProcedure="false">Hypotheses!$E$360</definedName>
    <definedName function="false" hidden="false" name="S1_ech_stock_fav" vbProcedure="false">Hypotheses!$C$360</definedName>
    <definedName function="false" hidden="false" name="S1_ech_tourn" vbProcedure="false">Hypotheses!$D$361</definedName>
    <definedName function="false" hidden="false" name="S1_ech_tourn_def" vbProcedure="false">Hypotheses!$E$361</definedName>
    <definedName function="false" hidden="false" name="S1_ech_tourn_fav" vbProcedure="false">Hypotheses!$C$361</definedName>
    <definedName function="false" hidden="false" name="S1_elec_kwh" vbProcedure="false">Hypotheses!$D$541</definedName>
    <definedName function="false" hidden="false" name="S1_elec_kwh_def" vbProcedure="false">Hypotheses!$E$541</definedName>
    <definedName function="false" hidden="false" name="S1_elec_kwh_fav" vbProcedure="false">Hypotheses!$C$541</definedName>
    <definedName function="false" hidden="false" name="S1_etp_admin" vbProcedure="false">Hypotheses!$D$285</definedName>
    <definedName function="false" hidden="false" name="S1_etp_admin_def" vbProcedure="false">Hypotheses!$E$285</definedName>
    <definedName function="false" hidden="false" name="S1_etp_admin_fav" vbProcedure="false">Hypotheses!$C$285</definedName>
    <definedName function="false" hidden="false" name="S1_etp_agricole" vbProcedure="false">Hypotheses!$D$286</definedName>
    <definedName function="false" hidden="false" name="S1_etp_agricole_def" vbProcedure="false">Hypotheses!$E$286</definedName>
    <definedName function="false" hidden="false" name="S1_etp_agricole_fav" vbProcedure="false">Hypotheses!$C$286</definedName>
    <definedName function="false" hidden="false" name="S1_etp_chef_jardinier" vbProcedure="false">Hypotheses!$D$287</definedName>
    <definedName function="false" hidden="false" name="S1_etp_chef_jardinier_def" vbProcedure="false">Hypotheses!$E$287</definedName>
    <definedName function="false" hidden="false" name="S1_etp_chef_jardinier_fav" vbProcedure="false">Hypotheses!$C$287</definedName>
    <definedName function="false" hidden="false" name="S1_etp_direction" vbProcedure="false">Hypotheses!$D$288</definedName>
    <definedName function="false" hidden="false" name="S1_etp_direction_def" vbProcedure="false">Hypotheses!$E$288</definedName>
    <definedName function="false" hidden="false" name="S1_etp_direction_fav" vbProcedure="false">Hypotheses!$C$288</definedName>
    <definedName function="false" hidden="false" name="S1_etp_entretien" vbProcedure="false">Hypotheses!$D$289</definedName>
    <definedName function="false" hidden="false" name="S1_etp_entretien_def" vbProcedure="false">Hypotheses!$E$289</definedName>
    <definedName function="false" hidden="false" name="S1_etp_entretien_fav" vbProcedure="false">Hypotheses!$C$289</definedName>
    <definedName function="false" hidden="false" name="S1_etp_gouvernance" vbProcedure="false">Hypotheses!$D$290</definedName>
    <definedName function="false" hidden="false" name="S1_etp_gouvernance_def" vbProcedure="false">Hypotheses!$E$290</definedName>
    <definedName function="false" hidden="false" name="S1_etp_gouvernance_fav" vbProcedure="false">Hypotheses!$C$290</definedName>
    <definedName function="false" hidden="false" name="S1_etp_jardin" vbProcedure="false">Hypotheses!$D$291</definedName>
    <definedName function="false" hidden="false" name="S1_etp_jardin_def" vbProcedure="false">Hypotheses!$E$291</definedName>
    <definedName function="false" hidden="false" name="S1_etp_jardin_fav" vbProcedure="false">Hypotheses!$C$291</definedName>
    <definedName function="false" hidden="false" name="S1_etp_maison" vbProcedure="false">Hypotheses!$D$292</definedName>
    <definedName function="false" hidden="false" name="S1_etp_maison_def" vbProcedure="false">Hypotheses!$E$292</definedName>
    <definedName function="false" hidden="false" name="S1_etp_maison_fav" vbProcedure="false">Hypotheses!$C$292</definedName>
    <definedName function="false" hidden="false" name="S1_etp_resp_ecurie" vbProcedure="false">Hypotheses!$D$293</definedName>
    <definedName function="false" hidden="false" name="S1_etp_resp_ecurie_def" vbProcedure="false">Hypotheses!$E$293</definedName>
    <definedName function="false" hidden="false" name="S1_etp_resp_ecurie_fav" vbProcedure="false">Hypotheses!$C$293</definedName>
    <definedName function="false" hidden="false" name="S1_etp_soigneur" vbProcedure="false">Hypotheses!$D$294</definedName>
    <definedName function="false" hidden="false" name="S1_etp_soigneur_def" vbProcedure="false">Hypotheses!$E$294</definedName>
    <definedName function="false" hidden="false" name="S1_etp_soigneur_fav" vbProcedure="false">Hypotheses!$C$294</definedName>
    <definedName function="false" hidden="false" name="S1_ha_bois" vbProcedure="false">Hypotheses!$D$384</definedName>
    <definedName function="false" hidden="false" name="S1_ha_bois_def" vbProcedure="false">Hypotheses!$E$384</definedName>
    <definedName function="false" hidden="false" name="S1_ha_bois_fav" vbProcedure="false">Hypotheses!$C$384</definedName>
    <definedName function="false" hidden="false" name="S1_ha_jardins" vbProcedure="false">Hypotheses!$D$385</definedName>
    <definedName function="false" hidden="false" name="S1_ha_jardins_def" vbProcedure="false">Hypotheses!$E$385</definedName>
    <definedName function="false" hidden="false" name="S1_ha_jardins_fav" vbProcedure="false">Hypotheses!$C$385</definedName>
    <definedName function="false" hidden="false" name="S1_ha_parc" vbProcedure="false">Hypotheses!$D$386</definedName>
    <definedName function="false" hidden="false" name="S1_ha_parc_def" vbProcedure="false">Hypotheses!$E$386</definedName>
    <definedName function="false" hidden="false" name="S1_ha_parc_fav" vbProcedure="false">Hypotheses!$C$386</definedName>
    <definedName function="false" hidden="false" name="S1_ha_prairies" vbProcedure="false">Hypotheses!$D$387</definedName>
    <definedName function="false" hidden="false" name="S1_ha_prairies_def" vbProcedure="false">Hypotheses!$E$387</definedName>
    <definedName function="false" hidden="false" name="S1_ha_prairies_fav" vbProcedure="false">Hypotheses!$C$387</definedName>
    <definedName function="false" hidden="false" name="S1_honoraires_patrimoine" vbProcedure="false">Hypotheses!$D$19</definedName>
    <definedName function="false" hidden="false" name="S1_honoraires_patrimoine_def" vbProcedure="false">Hypotheses!$E$19</definedName>
    <definedName function="false" hidden="false" name="S1_honoraires_patrimoine_fav" vbProcedure="false">Hypotheses!$C$19</definedName>
    <definedName function="false" hidden="false" name="S1_ml_clotures" vbProcedure="false">Hypotheses!$D$388</definedName>
    <definedName function="false" hidden="false" name="S1_ml_clotures_def" vbProcedure="false">Hypotheses!$E$388</definedName>
    <definedName function="false" hidden="false" name="S1_ml_clotures_fav" vbProcedure="false">Hypotheses!$C$388</definedName>
    <definedName function="false" hidden="false" name="S1_nb_baies" vbProcedure="false">Hypotheses!$D$389</definedName>
    <definedName function="false" hidden="false" name="S1_nb_baies_def" vbProcedure="false">Hypotheses!$E$389</definedName>
    <definedName function="false" hidden="false" name="S1_nb_baies_fav" vbProcedure="false">Hypotheses!$C$389</definedName>
    <definedName function="false" hidden="false" name="S1_nb_boxes" vbProcedure="false">Hypotheses!$D$390</definedName>
    <definedName function="false" hidden="false" name="S1_nb_boxes_def" vbProcedure="false">Hypotheses!$E$390</definedName>
    <definedName function="false" hidden="false" name="S1_nb_boxes_fav" vbProcedure="false">Hypotheses!$C$390</definedName>
    <definedName function="false" hidden="false" name="S1_nb_chevaux" vbProcedure="false">Hypotheses!$D$391</definedName>
    <definedName function="false" hidden="false" name="S1_nb_chevaux_def" vbProcedure="false">Hypotheses!$E$391</definedName>
    <definedName function="false" hidden="false" name="S1_nb_chevaux_fav" vbProcedure="false">Hypotheses!$C$391</definedName>
    <definedName function="false" hidden="false" name="S1_prix_achat" vbProcedure="false">Hypotheses!$D$377</definedName>
    <definedName function="false" hidden="false" name="S1_prix_achat_def" vbProcedure="false">Hypotheses!$E$377</definedName>
    <definedName function="false" hidden="false" name="S1_prix_achat_fav" vbProcedure="false">Hypotheses!$C$377</definedName>
    <definedName function="false" hidden="false" name="S1_securite" vbProcedure="false">Hypotheses!$D$20</definedName>
    <definedName function="false" hidden="false" name="S1_securite_def" vbProcedure="false">Hypotheses!$E$20</definedName>
    <definedName function="false" hidden="false" name="S1_securite_fav" vbProcedure="false">Hypotheses!$C$20</definedName>
    <definedName function="false" hidden="false" name="S1_sol_div" vbProcedure="false">Hypotheses!$D$333</definedName>
    <definedName function="false" hidden="false" name="S1_sol_div_annees" vbProcedure="false">Hypotheses!$D$334</definedName>
    <definedName function="false" hidden="false" name="S1_sol_div_annees_def" vbProcedure="false">Hypotheses!$E$334</definedName>
    <definedName function="false" hidden="false" name="S1_sol_div_annees_fav" vbProcedure="false">Hypotheses!$C$334</definedName>
    <definedName function="false" hidden="false" name="S1_sol_div_def" vbProcedure="false">Hypotheses!$E$333</definedName>
    <definedName function="false" hidden="false" name="S1_sol_div_fav" vbProcedure="false">Hypotheses!$C$333</definedName>
    <definedName function="false" hidden="false" name="S1_sol_dotation0" vbProcedure="false">Hypotheses!$D$335</definedName>
    <definedName function="false" hidden="false" name="S1_sol_dotation0_def" vbProcedure="false">Hypotheses!$E$335</definedName>
    <definedName function="false" hidden="false" name="S1_sol_dotation0_fav" vbProcedure="false">Hypotheses!$C$335</definedName>
    <definedName function="false" hidden="false" name="S1_sol_reserve0" vbProcedure="false">Hypotheses!$D$336</definedName>
    <definedName function="false" hidden="false" name="S1_sol_reserve0_def" vbProcedure="false">Hypotheses!$E$336</definedName>
    <definedName function="false" hidden="false" name="S1_sol_reserve0_fav" vbProcedure="false">Hypotheses!$C$336</definedName>
    <definedName function="false" hidden="false" name="S1_surf_chateau" vbProcedure="false">Hypotheses!$D$392</definedName>
    <definedName function="false" hidden="false" name="S1_surf_chateau_def" vbProcedure="false">Hypotheses!$E$392</definedName>
    <definedName function="false" hidden="false" name="S1_surf_chateau_fav" vbProcedure="false">Hypotheses!$C$392</definedName>
    <definedName function="false" hidden="false" name="S1_surf_chauffee" vbProcedure="false">Hypotheses!$D$542</definedName>
    <definedName function="false" hidden="false" name="S1_surf_chauffee_def" vbProcedure="false">Hypotheses!$E$542</definedName>
    <definedName function="false" hidden="false" name="S1_surf_chauffee_fav" vbProcedure="false">Hypotheses!$C$542</definedName>
    <definedName function="false" hidden="false" name="S1_surf_dep" vbProcedure="false">Hypotheses!$D$393</definedName>
    <definedName function="false" hidden="false" name="S1_surf_dep_def" vbProcedure="false">Hypotheses!$E$393</definedName>
    <definedName function="false" hidden="false" name="S1_surf_dep_fav" vbProcedure="false">Hypotheses!$C$393</definedName>
    <definedName function="false" hidden="false" name="S1_surf_facades" vbProcedure="false">Hypotheses!$D$394</definedName>
    <definedName function="false" hidden="false" name="S1_surf_facades_def" vbProcedure="false">Hypotheses!$E$394</definedName>
    <definedName function="false" hidden="false" name="S1_surf_facades_fav" vbProcedure="false">Hypotheses!$C$394</definedName>
    <definedName function="false" hidden="false" name="S1_surf_manege" vbProcedure="false">Hypotheses!$D$395</definedName>
    <definedName function="false" hidden="false" name="S1_surf_manege_def" vbProcedure="false">Hypotheses!$E$395</definedName>
    <definedName function="false" hidden="false" name="S1_surf_manege_fav" vbProcedure="false">Hypotheses!$C$395</definedName>
    <definedName function="false" hidden="false" name="S1_surf_pistes" vbProcedure="false">Hypotheses!$D$396</definedName>
    <definedName function="false" hidden="false" name="S1_surf_pistes_def" vbProcedure="false">Hypotheses!$E$396</definedName>
    <definedName function="false" hidden="false" name="S1_surf_pistes_fav" vbProcedure="false">Hypotheses!$C$396</definedName>
    <definedName function="false" hidden="false" name="S1_surf_toits" vbProcedure="false">Hypotheses!$D$397</definedName>
    <definedName function="false" hidden="false" name="S1_surf_toits_def" vbProcedure="false">Hypotheses!$E$397</definedName>
    <definedName function="false" hidden="false" name="S1_surf_toits_fav" vbProcedure="false">Hypotheses!$C$397</definedName>
    <definedName function="false" hidden="false" name="S1_valeur_equip" vbProcedure="false">Hypotheses!$D$172</definedName>
    <definedName function="false" hidden="false" name="S1_valeur_equip_def" vbProcedure="false">Hypotheses!$E$172</definedName>
    <definedName function="false" hidden="false" name="S1_valeur_equip_fav" vbProcedure="false">Hypotheses!$C$172</definedName>
    <definedName function="false" hidden="false" name="S1_vr_m2" vbProcedure="false">Hypotheses!$D$21</definedName>
    <definedName function="false" hidden="false" name="S1_vr_m2_def" vbProcedure="false">Hypotheses!$E$21</definedName>
    <definedName function="false" hidden="false" name="S1_vr_m2_fav" vbProcedure="false">Hypotheses!$C$21</definedName>
    <definedName function="false" hidden="false" name="S2_admin" vbProcedure="false">Hypotheses!$D$8</definedName>
    <definedName function="false" hidden="false" name="S2_admin_def" vbProcedure="false">Hypotheses!$E$8</definedName>
    <definedName function="false" hidden="false" name="S2_admin_fav" vbProcedure="false">Hypotheses!$C$8</definedName>
    <definedName function="false" hidden="false" name="S2_assurances_autres" vbProcedure="false">Hypotheses!$D$9</definedName>
    <definedName function="false" hidden="false" name="S2_assurances_autres_def" vbProcedure="false">Hypotheses!$E$9</definedName>
    <definedName function="false" hidden="false" name="S2_assurances_autres_fav" vbProcedure="false">Hypotheses!$C$9</definedName>
    <definedName function="false" hidden="false" name="S2_cout_direction" vbProcedure="false">Hypotheses!$D$272</definedName>
    <definedName function="false" hidden="false" name="S2_cout_direction_def" vbProcedure="false">Hypotheses!$E$272</definedName>
    <definedName function="false" hidden="false" name="S2_cout_direction_fav" vbProcedure="false">Hypotheses!$C$272</definedName>
    <definedName function="false" hidden="false" name="S2_cout_gouvernance" vbProcedure="false">Hypotheses!$D$273</definedName>
    <definedName function="false" hidden="false" name="S2_cout_gouvernance_def" vbProcedure="false">Hypotheses!$E$273</definedName>
    <definedName function="false" hidden="false" name="S2_cout_gouvernance_fav" vbProcedure="false">Hypotheses!$C$273</definedName>
    <definedName function="false" hidden="false" name="S2_eau" vbProcedure="false">Hypotheses!$D$543</definedName>
    <definedName function="false" hidden="false" name="S2_eau_def" vbProcedure="false">Hypotheses!$E$543</definedName>
    <definedName function="false" hidden="false" name="S2_eau_fav" vbProcedure="false">Hypotheses!$C$543</definedName>
    <definedName function="false" hidden="false" name="S2_ech_bois" vbProcedure="false">Hypotheses!$D$362</definedName>
    <definedName function="false" hidden="false" name="S2_ech_bois_def" vbProcedure="false">Hypotheses!$E$362</definedName>
    <definedName function="false" hidden="false" name="S2_ech_bois_fav" vbProcedure="false">Hypotheses!$C$362</definedName>
    <definedName function="false" hidden="false" name="S2_ech_eq_ret" vbProcedure="false">Hypotheses!$D$363</definedName>
    <definedName function="false" hidden="false" name="S2_ech_eq_ret_def" vbProcedure="false">Hypotheses!$E$363</definedName>
    <definedName function="false" hidden="false" name="S2_ech_eq_ret_fav" vbProcedure="false">Hypotheses!$C$363</definedName>
    <definedName function="false" hidden="false" name="S2_ech_eq_std" vbProcedure="false">Hypotheses!$D$364</definedName>
    <definedName function="false" hidden="false" name="S2_ech_eq_std_def" vbProcedure="false">Hypotheses!$E$364</definedName>
    <definedName function="false" hidden="false" name="S2_ech_eq_std_fav" vbProcedure="false">Hypotheses!$C$364</definedName>
    <definedName function="false" hidden="false" name="S2_ech_log" vbProcedure="false">Hypotheses!$D$365</definedName>
    <definedName function="false" hidden="false" name="S2_ech_log_def" vbProcedure="false">Hypotheses!$E$365</definedName>
    <definedName function="false" hidden="false" name="S2_ech_log_fav" vbProcedure="false">Hypotheses!$C$365</definedName>
    <definedName function="false" hidden="false" name="S2_ech_pv" vbProcedure="false">Hypotheses!$D$366</definedName>
    <definedName function="false" hidden="false" name="S2_ech_pv_def" vbProcedure="false">Hypotheses!$E$366</definedName>
    <definedName function="false" hidden="false" name="S2_ech_pv_fav" vbProcedure="false">Hypotheses!$C$366</definedName>
    <definedName function="false" hidden="false" name="S2_ech_stock" vbProcedure="false">Hypotheses!$D$367</definedName>
    <definedName function="false" hidden="false" name="S2_ech_stock_def" vbProcedure="false">Hypotheses!$E$367</definedName>
    <definedName function="false" hidden="false" name="S2_ech_stock_fav" vbProcedure="false">Hypotheses!$C$367</definedName>
    <definedName function="false" hidden="false" name="S2_ech_tourn" vbProcedure="false">Hypotheses!$D$368</definedName>
    <definedName function="false" hidden="false" name="S2_ech_tourn_def" vbProcedure="false">Hypotheses!$E$368</definedName>
    <definedName function="false" hidden="false" name="S2_ech_tourn_fav" vbProcedure="false">Hypotheses!$C$368</definedName>
    <definedName function="false" hidden="false" name="S2_elec_kwh" vbProcedure="false">Hypotheses!$D$544</definedName>
    <definedName function="false" hidden="false" name="S2_elec_kwh_def" vbProcedure="false">Hypotheses!$E$544</definedName>
    <definedName function="false" hidden="false" name="S2_elec_kwh_fav" vbProcedure="false">Hypotheses!$C$544</definedName>
    <definedName function="false" hidden="false" name="S2_etp_admin" vbProcedure="false">Hypotheses!$D$295</definedName>
    <definedName function="false" hidden="false" name="S2_etp_admin_def" vbProcedure="false">Hypotheses!$E$295</definedName>
    <definedName function="false" hidden="false" name="S2_etp_admin_fav" vbProcedure="false">Hypotheses!$C$295</definedName>
    <definedName function="false" hidden="false" name="S2_etp_agricole" vbProcedure="false">Hypotheses!$D$296</definedName>
    <definedName function="false" hidden="false" name="S2_etp_agricole_def" vbProcedure="false">Hypotheses!$E$296</definedName>
    <definedName function="false" hidden="false" name="S2_etp_agricole_fav" vbProcedure="false">Hypotheses!$C$296</definedName>
    <definedName function="false" hidden="false" name="S2_etp_chef_jardinier" vbProcedure="false">Hypotheses!$D$297</definedName>
    <definedName function="false" hidden="false" name="S2_etp_chef_jardinier_def" vbProcedure="false">Hypotheses!$E$297</definedName>
    <definedName function="false" hidden="false" name="S2_etp_chef_jardinier_fav" vbProcedure="false">Hypotheses!$C$297</definedName>
    <definedName function="false" hidden="false" name="S2_etp_direction" vbProcedure="false">Hypotheses!$D$298</definedName>
    <definedName function="false" hidden="false" name="S2_etp_direction_def" vbProcedure="false">Hypotheses!$E$298</definedName>
    <definedName function="false" hidden="false" name="S2_etp_direction_fav" vbProcedure="false">Hypotheses!$C$298</definedName>
    <definedName function="false" hidden="false" name="S2_etp_entretien" vbProcedure="false">Hypotheses!$D$299</definedName>
    <definedName function="false" hidden="false" name="S2_etp_entretien_def" vbProcedure="false">Hypotheses!$E$299</definedName>
    <definedName function="false" hidden="false" name="S2_etp_entretien_fav" vbProcedure="false">Hypotheses!$C$299</definedName>
    <definedName function="false" hidden="false" name="S2_etp_gouvernance" vbProcedure="false">Hypotheses!$D$300</definedName>
    <definedName function="false" hidden="false" name="S2_etp_gouvernance_def" vbProcedure="false">Hypotheses!$E$300</definedName>
    <definedName function="false" hidden="false" name="S2_etp_gouvernance_fav" vbProcedure="false">Hypotheses!$C$300</definedName>
    <definedName function="false" hidden="false" name="S2_etp_jardin" vbProcedure="false">Hypotheses!$D$301</definedName>
    <definedName function="false" hidden="false" name="S2_etp_jardin_def" vbProcedure="false">Hypotheses!$E$301</definedName>
    <definedName function="false" hidden="false" name="S2_etp_jardin_fav" vbProcedure="false">Hypotheses!$C$301</definedName>
    <definedName function="false" hidden="false" name="S2_etp_maison" vbProcedure="false">Hypotheses!$D$302</definedName>
    <definedName function="false" hidden="false" name="S2_etp_maison_def" vbProcedure="false">Hypotheses!$E$302</definedName>
    <definedName function="false" hidden="false" name="S2_etp_maison_fav" vbProcedure="false">Hypotheses!$C$302</definedName>
    <definedName function="false" hidden="false" name="S2_etp_resp_ecurie" vbProcedure="false">Hypotheses!$D$303</definedName>
    <definedName function="false" hidden="false" name="S2_etp_resp_ecurie_def" vbProcedure="false">Hypotheses!$E$303</definedName>
    <definedName function="false" hidden="false" name="S2_etp_resp_ecurie_fav" vbProcedure="false">Hypotheses!$C$303</definedName>
    <definedName function="false" hidden="false" name="S2_etp_soigneur" vbProcedure="false">Hypotheses!$D$304</definedName>
    <definedName function="false" hidden="false" name="S2_etp_soigneur_def" vbProcedure="false">Hypotheses!$E$304</definedName>
    <definedName function="false" hidden="false" name="S2_etp_soigneur_fav" vbProcedure="false">Hypotheses!$C$304</definedName>
    <definedName function="false" hidden="false" name="S2_ha_bois" vbProcedure="false">Hypotheses!$D$398</definedName>
    <definedName function="false" hidden="false" name="S2_ha_bois_def" vbProcedure="false">Hypotheses!$E$398</definedName>
    <definedName function="false" hidden="false" name="S2_ha_bois_fav" vbProcedure="false">Hypotheses!$C$398</definedName>
    <definedName function="false" hidden="false" name="S2_ha_jardins" vbProcedure="false">Hypotheses!$D$399</definedName>
    <definedName function="false" hidden="false" name="S2_ha_jardins_def" vbProcedure="false">Hypotheses!$E$399</definedName>
    <definedName function="false" hidden="false" name="S2_ha_jardins_fav" vbProcedure="false">Hypotheses!$C$399</definedName>
    <definedName function="false" hidden="false" name="S2_ha_parc" vbProcedure="false">Hypotheses!$D$400</definedName>
    <definedName function="false" hidden="false" name="S2_ha_parc_def" vbProcedure="false">Hypotheses!$E$400</definedName>
    <definedName function="false" hidden="false" name="S2_ha_parc_fav" vbProcedure="false">Hypotheses!$C$400</definedName>
    <definedName function="false" hidden="false" name="S2_ha_prairies" vbProcedure="false">Hypotheses!$D$401</definedName>
    <definedName function="false" hidden="false" name="S2_ha_prairies_def" vbProcedure="false">Hypotheses!$E$401</definedName>
    <definedName function="false" hidden="false" name="S2_ha_prairies_fav" vbProcedure="false">Hypotheses!$C$401</definedName>
    <definedName function="false" hidden="false" name="S2_honoraires_patrimoine" vbProcedure="false">Hypotheses!$D$22</definedName>
    <definedName function="false" hidden="false" name="S2_honoraires_patrimoine_def" vbProcedure="false">Hypotheses!$E$22</definedName>
    <definedName function="false" hidden="false" name="S2_honoraires_patrimoine_fav" vbProcedure="false">Hypotheses!$C$22</definedName>
    <definedName function="false" hidden="false" name="S2_ml_clotures" vbProcedure="false">Hypotheses!$D$402</definedName>
    <definedName function="false" hidden="false" name="S2_ml_clotures_def" vbProcedure="false">Hypotheses!$E$402</definedName>
    <definedName function="false" hidden="false" name="S2_ml_clotures_fav" vbProcedure="false">Hypotheses!$C$402</definedName>
    <definedName function="false" hidden="false" name="S2_nb_baies" vbProcedure="false">Hypotheses!$D$403</definedName>
    <definedName function="false" hidden="false" name="S2_nb_baies_def" vbProcedure="false">Hypotheses!$E$403</definedName>
    <definedName function="false" hidden="false" name="S2_nb_baies_fav" vbProcedure="false">Hypotheses!$C$403</definedName>
    <definedName function="false" hidden="false" name="S2_nb_boxes" vbProcedure="false">Hypotheses!$D$404</definedName>
    <definedName function="false" hidden="false" name="S2_nb_boxes_def" vbProcedure="false">Hypotheses!$E$404</definedName>
    <definedName function="false" hidden="false" name="S2_nb_boxes_fav" vbProcedure="false">Hypotheses!$C$404</definedName>
    <definedName function="false" hidden="false" name="S2_nb_chevaux" vbProcedure="false">Hypotheses!$D$405</definedName>
    <definedName function="false" hidden="false" name="S2_nb_chevaux_def" vbProcedure="false">Hypotheses!$E$405</definedName>
    <definedName function="false" hidden="false" name="S2_nb_chevaux_fav" vbProcedure="false">Hypotheses!$C$405</definedName>
    <definedName function="false" hidden="false" name="S2_prix_achat" vbProcedure="false">Hypotheses!$D$378</definedName>
    <definedName function="false" hidden="false" name="S2_prix_achat_def" vbProcedure="false">Hypotheses!$E$378</definedName>
    <definedName function="false" hidden="false" name="S2_prix_achat_fav" vbProcedure="false">Hypotheses!$C$378</definedName>
    <definedName function="false" hidden="false" name="S2_securite" vbProcedure="false">Hypotheses!$D$23</definedName>
    <definedName function="false" hidden="false" name="S2_securite_def" vbProcedure="false">Hypotheses!$E$23</definedName>
    <definedName function="false" hidden="false" name="S2_securite_fav" vbProcedure="false">Hypotheses!$C$23</definedName>
    <definedName function="false" hidden="false" name="S2_sol_div" vbProcedure="false">Hypotheses!$D$337</definedName>
    <definedName function="false" hidden="false" name="S2_sol_div_annees" vbProcedure="false">Hypotheses!$D$338</definedName>
    <definedName function="false" hidden="false" name="S2_sol_div_annees_def" vbProcedure="false">Hypotheses!$E$338</definedName>
    <definedName function="false" hidden="false" name="S2_sol_div_annees_fav" vbProcedure="false">Hypotheses!$C$338</definedName>
    <definedName function="false" hidden="false" name="S2_sol_div_def" vbProcedure="false">Hypotheses!$E$337</definedName>
    <definedName function="false" hidden="false" name="S2_sol_div_fav" vbProcedure="false">Hypotheses!$C$337</definedName>
    <definedName function="false" hidden="false" name="S2_sol_dotation0" vbProcedure="false">Hypotheses!$D$339</definedName>
    <definedName function="false" hidden="false" name="S2_sol_dotation0_def" vbProcedure="false">Hypotheses!$E$339</definedName>
    <definedName function="false" hidden="false" name="S2_sol_dotation0_fav" vbProcedure="false">Hypotheses!$C$339</definedName>
    <definedName function="false" hidden="false" name="S2_sol_reserve0" vbProcedure="false">Hypotheses!$D$340</definedName>
    <definedName function="false" hidden="false" name="S2_sol_reserve0_def" vbProcedure="false">Hypotheses!$E$340</definedName>
    <definedName function="false" hidden="false" name="S2_sol_reserve0_fav" vbProcedure="false">Hypotheses!$C$340</definedName>
    <definedName function="false" hidden="false" name="S2_surf_chateau" vbProcedure="false">Hypotheses!$D$406</definedName>
    <definedName function="false" hidden="false" name="S2_surf_chateau_def" vbProcedure="false">Hypotheses!$E$406</definedName>
    <definedName function="false" hidden="false" name="S2_surf_chateau_fav" vbProcedure="false">Hypotheses!$C$406</definedName>
    <definedName function="false" hidden="false" name="S2_surf_chauffee" vbProcedure="false">Hypotheses!$D$545</definedName>
    <definedName function="false" hidden="false" name="S2_surf_chauffee_def" vbProcedure="false">Hypotheses!$E$545</definedName>
    <definedName function="false" hidden="false" name="S2_surf_chauffee_fav" vbProcedure="false">Hypotheses!$C$545</definedName>
    <definedName function="false" hidden="false" name="S2_surf_dep" vbProcedure="false">Hypotheses!$D$407</definedName>
    <definedName function="false" hidden="false" name="S2_surf_dep_def" vbProcedure="false">Hypotheses!$E$407</definedName>
    <definedName function="false" hidden="false" name="S2_surf_dep_fav" vbProcedure="false">Hypotheses!$C$407</definedName>
    <definedName function="false" hidden="false" name="S2_surf_facades" vbProcedure="false">Hypotheses!$D$408</definedName>
    <definedName function="false" hidden="false" name="S2_surf_facades_def" vbProcedure="false">Hypotheses!$E$408</definedName>
    <definedName function="false" hidden="false" name="S2_surf_facades_fav" vbProcedure="false">Hypotheses!$C$408</definedName>
    <definedName function="false" hidden="false" name="S2_surf_manege" vbProcedure="false">Hypotheses!$D$409</definedName>
    <definedName function="false" hidden="false" name="S2_surf_manege_def" vbProcedure="false">Hypotheses!$E$409</definedName>
    <definedName function="false" hidden="false" name="S2_surf_manege_fav" vbProcedure="false">Hypotheses!$C$409</definedName>
    <definedName function="false" hidden="false" name="S2_surf_pistes" vbProcedure="false">Hypotheses!$D$410</definedName>
    <definedName function="false" hidden="false" name="S2_surf_pistes_def" vbProcedure="false">Hypotheses!$E$410</definedName>
    <definedName function="false" hidden="false" name="S2_surf_pistes_fav" vbProcedure="false">Hypotheses!$C$410</definedName>
    <definedName function="false" hidden="false" name="S2_surf_toits" vbProcedure="false">Hypotheses!$D$411</definedName>
    <definedName function="false" hidden="false" name="S2_surf_toits_def" vbProcedure="false">Hypotheses!$E$411</definedName>
    <definedName function="false" hidden="false" name="S2_surf_toits_fav" vbProcedure="false">Hypotheses!$C$411</definedName>
    <definedName function="false" hidden="false" name="S2_valeur_equip" vbProcedure="false">Hypotheses!$D$173</definedName>
    <definedName function="false" hidden="false" name="S2_valeur_equip_def" vbProcedure="false">Hypotheses!$E$173</definedName>
    <definedName function="false" hidden="false" name="S2_valeur_equip_fav" vbProcedure="false">Hypotheses!$C$173</definedName>
    <definedName function="false" hidden="false" name="S2_vr_m2" vbProcedure="false">Hypotheses!$D$24</definedName>
    <definedName function="false" hidden="false" name="S2_vr_m2_def" vbProcedure="false">Hypotheses!$E$24</definedName>
    <definedName function="false" hidden="false" name="S2_vr_m2_fav" vbProcedure="false">Hypotheses!$C$24</definedName>
    <definedName function="false" hidden="false" name="S3_admin" vbProcedure="false">Hypotheses!$D$10</definedName>
    <definedName function="false" hidden="false" name="S3_admin_def" vbProcedure="false">Hypotheses!$E$10</definedName>
    <definedName function="false" hidden="false" name="S3_admin_fav" vbProcedure="false">Hypotheses!$C$10</definedName>
    <definedName function="false" hidden="false" name="S3_assurances_autres" vbProcedure="false">Hypotheses!$D$11</definedName>
    <definedName function="false" hidden="false" name="S3_assurances_autres_def" vbProcedure="false">Hypotheses!$E$11</definedName>
    <definedName function="false" hidden="false" name="S3_assurances_autres_fav" vbProcedure="false">Hypotheses!$C$11</definedName>
    <definedName function="false" hidden="false" name="S3_cout_direction" vbProcedure="false">Hypotheses!$D$274</definedName>
    <definedName function="false" hidden="false" name="S3_cout_direction_def" vbProcedure="false">Hypotheses!$E$274</definedName>
    <definedName function="false" hidden="false" name="S3_cout_direction_fav" vbProcedure="false">Hypotheses!$C$274</definedName>
    <definedName function="false" hidden="false" name="S3_cout_gouvernance" vbProcedure="false">Hypotheses!$D$275</definedName>
    <definedName function="false" hidden="false" name="S3_cout_gouvernance_def" vbProcedure="false">Hypotheses!$E$275</definedName>
    <definedName function="false" hidden="false" name="S3_cout_gouvernance_fav" vbProcedure="false">Hypotheses!$C$275</definedName>
    <definedName function="false" hidden="false" name="S3_eau" vbProcedure="false">Hypotheses!$D$546</definedName>
    <definedName function="false" hidden="false" name="S3_eau_def" vbProcedure="false">Hypotheses!$E$546</definedName>
    <definedName function="false" hidden="false" name="S3_eau_fav" vbProcedure="false">Hypotheses!$C$546</definedName>
    <definedName function="false" hidden="false" name="S3_ech_bois" vbProcedure="false">Hypotheses!$D$369</definedName>
    <definedName function="false" hidden="false" name="S3_ech_bois_def" vbProcedure="false">Hypotheses!$E$369</definedName>
    <definedName function="false" hidden="false" name="S3_ech_bois_fav" vbProcedure="false">Hypotheses!$C$369</definedName>
    <definedName function="false" hidden="false" name="S3_ech_eq_ret" vbProcedure="false">Hypotheses!$D$370</definedName>
    <definedName function="false" hidden="false" name="S3_ech_eq_ret_def" vbProcedure="false">Hypotheses!$E$370</definedName>
    <definedName function="false" hidden="false" name="S3_ech_eq_ret_fav" vbProcedure="false">Hypotheses!$C$370</definedName>
    <definedName function="false" hidden="false" name="S3_ech_eq_std" vbProcedure="false">Hypotheses!$D$371</definedName>
    <definedName function="false" hidden="false" name="S3_ech_eq_std_def" vbProcedure="false">Hypotheses!$E$371</definedName>
    <definedName function="false" hidden="false" name="S3_ech_eq_std_fav" vbProcedure="false">Hypotheses!$C$371</definedName>
    <definedName function="false" hidden="false" name="S3_ech_log" vbProcedure="false">Hypotheses!$D$372</definedName>
    <definedName function="false" hidden="false" name="S3_ech_log_def" vbProcedure="false">Hypotheses!$E$372</definedName>
    <definedName function="false" hidden="false" name="S3_ech_log_fav" vbProcedure="false">Hypotheses!$C$372</definedName>
    <definedName function="false" hidden="false" name="S3_ech_pv" vbProcedure="false">Hypotheses!$D$373</definedName>
    <definedName function="false" hidden="false" name="S3_ech_pv_def" vbProcedure="false">Hypotheses!$E$373</definedName>
    <definedName function="false" hidden="false" name="S3_ech_pv_fav" vbProcedure="false">Hypotheses!$C$373</definedName>
    <definedName function="false" hidden="false" name="S3_ech_stock" vbProcedure="false">Hypotheses!$D$374</definedName>
    <definedName function="false" hidden="false" name="S3_ech_stock_def" vbProcedure="false">Hypotheses!$E$374</definedName>
    <definedName function="false" hidden="false" name="S3_ech_stock_fav" vbProcedure="false">Hypotheses!$C$374</definedName>
    <definedName function="false" hidden="false" name="S3_ech_tourn" vbProcedure="false">Hypotheses!$D$375</definedName>
    <definedName function="false" hidden="false" name="S3_ech_tourn_def" vbProcedure="false">Hypotheses!$E$375</definedName>
    <definedName function="false" hidden="false" name="S3_ech_tourn_fav" vbProcedure="false">Hypotheses!$C$375</definedName>
    <definedName function="false" hidden="false" name="S3_elec_kwh" vbProcedure="false">Hypotheses!$D$547</definedName>
    <definedName function="false" hidden="false" name="S3_elec_kwh_def" vbProcedure="false">Hypotheses!$E$547</definedName>
    <definedName function="false" hidden="false" name="S3_elec_kwh_fav" vbProcedure="false">Hypotheses!$C$547</definedName>
    <definedName function="false" hidden="false" name="S3_etp_admin" vbProcedure="false">Hypotheses!$D$305</definedName>
    <definedName function="false" hidden="false" name="S3_etp_admin_def" vbProcedure="false">Hypotheses!$E$305</definedName>
    <definedName function="false" hidden="false" name="S3_etp_admin_fav" vbProcedure="false">Hypotheses!$C$305</definedName>
    <definedName function="false" hidden="false" name="S3_etp_agricole" vbProcedure="false">Hypotheses!$D$306</definedName>
    <definedName function="false" hidden="false" name="S3_etp_agricole_def" vbProcedure="false">Hypotheses!$E$306</definedName>
    <definedName function="false" hidden="false" name="S3_etp_agricole_fav" vbProcedure="false">Hypotheses!$C$306</definedName>
    <definedName function="false" hidden="false" name="S3_etp_chef_jardinier" vbProcedure="false">Hypotheses!$D$307</definedName>
    <definedName function="false" hidden="false" name="S3_etp_chef_jardinier_def" vbProcedure="false">Hypotheses!$E$307</definedName>
    <definedName function="false" hidden="false" name="S3_etp_chef_jardinier_fav" vbProcedure="false">Hypotheses!$C$307</definedName>
    <definedName function="false" hidden="false" name="S3_etp_direction" vbProcedure="false">Hypotheses!$D$308</definedName>
    <definedName function="false" hidden="false" name="S3_etp_direction_def" vbProcedure="false">Hypotheses!$E$308</definedName>
    <definedName function="false" hidden="false" name="S3_etp_direction_fav" vbProcedure="false">Hypotheses!$C$308</definedName>
    <definedName function="false" hidden="false" name="S3_etp_entretien" vbProcedure="false">Hypotheses!$D$309</definedName>
    <definedName function="false" hidden="false" name="S3_etp_entretien_def" vbProcedure="false">Hypotheses!$E$309</definedName>
    <definedName function="false" hidden="false" name="S3_etp_entretien_fav" vbProcedure="false">Hypotheses!$C$309</definedName>
    <definedName function="false" hidden="false" name="S3_etp_gouvernance" vbProcedure="false">Hypotheses!$D$310</definedName>
    <definedName function="false" hidden="false" name="S3_etp_gouvernance_def" vbProcedure="false">Hypotheses!$E$310</definedName>
    <definedName function="false" hidden="false" name="S3_etp_gouvernance_fav" vbProcedure="false">Hypotheses!$C$310</definedName>
    <definedName function="false" hidden="false" name="S3_etp_jardin" vbProcedure="false">Hypotheses!$D$311</definedName>
    <definedName function="false" hidden="false" name="S3_etp_jardin_def" vbProcedure="false">Hypotheses!$E$311</definedName>
    <definedName function="false" hidden="false" name="S3_etp_jardin_fav" vbProcedure="false">Hypotheses!$C$311</definedName>
    <definedName function="false" hidden="false" name="S3_etp_maison" vbProcedure="false">Hypotheses!$D$312</definedName>
    <definedName function="false" hidden="false" name="S3_etp_maison_def" vbProcedure="false">Hypotheses!$E$312</definedName>
    <definedName function="false" hidden="false" name="S3_etp_maison_fav" vbProcedure="false">Hypotheses!$C$312</definedName>
    <definedName function="false" hidden="false" name="S3_etp_resp_ecurie" vbProcedure="false">Hypotheses!$D$313</definedName>
    <definedName function="false" hidden="false" name="S3_etp_resp_ecurie_def" vbProcedure="false">Hypotheses!$E$313</definedName>
    <definedName function="false" hidden="false" name="S3_etp_resp_ecurie_fav" vbProcedure="false">Hypotheses!$C$313</definedName>
    <definedName function="false" hidden="false" name="S3_etp_soigneur" vbProcedure="false">Hypotheses!$D$314</definedName>
    <definedName function="false" hidden="false" name="S3_etp_soigneur_def" vbProcedure="false">Hypotheses!$E$314</definedName>
    <definedName function="false" hidden="false" name="S3_etp_soigneur_fav" vbProcedure="false">Hypotheses!$C$314</definedName>
    <definedName function="false" hidden="false" name="S3_ha_bois" vbProcedure="false">Hypotheses!$D$412</definedName>
    <definedName function="false" hidden="false" name="S3_ha_bois_def" vbProcedure="false">Hypotheses!$E$412</definedName>
    <definedName function="false" hidden="false" name="S3_ha_bois_fav" vbProcedure="false">Hypotheses!$C$412</definedName>
    <definedName function="false" hidden="false" name="S3_ha_jardins" vbProcedure="false">Hypotheses!$D$413</definedName>
    <definedName function="false" hidden="false" name="S3_ha_jardins_def" vbProcedure="false">Hypotheses!$E$413</definedName>
    <definedName function="false" hidden="false" name="S3_ha_jardins_fav" vbProcedure="false">Hypotheses!$C$413</definedName>
    <definedName function="false" hidden="false" name="S3_ha_parc" vbProcedure="false">Hypotheses!$D$414</definedName>
    <definedName function="false" hidden="false" name="S3_ha_parc_def" vbProcedure="false">Hypotheses!$E$414</definedName>
    <definedName function="false" hidden="false" name="S3_ha_parc_fav" vbProcedure="false">Hypotheses!$C$414</definedName>
    <definedName function="false" hidden="false" name="S3_ha_prairies" vbProcedure="false">Hypotheses!$D$415</definedName>
    <definedName function="false" hidden="false" name="S3_ha_prairies_def" vbProcedure="false">Hypotheses!$E$415</definedName>
    <definedName function="false" hidden="false" name="S3_ha_prairies_fav" vbProcedure="false">Hypotheses!$C$415</definedName>
    <definedName function="false" hidden="false" name="S3_honoraires_patrimoine" vbProcedure="false">Hypotheses!$D$25</definedName>
    <definedName function="false" hidden="false" name="S3_honoraires_patrimoine_def" vbProcedure="false">Hypotheses!$E$25</definedName>
    <definedName function="false" hidden="false" name="S3_honoraires_patrimoine_fav" vbProcedure="false">Hypotheses!$C$25</definedName>
    <definedName function="false" hidden="false" name="S3_ml_clotures" vbProcedure="false">Hypotheses!$D$416</definedName>
    <definedName function="false" hidden="false" name="S3_ml_clotures_def" vbProcedure="false">Hypotheses!$E$416</definedName>
    <definedName function="false" hidden="false" name="S3_ml_clotures_fav" vbProcedure="false">Hypotheses!$C$416</definedName>
    <definedName function="false" hidden="false" name="S3_nb_baies" vbProcedure="false">Hypotheses!$D$417</definedName>
    <definedName function="false" hidden="false" name="S3_nb_baies_def" vbProcedure="false">Hypotheses!$E$417</definedName>
    <definedName function="false" hidden="false" name="S3_nb_baies_fav" vbProcedure="false">Hypotheses!$C$417</definedName>
    <definedName function="false" hidden="false" name="S3_nb_boxes" vbProcedure="false">Hypotheses!$D$418</definedName>
    <definedName function="false" hidden="false" name="S3_nb_boxes_def" vbProcedure="false">Hypotheses!$E$418</definedName>
    <definedName function="false" hidden="false" name="S3_nb_boxes_fav" vbProcedure="false">Hypotheses!$C$418</definedName>
    <definedName function="false" hidden="false" name="S3_nb_chevaux" vbProcedure="false">Hypotheses!$D$419</definedName>
    <definedName function="false" hidden="false" name="S3_nb_chevaux_def" vbProcedure="false">Hypotheses!$E$419</definedName>
    <definedName function="false" hidden="false" name="S3_nb_chevaux_fav" vbProcedure="false">Hypotheses!$C$419</definedName>
    <definedName function="false" hidden="false" name="S3_prix_achat" vbProcedure="false">Hypotheses!$D$379</definedName>
    <definedName function="false" hidden="false" name="S3_prix_achat_def" vbProcedure="false">Hypotheses!$E$379</definedName>
    <definedName function="false" hidden="false" name="S3_prix_achat_fav" vbProcedure="false">Hypotheses!$C$379</definedName>
    <definedName function="false" hidden="false" name="S3_securite" vbProcedure="false">Hypotheses!$D$26</definedName>
    <definedName function="false" hidden="false" name="S3_securite_def" vbProcedure="false">Hypotheses!$E$26</definedName>
    <definedName function="false" hidden="false" name="S3_securite_fav" vbProcedure="false">Hypotheses!$C$26</definedName>
    <definedName function="false" hidden="false" name="S3_sol_div" vbProcedure="false">Hypotheses!$D$341</definedName>
    <definedName function="false" hidden="false" name="S3_sol_div_annees" vbProcedure="false">Hypotheses!$D$342</definedName>
    <definedName function="false" hidden="false" name="S3_sol_div_annees_def" vbProcedure="false">Hypotheses!$E$342</definedName>
    <definedName function="false" hidden="false" name="S3_sol_div_annees_fav" vbProcedure="false">Hypotheses!$C$342</definedName>
    <definedName function="false" hidden="false" name="S3_sol_div_def" vbProcedure="false">Hypotheses!$E$341</definedName>
    <definedName function="false" hidden="false" name="S3_sol_div_fav" vbProcedure="false">Hypotheses!$C$341</definedName>
    <definedName function="false" hidden="false" name="S3_sol_dotation0" vbProcedure="false">Hypotheses!$D$343</definedName>
    <definedName function="false" hidden="false" name="S3_sol_dotation0_def" vbProcedure="false">Hypotheses!$E$343</definedName>
    <definedName function="false" hidden="false" name="S3_sol_dotation0_fav" vbProcedure="false">Hypotheses!$C$343</definedName>
    <definedName function="false" hidden="false" name="S3_sol_reserve0" vbProcedure="false">Hypotheses!$D$344</definedName>
    <definedName function="false" hidden="false" name="S3_sol_reserve0_def" vbProcedure="false">Hypotheses!$E$344</definedName>
    <definedName function="false" hidden="false" name="S3_sol_reserve0_fav" vbProcedure="false">Hypotheses!$C$344</definedName>
    <definedName function="false" hidden="false" name="S3_surf_chateau" vbProcedure="false">Hypotheses!$D$420</definedName>
    <definedName function="false" hidden="false" name="S3_surf_chateau_def" vbProcedure="false">Hypotheses!$E$420</definedName>
    <definedName function="false" hidden="false" name="S3_surf_chateau_fav" vbProcedure="false">Hypotheses!$C$420</definedName>
    <definedName function="false" hidden="false" name="S3_surf_chauffee" vbProcedure="false">Hypotheses!$D$548</definedName>
    <definedName function="false" hidden="false" name="S3_surf_chauffee_def" vbProcedure="false">Hypotheses!$E$548</definedName>
    <definedName function="false" hidden="false" name="S3_surf_chauffee_fav" vbProcedure="false">Hypotheses!$C$548</definedName>
    <definedName function="false" hidden="false" name="S3_surf_dep" vbProcedure="false">Hypotheses!$D$421</definedName>
    <definedName function="false" hidden="false" name="S3_surf_dep_def" vbProcedure="false">Hypotheses!$E$421</definedName>
    <definedName function="false" hidden="false" name="S3_surf_dep_fav" vbProcedure="false">Hypotheses!$C$421</definedName>
    <definedName function="false" hidden="false" name="S3_surf_facades" vbProcedure="false">Hypotheses!$D$422</definedName>
    <definedName function="false" hidden="false" name="S3_surf_facades_def" vbProcedure="false">Hypotheses!$E$422</definedName>
    <definedName function="false" hidden="false" name="S3_surf_facades_fav" vbProcedure="false">Hypotheses!$C$422</definedName>
    <definedName function="false" hidden="false" name="S3_surf_manege" vbProcedure="false">Hypotheses!$D$423</definedName>
    <definedName function="false" hidden="false" name="S3_surf_manege_def" vbProcedure="false">Hypotheses!$E$423</definedName>
    <definedName function="false" hidden="false" name="S3_surf_manege_fav" vbProcedure="false">Hypotheses!$C$423</definedName>
    <definedName function="false" hidden="false" name="S3_surf_pistes" vbProcedure="false">Hypotheses!$D$424</definedName>
    <definedName function="false" hidden="false" name="S3_surf_pistes_def" vbProcedure="false">Hypotheses!$E$424</definedName>
    <definedName function="false" hidden="false" name="S3_surf_pistes_fav" vbProcedure="false">Hypotheses!$C$424</definedName>
    <definedName function="false" hidden="false" name="S3_surf_toits" vbProcedure="false">Hypotheses!$D$425</definedName>
    <definedName function="false" hidden="false" name="S3_surf_toits_def" vbProcedure="false">Hypotheses!$E$425</definedName>
    <definedName function="false" hidden="false" name="S3_surf_toits_fav" vbProcedure="false">Hypotheses!$C$425</definedName>
    <definedName function="false" hidden="false" name="S3_valeur_equip" vbProcedure="false">Hypotheses!$D$174</definedName>
    <definedName function="false" hidden="false" name="S3_valeur_equip_def" vbProcedure="false">Hypotheses!$E$174</definedName>
    <definedName function="false" hidden="false" name="S3_valeur_equip_fav" vbProcedure="false">Hypotheses!$C$174</definedName>
    <definedName function="false" hidden="false" name="S3_vr_m2" vbProcedure="false">Hypotheses!$D$27</definedName>
    <definedName function="false" hidden="false" name="S3_vr_m2_def" vbProcedure="false">Hypotheses!$E$27</definedName>
    <definedName function="false" hidden="false" name="S3_vr_m2_fav" vbProcedure="false">Hypotheses!$C$27</definedName>
    <definedName function="false" hidden="false" name="semj_jours" vbProcedure="false">Hypotheses!$D$257</definedName>
    <definedName function="false" hidden="false" name="semj_jours_def" vbProcedure="false">Hypotheses!$E$257</definedName>
    <definedName function="false" hidden="false" name="semj_jours_fav" vbProcedure="false">Hypotheses!$C$257</definedName>
    <definedName function="false" hidden="false" name="semj_marge" vbProcedure="false">Hypotheses!$D$258</definedName>
    <definedName function="false" hidden="false" name="semj_marge_def" vbProcedure="false">Hypotheses!$E$258</definedName>
    <definedName function="false" hidden="false" name="semj_marge_fav" vbProcedure="false">Hypotheses!$C$258</definedName>
    <definedName function="false" hidden="false" name="semj_pers" vbProcedure="false">Hypotheses!$D$259</definedName>
    <definedName function="false" hidden="false" name="semj_pers_def" vbProcedure="false">Hypotheses!$E$259</definedName>
    <definedName function="false" hidden="false" name="semj_pers_fav" vbProcedure="false">Hypotheses!$C$259</definedName>
    <definedName function="false" hidden="false" name="semj_prix" vbProcedure="false">Hypotheses!$D$260</definedName>
    <definedName function="false" hidden="false" name="semj_prix_def" vbProcedure="false">Hypotheses!$E$260</definedName>
    <definedName function="false" hidden="false" name="semj_prix_fav" vbProcedure="false">Hypotheses!$C$260</definedName>
    <definedName function="false" hidden="false" name="sol_cout_m2" vbProcedure="false">Hypotheses!$D$187</definedName>
    <definedName function="false" hidden="false" name="sol_cout_m2_def" vbProcedure="false">Hypotheses!$E$187</definedName>
    <definedName function="false" hidden="false" name="sol_cout_m2_fav" vbProcedure="false">Hypotheses!$C$187</definedName>
    <definedName function="false" hidden="false" name="sol_vie" vbProcedure="false">Hypotheses!$D$188</definedName>
    <definedName function="false" hidden="false" name="sol_vie_def" vbProcedure="false">Hypotheses!$E$188</definedName>
    <definedName function="false" hidden="false" name="sol_vie_fav" vbProcedure="false">Hypotheses!$C$188</definedName>
    <definedName function="false" hidden="false" name="stock_capex" vbProcedure="false">Hypotheses!$D$261</definedName>
    <definedName function="false" hidden="false" name="stock_capex_def" vbProcedure="false">Hypotheses!$E$261</definedName>
    <definedName function="false" hidden="false" name="stock_capex_fav" vbProcedure="false">Hypotheses!$C$261</definedName>
    <definedName function="false" hidden="false" name="stock_occ" vbProcedure="false">Hypotheses!$D$262</definedName>
    <definedName function="false" hidden="false" name="stock_occ_def" vbProcedure="false">Hypotheses!$E$262</definedName>
    <definedName function="false" hidden="false" name="stock_occ_fav" vbProcedure="false">Hypotheses!$C$262</definedName>
    <definedName function="false" hidden="false" name="stock_places" vbProcedure="false">Hypotheses!$D$263</definedName>
    <definedName function="false" hidden="false" name="stock_places_def" vbProcedure="false">Hypotheses!$E$263</definedName>
    <definedName function="false" hidden="false" name="stock_places_fav" vbProcedure="false">Hypotheses!$C$263</definedName>
    <definedName function="false" hidden="false" name="stock_prix" vbProcedure="false">Hypotheses!$D$264</definedName>
    <definedName function="false" hidden="false" name="stock_prix_def" vbProcedure="false">Hypotheses!$E$264</definedName>
    <definedName function="false" hidden="false" name="stock_prix_fav" vbProcedure="false">Hypotheses!$C$264</definedName>
    <definedName function="false" hidden="false" name="st_ca30_choc_trav_an" vbProcedure="false">Hypotheses!$D$427</definedName>
    <definedName function="false" hidden="false" name="st_ca30_choc_trav_an_def" vbProcedure="false">Hypotheses!$E$427</definedName>
    <definedName function="false" hidden="false" name="st_ca30_choc_trav_an_fav" vbProcedure="false">Hypotheses!$C$427</definedName>
    <definedName function="false" hidden="false" name="st_ca30_choc_trav_montant" vbProcedure="false">Hypotheses!$D$428</definedName>
    <definedName function="false" hidden="false" name="st_ca30_choc_trav_montant_def" vbProcedure="false">Hypotheses!$E$428</definedName>
    <definedName function="false" hidden="false" name="st_ca30_choc_trav_montant_fav" vbProcedure="false">Hypotheses!$C$428</definedName>
    <definedName function="false" hidden="false" name="st_ca30_crise_an" vbProcedure="false">Hypotheses!$D$429</definedName>
    <definedName function="false" hidden="false" name="st_ca30_crise_an_def" vbProcedure="false">Hypotheses!$E$429</definedName>
    <definedName function="false" hidden="false" name="st_ca30_crise_an_fav" vbProcedure="false">Hypotheses!$C$429</definedName>
    <definedName function="false" hidden="false" name="st_ca30_debut_mult" vbProcedure="false">Hypotheses!$D$430</definedName>
    <definedName function="false" hidden="false" name="st_ca30_debut_mult_def" vbProcedure="false">Hypotheses!$E$430</definedName>
    <definedName function="false" hidden="false" name="st_ca30_debut_mult_fav" vbProcedure="false">Hypotheses!$C$430</definedName>
    <definedName function="false" hidden="false" name="st_ca30_div_fin" vbProcedure="false">Hypotheses!$D$431</definedName>
    <definedName function="false" hidden="false" name="st_ca30_div_fin_def" vbProcedure="false">Hypotheses!$E$431</definedName>
    <definedName function="false" hidden="false" name="st_ca30_div_fin_fav" vbProcedure="false">Hypotheses!$C$431</definedName>
    <definedName function="false" hidden="false" name="st_ca30_dot_rdt_delta" vbProcedure="false">Hypotheses!$D$432</definedName>
    <definedName function="false" hidden="false" name="st_ca30_dot_rdt_delta_def" vbProcedure="false">Hypotheses!$E$432</definedName>
    <definedName function="false" hidden="false" name="st_ca30_dot_rdt_delta_fav" vbProcedure="false">Hypotheses!$C$432</definedName>
    <definedName function="false" hidden="false" name="st_ca30_energie_debut" vbProcedure="false">Hypotheses!$D$433</definedName>
    <definedName function="false" hidden="false" name="st_ca30_energie_debut_def" vbProcedure="false">Hypotheses!$E$433</definedName>
    <definedName function="false" hidden="false" name="st_ca30_energie_debut_fav" vbProcedure="false">Hypotheses!$C$433</definedName>
    <definedName function="false" hidden="false" name="st_ca30_energie_fin" vbProcedure="false">Hypotheses!$D$434</definedName>
    <definedName function="false" hidden="false" name="st_ca30_energie_fin_def" vbProcedure="false">Hypotheses!$E$434</definedName>
    <definedName function="false" hidden="false" name="st_ca30_energie_fin_fav" vbProcedure="false">Hypotheses!$C$434</definedName>
    <definedName function="false" hidden="false" name="st_ca30_energie_mult" vbProcedure="false">Hypotheses!$D$435</definedName>
    <definedName function="false" hidden="false" name="st_ca30_energie_mult_def" vbProcedure="false">Hypotheses!$E$435</definedName>
    <definedName function="false" hidden="false" name="st_ca30_energie_mult_fav" vbProcedure="false">Hypotheses!$C$435</definedName>
    <definedName function="false" hidden="false" name="st_ca30_g_sal_extra" vbProcedure="false">Hypotheses!$D$436</definedName>
    <definedName function="false" hidden="false" name="st_ca30_g_sal_extra_def" vbProcedure="false">Hypotheses!$E$436</definedName>
    <definedName function="false" hidden="false" name="st_ca30_g_sal_extra_fav" vbProcedure="false">Hypotheses!$C$436</definedName>
    <definedName function="false" hidden="false" name="st_ca30_mult_A" vbProcedure="false">Hypotheses!$D$437</definedName>
    <definedName function="false" hidden="false" name="st_ca30_mult_A_def" vbProcedure="false">Hypotheses!$E$437</definedName>
    <definedName function="false" hidden="false" name="st_ca30_mult_A_fav" vbProcedure="false">Hypotheses!$C$437</definedName>
    <definedName function="false" hidden="false" name="st_ca30_mult_B" vbProcedure="false">Hypotheses!$D$438</definedName>
    <definedName function="false" hidden="false" name="st_ca30_mult_B_def" vbProcedure="false">Hypotheses!$E$438</definedName>
    <definedName function="false" hidden="false" name="st_ca30_mult_B_fav" vbProcedure="false">Hypotheses!$C$438</definedName>
    <definedName function="false" hidden="false" name="st_ca30_mult_C" vbProcedure="false">Hypotheses!$D$439</definedName>
    <definedName function="false" hidden="false" name="st_ca30_mult_campagne" vbProcedure="false">Hypotheses!$D$440</definedName>
    <definedName function="false" hidden="false" name="st_ca30_mult_campagne_def" vbProcedure="false">Hypotheses!$E$440</definedName>
    <definedName function="false" hidden="false" name="st_ca30_mult_campagne_fav" vbProcedure="false">Hypotheses!$C$440</definedName>
    <definedName function="false" hidden="false" name="st_ca30_mult_C_def" vbProcedure="false">Hypotheses!$E$439</definedName>
    <definedName function="false" hidden="false" name="st_ca30_mult_C_fav" vbProcedure="false">Hypotheses!$C$439</definedName>
    <definedName function="false" hidden="false" name="st_central_choc_trav_an" vbProcedure="false">Hypotheses!$D$441</definedName>
    <definedName function="false" hidden="false" name="st_central_choc_trav_an_def" vbProcedure="false">Hypotheses!$E$441</definedName>
    <definedName function="false" hidden="false" name="st_central_choc_trav_an_fav" vbProcedure="false">Hypotheses!$C$441</definedName>
    <definedName function="false" hidden="false" name="st_central_choc_trav_montant" vbProcedure="false">Hypotheses!$D$442</definedName>
    <definedName function="false" hidden="false" name="st_central_choc_trav_montant_def" vbProcedure="false">Hypotheses!$E$442</definedName>
    <definedName function="false" hidden="false" name="st_central_choc_trav_montant_fav" vbProcedure="false">Hypotheses!$C$442</definedName>
    <definedName function="false" hidden="false" name="st_central_crise_an" vbProcedure="false">Hypotheses!$D$443</definedName>
    <definedName function="false" hidden="false" name="st_central_crise_an_def" vbProcedure="false">Hypotheses!$E$443</definedName>
    <definedName function="false" hidden="false" name="st_central_crise_an_fav" vbProcedure="false">Hypotheses!$C$443</definedName>
    <definedName function="false" hidden="false" name="st_central_debut_mult" vbProcedure="false">Hypotheses!$D$444</definedName>
    <definedName function="false" hidden="false" name="st_central_debut_mult_def" vbProcedure="false">Hypotheses!$E$444</definedName>
    <definedName function="false" hidden="false" name="st_central_debut_mult_fav" vbProcedure="false">Hypotheses!$C$444</definedName>
    <definedName function="false" hidden="false" name="st_central_div_fin" vbProcedure="false">Hypotheses!$D$445</definedName>
    <definedName function="false" hidden="false" name="st_central_div_fin_def" vbProcedure="false">Hypotheses!$E$445</definedName>
    <definedName function="false" hidden="false" name="st_central_div_fin_fav" vbProcedure="false">Hypotheses!$C$445</definedName>
    <definedName function="false" hidden="false" name="st_central_dot_rdt_delta" vbProcedure="false">Hypotheses!$D$446</definedName>
    <definedName function="false" hidden="false" name="st_central_dot_rdt_delta_def" vbProcedure="false">Hypotheses!$E$446</definedName>
    <definedName function="false" hidden="false" name="st_central_dot_rdt_delta_fav" vbProcedure="false">Hypotheses!$C$446</definedName>
    <definedName function="false" hidden="false" name="st_central_energie_debut" vbProcedure="false">Hypotheses!$D$447</definedName>
    <definedName function="false" hidden="false" name="st_central_energie_debut_def" vbProcedure="false">Hypotheses!$E$447</definedName>
    <definedName function="false" hidden="false" name="st_central_energie_debut_fav" vbProcedure="false">Hypotheses!$C$447</definedName>
    <definedName function="false" hidden="false" name="st_central_energie_fin" vbProcedure="false">Hypotheses!$D$448</definedName>
    <definedName function="false" hidden="false" name="st_central_energie_fin_def" vbProcedure="false">Hypotheses!$E$448</definedName>
    <definedName function="false" hidden="false" name="st_central_energie_fin_fav" vbProcedure="false">Hypotheses!$C$448</definedName>
    <definedName function="false" hidden="false" name="st_central_energie_mult" vbProcedure="false">Hypotheses!$D$449</definedName>
    <definedName function="false" hidden="false" name="st_central_energie_mult_def" vbProcedure="false">Hypotheses!$E$449</definedName>
    <definedName function="false" hidden="false" name="st_central_energie_mult_fav" vbProcedure="false">Hypotheses!$C$449</definedName>
    <definedName function="false" hidden="false" name="st_central_g_sal_extra" vbProcedure="false">Hypotheses!$D$450</definedName>
    <definedName function="false" hidden="false" name="st_central_g_sal_extra_def" vbProcedure="false">Hypotheses!$E$450</definedName>
    <definedName function="false" hidden="false" name="st_central_g_sal_extra_fav" vbProcedure="false">Hypotheses!$C$450</definedName>
    <definedName function="false" hidden="false" name="st_central_mult_A" vbProcedure="false">Hypotheses!$D$451</definedName>
    <definedName function="false" hidden="false" name="st_central_mult_A_def" vbProcedure="false">Hypotheses!$E$451</definedName>
    <definedName function="false" hidden="false" name="st_central_mult_A_fav" vbProcedure="false">Hypotheses!$C$451</definedName>
    <definedName function="false" hidden="false" name="st_central_mult_B" vbProcedure="false">Hypotheses!$D$452</definedName>
    <definedName function="false" hidden="false" name="st_central_mult_B_def" vbProcedure="false">Hypotheses!$E$452</definedName>
    <definedName function="false" hidden="false" name="st_central_mult_B_fav" vbProcedure="false">Hypotheses!$C$452</definedName>
    <definedName function="false" hidden="false" name="st_central_mult_C" vbProcedure="false">Hypotheses!$D$453</definedName>
    <definedName function="false" hidden="false" name="st_central_mult_campagne" vbProcedure="false">Hypotheses!$D$454</definedName>
    <definedName function="false" hidden="false" name="st_central_mult_campagne_def" vbProcedure="false">Hypotheses!$E$454</definedName>
    <definedName function="false" hidden="false" name="st_central_mult_campagne_fav" vbProcedure="false">Hypotheses!$C$454</definedName>
    <definedName function="false" hidden="false" name="st_central_mult_C_def" vbProcedure="false">Hypotheses!$E$453</definedName>
    <definedName function="false" hidden="false" name="st_central_mult_C_fav" vbProcedure="false">Hypotheses!$C$453</definedName>
    <definedName function="false" hidden="false" name="st_crise_choc_trav_an" vbProcedure="false">Hypotheses!$D$455</definedName>
    <definedName function="false" hidden="false" name="st_crise_choc_trav_an_def" vbProcedure="false">Hypotheses!$E$455</definedName>
    <definedName function="false" hidden="false" name="st_crise_choc_trav_an_fav" vbProcedure="false">Hypotheses!$C$455</definedName>
    <definedName function="false" hidden="false" name="st_crise_choc_trav_montant" vbProcedure="false">Hypotheses!$D$456</definedName>
    <definedName function="false" hidden="false" name="st_crise_choc_trav_montant_def" vbProcedure="false">Hypotheses!$E$456</definedName>
    <definedName function="false" hidden="false" name="st_crise_choc_trav_montant_fav" vbProcedure="false">Hypotheses!$C$456</definedName>
    <definedName function="false" hidden="false" name="st_crise_crise_an" vbProcedure="false">Hypotheses!$D$457</definedName>
    <definedName function="false" hidden="false" name="st_crise_crise_an_def" vbProcedure="false">Hypotheses!$E$457</definedName>
    <definedName function="false" hidden="false" name="st_crise_crise_an_fav" vbProcedure="false">Hypotheses!$C$457</definedName>
    <definedName function="false" hidden="false" name="st_crise_debut_mult" vbProcedure="false">Hypotheses!$D$458</definedName>
    <definedName function="false" hidden="false" name="st_crise_debut_mult_def" vbProcedure="false">Hypotheses!$E$458</definedName>
    <definedName function="false" hidden="false" name="st_crise_debut_mult_fav" vbProcedure="false">Hypotheses!$C$458</definedName>
    <definedName function="false" hidden="false" name="st_crise_div_fin" vbProcedure="false">Hypotheses!$D$459</definedName>
    <definedName function="false" hidden="false" name="st_crise_div_fin_def" vbProcedure="false">Hypotheses!$E$459</definedName>
    <definedName function="false" hidden="false" name="st_crise_div_fin_fav" vbProcedure="false">Hypotheses!$C$459</definedName>
    <definedName function="false" hidden="false" name="st_crise_dot_rdt_delta" vbProcedure="false">Hypotheses!$D$460</definedName>
    <definedName function="false" hidden="false" name="st_crise_dot_rdt_delta_def" vbProcedure="false">Hypotheses!$E$460</definedName>
    <definedName function="false" hidden="false" name="st_crise_dot_rdt_delta_fav" vbProcedure="false">Hypotheses!$C$460</definedName>
    <definedName function="false" hidden="false" name="st_crise_energie_debut" vbProcedure="false">Hypotheses!$D$461</definedName>
    <definedName function="false" hidden="false" name="st_crise_energie_debut_def" vbProcedure="false">Hypotheses!$E$461</definedName>
    <definedName function="false" hidden="false" name="st_crise_energie_debut_fav" vbProcedure="false">Hypotheses!$C$461</definedName>
    <definedName function="false" hidden="false" name="st_crise_energie_fin" vbProcedure="false">Hypotheses!$D$462</definedName>
    <definedName function="false" hidden="false" name="st_crise_energie_fin_def" vbProcedure="false">Hypotheses!$E$462</definedName>
    <definedName function="false" hidden="false" name="st_crise_energie_fin_fav" vbProcedure="false">Hypotheses!$C$462</definedName>
    <definedName function="false" hidden="false" name="st_crise_energie_mult" vbProcedure="false">Hypotheses!$D$463</definedName>
    <definedName function="false" hidden="false" name="st_crise_energie_mult_def" vbProcedure="false">Hypotheses!$E$463</definedName>
    <definedName function="false" hidden="false" name="st_crise_energie_mult_fav" vbProcedure="false">Hypotheses!$C$463</definedName>
    <definedName function="false" hidden="false" name="st_crise_g_sal_extra" vbProcedure="false">Hypotheses!$D$464</definedName>
    <definedName function="false" hidden="false" name="st_crise_g_sal_extra_def" vbProcedure="false">Hypotheses!$E$464</definedName>
    <definedName function="false" hidden="false" name="st_crise_g_sal_extra_fav" vbProcedure="false">Hypotheses!$C$464</definedName>
    <definedName function="false" hidden="false" name="st_crise_mult_A" vbProcedure="false">Hypotheses!$D$465</definedName>
    <definedName function="false" hidden="false" name="st_crise_mult_A_def" vbProcedure="false">Hypotheses!$E$465</definedName>
    <definedName function="false" hidden="false" name="st_crise_mult_A_fav" vbProcedure="false">Hypotheses!$C$465</definedName>
    <definedName function="false" hidden="false" name="st_crise_mult_B" vbProcedure="false">Hypotheses!$D$466</definedName>
    <definedName function="false" hidden="false" name="st_crise_mult_B_def" vbProcedure="false">Hypotheses!$E$466</definedName>
    <definedName function="false" hidden="false" name="st_crise_mult_B_fav" vbProcedure="false">Hypotheses!$C$466</definedName>
    <definedName function="false" hidden="false" name="st_crise_mult_C" vbProcedure="false">Hypotheses!$D$467</definedName>
    <definedName function="false" hidden="false" name="st_crise_mult_campagne" vbProcedure="false">Hypotheses!$D$468</definedName>
    <definedName function="false" hidden="false" name="st_crise_mult_campagne_def" vbProcedure="false">Hypotheses!$E$468</definedName>
    <definedName function="false" hidden="false" name="st_crise_mult_campagne_fav" vbProcedure="false">Hypotheses!$C$468</definedName>
    <definedName function="false" hidden="false" name="st_crise_mult_C_def" vbProcedure="false">Hypotheses!$E$467</definedName>
    <definedName function="false" hidden="false" name="st_crise_mult_C_fav" vbProcedure="false">Hypotheses!$C$467</definedName>
    <definedName function="false" hidden="false" name="st_cumul_choc_trav_an" vbProcedure="false">Hypotheses!$D$469</definedName>
    <definedName function="false" hidden="false" name="st_cumul_choc_trav_an_def" vbProcedure="false">Hypotheses!$E$469</definedName>
    <definedName function="false" hidden="false" name="st_cumul_choc_trav_an_fav" vbProcedure="false">Hypotheses!$C$469</definedName>
    <definedName function="false" hidden="false" name="st_cumul_choc_trav_montant" vbProcedure="false">Hypotheses!$D$470</definedName>
    <definedName function="false" hidden="false" name="st_cumul_choc_trav_montant_def" vbProcedure="false">Hypotheses!$E$470</definedName>
    <definedName function="false" hidden="false" name="st_cumul_choc_trav_montant_fav" vbProcedure="false">Hypotheses!$C$470</definedName>
    <definedName function="false" hidden="false" name="st_cumul_crise_an" vbProcedure="false">Hypotheses!$D$471</definedName>
    <definedName function="false" hidden="false" name="st_cumul_crise_an_def" vbProcedure="false">Hypotheses!$E$471</definedName>
    <definedName function="false" hidden="false" name="st_cumul_crise_an_fav" vbProcedure="false">Hypotheses!$C$471</definedName>
    <definedName function="false" hidden="false" name="st_cumul_debut_mult" vbProcedure="false">Hypotheses!$D$472</definedName>
    <definedName function="false" hidden="false" name="st_cumul_debut_mult_def" vbProcedure="false">Hypotheses!$E$472</definedName>
    <definedName function="false" hidden="false" name="st_cumul_debut_mult_fav" vbProcedure="false">Hypotheses!$C$472</definedName>
    <definedName function="false" hidden="false" name="st_cumul_div_fin" vbProcedure="false">Hypotheses!$D$473</definedName>
    <definedName function="false" hidden="false" name="st_cumul_div_fin_def" vbProcedure="false">Hypotheses!$E$473</definedName>
    <definedName function="false" hidden="false" name="st_cumul_div_fin_fav" vbProcedure="false">Hypotheses!$C$473</definedName>
    <definedName function="false" hidden="false" name="st_cumul_dot_rdt_delta" vbProcedure="false">Hypotheses!$D$474</definedName>
    <definedName function="false" hidden="false" name="st_cumul_dot_rdt_delta_def" vbProcedure="false">Hypotheses!$E$474</definedName>
    <definedName function="false" hidden="false" name="st_cumul_dot_rdt_delta_fav" vbProcedure="false">Hypotheses!$C$474</definedName>
    <definedName function="false" hidden="false" name="st_cumul_energie_debut" vbProcedure="false">Hypotheses!$D$475</definedName>
    <definedName function="false" hidden="false" name="st_cumul_energie_debut_def" vbProcedure="false">Hypotheses!$E$475</definedName>
    <definedName function="false" hidden="false" name="st_cumul_energie_debut_fav" vbProcedure="false">Hypotheses!$C$475</definedName>
    <definedName function="false" hidden="false" name="st_cumul_energie_fin" vbProcedure="false">Hypotheses!$D$476</definedName>
    <definedName function="false" hidden="false" name="st_cumul_energie_fin_def" vbProcedure="false">Hypotheses!$E$476</definedName>
    <definedName function="false" hidden="false" name="st_cumul_energie_fin_fav" vbProcedure="false">Hypotheses!$C$476</definedName>
    <definedName function="false" hidden="false" name="st_cumul_energie_mult" vbProcedure="false">Hypotheses!$D$477</definedName>
    <definedName function="false" hidden="false" name="st_cumul_energie_mult_def" vbProcedure="false">Hypotheses!$E$477</definedName>
    <definedName function="false" hidden="false" name="st_cumul_energie_mult_fav" vbProcedure="false">Hypotheses!$C$477</definedName>
    <definedName function="false" hidden="false" name="st_cumul_g_sal_extra" vbProcedure="false">Hypotheses!$D$478</definedName>
    <definedName function="false" hidden="false" name="st_cumul_g_sal_extra_def" vbProcedure="false">Hypotheses!$E$478</definedName>
    <definedName function="false" hidden="false" name="st_cumul_g_sal_extra_fav" vbProcedure="false">Hypotheses!$C$478</definedName>
    <definedName function="false" hidden="false" name="st_cumul_mult_A" vbProcedure="false">Hypotheses!$D$479</definedName>
    <definedName function="false" hidden="false" name="st_cumul_mult_A_def" vbProcedure="false">Hypotheses!$E$479</definedName>
    <definedName function="false" hidden="false" name="st_cumul_mult_A_fav" vbProcedure="false">Hypotheses!$C$479</definedName>
    <definedName function="false" hidden="false" name="st_cumul_mult_B" vbProcedure="false">Hypotheses!$D$480</definedName>
    <definedName function="false" hidden="false" name="st_cumul_mult_B_def" vbProcedure="false">Hypotheses!$E$480</definedName>
    <definedName function="false" hidden="false" name="st_cumul_mult_B_fav" vbProcedure="false">Hypotheses!$C$480</definedName>
    <definedName function="false" hidden="false" name="st_cumul_mult_C" vbProcedure="false">Hypotheses!$D$481</definedName>
    <definedName function="false" hidden="false" name="st_cumul_mult_campagne" vbProcedure="false">Hypotheses!$D$482</definedName>
    <definedName function="false" hidden="false" name="st_cumul_mult_campagne_def" vbProcedure="false">Hypotheses!$E$482</definedName>
    <definedName function="false" hidden="false" name="st_cumul_mult_campagne_fav" vbProcedure="false">Hypotheses!$C$482</definedName>
    <definedName function="false" hidden="false" name="st_cumul_mult_C_def" vbProcedure="false">Hypotheses!$E$481</definedName>
    <definedName function="false" hidden="false" name="st_cumul_mult_C_fav" vbProcedure="false">Hypotheses!$C$481</definedName>
    <definedName function="false" hidden="false" name="st_energie_choc_trav_an" vbProcedure="false">Hypotheses!$D$483</definedName>
    <definedName function="false" hidden="false" name="st_energie_choc_trav_an_def" vbProcedure="false">Hypotheses!$E$483</definedName>
    <definedName function="false" hidden="false" name="st_energie_choc_trav_an_fav" vbProcedure="false">Hypotheses!$C$483</definedName>
    <definedName function="false" hidden="false" name="st_energie_choc_trav_montant" vbProcedure="false">Hypotheses!$D$484</definedName>
    <definedName function="false" hidden="false" name="st_energie_choc_trav_montant_def" vbProcedure="false">Hypotheses!$E$484</definedName>
    <definedName function="false" hidden="false" name="st_energie_choc_trav_montant_fav" vbProcedure="false">Hypotheses!$C$484</definedName>
    <definedName function="false" hidden="false" name="st_energie_crise_an" vbProcedure="false">Hypotheses!$D$485</definedName>
    <definedName function="false" hidden="false" name="st_energie_crise_an_def" vbProcedure="false">Hypotheses!$E$485</definedName>
    <definedName function="false" hidden="false" name="st_energie_crise_an_fav" vbProcedure="false">Hypotheses!$C$485</definedName>
    <definedName function="false" hidden="false" name="st_energie_debut_mult" vbProcedure="false">Hypotheses!$D$486</definedName>
    <definedName function="false" hidden="false" name="st_energie_debut_mult_def" vbProcedure="false">Hypotheses!$E$486</definedName>
    <definedName function="false" hidden="false" name="st_energie_debut_mult_fav" vbProcedure="false">Hypotheses!$C$486</definedName>
    <definedName function="false" hidden="false" name="st_energie_div_fin" vbProcedure="false">Hypotheses!$D$487</definedName>
    <definedName function="false" hidden="false" name="st_energie_div_fin_def" vbProcedure="false">Hypotheses!$E$487</definedName>
    <definedName function="false" hidden="false" name="st_energie_div_fin_fav" vbProcedure="false">Hypotheses!$C$487</definedName>
    <definedName function="false" hidden="false" name="st_energie_dot_rdt_delta" vbProcedure="false">Hypotheses!$D$488</definedName>
    <definedName function="false" hidden="false" name="st_energie_dot_rdt_delta_def" vbProcedure="false">Hypotheses!$E$488</definedName>
    <definedName function="false" hidden="false" name="st_energie_dot_rdt_delta_fav" vbProcedure="false">Hypotheses!$C$488</definedName>
    <definedName function="false" hidden="false" name="st_energie_energie_debut" vbProcedure="false">Hypotheses!$D$489</definedName>
    <definedName function="false" hidden="false" name="st_energie_energie_debut_def" vbProcedure="false">Hypotheses!$E$489</definedName>
    <definedName function="false" hidden="false" name="st_energie_energie_debut_fav" vbProcedure="false">Hypotheses!$C$489</definedName>
    <definedName function="false" hidden="false" name="st_energie_energie_fin" vbProcedure="false">Hypotheses!$D$490</definedName>
    <definedName function="false" hidden="false" name="st_energie_energie_fin_def" vbProcedure="false">Hypotheses!$E$490</definedName>
    <definedName function="false" hidden="false" name="st_energie_energie_fin_fav" vbProcedure="false">Hypotheses!$C$490</definedName>
    <definedName function="false" hidden="false" name="st_energie_energie_mult" vbProcedure="false">Hypotheses!$D$491</definedName>
    <definedName function="false" hidden="false" name="st_energie_energie_mult_def" vbProcedure="false">Hypotheses!$E$491</definedName>
    <definedName function="false" hidden="false" name="st_energie_energie_mult_fav" vbProcedure="false">Hypotheses!$C$491</definedName>
    <definedName function="false" hidden="false" name="st_energie_g_sal_extra" vbProcedure="false">Hypotheses!$D$492</definedName>
    <definedName function="false" hidden="false" name="st_energie_g_sal_extra_def" vbProcedure="false">Hypotheses!$E$492</definedName>
    <definedName function="false" hidden="false" name="st_energie_g_sal_extra_fav" vbProcedure="false">Hypotheses!$C$492</definedName>
    <definedName function="false" hidden="false" name="st_energie_mult_A" vbProcedure="false">Hypotheses!$D$493</definedName>
    <definedName function="false" hidden="false" name="st_energie_mult_A_def" vbProcedure="false">Hypotheses!$E$493</definedName>
    <definedName function="false" hidden="false" name="st_energie_mult_A_fav" vbProcedure="false">Hypotheses!$C$493</definedName>
    <definedName function="false" hidden="false" name="st_energie_mult_B" vbProcedure="false">Hypotheses!$D$494</definedName>
    <definedName function="false" hidden="false" name="st_energie_mult_B_def" vbProcedure="false">Hypotheses!$E$494</definedName>
    <definedName function="false" hidden="false" name="st_energie_mult_B_fav" vbProcedure="false">Hypotheses!$C$494</definedName>
    <definedName function="false" hidden="false" name="st_energie_mult_C" vbProcedure="false">Hypotheses!$D$495</definedName>
    <definedName function="false" hidden="false" name="st_energie_mult_campagne" vbProcedure="false">Hypotheses!$D$496</definedName>
    <definedName function="false" hidden="false" name="st_energie_mult_campagne_def" vbProcedure="false">Hypotheses!$E$496</definedName>
    <definedName function="false" hidden="false" name="st_energie_mult_campagne_fav" vbProcedure="false">Hypotheses!$C$496</definedName>
    <definedName function="false" hidden="false" name="st_energie_mult_C_def" vbProcedure="false">Hypotheses!$E$495</definedName>
    <definedName function="false" hidden="false" name="st_energie_mult_C_fav" vbProcedure="false">Hypotheses!$C$495</definedName>
    <definedName function="false" hidden="false" name="st_moteur_choc_trav_an" vbProcedure="false">Hypotheses!$D$497</definedName>
    <definedName function="false" hidden="false" name="st_moteur_choc_trav_an_def" vbProcedure="false">Hypotheses!$E$497</definedName>
    <definedName function="false" hidden="false" name="st_moteur_choc_trav_an_fav" vbProcedure="false">Hypotheses!$C$497</definedName>
    <definedName function="false" hidden="false" name="st_moteur_choc_trav_montant" vbProcedure="false">Hypotheses!$D$498</definedName>
    <definedName function="false" hidden="false" name="st_moteur_choc_trav_montant_def" vbProcedure="false">Hypotheses!$E$498</definedName>
    <definedName function="false" hidden="false" name="st_moteur_choc_trav_montant_fav" vbProcedure="false">Hypotheses!$C$498</definedName>
    <definedName function="false" hidden="false" name="st_moteur_crise_an" vbProcedure="false">Hypotheses!$D$499</definedName>
    <definedName function="false" hidden="false" name="st_moteur_crise_an_def" vbProcedure="false">Hypotheses!$E$499</definedName>
    <definedName function="false" hidden="false" name="st_moteur_crise_an_fav" vbProcedure="false">Hypotheses!$C$499</definedName>
    <definedName function="false" hidden="false" name="st_moteur_debut_mult" vbProcedure="false">Hypotheses!$D$500</definedName>
    <definedName function="false" hidden="false" name="st_moteur_debut_mult_def" vbProcedure="false">Hypotheses!$E$500</definedName>
    <definedName function="false" hidden="false" name="st_moteur_debut_mult_fav" vbProcedure="false">Hypotheses!$C$500</definedName>
    <definedName function="false" hidden="false" name="st_moteur_div_fin" vbProcedure="false">Hypotheses!$D$501</definedName>
    <definedName function="false" hidden="false" name="st_moteur_div_fin_def" vbProcedure="false">Hypotheses!$E$501</definedName>
    <definedName function="false" hidden="false" name="st_moteur_div_fin_fav" vbProcedure="false">Hypotheses!$C$501</definedName>
    <definedName function="false" hidden="false" name="st_moteur_dot_rdt_delta" vbProcedure="false">Hypotheses!$D$502</definedName>
    <definedName function="false" hidden="false" name="st_moteur_dot_rdt_delta_def" vbProcedure="false">Hypotheses!$E$502</definedName>
    <definedName function="false" hidden="false" name="st_moteur_dot_rdt_delta_fav" vbProcedure="false">Hypotheses!$C$502</definedName>
    <definedName function="false" hidden="false" name="st_moteur_energie_debut" vbProcedure="false">Hypotheses!$D$503</definedName>
    <definedName function="false" hidden="false" name="st_moteur_energie_debut_def" vbProcedure="false">Hypotheses!$E$503</definedName>
    <definedName function="false" hidden="false" name="st_moteur_energie_debut_fav" vbProcedure="false">Hypotheses!$C$503</definedName>
    <definedName function="false" hidden="false" name="st_moteur_energie_fin" vbProcedure="false">Hypotheses!$D$504</definedName>
    <definedName function="false" hidden="false" name="st_moteur_energie_fin_def" vbProcedure="false">Hypotheses!$E$504</definedName>
    <definedName function="false" hidden="false" name="st_moteur_energie_fin_fav" vbProcedure="false">Hypotheses!$C$504</definedName>
    <definedName function="false" hidden="false" name="st_moteur_energie_mult" vbProcedure="false">Hypotheses!$D$505</definedName>
    <definedName function="false" hidden="false" name="st_moteur_energie_mult_def" vbProcedure="false">Hypotheses!$E$505</definedName>
    <definedName function="false" hidden="false" name="st_moteur_energie_mult_fav" vbProcedure="false">Hypotheses!$C$505</definedName>
    <definedName function="false" hidden="false" name="st_moteur_g_sal_extra" vbProcedure="false">Hypotheses!$D$506</definedName>
    <definedName function="false" hidden="false" name="st_moteur_g_sal_extra_def" vbProcedure="false">Hypotheses!$E$506</definedName>
    <definedName function="false" hidden="false" name="st_moteur_g_sal_extra_fav" vbProcedure="false">Hypotheses!$C$506</definedName>
    <definedName function="false" hidden="false" name="st_moteur_mult_A" vbProcedure="false">Hypotheses!$D$507</definedName>
    <definedName function="false" hidden="false" name="st_moteur_mult_A_def" vbProcedure="false">Hypotheses!$E$507</definedName>
    <definedName function="false" hidden="false" name="st_moteur_mult_A_fav" vbProcedure="false">Hypotheses!$C$507</definedName>
    <definedName function="false" hidden="false" name="st_moteur_mult_B" vbProcedure="false">Hypotheses!$D$508</definedName>
    <definedName function="false" hidden="false" name="st_moteur_mult_B_def" vbProcedure="false">Hypotheses!$E$508</definedName>
    <definedName function="false" hidden="false" name="st_moteur_mult_B_fav" vbProcedure="false">Hypotheses!$C$508</definedName>
    <definedName function="false" hidden="false" name="st_moteur_mult_C" vbProcedure="false">Hypotheses!$D$509</definedName>
    <definedName function="false" hidden="false" name="st_moteur_mult_campagne" vbProcedure="false">Hypotheses!$D$510</definedName>
    <definedName function="false" hidden="false" name="st_moteur_mult_campagne_def" vbProcedure="false">Hypotheses!$E$510</definedName>
    <definedName function="false" hidden="false" name="st_moteur_mult_campagne_fav" vbProcedure="false">Hypotheses!$C$510</definedName>
    <definedName function="false" hidden="false" name="st_moteur_mult_C_def" vbProcedure="false">Hypotheses!$E$509</definedName>
    <definedName function="false" hidden="false" name="st_moteur_mult_C_fav" vbProcedure="false">Hypotheses!$C$509</definedName>
    <definedName function="false" hidden="false" name="st_salaires_choc_trav_an" vbProcedure="false">Hypotheses!$D$511</definedName>
    <definedName function="false" hidden="false" name="st_salaires_choc_trav_an_def" vbProcedure="false">Hypotheses!$E$511</definedName>
    <definedName function="false" hidden="false" name="st_salaires_choc_trav_an_fav" vbProcedure="false">Hypotheses!$C$511</definedName>
    <definedName function="false" hidden="false" name="st_salaires_choc_trav_montant" vbProcedure="false">Hypotheses!$D$512</definedName>
    <definedName function="false" hidden="false" name="st_salaires_choc_trav_montant_def" vbProcedure="false">Hypotheses!$E$512</definedName>
    <definedName function="false" hidden="false" name="st_salaires_choc_trav_montant_fav" vbProcedure="false">Hypotheses!$C$512</definedName>
    <definedName function="false" hidden="false" name="st_salaires_crise_an" vbProcedure="false">Hypotheses!$D$513</definedName>
    <definedName function="false" hidden="false" name="st_salaires_crise_an_def" vbProcedure="false">Hypotheses!$E$513</definedName>
    <definedName function="false" hidden="false" name="st_salaires_crise_an_fav" vbProcedure="false">Hypotheses!$C$513</definedName>
    <definedName function="false" hidden="false" name="st_salaires_debut_mult" vbProcedure="false">Hypotheses!$D$514</definedName>
    <definedName function="false" hidden="false" name="st_salaires_debut_mult_def" vbProcedure="false">Hypotheses!$E$514</definedName>
    <definedName function="false" hidden="false" name="st_salaires_debut_mult_fav" vbProcedure="false">Hypotheses!$C$514</definedName>
    <definedName function="false" hidden="false" name="st_salaires_div_fin" vbProcedure="false">Hypotheses!$D$515</definedName>
    <definedName function="false" hidden="false" name="st_salaires_div_fin_def" vbProcedure="false">Hypotheses!$E$515</definedName>
    <definedName function="false" hidden="false" name="st_salaires_div_fin_fav" vbProcedure="false">Hypotheses!$C$515</definedName>
    <definedName function="false" hidden="false" name="st_salaires_dot_rdt_delta" vbProcedure="false">Hypotheses!$D$516</definedName>
    <definedName function="false" hidden="false" name="st_salaires_dot_rdt_delta_def" vbProcedure="false">Hypotheses!$E$516</definedName>
    <definedName function="false" hidden="false" name="st_salaires_dot_rdt_delta_fav" vbProcedure="false">Hypotheses!$C$516</definedName>
    <definedName function="false" hidden="false" name="st_salaires_energie_debut" vbProcedure="false">Hypotheses!$D$517</definedName>
    <definedName function="false" hidden="false" name="st_salaires_energie_debut_def" vbProcedure="false">Hypotheses!$E$517</definedName>
    <definedName function="false" hidden="false" name="st_salaires_energie_debut_fav" vbProcedure="false">Hypotheses!$C$517</definedName>
    <definedName function="false" hidden="false" name="st_salaires_energie_fin" vbProcedure="false">Hypotheses!$D$518</definedName>
    <definedName function="false" hidden="false" name="st_salaires_energie_fin_def" vbProcedure="false">Hypotheses!$E$518</definedName>
    <definedName function="false" hidden="false" name="st_salaires_energie_fin_fav" vbProcedure="false">Hypotheses!$C$518</definedName>
    <definedName function="false" hidden="false" name="st_salaires_energie_mult" vbProcedure="false">Hypotheses!$D$519</definedName>
    <definedName function="false" hidden="false" name="st_salaires_energie_mult_def" vbProcedure="false">Hypotheses!$E$519</definedName>
    <definedName function="false" hidden="false" name="st_salaires_energie_mult_fav" vbProcedure="false">Hypotheses!$C$519</definedName>
    <definedName function="false" hidden="false" name="st_salaires_g_sal_extra" vbProcedure="false">Hypotheses!$D$520</definedName>
    <definedName function="false" hidden="false" name="st_salaires_g_sal_extra_def" vbProcedure="false">Hypotheses!$E$520</definedName>
    <definedName function="false" hidden="false" name="st_salaires_g_sal_extra_fav" vbProcedure="false">Hypotheses!$C$520</definedName>
    <definedName function="false" hidden="false" name="st_salaires_mult_A" vbProcedure="false">Hypotheses!$D$521</definedName>
    <definedName function="false" hidden="false" name="st_salaires_mult_A_def" vbProcedure="false">Hypotheses!$E$521</definedName>
    <definedName function="false" hidden="false" name="st_salaires_mult_A_fav" vbProcedure="false">Hypotheses!$C$521</definedName>
    <definedName function="false" hidden="false" name="st_salaires_mult_B" vbProcedure="false">Hypotheses!$D$522</definedName>
    <definedName function="false" hidden="false" name="st_salaires_mult_B_def" vbProcedure="false">Hypotheses!$E$522</definedName>
    <definedName function="false" hidden="false" name="st_salaires_mult_B_fav" vbProcedure="false">Hypotheses!$C$522</definedName>
    <definedName function="false" hidden="false" name="st_salaires_mult_C" vbProcedure="false">Hypotheses!$D$523</definedName>
    <definedName function="false" hidden="false" name="st_salaires_mult_campagne" vbProcedure="false">Hypotheses!$D$524</definedName>
    <definedName function="false" hidden="false" name="st_salaires_mult_campagne_def" vbProcedure="false">Hypotheses!$E$524</definedName>
    <definedName function="false" hidden="false" name="st_salaires_mult_campagne_fav" vbProcedure="false">Hypotheses!$C$524</definedName>
    <definedName function="false" hidden="false" name="st_salaires_mult_C_def" vbProcedure="false">Hypotheses!$E$523</definedName>
    <definedName function="false" hidden="false" name="st_salaires_mult_C_fav" vbProcedure="false">Hypotheses!$C$523</definedName>
    <definedName function="false" hidden="false" name="st_travaux_choc_trav_an" vbProcedure="false">Hypotheses!$D$525</definedName>
    <definedName function="false" hidden="false" name="st_travaux_choc_trav_an_def" vbProcedure="false">Hypotheses!$E$525</definedName>
    <definedName function="false" hidden="false" name="st_travaux_choc_trav_an_fav" vbProcedure="false">Hypotheses!$C$525</definedName>
    <definedName function="false" hidden="false" name="st_travaux_choc_trav_montant" vbProcedure="false">Hypotheses!$D$526</definedName>
    <definedName function="false" hidden="false" name="st_travaux_choc_trav_montant_def" vbProcedure="false">Hypotheses!$E$526</definedName>
    <definedName function="false" hidden="false" name="st_travaux_choc_trav_montant_fav" vbProcedure="false">Hypotheses!$C$526</definedName>
    <definedName function="false" hidden="false" name="st_travaux_crise_an" vbProcedure="false">Hypotheses!$D$527</definedName>
    <definedName function="false" hidden="false" name="st_travaux_crise_an_def" vbProcedure="false">Hypotheses!$E$527</definedName>
    <definedName function="false" hidden="false" name="st_travaux_crise_an_fav" vbProcedure="false">Hypotheses!$C$527</definedName>
    <definedName function="false" hidden="false" name="st_travaux_debut_mult" vbProcedure="false">Hypotheses!$D$528</definedName>
    <definedName function="false" hidden="false" name="st_travaux_debut_mult_def" vbProcedure="false">Hypotheses!$E$528</definedName>
    <definedName function="false" hidden="false" name="st_travaux_debut_mult_fav" vbProcedure="false">Hypotheses!$C$528</definedName>
    <definedName function="false" hidden="false" name="st_travaux_div_fin" vbProcedure="false">Hypotheses!$D$529</definedName>
    <definedName function="false" hidden="false" name="st_travaux_div_fin_def" vbProcedure="false">Hypotheses!$E$529</definedName>
    <definedName function="false" hidden="false" name="st_travaux_div_fin_fav" vbProcedure="false">Hypotheses!$C$529</definedName>
    <definedName function="false" hidden="false" name="st_travaux_dot_rdt_delta" vbProcedure="false">Hypotheses!$D$530</definedName>
    <definedName function="false" hidden="false" name="st_travaux_dot_rdt_delta_def" vbProcedure="false">Hypotheses!$E$530</definedName>
    <definedName function="false" hidden="false" name="st_travaux_dot_rdt_delta_fav" vbProcedure="false">Hypotheses!$C$530</definedName>
    <definedName function="false" hidden="false" name="st_travaux_energie_debut" vbProcedure="false">Hypotheses!$D$531</definedName>
    <definedName function="false" hidden="false" name="st_travaux_energie_debut_def" vbProcedure="false">Hypotheses!$E$531</definedName>
    <definedName function="false" hidden="false" name="st_travaux_energie_debut_fav" vbProcedure="false">Hypotheses!$C$531</definedName>
    <definedName function="false" hidden="false" name="st_travaux_energie_fin" vbProcedure="false">Hypotheses!$D$532</definedName>
    <definedName function="false" hidden="false" name="st_travaux_energie_fin_def" vbProcedure="false">Hypotheses!$E$532</definedName>
    <definedName function="false" hidden="false" name="st_travaux_energie_fin_fav" vbProcedure="false">Hypotheses!$C$532</definedName>
    <definedName function="false" hidden="false" name="st_travaux_energie_mult" vbProcedure="false">Hypotheses!$D$533</definedName>
    <definedName function="false" hidden="false" name="st_travaux_energie_mult_def" vbProcedure="false">Hypotheses!$E$533</definedName>
    <definedName function="false" hidden="false" name="st_travaux_energie_mult_fav" vbProcedure="false">Hypotheses!$C$533</definedName>
    <definedName function="false" hidden="false" name="st_travaux_g_sal_extra" vbProcedure="false">Hypotheses!$D$534</definedName>
    <definedName function="false" hidden="false" name="st_travaux_g_sal_extra_def" vbProcedure="false">Hypotheses!$E$534</definedName>
    <definedName function="false" hidden="false" name="st_travaux_g_sal_extra_fav" vbProcedure="false">Hypotheses!$C$534</definedName>
    <definedName function="false" hidden="false" name="st_travaux_mult_A" vbProcedure="false">Hypotheses!$D$535</definedName>
    <definedName function="false" hidden="false" name="st_travaux_mult_A_def" vbProcedure="false">Hypotheses!$E$535</definedName>
    <definedName function="false" hidden="false" name="st_travaux_mult_A_fav" vbProcedure="false">Hypotheses!$C$535</definedName>
    <definedName function="false" hidden="false" name="st_travaux_mult_B" vbProcedure="false">Hypotheses!$D$536</definedName>
    <definedName function="false" hidden="false" name="st_travaux_mult_B_def" vbProcedure="false">Hypotheses!$E$536</definedName>
    <definedName function="false" hidden="false" name="st_travaux_mult_B_fav" vbProcedure="false">Hypotheses!$C$536</definedName>
    <definedName function="false" hidden="false" name="st_travaux_mult_C" vbProcedure="false">Hypotheses!$D$537</definedName>
    <definedName function="false" hidden="false" name="st_travaux_mult_campagne" vbProcedure="false">Hypotheses!$D$538</definedName>
    <definedName function="false" hidden="false" name="st_travaux_mult_campagne_def" vbProcedure="false">Hypotheses!$E$538</definedName>
    <definedName function="false" hidden="false" name="st_travaux_mult_campagne_fav" vbProcedure="false">Hypotheses!$C$538</definedName>
    <definedName function="false" hidden="false" name="st_travaux_mult_C_def" vbProcedure="false">Hypotheses!$E$537</definedName>
    <definedName function="false" hidden="false" name="st_travaux_mult_C_fav" vbProcedure="false">Hypotheses!$C$537</definedName>
    <definedName function="false" hidden="false" name="subvention_taux" vbProcedure="false">Hypotheses!$D$330</definedName>
    <definedName function="false" hidden="false" name="subvention_taux_def" vbProcedure="false">Hypotheses!$E$330</definedName>
    <definedName function="false" hidden="false" name="subvention_taux_fav" vbProcedure="false">Hypotheses!$C$330</definedName>
    <definedName function="false" hidden="false" name="sub_actif" vbProcedure="false">Hypotheses!$D$353</definedName>
    <definedName function="false" hidden="false" name="sub_actif_def" vbProcedure="false">Hypotheses!$E$353</definedName>
    <definedName function="false" hidden="false" name="sub_actif_fav" vbProcedure="false">Hypotheses!$C$353</definedName>
    <definedName function="false" hidden="false" name="taux_aleas_travaux" vbProcedure="false">Hypotheses!$D$28</definedName>
    <definedName function="false" hidden="false" name="taux_aleas_travaux_def" vbProcedure="false">Hypotheses!$E$28</definedName>
    <definedName function="false" hidden="false" name="taux_aleas_travaux_fav" vbProcedure="false">Hypotheses!$C$28</definedName>
    <definedName function="false" hidden="false" name="taux_entretien_courant" vbProcedure="false">Hypotheses!$D$29</definedName>
    <definedName function="false" hidden="false" name="taux_entretien_courant_def" vbProcedure="false">Hypotheses!$E$29</definedName>
    <definedName function="false" hidden="false" name="taux_entretien_courant_fav" vbProcedure="false">Hypotheses!$C$29</definedName>
    <definedName function="false" hidden="false" name="taux_gros_entretien" vbProcedure="false">Hypotheses!$D$30</definedName>
    <definedName function="false" hidden="false" name="taux_gros_entretien_def" vbProcedure="false">Hypotheses!$E$30</definedName>
    <definedName function="false" hidden="false" name="taux_gros_entretien_fav" vbProcedure="false">Hypotheses!$C$30</definedName>
    <definedName function="false" hidden="false" name="taux_imprevus" vbProcedure="false">Hypotheses!$D$14</definedName>
    <definedName function="false" hidden="false" name="taux_imprevus_def" vbProcedure="false">Hypotheses!$E$14</definedName>
    <definedName function="false" hidden="false" name="taux_imprevus_fav" vbProcedure="false">Hypotheses!$C$14</definedName>
    <definedName function="false" hidden="false" name="taux_invest_futurs" vbProcedure="false">Hypotheses!$D$15</definedName>
    <definedName function="false" hidden="false" name="taux_invest_futurs_def" vbProcedure="false">Hypotheses!$E$15</definedName>
    <definedName function="false" hidden="false" name="taux_invest_futurs_fav" vbProcedure="false">Hypotheses!$C$15</definedName>
    <definedName function="false" hidden="false" name="taux_moe_do" vbProcedure="false">Hypotheses!$D$31</definedName>
    <definedName function="false" hidden="false" name="taux_moe_do_def" vbProcedure="false">Hypotheses!$E$31</definedName>
    <definedName function="false" hidden="false" name="taux_moe_do_fav" vbProcedure="false">Hypotheses!$C$31</definedName>
    <definedName function="false" hidden="false" name="taux_renouv_capex" vbProcedure="false">Hypotheses!$D$265</definedName>
    <definedName function="false" hidden="false" name="taux_renouv_capex_def" vbProcedure="false">Hypotheses!$E$265</definedName>
    <definedName function="false" hidden="false" name="taux_renouv_capex_fav" vbProcedure="false">Hypotheses!$C$265</definedName>
    <definedName function="false" hidden="false" name="taux_reserve" vbProcedure="false">Hypotheses!$D$331</definedName>
    <definedName function="false" hidden="false" name="taux_reserve_def" vbProcedure="false">Hypotheses!$E$331</definedName>
    <definedName function="false" hidden="false" name="taux_reserve_fav" vbProcedure="false">Hypotheses!$C$331</definedName>
    <definedName function="false" hidden="false" name="tfnb_ha" vbProcedure="false">Hypotheses!$D$189</definedName>
    <definedName function="false" hidden="false" name="tfnb_ha_def" vbProcedure="false">Hypotheses!$E$189</definedName>
    <definedName function="false" hidden="false" name="tfnb_ha_fav" vbProcedure="false">Hypotheses!$C$189</definedName>
    <definedName function="false" hidden="false" name="tf_chateau_m2" vbProcedure="false">Hypotheses!$D$16</definedName>
    <definedName function="false" hidden="false" name="tf_chateau_m2_def" vbProcedure="false">Hypotheses!$E$16</definedName>
    <definedName function="false" hidden="false" name="tf_chateau_m2_fav" vbProcedure="false">Hypotheses!$C$16</definedName>
    <definedName function="false" hidden="false" name="tf_dep_m2" vbProcedure="false">Hypotheses!$D$17</definedName>
    <definedName function="false" hidden="false" name="tf_dep_m2_def" vbProcedure="false">Hypotheses!$E$17</definedName>
    <definedName function="false" hidden="false" name="tf_dep_m2_fav" vbProcedure="false">Hypotheses!$C$17</definedName>
    <definedName function="false" hidden="false" name="tourn_jours" vbProcedure="false">Hypotheses!$D$266</definedName>
    <definedName function="false" hidden="false" name="tourn_jours_def" vbProcedure="false">Hypotheses!$E$266</definedName>
    <definedName function="false" hidden="false" name="tourn_jours_fav" vbProcedure="false">Hypotheses!$C$266</definedName>
    <definedName function="false" hidden="false" name="tourn_tarif" vbProcedure="false">Hypotheses!$D$267</definedName>
    <definedName function="false" hidden="false" name="tourn_tarif_def" vbProcedure="false">Hypotheses!$E$267</definedName>
    <definedName function="false" hidden="false" name="tourn_tarif_fav" vbProcedure="false">Hypotheses!$C$267</definedName>
    <definedName function="false" hidden="false" name="tourn_var" vbProcedure="false">Hypotheses!$D$268</definedName>
    <definedName function="false" hidden="false" name="tourn_var_def" vbProcedure="false">Hypotheses!$E$268</definedName>
    <definedName function="false" hidden="false" name="tourn_var_fav" vbProcedure="false">Hypotheses!$C$268</definedName>
    <definedName function="false" hidden="false" name="vr_dep_ratio" vbProcedure="false">Hypotheses!$D$32</definedName>
    <definedName function="false" hidden="false" name="vr_dep_ratio_def" vbProcedure="false">Hypotheses!$E$32</definedName>
    <definedName function="false" hidden="false" name="vr_dep_ratio_fav" vbProcedure="false">Hypotheses!$C$32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<sst xmlns="http://schemas.openxmlformats.org/spreadsheetml/2006/main" count="11187" uniqueCount="4663">
  <si>
    <t xml:space="preserve">MODÈLE — L'ÉQUATION ÉCONOMIQUE D'UN CHÂTEAU</t>
  </si>
  <si>
    <t xml:space="preserve">Objet : budget annuel de fonctionnement de trois domaines types (S1, S2, S3), contribution nette des moteurs de revenus, comparaison des modèles économiques, projection sur 20 ans de la meilleure solution, stress tests.</t>
  </si>
  <si>
    <t xml:space="preserve">Unités : € constants 2026, TTC pour un propriétaire particulier, sauf mention contraire.</t>
  </si>
  <si>
    <t xml:space="preserve">Couleurs : bleu = saisie modifiable (feuille Hypotheses) ; noir = formule ; fond jaune = hypothèse clé ; vert = lien vers une autre feuille.</t>
  </si>
  <si>
    <t xml:space="preserve">Statuts : SOURCÉ (source citée, voir feuille Sources), ESTIMATION (raisonnement sur sources), HYPOTHÈSE (choix de modélisation à valider).</t>
  </si>
  <si>
    <t xml:space="preserve">Trois cas par hypothèse : favorable, central, défavorable pour l'équilibre du domaine.</t>
  </si>
  <si>
    <t xml:space="preserve">Toutes les cellules calculées sont des formules : modifier une hypothèse recalcule tout.</t>
  </si>
  <si>
    <t xml:space="preserve">Méthode, définitions et limites : voir 00_PILOTAGE/Cadre_analytique.md et 03_LIVRABLES/.</t>
  </si>
  <si>
    <t xml:space="preserve">Vérification : chaque formule a été recalculée par LibreOffice et comparée à un calcul Python indépendant (02_MODELE/sorties/verification.json).</t>
  </si>
  <si>
    <t xml:space="preserve">HYPOTHÈSES DU MODÈLE — une ligne par paramètre (saisies en bleu)</t>
  </si>
  <si>
    <t xml:space="preserve">Favorable / Central / Défavorable : valeurs pour l'équilibre du domaine (favorable = coût plus bas ou recette plus haute). Statut : SOURCÉ (source citée), ESTIMATION (raisonnement sur sources), HYPOTHÈSE (choix de modélisation). Identifiants de sources : voir la feuille Sources.</t>
  </si>
  <si>
    <t xml:space="preserve">Nom (identifiant)</t>
  </si>
  <si>
    <t xml:space="preserve">Libellé</t>
  </si>
  <si>
    <t xml:space="preserve">Favorable</t>
  </si>
  <si>
    <t xml:space="preserve">Central</t>
  </si>
  <si>
    <t xml:space="preserve">Défavorable</t>
  </si>
  <si>
    <t xml:space="preserve">Unité</t>
  </si>
  <si>
    <t xml:space="preserve">Statut</t>
  </si>
  <si>
    <t xml:space="preserve">Sources</t>
  </si>
  <si>
    <t xml:space="preserve">Note / justification</t>
  </si>
  <si>
    <t xml:space="preserve">Groupe</t>
  </si>
  <si>
    <t xml:space="preserve">— Assurances, taxes, administration —</t>
  </si>
  <si>
    <t xml:space="preserve">S1_admin</t>
  </si>
  <si>
    <t xml:space="preserve">S1 — administration (comptabilité, banque, informatique, télécoms)</t>
  </si>
  <si>
    <t xml:space="preserve">€/an TTC</t>
  </si>
  <si>
    <t xml:space="preserve">HYPOTHÈSE</t>
  </si>
  <si>
    <t xml:space="preserve">Assurances, taxes, administration</t>
  </si>
  <si>
    <t xml:space="preserve">S1_assurances_autres</t>
  </si>
  <si>
    <t xml:space="preserve">S1 — RC, véhicules, chevaux, contenu</t>
  </si>
  <si>
    <t xml:space="preserve">R1-27</t>
  </si>
  <si>
    <t xml:space="preserve">S2_admin</t>
  </si>
  <si>
    <t xml:space="preserve">S2 — administration</t>
  </si>
  <si>
    <t xml:space="preserve">S2_assurances_autres</t>
  </si>
  <si>
    <t xml:space="preserve">S2 — RC, véhicules, chevaux, contenu</t>
  </si>
  <si>
    <t xml:space="preserve">S3_admin</t>
  </si>
  <si>
    <t xml:space="preserve">S3 — administration</t>
  </si>
  <si>
    <t xml:space="preserve">S3_assurances_autres</t>
  </si>
  <si>
    <t xml:space="preserve">S3 — RC, véhicules, chevaux, contenu, œuvres</t>
  </si>
  <si>
    <t xml:space="preserve">assurance_taux</t>
  </si>
  <si>
    <t xml:space="preserve">Prime d'assurance des bâtiments, en ‰ de la valeur de reconstruction</t>
  </si>
  <si>
    <t xml:space="preserve">taux par an</t>
  </si>
  <si>
    <t xml:space="preserve">ESTIMATION</t>
  </si>
  <si>
    <t xml:space="preserve">R1-26; R1-27; R1-28; R1-32</t>
  </si>
  <si>
    <t xml:space="preserve">Barème d'un courtier : ≈ 5 ‰ (fiabilité faible). Cas observés 3 à 10 fois plus bas (petit château MH : 2 198 €/an ; Olhain : ≈ 7 500 €/an en moyenne sur 40 ans). Taux central retenu entre les deux. Risque de résiliation documenté (Olhain, 2026). À remplacer par des devis.</t>
  </si>
  <si>
    <t xml:space="preserve">ifi_abattement_rp</t>
  </si>
  <si>
    <t xml:space="preserve">IFI : abattement sur la résidence principale</t>
  </si>
  <si>
    <t xml:space="preserve">%</t>
  </si>
  <si>
    <t xml:space="preserve">SOURCÉ</t>
  </si>
  <si>
    <t xml:space="preserve">R3-01; R3-15</t>
  </si>
  <si>
    <t xml:space="preserve">Barème 2026 : seuil 1,3 M€, taux de 0,5 % à 1,5 % ; aucune exonération pour les MH (amendement rejeté). Défavorable : château non résidence principale. La valeur retenue est le prix d'achat du scénario (valeur vénale).</t>
  </si>
  <si>
    <t xml:space="preserve">taux_imprevus</t>
  </si>
  <si>
    <t xml:space="preserve">Imprévus d'exploitation, en % des charges de fonctionnement</t>
  </si>
  <si>
    <t xml:space="preserve">Absences, pannes, hausses ponctuelles. Les gros sinistres non assurés sont simulés à part (Monte-Carlo).</t>
  </si>
  <si>
    <t xml:space="preserve">taux_invest_futurs</t>
  </si>
  <si>
    <t xml:space="preserve">Investissements futurs, en % des charges et provisions</t>
  </si>
  <si>
    <t xml:space="preserve">Améliorations, mises aux normes, embellissements. Le brief exige de les financer.</t>
  </si>
  <si>
    <t xml:space="preserve">tf_chateau_m2</t>
  </si>
  <si>
    <t xml:space="preserve">Taxe foncière bâtie du château, par m² de plancher</t>
  </si>
  <si>
    <t xml:space="preserve">€/m²/an</t>
  </si>
  <si>
    <t xml:space="preserve">R1-30; R1-31; R1-32</t>
  </si>
  <si>
    <t xml:space="preserve">Un seul repère : 2 652 € pour 512 m² habitables (≈ 5,2 €/m²). La taxe dépend de la catégorie cadastrale fixée en 1970 et du taux communal, pas de la surface.</t>
  </si>
  <si>
    <t xml:space="preserve">tf_dep_m2</t>
  </si>
  <si>
    <t xml:space="preserve">Taxe foncière bâtie des dépendances, par m²</t>
  </si>
  <si>
    <t xml:space="preserve">R1</t>
  </si>
  <si>
    <t xml:space="preserve">— Bâti —</t>
  </si>
  <si>
    <t xml:space="preserve">S1_honoraires_patrimoine</t>
  </si>
  <si>
    <t xml:space="preserve">S1 — architecte du patrimoine : état sanitaire et suivi</t>
  </si>
  <si>
    <t xml:space="preserve">R1-05</t>
  </si>
  <si>
    <t xml:space="preserve">Rapport d'état quinquennal annualisé (pratique britannique « quinquennial survey »).</t>
  </si>
  <si>
    <t xml:space="preserve">Bâti</t>
  </si>
  <si>
    <t xml:space="preserve">S1_securite</t>
  </si>
  <si>
    <t xml:space="preserve">S1 — sécurité (télésurveillance, détection incendie, maintenance)</t>
  </si>
  <si>
    <t xml:space="preserve">R1-26</t>
  </si>
  <si>
    <t xml:space="preserve">Coûts introuvables (R1 § 8). Les courtiers recommandent ces dispositifs pour modérer la prime.</t>
  </si>
  <si>
    <t xml:space="preserve">S1_vr_m2</t>
  </si>
  <si>
    <t xml:space="preserve">S1 — valeur de reconstruction à l'identique du château</t>
  </si>
  <si>
    <t xml:space="preserve">€/m²</t>
  </si>
  <si>
    <t xml:space="preserve">R1-26; R1-27</t>
  </si>
  <si>
    <t xml:space="preserve">Bornes sourcées : 2 400 €/m² (exemple d'un courtier, Figaro 2020, type de surface non précisé) et 5 000-10 000 €/m² (courtier 2026, fiabilité faible). Château simple, non protégé ou inscrit : bas de la fourchette. Affectation par scénario = hypothèse.</t>
  </si>
  <si>
    <t xml:space="preserve">S2_honoraires_patrimoine</t>
  </si>
  <si>
    <t xml:space="preserve">S2 — architecte du patrimoine : état sanitaire et suivi</t>
  </si>
  <si>
    <t xml:space="preserve">S2_securite</t>
  </si>
  <si>
    <t xml:space="preserve">S2 — sécurité</t>
  </si>
  <si>
    <t xml:space="preserve">S2_vr_m2</t>
  </si>
  <si>
    <t xml:space="preserve">S2 — valeur de reconstruction à l'identique du château</t>
  </si>
  <si>
    <t xml:space="preserve">Château inscrit : entre l'exemple de 2020 actualisé et le bas du barème du courtier de 2026.</t>
  </si>
  <si>
    <t xml:space="preserve">S3_honoraires_patrimoine</t>
  </si>
  <si>
    <t xml:space="preserve">S3 — architecte du patrimoine : état sanitaire et suivi</t>
  </si>
  <si>
    <t xml:space="preserve">S3_securite</t>
  </si>
  <si>
    <t xml:space="preserve">S3 — sécurité (dont rondes et système incendie)</t>
  </si>
  <si>
    <t xml:space="preserve">S3_vr_m2</t>
  </si>
  <si>
    <t xml:space="preserve">S3 — valeur de reconstruction à l'identique du château</t>
  </si>
  <si>
    <t xml:space="preserve">Château classé avec décors : fourchette du courtier (5 000 à 10 000 €/m²), fiabilité faible.</t>
  </si>
  <si>
    <t xml:space="preserve">taux_aleas_travaux</t>
  </si>
  <si>
    <t xml:space="preserve">Aléas de chantier et découvertes, en % du gros entretien</t>
  </si>
  <si>
    <t xml:space="preserve">% du gros entretien</t>
  </si>
  <si>
    <t xml:space="preserve">Dépassement observé de +29 % sur un chantier britannique (devis 42 k£, facture 54 k£).</t>
  </si>
  <si>
    <t xml:space="preserve">taux_entretien_courant</t>
  </si>
  <si>
    <t xml:space="preserve">Entretien courant annuel, en % de la valeur de reconstruction</t>
  </si>
  <si>
    <t xml:space="preserve">% par an</t>
  </si>
  <si>
    <t xml:space="preserve">R1-07</t>
  </si>
  <si>
    <t xml:space="preserve">Part « courante » dans la règle globale de 2 à 4 % du NRC (minimum « en l'absence d'information spécifique », pour un parc de bâtiments et en moyenne sur 5 à 10 ans, vérifié par V2V). La ventilation n'est pas sourcée (R1 § 9.1).</t>
  </si>
  <si>
    <t xml:space="preserve">taux_gros_entretien</t>
  </si>
  <si>
    <t xml:space="preserve">Provision de gros entretien, en % de la valeur de reconstruction</t>
  </si>
  <si>
    <t xml:space="preserve">R1-07; R1-08; R1-05</t>
  </si>
  <si>
    <t xml:space="preserve">La règle du NRC (2 à 4 % de la valeur de remplacement pour l'entretien-réparation, « absolute minimum ») porte sur des bâtiments publics américains, transposition à valider. Elle est conditionnelle (« in the absence of specific information »), repose sur le jugement du comité et vaut pour un parc de bâtiments en moyenne sur 5 à 10 ans (rapport de 1990, p. xii, vérifié par V2V). Recoupement : les maisons historiques britanniques dépensent ≈ 156-161 k£ TTC/an et accumulent pourtant ≈ 2 M£ de retard chacune (R1-05). Une dépense « normale » est donc insuffisante pour un état d'exception.</t>
  </si>
  <si>
    <t xml:space="preserve">taux_moe_do</t>
  </si>
  <si>
    <t xml:space="preserve">Maîtrise d'œuvre, diagnostics, coordination SPS et assurance dommages-ouvrage, en % du gros entretien</t>
  </si>
  <si>
    <t xml:space="preserve">V2R-09</t>
  </si>
  <si>
    <t xml:space="preserve">Sur un monument classé : architecte obligatoire, diagnostic préalable, honoraires calculés sur l'enveloppe des travaux, assurance dommages-ouvrage obligatoire (guide de la DRAC, V2R M8). Aucun barème public : taux à remplacer par des devis. On ignore si la règle du NRC inclut déjà ces coûts ; ils sont donc ajoutés.</t>
  </si>
  <si>
    <t xml:space="preserve">vr_dep_ratio</t>
  </si>
  <si>
    <t xml:space="preserve">Valeur de reconstruction des dépendances / celle du château (au m²)</t>
  </si>
  <si>
    <t xml:space="preserve">ratio</t>
  </si>
  <si>
    <t xml:space="preserve">Écuries, granges et communs, de construction plus simple. Aucune source.</t>
  </si>
  <si>
    <t xml:space="preserve">— Configuration des modèles —</t>
  </si>
  <si>
    <t xml:space="preserve">cfg_M1_ANC</t>
  </si>
  <si>
    <t xml:space="preserve">M1 — moteur ANC retenu (1) ou non (0)</t>
  </si>
  <si>
    <t xml:space="preserve">coefficient</t>
  </si>
  <si>
    <t xml:space="preserve">M1 : Socle contractuel et pension de retraite au pré (résidence calme)</t>
  </si>
  <si>
    <t xml:space="preserve">Configuration des modèles</t>
  </si>
  <si>
    <t xml:space="preserve">cfg_M1_AUTO</t>
  </si>
  <si>
    <t xml:space="preserve">M1 — moteur AUTO retenu (1) ou non (0)</t>
  </si>
  <si>
    <t xml:space="preserve">cfg_M1_BOIS</t>
  </si>
  <si>
    <t xml:space="preserve">M1 — moteur BOIS retenu (1) ou non (0)</t>
  </si>
  <si>
    <t xml:space="preserve">cfg_M1_EQ_HDG</t>
  </si>
  <si>
    <t xml:space="preserve">M1 — moteur EQ_HDG retenu (1) ou non (0)</t>
  </si>
  <si>
    <t xml:space="preserve">cfg_M1_EQ_PRO</t>
  </si>
  <si>
    <t xml:space="preserve">M1 — moteur EQ_PRO retenu (1) ou non (0)</t>
  </si>
  <si>
    <t xml:space="preserve">cfg_M1_EQ_RET</t>
  </si>
  <si>
    <t xml:space="preserve">M1 — moteur EQ_RET retenu (1) ou non (0)</t>
  </si>
  <si>
    <t xml:space="preserve">cfg_M1_EQ_STD</t>
  </si>
  <si>
    <t xml:space="preserve">M1 — moteur EQ_STD retenu (1) ou non (0)</t>
  </si>
  <si>
    <t xml:space="preserve">cfg_M1_EVT</t>
  </si>
  <si>
    <t xml:space="preserve">M1 — moteur EVT retenu (1) ou non (0)</t>
  </si>
  <si>
    <t xml:space="preserve">cfg_M1_GITE</t>
  </si>
  <si>
    <t xml:space="preserve">M1 — moteur GITE retenu (1) ou non (0)</t>
  </si>
  <si>
    <t xml:space="preserve">cfg_M1_HOTEL</t>
  </si>
  <si>
    <t xml:space="preserve">M1 — moteur HOTEL retenu (1) ou non (0)</t>
  </si>
  <si>
    <t xml:space="preserve">cfg_M1_LOG</t>
  </si>
  <si>
    <t xml:space="preserve">M1 — moteur LOG retenu (1) ou non (0)</t>
  </si>
  <si>
    <t xml:space="preserve">cfg_M1_LUX</t>
  </si>
  <si>
    <t xml:space="preserve">M1 — moteur LUX retenu (1) ou non (0)</t>
  </si>
  <si>
    <t xml:space="preserve">cfg_M1_PV</t>
  </si>
  <si>
    <t xml:space="preserve">M1 — moteur PV retenu (1) ou non (0)</t>
  </si>
  <si>
    <t xml:space="preserve">cfg_M1_REPRO</t>
  </si>
  <si>
    <t xml:space="preserve">M1 — moteur REPRO retenu (1) ou non (0)</t>
  </si>
  <si>
    <t xml:space="preserve">cfg_M1_SEMJ</t>
  </si>
  <si>
    <t xml:space="preserve">M1 — moteur SEMJ retenu (1) ou non (0)</t>
  </si>
  <si>
    <t xml:space="preserve">cfg_M1_STOCK</t>
  </si>
  <si>
    <t xml:space="preserve">M1 — moteur STOCK retenu (1) ou non (0)</t>
  </si>
  <si>
    <t xml:space="preserve">cfg_M1_TOURN</t>
  </si>
  <si>
    <t xml:space="preserve">M1 — moteur TOURN retenu (1) ou non (0)</t>
  </si>
  <si>
    <t xml:space="preserve">cfg_M2_ANC</t>
  </si>
  <si>
    <t xml:space="preserve">M2 — moteur ANC retenu (1) ou non (0)</t>
  </si>
  <si>
    <t xml:space="preserve">M2 : Lieu d'exception à quota (M1 + réceptions, séminaires, grande maison)</t>
  </si>
  <si>
    <t xml:space="preserve">cfg_M2_AUTO</t>
  </si>
  <si>
    <t xml:space="preserve">M2 — moteur AUTO retenu (1) ou non (0)</t>
  </si>
  <si>
    <t xml:space="preserve">cfg_M2_BOIS</t>
  </si>
  <si>
    <t xml:space="preserve">M2 — moteur BOIS retenu (1) ou non (0)</t>
  </si>
  <si>
    <t xml:space="preserve">cfg_M2_EQ_HDG</t>
  </si>
  <si>
    <t xml:space="preserve">M2 — moteur EQ_HDG retenu (1) ou non (0)</t>
  </si>
  <si>
    <t xml:space="preserve">cfg_M2_EQ_PRO</t>
  </si>
  <si>
    <t xml:space="preserve">M2 — moteur EQ_PRO retenu (1) ou non (0)</t>
  </si>
  <si>
    <t xml:space="preserve">cfg_M2_EQ_RET</t>
  </si>
  <si>
    <t xml:space="preserve">M2 — moteur EQ_RET retenu (1) ou non (0)</t>
  </si>
  <si>
    <t xml:space="preserve">cfg_M2_EQ_STD</t>
  </si>
  <si>
    <t xml:space="preserve">M2 — moteur EQ_STD retenu (1) ou non (0)</t>
  </si>
  <si>
    <t xml:space="preserve">cfg_M2_EVT</t>
  </si>
  <si>
    <t xml:space="preserve">M2 — moteur EVT retenu (1) ou non (0)</t>
  </si>
  <si>
    <t xml:space="preserve">cfg_M2_GITE</t>
  </si>
  <si>
    <t xml:space="preserve">M2 — moteur GITE retenu (1) ou non (0)</t>
  </si>
  <si>
    <t xml:space="preserve">cfg_M2_HOTEL</t>
  </si>
  <si>
    <t xml:space="preserve">M2 — moteur HOTEL retenu (1) ou non (0)</t>
  </si>
  <si>
    <t xml:space="preserve">cfg_M2_LOG</t>
  </si>
  <si>
    <t xml:space="preserve">M2 — moteur LOG retenu (1) ou non (0)</t>
  </si>
  <si>
    <t xml:space="preserve">cfg_M2_LUX</t>
  </si>
  <si>
    <t xml:space="preserve">M2 — moteur LUX retenu (1) ou non (0)</t>
  </si>
  <si>
    <t xml:space="preserve">cfg_M2_PV</t>
  </si>
  <si>
    <t xml:space="preserve">M2 — moteur PV retenu (1) ou non (0)</t>
  </si>
  <si>
    <t xml:space="preserve">cfg_M2_REPRO</t>
  </si>
  <si>
    <t xml:space="preserve">M2 — moteur REPRO retenu (1) ou non (0)</t>
  </si>
  <si>
    <t xml:space="preserve">cfg_M2_SEMJ</t>
  </si>
  <si>
    <t xml:space="preserve">M2 — moteur SEMJ retenu (1) ou non (0)</t>
  </si>
  <si>
    <t xml:space="preserve">cfg_M2_STOCK</t>
  </si>
  <si>
    <t xml:space="preserve">M2 — moteur STOCK retenu (1) ou non (0)</t>
  </si>
  <si>
    <t xml:space="preserve">cfg_M2_TOURN</t>
  </si>
  <si>
    <t xml:space="preserve">M2 — moteur TOURN retenu (1) ou non (0)</t>
  </si>
  <si>
    <t xml:space="preserve">cfg_M3_ANC</t>
  </si>
  <si>
    <t xml:space="preserve">M3 — moteur ANC retenu (1) ou non (0)</t>
  </si>
  <si>
    <t xml:space="preserve">M3 : Équestre haut de gamme et services (pension, retraite, reproduction)</t>
  </si>
  <si>
    <t xml:space="preserve">cfg_M3_AUTO</t>
  </si>
  <si>
    <t xml:space="preserve">M3 — moteur AUTO retenu (1) ou non (0)</t>
  </si>
  <si>
    <t xml:space="preserve">cfg_M3_BOIS</t>
  </si>
  <si>
    <t xml:space="preserve">M3 — moteur BOIS retenu (1) ou non (0)</t>
  </si>
  <si>
    <t xml:space="preserve">cfg_M3_EQ_HDG</t>
  </si>
  <si>
    <t xml:space="preserve">M3 — moteur EQ_HDG retenu (1) ou non (0)</t>
  </si>
  <si>
    <t xml:space="preserve">cfg_M3_EQ_PRO</t>
  </si>
  <si>
    <t xml:space="preserve">M3 — moteur EQ_PRO retenu (1) ou non (0)</t>
  </si>
  <si>
    <t xml:space="preserve">cfg_M3_EQ_RET</t>
  </si>
  <si>
    <t xml:space="preserve">M3 — moteur EQ_RET retenu (1) ou non (0)</t>
  </si>
  <si>
    <t xml:space="preserve">cfg_M3_EQ_STD</t>
  </si>
  <si>
    <t xml:space="preserve">M3 — moteur EQ_STD retenu (1) ou non (0)</t>
  </si>
  <si>
    <t xml:space="preserve">cfg_M3_EVT</t>
  </si>
  <si>
    <t xml:space="preserve">M3 — moteur EVT retenu (1) ou non (0)</t>
  </si>
  <si>
    <t xml:space="preserve">cfg_M3_GITE</t>
  </si>
  <si>
    <t xml:space="preserve">M3 — moteur GITE retenu (1) ou non (0)</t>
  </si>
  <si>
    <t xml:space="preserve">cfg_M3_HOTEL</t>
  </si>
  <si>
    <t xml:space="preserve">M3 — moteur HOTEL retenu (1) ou non (0)</t>
  </si>
  <si>
    <t xml:space="preserve">cfg_M3_LOG</t>
  </si>
  <si>
    <t xml:space="preserve">M3 — moteur LOG retenu (1) ou non (0)</t>
  </si>
  <si>
    <t xml:space="preserve">cfg_M3_LUX</t>
  </si>
  <si>
    <t xml:space="preserve">M3 — moteur LUX retenu (1) ou non (0)</t>
  </si>
  <si>
    <t xml:space="preserve">cfg_M3_PV</t>
  </si>
  <si>
    <t xml:space="preserve">M3 — moteur PV retenu (1) ou non (0)</t>
  </si>
  <si>
    <t xml:space="preserve">cfg_M3_REPRO</t>
  </si>
  <si>
    <t xml:space="preserve">M3 — moteur REPRO retenu (1) ou non (0)</t>
  </si>
  <si>
    <t xml:space="preserve">cfg_M3_SEMJ</t>
  </si>
  <si>
    <t xml:space="preserve">M3 — moteur SEMJ retenu (1) ou non (0)</t>
  </si>
  <si>
    <t xml:space="preserve">cfg_M3_STOCK</t>
  </si>
  <si>
    <t xml:space="preserve">M3 — moteur STOCK retenu (1) ou non (0)</t>
  </si>
  <si>
    <t xml:space="preserve">cfg_M3_TOURN</t>
  </si>
  <si>
    <t xml:space="preserve">M3 — moteur TOURN retenu (1) ou non (0)</t>
  </si>
  <si>
    <t xml:space="preserve">cfg_M4_ANC</t>
  </si>
  <si>
    <t xml:space="preserve">M4 — moteur ANC retenu (1) ou non (0)</t>
  </si>
  <si>
    <t xml:space="preserve">M4 : Château-hôtel opéré (15 chambres) + réceptions et séminaires</t>
  </si>
  <si>
    <t xml:space="preserve">cfg_M4_AUTO</t>
  </si>
  <si>
    <t xml:space="preserve">M4 — moteur AUTO retenu (1) ou non (0)</t>
  </si>
  <si>
    <t xml:space="preserve">cfg_M4_BOIS</t>
  </si>
  <si>
    <t xml:space="preserve">M4 — moteur BOIS retenu (1) ou non (0)</t>
  </si>
  <si>
    <t xml:space="preserve">cfg_M4_EQ_HDG</t>
  </si>
  <si>
    <t xml:space="preserve">M4 — moteur EQ_HDG retenu (1) ou non (0)</t>
  </si>
  <si>
    <t xml:space="preserve">cfg_M4_EQ_PRO</t>
  </si>
  <si>
    <t xml:space="preserve">M4 — moteur EQ_PRO retenu (1) ou non (0)</t>
  </si>
  <si>
    <t xml:space="preserve">cfg_M4_EQ_RET</t>
  </si>
  <si>
    <t xml:space="preserve">M4 — moteur EQ_RET retenu (1) ou non (0)</t>
  </si>
  <si>
    <t xml:space="preserve">cfg_M4_EQ_STD</t>
  </si>
  <si>
    <t xml:space="preserve">M4 — moteur EQ_STD retenu (1) ou non (0)</t>
  </si>
  <si>
    <t xml:space="preserve">cfg_M4_EVT</t>
  </si>
  <si>
    <t xml:space="preserve">M4 — moteur EVT retenu (1) ou non (0)</t>
  </si>
  <si>
    <t xml:space="preserve">cfg_M4_GITE</t>
  </si>
  <si>
    <t xml:space="preserve">M4 — moteur GITE retenu (1) ou non (0)</t>
  </si>
  <si>
    <t xml:space="preserve">cfg_M4_HOTEL</t>
  </si>
  <si>
    <t xml:space="preserve">M4 — moteur HOTEL retenu (1) ou non (0)</t>
  </si>
  <si>
    <t xml:space="preserve">cfg_M4_LOG</t>
  </si>
  <si>
    <t xml:space="preserve">M4 — moteur LOG retenu (1) ou non (0)</t>
  </si>
  <si>
    <t xml:space="preserve">cfg_M4_LUX</t>
  </si>
  <si>
    <t xml:space="preserve">M4 — moteur LUX retenu (1) ou non (0)</t>
  </si>
  <si>
    <t xml:space="preserve">cfg_M4_PV</t>
  </si>
  <si>
    <t xml:space="preserve">M4 — moteur PV retenu (1) ou non (0)</t>
  </si>
  <si>
    <t xml:space="preserve">cfg_M4_REPRO</t>
  </si>
  <si>
    <t xml:space="preserve">M4 — moteur REPRO retenu (1) ou non (0)</t>
  </si>
  <si>
    <t xml:space="preserve">cfg_M4_SEMJ</t>
  </si>
  <si>
    <t xml:space="preserve">M4 — moteur SEMJ retenu (1) ou non (0)</t>
  </si>
  <si>
    <t xml:space="preserve">cfg_M4_STOCK</t>
  </si>
  <si>
    <t xml:space="preserve">M4 — moteur STOCK retenu (1) ou non (0)</t>
  </si>
  <si>
    <t xml:space="preserve">cfg_M4_TOURN</t>
  </si>
  <si>
    <t xml:space="preserve">M4 — moteur TOURN retenu (1) ou non (0)</t>
  </si>
  <si>
    <t xml:space="preserve">cfg_M5_ANC</t>
  </si>
  <si>
    <t xml:space="preserve">M5 — moteur ANC retenu (1) ou non (0)</t>
  </si>
  <si>
    <t xml:space="preserve">M5 : Socle minimal + dotation financière extérieure</t>
  </si>
  <si>
    <t xml:space="preserve">cfg_M5_AUTO</t>
  </si>
  <si>
    <t xml:space="preserve">M5 — moteur AUTO retenu (1) ou non (0)</t>
  </si>
  <si>
    <t xml:space="preserve">cfg_M5_BOIS</t>
  </si>
  <si>
    <t xml:space="preserve">M5 — moteur BOIS retenu (1) ou non (0)</t>
  </si>
  <si>
    <t xml:space="preserve">cfg_M5_EQ_HDG</t>
  </si>
  <si>
    <t xml:space="preserve">M5 — moteur EQ_HDG retenu (1) ou non (0)</t>
  </si>
  <si>
    <t xml:space="preserve">cfg_M5_EQ_PRO</t>
  </si>
  <si>
    <t xml:space="preserve">M5 — moteur EQ_PRO retenu (1) ou non (0)</t>
  </si>
  <si>
    <t xml:space="preserve">cfg_M5_EQ_RET</t>
  </si>
  <si>
    <t xml:space="preserve">M5 — moteur EQ_RET retenu (1) ou non (0)</t>
  </si>
  <si>
    <t xml:space="preserve">cfg_M5_EQ_STD</t>
  </si>
  <si>
    <t xml:space="preserve">M5 — moteur EQ_STD retenu (1) ou non (0)</t>
  </si>
  <si>
    <t xml:space="preserve">cfg_M5_EVT</t>
  </si>
  <si>
    <t xml:space="preserve">M5 — moteur EVT retenu (1) ou non (0)</t>
  </si>
  <si>
    <t xml:space="preserve">cfg_M5_GITE</t>
  </si>
  <si>
    <t xml:space="preserve">M5 — moteur GITE retenu (1) ou non (0)</t>
  </si>
  <si>
    <t xml:space="preserve">cfg_M5_HOTEL</t>
  </si>
  <si>
    <t xml:space="preserve">M5 — moteur HOTEL retenu (1) ou non (0)</t>
  </si>
  <si>
    <t xml:space="preserve">cfg_M5_LOG</t>
  </si>
  <si>
    <t xml:space="preserve">M5 — moteur LOG retenu (1) ou non (0)</t>
  </si>
  <si>
    <t xml:space="preserve">cfg_M5_LUX</t>
  </si>
  <si>
    <t xml:space="preserve">M5 — moteur LUX retenu (1) ou non (0)</t>
  </si>
  <si>
    <t xml:space="preserve">cfg_M5_PV</t>
  </si>
  <si>
    <t xml:space="preserve">M5 — moteur PV retenu (1) ou non (0)</t>
  </si>
  <si>
    <t xml:space="preserve">cfg_M5_REPRO</t>
  </si>
  <si>
    <t xml:space="preserve">M5 — moteur REPRO retenu (1) ou non (0)</t>
  </si>
  <si>
    <t xml:space="preserve">cfg_M5_SEMJ</t>
  </si>
  <si>
    <t xml:space="preserve">M5 — moteur SEMJ retenu (1) ou non (0)</t>
  </si>
  <si>
    <t xml:space="preserve">cfg_M5_STOCK</t>
  </si>
  <si>
    <t xml:space="preserve">M5 — moteur STOCK retenu (1) ou non (0)</t>
  </si>
  <si>
    <t xml:space="preserve">cfg_M5_TOURN</t>
  </si>
  <si>
    <t xml:space="preserve">M5 — moteur TOURN retenu (1) ou non (0)</t>
  </si>
  <si>
    <t xml:space="preserve">cfg_M6_ANC</t>
  </si>
  <si>
    <t xml:space="preserve">M6 — moteur ANC retenu (1) ou non (0)</t>
  </si>
  <si>
    <t xml:space="preserve">M6 : Socle minimal + entreprise extérieure</t>
  </si>
  <si>
    <t xml:space="preserve">cfg_M6_AUTO</t>
  </si>
  <si>
    <t xml:space="preserve">M6 — moteur AUTO retenu (1) ou non (0)</t>
  </si>
  <si>
    <t xml:space="preserve">cfg_M6_BOIS</t>
  </si>
  <si>
    <t xml:space="preserve">M6 — moteur BOIS retenu (1) ou non (0)</t>
  </si>
  <si>
    <t xml:space="preserve">cfg_M6_EQ_HDG</t>
  </si>
  <si>
    <t xml:space="preserve">M6 — moteur EQ_HDG retenu (1) ou non (0)</t>
  </si>
  <si>
    <t xml:space="preserve">cfg_M6_EQ_PRO</t>
  </si>
  <si>
    <t xml:space="preserve">M6 — moteur EQ_PRO retenu (1) ou non (0)</t>
  </si>
  <si>
    <t xml:space="preserve">cfg_M6_EQ_RET</t>
  </si>
  <si>
    <t xml:space="preserve">M6 — moteur EQ_RET retenu (1) ou non (0)</t>
  </si>
  <si>
    <t xml:space="preserve">cfg_M6_EQ_STD</t>
  </si>
  <si>
    <t xml:space="preserve">M6 — moteur EQ_STD retenu (1) ou non (0)</t>
  </si>
  <si>
    <t xml:space="preserve">cfg_M6_EVT</t>
  </si>
  <si>
    <t xml:space="preserve">M6 — moteur EVT retenu (1) ou non (0)</t>
  </si>
  <si>
    <t xml:space="preserve">cfg_M6_GITE</t>
  </si>
  <si>
    <t xml:space="preserve">M6 — moteur GITE retenu (1) ou non (0)</t>
  </si>
  <si>
    <t xml:space="preserve">cfg_M6_HOTEL</t>
  </si>
  <si>
    <t xml:space="preserve">M6 — moteur HOTEL retenu (1) ou non (0)</t>
  </si>
  <si>
    <t xml:space="preserve">cfg_M6_LOG</t>
  </si>
  <si>
    <t xml:space="preserve">M6 — moteur LOG retenu (1) ou non (0)</t>
  </si>
  <si>
    <t xml:space="preserve">cfg_M6_LUX</t>
  </si>
  <si>
    <t xml:space="preserve">M6 — moteur LUX retenu (1) ou non (0)</t>
  </si>
  <si>
    <t xml:space="preserve">cfg_M6_PV</t>
  </si>
  <si>
    <t xml:space="preserve">M6 — moteur PV retenu (1) ou non (0)</t>
  </si>
  <si>
    <t xml:space="preserve">cfg_M6_REPRO</t>
  </si>
  <si>
    <t xml:space="preserve">M6 — moteur REPRO retenu (1) ou non (0)</t>
  </si>
  <si>
    <t xml:space="preserve">cfg_M6_SEMJ</t>
  </si>
  <si>
    <t xml:space="preserve">M6 — moteur SEMJ retenu (1) ou non (0)</t>
  </si>
  <si>
    <t xml:space="preserve">cfg_M6_STOCK</t>
  </si>
  <si>
    <t xml:space="preserve">M6 — moteur STOCK retenu (1) ou non (0)</t>
  </si>
  <si>
    <t xml:space="preserve">cfg_M6_TOURN</t>
  </si>
  <si>
    <t xml:space="preserve">M6 — moteur TOURN retenu (1) ou non (0)</t>
  </si>
  <si>
    <t xml:space="preserve">cfg_M7_ANC</t>
  </si>
  <si>
    <t xml:space="preserve">M7 — moteur ANC retenu (1) ou non (0)</t>
  </si>
  <si>
    <t xml:space="preserve">M7 : Locataire d'ancrage : bail à un exploitant de séminaires + socle foncier</t>
  </si>
  <si>
    <t xml:space="preserve">cfg_M7_AUTO</t>
  </si>
  <si>
    <t xml:space="preserve">M7 — moteur AUTO retenu (1) ou non (0)</t>
  </si>
  <si>
    <t xml:space="preserve">cfg_M7_BOIS</t>
  </si>
  <si>
    <t xml:space="preserve">M7 — moteur BOIS retenu (1) ou non (0)</t>
  </si>
  <si>
    <t xml:space="preserve">cfg_M7_EQ_HDG</t>
  </si>
  <si>
    <t xml:space="preserve">M7 — moteur EQ_HDG retenu (1) ou non (0)</t>
  </si>
  <si>
    <t xml:space="preserve">cfg_M7_EQ_PRO</t>
  </si>
  <si>
    <t xml:space="preserve">M7 — moteur EQ_PRO retenu (1) ou non (0)</t>
  </si>
  <si>
    <t xml:space="preserve">cfg_M7_EQ_RET</t>
  </si>
  <si>
    <t xml:space="preserve">M7 — moteur EQ_RET retenu (1) ou non (0)</t>
  </si>
  <si>
    <t xml:space="preserve">cfg_M7_EQ_STD</t>
  </si>
  <si>
    <t xml:space="preserve">M7 — moteur EQ_STD retenu (1) ou non (0)</t>
  </si>
  <si>
    <t xml:space="preserve">cfg_M7_EVT</t>
  </si>
  <si>
    <t xml:space="preserve">M7 — moteur EVT retenu (1) ou non (0)</t>
  </si>
  <si>
    <t xml:space="preserve">cfg_M7_GITE</t>
  </si>
  <si>
    <t xml:space="preserve">M7 — moteur GITE retenu (1) ou non (0)</t>
  </si>
  <si>
    <t xml:space="preserve">cfg_M7_HOTEL</t>
  </si>
  <si>
    <t xml:space="preserve">M7 — moteur HOTEL retenu (1) ou non (0)</t>
  </si>
  <si>
    <t xml:space="preserve">cfg_M7_LOG</t>
  </si>
  <si>
    <t xml:space="preserve">M7 — moteur LOG retenu (1) ou non (0)</t>
  </si>
  <si>
    <t xml:space="preserve">cfg_M7_LUX</t>
  </si>
  <si>
    <t xml:space="preserve">M7 — moteur LUX retenu (1) ou non (0)</t>
  </si>
  <si>
    <t xml:space="preserve">cfg_M7_PV</t>
  </si>
  <si>
    <t xml:space="preserve">M7 — moteur PV retenu (1) ou non (0)</t>
  </si>
  <si>
    <t xml:space="preserve">cfg_M7_REPRO</t>
  </si>
  <si>
    <t xml:space="preserve">M7 — moteur REPRO retenu (1) ou non (0)</t>
  </si>
  <si>
    <t xml:space="preserve">cfg_M7_SEMJ</t>
  </si>
  <si>
    <t xml:space="preserve">M7 — moteur SEMJ retenu (1) ou non (0)</t>
  </si>
  <si>
    <t xml:space="preserve">cfg_M7_STOCK</t>
  </si>
  <si>
    <t xml:space="preserve">M7 — moteur STOCK retenu (1) ou non (0)</t>
  </si>
  <si>
    <t xml:space="preserve">cfg_M7_TOURN</t>
  </si>
  <si>
    <t xml:space="preserve">M7 — moteur TOURN retenu (1) ou non (0)</t>
  </si>
  <si>
    <t xml:space="preserve">cfg_M8_ANC</t>
  </si>
  <si>
    <t xml:space="preserve">M8 — moteur ANC retenu (1) ou non (0)</t>
  </si>
  <si>
    <t xml:space="preserve">M8 : Socle M1 + location de luxe de la partie privée quelques semaines par an</t>
  </si>
  <si>
    <t xml:space="preserve">cfg_M8_AUTO</t>
  </si>
  <si>
    <t xml:space="preserve">M8 — moteur AUTO retenu (1) ou non (0)</t>
  </si>
  <si>
    <t xml:space="preserve">cfg_M8_BOIS</t>
  </si>
  <si>
    <t xml:space="preserve">M8 — moteur BOIS retenu (1) ou non (0)</t>
  </si>
  <si>
    <t xml:space="preserve">cfg_M8_EQ_HDG</t>
  </si>
  <si>
    <t xml:space="preserve">M8 — moteur EQ_HDG retenu (1) ou non (0)</t>
  </si>
  <si>
    <t xml:space="preserve">cfg_M8_EQ_PRO</t>
  </si>
  <si>
    <t xml:space="preserve">M8 — moteur EQ_PRO retenu (1) ou non (0)</t>
  </si>
  <si>
    <t xml:space="preserve">cfg_M8_EQ_RET</t>
  </si>
  <si>
    <t xml:space="preserve">M8 — moteur EQ_RET retenu (1) ou non (0)</t>
  </si>
  <si>
    <t xml:space="preserve">cfg_M8_EQ_STD</t>
  </si>
  <si>
    <t xml:space="preserve">M8 — moteur EQ_STD retenu (1) ou non (0)</t>
  </si>
  <si>
    <t xml:space="preserve">cfg_M8_EVT</t>
  </si>
  <si>
    <t xml:space="preserve">M8 — moteur EVT retenu (1) ou non (0)</t>
  </si>
  <si>
    <t xml:space="preserve">cfg_M8_GITE</t>
  </si>
  <si>
    <t xml:space="preserve">M8 — moteur GITE retenu (1) ou non (0)</t>
  </si>
  <si>
    <t xml:space="preserve">cfg_M8_HOTEL</t>
  </si>
  <si>
    <t xml:space="preserve">M8 — moteur HOTEL retenu (1) ou non (0)</t>
  </si>
  <si>
    <t xml:space="preserve">cfg_M8_LOG</t>
  </si>
  <si>
    <t xml:space="preserve">M8 — moteur LOG retenu (1) ou non (0)</t>
  </si>
  <si>
    <t xml:space="preserve">cfg_M8_LUX</t>
  </si>
  <si>
    <t xml:space="preserve">M8 — moteur LUX retenu (1) ou non (0)</t>
  </si>
  <si>
    <t xml:space="preserve">cfg_M8_PV</t>
  </si>
  <si>
    <t xml:space="preserve">M8 — moteur PV retenu (1) ou non (0)</t>
  </si>
  <si>
    <t xml:space="preserve">cfg_M8_REPRO</t>
  </si>
  <si>
    <t xml:space="preserve">M8 — moteur REPRO retenu (1) ou non (0)</t>
  </si>
  <si>
    <t xml:space="preserve">cfg_M8_SEMJ</t>
  </si>
  <si>
    <t xml:space="preserve">M8 — moteur SEMJ retenu (1) ou non (0)</t>
  </si>
  <si>
    <t xml:space="preserve">cfg_M8_STOCK</t>
  </si>
  <si>
    <t xml:space="preserve">M8 — moteur STOCK retenu (1) ou non (0)</t>
  </si>
  <si>
    <t xml:space="preserve">cfg_M8_TOURN</t>
  </si>
  <si>
    <t xml:space="preserve">M8 — moteur TOURN retenu (1) ou non (0)</t>
  </si>
  <si>
    <t xml:space="preserve">fuite_fiscale</t>
  </si>
  <si>
    <t xml:space="preserve">Fuite fiscale sur les contributions sur place utilisées pour des coûts privés</t>
  </si>
  <si>
    <t xml:space="preserve">R3-16; R3-20; R3-57; V2R-04; V2R-05</t>
  </si>
  <si>
    <t xml:space="preserve">Chaîne complète IS 25 % puis PFU 31,4 % = 48,6 %, et 54 % avec les contributions sur les hauts revenus (défavorable). Une part des contributions finance des coûts professionnels déductibles (loyers payés à la SCI, entretien des espaces exploités) et subit moins d'impôt. Valeur centrale relevée de 30 à 40 % (V2R m3).</t>
  </si>
  <si>
    <t xml:space="preserve">— Jardins, terres, équipements, chevaux —</t>
  </si>
  <si>
    <t xml:space="preserve">S1_valeur_equip</t>
  </si>
  <si>
    <t xml:space="preserve">S1 — parc de matériel à neuf (tracteur compact, broyeur, épandeur, tondeuses, utilitaire)</t>
  </si>
  <si>
    <t xml:space="preserve">€ HT</t>
  </si>
  <si>
    <t xml:space="preserve">R2-30</t>
  </si>
  <si>
    <t xml:space="preserve">≈ 130 000 € selon le guide des cuma 2025-2026, plus ≈ 40 000 € de tondeuses et d'utilitaire (hypothèse).</t>
  </si>
  <si>
    <t xml:space="preserve">Jardins, terres, équipements, chevaux</t>
  </si>
  <si>
    <t xml:space="preserve">S2_valeur_equip</t>
  </si>
  <si>
    <t xml:space="preserve">S2 — parc de matériel à neuf (2 tracteurs, télescopique, fenaison, épandeur, tondeuses, utilitaires)</t>
  </si>
  <si>
    <t xml:space="preserve">≈ 436 000 € selon le guide des cuma, plus ≈ 60 000 € de tondeuses et de véhicules (hypothèse).</t>
  </si>
  <si>
    <t xml:space="preserve">S3_valeur_equip</t>
  </si>
  <si>
    <t xml:space="preserve">S3 — parc de matériel à neuf</t>
  </si>
  <si>
    <t xml:space="preserve">≈ 565 000 € selon le guide des cuma, plus ≈ 100 000 € (hypothèse).</t>
  </si>
  <si>
    <t xml:space="preserve">bois_cout_ha</t>
  </si>
  <si>
    <t xml:space="preserve">Bois : gestion courante</t>
  </si>
  <si>
    <t xml:space="preserve">€/ha/an</t>
  </si>
  <si>
    <t xml:space="preserve">À recouper avec R8 (revenu forestier net).</t>
  </si>
  <si>
    <t xml:space="preserve">box_entretien</t>
  </si>
  <si>
    <t xml:space="preserve">Entretien et renouvellement d'un box</t>
  </si>
  <si>
    <t xml:space="preserve">€/box/an</t>
  </si>
  <si>
    <t xml:space="preserve">R2-28</t>
  </si>
  <si>
    <t xml:space="preserve">Box de 8 000 à 25 000 € sur 25 ans.</t>
  </si>
  <si>
    <t xml:space="preserve">cheval_an</t>
  </si>
  <si>
    <t xml:space="preserve">Coût annuel d'un cheval au box hors personnel (alimentation, litière, maréchal, vétérinaire, assurance, eau)</t>
  </si>
  <si>
    <t xml:space="preserve">€/cheval/an TTC</t>
  </si>
  <si>
    <t xml:space="preserve">R2-17; R2-18; R2-24; R2-21</t>
  </si>
  <si>
    <t xml:space="preserve">Alimentation + litière 1 000 à 2 000 € ; maréchal 525 à 1 040 € ; soins 270 à 500 € ; aléas 300 à 500 € ; assurance 450 à 750 € (prix de 2012 majorés d'environ 20 %). Hors compétition.</t>
  </si>
  <si>
    <t xml:space="preserve">cloture_ml</t>
  </si>
  <si>
    <t xml:space="preserve">Clôture équestre de qualité posée</t>
  </si>
  <si>
    <t xml:space="preserve">€/ml</t>
  </si>
  <si>
    <t xml:space="preserve">R2</t>
  </si>
  <si>
    <t xml:space="preserve">Fourchette proposée par R2 sans source (20 à 60 €/ml).</t>
  </si>
  <si>
    <t xml:space="preserve">cloture_vie</t>
  </si>
  <si>
    <t xml:space="preserve">Durée de vie des clôtures</t>
  </si>
  <si>
    <t xml:space="preserve">années</t>
  </si>
  <si>
    <t xml:space="preserve">equip_entretien_taux</t>
  </si>
  <si>
    <t xml:space="preserve">Entretien, réparations et carburant du matériel, en % de sa valeur</t>
  </si>
  <si>
    <t xml:space="preserve">equip_vie</t>
  </si>
  <si>
    <t xml:space="preserve">Durée de renouvellement moyenne du matériel</t>
  </si>
  <si>
    <t xml:space="preserve">Durées d'amortissement des cuma : 8,2 à 10,7 ans.</t>
  </si>
  <si>
    <t xml:space="preserve">jardin_ha</t>
  </si>
  <si>
    <t xml:space="preserve">Jardins réguliers : fournitures, végétaux, traitements, sous-traitance (hors personnel)</t>
  </si>
  <si>
    <t xml:space="preserve">€/ha/an TTC</t>
  </si>
  <si>
    <t xml:space="preserve">Coûts au m² introuvables (Plante &amp; Cité réservé aux adhérents). Hypothèse à remplacer par des devis.</t>
  </si>
  <si>
    <t xml:space="preserve">manege_cout_m2</t>
  </si>
  <si>
    <t xml:space="preserve">Manège couvert : coût de construction</t>
  </si>
  <si>
    <t xml:space="preserve">R2-27</t>
  </si>
  <si>
    <t xml:space="preserve">220 000 à 305 000 € pour 60 × 25 m (fiabilité faible).</t>
  </si>
  <si>
    <t xml:space="preserve">manege_vie</t>
  </si>
  <si>
    <t xml:space="preserve">Durée de vie d'un manège</t>
  </si>
  <si>
    <t xml:space="preserve">Acier galvanisé 30 à 40 ans ; bois 20 à 30 ans.</t>
  </si>
  <si>
    <t xml:space="preserve">parc_ha</t>
  </si>
  <si>
    <t xml:space="preserve">Parc : fauche, élagage par arboriste, replantation (hors personnel)</t>
  </si>
  <si>
    <t xml:space="preserve">prairie_ha</t>
  </si>
  <si>
    <t xml:space="preserve">Prairies : entretien hors récolte</t>
  </si>
  <si>
    <t xml:space="preserve">R2-17; R2-26</t>
  </si>
  <si>
    <t xml:space="preserve">Repères : 120 €/ha (2012, entretien par un professionnel) et 185 €/ha/an (2008, hors récolte).</t>
  </si>
  <si>
    <t xml:space="preserve">sol_cout_m2</t>
  </si>
  <si>
    <t xml:space="preserve">Réfection des sols équestres (sable fibré, nivellement)</t>
  </si>
  <si>
    <t xml:space="preserve">Sable classique 3 à 8 €/m², fibré 10 à 15 €/m² (site commercial, fiabilité faible).</t>
  </si>
  <si>
    <t xml:space="preserve">sol_vie</t>
  </si>
  <si>
    <t xml:space="preserve">Durée de vie d'un sol équestre</t>
  </si>
  <si>
    <t xml:space="preserve">Durée de vie introuvable (R2).</t>
  </si>
  <si>
    <t xml:space="preserve">tfnb_ha</t>
  </si>
  <si>
    <t xml:space="preserve">Taxe foncière sur le non bâti</t>
  </si>
  <si>
    <t xml:space="preserve">Aucune donnée trouvée ; exonérations partielles possibles pour les terres agricoles (à vérifier, R3).</t>
  </si>
  <si>
    <t xml:space="preserve">— Moteurs — bail d'ancrage et location de luxe (vague 2) —</t>
  </si>
  <si>
    <t xml:space="preserve">anc_ca_chambre</t>
  </si>
  <si>
    <t xml:space="preserve">Bail d'ancrage : chiffre d'affaires annuel de l'exploitant par chambre</t>
  </si>
  <si>
    <t xml:space="preserve">€ HT/chambre/an</t>
  </si>
  <si>
    <t xml:space="preserve">V2A-14; V2A-01</t>
  </si>
  <si>
    <t xml:space="preserve">Château de Méry (70 chambres) : 72 400 € en 2024 ; campus Saint-Just (148 chambres) : 68 800 € en 2025. Deux maisons proches de Paris, non transposables à une région éloignée.</t>
  </si>
  <si>
    <t xml:space="preserve">Moteurs — bail d'ancrage et location de luxe (vague 2)</t>
  </si>
  <si>
    <t xml:space="preserve">anc_chambres</t>
  </si>
  <si>
    <t xml:space="preserve">Bail d'ancrage : chambres exploitées par un opérateur de séminaires résidentiels</t>
  </si>
  <si>
    <t xml:space="preserve">chambres</t>
  </si>
  <si>
    <t xml:space="preserve">V2A-13; V2A-54</t>
  </si>
  <si>
    <t xml:space="preserve">Toutes les maisons Châteauform' en France ont au moins 40 chambres (médiane 61). S2 permettrait 40 à 60 chambres en mobilisant l'essentiel des bâtiments (V2A § 4.3). Défavorable = conditions non réunies (plus de ≈ 90 km de Paris ou de 45 min d'une gare TGV, ou refus de cohabitation) : aucun exploitant.</t>
  </si>
  <si>
    <t xml:space="preserve">anc_frais_bailleur</t>
  </si>
  <si>
    <t xml:space="preserve">Bail d'ancrage : frais du bailleur (gestion, juristes, assurance, impôts non refacturés)</t>
  </si>
  <si>
    <t xml:space="preserve">% du loyer</t>
  </si>
  <si>
    <t xml:space="preserve">anc_part_transferee</t>
  </si>
  <si>
    <t xml:space="preserve">Bail d'ancrage : part de l'énergie et de l'entretien courant du bâti reprise par l'exploitant</t>
  </si>
  <si>
    <t xml:space="preserve">V2A-38</t>
  </si>
  <si>
    <t xml:space="preserve">Dans un bail commercial, l'entretien courant et les fluides de la zone louée sont au preneur ; les grosses réparations (toiture, murs porteurs) restent toujours au bailleur.</t>
  </si>
  <si>
    <t xml:space="preserve">anc_taux_loyer</t>
  </si>
  <si>
    <t xml:space="preserve">Bail d'ancrage : loyer en % du chiffre d'affaires de l'exploitant</t>
  </si>
  <si>
    <t xml:space="preserve">V2A-29; V2A-31</t>
  </si>
  <si>
    <t xml:space="preserve">Pratique hôtelière : 10-15 % du CA pour un indépendant ; plafond économique 8-14 % (couverture du loyer de 1,8 fois). V2A retient 8-15 % (central 12 %) ; ramené ici vers le bas parce que l'exploitant finance la transformation (abattement de 5 à 50 % selon les travaux, V2A § 7). Aucun loyer réel de château loué à un exploitant n'a été trouvé.</t>
  </si>
  <si>
    <t xml:space="preserve">lux_capex</t>
  </si>
  <si>
    <t xml:space="preserve">Location de luxe : mise aux standards (piscine, une salle de bains par chambre)</t>
  </si>
  <si>
    <t xml:space="preserve">€</t>
  </si>
  <si>
    <t xml:space="preserve">V2D-40; V2D-41</t>
  </si>
  <si>
    <t xml:space="preserve">Exigences observées : piscine dans tous les châteaux de la plateforme, 0,75 à 1 salle de bains par chambre. Coût INCONNU (V2D) : ordre de grandeur à remplacer par des devis.</t>
  </si>
  <si>
    <t xml:space="preserve">lux_commission</t>
  </si>
  <si>
    <t xml:space="preserve">Location de luxe : commission de la plateforme</t>
  </si>
  <si>
    <t xml:space="preserve">V2D-24; V2D-25</t>
  </si>
  <si>
    <t xml:space="preserve">Le Collectionist : 20 % (2017), 22 % (2020).</t>
  </si>
  <si>
    <t xml:space="preserve">lux_fixe</t>
  </si>
  <si>
    <t xml:space="preserve">Location de luxe : charges fixes (assurance RC, comptabilité au réel, entretien de la piscine)</t>
  </si>
  <si>
    <t xml:space="preserve">€/an</t>
  </si>
  <si>
    <t xml:space="preserve">V2D-28; V2D-32</t>
  </si>
  <si>
    <t xml:space="preserve">lux_prix_semaine</t>
  </si>
  <si>
    <t xml:space="preserve">Location de luxe : prix d'une semaine (château de 10 à 14 chambres)</t>
  </si>
  <si>
    <t xml:space="preserve">€/semaine</t>
  </si>
  <si>
    <t xml:space="preserve">V2D-35; V2D-36; V2D-37; V2D-38; V2D-25</t>
  </si>
  <si>
    <t xml:space="preserve">Prix publiés : 12 755 à 46 860 € par semaine pour 8 à 14 chambres ; prix moyen de la plateforme ≈ 25 000 € (2020). Régime de TVA non précisé : montant traité comme hors taxe.</t>
  </si>
  <si>
    <t xml:space="preserve">lux_semaines</t>
  </si>
  <si>
    <t xml:space="preserve">Location de luxe de la partie privée : semaines louées par an</t>
  </si>
  <si>
    <t xml:space="preserve">semaines</t>
  </si>
  <si>
    <t xml:space="preserve">V2D-26; V2D-28</t>
  </si>
  <si>
    <t xml:space="preserve">Aucun chiffre réel trouvé. Le Collectionist : ≈ 2 réservations par propriété et par an ; Oliver's Travels exige 6 semaines disponibles en juillet-août. Le propriétaire doit quitter les lieux.</t>
  </si>
  <si>
    <t xml:space="preserve">lux_var</t>
  </si>
  <si>
    <t xml:space="preserve">Location de luxe : charges variables (ménage, gardien, linge, fluides, usure)</t>
  </si>
  <si>
    <t xml:space="preserve">V2D-24</t>
  </si>
  <si>
    <t xml:space="preserve">Les services compris dans le prix (ménage, jardiniers) sont fournis par le propriétaire.</t>
  </si>
  <si>
    <t xml:space="preserve">— Moteurs — château-hôtel —</t>
  </si>
  <si>
    <t xml:space="preserve">hot_autres_charges</t>
  </si>
  <si>
    <t xml:space="preserve">Château-hôtel : autres charges d'exploitation en % du CA</t>
  </si>
  <si>
    <t xml:space="preserve">Moteurs — château-hôtel</t>
  </si>
  <si>
    <t xml:space="preserve">hot_autres_recettes</t>
  </si>
  <si>
    <t xml:space="preserve">Château-hôtel : autres recettes (restauration, événements) en % de l'hébergement</t>
  </si>
  <si>
    <t xml:space="preserve">hot_capex_chambre</t>
  </si>
  <si>
    <t xml:space="preserve">Château-hôtel : investissement par chambre</t>
  </si>
  <si>
    <t xml:space="preserve">€/chambre</t>
  </si>
  <si>
    <t xml:space="preserve">R7-41; R7-42; R7-43</t>
  </si>
  <si>
    <t xml:space="preserve">Hors prix d'achat (≈ 750 000 €/chambre en l'incluant) ; restaurant, spa, piscine et parc compris (V2V).</t>
  </si>
  <si>
    <t xml:space="preserve">hot_chambres</t>
  </si>
  <si>
    <t xml:space="preserve">Château-hôtel : nombre de chambres</t>
  </si>
  <si>
    <t xml:space="preserve">hot_cout_etp</t>
  </si>
  <si>
    <t xml:space="preserve">Château-hôtel : coût employeur moyen par ETP</t>
  </si>
  <si>
    <t xml:space="preserve">€/ETP/an</t>
  </si>
  <si>
    <t xml:space="preserve">R2-11</t>
  </si>
  <si>
    <t xml:space="preserve">≈ 1,25 à 1,4 SMIC chargé.</t>
  </si>
  <si>
    <t xml:space="preserve">hot_etp_chambre</t>
  </si>
  <si>
    <t xml:space="preserve">Château-hôtel : salariés par chambre</t>
  </si>
  <si>
    <t xml:space="preserve">personnes/chambre</t>
  </si>
  <si>
    <t xml:space="preserve">R7-41; V2V-30</t>
  </si>
  <si>
    <t xml:space="preserve">Cas Louise de La Vallière : effectif projeté à l'ouverture de 33 personnes, dont 19 en cuisine, restaurant et bar (V2V). Sans restaurant, l'ordre de grandeur serait d'environ 0,7.</t>
  </si>
  <si>
    <t xml:space="preserve">hot_revpar</t>
  </si>
  <si>
    <t xml:space="preserve">Château-hôtel : revenu par chambre disponible (RevPAR) HT</t>
  </si>
  <si>
    <t xml:space="preserve">€ HT/nuit</t>
  </si>
  <si>
    <t xml:space="preserve">R7-38</t>
  </si>
  <si>
    <t xml:space="preserve">Haut de gamme 2025 : Indre-et-Loire 102 €, Gironde 146 €, Calvados 184 €.</t>
  </si>
  <si>
    <t xml:space="preserve">— Moteurs — extérieurs —</t>
  </si>
  <si>
    <t xml:space="preserve">dot_taux_net</t>
  </si>
  <si>
    <t xml:space="preserve">Capital affecté : taux de retrait réel net d'impôt soutenable (règle de dépense)</t>
  </si>
  <si>
    <t xml:space="preserve">% du capital</t>
  </si>
  <si>
    <t xml:space="preserve">R8-31; R8-32; R8-34; V2R-03; V2R-04; V2R-05; V2R-08; V2R-16</t>
  </si>
  <si>
    <t xml:space="preserve">Fixé 0,25 point sous le rendement réel net retenu (2 %, voir dot_rendement). Les dotations américaines dépensent 4,9 %, mais elles sont exonérées d'impôt. Version précédente : 2,75 %, jugée incompatible avec la fiscalité et les frais par l'équipe rouge (V2R C2).</t>
  </si>
  <si>
    <t xml:space="preserve">Moteurs — extérieurs</t>
  </si>
  <si>
    <t xml:space="preserve">ent_conversion</t>
  </si>
  <si>
    <t xml:space="preserve">Entreprise extérieure : dividende net par euro d'EBITDA</t>
  </si>
  <si>
    <t xml:space="preserve">€/€</t>
  </si>
  <si>
    <t xml:space="preserve">R3-16; R3-20; R8-35; V2R-04; V2R-05</t>
  </si>
  <si>
    <t xml:space="preserve">EBITDA → résultat avant impôt ≈ 0,77 (hypothèse de R8) × (1 − IS 25 %) × (1 − 38,6 %) : PFU 31,4 % plus contribution exceptionnelle et contribution différentielle sur les hauts revenus (V2R m2).</t>
  </si>
  <si>
    <t xml:space="preserve">— Moteurs — foncier, énergie —</t>
  </si>
  <si>
    <t xml:space="preserve">bois_net_ha</t>
  </si>
  <si>
    <t xml:space="preserve">Forêt : revenu net des coupes</t>
  </si>
  <si>
    <t xml:space="preserve">R8-04; R8-05</t>
  </si>
  <si>
    <t xml:space="preserve">Revenu net introuvable ; hypothèse de R8. Prix : forêt 4 950 €/ha, chêne −17 % en 2025.</t>
  </si>
  <si>
    <t xml:space="preserve">Moteurs — foncier, énergie</t>
  </si>
  <si>
    <t xml:space="preserve">pv_ha</t>
  </si>
  <si>
    <t xml:space="preserve">Solaire au sol ou agrivoltaïque hors champ de visibilité : surface louée</t>
  </si>
  <si>
    <t xml:space="preserve">ha</t>
  </si>
  <si>
    <t xml:space="preserve">R3-63; R3-44</t>
  </si>
  <si>
    <t xml:space="preserve">Défavorable = refus (abords d'un MH : permis et accord de l'ABF dès 3 kW ; loi APER).</t>
  </si>
  <si>
    <t xml:space="preserve">pv_loyer_ha</t>
  </si>
  <si>
    <t xml:space="preserve">Loyer d'une centrale solaire au sol</t>
  </si>
  <si>
    <t xml:space="preserve">R8-01</t>
  </si>
  <si>
    <t xml:space="preserve">1 500 à 6 000 €/ha/an : sources commerciales, fiabilité faible.</t>
  </si>
  <si>
    <t xml:space="preserve">— Moteurs — équestre —</t>
  </si>
  <si>
    <t xml:space="preserve">eq_hdg_boxes</t>
  </si>
  <si>
    <t xml:space="preserve">Pension haut de gamme : boxes proposés en pension</t>
  </si>
  <si>
    <t xml:space="preserve">boxes</t>
  </si>
  <si>
    <t xml:space="preserve">Moteurs — équestre</t>
  </si>
  <si>
    <t xml:space="preserve">eq_hdg_cout_fixe</t>
  </si>
  <si>
    <t xml:space="preserve">Pension haut de gamme : structure et travail par box</t>
  </si>
  <si>
    <t xml:space="preserve">R6-03</t>
  </si>
  <si>
    <t xml:space="preserve">(2 836 € de structure + 1 082 € de travail non salarié valorisé) × 1,16.</t>
  </si>
  <si>
    <t xml:space="preserve">eq_hdg_cout_var</t>
  </si>
  <si>
    <t xml:space="preserve">Pension haut de gamme : charges opérationnelles par cheval présent</t>
  </si>
  <si>
    <t xml:space="preserve">€/cheval/an</t>
  </si>
  <si>
    <t xml:space="preserve">1 929 € en 2021 (pensions travail) × 1,16.</t>
  </si>
  <si>
    <t xml:space="preserve">eq_hdg_occ</t>
  </si>
  <si>
    <t xml:space="preserve">Pension haut de gamme : taux d'occupation</t>
  </si>
  <si>
    <t xml:space="preserve">R6-16</t>
  </si>
  <si>
    <t xml:space="preserve">eq_hdg_prix_ht</t>
  </si>
  <si>
    <t xml:space="preserve">Pension haut de gamme : prix mensuel HT</t>
  </si>
  <si>
    <t xml:space="preserve">€ HT/mois</t>
  </si>
  <si>
    <t xml:space="preserve">R6-15; R3-22</t>
  </si>
  <si>
    <t xml:space="preserve">Haras de Jardy (10 km de Paris) : 922,50 € TTC, soit 874 € HT à 5,5 % (pension accessoire à la pratique de l'équitation). Valeur centrale abaissée pour un domaine à 1 h-1 h 30 d'une métropole. Demande haut de gamme hors Île-de-France : non prouvée. Le tarif publié ne précise pas l'unité de temps : unité mensuelle supposée (V2V).</t>
  </si>
  <si>
    <t xml:space="preserve">eq_pro_boxes</t>
  </si>
  <si>
    <t xml:space="preserve">Écuries louées à un professionnel : boxes</t>
  </si>
  <si>
    <t xml:space="preserve">eq_pro_cout_box</t>
  </si>
  <si>
    <t xml:space="preserve">Écuries louées : charges résiduelles du bailleur par box</t>
  </si>
  <si>
    <t xml:space="preserve">eq_pro_loyer_box</t>
  </si>
  <si>
    <t xml:space="preserve">Redevance annuelle par box louée à un professionnel</t>
  </si>
  <si>
    <t xml:space="preserve">R6-25; R6-17</t>
  </si>
  <si>
    <t xml:space="preserve">Plafond observé : 80 000 €/an pour 68 boxes à Paris (≈ 1 176 €/box). Rural : inconnu, moitié retenue. Défavorable = départ du locataire (Lamballe 2025). Risque de requalification en bail rural (R3).</t>
  </si>
  <si>
    <t xml:space="preserve">eq_ret_chevaux</t>
  </si>
  <si>
    <t xml:space="preserve">Pension retraite au pré : chevaux accueillis</t>
  </si>
  <si>
    <t xml:space="preserve">chevaux</t>
  </si>
  <si>
    <t xml:space="preserve">eq_ret_cout</t>
  </si>
  <si>
    <t xml:space="preserve">Pension retraite : coût par cheval présent (travail, foin d'hiver, clôtures, divers)</t>
  </si>
  <si>
    <t xml:space="preserve">R6-16; R2-21; R2-11</t>
  </si>
  <si>
    <t xml:space="preserve">4,8 h de travail par cheval et par mois (IFCE) à ≈ 25 €/h chargé, plus ≈ 1 t de foin.</t>
  </si>
  <si>
    <t xml:space="preserve">eq_ret_occ</t>
  </si>
  <si>
    <t xml:space="preserve">Pension retraite : taux d'occupation</t>
  </si>
  <si>
    <t xml:space="preserve">22 000 places vacantes en France (2019).</t>
  </si>
  <si>
    <t xml:space="preserve">eq_ret_prix_ht</t>
  </si>
  <si>
    <t xml:space="preserve">Pension retraite au pré : prix mensuel HT</t>
  </si>
  <si>
    <t xml:space="preserve">R6-16; R3-22</t>
  </si>
  <si>
    <t xml:space="preserve">« Pré été / rentré hiver » 220 €/mois (IFCE 2019, TTC probable) ; TVA 20 % pour la pension retraite.</t>
  </si>
  <si>
    <t xml:space="preserve">eq_std_boxes</t>
  </si>
  <si>
    <t xml:space="preserve">Pension standard : boxes proposés en pension</t>
  </si>
  <si>
    <t xml:space="preserve">Capacité excédentaire d'un domaine S2 (40 boxes, dont 8 pour les chevaux du propriétaire).</t>
  </si>
  <si>
    <t xml:space="preserve">eq_std_cout_fixe</t>
  </si>
  <si>
    <t xml:space="preserve">Pension standard : structure et travail par box (personnel compris)</t>
  </si>
  <si>
    <t xml:space="preserve">R6-03; R6-02</t>
  </si>
  <si>
    <t xml:space="preserve">(1 449 € de structure + 1 153 € de travail non salarié valorisé) × 1,16. Le travail est payé.</t>
  </si>
  <si>
    <t xml:space="preserve">eq_std_cout_var</t>
  </si>
  <si>
    <t xml:space="preserve">Pension standard : charges opérationnelles par cheval présent</t>
  </si>
  <si>
    <t xml:space="preserve">770 € en 2021 (Réseau Équin, pensions hébergement) × 1,16 d'inflation 2021-2026.</t>
  </si>
  <si>
    <t xml:space="preserve">eq_std_occ</t>
  </si>
  <si>
    <t xml:space="preserve">Pension standard : taux d'occupation</t>
  </si>
  <si>
    <t xml:space="preserve">Vacance moyenne de 5 places sur 30 à 35 en pension retraite (IFCE, 2019).</t>
  </si>
  <si>
    <t xml:space="preserve">eq_std_prix_ht</t>
  </si>
  <si>
    <t xml:space="preserve">Pension standard (box hébergement) : prix mensuel HT</t>
  </si>
  <si>
    <t xml:space="preserve">R6-02</t>
  </si>
  <si>
    <t xml:space="preserve">Cas-types 2025 du Réseau Équin : 334 € HT (périurbain) et 401 € HT (compétition).</t>
  </si>
  <si>
    <t xml:space="preserve">repro_contrib</t>
  </si>
  <si>
    <t xml:space="preserve">Centre de reproduction (si vétérinaire et étalon disponibles) : contribution nette</t>
  </si>
  <si>
    <t xml:space="preserve">R6-26</t>
  </si>
  <si>
    <t xml:space="preserve">EBE 74 449 € (Haras du Rond Pré, 2022) moins 1,8 UMO d'exploitants valorisées. Astreinte de 6 mois.</t>
  </si>
  <si>
    <t xml:space="preserve">— Moteurs — événements et hébergement —</t>
  </si>
  <si>
    <t xml:space="preserve">auto_capex</t>
  </si>
  <si>
    <t xml:space="preserve">Gardiennage de voitures : alarme, vidéo, déshumidification, sol</t>
  </si>
  <si>
    <t xml:space="preserve">Moteurs — événements et hébergement</t>
  </si>
  <si>
    <t xml:space="preserve">auto_fixe</t>
  </si>
  <si>
    <t xml:space="preserve">Gardiennage de voitures : sécurité, assurance du dépositaire, temps de présence</t>
  </si>
  <si>
    <t xml:space="preserve">auto_occ</t>
  </si>
  <si>
    <t xml:space="preserve">Gardiennage de voitures : taux de remplissage</t>
  </si>
  <si>
    <t xml:space="preserve">auto_places</t>
  </si>
  <si>
    <t xml:space="preserve">Gardiennage de voitures de collection (600 m²) : places</t>
  </si>
  <si>
    <t xml:space="preserve">places</t>
  </si>
  <si>
    <t xml:space="preserve">auto_prix</t>
  </si>
  <si>
    <t xml:space="preserve">Gardiennage de voiture de collection : prix annuel HT</t>
  </si>
  <si>
    <t xml:space="preserve">€ HT/an</t>
  </si>
  <si>
    <t xml:space="preserve">R8-18</t>
  </si>
  <si>
    <t xml:space="preserve">≈ 200 €/mois en Belgique (2026). Demande rurale française non démontrée.</t>
  </si>
  <si>
    <t xml:space="preserve">evt_capex</t>
  </si>
  <si>
    <t xml:space="preserve">Réceptions : salle ERP dans une grange (aménagement, sanitaires, parking, acoustique)</t>
  </si>
  <si>
    <t xml:space="preserve">R4-52; R8-24; R3-38</t>
  </si>
  <si>
    <t xml:space="preserve">Cas réel : plus de 100 000 € de mise aux normes ERP pour une salle de 98 m². Transformation d'une grange : ≈ 1 556 €/m² HT (logement).</t>
  </si>
  <si>
    <t xml:space="preserve">evt_fixe</t>
  </si>
  <si>
    <t xml:space="preserve">Réceptions : charges fixes (coordination 0,5 ETP, marketing, acoustique, assurance)</t>
  </si>
  <si>
    <t xml:space="preserve">R3-52</t>
  </si>
  <si>
    <t xml:space="preserve">Étude d'impact acoustique et limiteur probables si les réceptions sont habituelles.</t>
  </si>
  <si>
    <t xml:space="preserve">evt_nb</t>
  </si>
  <si>
    <t xml:space="preserve">Réceptions privées (mariages) par an, plafonnées</t>
  </si>
  <si>
    <t xml:space="preserve">événements</t>
  </si>
  <si>
    <t xml:space="preserve">R7-05; R7-06; R7-15</t>
  </si>
  <si>
    <t xml:space="preserve">Plafond choisi pour la tranquillité. Concurrence : 1 382 lieux dans la catégorie « château » et 3 769 dans la catégorie « domaine » de Mariages.net (catégories commerciales, pas un recensement, V2V) ; ≈ 22 samedis de mai à septembre.</t>
  </si>
  <si>
    <t xml:space="preserve">evt_prix_ht</t>
  </si>
  <si>
    <t xml:space="preserve">Location du lieu pour une réception (week-end, traiteur extérieur)</t>
  </si>
  <si>
    <t xml:space="preserve">€ HT/événement</t>
  </si>
  <si>
    <t xml:space="preserve">R7-07; R7-09; R7-10; R7-13</t>
  </si>
  <si>
    <t xml:space="preserve">Observés : 4 000 à 10 000 € par week-end (HT/TTC rarement précisé) ; CMN : 2 425 à 3 750 € HT.</t>
  </si>
  <si>
    <t xml:space="preserve">evt_var</t>
  </si>
  <si>
    <t xml:space="preserve">Réceptions : charges variables en % du CA (ménage, extras, énergie, commissions)</t>
  </si>
  <si>
    <t xml:space="preserve">gite_capex</t>
  </si>
  <si>
    <t xml:space="preserve">Grande maison : rénovation d'une dépendance de 300 m²</t>
  </si>
  <si>
    <t xml:space="preserve">€ TTC</t>
  </si>
  <si>
    <t xml:space="preserve">R8-24</t>
  </si>
  <si>
    <t xml:space="preserve">≈ 2 000 €/m² TTC tout compris (cas réel 2022-2023). Favorable : maison déjà habitable.</t>
  </si>
  <si>
    <t xml:space="preserve">gite_fixe</t>
  </si>
  <si>
    <t xml:space="preserve">Grande maison : charges fixes (entretien, mobilier, assurance)</t>
  </si>
  <si>
    <t xml:space="preserve">gite_prix_semaine</t>
  </si>
  <si>
    <t xml:space="preserve">Grande maison (12-15 personnes) : prix moyen par semaine</t>
  </si>
  <si>
    <t xml:space="preserve">€ HT/semaine</t>
  </si>
  <si>
    <t xml:space="preserve">Prix moyen inconnu (R7). À calibrer sur le marché local.</t>
  </si>
  <si>
    <t xml:space="preserve">gite_semaines</t>
  </si>
  <si>
    <t xml:space="preserve">Grande maison louée à la semaine : semaines louées par an</t>
  </si>
  <si>
    <t xml:space="preserve">R7-48; R7-50</t>
  </si>
  <si>
    <t xml:space="preserve">Occupation annuelle des Gîtes de France : 44 à 47 %, soit ≈ 23 semaines.</t>
  </si>
  <si>
    <t xml:space="preserve">gite_var</t>
  </si>
  <si>
    <t xml:space="preserve">Grande maison : charges variables (ménage, linge, commission, fluides)</t>
  </si>
  <si>
    <t xml:space="preserve">log_capex_m2</t>
  </si>
  <si>
    <t xml:space="preserve">Transformation de communs en logements</t>
  </si>
  <si>
    <t xml:space="preserve">€ TTC/m²</t>
  </si>
  <si>
    <t xml:space="preserve">log_charges</t>
  </si>
  <si>
    <t xml:space="preserve">Logements : charges non récupérables, gestion, taxe foncière, entretien courant</t>
  </si>
  <si>
    <t xml:space="preserve">% des loyers</t>
  </si>
  <si>
    <t xml:space="preserve">log_loyer_m2</t>
  </si>
  <si>
    <t xml:space="preserve">Loyer d'une maison en commune rurale, charges comprises</t>
  </si>
  <si>
    <t xml:space="preserve">€/m²/mois</t>
  </si>
  <si>
    <t xml:space="preserve">R8-22; R8-23</t>
  </si>
  <si>
    <t xml:space="preserve">Carte des loyers 2025 (ANIL, annonces) : 6,8 à 10,9 €/m²/mois couvre 75 % des communes ; médiane des communes regroupées (en général petites) : 8,63 €/m² (fichier complet relu par V2V). 8,0 reste prudent.</t>
  </si>
  <si>
    <t xml:space="preserve">log_m2</t>
  </si>
  <si>
    <t xml:space="preserve">Logements locatifs créés dans les communs</t>
  </si>
  <si>
    <t xml:space="preserve">m²</t>
  </si>
  <si>
    <t xml:space="preserve">log_vacance</t>
  </si>
  <si>
    <t xml:space="preserve">Logements : vacance</t>
  </si>
  <si>
    <t xml:space="preserve">semj_jours</t>
  </si>
  <si>
    <t xml:space="preserve">Séminaires de jour (journées d'étude) par an</t>
  </si>
  <si>
    <t xml:space="preserve">jours</t>
  </si>
  <si>
    <t xml:space="preserve">R7-74</t>
  </si>
  <si>
    <t xml:space="preserve">Suppose une métropole à moins d'une heure ; 36 des 70 maisons du leader sont en Île-de-France.</t>
  </si>
  <si>
    <t xml:space="preserve">semj_marge</t>
  </si>
  <si>
    <t xml:space="preserve">Séminaires de jour : marge après traiteur et personnel</t>
  </si>
  <si>
    <t xml:space="preserve">semj_pers</t>
  </si>
  <si>
    <t xml:space="preserve">Séminaires de jour : participants par journée</t>
  </si>
  <si>
    <t xml:space="preserve">personnes</t>
  </si>
  <si>
    <t xml:space="preserve">semj_prix</t>
  </si>
  <si>
    <t xml:space="preserve">Journée d'étude en château : prix par personne</t>
  </si>
  <si>
    <t xml:space="preserve">€ HT/pers.</t>
  </si>
  <si>
    <t xml:space="preserve">R7-27; R7-28; R7-29</t>
  </si>
  <si>
    <t xml:space="preserve">stock_capex</t>
  </si>
  <si>
    <t xml:space="preserve">Hivernage : aménagements (sol, portes, sécurité)</t>
  </si>
  <si>
    <t xml:space="preserve">stock_occ</t>
  </si>
  <si>
    <t xml:space="preserve">Hivernage : taux de remplissage</t>
  </si>
  <si>
    <t xml:space="preserve">stock_places</t>
  </si>
  <si>
    <t xml:space="preserve">Hivernage de camping-cars et caravanes (grange de 600 m²) : places</t>
  </si>
  <si>
    <t xml:space="preserve">stock_prix</t>
  </si>
  <si>
    <t xml:space="preserve">Hivernage : prix annuel par place HT</t>
  </si>
  <si>
    <t xml:space="preserve">R8-17</t>
  </si>
  <si>
    <t xml:space="preserve">350 à 550 € TTC par an.</t>
  </si>
  <si>
    <t xml:space="preserve">taux_renouv_capex</t>
  </si>
  <si>
    <t xml:space="preserve">Provision de renouvellement des investissements d'activité, en % par an</t>
  </si>
  <si>
    <t xml:space="preserve">tourn_jours</t>
  </si>
  <si>
    <t xml:space="preserve">Tournages et prises de vue : jours par an</t>
  </si>
  <si>
    <t xml:space="preserve">R7-36; R7-37</t>
  </si>
  <si>
    <t xml:space="preserve">Fréquence inconnue pour un château ordinaire ; plus de 50 % des tournages en Île-de-France.</t>
  </si>
  <si>
    <t xml:space="preserve">tourn_tarif</t>
  </si>
  <si>
    <t xml:space="preserve">Tournage : tarif journalier HT</t>
  </si>
  <si>
    <t xml:space="preserve">€ HT/jour</t>
  </si>
  <si>
    <t xml:space="preserve">R7-12</t>
  </si>
  <si>
    <t xml:space="preserve">Grille du Centre des monuments nationaux (fiction), catégories B et C, prix plancher pour 12 h (V2V).</t>
  </si>
  <si>
    <t xml:space="preserve">tourn_var</t>
  </si>
  <si>
    <t xml:space="preserve">Tournages : charges variables</t>
  </si>
  <si>
    <t xml:space="preserve">— Personnel — coûts employeur annuels —</t>
  </si>
  <si>
    <t xml:space="preserve">S1_cout_direction</t>
  </si>
  <si>
    <t xml:space="preserve">S1 — régisseur (sans objet)</t>
  </si>
  <si>
    <t xml:space="preserve">Personnel — coûts employeur annuels</t>
  </si>
  <si>
    <t xml:space="preserve">S1_cout_gouvernance</t>
  </si>
  <si>
    <t xml:space="preserve">S1 — gouvernante (sans objet)</t>
  </si>
  <si>
    <t xml:space="preserve">S2_cout_direction</t>
  </si>
  <si>
    <t xml:space="preserve">S2 — régisseur de domaine (2,0 / 2,5 / 3,0 SMIC)</t>
  </si>
  <si>
    <t xml:space="preserve">R2-11; R2-07</t>
  </si>
  <si>
    <t xml:space="preserve">Coût employeur annuel calculé par R2 avec le simulateur officiel URSSAF (RGDU 2026, SMIC à 12,31 €/h depuis le 01/06/2026). Le niveau de salaire en multiple du SMIC est une HYPOTHÈSE, faute de salaires de marché publiés.</t>
  </si>
  <si>
    <t xml:space="preserve">S2_cout_gouvernance</t>
  </si>
  <si>
    <t xml:space="preserve">S2 — gouvernante (1,3 / 1,4 / 1,5 SMIC × 1,30)</t>
  </si>
  <si>
    <t xml:space="preserve">R2-03; R2-12</t>
  </si>
  <si>
    <t xml:space="preserve">S3_cout_direction</t>
  </si>
  <si>
    <t xml:space="preserve">S3 — directeur de domaine (2,5 / 3,0 / 3,5 SMIC)</t>
  </si>
  <si>
    <t xml:space="preserve">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</si>
  <si>
    <t xml:space="preserve">S3_cout_gouvernance</t>
  </si>
  <si>
    <t xml:space="preserve">S3 — majordome et gouvernante, coût moyen par ETP</t>
  </si>
  <si>
    <t xml:space="preserve">Moyenne d'un majordome à 2,5 SMIC (72 814 €) et d'une gouvernante à 1,5 SMIC (43 688 €), selon R2 § 9.4.</t>
  </si>
  <si>
    <t xml:space="preserve">cout_admin_salarie</t>
  </si>
  <si>
    <t xml:space="preserve">Assistant(e) administratif(ve) / comptable (1,4 / 1,5 / 1,6 SMIC)</t>
  </si>
  <si>
    <t xml:space="preserve">R2-11; R2-05</t>
  </si>
  <si>
    <t xml:space="preserve">cout_agent_entretien</t>
  </si>
  <si>
    <t xml:space="preserve">Gardien, homme d'entretien (1,2 / 1,3 / 1,4 SMIC)</t>
  </si>
  <si>
    <t xml:space="preserve">cout_chef_jardinier</t>
  </si>
  <si>
    <t xml:space="preserve">Chef jardinier (1,5 / 1,75 / 2,0 SMIC)</t>
  </si>
  <si>
    <t xml:space="preserve">cout_jardinier</t>
  </si>
  <si>
    <t xml:space="preserve">Jardinier qualifié (1,1 / 1,2 / 1,3 SMIC)</t>
  </si>
  <si>
    <t xml:space="preserve">Coût employeur annuel calculé par R2 avec le simulateur officiel URSSAF (RGDU 2026, SMIC à 12,31 €/h depuis le 01/06/2026). Le niveau de salaire en multiple du SMIC est une HYPOTHÈSE, faute de salaires de marché publiés. Grille du paysage O.4 à O.6 = 12,59 à 13,56 €/h.</t>
  </si>
  <si>
    <t xml:space="preserve">cout_maison</t>
  </si>
  <si>
    <t xml:space="preserve">Employé(e) de maison, particulier employeur (1,0 / 1,1 / 1,2 SMIC × 1,30)</t>
  </si>
  <si>
    <t xml:space="preserve">Particulier employeur : pas de RGDU ; coût estimé à brut × 1,30 par R2 (fragile, à vérifier avec le simulateur CESU).</t>
  </si>
  <si>
    <t xml:space="preserve">cout_ouvrier_agricole</t>
  </si>
  <si>
    <t xml:space="preserve">Ouvrier agricole qualifié (1,1 / 1,2 / 1,3 SMIC)</t>
  </si>
  <si>
    <t xml:space="preserve">R2-11; R2-09</t>
  </si>
  <si>
    <t xml:space="preserve">cout_resp_ecurie</t>
  </si>
  <si>
    <t xml:space="preserve">Responsable d'écurie, cavalier (1,3 / 1,4 / 1,5 SMIC)</t>
  </si>
  <si>
    <t xml:space="preserve">cout_soigneur</t>
  </si>
  <si>
    <t xml:space="preserve">Soigneur, palefrenier (1,0 / 1,0 / 1,1 SMIC)</t>
  </si>
  <si>
    <t xml:space="preserve">— Personnel — effectifs (ETP) du domaine —</t>
  </si>
  <si>
    <t xml:space="preserve">S1_etp_admin</t>
  </si>
  <si>
    <t xml:space="preserve">S1 — ETP admin</t>
  </si>
  <si>
    <t xml:space="preserve">ETP</t>
  </si>
  <si>
    <t xml:space="preserve">HYPOTHÈSE d'effectif pour le domaine et les chevaux du propriétaire uniquement. R2 compte 13 ETP en S2 et 29 ETP en S3 avec une écurie pleine de 40 à 50 chevaux : l'excédent relève d'une activité de pension, modélisée à part comme moteur de revenus.</t>
  </si>
  <si>
    <t xml:space="preserve">Personnel — effectifs (ETP) du domaine</t>
  </si>
  <si>
    <t xml:space="preserve">S1_etp_agricole</t>
  </si>
  <si>
    <t xml:space="preserve">S1 — ETP agricole</t>
  </si>
  <si>
    <t xml:space="preserve">S1_etp_chef_jardinier</t>
  </si>
  <si>
    <t xml:space="preserve">S1 — ETP chef jardinier</t>
  </si>
  <si>
    <t xml:space="preserve">S1_etp_direction</t>
  </si>
  <si>
    <t xml:space="preserve">S1 — ETP direction</t>
  </si>
  <si>
    <t xml:space="preserve">S1_etp_entretien</t>
  </si>
  <si>
    <t xml:space="preserve">S1 — ETP entretien</t>
  </si>
  <si>
    <t xml:space="preserve">S1_etp_gouvernance</t>
  </si>
  <si>
    <t xml:space="preserve">S1 — ETP gouvernance</t>
  </si>
  <si>
    <t xml:space="preserve">S1_etp_jardin</t>
  </si>
  <si>
    <t xml:space="preserve">S1 — ETP jardin</t>
  </si>
  <si>
    <t xml:space="preserve">R2; V2C-21</t>
  </si>
  <si>
    <t xml:space="preserve">S1_etp_maison</t>
  </si>
  <si>
    <t xml:space="preserve">S1 — ETP maison</t>
  </si>
  <si>
    <t xml:space="preserve">S1_etp_resp_ecurie</t>
  </si>
  <si>
    <t xml:space="preserve">S1 — ETP resp ecurie</t>
  </si>
  <si>
    <t xml:space="preserve">S1_etp_soigneur</t>
  </si>
  <si>
    <t xml:space="preserve">S1 — ETP soigneur</t>
  </si>
  <si>
    <t xml:space="preserve">S2_etp_admin</t>
  </si>
  <si>
    <t xml:space="preserve">S2 — ETP admin</t>
  </si>
  <si>
    <t xml:space="preserve">S2_etp_agricole</t>
  </si>
  <si>
    <t xml:space="preserve">S2 — ETP agricole</t>
  </si>
  <si>
    <t xml:space="preserve">S2_etp_chef_jardinier</t>
  </si>
  <si>
    <t xml:space="preserve">S2 — ETP chef jardinier</t>
  </si>
  <si>
    <t xml:space="preserve">S2_etp_direction</t>
  </si>
  <si>
    <t xml:space="preserve">S2 — ETP direction</t>
  </si>
  <si>
    <t xml:space="preserve">S2_etp_entretien</t>
  </si>
  <si>
    <t xml:space="preserve">S2 — ETP entretien</t>
  </si>
  <si>
    <t xml:space="preserve">S2_etp_gouvernance</t>
  </si>
  <si>
    <t xml:space="preserve">S2 — ETP gouvernance</t>
  </si>
  <si>
    <t xml:space="preserve">S2_etp_jardin</t>
  </si>
  <si>
    <t xml:space="preserve">S2 — ETP jardin</t>
  </si>
  <si>
    <t xml:space="preserve">S2_etp_maison</t>
  </si>
  <si>
    <t xml:space="preserve">S2 — ETP maison</t>
  </si>
  <si>
    <t xml:space="preserve">S2_etp_resp_ecurie</t>
  </si>
  <si>
    <t xml:space="preserve">S2 — ETP resp ecurie</t>
  </si>
  <si>
    <t xml:space="preserve">S2_etp_soigneur</t>
  </si>
  <si>
    <t xml:space="preserve">S2 — ETP soigneur</t>
  </si>
  <si>
    <t xml:space="preserve">S3_etp_admin</t>
  </si>
  <si>
    <t xml:space="preserve">S3 — ETP admin</t>
  </si>
  <si>
    <t xml:space="preserve">S3_etp_agricole</t>
  </si>
  <si>
    <t xml:space="preserve">S3 — ETP agricole</t>
  </si>
  <si>
    <t xml:space="preserve">S3_etp_chef_jardinier</t>
  </si>
  <si>
    <t xml:space="preserve">S3 — ETP chef jardinier</t>
  </si>
  <si>
    <t xml:space="preserve">S3_etp_direction</t>
  </si>
  <si>
    <t xml:space="preserve">S3 — ETP direction</t>
  </si>
  <si>
    <t xml:space="preserve">S3_etp_entretien</t>
  </si>
  <si>
    <t xml:space="preserve">S3 — ETP entretien</t>
  </si>
  <si>
    <t xml:space="preserve">S3_etp_gouvernance</t>
  </si>
  <si>
    <t xml:space="preserve">S3 — ETP gouvernance</t>
  </si>
  <si>
    <t xml:space="preserve">S3_etp_jardin</t>
  </si>
  <si>
    <t xml:space="preserve">S3 — ETP jardin</t>
  </si>
  <si>
    <t xml:space="preserve">V2C-21; R2</t>
  </si>
  <si>
    <t xml:space="preserve">R2 retenait 11 jardiniers. V2C (temps d'entretien de la Ville de Rennes) : 15,7 ETP pour 60 ha en gestion différenciée (1 ha très fleuri, 9 ha de jardin régulier, 10 ha d'accompagnement, 40 ha de prairie fauchée), 19,7 ETP avec 40 ha de pelouse champêtre, 33,4 ETP si tout le parc est soigné. Le budget suppose donc une gestion différenciée.</t>
  </si>
  <si>
    <t xml:space="preserve">S3_etp_maison</t>
  </si>
  <si>
    <t xml:space="preserve">S3 — ETP maison</t>
  </si>
  <si>
    <t xml:space="preserve">S3_etp_resp_ecurie</t>
  </si>
  <si>
    <t xml:space="preserve">S3 — ETP resp ecurie</t>
  </si>
  <si>
    <t xml:space="preserve">S3_etp_soigneur</t>
  </si>
  <si>
    <t xml:space="preserve">S3 — ETP soigneur</t>
  </si>
  <si>
    <t xml:space="preserve">— Projection — dérives et règles —</t>
  </si>
  <si>
    <t xml:space="preserve">campagne_periode</t>
  </si>
  <si>
    <t xml:space="preserve">Périodicité des campagnes de gros entretien</t>
  </si>
  <si>
    <t xml:space="preserve">R1-11; R1-14</t>
  </si>
  <si>
    <t xml:space="preserve">Les toitures de châteaux privés sont refaites par tranches successives.</t>
  </si>
  <si>
    <t xml:space="preserve">Projection — dérives et règles</t>
  </si>
  <si>
    <t xml:space="preserve">dot_rendement</t>
  </si>
  <si>
    <t xml:space="preserve">Rendement réel net de frais et d'impôts du capital affecté (moyenne géométrique)</t>
  </si>
  <si>
    <t xml:space="preserve">R8-32; R8-31; V2R-03; V2R-04; V2R-05; V2R-08; V2R-16</t>
  </si>
  <si>
    <t xml:space="preserve">Seule donnée : actions mondiales 3,5 % réel par an depuis 2000, avant frais et impôts (UBS 2025). Frais de 0,4 à 0,6 point ; impôt de 30 à 38,6 % sur les revenus nominaux (PFU, contributions sur les hauts revenus), en partie différé. L'équipe rouge estime 1,1 à 1,8 % en détention directe et presque 0 via une holding à l'IS (V2R C2). Valeur précédente : 3 %.</t>
  </si>
  <si>
    <t xml:space="preserve">g_assurance</t>
  </si>
  <si>
    <t xml:space="preserve">Dérive réelle annuelle des primes d'assurance</t>
  </si>
  <si>
    <t xml:space="preserve">V2C-19; R1-29; R1-05</t>
  </si>
  <si>
    <t xml:space="preserve">INSEE, IPC assurance habitation 2005-2025 : +1,85 % réel par an, puis +5,6 %, +8,1 % et +12,6 % nominal en 2023, 2024 et 2025. Aucune série propre aux monuments.</t>
  </si>
  <si>
    <t xml:space="preserve">g_energie</t>
  </si>
  <si>
    <t xml:space="preserve">Dérive réelle annuelle du prix de l'énergie</t>
  </si>
  <si>
    <t xml:space="preserve">V2C-04; R1-22; R1-24</t>
  </si>
  <si>
    <t xml:space="preserve">INSEE, IPC 2005-2025, réel : électricité +2,0 %/an, fioul +1,9 %, gaz +4,8 %, bois et granulés +0,9 %, ensemble électricité-gaz-combustibles +2,85 %. Chocs de +40 à +66 % en 2021-2024.</t>
  </si>
  <si>
    <t xml:space="preserve">g_recettes</t>
  </si>
  <si>
    <t xml:space="preserve">Dérive réelle annuelle des prix des activités</t>
  </si>
  <si>
    <t xml:space="preserve">g_salaires</t>
  </si>
  <si>
    <t xml:space="preserve">Dérive réelle annuelle des salaires (au-delà de l'inflation)</t>
  </si>
  <si>
    <t xml:space="preserve">D-01; V2C-05</t>
  </si>
  <si>
    <t xml:space="preserve">Banque de France (sept. 2026) : salaire moyen par tête +2,0 %, +2,6 %, +2,4 % en 2026-2028, pour une inflation de 2,3 %, 1,9 %, 1,6 %, soit environ +0,4 % réel par an. SMIC 2006-2026 (INSEE) : ≈ +0,4 % réel par an.</t>
  </si>
  <si>
    <t xml:space="preserve">g_travaux</t>
  </si>
  <si>
    <t xml:space="preserve">Dérive réelle annuelle du coût des travaux</t>
  </si>
  <si>
    <t xml:space="preserve">V2C-03; V2C-01; D-04</t>
  </si>
  <si>
    <t xml:space="preserve">INSEE, indice des prix de l'entretien-amélioration des bâtiments résidentiels (IPEA), 2005-2025 : +0,74 % réel par an ; couverture +1,26 % ; menuiserie +1,51 %. Les métiers des monuments historiques n'ont pas d'indice public.</t>
  </si>
  <si>
    <t xml:space="preserve">inflation</t>
  </si>
  <si>
    <t xml:space="preserve">Inflation annuelle (pour convertir une annuité nominale en euros constants)</t>
  </si>
  <si>
    <t xml:space="preserve">D-01</t>
  </si>
  <si>
    <t xml:space="preserve">Cible de la BCE ; projections de la Banque de France : 1,9 % (2027), 1,6 % (2028).</t>
  </si>
  <si>
    <t xml:space="preserve">mh_part_deductible</t>
  </si>
  <si>
    <t xml:space="preserve">Avantage MH : part du besoin constituée de charges déductibles (bâti, taxes, assurances)</t>
  </si>
  <si>
    <t xml:space="preserve">R3-05</t>
  </si>
  <si>
    <t xml:space="preserve">Réparations, entretien, amélioration, impôts fonciers, intérêts, primes d'assurance des MH (BOFiP). Le personnel de maison et les chevaux n'en font pas partie.</t>
  </si>
  <si>
    <t xml:space="preserve">mh_taux_deduction</t>
  </si>
  <si>
    <t xml:space="preserve">Avantage MH : taux de déduction (50 % fermé au public, 100 % ouvert 50 jours par an)</t>
  </si>
  <si>
    <t xml:space="preserve">R3-02; R3-04</t>
  </si>
  <si>
    <t xml:space="preserve">mh_tmi</t>
  </si>
  <si>
    <t xml:space="preserve">Avantage fiscal MH : taux marginal d'impôt sur le revenu du propriétaire</t>
  </si>
  <si>
    <t xml:space="preserve">R3-02; R3-05</t>
  </si>
  <si>
    <t xml:space="preserve">part_surplus_dotation</t>
  </si>
  <si>
    <t xml:space="preserve">Part des excédents annuels versée à la dotation</t>
  </si>
  <si>
    <t xml:space="preserve">rampe_an1</t>
  </si>
  <si>
    <t xml:space="preserve">Montée en charge des activités : année 1</t>
  </si>
  <si>
    <t xml:space="preserve">rampe_an2</t>
  </si>
  <si>
    <t xml:space="preserve">Montée en charge des activités : année 2</t>
  </si>
  <si>
    <t xml:space="preserve">subvention_taux</t>
  </si>
  <si>
    <t xml:space="preserve">Subventions de travaux : part moyenne des campagnes (scénario favorable seulement)</t>
  </si>
  <si>
    <t xml:space="preserve">R1-34; R1-33</t>
  </si>
  <si>
    <t xml:space="preserve">DRAC : 20 % (inscrit) ou 40 % (classé) des travaux éligibles, crédits en baisse de 29 % en 2026. 10 % du total, après prise en compte de la part non éligible et de la probabilité d'obtention.</t>
  </si>
  <si>
    <t xml:space="preserve">taux_reserve</t>
  </si>
  <si>
    <t xml:space="preserve">Rendement réel de la réserve de trésorerie</t>
  </si>
  <si>
    <t xml:space="preserve">V2R-08</t>
  </si>
  <si>
    <t xml:space="preserve">Depuis 2000, les actions ont rapporté 3,5 % réel avec une prime de 4,3 points sur les bons du Trésor : la trésorerie a donc rapporté environ −0,8 % réel par an (V2R m4).</t>
  </si>
  <si>
    <t xml:space="preserve">— Projection — moteur extérieur et options —</t>
  </si>
  <si>
    <t xml:space="preserve">S1_sol_div</t>
  </si>
  <si>
    <t xml:space="preserve">S1 — dividendes nets annuels pendant la transition</t>
  </si>
  <si>
    <t xml:space="preserve">Projection — moteur extérieur et options</t>
  </si>
  <si>
    <t xml:space="preserve">S1_sol_div_annees</t>
  </si>
  <si>
    <t xml:space="preserve">S1 — durée de la transition</t>
  </si>
  <si>
    <t xml:space="preserve">S1_sol_dotation0</t>
  </si>
  <si>
    <t xml:space="preserve">S1 — capital affecté disponible à l'année 1</t>
  </si>
  <si>
    <t xml:space="preserve">Dimensionnement REQUIS : avec 0,4 M€/an de dividendes pendant 10 ans, échec limité à 5 % sur 20 et 30 ans (critère n° 6 du Cadre ; sorties/mc_dimensionnement.json). Valeur précédente : 15 M€.</t>
  </si>
  <si>
    <t xml:space="preserve">S1_sol_reserve0</t>
  </si>
  <si>
    <t xml:space="preserve">S1 — réserve de trésorerie initiale (≈ 1,2 an de besoin)</t>
  </si>
  <si>
    <t xml:space="preserve">S2_sol_div</t>
  </si>
  <si>
    <t xml:space="preserve">S2 — dividendes nets annuels de l'entreprise extérieure pendant la transition</t>
  </si>
  <si>
    <t xml:space="preserve">S2_sol_div_annees</t>
  </si>
  <si>
    <t xml:space="preserve">S2 — durée de la transition (années de dividendes)</t>
  </si>
  <si>
    <t xml:space="preserve">S2_sol_dotation0</t>
  </si>
  <si>
    <t xml:space="preserve">S2 — capital affecté disponible à l'année 1</t>
  </si>
  <si>
    <t xml:space="preserve">Dimensionnement REQUIS, pas une ressource acquise : plus petite valeur ronde qui, avec 1 M€/an de dividendes pendant 10 ans, limite l'échec à 5 % sur 20 et 30 ans (critère n° 6 du Cadre ; sorties/mc_dimensionnement.json). Valeur précédente : 60 M€, qui échouait dans 11 % des cas à 30 ans (V2R M3).</t>
  </si>
  <si>
    <t xml:space="preserve">S2_sol_reserve0</t>
  </si>
  <si>
    <t xml:space="preserve">S2 — réserve de trésorerie initiale (≈ 1,2 an de besoin)</t>
  </si>
  <si>
    <t xml:space="preserve">S3_sol_div</t>
  </si>
  <si>
    <t xml:space="preserve">S3 — dividendes nets annuels pendant la transition</t>
  </si>
  <si>
    <t xml:space="preserve">S3_sol_div_annees</t>
  </si>
  <si>
    <t xml:space="preserve">S3 — durée de la transition</t>
  </si>
  <si>
    <t xml:space="preserve">S3_sol_dotation0</t>
  </si>
  <si>
    <t xml:space="preserve">S3 — capital affecté disponible à l'année 1</t>
  </si>
  <si>
    <t xml:space="preserve">Dimensionnement REQUIS, sans dividendes de transition : échec limité à 5 % sur 20 et 30 ans (critère n° 6 du Cadre ; sorties/mc_dimensionnement.json). Valeur précédente : 210 M€.</t>
  </si>
  <si>
    <t xml:space="preserve">S3_sol_reserve0</t>
  </si>
  <si>
    <t xml:space="preserve">S3 — réserve de trésorerie initiale (≈ 1,1 an de besoin)</t>
  </si>
  <si>
    <t xml:space="preserve">Doit rester supérieure à un an de besoin, sinon la règle de pilotage (coupe de 10 %) se déclenche dès l'année 1.</t>
  </si>
  <si>
    <t xml:space="preserve">dette_active</t>
  </si>
  <si>
    <t xml:space="preserve">Option dette d'acquisition (1 = oui)</t>
  </si>
  <si>
    <t xml:space="preserve">0/1</t>
  </si>
  <si>
    <t xml:space="preserve">flex_report</t>
  </si>
  <si>
    <t xml:space="preserve">Pilotage : part de la campagne de gros entretien reportée</t>
  </si>
  <si>
    <t xml:space="preserve">Le report est remis dans le fonds de travaux : il ne disparaît pas.</t>
  </si>
  <si>
    <t xml:space="preserve">flex_seuil</t>
  </si>
  <si>
    <t xml:space="preserve">Pilotage : seuil de déclenchement (réserve en années de besoin)</t>
  </si>
  <si>
    <t xml:space="preserve">flex_taux</t>
  </si>
  <si>
    <t xml:space="preserve">Pilotage : coupe temporaire des dépenses discrétionnaires (en % du besoin)</t>
  </si>
  <si>
    <t xml:space="preserve">Investissements futurs (4 %), imprévus d'exploitation (3 %) et report d'achats de matériel et de jardins (≈ 3 %).</t>
  </si>
  <si>
    <t xml:space="preserve">lissage_depense</t>
  </si>
  <si>
    <t xml:space="preserve">Règle de dépense lissée : poids du plafond de l'année précédente</t>
  </si>
  <si>
    <t xml:space="preserve">R8-34</t>
  </si>
  <si>
    <t xml:space="preserve">Plafond(t) = 80 % × plafond(t−1) + 20 % × taux × dotation(t−1). Lisse les chocs de marché, sur le modèle des règles de dépense des grands fonds de dotation (cités par R8, sans détail de la règle).</t>
  </si>
  <si>
    <t xml:space="preserve">mh_actif</t>
  </si>
  <si>
    <t xml:space="preserve">Option avantage fiscal MH (1 = oui, suppose des revenus imposables au barème)</t>
  </si>
  <si>
    <t xml:space="preserve">Désactivée par défaut : l'avantage réduit l'impôt personnel du propriétaire et suppose qu'il ait des revenus imposables au barème (R3).</t>
  </si>
  <si>
    <t xml:space="preserve">pilotage_actif</t>
  </si>
  <si>
    <t xml:space="preserve">Règles de pilotage en période de tension (1 = oui)</t>
  </si>
  <si>
    <t xml:space="preserve">Si la réserve passe sous `flex_seuil` année(s) de besoin : coupe des dépenses discrétionnaires, report d'une partie de la campagne de travaux, retrait d'urgence plafonné.</t>
  </si>
  <si>
    <t xml:space="preserve">retrait_urgence</t>
  </si>
  <si>
    <t xml:space="preserve">Pilotage : retrait d'urgence maximal sur la dotation (en % du capital)</t>
  </si>
  <si>
    <t xml:space="preserve">sub_actif</t>
  </si>
  <si>
    <t xml:space="preserve">Option subventions de travaux (1 = oui ; jamais dans le scénario central)</t>
  </si>
  <si>
    <t xml:space="preserve">— Projection — échelle des activités par scénario —</t>
  </si>
  <si>
    <t xml:space="preserve">S1_ech_bois</t>
  </si>
  <si>
    <t xml:space="preserve">S1 — facteur d'échelle du moteur bois (par rapport à S2)</t>
  </si>
  <si>
    <t xml:space="preserve">S1 : 8 boxes en pension (12 − 4 chevaux du propriétaire), 10 chevaux au pré, une maison de 150 m², pas de grange disponible pour le stockage, 2 ha de solaire au mieux, 12 ha de bois.</t>
  </si>
  <si>
    <t xml:space="preserve">Projection — échelle des activités par scénario</t>
  </si>
  <si>
    <t xml:space="preserve">S1_ech_eq_ret</t>
  </si>
  <si>
    <t xml:space="preserve">S1 — facteur d'échelle du moteur eq_ret (par rapport à S2)</t>
  </si>
  <si>
    <t xml:space="preserve">S1_ech_eq_std</t>
  </si>
  <si>
    <t xml:space="preserve">S1 — facteur d'échelle du moteur eq_std (par rapport à S2)</t>
  </si>
  <si>
    <t xml:space="preserve">S1_ech_log</t>
  </si>
  <si>
    <t xml:space="preserve">S1 — facteur d'échelle du moteur log (par rapport à S2)</t>
  </si>
  <si>
    <t xml:space="preserve">S1_ech_pv</t>
  </si>
  <si>
    <t xml:space="preserve">S1 — facteur d'échelle du moteur pv (par rapport à S2)</t>
  </si>
  <si>
    <t xml:space="preserve">S1_ech_stock</t>
  </si>
  <si>
    <t xml:space="preserve">S1 — facteur d'échelle du moteur stock (par rapport à S2)</t>
  </si>
  <si>
    <t xml:space="preserve">S1_ech_tourn</t>
  </si>
  <si>
    <t xml:space="preserve">S1 — facteur d'échelle du moteur tourn (par rapport à S2)</t>
  </si>
  <si>
    <t xml:space="preserve">S2_ech_bois</t>
  </si>
  <si>
    <t xml:space="preserve">S2 — facteur d'échelle du moteur bois (par rapport à S2)</t>
  </si>
  <si>
    <t xml:space="preserve">S2 : échelle de référence de la feuille Moteurs.</t>
  </si>
  <si>
    <t xml:space="preserve">S2_ech_eq_ret</t>
  </si>
  <si>
    <t xml:space="preserve">S2 — facteur d'échelle du moteur eq_ret (par rapport à S2)</t>
  </si>
  <si>
    <t xml:space="preserve">S2_ech_eq_std</t>
  </si>
  <si>
    <t xml:space="preserve">S2 — facteur d'échelle du moteur eq_std (par rapport à S2)</t>
  </si>
  <si>
    <t xml:space="preserve">S2_ech_log</t>
  </si>
  <si>
    <t xml:space="preserve">S2 — facteur d'échelle du moteur log (par rapport à S2)</t>
  </si>
  <si>
    <t xml:space="preserve">S2_ech_pv</t>
  </si>
  <si>
    <t xml:space="preserve">S2 — facteur d'échelle du moteur pv (par rapport à S2)</t>
  </si>
  <si>
    <t xml:space="preserve">S2_ech_stock</t>
  </si>
  <si>
    <t xml:space="preserve">S2 — facteur d'échelle du moteur stock (par rapport à S2)</t>
  </si>
  <si>
    <t xml:space="preserve">S2_ech_tourn</t>
  </si>
  <si>
    <t xml:space="preserve">S2 — facteur d'échelle du moteur tourn (par rapport à S2)</t>
  </si>
  <si>
    <t xml:space="preserve">S3_ech_bois</t>
  </si>
  <si>
    <t xml:space="preserve">S3 — facteur d'échelle du moteur bois (par rapport à S2)</t>
  </si>
  <si>
    <t xml:space="preserve">S3 : 38 boxes en pension, 40 chevaux au pré, 1 200 m² de logements, 10 ha de solaire, 120 ha de bois.</t>
  </si>
  <si>
    <t xml:space="preserve">S3_ech_eq_ret</t>
  </si>
  <si>
    <t xml:space="preserve">S3 — facteur d'échelle du moteur eq_ret (par rapport à S2)</t>
  </si>
  <si>
    <t xml:space="preserve">S3_ech_eq_std</t>
  </si>
  <si>
    <t xml:space="preserve">S3 — facteur d'échelle du moteur eq_std (par rapport à S2)</t>
  </si>
  <si>
    <t xml:space="preserve">S3_ech_log</t>
  </si>
  <si>
    <t xml:space="preserve">S3 — facteur d'échelle du moteur log (par rapport à S2)</t>
  </si>
  <si>
    <t xml:space="preserve">S3_ech_pv</t>
  </si>
  <si>
    <t xml:space="preserve">S3 — facteur d'échelle du moteur pv (par rapport à S2)</t>
  </si>
  <si>
    <t xml:space="preserve">S3_ech_stock</t>
  </si>
  <si>
    <t xml:space="preserve">S3 — facteur d'échelle du moteur stock (par rapport à S2)</t>
  </si>
  <si>
    <t xml:space="preserve">S3_ech_tourn</t>
  </si>
  <si>
    <t xml:space="preserve">S3 — facteur d'échelle du moteur tourn (par rapport à S2)</t>
  </si>
  <si>
    <t xml:space="preserve">— Scénario dette —</t>
  </si>
  <si>
    <t xml:space="preserve">S1_prix_achat</t>
  </si>
  <si>
    <t xml:space="preserve">S1 — prix d'achat</t>
  </si>
  <si>
    <t xml:space="preserve">D-02</t>
  </si>
  <si>
    <t xml:space="preserve">Marché : prix affichés de 920 k€ à 20 M€, prix affiché moyen du portefeuille ≈ 5 M€, prix de vente moyen de 2,415 M€ (Kretz, 2026, vérifié par V2V).</t>
  </si>
  <si>
    <t xml:space="preserve">Scénario dette</t>
  </si>
  <si>
    <t xml:space="preserve">S2_prix_achat</t>
  </si>
  <si>
    <t xml:space="preserve">S2 — prix d'achat</t>
  </si>
  <si>
    <t xml:space="preserve">S3_prix_achat</t>
  </si>
  <si>
    <t xml:space="preserve">S3 — prix d'achat</t>
  </si>
  <si>
    <t xml:space="preserve">dette_duree</t>
  </si>
  <si>
    <t xml:space="preserve">Durée de l'emprunt</t>
  </si>
  <si>
    <t xml:space="preserve">dette_quotite</t>
  </si>
  <si>
    <t xml:space="preserve">Part du prix financée par emprunt</t>
  </si>
  <si>
    <t xml:space="preserve">dette_taux</t>
  </si>
  <si>
    <t xml:space="preserve">Taux d'intérêt de l'emprunt</t>
  </si>
  <si>
    <t xml:space="preserve">D-05</t>
  </si>
  <si>
    <t xml:space="preserve">Crédits immobiliers aux particuliers : 3,27 % sur 20 ans (août 2026). Prime ajoutée pour un bien atypique ou un emprunteur professionnel.</t>
  </si>
  <si>
    <t xml:space="preserve">— Scénarios — description physique —</t>
  </si>
  <si>
    <t xml:space="preserve">S1_ha_bois</t>
  </si>
  <si>
    <t xml:space="preserve">S1 — bois</t>
  </si>
  <si>
    <t xml:space="preserve">Scénarios — description physique</t>
  </si>
  <si>
    <t xml:space="preserve">S1_ha_jardins</t>
  </si>
  <si>
    <t xml:space="preserve">S1 — jardins entretenus (abords, potager)</t>
  </si>
  <si>
    <t xml:space="preserve">S1_ha_parc</t>
  </si>
  <si>
    <t xml:space="preserve">S1 — parc et pelouses</t>
  </si>
  <si>
    <t xml:space="preserve">S1_ha_prairies</t>
  </si>
  <si>
    <t xml:space="preserve">S1 — prés, paddocks et prairies de fauche</t>
  </si>
  <si>
    <t xml:space="preserve">S1_ml_clotures</t>
  </si>
  <si>
    <t xml:space="preserve">S1 — clôtures équestres et périphériques</t>
  </si>
  <si>
    <t xml:space="preserve">ml</t>
  </si>
  <si>
    <t xml:space="preserve">Pour 35 ha de prés découpés en paddocks : ≈ 85 ml/ha.</t>
  </si>
  <si>
    <t xml:space="preserve">S1_nb_baies</t>
  </si>
  <si>
    <t xml:space="preserve">S1 — nombre de baies (fenêtres et portes-fenêtres)</t>
  </si>
  <si>
    <t xml:space="preserve">unités</t>
  </si>
  <si>
    <t xml:space="preserve">Environ une baie pour 15 m² de plancher du château + dépendances.</t>
  </si>
  <si>
    <t xml:space="preserve">S1_nb_boxes</t>
  </si>
  <si>
    <t xml:space="preserve">S1 — boxes</t>
  </si>
  <si>
    <t xml:space="preserve">S1_nb_chevaux</t>
  </si>
  <si>
    <t xml:space="preserve">S1 — chevaux appartenant au propriétaire</t>
  </si>
  <si>
    <t xml:space="preserve">Les autres boxes sont vides ou utilisés par une activité.</t>
  </si>
  <si>
    <t xml:space="preserve">S1_surf_chateau</t>
  </si>
  <si>
    <t xml:space="preserve">S1 — surface de plancher du château</t>
  </si>
  <si>
    <t xml:space="preserve">Choix de scénario : petit château ou grande maison de maître, environ 700 m² habitables.</t>
  </si>
  <si>
    <t xml:space="preserve">S1_surf_dep</t>
  </si>
  <si>
    <t xml:space="preserve">S1 — dépendances (écurie, grange)</t>
  </si>
  <si>
    <t xml:space="preserve">S1_surf_facades</t>
  </si>
  <si>
    <t xml:space="preserve">S1 — façades (château et dépendances)</t>
  </si>
  <si>
    <t xml:space="preserve">Géométrie (ESTIMATION) : emprise ≈ plancher / nombre de niveaux ; toiture développée ≈ emprise × 1,4 (pente) ; façades ≈ périmètre × hauteur. Ordre de grandeur à remplacer par les métrés réels d'un bien. Château : périmètre ≈ 78 m × 12 m ; dépendances ≈ 150 m × 6 m.</t>
  </si>
  <si>
    <t xml:space="preserve">S1_surf_manege</t>
  </si>
  <si>
    <t xml:space="preserve">S1 — manège couvert (bâtiment)</t>
  </si>
  <si>
    <t xml:space="preserve">S1_surf_pistes</t>
  </si>
  <si>
    <t xml:space="preserve">S1 — carrières (surface de sol équestre)</t>
  </si>
  <si>
    <t xml:space="preserve">Une carrière de 60 × 30 m.</t>
  </si>
  <si>
    <t xml:space="preserve">S1_surf_toits</t>
  </si>
  <si>
    <t xml:space="preserve">S1 — toitures développées (château et dépendances)</t>
  </si>
  <si>
    <t xml:space="preserve">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</si>
  <si>
    <t xml:space="preserve">S2_ha_bois</t>
  </si>
  <si>
    <t xml:space="preserve">S2 — bois</t>
  </si>
  <si>
    <t xml:space="preserve">S2_ha_jardins</t>
  </si>
  <si>
    <t xml:space="preserve">S2 — jardins réguliers et potager</t>
  </si>
  <si>
    <t xml:space="preserve">S2_ha_parc</t>
  </si>
  <si>
    <t xml:space="preserve">S2 — parc paysager</t>
  </si>
  <si>
    <t xml:space="preserve">S2_ha_prairies</t>
  </si>
  <si>
    <t xml:space="preserve">S2 — prés, paddocks et prairies de fauche</t>
  </si>
  <si>
    <t xml:space="preserve">S2_ml_clotures</t>
  </si>
  <si>
    <t xml:space="preserve">S2 — clôtures</t>
  </si>
  <si>
    <t xml:space="preserve">Pour 80 ha de prés : ≈ 85 ml/ha.</t>
  </si>
  <si>
    <t xml:space="preserve">S2_nb_baies</t>
  </si>
  <si>
    <t xml:space="preserve">S2 — nombre de baies</t>
  </si>
  <si>
    <t xml:space="preserve">S2_nb_boxes</t>
  </si>
  <si>
    <t xml:space="preserve">S2 — boxes</t>
  </si>
  <si>
    <t xml:space="preserve">S2_nb_chevaux</t>
  </si>
  <si>
    <t xml:space="preserve">S2 — chevaux appartenant au propriétaire</t>
  </si>
  <si>
    <t xml:space="preserve">S2_surf_chateau</t>
  </si>
  <si>
    <t xml:space="preserve">S2 — surface de plancher du château</t>
  </si>
  <si>
    <t xml:space="preserve">Choix de scénario : château de taille moyenne à grande.</t>
  </si>
  <si>
    <t xml:space="preserve">S2_surf_dep</t>
  </si>
  <si>
    <t xml:space="preserve">S2 — dépendances (écuries historiques, communs, granges)</t>
  </si>
  <si>
    <t xml:space="preserve">S2_surf_facades</t>
  </si>
  <si>
    <t xml:space="preserve">S2 — façades</t>
  </si>
  <si>
    <t xml:space="preserve">Géométrie (ESTIMATION) : emprise ≈ plancher / nombre de niveaux ; toiture développée ≈ emprise × 1,4 (pente) ; façades ≈ périmètre × hauteur. Ordre de grandeur à remplacer par les métrés réels d'un bien. Château : ≈ 115 m × 14 m ; dépendances ≈ 350 m × 7 m.</t>
  </si>
  <si>
    <t xml:space="preserve">S2_surf_manege</t>
  </si>
  <si>
    <t xml:space="preserve">S2 — manège couvert (bâtiment)</t>
  </si>
  <si>
    <t xml:space="preserve">S2_surf_pistes</t>
  </si>
  <si>
    <t xml:space="preserve">S2 — carrières et sol du manège</t>
  </si>
  <si>
    <t xml:space="preserve">Deux carrières de 70 × 40 m et le sol d'un manège de 60 × 25 m.</t>
  </si>
  <si>
    <t xml:space="preserve">S2_surf_toits</t>
  </si>
  <si>
    <t xml:space="preserve">S2 — toitures développées</t>
  </si>
  <si>
    <t xml:space="preserve">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</si>
  <si>
    <t xml:space="preserve">S3_ha_bois</t>
  </si>
  <si>
    <t xml:space="preserve">S3 — bois</t>
  </si>
  <si>
    <t xml:space="preserve">S3_ha_jardins</t>
  </si>
  <si>
    <t xml:space="preserve">S3 — jardins réguliers, parterres, potager</t>
  </si>
  <si>
    <t xml:space="preserve">S3_ha_parc</t>
  </si>
  <si>
    <t xml:space="preserve">S3 — parc paysager</t>
  </si>
  <si>
    <t xml:space="preserve">S3_ha_prairies</t>
  </si>
  <si>
    <t xml:space="preserve">S3 — prés, paddocks et terres</t>
  </si>
  <si>
    <t xml:space="preserve">S3_ml_clotures</t>
  </si>
  <si>
    <t xml:space="preserve">S3 — clôtures</t>
  </si>
  <si>
    <t xml:space="preserve">Pour 120 ha : ≈ 85 ml/ha.</t>
  </si>
  <si>
    <t xml:space="preserve">S3_nb_baies</t>
  </si>
  <si>
    <t xml:space="preserve">S3 — nombre de baies</t>
  </si>
  <si>
    <t xml:space="preserve">S3_nb_boxes</t>
  </si>
  <si>
    <t xml:space="preserve">S3 — boxes</t>
  </si>
  <si>
    <t xml:space="preserve">S3_nb_chevaux</t>
  </si>
  <si>
    <t xml:space="preserve">S3 — chevaux appartenant au propriétaire</t>
  </si>
  <si>
    <t xml:space="preserve">S3_surf_chateau</t>
  </si>
  <si>
    <t xml:space="preserve">S3 — surface de plancher du château</t>
  </si>
  <si>
    <t xml:space="preserve">Choix de scénario : grand château historique avec décors intérieurs.</t>
  </si>
  <si>
    <t xml:space="preserve">S3_surf_dep</t>
  </si>
  <si>
    <t xml:space="preserve">S3 — dépendances (orangerie, communs, chapelle, logements, écuries)</t>
  </si>
  <si>
    <t xml:space="preserve">S3_surf_facades</t>
  </si>
  <si>
    <t xml:space="preserve">S3 — façades</t>
  </si>
  <si>
    <t xml:space="preserve">Géométrie (ESTIMATION) : emprise ≈ plancher / nombre de niveaux ; toiture développée ≈ emprise × 1,4 (pente) ; façades ≈ périmètre × hauteur. Ordre de grandeur à remplacer par les métrés réels d'un bien. Château : ≈ 170 m × 16 m ; dépendances ≈ 500 m × 7 m.</t>
  </si>
  <si>
    <t xml:space="preserve">S3_surf_manege</t>
  </si>
  <si>
    <t xml:space="preserve">S3 — manège couvert (bâtiment)</t>
  </si>
  <si>
    <t xml:space="preserve">S3_surf_pistes</t>
  </si>
  <si>
    <t xml:space="preserve">S3 — carrières et sol du manège</t>
  </si>
  <si>
    <t xml:space="preserve">S3_surf_toits</t>
  </si>
  <si>
    <t xml:space="preserve">S3 — toitures développées</t>
  </si>
  <si>
    <t xml:space="preserve">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</si>
  <si>
    <t xml:space="preserve">— Stress tests —</t>
  </si>
  <si>
    <t xml:space="preserve">st_ca30_choc_trav_an</t>
  </si>
  <si>
    <t xml:space="preserve">Test « ca30 » — choc_trav_an</t>
  </si>
  <si>
    <t xml:space="preserve">paramètre</t>
  </si>
  <si>
    <t xml:space="preserve">Chiffre d'affaires des activités −30 % dès l'année 3</t>
  </si>
  <si>
    <t xml:space="preserve">Stress tests</t>
  </si>
  <si>
    <t xml:space="preserve">st_ca30_choc_trav_montant</t>
  </si>
  <si>
    <t xml:space="preserve">Test « ca30 » — choc_trav_montant</t>
  </si>
  <si>
    <t xml:space="preserve">st_ca30_crise_an</t>
  </si>
  <si>
    <t xml:space="preserve">Test « ca30 » — crise_an</t>
  </si>
  <si>
    <t xml:space="preserve">st_ca30_debut_mult</t>
  </si>
  <si>
    <t xml:space="preserve">Test « ca30 » — debut_mult</t>
  </si>
  <si>
    <t xml:space="preserve">st_ca30_div_fin</t>
  </si>
  <si>
    <t xml:space="preserve">Test « ca30 » — div_fin</t>
  </si>
  <si>
    <t xml:space="preserve">st_ca30_dot_rdt_delta</t>
  </si>
  <si>
    <t xml:space="preserve">Test « ca30 » — dot_rdt_delta</t>
  </si>
  <si>
    <t xml:space="preserve">st_ca30_energie_debut</t>
  </si>
  <si>
    <t xml:space="preserve">Test « ca30 » — energie_debut</t>
  </si>
  <si>
    <t xml:space="preserve">st_ca30_energie_fin</t>
  </si>
  <si>
    <t xml:space="preserve">Test « ca30 » — energie_fin</t>
  </si>
  <si>
    <t xml:space="preserve">st_ca30_energie_mult</t>
  </si>
  <si>
    <t xml:space="preserve">Test « ca30 » — energie_mult</t>
  </si>
  <si>
    <t xml:space="preserve">st_ca30_g_sal_extra</t>
  </si>
  <si>
    <t xml:space="preserve">Test « ca30 » — g_sal_extra</t>
  </si>
  <si>
    <t xml:space="preserve">st_ca30_mult_A</t>
  </si>
  <si>
    <t xml:space="preserve">Test « ca30 » — mult_A</t>
  </si>
  <si>
    <t xml:space="preserve">st_ca30_mult_B</t>
  </si>
  <si>
    <t xml:space="preserve">Test « ca30 » — mult_B</t>
  </si>
  <si>
    <t xml:space="preserve">st_ca30_mult_C</t>
  </si>
  <si>
    <t xml:space="preserve">Test « ca30 » — mult_C</t>
  </si>
  <si>
    <t xml:space="preserve">st_ca30_mult_campagne</t>
  </si>
  <si>
    <t xml:space="preserve">Test « ca30 » — mult_campagne</t>
  </si>
  <si>
    <t xml:space="preserve">st_central_choc_trav_an</t>
  </si>
  <si>
    <t xml:space="preserve">Test « central » — choc_trav_an</t>
  </si>
  <si>
    <t xml:space="preserve">Projection centrale</t>
  </si>
  <si>
    <t xml:space="preserve">st_central_choc_trav_montant</t>
  </si>
  <si>
    <t xml:space="preserve">Test « central » — choc_trav_montant</t>
  </si>
  <si>
    <t xml:space="preserve">st_central_crise_an</t>
  </si>
  <si>
    <t xml:space="preserve">Test « central » — crise_an</t>
  </si>
  <si>
    <t xml:space="preserve">st_central_debut_mult</t>
  </si>
  <si>
    <t xml:space="preserve">Test « central » — debut_mult</t>
  </si>
  <si>
    <t xml:space="preserve">st_central_div_fin</t>
  </si>
  <si>
    <t xml:space="preserve">Test « central » — div_fin</t>
  </si>
  <si>
    <t xml:space="preserve">st_central_dot_rdt_delta</t>
  </si>
  <si>
    <t xml:space="preserve">Test « central » — dot_rdt_delta</t>
  </si>
  <si>
    <t xml:space="preserve">st_central_energie_debut</t>
  </si>
  <si>
    <t xml:space="preserve">Test « central » — energie_debut</t>
  </si>
  <si>
    <t xml:space="preserve">st_central_energie_fin</t>
  </si>
  <si>
    <t xml:space="preserve">Test « central » — energie_fin</t>
  </si>
  <si>
    <t xml:space="preserve">st_central_energie_mult</t>
  </si>
  <si>
    <t xml:space="preserve">Test « central » — energie_mult</t>
  </si>
  <si>
    <t xml:space="preserve">st_central_g_sal_extra</t>
  </si>
  <si>
    <t xml:space="preserve">Test « central » — g_sal_extra</t>
  </si>
  <si>
    <t xml:space="preserve">st_central_mult_A</t>
  </si>
  <si>
    <t xml:space="preserve">Test « central » — mult_A</t>
  </si>
  <si>
    <t xml:space="preserve">st_central_mult_B</t>
  </si>
  <si>
    <t xml:space="preserve">Test « central » — mult_B</t>
  </si>
  <si>
    <t xml:space="preserve">st_central_mult_C</t>
  </si>
  <si>
    <t xml:space="preserve">Test « central » — mult_C</t>
  </si>
  <si>
    <t xml:space="preserve">st_central_mult_campagne</t>
  </si>
  <si>
    <t xml:space="preserve">Test « central » — mult_campagne</t>
  </si>
  <si>
    <t xml:space="preserve">st_crise_choc_trav_an</t>
  </si>
  <si>
    <t xml:space="preserve">Test « crise » — choc_trav_an</t>
  </si>
  <si>
    <t xml:space="preserve">Crise de type 2020 en année 5 (C −80 %, B −15 %, A −5 % ; dotation −25 % ; dividendes −50 %), reprise partielle en année 6</t>
  </si>
  <si>
    <t xml:space="preserve">st_crise_choc_trav_montant</t>
  </si>
  <si>
    <t xml:space="preserve">Test « crise » — choc_trav_montant</t>
  </si>
  <si>
    <t xml:space="preserve">st_crise_crise_an</t>
  </si>
  <si>
    <t xml:space="preserve">Test « crise » — crise_an</t>
  </si>
  <si>
    <t xml:space="preserve">st_crise_debut_mult</t>
  </si>
  <si>
    <t xml:space="preserve">Test « crise » — debut_mult</t>
  </si>
  <si>
    <t xml:space="preserve">st_crise_div_fin</t>
  </si>
  <si>
    <t xml:space="preserve">Test « crise » — div_fin</t>
  </si>
  <si>
    <t xml:space="preserve">st_crise_dot_rdt_delta</t>
  </si>
  <si>
    <t xml:space="preserve">Test « crise » — dot_rdt_delta</t>
  </si>
  <si>
    <t xml:space="preserve">st_crise_energie_debut</t>
  </si>
  <si>
    <t xml:space="preserve">Test « crise » — energie_debut</t>
  </si>
  <si>
    <t xml:space="preserve">st_crise_energie_fin</t>
  </si>
  <si>
    <t xml:space="preserve">Test « crise » — energie_fin</t>
  </si>
  <si>
    <t xml:space="preserve">st_crise_energie_mult</t>
  </si>
  <si>
    <t xml:space="preserve">Test « crise » — energie_mult</t>
  </si>
  <si>
    <t xml:space="preserve">st_crise_g_sal_extra</t>
  </si>
  <si>
    <t xml:space="preserve">Test « crise » — g_sal_extra</t>
  </si>
  <si>
    <t xml:space="preserve">st_crise_mult_A</t>
  </si>
  <si>
    <t xml:space="preserve">Test « crise » — mult_A</t>
  </si>
  <si>
    <t xml:space="preserve">st_crise_mult_B</t>
  </si>
  <si>
    <t xml:space="preserve">Test « crise » — mult_B</t>
  </si>
  <si>
    <t xml:space="preserve">st_crise_mult_C</t>
  </si>
  <si>
    <t xml:space="preserve">Test « crise » — mult_C</t>
  </si>
  <si>
    <t xml:space="preserve">st_crise_mult_campagne</t>
  </si>
  <si>
    <t xml:space="preserve">Test « crise » — mult_campagne</t>
  </si>
  <si>
    <t xml:space="preserve">st_cumul_choc_trav_an</t>
  </si>
  <si>
    <t xml:space="preserve">Test « cumul » — choc_trav_an</t>
  </si>
  <si>
    <t xml:space="preserve">Cumul défavorable : activités −30 %, crise en année 5, sinistre de 600 000 € en année 6, salaires +1,5 % réel</t>
  </si>
  <si>
    <t xml:space="preserve">st_cumul_choc_trav_montant</t>
  </si>
  <si>
    <t xml:space="preserve">Test « cumul » — choc_trav_montant</t>
  </si>
  <si>
    <t xml:space="preserve">st_cumul_crise_an</t>
  </si>
  <si>
    <t xml:space="preserve">Test « cumul » — crise_an</t>
  </si>
  <si>
    <t xml:space="preserve">st_cumul_debut_mult</t>
  </si>
  <si>
    <t xml:space="preserve">Test « cumul » — debut_mult</t>
  </si>
  <si>
    <t xml:space="preserve">st_cumul_div_fin</t>
  </si>
  <si>
    <t xml:space="preserve">Test « cumul » — div_fin</t>
  </si>
  <si>
    <t xml:space="preserve">st_cumul_dot_rdt_delta</t>
  </si>
  <si>
    <t xml:space="preserve">Test « cumul » — dot_rdt_delta</t>
  </si>
  <si>
    <t xml:space="preserve">st_cumul_energie_debut</t>
  </si>
  <si>
    <t xml:space="preserve">Test « cumul » — energie_debut</t>
  </si>
  <si>
    <t xml:space="preserve">st_cumul_energie_fin</t>
  </si>
  <si>
    <t xml:space="preserve">Test « cumul » — energie_fin</t>
  </si>
  <si>
    <t xml:space="preserve">st_cumul_energie_mult</t>
  </si>
  <si>
    <t xml:space="preserve">Test « cumul » — energie_mult</t>
  </si>
  <si>
    <t xml:space="preserve">st_cumul_g_sal_extra</t>
  </si>
  <si>
    <t xml:space="preserve">Test « cumul » — g_sal_extra</t>
  </si>
  <si>
    <t xml:space="preserve">st_cumul_mult_A</t>
  </si>
  <si>
    <t xml:space="preserve">Test « cumul » — mult_A</t>
  </si>
  <si>
    <t xml:space="preserve">st_cumul_mult_B</t>
  </si>
  <si>
    <t xml:space="preserve">Test « cumul » — mult_B</t>
  </si>
  <si>
    <t xml:space="preserve">st_cumul_mult_C</t>
  </si>
  <si>
    <t xml:space="preserve">Test « cumul » — mult_C</t>
  </si>
  <si>
    <t xml:space="preserve">st_cumul_mult_campagne</t>
  </si>
  <si>
    <t xml:space="preserve">Test « cumul » — mult_campagne</t>
  </si>
  <si>
    <t xml:space="preserve">st_energie_choc_trav_an</t>
  </si>
  <si>
    <t xml:space="preserve">Test « energie » — choc_trav_an</t>
  </si>
  <si>
    <t xml:space="preserve">Prix de l'énergie ×2 pendant 3 ans (années 4 à 6)</t>
  </si>
  <si>
    <t xml:space="preserve">st_energie_choc_trav_montant</t>
  </si>
  <si>
    <t xml:space="preserve">Test « energie » — choc_trav_montant</t>
  </si>
  <si>
    <t xml:space="preserve">st_energie_crise_an</t>
  </si>
  <si>
    <t xml:space="preserve">Test « energie » — crise_an</t>
  </si>
  <si>
    <t xml:space="preserve">st_energie_debut_mult</t>
  </si>
  <si>
    <t xml:space="preserve">Test « energie » — debut_mult</t>
  </si>
  <si>
    <t xml:space="preserve">st_energie_div_fin</t>
  </si>
  <si>
    <t xml:space="preserve">Test « energie » — div_fin</t>
  </si>
  <si>
    <t xml:space="preserve">st_energie_dot_rdt_delta</t>
  </si>
  <si>
    <t xml:space="preserve">Test « energie » — dot_rdt_delta</t>
  </si>
  <si>
    <t xml:space="preserve">st_energie_energie_debut</t>
  </si>
  <si>
    <t xml:space="preserve">Test « energie » — energie_debut</t>
  </si>
  <si>
    <t xml:space="preserve">st_energie_energie_fin</t>
  </si>
  <si>
    <t xml:space="preserve">Test « energie » — energie_fin</t>
  </si>
  <si>
    <t xml:space="preserve">st_energie_energie_mult</t>
  </si>
  <si>
    <t xml:space="preserve">Test « energie » — energie_mult</t>
  </si>
  <si>
    <t xml:space="preserve">st_energie_g_sal_extra</t>
  </si>
  <si>
    <t xml:space="preserve">Test « energie » — g_sal_extra</t>
  </si>
  <si>
    <t xml:space="preserve">st_energie_mult_A</t>
  </si>
  <si>
    <t xml:space="preserve">Test « energie » — mult_A</t>
  </si>
  <si>
    <t xml:space="preserve">st_energie_mult_B</t>
  </si>
  <si>
    <t xml:space="preserve">Test « energie » — mult_B</t>
  </si>
  <si>
    <t xml:space="preserve">st_energie_mult_C</t>
  </si>
  <si>
    <t xml:space="preserve">Test « energie » — mult_C</t>
  </si>
  <si>
    <t xml:space="preserve">st_energie_mult_campagne</t>
  </si>
  <si>
    <t xml:space="preserve">Test « energie » — mult_campagne</t>
  </si>
  <si>
    <t xml:space="preserve">st_moteur_choc_trav_an</t>
  </si>
  <si>
    <t xml:space="preserve">Test « moteur » — choc_trav_an</t>
  </si>
  <si>
    <t xml:space="preserve">Moteur extérieur défaillant : dividendes nuls dès l'année 3 et rendement de la dotation −1 point</t>
  </si>
  <si>
    <t xml:space="preserve">st_moteur_choc_trav_montant</t>
  </si>
  <si>
    <t xml:space="preserve">Test « moteur » — choc_trav_montant</t>
  </si>
  <si>
    <t xml:space="preserve">st_moteur_crise_an</t>
  </si>
  <si>
    <t xml:space="preserve">Test « moteur » — crise_an</t>
  </si>
  <si>
    <t xml:space="preserve">st_moteur_debut_mult</t>
  </si>
  <si>
    <t xml:space="preserve">Test « moteur » — debut_mult</t>
  </si>
  <si>
    <t xml:space="preserve">st_moteur_div_fin</t>
  </si>
  <si>
    <t xml:space="preserve">Test « moteur » — div_fin</t>
  </si>
  <si>
    <t xml:space="preserve">st_moteur_dot_rdt_delta</t>
  </si>
  <si>
    <t xml:space="preserve">Test « moteur » — dot_rdt_delta</t>
  </si>
  <si>
    <t xml:space="preserve">st_moteur_energie_debut</t>
  </si>
  <si>
    <t xml:space="preserve">Test « moteur » — energie_debut</t>
  </si>
  <si>
    <t xml:space="preserve">st_moteur_energie_fin</t>
  </si>
  <si>
    <t xml:space="preserve">Test « moteur » — energie_fin</t>
  </si>
  <si>
    <t xml:space="preserve">st_moteur_energie_mult</t>
  </si>
  <si>
    <t xml:space="preserve">Test « moteur » — energie_mult</t>
  </si>
  <si>
    <t xml:space="preserve">st_moteur_g_sal_extra</t>
  </si>
  <si>
    <t xml:space="preserve">Test « moteur » — g_sal_extra</t>
  </si>
  <si>
    <t xml:space="preserve">st_moteur_mult_A</t>
  </si>
  <si>
    <t xml:space="preserve">Test « moteur » — mult_A</t>
  </si>
  <si>
    <t xml:space="preserve">st_moteur_mult_B</t>
  </si>
  <si>
    <t xml:space="preserve">Test « moteur » — mult_B</t>
  </si>
  <si>
    <t xml:space="preserve">st_moteur_mult_C</t>
  </si>
  <si>
    <t xml:space="preserve">Test « moteur » — mult_C</t>
  </si>
  <si>
    <t xml:space="preserve">st_moteur_mult_campagne</t>
  </si>
  <si>
    <t xml:space="preserve">Test « moteur » — mult_campagne</t>
  </si>
  <si>
    <t xml:space="preserve">st_salaires_choc_trav_an</t>
  </si>
  <si>
    <t xml:space="preserve">Test « salaires » — choc_trav_an</t>
  </si>
  <si>
    <t xml:space="preserve">Salaires +1,5 % réel par an au lieu de +0,5 %</t>
  </si>
  <si>
    <t xml:space="preserve">st_salaires_choc_trav_montant</t>
  </si>
  <si>
    <t xml:space="preserve">Test « salaires » — choc_trav_montant</t>
  </si>
  <si>
    <t xml:space="preserve">st_salaires_crise_an</t>
  </si>
  <si>
    <t xml:space="preserve">Test « salaires » — crise_an</t>
  </si>
  <si>
    <t xml:space="preserve">st_salaires_debut_mult</t>
  </si>
  <si>
    <t xml:space="preserve">Test « salaires » — debut_mult</t>
  </si>
  <si>
    <t xml:space="preserve">st_salaires_div_fin</t>
  </si>
  <si>
    <t xml:space="preserve">Test « salaires » — div_fin</t>
  </si>
  <si>
    <t xml:space="preserve">st_salaires_dot_rdt_delta</t>
  </si>
  <si>
    <t xml:space="preserve">Test « salaires » — dot_rdt_delta</t>
  </si>
  <si>
    <t xml:space="preserve">st_salaires_energie_debut</t>
  </si>
  <si>
    <t xml:space="preserve">Test « salaires » — energie_debut</t>
  </si>
  <si>
    <t xml:space="preserve">st_salaires_energie_fin</t>
  </si>
  <si>
    <t xml:space="preserve">Test « salaires » — energie_fin</t>
  </si>
  <si>
    <t xml:space="preserve">st_salaires_energie_mult</t>
  </si>
  <si>
    <t xml:space="preserve">Test « salaires » — energie_mult</t>
  </si>
  <si>
    <t xml:space="preserve">st_salaires_g_sal_extra</t>
  </si>
  <si>
    <t xml:space="preserve">Test « salaires » — g_sal_extra</t>
  </si>
  <si>
    <t xml:space="preserve">st_salaires_mult_A</t>
  </si>
  <si>
    <t xml:space="preserve">Test « salaires » — mult_A</t>
  </si>
  <si>
    <t xml:space="preserve">st_salaires_mult_B</t>
  </si>
  <si>
    <t xml:space="preserve">Test « salaires » — mult_B</t>
  </si>
  <si>
    <t xml:space="preserve">st_salaires_mult_C</t>
  </si>
  <si>
    <t xml:space="preserve">Test « salaires » — mult_C</t>
  </si>
  <si>
    <t xml:space="preserve">st_salaires_mult_campagne</t>
  </si>
  <si>
    <t xml:space="preserve">Test « salaires » — mult_campagne</t>
  </si>
  <si>
    <t xml:space="preserve">st_travaux_choc_trav_an</t>
  </si>
  <si>
    <t xml:space="preserve">Test « travaux » — choc_trav_an</t>
  </si>
  <si>
    <t xml:space="preserve">Sinistre ou découverte non assurés en année 6 (+600 000 €) et campagnes +30 %</t>
  </si>
  <si>
    <t xml:space="preserve">st_travaux_choc_trav_montant</t>
  </si>
  <si>
    <t xml:space="preserve">Test « travaux » — choc_trav_montant</t>
  </si>
  <si>
    <t xml:space="preserve">st_travaux_crise_an</t>
  </si>
  <si>
    <t xml:space="preserve">Test « travaux » — crise_an</t>
  </si>
  <si>
    <t xml:space="preserve">st_travaux_debut_mult</t>
  </si>
  <si>
    <t xml:space="preserve">Test « travaux » — debut_mult</t>
  </si>
  <si>
    <t xml:space="preserve">st_travaux_div_fin</t>
  </si>
  <si>
    <t xml:space="preserve">Test « travaux » — div_fin</t>
  </si>
  <si>
    <t xml:space="preserve">st_travaux_dot_rdt_delta</t>
  </si>
  <si>
    <t xml:space="preserve">Test « travaux » — dot_rdt_delta</t>
  </si>
  <si>
    <t xml:space="preserve">st_travaux_energie_debut</t>
  </si>
  <si>
    <t xml:space="preserve">Test « travaux » — energie_debut</t>
  </si>
  <si>
    <t xml:space="preserve">st_travaux_energie_fin</t>
  </si>
  <si>
    <t xml:space="preserve">Test « travaux » — energie_fin</t>
  </si>
  <si>
    <t xml:space="preserve">st_travaux_energie_mult</t>
  </si>
  <si>
    <t xml:space="preserve">Test « travaux » — energie_mult</t>
  </si>
  <si>
    <t xml:space="preserve">st_travaux_g_sal_extra</t>
  </si>
  <si>
    <t xml:space="preserve">Test « travaux » — g_sal_extra</t>
  </si>
  <si>
    <t xml:space="preserve">st_travaux_mult_A</t>
  </si>
  <si>
    <t xml:space="preserve">Test « travaux » — mult_A</t>
  </si>
  <si>
    <t xml:space="preserve">st_travaux_mult_B</t>
  </si>
  <si>
    <t xml:space="preserve">Test « travaux » — mult_B</t>
  </si>
  <si>
    <t xml:space="preserve">st_travaux_mult_C</t>
  </si>
  <si>
    <t xml:space="preserve">Test « travaux » — mult_C</t>
  </si>
  <si>
    <t xml:space="preserve">st_travaux_mult_campagne</t>
  </si>
  <si>
    <t xml:space="preserve">Test « travaux » — mult_campagne</t>
  </si>
  <si>
    <t xml:space="preserve">— Énergie et eau —</t>
  </si>
  <si>
    <t xml:space="preserve">S1_eau</t>
  </si>
  <si>
    <t xml:space="preserve">S1 — eau et assainissement</t>
  </si>
  <si>
    <t xml:space="preserve">R1-32</t>
  </si>
  <si>
    <t xml:space="preserve">Repère : 432 €/an pour un petit château sans chevaux (déclaration d'un vendeur).</t>
  </si>
  <si>
    <t xml:space="preserve">Énergie et eau</t>
  </si>
  <si>
    <t xml:space="preserve">S1_elec_kwh</t>
  </si>
  <si>
    <t xml:space="preserve">S1 — électricité spécifique (maison, écurie, extérieurs)</t>
  </si>
  <si>
    <t xml:space="preserve">kWh/an</t>
  </si>
  <si>
    <t xml:space="preserve">S1_surf_chauffee</t>
  </si>
  <si>
    <t xml:space="preserve">S1 — surface chauffée à confort</t>
  </si>
  <si>
    <t xml:space="preserve">50 à 80 % des 700 m² habitables (R1 § 9.1).</t>
  </si>
  <si>
    <t xml:space="preserve">S2_eau</t>
  </si>
  <si>
    <t xml:space="preserve">S2 — eau et assainissement</t>
  </si>
  <si>
    <t xml:space="preserve">S2_elec_kwh</t>
  </si>
  <si>
    <t xml:space="preserve">S2 — électricité spécifique (dont manège éclairé, écuries, ateliers)</t>
  </si>
  <si>
    <t xml:space="preserve">S2_surf_chauffee</t>
  </si>
  <si>
    <t xml:space="preserve">S2 — surface chauffée à confort</t>
  </si>
  <si>
    <t xml:space="preserve">40 à 60 % du château.</t>
  </si>
  <si>
    <t xml:space="preserve">S3_eau</t>
  </si>
  <si>
    <t xml:space="preserve">S3 — eau et assainissement (dont arrosage des jardins)</t>
  </si>
  <si>
    <t xml:space="preserve">S3_elec_kwh</t>
  </si>
  <si>
    <t xml:space="preserve">S3 — électricité spécifique</t>
  </si>
  <si>
    <t xml:space="preserve">S3_surf_chauffee</t>
  </si>
  <si>
    <t xml:space="preserve">S3 — surface chauffée à confort</t>
  </si>
  <si>
    <t xml:space="preserve">30 à 50 % du château.</t>
  </si>
  <si>
    <t xml:space="preserve">chauffage_kwh_m2</t>
  </si>
  <si>
    <t xml:space="preserve">Consommation de chauffage et d'eau chaude par m² chauffé</t>
  </si>
  <si>
    <t xml:space="preserve">kWh/m²/an</t>
  </si>
  <si>
    <t xml:space="preserve">R1-21</t>
  </si>
  <si>
    <t xml:space="preserve">Aucune mesure de château trouvée. Repère : le SDES juge « très énergivore » un logement au-delà de 450 kWh/m² d'énergie finale.</t>
  </si>
  <si>
    <t xml:space="preserve">horsgel_kwh_m2</t>
  </si>
  <si>
    <t xml:space="preserve">Consommation hors-gel par m² non habité du château</t>
  </si>
  <si>
    <t xml:space="preserve">Maintien hors-gel et lutte contre l'humidité.</t>
  </si>
  <si>
    <t xml:space="preserve">prix_chaleur_kwh</t>
  </si>
  <si>
    <t xml:space="preserve">Prix de l'énergie de chauffage livrée</t>
  </si>
  <si>
    <t xml:space="preserve">€ TTC/kWh</t>
  </si>
  <si>
    <t xml:space="preserve">R1-22; R1-25</t>
  </si>
  <si>
    <t xml:space="preserve">Bornes : granulés en vrac 10,4 c€ TTC/kWh (2023, ADEME repris par un tiers) ; gaz, prix repère 19,49 c€ TTC/kWh pour le seul mois de novembre 2026, après deux hausses successives (V2V).</t>
  </si>
  <si>
    <t xml:space="preserve">prix_elec_kwh</t>
  </si>
  <si>
    <t xml:space="preserve">Prix moyen de l'électricité</t>
  </si>
  <si>
    <t xml:space="preserve">R1-24</t>
  </si>
  <si>
    <t xml:space="preserve">Tarif réglementé au 1er août 2026 : 1 072 € TTC pour 4,5 MWh, soit ≈ 238 €/MWh, abonnement compris.</t>
  </si>
  <si>
    <t xml:space="preserve">BUDGET ANNUEL DE FONCTIONNEMENT — trois domaines types, trois cas (€ 2026 TTC)</t>
  </si>
  <si>
    <t xml:space="preserve">Chaque cellule est une formule construite à partir des hypothèses nommées (feuille Hypotheses). La provision de gros entretien applique un taux à la valeur de reconstruction (règle du NRC) ; la méthode par composants n'a pas pu être sourcée. Les honoraires de maîtrise d'œuvre et l'assurance dommages-ouvrage sont ajoutés en pourcentage du gros entretien.</t>
  </si>
  <si>
    <t xml:space="preserve">Ligne</t>
  </si>
  <si>
    <t xml:space="preserve">Catégorie</t>
  </si>
  <si>
    <t xml:space="preserve">TVA contenue</t>
  </si>
  <si>
    <t xml:space="preserve">S1 Favorable</t>
  </si>
  <si>
    <t xml:space="preserve">S1 Central</t>
  </si>
  <si>
    <t xml:space="preserve">S1 Défavorable</t>
  </si>
  <si>
    <t xml:space="preserve">S2 Favorable</t>
  </si>
  <si>
    <t xml:space="preserve">S2 Central</t>
  </si>
  <si>
    <t xml:space="preserve">S2 Défavorable</t>
  </si>
  <si>
    <t xml:space="preserve">S3 Favorable</t>
  </si>
  <si>
    <t xml:space="preserve">S3 Central</t>
  </si>
  <si>
    <t xml:space="preserve">S3 Défavorable</t>
  </si>
  <si>
    <t xml:space="preserve">valeur_reconstruction</t>
  </si>
  <si>
    <t xml:space="preserve">Valeur de reconstruction à l'identique (château + dépendances), base de calcul</t>
  </si>
  <si>
    <t xml:space="preserve">Base</t>
  </si>
  <si>
    <t xml:space="preserve">bati_courant</t>
  </si>
  <si>
    <t xml:space="preserve">Entretien courant du bâti (petites réparations, contrats, contrôles)</t>
  </si>
  <si>
    <t xml:space="preserve">A. Bâti</t>
  </si>
  <si>
    <t xml:space="preserve">bati_ge</t>
  </si>
  <si>
    <t xml:space="preserve">Provision de gros entretien et de conservation (campagnes de toiture, maçonnerie, menuiseries, réseaux)</t>
  </si>
  <si>
    <t xml:space="preserve">imprevus_travaux</t>
  </si>
  <si>
    <t xml:space="preserve">Aléas de chantier et découvertes (en % du gros entretien)</t>
  </si>
  <si>
    <t xml:space="preserve">moe_do</t>
  </si>
  <si>
    <t xml:space="preserve">Maîtrise d'œuvre, diagnostics, coordination SPS et dommages-ouvrage des campagnes (en % du gros entretien)</t>
  </si>
  <si>
    <t xml:space="preserve">securite</t>
  </si>
  <si>
    <t xml:space="preserve">Sécurité : alarme, télésurveillance, protection incendie</t>
  </si>
  <si>
    <t xml:space="preserve">pers_direction</t>
  </si>
  <si>
    <t xml:space="preserve">Personnel : régisseur ou directeur de domaine</t>
  </si>
  <si>
    <t xml:space="preserve">B. Personnel</t>
  </si>
  <si>
    <t xml:space="preserve">pers_admin</t>
  </si>
  <si>
    <t xml:space="preserve">Personnel : assistant(e) administratif(ve) et comptable</t>
  </si>
  <si>
    <t xml:space="preserve">pers_chef_jardinier</t>
  </si>
  <si>
    <t xml:space="preserve">Personnel : chef jardinier</t>
  </si>
  <si>
    <t xml:space="preserve">pers_jardins</t>
  </si>
  <si>
    <t xml:space="preserve">Personnel : jardiniers</t>
  </si>
  <si>
    <t xml:space="preserve">pers_entretien</t>
  </si>
  <si>
    <t xml:space="preserve">Personnel : gardien, maintenance des bâtiments</t>
  </si>
  <si>
    <t xml:space="preserve">pers_agricole</t>
  </si>
  <si>
    <t xml:space="preserve">Personnel : ouvrier agricole et forestier (prés, clôtures, foin, bois)</t>
  </si>
  <si>
    <t xml:space="preserve">pers_equestre</t>
  </si>
  <si>
    <t xml:space="preserve">Personnel : soigneurs des chevaux du propriétaire</t>
  </si>
  <si>
    <t xml:space="preserve">pers_resp_ecurie</t>
  </si>
  <si>
    <t xml:space="preserve">Personnel : responsable d'écurie et cavalier</t>
  </si>
  <si>
    <t xml:space="preserve">pers_gouvernance</t>
  </si>
  <si>
    <t xml:space="preserve">Personnel de maison encadrant (gouvernante, majordome) — particulier employeur</t>
  </si>
  <si>
    <t xml:space="preserve">pers_maison</t>
  </si>
  <si>
    <t xml:space="preserve">Personnel : employés de maison — particulier employeur</t>
  </si>
  <si>
    <t xml:space="preserve">jardins_reguliers</t>
  </si>
  <si>
    <t xml:space="preserve">Jardins réguliers et potager : fournitures, végétaux, sous-traitance</t>
  </si>
  <si>
    <t xml:space="preserve">C. Jardins et terres</t>
  </si>
  <si>
    <t xml:space="preserve">parc</t>
  </si>
  <si>
    <t xml:space="preserve">Parc paysager : fournitures, fauche, élagage et replantation</t>
  </si>
  <si>
    <t xml:space="preserve">prairies</t>
  </si>
  <si>
    <t xml:space="preserve">Prairies et paddocks : entretien, amendements, fauche</t>
  </si>
  <si>
    <t xml:space="preserve">clotures</t>
  </si>
  <si>
    <t xml:space="preserve">Clôtures : provision de renouvellement</t>
  </si>
  <si>
    <t xml:space="preserve">bois</t>
  </si>
  <si>
    <t xml:space="preserve">Bois : gestion courante (hors recettes de coupe)</t>
  </si>
  <si>
    <t xml:space="preserve">equip_renouv</t>
  </si>
  <si>
    <t xml:space="preserve">Équipements : renouvellement (tracteurs, tondeuses, véhicules, camion)</t>
  </si>
  <si>
    <t xml:space="preserve">D. Équipements</t>
  </si>
  <si>
    <t xml:space="preserve">equip_entretien</t>
  </si>
  <si>
    <t xml:space="preserve">Équipements : entretien et carburant</t>
  </si>
  <si>
    <t xml:space="preserve">Chevaux du propriétaire : alimentation, litière, maréchal, vétérinaire, assurance (hors personnel)</t>
  </si>
  <si>
    <t xml:space="preserve">E. Chevaux</t>
  </si>
  <si>
    <t xml:space="preserve">installations_eq</t>
  </si>
  <si>
    <t xml:space="preserve">Installations équestres : sols, boxes, bâtiment du manège (provision)</t>
  </si>
  <si>
    <t xml:space="preserve">chauffage</t>
  </si>
  <si>
    <t xml:space="preserve">Chauffage et eau chaude des surfaces habitées</t>
  </si>
  <si>
    <t xml:space="preserve">F. Énergie</t>
  </si>
  <si>
    <t xml:space="preserve">hors_gel</t>
  </si>
  <si>
    <t xml:space="preserve">Hors-gel et tempérage des surfaces non habitées du château</t>
  </si>
  <si>
    <t xml:space="preserve">electricite</t>
  </si>
  <si>
    <t xml:space="preserve">Électricité spécifique (éclairage, pompes, écuries, ateliers, extérieurs)</t>
  </si>
  <si>
    <t xml:space="preserve">eau</t>
  </si>
  <si>
    <t xml:space="preserve">Eau et assainissement</t>
  </si>
  <si>
    <t xml:space="preserve">assurance_bati</t>
  </si>
  <si>
    <t xml:space="preserve">Assurance des bâtiments (en ‰ de la valeur de reconstruction)</t>
  </si>
  <si>
    <t xml:space="preserve">G. Assurances</t>
  </si>
  <si>
    <t xml:space="preserve">assurance_autres</t>
  </si>
  <si>
    <t xml:space="preserve">Responsabilité civile, véhicules, chevaux, contenu</t>
  </si>
  <si>
    <t xml:space="preserve">taxe_fonciere_bati</t>
  </si>
  <si>
    <t xml:space="preserve">Taxe foncière sur les propriétés bâties</t>
  </si>
  <si>
    <t xml:space="preserve">H. Impôts et taxes</t>
  </si>
  <si>
    <t xml:space="preserve">taxe_fonciere_non_bati</t>
  </si>
  <si>
    <t xml:space="preserve">Taxe foncière sur les propriétés non bâties</t>
  </si>
  <si>
    <t xml:space="preserve">ifi</t>
  </si>
  <si>
    <t xml:space="preserve">IFI du propriétaire au titre du domaine (barème 2026, abattement résidence principale)</t>
  </si>
  <si>
    <t xml:space="preserve">admin</t>
  </si>
  <si>
    <t xml:space="preserve">Administration : expert-comptable, juridique, banque, informatique, télécoms</t>
  </si>
  <si>
    <t xml:space="preserve">I. Administration</t>
  </si>
  <si>
    <t xml:space="preserve">honoraires_patrimoine</t>
  </si>
  <si>
    <t xml:space="preserve">Architecte du patrimoine : état sanitaire et suivi (hors maîtrise d'œuvre des chantiers)</t>
  </si>
  <si>
    <t xml:space="preserve">dont_personnel_calc</t>
  </si>
  <si>
    <t xml:space="preserve">Sous-total du personnel</t>
  </si>
  <si>
    <t xml:space="preserve">etp_total</t>
  </si>
  <si>
    <t xml:space="preserve">Effectif total (ETP)</t>
  </si>
  <si>
    <t xml:space="preserve">st_fonctionnement</t>
  </si>
  <si>
    <t xml:space="preserve">Sous-total des charges de fonctionnement</t>
  </si>
  <si>
    <t xml:space="preserve">Totaux</t>
  </si>
  <si>
    <t xml:space="preserve">st_provisions</t>
  </si>
  <si>
    <t xml:space="preserve">Sous-total des provisions (gros entretien, aléas de chantier, renouvellements)</t>
  </si>
  <si>
    <t xml:space="preserve">imprevus</t>
  </si>
  <si>
    <t xml:space="preserve">Imprévus d'exploitation (en % des charges de fonctionnement)</t>
  </si>
  <si>
    <t xml:space="preserve">J. Imprévus</t>
  </si>
  <si>
    <t xml:space="preserve">invest_futurs</t>
  </si>
  <si>
    <t xml:space="preserve">Investissements futurs : améliorations, mises aux normes, embellissements</t>
  </si>
  <si>
    <t xml:space="preserve">K. Investissements futurs</t>
  </si>
  <si>
    <t xml:space="preserve">total_besoin</t>
  </si>
  <si>
    <t xml:space="preserve">BESOIN ANNUEL DE TRÉSORERIE DU DOMAINE (hors dette, hors activités)</t>
  </si>
  <si>
    <t xml:space="preserve">dont_personnel</t>
  </si>
  <si>
    <t xml:space="preserve">dont personnel</t>
  </si>
  <si>
    <t xml:space="preserve">Indicateurs</t>
  </si>
  <si>
    <t xml:space="preserve">dont_bati</t>
  </si>
  <si>
    <t xml:space="preserve">dont bâti (entretien courant, gros entretien, aléas, assurance, taxe foncière bâtie, sécurité)</t>
  </si>
  <si>
    <t xml:space="preserve">part_personnel</t>
  </si>
  <si>
    <t xml:space="preserve">Part du personnel dans le besoin total</t>
  </si>
  <si>
    <t xml:space="preserve">part_bati</t>
  </si>
  <si>
    <t xml:space="preserve">Part du bâti dans le besoin total</t>
  </si>
  <si>
    <t xml:space="preserve">besoin_ht_societe</t>
  </si>
  <si>
    <t xml:space="preserve">Besoin si les charges sont portées par une société assujettie (TVA récupérée, ordre de grandeur)</t>
  </si>
  <si>
    <t xml:space="preserve">besoin_par_m2</t>
  </si>
  <si>
    <t xml:space="preserve">Besoin total par m² de plancher bâti (château + dépendances), en €/m²</t>
  </si>
  <si>
    <t xml:space="preserve">besoin_en_pct_valeur</t>
  </si>
  <si>
    <t xml:space="preserve">Besoin annuel en % de la valeur de reconstruction</t>
  </si>
  <si>
    <t xml:space="preserve">dette_annuite</t>
  </si>
  <si>
    <t xml:space="preserve">Scénario complémentaire : annuité d'une dette d'acquisition</t>
  </si>
  <si>
    <t xml:space="preserve">total_avec_dette</t>
  </si>
  <si>
    <t xml:space="preserve">BESOIN ANNUEL AVEC DETTE D'ACQUISITION (scénario complémentaire)</t>
  </si>
  <si>
    <t xml:space="preserve">MOTEURS DE REVENUS — économie unitaire à l'échelle d'un domaine S2 (€ 2026 HT, par an)</t>
  </si>
  <si>
    <t xml:space="preserve">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</si>
  <si>
    <t xml:space="preserve">eq_std_ca</t>
  </si>
  <si>
    <t xml:space="preserve">Pension standard — CA HT</t>
  </si>
  <si>
    <t xml:space="preserve">EQ_STD</t>
  </si>
  <si>
    <t xml:space="preserve">eq_std_ch</t>
  </si>
  <si>
    <t xml:space="preserve">Pension standard — charges</t>
  </si>
  <si>
    <t xml:space="preserve">eq_std_cn</t>
  </si>
  <si>
    <t xml:space="preserve">Pension standard — CONTRIBUTION NETTE</t>
  </si>
  <si>
    <t xml:space="preserve">eq_hdg_ca</t>
  </si>
  <si>
    <t xml:space="preserve">Pension haut de gamme — CA HT</t>
  </si>
  <si>
    <t xml:space="preserve">EQ_HDG</t>
  </si>
  <si>
    <t xml:space="preserve">eq_hdg_ch</t>
  </si>
  <si>
    <t xml:space="preserve">Pension haut de gamme — charges</t>
  </si>
  <si>
    <t xml:space="preserve">eq_hdg_cn</t>
  </si>
  <si>
    <t xml:space="preserve">Pension haut de gamme — CONTRIBUTION NETTE</t>
  </si>
  <si>
    <t xml:space="preserve">eq_pro_ca</t>
  </si>
  <si>
    <t xml:space="preserve">Écuries louées à un professionnel — redevances</t>
  </si>
  <si>
    <t xml:space="preserve">EQ_PRO</t>
  </si>
  <si>
    <t xml:space="preserve">eq_pro_cn</t>
  </si>
  <si>
    <t xml:space="preserve">Écuries louées — CONTRIBUTION NETTE</t>
  </si>
  <si>
    <t xml:space="preserve">eq_ret_ca</t>
  </si>
  <si>
    <t xml:space="preserve">Pension retraite au pré — CA HT</t>
  </si>
  <si>
    <t xml:space="preserve">EQ_RET</t>
  </si>
  <si>
    <t xml:space="preserve">eq_ret_cn</t>
  </si>
  <si>
    <t xml:space="preserve">Pension retraite — CONTRIBUTION NETTE</t>
  </si>
  <si>
    <t xml:space="preserve">repro_cn</t>
  </si>
  <si>
    <t xml:space="preserve">Centre de reproduction — CONTRIBUTION NETTE (si vétérinaire et étalon)</t>
  </si>
  <si>
    <t xml:space="preserve">REPRO</t>
  </si>
  <si>
    <t xml:space="preserve">evt_ca</t>
  </si>
  <si>
    <t xml:space="preserve">Réceptions privées — CA HT</t>
  </si>
  <si>
    <t xml:space="preserve">EVT</t>
  </si>
  <si>
    <t xml:space="preserve">evt_ch</t>
  </si>
  <si>
    <t xml:space="preserve">Réceptions — charges (variables + fixes)</t>
  </si>
  <si>
    <t xml:space="preserve">evt_rv</t>
  </si>
  <si>
    <t xml:space="preserve">Réceptions — provision de renouvellement de la salle</t>
  </si>
  <si>
    <t xml:space="preserve">evt_cn</t>
  </si>
  <si>
    <t xml:space="preserve">Réceptions — CONTRIBUTION NETTE</t>
  </si>
  <si>
    <t xml:space="preserve">evt_inv</t>
  </si>
  <si>
    <t xml:space="preserve">Réceptions — investissement initial (salle ERP)</t>
  </si>
  <si>
    <t xml:space="preserve">tourn_cn</t>
  </si>
  <si>
    <t xml:space="preserve">Tournages et prises de vue — CONTRIBUTION NETTE</t>
  </si>
  <si>
    <t xml:space="preserve">TOURN</t>
  </si>
  <si>
    <t xml:space="preserve">semj_ca</t>
  </si>
  <si>
    <t xml:space="preserve">Séminaires de jour — CA HT</t>
  </si>
  <si>
    <t xml:space="preserve">SEMJ</t>
  </si>
  <si>
    <t xml:space="preserve">semj_cn</t>
  </si>
  <si>
    <t xml:space="preserve">Séminaires de jour — CONTRIBUTION NETTE</t>
  </si>
  <si>
    <t xml:space="preserve">gite_ca</t>
  </si>
  <si>
    <t xml:space="preserve">Grande maison à la semaine — CA HT</t>
  </si>
  <si>
    <t xml:space="preserve">GITE</t>
  </si>
  <si>
    <t xml:space="preserve">gite_cn</t>
  </si>
  <si>
    <t xml:space="preserve">Grande maison — CONTRIBUTION NETTE</t>
  </si>
  <si>
    <t xml:space="preserve">gite_inv</t>
  </si>
  <si>
    <t xml:space="preserve">Grande maison — investissement initial</t>
  </si>
  <si>
    <t xml:space="preserve">log_ca</t>
  </si>
  <si>
    <t xml:space="preserve">Logements locatifs — loyers annuels</t>
  </si>
  <si>
    <t xml:space="preserve">LOG</t>
  </si>
  <si>
    <t xml:space="preserve">log_cn</t>
  </si>
  <si>
    <t xml:space="preserve">Logements locatifs — CONTRIBUTION NETTE</t>
  </si>
  <si>
    <t xml:space="preserve">log_inv</t>
  </si>
  <si>
    <t xml:space="preserve">Logements locatifs — investissement initial</t>
  </si>
  <si>
    <t xml:space="preserve">log_rdt</t>
  </si>
  <si>
    <t xml:space="preserve">Logements locatifs — rendement net sur investissement</t>
  </si>
  <si>
    <t xml:space="preserve">stock_cn</t>
  </si>
  <si>
    <t xml:space="preserve">Hivernage de véhicules — CONTRIBUTION NETTE</t>
  </si>
  <si>
    <t xml:space="preserve">STOCK</t>
  </si>
  <si>
    <t xml:space="preserve">auto_cn</t>
  </si>
  <si>
    <t xml:space="preserve">Gardiennage de voitures de collection — CONTRIBUTION NETTE</t>
  </si>
  <si>
    <t xml:space="preserve">AUTO</t>
  </si>
  <si>
    <t xml:space="preserve">pv_cn</t>
  </si>
  <si>
    <t xml:space="preserve">Bail solaire — CONTRIBUTION NETTE</t>
  </si>
  <si>
    <t xml:space="preserve">PV</t>
  </si>
  <si>
    <t xml:space="preserve">bois_cn</t>
  </si>
  <si>
    <t xml:space="preserve">Forêt (S2, 30 ha) — CONTRIBUTION NETTE</t>
  </si>
  <si>
    <t xml:space="preserve">BOIS</t>
  </si>
  <si>
    <t xml:space="preserve">hot_ca</t>
  </si>
  <si>
    <t xml:space="preserve">Château-hôtel (15 chambres) — CA HT</t>
  </si>
  <si>
    <t xml:space="preserve">HOTEL</t>
  </si>
  <si>
    <t xml:space="preserve">hot_ch</t>
  </si>
  <si>
    <t xml:space="preserve">Château-hôtel — charges (personnel + autres)</t>
  </si>
  <si>
    <t xml:space="preserve">hot_rv</t>
  </si>
  <si>
    <t xml:space="preserve">Château-hôtel — provision de renouvellement</t>
  </si>
  <si>
    <t xml:space="preserve">hot_cn</t>
  </si>
  <si>
    <t xml:space="preserve">Château-hôtel — CONTRIBUTION NETTE</t>
  </si>
  <si>
    <t xml:space="preserve">hot_inv</t>
  </si>
  <si>
    <t xml:space="preserve">Château-hôtel — investissement initial</t>
  </si>
  <si>
    <t xml:space="preserve">anc_loyer</t>
  </si>
  <si>
    <t xml:space="preserve">Bail d'ancrage — loyer brut versé par l'exploitant</t>
  </si>
  <si>
    <t xml:space="preserve">ANC</t>
  </si>
  <si>
    <t xml:space="preserve">anc_eco</t>
  </si>
  <si>
    <t xml:space="preserve">Bail d'ancrage — charges du domaine reprises par l'exploitant</t>
  </si>
  <si>
    <t xml:space="preserve">anc_cn</t>
  </si>
  <si>
    <t xml:space="preserve">Bail d'ancrage — CONTRIBUTION NETTE (si localisation et taille le permettent)</t>
  </si>
  <si>
    <t xml:space="preserve">lux_ca</t>
  </si>
  <si>
    <t xml:space="preserve">Location de luxe — recettes brutes</t>
  </si>
  <si>
    <t xml:space="preserve">LUX</t>
  </si>
  <si>
    <t xml:space="preserve">lux_cn</t>
  </si>
  <si>
    <t xml:space="preserve">Location de luxe — CONTRIBUTION NETTE</t>
  </si>
  <si>
    <t xml:space="preserve">dot_cn_par_m</t>
  </si>
  <si>
    <t xml:space="preserve">Dotation financière — revenu net par million € de capital</t>
  </si>
  <si>
    <t xml:space="preserve">DOT</t>
  </si>
  <si>
    <t xml:space="preserve">ent_cn_par_m</t>
  </si>
  <si>
    <t xml:space="preserve">Entreprise extérieure — dividende net par million € d'EBITDA</t>
  </si>
  <si>
    <t xml:space="preserve">ENT</t>
  </si>
  <si>
    <t xml:space="preserve">COMPARAISON DES MODÈLES ÉCONOMIQUES — domaine S2 (€ 2026 par an)</t>
  </si>
  <si>
    <t xml:space="preserve">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</si>
  <si>
    <t xml:space="preserve">M1_brute</t>
  </si>
  <si>
    <t xml:space="preserve">M1 — contribution brute des activités sur place (avant impôt)</t>
  </si>
  <si>
    <t xml:space="preserve">Socle contractuel et pension de retraite au pré (résidence calme)</t>
  </si>
  <si>
    <t xml:space="preserve">M1_nette</t>
  </si>
  <si>
    <t xml:space="preserve">M1 — contribution disponible pour le domaine (après fuite fiscale)</t>
  </si>
  <si>
    <t xml:space="preserve">M1_besoin</t>
  </si>
  <si>
    <t xml:space="preserve">M1 — besoin annuel du domaine S2 (feuille Budget)</t>
  </si>
  <si>
    <t xml:space="preserve">couv_M1</t>
  </si>
  <si>
    <t xml:space="preserve">M1 — couverture du besoin par les activités sur place</t>
  </si>
  <si>
    <t xml:space="preserve">M1_ecart</t>
  </si>
  <si>
    <t xml:space="preserve">M1 — écart restant à financer</t>
  </si>
  <si>
    <t xml:space="preserve">M1_dotation</t>
  </si>
  <si>
    <t xml:space="preserve">M1 — capital de dotation nécessaire pour combler l'écart</t>
  </si>
  <si>
    <t xml:space="preserve">M1_ebitda</t>
  </si>
  <si>
    <t xml:space="preserve">M1 — ou EBITDA d'entreprise extérieure nécessaire</t>
  </si>
  <si>
    <t xml:space="preserve">M1_invest</t>
  </si>
  <si>
    <t xml:space="preserve">M1 — investissement initial des activités</t>
  </si>
  <si>
    <t xml:space="preserve">part_M1_recurrent</t>
  </si>
  <si>
    <t xml:space="preserve">M1 — part des contributions récurrentes (classes A et B)</t>
  </si>
  <si>
    <t xml:space="preserve">M2_brute</t>
  </si>
  <si>
    <t xml:space="preserve">M2 — contribution brute des activités sur place (avant impôt)</t>
  </si>
  <si>
    <t xml:space="preserve">Lieu d'exception à quota (M1 + réceptions, séminaires, grande maison)</t>
  </si>
  <si>
    <t xml:space="preserve">M2_nette</t>
  </si>
  <si>
    <t xml:space="preserve">M2 — contribution disponible pour le domaine (après fuite fiscale)</t>
  </si>
  <si>
    <t xml:space="preserve">M2_besoin</t>
  </si>
  <si>
    <t xml:space="preserve">M2 — besoin annuel du domaine S2 (feuille Budget)</t>
  </si>
  <si>
    <t xml:space="preserve">couv_M2</t>
  </si>
  <si>
    <t xml:space="preserve">M2 — couverture du besoin par les activités sur place</t>
  </si>
  <si>
    <t xml:space="preserve">M2_ecart</t>
  </si>
  <si>
    <t xml:space="preserve">M2 — écart restant à financer</t>
  </si>
  <si>
    <t xml:space="preserve">M2_dotation</t>
  </si>
  <si>
    <t xml:space="preserve">M2 — capital de dotation nécessaire pour combler l'écart</t>
  </si>
  <si>
    <t xml:space="preserve">M2_ebitda</t>
  </si>
  <si>
    <t xml:space="preserve">M2 — ou EBITDA d'entreprise extérieure nécessaire</t>
  </si>
  <si>
    <t xml:space="preserve">M2_invest</t>
  </si>
  <si>
    <t xml:space="preserve">M2 — investissement initial des activités</t>
  </si>
  <si>
    <t xml:space="preserve">part_M2_recurrent</t>
  </si>
  <si>
    <t xml:space="preserve">M2 — part des contributions récurrentes (classes A et B)</t>
  </si>
  <si>
    <t xml:space="preserve">M3_brute</t>
  </si>
  <si>
    <t xml:space="preserve">M3 — contribution brute des activités sur place (avant impôt)</t>
  </si>
  <si>
    <t xml:space="preserve">Équestre haut de gamme et services (pension, retraite, reproduction)</t>
  </si>
  <si>
    <t xml:space="preserve">M3_nette</t>
  </si>
  <si>
    <t xml:space="preserve">M3 — contribution disponible pour le domaine (après fuite fiscale)</t>
  </si>
  <si>
    <t xml:space="preserve">M3_besoin</t>
  </si>
  <si>
    <t xml:space="preserve">M3 — besoin annuel du domaine S2 (feuille Budget)</t>
  </si>
  <si>
    <t xml:space="preserve">couv_M3</t>
  </si>
  <si>
    <t xml:space="preserve">M3 — couverture du besoin par les activités sur place</t>
  </si>
  <si>
    <t xml:space="preserve">M3_ecart</t>
  </si>
  <si>
    <t xml:space="preserve">M3 — écart restant à financer</t>
  </si>
  <si>
    <t xml:space="preserve">M3_dotation</t>
  </si>
  <si>
    <t xml:space="preserve">M3 — capital de dotation nécessaire pour combler l'écart</t>
  </si>
  <si>
    <t xml:space="preserve">M3_ebitda</t>
  </si>
  <si>
    <t xml:space="preserve">M3 — ou EBITDA d'entreprise extérieure nécessaire</t>
  </si>
  <si>
    <t xml:space="preserve">M3_invest</t>
  </si>
  <si>
    <t xml:space="preserve">M3 — investissement initial des activités</t>
  </si>
  <si>
    <t xml:space="preserve">part_M3_recurrent</t>
  </si>
  <si>
    <t xml:space="preserve">M3 — part des contributions récurrentes (classes A et B)</t>
  </si>
  <si>
    <t xml:space="preserve">M4_brute</t>
  </si>
  <si>
    <t xml:space="preserve">M4 — contribution brute des activités sur place (avant impôt)</t>
  </si>
  <si>
    <t xml:space="preserve">Château-hôtel opéré (15 chambres) + réceptions et séminaires</t>
  </si>
  <si>
    <t xml:space="preserve">M4_nette</t>
  </si>
  <si>
    <t xml:space="preserve">M4 — contribution disponible pour le domaine (après fuite fiscale)</t>
  </si>
  <si>
    <t xml:space="preserve">M4_besoin</t>
  </si>
  <si>
    <t xml:space="preserve">M4 — besoin annuel du domaine S2 (feuille Budget)</t>
  </si>
  <si>
    <t xml:space="preserve">couv_M4</t>
  </si>
  <si>
    <t xml:space="preserve">M4 — couverture du besoin par les activités sur place</t>
  </si>
  <si>
    <t xml:space="preserve">M4_ecart</t>
  </si>
  <si>
    <t xml:space="preserve">M4 — écart restant à financer</t>
  </si>
  <si>
    <t xml:space="preserve">M4_dotation</t>
  </si>
  <si>
    <t xml:space="preserve">M4 — capital de dotation nécessaire pour combler l'écart</t>
  </si>
  <si>
    <t xml:space="preserve">M4_ebitda</t>
  </si>
  <si>
    <t xml:space="preserve">M4 — ou EBITDA d'entreprise extérieure nécessaire</t>
  </si>
  <si>
    <t xml:space="preserve">M4_invest</t>
  </si>
  <si>
    <t xml:space="preserve">M4 — investissement initial des activités</t>
  </si>
  <si>
    <t xml:space="preserve">part_M4_recurrent</t>
  </si>
  <si>
    <t xml:space="preserve">M4 — part des contributions récurrentes (classes A et B)</t>
  </si>
  <si>
    <t xml:space="preserve">M5_brute</t>
  </si>
  <si>
    <t xml:space="preserve">M5 — contribution brute des activités sur place (avant impôt)</t>
  </si>
  <si>
    <t xml:space="preserve">Socle minimal + dotation financière extérieure</t>
  </si>
  <si>
    <t xml:space="preserve">M5_nette</t>
  </si>
  <si>
    <t xml:space="preserve">M5 — contribution disponible pour le domaine (après fuite fiscale)</t>
  </si>
  <si>
    <t xml:space="preserve">M5_besoin</t>
  </si>
  <si>
    <t xml:space="preserve">M5 — besoin annuel du domaine S2 (feuille Budget)</t>
  </si>
  <si>
    <t xml:space="preserve">couv_M5</t>
  </si>
  <si>
    <t xml:space="preserve">M5 — couverture du besoin par les activités sur place</t>
  </si>
  <si>
    <t xml:space="preserve">M5_ecart</t>
  </si>
  <si>
    <t xml:space="preserve">M5 — écart restant à financer</t>
  </si>
  <si>
    <t xml:space="preserve">M5_dotation</t>
  </si>
  <si>
    <t xml:space="preserve">M5 — capital de dotation nécessaire pour combler l'écart</t>
  </si>
  <si>
    <t xml:space="preserve">M5_ebitda</t>
  </si>
  <si>
    <t xml:space="preserve">M5 — ou EBITDA d'entreprise extérieure nécessaire</t>
  </si>
  <si>
    <t xml:space="preserve">M5_invest</t>
  </si>
  <si>
    <t xml:space="preserve">M5 — investissement initial des activités</t>
  </si>
  <si>
    <t xml:space="preserve">part_M5_recurrent</t>
  </si>
  <si>
    <t xml:space="preserve">M5 — part des contributions récurrentes (classes A et B)</t>
  </si>
  <si>
    <t xml:space="preserve">M6_brute</t>
  </si>
  <si>
    <t xml:space="preserve">M6 — contribution brute des activités sur place (avant impôt)</t>
  </si>
  <si>
    <t xml:space="preserve">Socle minimal + entreprise extérieure</t>
  </si>
  <si>
    <t xml:space="preserve">M6_nette</t>
  </si>
  <si>
    <t xml:space="preserve">M6 — contribution disponible pour le domaine (après fuite fiscale)</t>
  </si>
  <si>
    <t xml:space="preserve">M6_besoin</t>
  </si>
  <si>
    <t xml:space="preserve">M6 — besoin annuel du domaine S2 (feuille Budget)</t>
  </si>
  <si>
    <t xml:space="preserve">couv_M6</t>
  </si>
  <si>
    <t xml:space="preserve">M6 — couverture du besoin par les activités sur place</t>
  </si>
  <si>
    <t xml:space="preserve">M6_ecart</t>
  </si>
  <si>
    <t xml:space="preserve">M6 — écart restant à financer</t>
  </si>
  <si>
    <t xml:space="preserve">M6_dotation</t>
  </si>
  <si>
    <t xml:space="preserve">M6 — capital de dotation nécessaire pour combler l'écart</t>
  </si>
  <si>
    <t xml:space="preserve">M6_ebitda</t>
  </si>
  <si>
    <t xml:space="preserve">M6 — ou EBITDA d'entreprise extérieure nécessaire</t>
  </si>
  <si>
    <t xml:space="preserve">M6_invest</t>
  </si>
  <si>
    <t xml:space="preserve">M6 — investissement initial des activités</t>
  </si>
  <si>
    <t xml:space="preserve">part_M6_recurrent</t>
  </si>
  <si>
    <t xml:space="preserve">M6 — part des contributions récurrentes (classes A et B)</t>
  </si>
  <si>
    <t xml:space="preserve">M7_brute</t>
  </si>
  <si>
    <t xml:space="preserve">M7 — contribution brute des activités sur place (avant impôt)</t>
  </si>
  <si>
    <t xml:space="preserve">Locataire d'ancrage : bail à un exploitant de séminaires + socle foncier</t>
  </si>
  <si>
    <t xml:space="preserve">M7_nette</t>
  </si>
  <si>
    <t xml:space="preserve">M7 — contribution disponible pour le domaine (après fuite fiscale)</t>
  </si>
  <si>
    <t xml:space="preserve">M7_besoin</t>
  </si>
  <si>
    <t xml:space="preserve">M7 — besoin annuel du domaine S2 (feuille Budget)</t>
  </si>
  <si>
    <t xml:space="preserve">couv_M7</t>
  </si>
  <si>
    <t xml:space="preserve">M7 — couverture du besoin par les activités sur place</t>
  </si>
  <si>
    <t xml:space="preserve">M7_ecart</t>
  </si>
  <si>
    <t xml:space="preserve">M7 — écart restant à financer</t>
  </si>
  <si>
    <t xml:space="preserve">M7_dotation</t>
  </si>
  <si>
    <t xml:space="preserve">M7 — capital de dotation nécessaire pour combler l'écart</t>
  </si>
  <si>
    <t xml:space="preserve">M7_ebitda</t>
  </si>
  <si>
    <t xml:space="preserve">M7 — ou EBITDA d'entreprise extérieure nécessaire</t>
  </si>
  <si>
    <t xml:space="preserve">M7_invest</t>
  </si>
  <si>
    <t xml:space="preserve">M7 — investissement initial des activités</t>
  </si>
  <si>
    <t xml:space="preserve">part_M7_recurrent</t>
  </si>
  <si>
    <t xml:space="preserve">M7 — part des contributions récurrentes (classes A et B)</t>
  </si>
  <si>
    <t xml:space="preserve">M8_brute</t>
  </si>
  <si>
    <t xml:space="preserve">M8 — contribution brute des activités sur place (avant impôt)</t>
  </si>
  <si>
    <t xml:space="preserve">Socle M1 + location de luxe de la partie privée quelques semaines par an</t>
  </si>
  <si>
    <t xml:space="preserve">M8_nette</t>
  </si>
  <si>
    <t xml:space="preserve">M8 — contribution disponible pour le domaine (après fuite fiscale)</t>
  </si>
  <si>
    <t xml:space="preserve">M8_besoin</t>
  </si>
  <si>
    <t xml:space="preserve">M8 — besoin annuel du domaine S2 (feuille Budget)</t>
  </si>
  <si>
    <t xml:space="preserve">couv_M8</t>
  </si>
  <si>
    <t xml:space="preserve">M8 — couverture du besoin par les activités sur place</t>
  </si>
  <si>
    <t xml:space="preserve">M8_ecart</t>
  </si>
  <si>
    <t xml:space="preserve">M8 — écart restant à financer</t>
  </si>
  <si>
    <t xml:space="preserve">M8_dotation</t>
  </si>
  <si>
    <t xml:space="preserve">M8 — capital de dotation nécessaire pour combler l'écart</t>
  </si>
  <si>
    <t xml:space="preserve">M8_ebitda</t>
  </si>
  <si>
    <t xml:space="preserve">M8 — ou EBITDA d'entreprise extérieure nécessaire</t>
  </si>
  <si>
    <t xml:space="preserve">M8_invest</t>
  </si>
  <si>
    <t xml:space="preserve">M8 — investissement initial des activités</t>
  </si>
  <si>
    <t xml:space="preserve">part_M8_recurrent</t>
  </si>
  <si>
    <t xml:space="preserve">M8 — part des contributions récurrentes (classes A et B)</t>
  </si>
  <si>
    <t xml:space="preserve">S2 — activités sur place seules, sans moteur extérieur (démonstration de l'écart)</t>
  </si>
  <si>
    <t xml:space="preserve">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</si>
  <si>
    <t xml:space="preserve">Rang de l'année</t>
  </si>
  <si>
    <t xml:space="preserve">Initial</t>
  </si>
  <si>
    <t xml:space="preserve">An 1</t>
  </si>
  <si>
    <t xml:space="preserve">An 2</t>
  </si>
  <si>
    <t xml:space="preserve">An 3</t>
  </si>
  <si>
    <t xml:space="preserve">An 4</t>
  </si>
  <si>
    <t xml:space="preserve">An 5</t>
  </si>
  <si>
    <t xml:space="preserve">An 6</t>
  </si>
  <si>
    <t xml:space="preserve">An 7</t>
  </si>
  <si>
    <t xml:space="preserve">An 8</t>
  </si>
  <si>
    <t xml:space="preserve">An 9</t>
  </si>
  <si>
    <t xml:space="preserve">An 10</t>
  </si>
  <si>
    <t xml:space="preserve">An 11</t>
  </si>
  <si>
    <t xml:space="preserve">An 12</t>
  </si>
  <si>
    <t xml:space="preserve">An 13</t>
  </si>
  <si>
    <t xml:space="preserve">An 14</t>
  </si>
  <si>
    <t xml:space="preserve">An 15</t>
  </si>
  <si>
    <t xml:space="preserve">An 16</t>
  </si>
  <si>
    <t xml:space="preserve">An 17</t>
  </si>
  <si>
    <t xml:space="preserve">An 18</t>
  </si>
  <si>
    <t xml:space="preserve">An 19</t>
  </si>
  <si>
    <t xml:space="preserve">An 20</t>
  </si>
  <si>
    <t xml:space="preserve">idx_sal</t>
  </si>
  <si>
    <t xml:space="preserve">Indice des salaires (réel)</t>
  </si>
  <si>
    <t xml:space="preserve">nombre</t>
  </si>
  <si>
    <t xml:space="preserve">idx_trav</t>
  </si>
  <si>
    <t xml:space="preserve">Indice des travaux (réel)</t>
  </si>
  <si>
    <t xml:space="preserve">idx_en</t>
  </si>
  <si>
    <t xml:space="preserve">Indice de l'énergie (réel)</t>
  </si>
  <si>
    <t xml:space="preserve">idx_ass</t>
  </si>
  <si>
    <t xml:space="preserve">Indice des primes d'assurance (réel)</t>
  </si>
  <si>
    <t xml:space="preserve">idx_rec</t>
  </si>
  <si>
    <t xml:space="preserve">Indice des prix des activités (réel)</t>
  </si>
  <si>
    <t xml:space="preserve">idx_cpi</t>
  </si>
  <si>
    <t xml:space="preserve">Indice des prix à la consommation (pour la dette)</t>
  </si>
  <si>
    <t xml:space="preserve">crise</t>
  </si>
  <si>
    <t xml:space="preserve">Année de crise (1) ou de reprise (2)</t>
  </si>
  <si>
    <t xml:space="preserve">tension</t>
  </si>
  <si>
    <t xml:space="preserve">Tension de trésorerie (1 = réserve sous un an de charges de l'année précédente)</t>
  </si>
  <si>
    <t xml:space="preserve">b_pers</t>
  </si>
  <si>
    <t xml:space="preserve">Personnel du domaine</t>
  </si>
  <si>
    <t xml:space="preserve">€ 2026</t>
  </si>
  <si>
    <t xml:space="preserve">b_energie</t>
  </si>
  <si>
    <t xml:space="preserve">Énergie</t>
  </si>
  <si>
    <t xml:space="preserve">b_assur</t>
  </si>
  <si>
    <t xml:space="preserve">Assurances</t>
  </si>
  <si>
    <t xml:space="preserve">b_autres</t>
  </si>
  <si>
    <t xml:space="preserve">Autres charges courantes (entretien courant, jardins, matériel, chevaux, taxes, administration, imprévus, investissements futurs)</t>
  </si>
  <si>
    <t xml:space="preserve">b_ge_prov</t>
  </si>
  <si>
    <t xml:space="preserve">Provision de gros entretien versée au fonds de travaux (aléas et maîtrise d'œuvre compris)</t>
  </si>
  <si>
    <t xml:space="preserve">total_charges</t>
  </si>
  <si>
    <t xml:space="preserve">TOTAL DU BESOIN ANNUEL DU DOMAINE</t>
  </si>
  <si>
    <t xml:space="preserve">campagne</t>
  </si>
  <si>
    <t xml:space="preserve">Campagne de gros entretien (dépense du fonds)</t>
  </si>
  <si>
    <t xml:space="preserve">choc_trav</t>
  </si>
  <si>
    <t xml:space="preserve">Sinistre ou découverte non assurés</t>
  </si>
  <si>
    <t xml:space="preserve">depassement_trav</t>
  </si>
  <si>
    <t xml:space="preserve">Dépassement de travaux et sinistres à financer hors fonds</t>
  </si>
  <si>
    <t xml:space="preserve">fonds_ge</t>
  </si>
  <si>
    <t xml:space="preserve">Fonds de gros entretien (fin d'année)</t>
  </si>
  <si>
    <t xml:space="preserve">subvention</t>
  </si>
  <si>
    <t xml:space="preserve">Subventions de travaux encaissées (option)</t>
  </si>
  <si>
    <t xml:space="preserve">rampe</t>
  </si>
  <si>
    <t xml:space="preserve">Montée en charge des activités</t>
  </si>
  <si>
    <t xml:space="preserve">act_A</t>
  </si>
  <si>
    <t xml:space="preserve">Contribution des activités contractuelles (classe A)</t>
  </si>
  <si>
    <t xml:space="preserve">act_B</t>
  </si>
  <si>
    <t xml:space="preserve">Contribution des activités récurrentes opérationnelles (classe B)</t>
  </si>
  <si>
    <t xml:space="preserve">act_C</t>
  </si>
  <si>
    <t xml:space="preserve">Contribution des activités occasionnelles (classe C)</t>
  </si>
  <si>
    <t xml:space="preserve">act_brute</t>
  </si>
  <si>
    <t xml:space="preserve">Contribution brute des activités sur place</t>
  </si>
  <si>
    <t xml:space="preserve">act_nette</t>
  </si>
  <si>
    <t xml:space="preserve">Contribution des activités après fuite fiscale</t>
  </si>
  <si>
    <t xml:space="preserve">capex_act</t>
  </si>
  <si>
    <t xml:space="preserve">Investissements des activités (année 1)</t>
  </si>
  <si>
    <t xml:space="preserve">capex_dot</t>
  </si>
  <si>
    <t xml:space="preserve">dont prélevé sur le capital de la dotation (le reste est pris sur la réserve)</t>
  </si>
  <si>
    <t xml:space="preserve">dette</t>
  </si>
  <si>
    <t xml:space="preserve">Annuité de la dette d'acquisition, en euros constants (option)</t>
  </si>
  <si>
    <t xml:space="preserve">avantage_mh</t>
  </si>
  <si>
    <t xml:space="preserve">Avantage fiscal MH sur l'impôt personnel (option)</t>
  </si>
  <si>
    <t xml:space="preserve">economie_pilotage</t>
  </si>
  <si>
    <t xml:space="preserve">Économies de pilotage (coupe temporaire des dépenses discrétionnaires)</t>
  </si>
  <si>
    <t xml:space="preserve">besoin_net</t>
  </si>
  <si>
    <t xml:space="preserve">Besoin net à couvrir hors activités (charges courantes + provision + dépassements + investissements + dette − activités − aides)</t>
  </si>
  <si>
    <t xml:space="preserve">dividendes</t>
  </si>
  <si>
    <t xml:space="preserve">Dividendes nets de l'entreprise extérieure</t>
  </si>
  <si>
    <t xml:space="preserve">rdt_dot</t>
  </si>
  <si>
    <t xml:space="preserve">Rendement réel de la dotation de l'année</t>
  </si>
  <si>
    <t xml:space="preserve">plafond</t>
  </si>
  <si>
    <t xml:space="preserve">Plafond de retrait de la règle de dépense lissée</t>
  </si>
  <si>
    <t xml:space="preserve">reserve_cible</t>
  </si>
  <si>
    <t xml:space="preserve">Réserve visée (réserve initiale indexée sur les charges)</t>
  </si>
  <si>
    <t xml:space="preserve">manque_reserve</t>
  </si>
  <si>
    <t xml:space="preserve">Montant à reverser à la réserve pour atteindre la cible</t>
  </si>
  <si>
    <t xml:space="preserve">retrait</t>
  </si>
  <si>
    <t xml:space="preserve">Retrait sur la dotation (besoin, puis reconstitution de la réserve, plafonné par la règle de dépense)</t>
  </si>
  <si>
    <t xml:space="preserve">flux_solde</t>
  </si>
  <si>
    <t xml:space="preserve">SOLDE DE TRÉSORERIE DE L'ANNÉE (après moteur extérieur)</t>
  </si>
  <si>
    <t xml:space="preserve">apport_dot</t>
  </si>
  <si>
    <t xml:space="preserve">Excédent versé à la dotation (au-delà de la réserve visée)</t>
  </si>
  <si>
    <t xml:space="preserve">dotation_fin</t>
  </si>
  <si>
    <t xml:space="preserve">DOTATION (fin d'année)</t>
  </si>
  <si>
    <t xml:space="preserve">reserve</t>
  </si>
  <si>
    <t xml:space="preserve">RÉSERVE DE TRÉSORERIE (fin d'année)</t>
  </si>
  <si>
    <t xml:space="preserve">kpi_liquidite</t>
  </si>
  <si>
    <t xml:space="preserve">Liquidité totale (réserve + fonds de travaux)</t>
  </si>
  <si>
    <t xml:space="preserve">kpi_couverture</t>
  </si>
  <si>
    <t xml:space="preserve">Couverture du besoin par activités + règle de dépense de la dotation (hors dividendes)</t>
  </si>
  <si>
    <t xml:space="preserve">kpi_autonome</t>
  </si>
  <si>
    <t xml:space="preserve">Autonomie sans dividendes (1 = les activités et la dotation suffisent)</t>
  </si>
  <si>
    <t xml:space="preserve">kpi_deficit</t>
  </si>
  <si>
    <t xml:space="preserve">Année en déficit de réserve (1 = réserve négative)</t>
  </si>
  <si>
    <t xml:space="preserve">S2 — solution recommandée, projection centrale</t>
  </si>
  <si>
    <t xml:space="preserve">S2 — solution recommandée, stress test : Chiffre d'affaires des activités −30 % dès l'année 3</t>
  </si>
  <si>
    <t xml:space="preserve">S2 — solution recommandée, stress test : Crise de type 2020 en année 5 (C −80 %, B −15 %, A −5 % ; dotation −25 % ; dividendes −50 %), reprise partielle en année 6</t>
  </si>
  <si>
    <t xml:space="preserve">S2 — solution recommandée, stress test : Sinistre ou découverte non assurés en année 6 (+600 000 €) et campagnes +30 %</t>
  </si>
  <si>
    <t xml:space="preserve">S2 — solution recommandée, stress test : Prix de l'énergie ×2 pendant 3 ans (années 4 à 6)</t>
  </si>
  <si>
    <t xml:space="preserve">S2 — solution recommandée, stress test : Salaires +1,5 % réel par an au lieu de +0,5 %</t>
  </si>
  <si>
    <t xml:space="preserve">S2 — solution recommandée, stress test : Moteur extérieur défaillant : dividendes nuls dès l'année 3 et rendement de la dotation −1 point</t>
  </si>
  <si>
    <t xml:space="preserve">S2 — solution recommandée, stress test : Cumul défavorable : activités −30 %, crise en année 5, sinistre de 600 000 € en année 6, salaires +1,5 % réel</t>
  </si>
  <si>
    <t xml:space="preserve">S1 — solution recommandée, projection centrale</t>
  </si>
  <si>
    <t xml:space="preserve">S1 — solution recommandée, stress test cumulé</t>
  </si>
  <si>
    <t xml:space="preserve">S3 — solution recommandée, projection centrale</t>
  </si>
  <si>
    <t xml:space="preserve">SYNTHÈSE DES PROJECTIONS ET DES STRESS TESTS (€ 2026)</t>
  </si>
  <si>
    <t xml:space="preserve">Indicateurs calculés sur les feuilles Proj_* et ST_* (années 1 à 20). Un modèle échoue si la réserve devient négative.</t>
  </si>
  <si>
    <t xml:space="preserve">Valeur</t>
  </si>
  <si>
    <t xml:space="preserve">Proj_S2_sans_moteur_min_res</t>
  </si>
  <si>
    <t xml:space="preserve">S2 — activités sur place seules, sans moteur extérieur (démonstration de l'écart) — réserve minimale sur 20 ans</t>
  </si>
  <si>
    <t xml:space="preserve">Proj_S2_sans_moteur</t>
  </si>
  <si>
    <t xml:space="preserve">Proj_S2_sans_moteur_res20</t>
  </si>
  <si>
    <t xml:space="preserve">Proj_S2_sans_moteur — réserve en année 20</t>
  </si>
  <si>
    <t xml:space="preserve">Proj_S2_sans_moteur_dot20</t>
  </si>
  <si>
    <t xml:space="preserve">Proj_S2_sans_moteur — dotation en année 20</t>
  </si>
  <si>
    <t xml:space="preserve">Proj_S2_sans_moteur_def</t>
  </si>
  <si>
    <t xml:space="preserve">Proj_S2_sans_moteur — nombre d'années avec réserve négative</t>
  </si>
  <si>
    <t xml:space="preserve">Proj_S2_sans_moteur_act</t>
  </si>
  <si>
    <t xml:space="preserve">Proj_S2_sans_moteur — contribution moyenne des activités sur place</t>
  </si>
  <si>
    <t xml:space="preserve">Proj_S2_sans_moteur_tension</t>
  </si>
  <si>
    <t xml:space="preserve">Proj_S2_sans_moteur — nombre d'années en tension (règles de pilotage appliquées)</t>
  </si>
  <si>
    <t xml:space="preserve">Proj_S2_solution_min_res</t>
  </si>
  <si>
    <t xml:space="preserve">S2 — solution recommandée, projection centrale — réserve minimale sur 20 ans</t>
  </si>
  <si>
    <t xml:space="preserve">Proj_S2_solution</t>
  </si>
  <si>
    <t xml:space="preserve">Proj_S2_solution_res20</t>
  </si>
  <si>
    <t xml:space="preserve">Proj_S2_solution — réserve en année 20</t>
  </si>
  <si>
    <t xml:space="preserve">Proj_S2_solution_dot20</t>
  </si>
  <si>
    <t xml:space="preserve">Proj_S2_solution — dotation en année 20</t>
  </si>
  <si>
    <t xml:space="preserve">Proj_S2_solution_def</t>
  </si>
  <si>
    <t xml:space="preserve">Proj_S2_solution — nombre d'années avec réserve négative</t>
  </si>
  <si>
    <t xml:space="preserve">Proj_S2_solution_act</t>
  </si>
  <si>
    <t xml:space="preserve">Proj_S2_solution — contribution moyenne des activités sur place</t>
  </si>
  <si>
    <t xml:space="preserve">Proj_S2_solution_tension</t>
  </si>
  <si>
    <t xml:space="preserve">Proj_S2_solution — nombre d'années en tension (règles de pilotage appliquées)</t>
  </si>
  <si>
    <t xml:space="preserve">ST_S2_ca30_min_res</t>
  </si>
  <si>
    <t xml:space="preserve">S2 — solution recommandée, stress test : Chiffre d'affaires des activités −30 % dès l'année 3 — réserve minimale sur 20 ans</t>
  </si>
  <si>
    <t xml:space="preserve">ST_S2_ca30</t>
  </si>
  <si>
    <t xml:space="preserve">ST_S2_ca30_res20</t>
  </si>
  <si>
    <t xml:space="preserve">ST_S2_ca30 — réserve en année 20</t>
  </si>
  <si>
    <t xml:space="preserve">ST_S2_ca30_dot20</t>
  </si>
  <si>
    <t xml:space="preserve">ST_S2_ca30 — dotation en année 20</t>
  </si>
  <si>
    <t xml:space="preserve">ST_S2_ca30_def</t>
  </si>
  <si>
    <t xml:space="preserve">ST_S2_ca30 — nombre d'années avec réserve négative</t>
  </si>
  <si>
    <t xml:space="preserve">ST_S2_ca30_act</t>
  </si>
  <si>
    <t xml:space="preserve">ST_S2_ca30 — contribution moyenne des activités sur place</t>
  </si>
  <si>
    <t xml:space="preserve">ST_S2_ca30_tension</t>
  </si>
  <si>
    <t xml:space="preserve">ST_S2_ca30 — nombre d'années en tension (règles de pilotage appliquées)</t>
  </si>
  <si>
    <t xml:space="preserve">ST_S2_crise_min_res</t>
  </si>
  <si>
    <t xml:space="preserve">S2 — solution recommandée, stress test : Crise de type 2020 en année 5 (C −80 %, B −15 %, A −5 % ; dotation −25 % ; dividendes −50 %), reprise partielle en année 6 — réserve minimale sur 20 ans</t>
  </si>
  <si>
    <t xml:space="preserve">ST_S2_crise</t>
  </si>
  <si>
    <t xml:space="preserve">ST_S2_crise_res20</t>
  </si>
  <si>
    <t xml:space="preserve">ST_S2_crise — réserve en année 20</t>
  </si>
  <si>
    <t xml:space="preserve">ST_S2_crise_dot20</t>
  </si>
  <si>
    <t xml:space="preserve">ST_S2_crise — dotation en année 20</t>
  </si>
  <si>
    <t xml:space="preserve">ST_S2_crise_def</t>
  </si>
  <si>
    <t xml:space="preserve">ST_S2_crise — nombre d'années avec réserve négative</t>
  </si>
  <si>
    <t xml:space="preserve">ST_S2_crise_act</t>
  </si>
  <si>
    <t xml:space="preserve">ST_S2_crise — contribution moyenne des activités sur place</t>
  </si>
  <si>
    <t xml:space="preserve">ST_S2_crise_tension</t>
  </si>
  <si>
    <t xml:space="preserve">ST_S2_crise — nombre d'années en tension (règles de pilotage appliquées)</t>
  </si>
  <si>
    <t xml:space="preserve">ST_S2_travaux_min_res</t>
  </si>
  <si>
    <t xml:space="preserve">S2 — solution recommandée, stress test : Sinistre ou découverte non assurés en année 6 (+600 000 €) et campagnes +30 % — réserve minimale sur 20 ans</t>
  </si>
  <si>
    <t xml:space="preserve">ST_S2_travaux</t>
  </si>
  <si>
    <t xml:space="preserve">ST_S2_travaux_res20</t>
  </si>
  <si>
    <t xml:space="preserve">ST_S2_travaux — réserve en année 20</t>
  </si>
  <si>
    <t xml:space="preserve">ST_S2_travaux_dot20</t>
  </si>
  <si>
    <t xml:space="preserve">ST_S2_travaux — dotation en année 20</t>
  </si>
  <si>
    <t xml:space="preserve">ST_S2_travaux_def</t>
  </si>
  <si>
    <t xml:space="preserve">ST_S2_travaux — nombre d'années avec réserve négative</t>
  </si>
  <si>
    <t xml:space="preserve">ST_S2_travaux_act</t>
  </si>
  <si>
    <t xml:space="preserve">ST_S2_travaux — contribution moyenne des activités sur place</t>
  </si>
  <si>
    <t xml:space="preserve">ST_S2_travaux_tension</t>
  </si>
  <si>
    <t xml:space="preserve">ST_S2_travaux — nombre d'années en tension (règles de pilotage appliquées)</t>
  </si>
  <si>
    <t xml:space="preserve">ST_S2_energie_min_res</t>
  </si>
  <si>
    <t xml:space="preserve">S2 — solution recommandée, stress test : Prix de l'énergie ×2 pendant 3 ans (années 4 à 6) — réserve minimale sur 20 ans</t>
  </si>
  <si>
    <t xml:space="preserve">ST_S2_energie</t>
  </si>
  <si>
    <t xml:space="preserve">ST_S2_energie_res20</t>
  </si>
  <si>
    <t xml:space="preserve">ST_S2_energie — réserve en année 20</t>
  </si>
  <si>
    <t xml:space="preserve">ST_S2_energie_dot20</t>
  </si>
  <si>
    <t xml:space="preserve">ST_S2_energie — dotation en année 20</t>
  </si>
  <si>
    <t xml:space="preserve">ST_S2_energie_def</t>
  </si>
  <si>
    <t xml:space="preserve">ST_S2_energie — nombre d'années avec réserve négative</t>
  </si>
  <si>
    <t xml:space="preserve">ST_S2_energie_act</t>
  </si>
  <si>
    <t xml:space="preserve">ST_S2_energie — contribution moyenne des activités sur place</t>
  </si>
  <si>
    <t xml:space="preserve">ST_S2_energie_tension</t>
  </si>
  <si>
    <t xml:space="preserve">ST_S2_energie — nombre d'années en tension (règles de pilotage appliquées)</t>
  </si>
  <si>
    <t xml:space="preserve">ST_S2_salaires_min_res</t>
  </si>
  <si>
    <t xml:space="preserve">S2 — solution recommandée, stress test : Salaires +1,5 % réel par an au lieu de +0,5 % — réserve minimale sur 20 ans</t>
  </si>
  <si>
    <t xml:space="preserve">ST_S2_salaires</t>
  </si>
  <si>
    <t xml:space="preserve">ST_S2_salaires_res20</t>
  </si>
  <si>
    <t xml:space="preserve">ST_S2_salaires — réserve en année 20</t>
  </si>
  <si>
    <t xml:space="preserve">ST_S2_salaires_dot20</t>
  </si>
  <si>
    <t xml:space="preserve">ST_S2_salaires — dotation en année 20</t>
  </si>
  <si>
    <t xml:space="preserve">ST_S2_salaires_def</t>
  </si>
  <si>
    <t xml:space="preserve">ST_S2_salaires — nombre d'années avec réserve négative</t>
  </si>
  <si>
    <t xml:space="preserve">ST_S2_salaires_act</t>
  </si>
  <si>
    <t xml:space="preserve">ST_S2_salaires — contribution moyenne des activités sur place</t>
  </si>
  <si>
    <t xml:space="preserve">ST_S2_salaires_tension</t>
  </si>
  <si>
    <t xml:space="preserve">ST_S2_salaires — nombre d'années en tension (règles de pilotage appliquées)</t>
  </si>
  <si>
    <t xml:space="preserve">ST_S2_moteur_min_res</t>
  </si>
  <si>
    <t xml:space="preserve">S2 — solution recommandée, stress test : Moteur extérieur défaillant : dividendes nuls dès l'année 3 et rendement de la dotation −1 point — réserve minimale sur 20 ans</t>
  </si>
  <si>
    <t xml:space="preserve">ST_S2_moteur</t>
  </si>
  <si>
    <t xml:space="preserve">ST_S2_moteur_res20</t>
  </si>
  <si>
    <t xml:space="preserve">ST_S2_moteur — réserve en année 20</t>
  </si>
  <si>
    <t xml:space="preserve">ST_S2_moteur_dot20</t>
  </si>
  <si>
    <t xml:space="preserve">ST_S2_moteur — dotation en année 20</t>
  </si>
  <si>
    <t xml:space="preserve">ST_S2_moteur_def</t>
  </si>
  <si>
    <t xml:space="preserve">ST_S2_moteur — nombre d'années avec réserve négative</t>
  </si>
  <si>
    <t xml:space="preserve">ST_S2_moteur_act</t>
  </si>
  <si>
    <t xml:space="preserve">ST_S2_moteur — contribution moyenne des activités sur place</t>
  </si>
  <si>
    <t xml:space="preserve">ST_S2_moteur_tension</t>
  </si>
  <si>
    <t xml:space="preserve">ST_S2_moteur — nombre d'années en tension (règles de pilotage appliquées)</t>
  </si>
  <si>
    <t xml:space="preserve">ST_S2_cumul_min_res</t>
  </si>
  <si>
    <t xml:space="preserve">S2 — solution recommandée, stress test : Cumul défavorable : activités −30 %, crise en année 5, sinistre de 600 000 € en année 6, salaires +1,5 % réel — réserve minimale sur 20 ans</t>
  </si>
  <si>
    <t xml:space="preserve">ST_S2_cumul</t>
  </si>
  <si>
    <t xml:space="preserve">ST_S2_cumul_res20</t>
  </si>
  <si>
    <t xml:space="preserve">ST_S2_cumul — réserve en année 20</t>
  </si>
  <si>
    <t xml:space="preserve">ST_S2_cumul_dot20</t>
  </si>
  <si>
    <t xml:space="preserve">ST_S2_cumul — dotation en année 20</t>
  </si>
  <si>
    <t xml:space="preserve">ST_S2_cumul_def</t>
  </si>
  <si>
    <t xml:space="preserve">ST_S2_cumul — nombre d'années avec réserve négative</t>
  </si>
  <si>
    <t xml:space="preserve">ST_S2_cumul_act</t>
  </si>
  <si>
    <t xml:space="preserve">ST_S2_cumul — contribution moyenne des activités sur place</t>
  </si>
  <si>
    <t xml:space="preserve">ST_S2_cumul_tension</t>
  </si>
  <si>
    <t xml:space="preserve">ST_S2_cumul — nombre d'années en tension (règles de pilotage appliquées)</t>
  </si>
  <si>
    <t xml:space="preserve">Proj_S1_solution_min_res</t>
  </si>
  <si>
    <t xml:space="preserve">S1 — solution recommandée, projection centrale — réserve minimale sur 20 ans</t>
  </si>
  <si>
    <t xml:space="preserve">Proj_S1_solution</t>
  </si>
  <si>
    <t xml:space="preserve">Proj_S1_solution_res20</t>
  </si>
  <si>
    <t xml:space="preserve">Proj_S1_solution — réserve en année 20</t>
  </si>
  <si>
    <t xml:space="preserve">Proj_S1_solution_dot20</t>
  </si>
  <si>
    <t xml:space="preserve">Proj_S1_solution — dotation en année 20</t>
  </si>
  <si>
    <t xml:space="preserve">Proj_S1_solution_def</t>
  </si>
  <si>
    <t xml:space="preserve">Proj_S1_solution — nombre d'années avec réserve négative</t>
  </si>
  <si>
    <t xml:space="preserve">Proj_S1_solution_act</t>
  </si>
  <si>
    <t xml:space="preserve">Proj_S1_solution — contribution moyenne des activités sur place</t>
  </si>
  <si>
    <t xml:space="preserve">Proj_S1_solution_tension</t>
  </si>
  <si>
    <t xml:space="preserve">Proj_S1_solution — nombre d'années en tension (règles de pilotage appliquées)</t>
  </si>
  <si>
    <t xml:space="preserve">ST_S1_cumul_min_res</t>
  </si>
  <si>
    <t xml:space="preserve">S1 — solution recommandée, stress test cumulé — réserve minimale sur 20 ans</t>
  </si>
  <si>
    <t xml:space="preserve">ST_S1_cumul</t>
  </si>
  <si>
    <t xml:space="preserve">ST_S1_cumul_res20</t>
  </si>
  <si>
    <t xml:space="preserve">ST_S1_cumul — réserve en année 20</t>
  </si>
  <si>
    <t xml:space="preserve">ST_S1_cumul_dot20</t>
  </si>
  <si>
    <t xml:space="preserve">ST_S1_cumul — dotation en année 20</t>
  </si>
  <si>
    <t xml:space="preserve">ST_S1_cumul_def</t>
  </si>
  <si>
    <t xml:space="preserve">ST_S1_cumul — nombre d'années avec réserve négative</t>
  </si>
  <si>
    <t xml:space="preserve">ST_S1_cumul_act</t>
  </si>
  <si>
    <t xml:space="preserve">ST_S1_cumul — contribution moyenne des activités sur place</t>
  </si>
  <si>
    <t xml:space="preserve">ST_S1_cumul_tension</t>
  </si>
  <si>
    <t xml:space="preserve">ST_S1_cumul — nombre d'années en tension (règles de pilotage appliquées)</t>
  </si>
  <si>
    <t xml:space="preserve">Proj_S3_solution_min_res</t>
  </si>
  <si>
    <t xml:space="preserve">S3 — solution recommandée, projection centrale — réserve minimale sur 20 ans</t>
  </si>
  <si>
    <t xml:space="preserve">Proj_S3_solution</t>
  </si>
  <si>
    <t xml:space="preserve">Proj_S3_solution_res20</t>
  </si>
  <si>
    <t xml:space="preserve">Proj_S3_solution — réserve en année 20</t>
  </si>
  <si>
    <t xml:space="preserve">Proj_S3_solution_dot20</t>
  </si>
  <si>
    <t xml:space="preserve">Proj_S3_solution — dotation en année 20</t>
  </si>
  <si>
    <t xml:space="preserve">Proj_S3_solution_def</t>
  </si>
  <si>
    <t xml:space="preserve">Proj_S3_solution — nombre d'années avec réserve négative</t>
  </si>
  <si>
    <t xml:space="preserve">Proj_S3_solution_act</t>
  </si>
  <si>
    <t xml:space="preserve">Proj_S3_solution — contribution moyenne des activités sur place</t>
  </si>
  <si>
    <t xml:space="preserve">Proj_S3_solution_tension</t>
  </si>
  <si>
    <t xml:space="preserve">Proj_S3_solution — nombre d'années en tension (règles de pilotage appliquées)</t>
  </si>
  <si>
    <t xml:space="preserve">REGISTRE DES SOURCES (consolidé à partir de 01_RECHERCHE/sources/*.csv)</t>
  </si>
  <si>
    <t xml:space="preserve">Identifiant</t>
  </si>
  <si>
    <t xml:space="preserve">Titre / donnée</t>
  </si>
  <si>
    <t xml:space="preserve">URL</t>
  </si>
  <si>
    <t xml:space="preserve">Type</t>
  </si>
  <si>
    <t xml:space="preserve">Consultée le</t>
  </si>
  <si>
    <t xml:space="preserve">Utilisée dans</t>
  </si>
  <si>
    <t xml:space="preserve">Fiabilité</t>
  </si>
  <si>
    <t xml:space="preserve">Banque de France — Projections macroéconomiques intermédiaires, septembre 2026 (IPCH 2025 0,9 % ; 2026 2,3 % ; 2027 1,9 % ; 2028 1,6 % ; SMPT 2,0 / 2,6 / 2,4 % ; PIB 0,4 / 0,9 / 1,2 %)</t>
  </si>
  <si>
    <t xml:space="preserve">https://www.banque-france.fr/fr/publications-et-statistiques/publications/projections-macroeconomiques-intermediaires-septembre-2026</t>
  </si>
  <si>
    <t xml:space="preserve">institution publique</t>
  </si>
  <si>
    <t xml:space="preserve">2026-10-14</t>
  </si>
  <si>
    <t xml:space="preserve">page_lue</t>
  </si>
  <si>
    <t xml:space="preserve">hypothèses macro (inflation, salaires)</t>
  </si>
  <si>
    <t xml:space="preserve">haute</t>
  </si>
  <si>
    <t xml:space="preserve">MySweetImmo (17/09/2026), citant Kretz Real Estate : environ 1 500 châteaux à vendre, environ 400 transactions par an, 18 à 24 mois pour vendre, prix affichés de 920 k€ à 20 M€, prix de vente moyen de 2,415 M€ sur le portefeuille Kretz</t>
  </si>
  <si>
    <t xml:space="preserve">https://www.mysweetimmo.com/2026/09/17/journees-du-patrimoine-pourquoi-vendre-un-chateau-peut-prendre-2-ans/</t>
  </si>
  <si>
    <t xml:space="preserve">presse immobilière citant un réseau d'agences</t>
  </si>
  <si>
    <t xml:space="preserve">valeur des biens (assurance, IFI, scénario de dette), liquidité</t>
  </si>
  <si>
    <t xml:space="preserve">moyenne</t>
  </si>
  <si>
    <t xml:space="preserve">D-03</t>
  </si>
  <si>
    <t xml:space="preserve">Résultat de recherche : Barnes (septembre 2025), environ 45 000 châteaux en France, environ 1 500 en vente, de 400 k€ à 10 M€ et plus</t>
  </si>
  <si>
    <t xml:space="preserve">https://www.galivel.com/media/files/etude_pc_2025_1609.pdf</t>
  </si>
  <si>
    <t xml:space="preserve">étude d'agence (extrait)</t>
  </si>
  <si>
    <t xml:space="preserve">extrait</t>
  </si>
  <si>
    <t xml:space="preserve">contexte du marché</t>
  </si>
  <si>
    <t xml:space="preserve">D-04</t>
  </si>
  <si>
    <t xml:space="preserve">Résultat de recherche : indice BT01, de 132,0 (janvier 2025) à 133,7 (décembre 2025), soit environ +1,3 % sur 2025 ; composition de l'index actualisée en janvier 2026 (INSEE)</t>
  </si>
  <si>
    <t xml:space="preserve">https://www.weblex.fr/chiffres-cles/indice-national-du-batiment-bt-01-tous-corps-d-etat-annee-2025</t>
  </si>
  <si>
    <t xml:space="preserve">site d'information juridique reprenant l'INSEE</t>
  </si>
  <si>
    <t xml:space="preserve">hypothèse d'inflation des travaux</t>
  </si>
  <si>
    <t xml:space="preserve">Résultat de recherche : Observatoire Crédit Logement/CSA, août 2026, taux moyen de 3,31 % (3,27 % sur 20 ans), crédits aux particuliers hors assurance</t>
  </si>
  <si>
    <t xml:space="preserve">https://selectra.info/finance/actualites/marche/credit-immobilier-taux-septembre-2026-hausse</t>
  </si>
  <si>
    <t xml:space="preserve">presse financière (extrait)</t>
  </si>
  <si>
    <t xml:space="preserve">scénario de dette (borne basse, car il s'agit de crédits aux particuliers)</t>
  </si>
  <si>
    <t xml:space="preserve">D-06</t>
  </si>
  <si>
    <t xml:space="preserve">Résultat de recherche : La Demeure Historique, note de mai 2019, « 40 000 € par an au minimum » pour un monument, hors ouverture au public et hors restauration (à lire en entier par R1)</t>
  </si>
  <si>
    <t xml:space="preserve">https://www.demeure-historique.org/wp-content/uploads/2019/06/Note-DH-DNS-05062019.pdf</t>
  </si>
  <si>
    <t xml:space="preserve">association de propriétaires (extrait)</t>
  </si>
  <si>
    <t xml:space="preserve">budget S1 (plancher)</t>
  </si>
  <si>
    <t xml:space="preserve">R1-01</t>
  </si>
  <si>
    <t xml:space="preserve">La Demeure Historique — Note « Dialogue national de Sécurité – Établissements patrimoniaux » (27 mai 2019, 3 p.)</t>
  </si>
  <si>
    <t xml:space="preserve">note d'association (propriétaires privés de MH)</t>
  </si>
  <si>
    <t xml:space="preserve">§1 ratios globaux, §8 sûreté</t>
  </si>
  <si>
    <t xml:space="preserve">R1-02</t>
  </si>
  <si>
    <t xml:space="preserve">La Demeure Historique — Communiqué de presse « La transmission des monuments historiques » (21 octobre 2019, 1 p.)</t>
  </si>
  <si>
    <t xml:space="preserve">https://www.demeure-historique.org/wp-content/uploads/2022/05/La-transmission-des-monuments-historiques.pdf</t>
  </si>
  <si>
    <t xml:space="preserve">communiqué de presse</t>
  </si>
  <si>
    <t xml:space="preserve">§1 (aucun chiffre de coût : document sans donnée exploitable)</t>
  </si>
  <si>
    <t xml:space="preserve">faible</t>
  </si>
  <si>
    <t xml:space="preserve">R1-03</t>
  </si>
  <si>
    <t xml:space="preserve">La Demeure Historique, revue n° 201 (2016) — Dossier « Le financement public des travaux dans les monuments historiques privés » (A. Proust)</t>
  </si>
  <si>
    <t xml:space="preserve">https://www.demeure-historique.org/wp-content/uploads/2022/09/article-DH201-financement-public-des-travaux.pdf</t>
  </si>
  <si>
    <t xml:space="preserve">article de revue d'association (données 1997-2014)</t>
  </si>
  <si>
    <t xml:space="preserve">§6 subventions</t>
  </si>
  <si>
    <t xml:space="preserve">R1-04</t>
  </si>
  <si>
    <t xml:space="preserve">Museums Association, Museums Journal — « New report highlights ongoing risk of repair backlog at historic houses » (R. Atkinson, 18 novembre 2025)</t>
  </si>
  <si>
    <t xml:space="preserve">https://www.museumsassociation.org/museums-journal/news/2025/11/new-report-highlights-ongoing-risk-of-repair-backlog-at-historic-houses/</t>
  </si>
  <si>
    <t xml:space="preserve">presse professionnelle (Royaume-Uni)</t>
  </si>
  <si>
    <t xml:space="preserve">§1.2 Historic Houses</t>
  </si>
  <si>
    <t xml:space="preserve">Harlow Consulting pour Historic Houses — « VAT-Rebates for Repairs to Publicly Accessible Heritage Sites » (rapport, 73 p., 28 janvier 2025, enquête 2024 n=121)</t>
  </si>
  <si>
    <t xml:space="preserve">https://cdn.historichouses.org/app/uploads/2025/01/hh-vat-research-report-final-v4-20250128.pdf</t>
  </si>
  <si>
    <t xml:space="preserve">rapport d'étude commandé par une association de propriétaires (Royaume-Uni)</t>
  </si>
  <si>
    <t xml:space="preserve">§1.2 dépenses d'entretien par maison, retard d'entretien, études de cas, assurance</t>
  </si>
  <si>
    <t xml:space="preserve">R1-06</t>
  </si>
  <si>
    <t xml:space="preserve">Historic Houses — infographie « Key findings from the Historic Houses member surveys » (2025, données enquêtes 2024/25 et 2022)</t>
  </si>
  <si>
    <t xml:space="preserve">https://cdn.historichouses.org/app/uploads/2025/04/10-planning-infographic-2025-v1.pdf</t>
  </si>
  <si>
    <t xml:space="preserve">infographie d'association (Royaume-Uni)</t>
  </si>
  <si>
    <t xml:space="preserve">§1.2 retard d'entretien 2 Md£, 160 000 £/an</t>
  </si>
  <si>
    <t xml:space="preserve">National Research Council (2001) — « Deferred Maintenance Reporting for Federal Facilities », chapitre « Inadequate Funding for Maintenance and Repair » (cite le rapport NRC 1990 « Committing to the Cost of Ownership »)</t>
  </si>
  <si>
    <t xml:space="preserve">https://www.nationalacademies.org/read/10095/chapter/35</t>
  </si>
  <si>
    <t xml:space="preserve">rapport académique (États-Unis, bâtiments publics)</t>
  </si>
  <si>
    <t xml:space="preserve">§1.3 règle de pouce 2 à 4 % de la valeur de remplacement</t>
  </si>
  <si>
    <t xml:space="preserve">R1-08</t>
  </si>
  <si>
    <t xml:space="preserve">Résultat de recherche (synthèse) sur la recommandation NRC 1990 « 2 to 4 percent of current replacement value » (« absolute minimum », backlog)</t>
  </si>
  <si>
    <t xml:space="preserve">https://nap.nationalacademies.org/read/9807/chapter/4</t>
  </si>
  <si>
    <t xml:space="preserve">extrait de moteur de recherche</t>
  </si>
  <si>
    <t xml:space="preserve">§1.3</t>
  </si>
  <si>
    <t xml:space="preserve">R1-09</t>
  </si>
  <si>
    <t xml:space="preserve">La Demeure Historique — Compte rendu de la table ronde 1 du 98e congrès national (document du 14 février 2023)</t>
  </si>
  <si>
    <t xml:space="preserve">https://www.demeure-historique.org/wp-content/uploads/2023/02/98e-Congres-national-CR-TR1.pdf</t>
  </si>
  <si>
    <t xml:space="preserve">compte rendu de colloque (propos de la DGPA, de parlementaires)</t>
  </si>
  <si>
    <t xml:space="preserve">§3 énergie (combles), §6 FIP</t>
  </si>
  <si>
    <t xml:space="preserve">R1-10</t>
  </si>
  <si>
    <t xml:space="preserve">La Demeure Historique — « 2017-2022 Quels enjeux pour le patrimoine et les monuments historiques de notre pays ? Sept questions aux candidats aux élections législatives » (mai 2017, 22 p., inclut l'enquête « Tournelle » sur 513 monuments, données 2010)</t>
  </si>
  <si>
    <t xml:space="preserve">https://www.demeure-historique.org/wp-content/uploads/2017/05/Dossier-legislatives.pdf</t>
  </si>
  <si>
    <t xml:space="preserve">document de plaidoyer d'association</t>
  </si>
  <si>
    <t xml:space="preserve">§1.1, contre-exemples (MH en vente, durée de détention), ERP</t>
  </si>
  <si>
    <t xml:space="preserve">R1-11</t>
  </si>
  <si>
    <t xml:space="preserve">Fondation du patrimoine — page projet « Château de Jarnioux » (Rhône), devis par phase de couverture 2021-2023</t>
  </si>
  <si>
    <t xml:space="preserve">https://www.fondation-patrimoine.org/les-projets/chateau-de-jarnioux/76090</t>
  </si>
  <si>
    <t xml:space="preserve">page projet de fondation reconnue d'utilité publique</t>
  </si>
  <si>
    <t xml:space="preserve">§2 montants de chantiers</t>
  </si>
  <si>
    <t xml:space="preserve">R1-12</t>
  </si>
  <si>
    <t xml:space="preserve">Fondation du patrimoine — page projet « Château de Bas à Champigneulles » (Meurthe-et-Moselle), Loto du patrimoine 2022</t>
  </si>
  <si>
    <t xml:space="preserve">https://www.fondation-patrimoine.org/les-projets/chateau-de-bas-a-champigneulles/79953</t>
  </si>
  <si>
    <t xml:space="preserve">§2 montants, §6 Loto du patrimoine</t>
  </si>
  <si>
    <t xml:space="preserve">R1-13</t>
  </si>
  <si>
    <t xml:space="preserve">Fondation du patrimoine — page projet « Les toitures du château de Vauville » (Manche, inscrit MH), Loto du patrimoine 2025</t>
  </si>
  <si>
    <t xml:space="preserve">https://www.fondation-patrimoine.org/les-projets/les-toitures-du-chateau-de-vauville/103583</t>
  </si>
  <si>
    <t xml:space="preserve">R1-14</t>
  </si>
  <si>
    <t xml:space="preserve">Fondation du patrimoine — page projet « Château de Montautre à Fromental »</t>
  </si>
  <si>
    <t xml:space="preserve">https://www.fondation-patrimoine.org/les-projets/chateau-de-montautre-a-fromental/78692</t>
  </si>
  <si>
    <t xml:space="preserve">R1-15</t>
  </si>
  <si>
    <t xml:space="preserve">Fondation du patrimoine — page projet « Château de Grainville » (Eure)</t>
  </si>
  <si>
    <t xml:space="preserve">https://www.fondation-patrimoine.org/les-projets/chateau-de-grainville/80357</t>
  </si>
  <si>
    <t xml:space="preserve">R1-16</t>
  </si>
  <si>
    <t xml:space="preserve">Fondation du patrimoine — page projet « Château de Meung-sur-Loire » (Loiret), Loto du patrimoine</t>
  </si>
  <si>
    <t xml:space="preserve">https://www.fondation-patrimoine.org/les-projets/chateau-de-meung-sur-loire/67394</t>
  </si>
  <si>
    <t xml:space="preserve">R1-17</t>
  </si>
  <si>
    <t xml:space="preserve">Ministère de la Culture, DRAC Grand Est — « Le donjon du château fort de Sedan en restauration » (7 juin 2024)</t>
  </si>
  <si>
    <t xml:space="preserve">https://www.culture.gouv.fr/regions/drac-grand-est/actu/an/2024/le-donjon-du-chateau-fort-de-sedan-en-restauration</t>
  </si>
  <si>
    <t xml:space="preserve">site officiel (ministère)</t>
  </si>
  <si>
    <t xml:space="preserve">§2 montant de chantier, §6 taux DRAC</t>
  </si>
  <si>
    <t xml:space="preserve">R1-18</t>
  </si>
  <si>
    <t xml:space="preserve">Ministère de la Culture (sous-direction des MH) — « Ouvrages de couverture – Ardoises. Fascicule technique, CCTP, bordereau de prix unitaire, mode de métré » (août 2011, 132 p.)</t>
  </si>
  <si>
    <t xml:space="preserve">https://www.culture.gouv.fr/content/download/50134/file/GuideMoaMoe_Couverture_Ardoises_20110801.pdf</t>
  </si>
  <si>
    <t xml:space="preserve">guide technique officiel</t>
  </si>
  <si>
    <t xml:space="preserve">§2 entretien des couvertures (aucun prix dans le bordereau)</t>
  </si>
  <si>
    <t xml:space="preserve">R1-19</t>
  </si>
  <si>
    <t xml:space="preserve">Ville de Bayonne — délibération n° 43 du 18 juillet 2019 « Église Saint-André – Réfection à l'identique de la couverture de la chapelle de l'Adoration »</t>
  </si>
  <si>
    <t xml:space="preserve">https://www.bayonne.fr/fileadmin/medias/Publications/Deliberations/Conseil_municipal_du_18_juillet_2019/N___43_-_PATRIMOINE_IMMOBILIER_-_Eglise_Saint-Andre_-_Refection_couverture_chapelle_de_l_Adoration_-_Autorisation_depot_declaration_prealable_correspondante.pdf</t>
  </si>
  <si>
    <t xml:space="preserve">délibération municipale</t>
  </si>
  <si>
    <t xml:space="preserve">§2 (aucun montant : document sans donnée chiffrée)</t>
  </si>
  <si>
    <t xml:space="preserve">R1-20</t>
  </si>
  <si>
    <t xml:space="preserve">La Maison Saint-Gobain — « Les avantages d'une toiture en zinc » (mis à jour le 4 décembre 2025)</t>
  </si>
  <si>
    <t xml:space="preserve">https://www.lamaisonsaintgobain.fr/guides-travaux/toiture-charpente/les-avantages-d-une-toiture-en-zinc</t>
  </si>
  <si>
    <t xml:space="preserve">site d'un industriel (contenu commercial)</t>
  </si>
  <si>
    <t xml:space="preserve">§2 durées de vie couvertures</t>
  </si>
  <si>
    <t xml:space="preserve">SDES / ONRE — « Le parc de logements par classe de performance énergétique au 1er janvier 2025 » (novembre 2025, 9 p.)</t>
  </si>
  <si>
    <t xml:space="preserve">https://www.locservice.fr/actualites/wp-content/uploads/statistiques-sdes-rapport-15-onre-parc-logements-dpe-1er-janvier-2025-nov2025.pdf</t>
  </si>
  <si>
    <t xml:space="preserve">statistique publique (copie du PDF officiel hébergée par un tiers)</t>
  </si>
  <si>
    <t xml:space="preserve">§3 énergie (bâti d'avant 1948, fioul)</t>
  </si>
  <si>
    <t xml:space="preserve">R1-22</t>
  </si>
  <si>
    <t xml:space="preserve">Hellio (blog) — « Quelle énergie est la moins chère pour se chauffer ? » (mis à jour le 27 janvier 2025), tableau des prix 2018-2023 repris de l'enquête ADEME sur les prix des combustibles bois 2023</t>
  </si>
  <si>
    <t xml:space="preserve">https://particulier.hellio.com/blog/conseils/energie-moins-chere</t>
  </si>
  <si>
    <t xml:space="preserve">site commercial reprenant une source publique (ADEME)</t>
  </si>
  <si>
    <t xml:space="preserve">§3 prix des énergies 2018-2023</t>
  </si>
  <si>
    <t xml:space="preserve">R1-23</t>
  </si>
  <si>
    <t xml:space="preserve">ADEME Librairie — fiches « Enquête sur les prix des combustibles bois en 2023 » et « … en 2024 » (édition 05/2025, mise en ligne 29/10/2025) — PDF accessibles seulement contre adresse e-mail (non téléchargés)</t>
  </si>
  <si>
    <t xml:space="preserve">https://librairie.ademe.fr/energies/8718-enquete-sur-les-prix-des-combustibles-bois-en-2024.html</t>
  </si>
  <si>
    <t xml:space="preserve">agence publique (fiche catalogue)</t>
  </si>
  <si>
    <t xml:space="preserve">§3 (aucun chiffre sur la fiche)</t>
  </si>
  <si>
    <t xml:space="preserve">Service-public.gouv.fr — actualité « Quelle évolution pour votre facture d'électricité au 1er août ? » (21 juillet 2026)</t>
  </si>
  <si>
    <t xml:space="preserve">https://www.service-public.gouv.fr/particuliers/actualites/A18776</t>
  </si>
  <si>
    <t xml:space="preserve">site officiel (DILA)</t>
  </si>
  <si>
    <t xml:space="preserve">§3 électricité TRVE 2026</t>
  </si>
  <si>
    <t xml:space="preserve">R1-25</t>
  </si>
  <si>
    <t xml:space="preserve">Service-public.gouv.fr — actualité « Le prix repère de vente de gaz va augmenter de 6,6 % en novembre » (12 octobre 2026)</t>
  </si>
  <si>
    <t xml:space="preserve">https://www.service-public.gouv.fr/particuliers/actualites/A17956</t>
  </si>
  <si>
    <t xml:space="preserve">§3 gaz 2026</t>
  </si>
  <si>
    <t xml:space="preserve">Le Figaro (A. Michel) — « Comment assurer un bien exceptionnel ? » (25 février 2020), coupure de presse hébergée par le Groupe Mercure</t>
  </si>
  <si>
    <t xml:space="preserve">https://groupe-mercure.fr/wp-content/uploads/2022/11/2020-02-25-wwwlefigarofr-assurer-bien-exceptionnel.pdf</t>
  </si>
  <si>
    <t xml:space="preserve">presse nationale (propos d'un courtier, SLA-Verspieren)</t>
  </si>
  <si>
    <t xml:space="preserve">§4 assurance (prime minimale, valeur de reconstruction)</t>
  </si>
  <si>
    <t xml:space="preserve">France Épargne — « Assurance château 2026 : 15 000 à 30 000 €/an (600 m² et +) » (21 novembre 2025, mis à jour le 25 mai 2026)</t>
  </si>
  <si>
    <t xml:space="preserve">https://www.france-epargne.fr/academy/assurance-patrimoine/assurance-chateau-le-guide-complet-2025</t>
  </si>
  <si>
    <t xml:space="preserve">site d'un courtier (contenu commercial, chiffres non sourcés)</t>
  </si>
  <si>
    <t xml:space="preserve">§4 assurance (taux 5 ‰, primes par surface, coût de reconstruction), §2 toiture</t>
  </si>
  <si>
    <t xml:space="preserve">R1-28</t>
  </si>
  <si>
    <t xml:space="preserve">Assemblée nationale — Question écrite n° 12985 (T. Frappé) « Difficultés d'assurance et fermeture au public du château d'Olhain », QE publiée au JO le 17 février 2026, réponse le 28 avril 2026</t>
  </si>
  <si>
    <t xml:space="preserve">https://questions.assemblee-nationale.fr/dyn/17/questions/QANR5L17QE12985.pdf</t>
  </si>
  <si>
    <t xml:space="preserve">document parlementaire officiel</t>
  </si>
  <si>
    <t xml:space="preserve">§4 assurance, contre-exemples</t>
  </si>
  <si>
    <t xml:space="preserve">R1-29</t>
  </si>
  <si>
    <t xml:space="preserve">France Épargne — actualité « Châteaux et demeures de prestige : la nouvelle carte des argiles et la surprime CatNat alourdissent la facture » (7 juillet 2026)</t>
  </si>
  <si>
    <t xml:space="preserve">https://www.france-epargne.fr/news/chateaux-et-demeures-de-prestige-la-nouvelle-carte-des-argiles-et-la-surprime-catnat-alourdissent-la.md</t>
  </si>
  <si>
    <t xml:space="preserve">site d'un courtier (reprend l'arrêté du 22 décembre 2023 et France Assureurs)</t>
  </si>
  <si>
    <t xml:space="preserve">§4 assurance (surprime CatNat), §7 imprévus</t>
  </si>
  <si>
    <t xml:space="preserve">R1-30</t>
  </si>
  <si>
    <t xml:space="preserve">Service-public.gouv.fr — fiche F59 « Taxe foncière sur les propriétés bâties » (vérifiée le 25 septembre 2026)</t>
  </si>
  <si>
    <t xml:space="preserve">https://www.service-public.gouv.fr/particuliers/vosdroits/F59</t>
  </si>
  <si>
    <t xml:space="preserve">§5 taxe foncière (calcul)</t>
  </si>
  <si>
    <t xml:space="preserve">R1-31</t>
  </si>
  <si>
    <t xml:space="preserve">La Demeure Historique — fiche fiscalité F/7 « Impôts locaux : un monument historique est-il une maison exceptionnelle ? » (juin 2003, PDF 2012)</t>
  </si>
  <si>
    <t xml:space="preserve">https://www.demeure-historique.org/wp-content/uploads/2024/04/2-MH-et-maisons-exceptionnelles.pdf</t>
  </si>
  <si>
    <t xml:space="preserve">fiche technique d'association (jurisprudence 2000 et 2003)</t>
  </si>
  <si>
    <t xml:space="preserve">§5 taxe foncière (valeur locative des MH)</t>
  </si>
  <si>
    <t xml:space="preserve">French-Property.com — annonce n° 249493 (Prestige Property Group), château « historic monument » à Erny-Saint-Julien (62), 512 m² habitables, 6,56 ha, charges annuelles déclarées (annonce retirée, date non indiquée)</t>
  </si>
  <si>
    <t xml:space="preserve">https://french-property.com/sale-property/127-249493</t>
  </si>
  <si>
    <t xml:space="preserve">annonce immobilière (déclaratif du vendeur)</t>
  </si>
  <si>
    <t xml:space="preserve">§4, §5, §9 exemple de charges réelles d'un petit château</t>
  </si>
  <si>
    <t xml:space="preserve">R1-33</t>
  </si>
  <si>
    <t xml:space="preserve">Assemblée nationale — Avis n° 2043, tome III (commission des affaires culturelles, rapporteur J. Patrier-Leitus) sur le PLF 2026, mission Culture, programme 175 « Patrimoines » (enregistré le 29 octobre 2025)</t>
  </si>
  <si>
    <t xml:space="preserve">https://www.assemblee-nationale.fr/dyn/opendata/AVISANR5L17B2043-tIII.html</t>
  </si>
  <si>
    <t xml:space="preserve">rapport parlementaire officiel</t>
  </si>
  <si>
    <t xml:space="preserve">§6 programme 175 2026, FIP, MH en péril</t>
  </si>
  <si>
    <t xml:space="preserve">R1-34</t>
  </si>
  <si>
    <t xml:space="preserve">Sénat — « L'essentiel sur… PLF 2026 – L'avis de la commission sur les crédits du programme Patrimoines » (avis a25-144 tome 21, 3 décembre 2025, 10 p.)</t>
  </si>
  <si>
    <t xml:space="preserve">https://www.senat.fr/rap/a25-144-21/a25-144-21-syn.pdf</t>
  </si>
  <si>
    <t xml:space="preserve">§6 taux moyens DRAC 2025, programme 175 2026, Loto du patrimoine, état sanitaire des MH</t>
  </si>
  <si>
    <t xml:space="preserve">R1-35</t>
  </si>
  <si>
    <t xml:space="preserve">Ministère de la Culture — « Bilans des sinistres dans les monuments historiques » (chiffres 2025 et 2013-2025 vus seulement dans le résultat de recherche, page non ouverte : URL d'origine en 404)</t>
  </si>
  <si>
    <t xml:space="preserve">https://www.culture.gouv.fr/switchToLanguage/419505/fre-FR</t>
  </si>
  <si>
    <t xml:space="preserve">§7 sinistres</t>
  </si>
  <si>
    <t xml:space="preserve">R1-36</t>
  </si>
  <si>
    <t xml:space="preserve">Service-public.gouv.fr — fiche F447 « Assainissement des eaux usées domestiques » (vérifiée le 12 décembre 2025)</t>
  </si>
  <si>
    <t xml:space="preserve">https://www.service-public.gouv.fr/particuliers/vosdroits/F447</t>
  </si>
  <si>
    <t xml:space="preserve">§8 postes techniques (SPANC)</t>
  </si>
  <si>
    <t xml:space="preserve">R1-37</t>
  </si>
  <si>
    <t xml:space="preserve">Banque centrale européenne — taux de référence EUR/GBP (dernier taux 0,84385 au 14 octobre 2026)</t>
  </si>
  <si>
    <t xml:space="preserve">https://www.ecb.europa.eu/stats/policy_and_exchange_rates/euro_reference_exchange_rates/html/eurofxref-graph-gbp.en.html</t>
  </si>
  <si>
    <t xml:space="preserve">statistique officielle (BCE)</t>
  </si>
  <si>
    <t xml:space="preserve">§1.2 et §9 conversion £/€</t>
  </si>
  <si>
    <t xml:space="preserve">R1-38</t>
  </si>
  <si>
    <t xml:space="preserve">Service-public.gouv.fr — fiche F16096 « Diagnostic immobilier : diagnostic de performance énergétique (DPE) » (vérifiée le 1er janvier 2026)</t>
  </si>
  <si>
    <t xml:space="preserve">https://www.service-public.gouv.fr/particuliers/vosdroits/F16096</t>
  </si>
  <si>
    <t xml:space="preserve">§3 énergie (MH hors champ du DPE)</t>
  </si>
  <si>
    <t xml:space="preserve">R1-39</t>
  </si>
  <si>
    <t xml:space="preserve">Quelle Énergie — « Isolation de la toiture : la toiture en ardoise » (prix indicatif de l'ardoise posée) — vu seulement dans un résultat de recherche</t>
  </si>
  <si>
    <t xml:space="preserve">https://www.quelleenergie.fr/economies-energie/isolation-toiture/ardoise</t>
  </si>
  <si>
    <t xml:space="preserve">site commercial grand public</t>
  </si>
  <si>
    <t xml:space="preserve">§2.3 prix grand public (non retenu)</t>
  </si>
  <si>
    <t xml:space="preserve">R1-40</t>
  </si>
  <si>
    <t xml:space="preserve">Ootravaux — « Prix réparation toiture ardoise » — vu seulement dans un résultat de recherche</t>
  </si>
  <si>
    <t xml:space="preserve">https://www.ootravaux.fr/construction-renovation/toiture/couverture/prix-reparation-toiture-ardoise.html</t>
  </si>
  <si>
    <t xml:space="preserve">R1-41</t>
  </si>
  <si>
    <t xml:space="preserve">Ootravaux — « Prix toiture m2 » — vu seulement dans un résultat de recherche</t>
  </si>
  <si>
    <t xml:space="preserve">https://www.ootravaux.fr/construction-renovation/toiture/couverture/travaux-toiture/prix-toiture-m2.html</t>
  </si>
  <si>
    <t xml:space="preserve">R1-42</t>
  </si>
  <si>
    <t xml:space="preserve">TotalEnergies — « Quelle est la durée de vie d'une chaudière ? » — vu seulement dans un résultat de recherche</t>
  </si>
  <si>
    <t xml:space="preserve">https://www.totalenergies.fr/particuliers/parlons-energie/dossiers-energie/chauffage-et-climatisation/quelle-est-la-duree-de-vie-d-une-chaudiere</t>
  </si>
  <si>
    <t xml:space="preserve">site d'un fournisseur d'énergie</t>
  </si>
  <si>
    <t xml:space="preserve">§2.5 durées de vie</t>
  </si>
  <si>
    <t xml:space="preserve">R1-43</t>
  </si>
  <si>
    <t xml:space="preserve">MoneyPark / ImmoWorld (Helvetia) — « Tableau des durées de vie » (PDF, ouverture en erreur 504, chiffres vus seulement dans un résultat de recherche)</t>
  </si>
  <si>
    <t xml:space="preserve">https://www.moneypark.ch/content/dam/os/ch/web/documents/immoworld/tableau-des-durees-de-vie.pdf</t>
  </si>
  <si>
    <t xml:space="preserve">document commercial (Suisse)</t>
  </si>
  <si>
    <t xml:space="preserve">R2-01</t>
  </si>
  <si>
    <t xml:space="preserve">Smic : montant (Service-public.gouv.fr, fiche F2300, vérifiée le 01/06/2026)</t>
  </si>
  <si>
    <t xml:space="preserve">https://www.service-public.gouv.fr/particuliers/vosdroits/F2300</t>
  </si>
  <si>
    <t xml:space="preserve">§1.1</t>
  </si>
  <si>
    <t xml:space="preserve">R2-02</t>
  </si>
  <si>
    <t xml:space="preserve">Réduction générale dégressive unique (RGDU) des cotisations patronales (entreprendre.service-public.gouv.fr, fiche F24542, vérifiée le 15/06/2026)</t>
  </si>
  <si>
    <t xml:space="preserve">https://entreprendre.service-public.gouv.fr/vosdroits/F24542</t>
  </si>
  <si>
    <t xml:space="preserve">§1.1 §1.2 §1.3</t>
  </si>
  <si>
    <t xml:space="preserve">R2-03</t>
  </si>
  <si>
    <t xml:space="preserve">Particuliers employeurs : les grilles de salaires (fiche-paie.net, avenant n°10 du 5 février 2026, article mis à jour le 14/08/2026)</t>
  </si>
  <si>
    <t xml:space="preserve">https://www.fiche-paie.net/page/particuliers-employeurs-les-grilles-de-salaires</t>
  </si>
  <si>
    <t xml:space="preserve">site spécialisé paie (secondaire)</t>
  </si>
  <si>
    <t xml:space="preserve">§1.4 §2.2</t>
  </si>
  <si>
    <t xml:space="preserve">R2-04</t>
  </si>
  <si>
    <t xml:space="preserve">Employés de maison : ce que change la hausse du Smic en 2026 (L'Écho du mardi, M. Hurlin, 16/01/2026)</t>
  </si>
  <si>
    <t xml:space="preserve">https://www.echodumardi.com/juridique/employes-de-maison-ce-que-change-la-hausse-du-smic-en-2026/</t>
  </si>
  <si>
    <t xml:space="preserve">presse régionale</t>
  </si>
  <si>
    <t xml:space="preserve">§1.1 §1.4</t>
  </si>
  <si>
    <t xml:space="preserve">R2-05</t>
  </si>
  <si>
    <t xml:space="preserve">Grille des salaires du personnel des centres équestres en 2026 (Juristique, avenant n°6 du 20/01/2026, IDCC 7026)</t>
  </si>
  <si>
    <t xml:space="preserve">https://www.juristique.org/conventionnel/salaires-centres-equestres-2026</t>
  </si>
  <si>
    <t xml:space="preserve">site juridique (secondaire)</t>
  </si>
  <si>
    <t xml:space="preserve">R2-06</t>
  </si>
  <si>
    <t xml:space="preserve">Résultat de recherche : CCN des personnels des activités hippiques du 16/11/2023 (IDCC 7026) regroupant les CCN 7012, 7013 et 7014 (Legisocial, Juritravail)</t>
  </si>
  <si>
    <t xml:space="preserve">https://www.legisocial.fr/conventions-collectives-nationales/7026-personnel-des-activites-hippiques/</t>
  </si>
  <si>
    <t xml:space="preserve">§1.4</t>
  </si>
  <si>
    <t xml:space="preserve">R2-07</t>
  </si>
  <si>
    <t xml:space="preserve">Avenant n°46 du 17 septembre 2025 à la CCN des entreprises du paysage du 10 octobre 2008 (IDCC 7018, NOR AGRS2597131M), copie PDF hébergée par Tripalio</t>
  </si>
  <si>
    <t xml:space="preserve">https://presse.tripalio.fr/wp-content/uploads/2025/11/IDCC-7018-17-09-2025.pdf</t>
  </si>
  <si>
    <t xml:space="preserve">texte conventionnel (copie)</t>
  </si>
  <si>
    <t xml:space="preserve">R2-08</t>
  </si>
  <si>
    <t xml:space="preserve">Résultat de recherche : extension de l'avenant n°46 paysage par arrêté du 11/12/2025 publié au JO du 26/12/2025 (attribution incertaine parmi les résultats salerya.fr, travail-industrie.com, fiche-paie.net : URL = résultat le plus proche, non ouvert)</t>
  </si>
  <si>
    <t xml:space="preserve">https://travail-industrie.com/outils/conventions-collectives/entreprises-paysage-grille-salaires-deplacements-droits-idcc-7018</t>
  </si>
  <si>
    <t xml:space="preserve">site spécialisé (secondaire)</t>
  </si>
  <si>
    <t xml:space="preserve">R2-09</t>
  </si>
  <si>
    <t xml:space="preserve">Salaires applicables dans les CUMA à compter du 1er mai 2026 (FD CUMA 53, 07/04/2026, d'après la CCN Production agricole et CUMA, avenant n°10)</t>
  </si>
  <si>
    <t xml:space="preserve">https://mayenne.cuma.fr/app/uploads/sites/52/2026/01/02-grille-smc-01-05-2026.pdf</t>
  </si>
  <si>
    <t xml:space="preserve">organisation professionnelle agricole</t>
  </si>
  <si>
    <t xml:space="preserve">R2-10</t>
  </si>
  <si>
    <t xml:space="preserve">Résultat de recherche : avenant n°11 du 2 juillet 2026 production agricole (+1,96 % en moyenne, non étendu) selon Juristique</t>
  </si>
  <si>
    <t xml:space="preserve">https://www.juristique.org/conventionnel/salaires-production-agricole-cuma-2026</t>
  </si>
  <si>
    <t xml:space="preserve">Simulateur officiel URSSAF mon-entreprise, API publique /api/v1/evaluate (calcul du coût employeur, règles au 01/07/2026, 35 requêtes POST sans compte ni donnée personnelle, scripts conservés dans le scratchpad de session)</t>
  </si>
  <si>
    <t xml:space="preserve">https://mon-entreprise.urssaf.fr/api/v1/evaluate</t>
  </si>
  <si>
    <t xml:space="preserve">outil officiel (URSSAF), calcul</t>
  </si>
  <si>
    <t xml:space="preserve">§1.2 §1.3 §9</t>
  </si>
  <si>
    <t xml:space="preserve">R2-12</t>
  </si>
  <si>
    <t xml:space="preserve">Emploi à domicile : l'employeur peut-il être exonéré des cotisations sociales ? (Service-public.gouv.fr F12384, vérifiée le 01/06/2026)</t>
  </si>
  <si>
    <t xml:space="preserve">https://www.service-public.gouv.fr/particuliers/vosdroits/F12384</t>
  </si>
  <si>
    <t xml:space="preserve">§1.5 §9.1</t>
  </si>
  <si>
    <t xml:space="preserve">R2-13</t>
  </si>
  <si>
    <t xml:space="preserve">Impôt sur le revenu - Crédit d'impôt pour l'emploi d'un salarié à domicile (Service-public.gouv.fr F12, vérifiée le 15/04/2026)</t>
  </si>
  <si>
    <t xml:space="preserve">https://www.service-public.gouv.fr/particuliers/vosdroits/F12</t>
  </si>
  <si>
    <t xml:space="preserve">§1.5</t>
  </si>
  <si>
    <t xml:space="preserve">R2-14</t>
  </si>
  <si>
    <t xml:space="preserve">Rapport d'activité équi-ressources 2022 (IFCE / équi-ressources, PDF de mars 2023, texte extrait avec pdftotext)</t>
  </si>
  <si>
    <t xml:space="preserve">https://agrorientation.com/uploads/files/Filieres/cheval/Rapport_activite_equiressources_2022.pdf</t>
  </si>
  <si>
    <t xml:space="preserve">rapport d'organisme public (IFCE)</t>
  </si>
  <si>
    <t xml:space="preserve">§2.1 §10</t>
  </si>
  <si>
    <t xml:space="preserve">R2-15</t>
  </si>
  <si>
    <t xml:space="preserve">Dans le secret des jardins de Villandry (France.fr, Atout France, 17/01/2024)</t>
  </si>
  <si>
    <t xml:space="preserve">https://www.france.fr/fr/article/l'importance-et-la-particularite-des-jardins-dans-le-val-de-loire/</t>
  </si>
  <si>
    <t xml:space="preserve">site institutionnel tourisme (Atout France)</t>
  </si>
  <si>
    <t xml:space="preserve">§3.1 §9</t>
  </si>
  <si>
    <t xml:space="preserve">R2-16</t>
  </si>
  <si>
    <t xml:space="preserve">La gestion différenciée : méthodologie de mise en œuvre, fiche de synthèse (Plante &amp; Cité, B. Chassaing, mai 2014, mise à jour 2021) - aucun chiffre de coût</t>
  </si>
  <si>
    <t xml:space="preserve">https://plante-et-cite.fr/files/ressource/file:1807</t>
  </si>
  <si>
    <t xml:space="preserve">organisme technique national (Plante &amp; Cité)</t>
  </si>
  <si>
    <t xml:space="preserve">§3.2</t>
  </si>
  <si>
    <t xml:space="preserve">R2-17</t>
  </si>
  <si>
    <t xml:space="preserve">IFCE Observatoire économique et social du cheval, Fiche n°1 « Cheval d'extérieur hébergé au pré au domicile du particulier » (données 2011-2012, anciennes, PDF texte extrait)</t>
  </si>
  <si>
    <t xml:space="preserve">https://www.ifce.fr/wp-content/uploads/2015/06/OESC_Entretien_FICHE_1.pdf</t>
  </si>
  <si>
    <t xml:space="preserve">organisme public (IFCE)</t>
  </si>
  <si>
    <t xml:space="preserve">§5.3 §6.1 §8.1</t>
  </si>
  <si>
    <t xml:space="preserve">R2-18</t>
  </si>
  <si>
    <t xml:space="preserve">IFCE Observatoire économique et social du cheval, Fiche n°4 « Cheval de compétition amateur hébergé en pension box » (données 2011-2012, anciennes, PDF texte extrait)</t>
  </si>
  <si>
    <t xml:space="preserve">https://www.ifce.fr/wp-content/uploads/2015/06/OESC-Entretien-FICHE_4.pdf</t>
  </si>
  <si>
    <t xml:space="preserve">§4.2 §6.1 §9.5</t>
  </si>
  <si>
    <t xml:space="preserve">R2-19</t>
  </si>
  <si>
    <t xml:space="preserve">Résultat de recherche : fiche de la préfecture de Maine-et-Loire « obligation à tout détenteur d'équidés » (coût annuel d'un cheval au pré 650 à 1 300 €)</t>
  </si>
  <si>
    <t xml:space="preserve">https://www.maine-et-loire.gouv.fr/contenu/telechargement/13907/95734/file/obligation_a_tout_detenteur_d_equides.pdf</t>
  </si>
  <si>
    <t xml:space="preserve">site officiel (préfecture)</t>
  </si>
  <si>
    <t xml:space="preserve">§6.1</t>
  </si>
  <si>
    <t xml:space="preserve">R2-20</t>
  </si>
  <si>
    <t xml:space="preserve">Arrêté préfectoral de l'Aveyron n°12-2025-09-29-00003 du 29/09/2025 constatant l'indice des fermages 2025 et les minima et maxima 2025-2026 (copie PDF hébergée par la commune de Laguiole)</t>
  </si>
  <si>
    <t xml:space="preserve">https://www.laguiole12.fr/uploads/sites/81/2025/11/arrete-prefectoral-indice-fermages-2025.pdf</t>
  </si>
  <si>
    <t xml:space="preserve">texte officiel (préfecture)</t>
  </si>
  <si>
    <t xml:space="preserve">§5.1</t>
  </si>
  <si>
    <t xml:space="preserve">R2-21</t>
  </si>
  <si>
    <t xml:space="preserve">Résultat de recherche : barème 2024 de la Chambre d'agriculture de l'Yonne (foin départ ferme 102-107 €/t brute en prairie naturelle, 117-127 €/t en luzerne) - PDF devenu 404</t>
  </si>
  <si>
    <t xml:space="preserve">https://bourgognefranchecomte.chambres-agriculture.fr/fileadmin/user_upload/Bourgogne-Franche-Comte/061_Inst-Bourgogne-Franche-Comte/CA89/Foncier/Baremes-2024.pdf</t>
  </si>
  <si>
    <t xml:space="preserve">organisme agricole (chambre)</t>
  </si>
  <si>
    <t xml:space="preserve">§5.2 §9.5</t>
  </si>
  <si>
    <t xml:space="preserve">R2-22</t>
  </si>
  <si>
    <t xml:space="preserve">Résultat de recherche : Synthèse prix fourrages 2024, Chambre d'agriculture Nouvelle-Aquitaine (foin sur pied 64-69 €/t, paille 70 €/t dans le calcul) - PDF devenu 404</t>
  </si>
  <si>
    <t xml:space="preserve">https://cmds.chambre-agriculture.fr/fileadmin/user_upload/Nouvelle-Aquitaine/208_Inst-cmds/Actualites/2024/Documents/Synthese_prix_fourrages_2024.pdf</t>
  </si>
  <si>
    <t xml:space="preserve">R2-23</t>
  </si>
  <si>
    <t xml:space="preserve">Résultat de recherche : barème 2025 Chambre d'agriculture Hauts-de-France (paille en andain 25-30 €/t, fumier bovin en tas 18-22 €/t) - attribution incertaine : URL = résultat le plus proche, non ouvert</t>
  </si>
  <si>
    <t xml:space="preserve">https://reussir.fr/grandes-cultures/echange-paille-fumier-2023-comment-definir-les-modalites</t>
  </si>
  <si>
    <t xml:space="preserve">presse agricole / chambre (non ouvert)</t>
  </si>
  <si>
    <t xml:space="preserve">§5.2 §8.3</t>
  </si>
  <si>
    <t xml:space="preserve">R2-24</t>
  </si>
  <si>
    <t xml:space="preserve">IFCE / REFE, 4e journée du Réseau économique de la filière équine (19/01/2011) : « Un système d'alimentation avec des coûts maîtrisés dans une écurie de pensions » (P. et A. Artaud, Hérault, données 2008-2010, cas unique, PDF texte extrait)</t>
  </si>
  <si>
    <t xml:space="preserve">https://www.ifce.fr/wp-content/uploads/2015/07/OESC-2012Temoignage-Systeme_couts_maitrises_Artaud.pdf</t>
  </si>
  <si>
    <t xml:space="preserve">organisme public (IFCE), témoignage d'exploitant</t>
  </si>
  <si>
    <t xml:space="preserve">§6.2 §6.3 §9 §10</t>
  </si>
  <si>
    <t xml:space="preserve">R2-25</t>
  </si>
  <si>
    <t xml:space="preserve">Résultat de recherche : monographie Réseau Équin / Idele (données 2019) - centre équestre + pension, 3 UMO, 54 équidés dont 25 en pension, carrière 30 x 60 m, manège 43 x 20 m (PDF protégé, non ouvert)</t>
  </si>
  <si>
    <t xml:space="preserve">https://idele.fr/fileadmin/medias/Documents/Monographie_d_exploitation_equine_1.pdf</t>
  </si>
  <si>
    <t xml:space="preserve">organisme technique (Idele / Réseau Équin)</t>
  </si>
  <si>
    <t xml:space="preserve">§6.3 §9</t>
  </si>
  <si>
    <t xml:space="preserve">R2-26</t>
  </si>
  <si>
    <t xml:space="preserve">Résultat de recherche : Chambres d'agriculture Hauts-de-France « pension hébergement » (environ 1 000 € par box en aménagement de bâtiment existant avec autoconstruction, entretien prairie hors récolte environ 185 €/ha/an, données 2008) - PDF devenu 404</t>
  </si>
  <si>
    <t xml:space="preserve">https://hautsdefrance.chambres-agriculture.fr/fileadmin/user_upload/National/FAL_commun/publications/Hauts-de-France/pension_hebergement.pdf</t>
  </si>
  <si>
    <t xml:space="preserve">§5.3 §7</t>
  </si>
  <si>
    <t xml:space="preserve">Combien coûte la construction d'un manège équestre ? (HelloPro, guide d'achat, « chiffres constatés en octobre 2026 », HT ou TTC non précisé)</t>
  </si>
  <si>
    <t xml:space="preserve">https://conseils.hellopro.fr/combien-coute-la-construction-d-un-manege-equestre-4612.html</t>
  </si>
  <si>
    <t xml:space="preserve">site commercial (place de marché B2B)</t>
  </si>
  <si>
    <t xml:space="preserve">§7 §9.5</t>
  </si>
  <si>
    <t xml:space="preserve">Combien coûte un box pour cheval ? (HelloPro, guide d'achat, « chiffres constatés en octobre 2026 », HT ou TTC non précisé)</t>
  </si>
  <si>
    <t xml:space="preserve">https://conseils.hellopro.fr/combien-coute-un-box-pour-cheval-4665.html</t>
  </si>
  <si>
    <t xml:space="preserve">R2-29</t>
  </si>
  <si>
    <t xml:space="preserve">Résultat de recherche : référentiel prix bâtiment équin, Chambre d'agriculture de Normandie (PDF non lu : réseau des chambres « actuellement en maintenance » le 14/10/2026)</t>
  </si>
  <si>
    <t xml:space="preserve">https://refonte-normandie.chambres-agriculture.fr/fileadmin/user_upload/National/FAL_commun/publications/Normandie/equin-referentiel-prix-batiment-Normandie.pdf</t>
  </si>
  <si>
    <t xml:space="preserve">§7</t>
  </si>
  <si>
    <t xml:space="preserve">Guide des coûts de revient des matériels en cuma, Édition Est 2025-2026 (FRCUMA Hauts-de-France, Grand Est, Centre-Val de Loire, BFC, AURA, PACA, parution octobre 2025, données comptables 2023-2024, pages lues en image)</t>
  </si>
  <si>
    <t xml:space="preserve">https://www.cuma.fr/app/uploads/sites/4/2026/01/guide-des-couts-de-revient-gpr-edition-est-2025-2026.pdf</t>
  </si>
  <si>
    <t xml:space="preserve">organisme professionnel agricole (réseau cuma)</t>
  </si>
  <si>
    <t xml:space="preserve">§4 §9.5 §10</t>
  </si>
  <si>
    <t xml:space="preserve">R2-31</t>
  </si>
  <si>
    <t xml:space="preserve">IFCE (P. Doligez), présentation « Gérer son fumier » (26/11/2020, références DEXEL Idele 2018, PDF texte extrait)</t>
  </si>
  <si>
    <t xml:space="preserve">https://www.ifce.fr/wp-content/uploads/2020/11/Gerer_son_fumier_26112020.pdf</t>
  </si>
  <si>
    <t xml:space="preserve">§8.3 §9.5</t>
  </si>
  <si>
    <t xml:space="preserve">R2-32</t>
  </si>
  <si>
    <t xml:space="preserve">MSA Auvergne, « La gestion du fumier de cheval - Fiches ressources filière équine » (sources IFCE, document postérieur à 2023, PDF texte extrait)</t>
  </si>
  <si>
    <t xml:space="preserve">https://auvergne.msa.fr/lfp/documents/98805/400893979/La+gestion+du+fumier+-+fili%C3%A8re+%C3%A9quine.pdf</t>
  </si>
  <si>
    <t xml:space="preserve">organisme public (MSA)</t>
  </si>
  <si>
    <t xml:space="preserve">§6.1 §8 §10</t>
  </si>
  <si>
    <t xml:space="preserve">R3-01</t>
  </si>
  <si>
    <t xml:space="preserve">Service-public : Impôt sur la fortune immobilière (IFI) : personnes et biens concernés (F563, vérifié le 06/03/2026)</t>
  </si>
  <si>
    <t xml:space="preserve">https://www.service-public.gouv.fr/particuliers/vosdroits/F563</t>
  </si>
  <si>
    <t xml:space="preserve">site officiel administration</t>
  </si>
  <si>
    <t xml:space="preserve">Q3 IFI</t>
  </si>
  <si>
    <t xml:space="preserve">R3-02</t>
  </si>
  <si>
    <t xml:space="preserve">BOFiP BOI-ANNX-000093-20181219 : tableau synthétique du régime des monuments historiques et immeubles labellisés Fondation du patrimoine</t>
  </si>
  <si>
    <t xml:space="preserve">https://bofip.impots.gouv.fr/bofip/1813-PGP.html/identifiant=BOI-ANNX-000093-20181219</t>
  </si>
  <si>
    <t xml:space="preserve">doctrine fiscale officielle</t>
  </si>
  <si>
    <t xml:space="preserve">Q1 MH</t>
  </si>
  <si>
    <t xml:space="preserve">R3-03</t>
  </si>
  <si>
    <t xml:space="preserve">BOFiP BOI-RFPI-SPEC-30-10-20181219 : monuments historiques et assimilés, immeubles concernés</t>
  </si>
  <si>
    <t xml:space="preserve">https://bofip.impots.gouv.fr/bofip/1951-PGP.html/identifiant=BOI-RFPI-SPEC-30-10-20181219</t>
  </si>
  <si>
    <t xml:space="preserve">R3-04</t>
  </si>
  <si>
    <t xml:space="preserve">BOFiP BOI-RFPI-SPEC-30-20-10-20181219 : MH, immeuble procurant des recettes imposables et non occupé par son propriétaire (export PDF, texte extrait)</t>
  </si>
  <si>
    <t xml:space="preserve">https://bofip.impots.gouv.fr/export/pdf/5746 (page : https://bofip.impots.gouv.fr/bofip/3427-PGP.html/identifiant=BOI-RFPI-SPEC-30-20-10-20181219)</t>
  </si>
  <si>
    <t xml:space="preserve">BOFiP BOI-RFPI-SPEC-30-20-20-20181219 : MH, immeuble ne procurant pas de recettes imposables</t>
  </si>
  <si>
    <t xml:space="preserve">https://bofip.impots.gouv.fr/doctrine/pgp/3429-PGP</t>
  </si>
  <si>
    <t xml:space="preserve">R3-06</t>
  </si>
  <si>
    <t xml:space="preserve">BOFiP BOI-RFPI-SPEC-30-30-20181219 : MH, conditions (conservation 15 ans, détention directe, copropriété)</t>
  </si>
  <si>
    <t xml:space="preserve">https://bofip.impots.gouv.fr/bofip/1935-PGP</t>
  </si>
  <si>
    <t xml:space="preserve">R3-07</t>
  </si>
  <si>
    <t xml:space="preserve">BOFiP BOI-RFPI-SPEC-30-20181219 : régime des monuments historiques et assimilés, présentation générale</t>
  </si>
  <si>
    <t xml:space="preserve">https://bofip.impots.gouv.fr/bofip/1817-PGP.html/identifiant%3DBOI-RFPI-SPEC-30-20181219</t>
  </si>
  <si>
    <t xml:space="preserve">R3-08</t>
  </si>
  <si>
    <t xml:space="preserve">Fondation du patrimoine : Défiscaliser vos travaux (label)</t>
  </si>
  <si>
    <t xml:space="preserve">https://www.fondation-patrimoine.org/c/soumettre-un-projet/defiscaliser-travaux/232</t>
  </si>
  <si>
    <t xml:space="preserve">site d'organisme reconnu d'utilité publique (Fondation du patrimoine)</t>
  </si>
  <si>
    <t xml:space="preserve">Q1 label FdP</t>
  </si>
  <si>
    <t xml:space="preserve">R3-09</t>
  </si>
  <si>
    <t xml:space="preserve">Fondation du patrimoine : Organiser une collecte de dons</t>
  </si>
  <si>
    <t xml:space="preserve">https://www.fondation-patrimoine.org/c/soumettre-un-projet/organiser-une-collecte/233</t>
  </si>
  <si>
    <t xml:space="preserve">Q4 mécénat</t>
  </si>
  <si>
    <t xml:space="preserve">R3-10</t>
  </si>
  <si>
    <t xml:space="preserve">BOFiP BOI-IR-RICI-250-10-20-30-20120912 : dons à la Fondation du patrimoine pour des immeubles privés (version en vigueur depuis 2012, vérifier l'article 200 CGI actuel)</t>
  </si>
  <si>
    <t xml:space="preserve">https://bofip.impots.gouv.fr/bofip/5870-PGP</t>
  </si>
  <si>
    <t xml:space="preserve">R3-11</t>
  </si>
  <si>
    <t xml:space="preserve">Sénat, avis PLF 2026 culture-patrimoines (a25-144-21, synthèse) — vu en résultat de recherche</t>
  </si>
  <si>
    <t xml:space="preserve">rapport parlementaire</t>
  </si>
  <si>
    <t xml:space="preserve">Q1 contexte subventions</t>
  </si>
  <si>
    <t xml:space="preserve">R3-12</t>
  </si>
  <si>
    <t xml:space="preserve">Assemblée nationale, amendement n° 885 PLF 2026 (exonération IFI et taxe foncière des MH ouverts au public) — vu en résultat de recherche, marqué « Rejeté »</t>
  </si>
  <si>
    <t xml:space="preserve">https://www.assemblee-nationale.fr/dyn/17/amendements/1906A/AN/885.pdf</t>
  </si>
  <si>
    <t xml:space="preserve">document parlementaire</t>
  </si>
  <si>
    <t xml:space="preserve">Q1 Q3</t>
  </si>
  <si>
    <t xml:space="preserve">R3-13</t>
  </si>
  <si>
    <t xml:space="preserve">BOFiP BOI-ENR-DMTG-10-20-30-60 (version du 06/11/2025) : exonération DMTG des monuments historiques (art. 795 A CGI)</t>
  </si>
  <si>
    <t xml:space="preserve">https://bofip.impots.gouv.fr/bofip/2318-PGP</t>
  </si>
  <si>
    <t xml:space="preserve">Q2 transmission</t>
  </si>
  <si>
    <t xml:space="preserve">R3-14</t>
  </si>
  <si>
    <t xml:space="preserve">BOFiP actualité ACTU-2023-00069 du 25/07/2023 : décret n° 2023-103 du 16/02/2023, convention type 795 A et conditions d'ouverture</t>
  </si>
  <si>
    <t xml:space="preserve">https://bofip.impots.gouv.fr/bofip/13906-PGP.html/ACTU-2023-00069</t>
  </si>
  <si>
    <t xml:space="preserve">R3-15</t>
  </si>
  <si>
    <t xml:space="preserve">Service-public : Calcul de l'impôt sur la fortune immobilière (IFI) (F138, vérifié le 06/03/2026)</t>
  </si>
  <si>
    <t xml:space="preserve">https://www.service-public.gouv.fr/particuliers/vosdroits/F138</t>
  </si>
  <si>
    <t xml:space="preserve">R3-16</t>
  </si>
  <si>
    <t xml:space="preserve">Service-public : Prélèvements sociaux (CSG, CRDS...) sur les revenus du patrimoine et de placements (F2329, vérifié le 30/06/2026)</t>
  </si>
  <si>
    <t xml:space="preserve">https://www.service-public.gouv.fr/particuliers/vosdroits/F2329</t>
  </si>
  <si>
    <t xml:space="preserve">Q5 PFU</t>
  </si>
  <si>
    <t xml:space="preserve">R3-17</t>
  </si>
  <si>
    <t xml:space="preserve">Que Choisir (O. Puren, 19/01/2026) : Hausse de la CSG, vos revenus sont-ils concernés ?</t>
  </si>
  <si>
    <t xml:space="preserve">https://www.quechoisir.org/actualite-hausse-de-la-csg-vos-revenus-sont-ils-concernes-n173786/</t>
  </si>
  <si>
    <t xml:space="preserve">presse consommateurs</t>
  </si>
  <si>
    <t xml:space="preserve">R3-18</t>
  </si>
  <si>
    <t xml:space="preserve">Simon Associés, Lettre de la fiscalité février 2026 : loi de finances pour 2026 (n° 2026-103 du 19/02/2026) (PDF ouvert, texte extrait localement)</t>
  </si>
  <si>
    <t xml:space="preserve">https://simonassocies.com/wp-content/uploads/2026/02/Lettre-de-la-Fiscalite-Fevrier-2026-Loi-de-finances-VDEF-1.pdf</t>
  </si>
  <si>
    <t xml:space="preserve">cabinet d'avocats</t>
  </si>
  <si>
    <t xml:space="preserve">Q5 holdings, Q1, Q6</t>
  </si>
  <si>
    <t xml:space="preserve">R3-19</t>
  </si>
  <si>
    <t xml:space="preserve">Eurex (ATH), Les principales mesures de la loi de finances 2026, février 2026 (PDF ouvert, texte extrait localement)</t>
  </si>
  <si>
    <t xml:space="preserve">https://www.eurex.fr/wp-content/uploads/2026/02/Eurex-Les-principales-mesures-de-la-loi-de-finances-2026-Fev-2026.pdf</t>
  </si>
  <si>
    <t xml:space="preserve">cabinet d'expertise comptable</t>
  </si>
  <si>
    <t xml:space="preserve">Q5 holdings</t>
  </si>
  <si>
    <t xml:space="preserve">R3-20</t>
  </si>
  <si>
    <t xml:space="preserve">Service-public Entreprendre : Impôt sur les sociétés (IS) : taux, déclaration, paiement (F23575, vérifié le 17/02/2026)</t>
  </si>
  <si>
    <t xml:space="preserve">https://entreprendre.service-public.gouv.fr/vosdroits/F23575</t>
  </si>
  <si>
    <t xml:space="preserve">Q5 IS</t>
  </si>
  <si>
    <t xml:space="preserve">R3-21</t>
  </si>
  <si>
    <t xml:space="preserve">Assemblée nationale, question écrite n° 4099 (R. Ramos) et réponse du ministère de l'Économie (JO 14/02/2023) : TVA 5,5 % des centres équestres (PDF, texte extrait)</t>
  </si>
  <si>
    <t xml:space="preserve">https://questions.assemblee-nationale.fr/dyn/16/questions/QANR5L16QE4099.pdf</t>
  </si>
  <si>
    <t xml:space="preserve">réponse ministérielle</t>
  </si>
  <si>
    <t xml:space="preserve">Q6 TVA équestre</t>
  </si>
  <si>
    <t xml:space="preserve">R3-22</t>
  </si>
  <si>
    <t xml:space="preserve">BOFiP BOI-TVA-SECT-80-10-30-50-20260325 : taux de TVA applicables aux opérations portant sur les équidés (version en vigueur depuis le 25/03/2026)</t>
  </si>
  <si>
    <t xml:space="preserve">https://bofip.impots.gouv.fr/bofip/9265-PGP.html/identifiant=BOI-TVA-SECT-80-10-30-50-20260325</t>
  </si>
  <si>
    <t xml:space="preserve">R3-23</t>
  </si>
  <si>
    <t xml:space="preserve">BOFiP BOI-TVA-LIQ-30-20-50-20251203 : taux réduit de 10 % des droits d'admission (expositions, sites, monuments) (version en vigueur depuis le 03/12/2025)</t>
  </si>
  <si>
    <t xml:space="preserve">https://bofip.impots.gouv.fr/bofip/250-PGP.html/identifiant=BOI-TVA-LIQ-30-20-50-20251203</t>
  </si>
  <si>
    <t xml:space="preserve">Q6 TVA visites, location de salles</t>
  </si>
  <si>
    <t xml:space="preserve">R3-24</t>
  </si>
  <si>
    <t xml:space="preserve">Service-public Entreprendre : Taux de TVA dans le secteur de l'hébergement et de l'hôtellerie (F37288, vérifié le 01/01/2024)</t>
  </si>
  <si>
    <t xml:space="preserve">https://entreprendre.service-public.gouv.fr/vosdroits/F37288</t>
  </si>
  <si>
    <t xml:space="preserve">Q6 TVA hébergement</t>
  </si>
  <si>
    <t xml:space="preserve">R3-25</t>
  </si>
  <si>
    <t xml:space="preserve">Service-public Entreprendre : Taux de TVA dans le secteur agricole (F37786, vérifié le 21/02/2026)</t>
  </si>
  <si>
    <t xml:space="preserve">https://entreprendre.service-public.gouv.fr/vosdroits/F37786</t>
  </si>
  <si>
    <t xml:space="preserve">Q6 TVA agricole</t>
  </si>
  <si>
    <t xml:space="preserve">R3-26</t>
  </si>
  <si>
    <t xml:space="preserve">Service-public Entreprendre : Taux de TVA dans le secteur des loisirs (culture, sport, etc.) (F37605, vérifié le 11/08/2026)</t>
  </si>
  <si>
    <t xml:space="preserve">https://entreprendre.service-public.gouv.fr/vosdroits/F37605</t>
  </si>
  <si>
    <t xml:space="preserve">Q6 TVA loisirs, équestre</t>
  </si>
  <si>
    <t xml:space="preserve">R3-27</t>
  </si>
  <si>
    <t xml:space="preserve">Service-public Entreprendre : Franchise en base de TVA (F21746, vérifié le 01/01/2026)</t>
  </si>
  <si>
    <t xml:space="preserve">https://entreprendre.service-public.gouv.fr/vosdroits/F21746</t>
  </si>
  <si>
    <t xml:space="preserve">Q6 franchise TVA</t>
  </si>
  <si>
    <t xml:space="preserve">R3-28</t>
  </si>
  <si>
    <t xml:space="preserve">Service-public Entreprendre : Conditions d'application du statut du bail à ferme (ou bail rural) (F38953, vérifié le 16/06/2025)</t>
  </si>
  <si>
    <t xml:space="preserve">https://entreprendre.service-public.gouv.fr/vosdroits/F38953</t>
  </si>
  <si>
    <t xml:space="preserve">Q7 bail rural</t>
  </si>
  <si>
    <t xml:space="preserve">R3-29</t>
  </si>
  <si>
    <t xml:space="preserve">Service-public Entreprendre : Taux de TVA sur les produits alimentaires et les boissons (F22399, vérifié le 03/12/2025)</t>
  </si>
  <si>
    <t xml:space="preserve">https://entreprendre.service-public.gouv.fr/vosdroits/F22399</t>
  </si>
  <si>
    <t xml:space="preserve">Q6 TVA restauration</t>
  </si>
  <si>
    <t xml:space="preserve">R3-30</t>
  </si>
  <si>
    <t xml:space="preserve">Service-public Entreprendre : Taux de TVA dans le secteur des énergies et des déchets (F37826, vérifié le 21/02/2026)</t>
  </si>
  <si>
    <t xml:space="preserve">https://entreprendre.service-public.gouv.fr/vosdroits/F37826</t>
  </si>
  <si>
    <t xml:space="preserve">Q6 TVA énergie</t>
  </si>
  <si>
    <t xml:space="preserve">R3-31</t>
  </si>
  <si>
    <t xml:space="preserve">Service-public Entreprendre : Hébergement touristique et micro-entreprise : règles applicables aux revenus 2025 (F39451, vérifié le 21/02/2026)</t>
  </si>
  <si>
    <t xml:space="preserve">https://entreprendre.service-public.gouv.fr/vosdroits/F39451</t>
  </si>
  <si>
    <t xml:space="preserve">Q5 meublés</t>
  </si>
  <si>
    <t xml:space="preserve">R3-32</t>
  </si>
  <si>
    <t xml:space="preserve">Service-public Entreprendre : Régime fiscal du loueur en meublé professionnel (LMP) (F32805, vérifié le 21/02/2026)</t>
  </si>
  <si>
    <t xml:space="preserve">https://entreprendre.service-public.gouv.fr/vosdroits/F32805</t>
  </si>
  <si>
    <t xml:space="preserve">R3-33</t>
  </si>
  <si>
    <t xml:space="preserve">Service-public Entreprendre : Régime fiscal de la micro-entreprise (F23267, vérifié le 13/05/2026)</t>
  </si>
  <si>
    <t xml:space="preserve">https://entreprendre.service-public.gouv.fr/vosdroits/F23267</t>
  </si>
  <si>
    <t xml:space="preserve">Q5 micro-BIC</t>
  </si>
  <si>
    <t xml:space="preserve">R3-34</t>
  </si>
  <si>
    <t xml:space="preserve">Service-public Entreprendre, actualité A17883 (26/11/2024, mise à jour 20/01/2025) : Locations touristiques, loi n° 2024-1039 du 19/11/2024</t>
  </si>
  <si>
    <t xml:space="preserve">https://entreprendre.service-public.gouv.fr/actualites/A17883</t>
  </si>
  <si>
    <t xml:space="preserve">Q5 meublés Le Meur</t>
  </si>
  <si>
    <t xml:space="preserve">R3-35</t>
  </si>
  <si>
    <t xml:space="preserve">Service-public Entreprendre : Ouvrir une chambre d'hôtes (F17452, vérifié le 21/05/2026)</t>
  </si>
  <si>
    <t xml:space="preserve">https://entreprendre.service-public.gouv.fr/vosdroits/F17452</t>
  </si>
  <si>
    <t xml:space="preserve">Q5 chambres d'hôtes</t>
  </si>
  <si>
    <t xml:space="preserve">R3-36</t>
  </si>
  <si>
    <t xml:space="preserve">Service-public : Impôt sur le revenu - Revenus d'une location meublée (F32744, vérifié le 15/04/2026)</t>
  </si>
  <si>
    <t xml:space="preserve">https://www.service-public.gouv.fr/particuliers/vosdroits/F32744</t>
  </si>
  <si>
    <t xml:space="preserve">Q5 LMNP</t>
  </si>
  <si>
    <t xml:space="preserve">R3-37</t>
  </si>
  <si>
    <t xml:space="preserve">Service-public : Impôt sur le revenu - Plus-value immobilière (F10864)</t>
  </si>
  <si>
    <t xml:space="preserve">https://www.service-public.gouv.fr/particuliers/vosdroits/F10864</t>
  </si>
  <si>
    <t xml:space="preserve">Q5 LMNP plus-value</t>
  </si>
  <si>
    <t xml:space="preserve">R3-38</t>
  </si>
  <si>
    <t xml:space="preserve">Service-public Entreprendre : Qu'est-ce qu'un établissement recevant du public (ERP) ? (F32351, vérifié le 26/09/2025)</t>
  </si>
  <si>
    <t xml:space="preserve">https://entreprendre.service-public.gouv.fr/vosdroits/F32351</t>
  </si>
  <si>
    <t xml:space="preserve">Q8 ERP</t>
  </si>
  <si>
    <t xml:space="preserve">R3-39</t>
  </si>
  <si>
    <t xml:space="preserve">Service-public Entreprendre : Règles de sécurité incendie d'un ERP (F31684, vérifié le 30/04/2025)</t>
  </si>
  <si>
    <t xml:space="preserve">https://entreprendre.service-public.gouv.fr/vosdroits/F31684</t>
  </si>
  <si>
    <t xml:space="preserve">R3-40</t>
  </si>
  <si>
    <t xml:space="preserve">Service-public Entreprendre : Accessibilité d'un établissement recevant du public (ERP) (F32873, vérifié le 28/11/2025)</t>
  </si>
  <si>
    <t xml:space="preserve">https://entreprendre.service-public.gouv.fr/vosdroits/F32873</t>
  </si>
  <si>
    <t xml:space="preserve">Q8 accessibilité</t>
  </si>
  <si>
    <t xml:space="preserve">R3-41</t>
  </si>
  <si>
    <t xml:space="preserve">Service-public : Peut-on construire ou aménager un terrain en zone agricole ? (F924, vérifié le 11/04/2025)</t>
  </si>
  <si>
    <t xml:space="preserve">https://www.service-public.gouv.fr/particuliers/vosdroits/F924</t>
  </si>
  <si>
    <t xml:space="preserve">Q8 urbanisme</t>
  </si>
  <si>
    <t xml:space="preserve">R3-42</t>
  </si>
  <si>
    <t xml:space="preserve">Service-public Entreprendre : Mécénat d'entreprise : dons en faveur d'organismes sans but lucratif (F22263, vérifié le 20/07/2026)</t>
  </si>
  <si>
    <t xml:space="preserve">https://entreprendre.service-public.gouv.fr/vosdroits/F22263</t>
  </si>
  <si>
    <t xml:space="preserve">Q4 mécénat entreprise</t>
  </si>
  <si>
    <t xml:space="preserve">R3-43</t>
  </si>
  <si>
    <t xml:space="preserve">BOFiP BOI-IR-RICI-250-10-10-20170510 : dons des particuliers, conditions générales (intérêt général, cercle restreint)</t>
  </si>
  <si>
    <t xml:space="preserve">https://bofip.impots.gouv.fr/bofip/5825-PGP</t>
  </si>
  <si>
    <t xml:space="preserve">Q4 mécénat, fonds de dotation</t>
  </si>
  <si>
    <t xml:space="preserve">R3-44</t>
  </si>
  <si>
    <t xml:space="preserve">Eurojuris (F. Maillard, cabinet 1927 Avocats, 13/05/2024) : décret n° 2024-318 du 8 avril 2024 sur l'agrivoltaïsme</t>
  </si>
  <si>
    <t xml:space="preserve">https://www.eurojuris.fr/categories/environnement-10300/articles/devret-installations-agrivoltaisme-42454.htm</t>
  </si>
  <si>
    <t xml:space="preserve">réseau d'avocats</t>
  </si>
  <si>
    <t xml:space="preserve">Q8 agrivoltaïsme</t>
  </si>
  <si>
    <t xml:space="preserve">R3-45</t>
  </si>
  <si>
    <t xml:space="preserve">Eurojuris (L. Bézie, 06/11/2013) : Le bail rural et les activités équestres</t>
  </si>
  <si>
    <t xml:space="preserve">https://www.eurojuris.fr/actualites-juridiques/actualites-juridiques-entreprises/droit-gestion-entreprise/droit-construction-immobilier/articles/bail-rural-activites-equestres-1252.htm</t>
  </si>
  <si>
    <t xml:space="preserve">R3-46</t>
  </si>
  <si>
    <t xml:space="preserve">Le Monde du Droit (06/07/2009) : Cass. 3e civ., 13 mai 2009, n° 08-16.421 : l'activité de gardiennage de chevaux ne relève pas du statut des baux ruraux</t>
  </si>
  <si>
    <t xml:space="preserve">https://www.lemondedudroit.fr/affaires/275-baux-commerciaux/26774-lactivite-de-gardiennage-de-chevaux-ne-releve-pas-du-statut-des-baux-ruraux.html</t>
  </si>
  <si>
    <t xml:space="preserve">presse juridique</t>
  </si>
  <si>
    <t xml:space="preserve">R3-47</t>
  </si>
  <si>
    <t xml:space="preserve">Doctrine.fr : CA Amiens, 6 décembre 2016 (confirmation d'un jugement du tribunal paritaire de Senlis, requalification portant sur 14 boxes, une sellerie et un paddock) — vu en résultat de recherche</t>
  </si>
  <si>
    <t xml:space="preserve">https://www.doctrine.fr/d/CA/Amiens/2016/C02FDF2E7E57DAA8A3C38</t>
  </si>
  <si>
    <t xml:space="preserve">base de jurisprudence</t>
  </si>
  <si>
    <t xml:space="preserve">R3-48</t>
  </si>
  <si>
    <t xml:space="preserve">Assemblée nationale, question écrite n° 31336 (Y. Braun-Pivet) et réponse du ministère de la Justice (JO 03/11/2020) : sous-location des boxes d'écuries dans le cadre du bail rural (PDF, texte extrait)</t>
  </si>
  <si>
    <t xml:space="preserve">https://questions.assemblee-nationale.fr/dyn/15/questions/QANR5L15QE31336.pdf</t>
  </si>
  <si>
    <t xml:space="preserve">R3-49</t>
  </si>
  <si>
    <t xml:space="preserve">Service-public : Demande d'autorisation spéciale de travaux en abords de monuments historiques ou dans un site patrimonial remarquable (cerfa 16291*01, R65385, vérifié le 12/06/2026)</t>
  </si>
  <si>
    <t xml:space="preserve">https://www.service-public.gouv.fr/particuliers/vosdroits/R65385</t>
  </si>
  <si>
    <t xml:space="preserve">Q8 abords</t>
  </si>
  <si>
    <t xml:space="preserve">R3-50</t>
  </si>
  <si>
    <t xml:space="preserve">Ministère de la Culture : Protéger des immeubles au titre des monuments historiques (effets de la protection)</t>
  </si>
  <si>
    <t xml:space="preserve">https://www.culture.gouv.fr/Thematiques/Monuments-Sites/Interventions-demarches/Proteger-un-objet-un-immeuble-un-espace/Proteger-des-immeubles-au-titre-des-monuments-historiques</t>
  </si>
  <si>
    <t xml:space="preserve">site officiel ministère</t>
  </si>
  <si>
    <t xml:space="preserve">Q8 travaux MH</t>
  </si>
  <si>
    <t xml:space="preserve">R3-51</t>
  </si>
  <si>
    <t xml:space="preserve">Ministère de la Culture : Les abords des monuments historiques</t>
  </si>
  <si>
    <t xml:space="preserve">https://www.culture.gouv.fr/thematiques/monuments-sites/monuments-historiques-sites-patrimoniaux/les-abords-des-monuments-historiques</t>
  </si>
  <si>
    <t xml:space="preserve">DGS et DGPR (N. Commeau, D. Ollandini), présentation CidB du 05/12/2018 : décret n° 2017-1244 du 7 août 2017 relatif aux bruits et sons amplifiés (PDF, texte extrait)</t>
  </si>
  <si>
    <t xml:space="preserve">https://www.bruit.fr/images/pdf/rennes-5-decembre-2018/commeau-ollandini-cidb-sons-amplifies.pdf</t>
  </si>
  <si>
    <t xml:space="preserve">présentation officielle des ministères (Santé, Écologie)</t>
  </si>
  <si>
    <t xml:space="preserve">Q8 bruit</t>
  </si>
  <si>
    <t xml:space="preserve">R3-53</t>
  </si>
  <si>
    <t xml:space="preserve">Seban Avocats (09/11/2017) : Reconnaissance de la puissance fondée en titre d'une microcentrale hydroélectrique (CAA Nantes, 29/09/2017, n° 16NT00251)</t>
  </si>
  <si>
    <t xml:space="preserve">https://www.seban-associes.avocat.fr/?p=89263</t>
  </si>
  <si>
    <t xml:space="preserve">Q8 hydro</t>
  </si>
  <si>
    <t xml:space="preserve">R3-54</t>
  </si>
  <si>
    <t xml:space="preserve">Doctrine.fr : TA Poitiers, 26 décembre 2024 (moulin de Villégats : puissance fondée en titre fixée à 39 kW au lieu de 273 kW demandés) — vu en résultat de recherche</t>
  </si>
  <si>
    <t xml:space="preserve">https://www.doctrine.fr/d/TA/Poitiers/2024/TAC30BB68CA06C3535E01D</t>
  </si>
  <si>
    <t xml:space="preserve">R3-55</t>
  </si>
  <si>
    <t xml:space="preserve">BOFiP BOI-RFPI-CHAMP-30-20-20200812 : revenus fonciers, sociétés (logements mis gratuitement à disposition des associés)</t>
  </si>
  <si>
    <t xml:space="preserve">https://bofip.impots.gouv.fr/bofip/1237-PGP.html/identifiant=BOI-RFPI-CHAMP-30-20-20200812</t>
  </si>
  <si>
    <t xml:space="preserve">Q9 occupation privée</t>
  </si>
  <si>
    <t xml:space="preserve">R3-56</t>
  </si>
  <si>
    <t xml:space="preserve">BOFiP BOI-RPPM-RCM-10-20-20-10-20120912 : revenus distribués, avantages accordés aux associés (acte anormal de gestion)</t>
  </si>
  <si>
    <t xml:space="preserve">https://bofip.impots.gouv.fr/bofip/2362-PGP</t>
  </si>
  <si>
    <t xml:space="preserve">R3-57</t>
  </si>
  <si>
    <t xml:space="preserve">Service-public Entreprendre : Revenus du dirigeant d'une société (F36065, « Vérifié le 26 avril 2024 » mais contenu mentionnant le PFU à 31,4 %)</t>
  </si>
  <si>
    <t xml:space="preserve">https://entreprendre.service-public.gouv.fr/vosdroits/F36065</t>
  </si>
  <si>
    <t xml:space="preserve">Q9 Q5 dirigeant, dividendes</t>
  </si>
  <si>
    <t xml:space="preserve">R3-58</t>
  </si>
  <si>
    <t xml:space="preserve">Service-public : Fonds de dotation (F24469, vérifié le 18/06/2025)</t>
  </si>
  <si>
    <t xml:space="preserve">https://www.service-public.gouv.fr/particuliers/vosdroits/F24469</t>
  </si>
  <si>
    <t xml:space="preserve">Q4 fonds de dotation</t>
  </si>
  <si>
    <t xml:space="preserve">R3-59</t>
  </si>
  <si>
    <t xml:space="preserve">Service-public Entreprendre : Société civile immobilière (SCI) : ce qu'il faut savoir (F38553, vérifié le 07/10/2025)</t>
  </si>
  <si>
    <t xml:space="preserve">https://entreprendre.service-public.gouv.fr/vosdroits/F38553</t>
  </si>
  <si>
    <t xml:space="preserve">Q5 SCI, Q9</t>
  </si>
  <si>
    <t xml:space="preserve">R3-60</t>
  </si>
  <si>
    <t xml:space="preserve">Service-public Entreprendre : Aide à l'embauche de travailleurs saisonniers agricoles (TO-DE) (F31205, vérifié le 23/12/2025)</t>
  </si>
  <si>
    <t xml:space="preserve">https://entreprendre.service-public.gouv.fr/vosdroits/F31205</t>
  </si>
  <si>
    <t xml:space="preserve">Q10 droit du travail</t>
  </si>
  <si>
    <t xml:space="preserve">R3-61</t>
  </si>
  <si>
    <t xml:space="preserve">BOFiP BOI-IS-BASE-10-10-10-10 (version du 26/06/2024) : régime des sociétés mères et filiales, quote-part de frais et charges</t>
  </si>
  <si>
    <t xml:space="preserve">https://bofip.impots.gouv.fr/bofip/1924-PGP</t>
  </si>
  <si>
    <t xml:space="preserve">Q5 mère-fille</t>
  </si>
  <si>
    <t xml:space="preserve">R3-62</t>
  </si>
  <si>
    <t xml:space="preserve">BOFiP BOI-BIC-PVMV-30-10-20170503 : suppression de la condition de droits de vote du régime mère-fille depuis le 03/02/2016 — vu en résultat de recherche</t>
  </si>
  <si>
    <t xml:space="preserve">https://bofip.impots.gouv.fr/bofip/6356-PGP.html/identifiant=BOI-BIC-PVMV-30-10-20170503</t>
  </si>
  <si>
    <t xml:space="preserve">R3-63</t>
  </si>
  <si>
    <t xml:space="preserve">Service-public : Faut-il une autorisation d'urbanisme pour poser des ombrières photovoltaïques ou des panneaux solaires au sol ? (F31923, vérifié le 17/01/2025)</t>
  </si>
  <si>
    <t xml:space="preserve">https://www.service-public.gouv.fr/particuliers/vosdroits/F31923</t>
  </si>
  <si>
    <t xml:space="preserve">Q8 photovoltaïque, secteurs protégés</t>
  </si>
  <si>
    <t xml:space="preserve">R4-01</t>
  </si>
  <si>
    <t xml:space="preserve">API Recherche d'entreprises (annuaire-entreprises, État) - requête « chateau de chenonceau »</t>
  </si>
  <si>
    <t xml:space="preserve">https://recherche-entreprises.api.gouv.fr/search?q=chateau%20de%20chenonceau&amp;per_page=5</t>
  </si>
  <si>
    <t xml:space="preserve">registre officiel (API data.gouv)</t>
  </si>
  <si>
    <t xml:space="preserve">Cas Chenonceau</t>
  </si>
  <si>
    <t xml:space="preserve">R4-02</t>
  </si>
  <si>
    <t xml:space="preserve">API Recherche d'entreprises - requête « vaux le vicomte »</t>
  </si>
  <si>
    <t xml:space="preserve">https://recherche-entreprises.api.gouv.fr/search?q=vaux%20le%20vicomte&amp;per_page=10</t>
  </si>
  <si>
    <t xml:space="preserve">Cas Vaux-le-Vicomte</t>
  </si>
  <si>
    <t xml:space="preserve">R4-03</t>
  </si>
  <si>
    <t xml:space="preserve">API Recherche d'entreprises - requête « chateau de cheverny »</t>
  </si>
  <si>
    <t xml:space="preserve">https://recherche-entreprises.api.gouv.fr/search?q=chateau%20de%20cheverny&amp;per_page=10</t>
  </si>
  <si>
    <t xml:space="preserve">Cas Cheverny</t>
  </si>
  <si>
    <t xml:space="preserve">R4-04</t>
  </si>
  <si>
    <t xml:space="preserve">API Recherche d'entreprises - requête « chateau de villandry »</t>
  </si>
  <si>
    <t xml:space="preserve">https://recherche-entreprises.api.gouv.fr/search?q=chateau%20de%20villandry&amp;per_page=10</t>
  </si>
  <si>
    <t xml:space="preserve">Cas Villandry</t>
  </si>
  <si>
    <t xml:space="preserve">R4-05</t>
  </si>
  <si>
    <t xml:space="preserve">API Recherche d'entreprises - requête « chenonceau »</t>
  </si>
  <si>
    <t xml:space="preserve">https://recherche-entreprises.api.gouv.fr/search?q=chenonceau&amp;per_page=10</t>
  </si>
  <si>
    <t xml:space="preserve">R4-06</t>
  </si>
  <si>
    <t xml:space="preserve">API Recherche d'entreprises - requête « chateau de brissac »</t>
  </si>
  <si>
    <t xml:space="preserve">https://recherche-entreprises.api.gouv.fr/search?q=chateau%20de%20brissac&amp;per_page=10</t>
  </si>
  <si>
    <t xml:space="preserve">Cas Brissac</t>
  </si>
  <si>
    <t xml:space="preserve">R4-07</t>
  </si>
  <si>
    <t xml:space="preserve">API Recherche d'entreprises - requête « courances »</t>
  </si>
  <si>
    <t xml:space="preserve">https://recherche-entreprises.api.gouv.fr/search?q=courances&amp;per_page=15</t>
  </si>
  <si>
    <t xml:space="preserve">Cas Courances</t>
  </si>
  <si>
    <t xml:space="preserve">R4-08</t>
  </si>
  <si>
    <t xml:space="preserve">API Recherche d'entreprises - requête « domaine des etangs » (CP 16310)</t>
  </si>
  <si>
    <t xml:space="preserve">https://recherche-entreprises.api.gouv.fr/search?q=domaine%20des%20etangs&amp;code_postal=16310&amp;per_page=10</t>
  </si>
  <si>
    <t xml:space="preserve">Cas Domaine des Étangs</t>
  </si>
  <si>
    <t xml:space="preserve">R4-09</t>
  </si>
  <si>
    <t xml:space="preserve">API Recherche d'entreprises - requête « ygrande »</t>
  </si>
  <si>
    <t xml:space="preserve">https://recherche-entreprises.api.gouv.fr/search?q=ygrande&amp;per_page=15</t>
  </si>
  <si>
    <t xml:space="preserve">Échec Ygrande</t>
  </si>
  <si>
    <t xml:space="preserve">R4-10</t>
  </si>
  <si>
    <t xml:space="preserve">API Recherche d'entreprises - requête « chateau » CP 03160 (Ygrande, Bourbon-l'Archambault)</t>
  </si>
  <si>
    <t xml:space="preserve">https://recherche-entreprises.api.gouv.fr/search?q=chateau&amp;code_postal=03160&amp;per_page=20</t>
  </si>
  <si>
    <t xml:space="preserve">R4-11</t>
  </si>
  <si>
    <t xml:space="preserve">API Recherche d'entreprises - hôtels (NAF 55.10Z) CP 03160</t>
  </si>
  <si>
    <t xml:space="preserve">https://recherche-entreprises.api.gouv.fr/search?activite_principale=55.10Z&amp;code_postal=03160&amp;per_page=20</t>
  </si>
  <si>
    <t xml:space="preserve">R4-12</t>
  </si>
  <si>
    <t xml:space="preserve">API Recherche d'entreprises - requête « parc de courances »</t>
  </si>
  <si>
    <t xml:space="preserve">https://recherche-entreprises.api.gouv.fr/search?q=parc%20de%20courances&amp;per_page=10</t>
  </si>
  <si>
    <t xml:space="preserve">R4-13</t>
  </si>
  <si>
    <t xml:space="preserve">API Recherche d'entreprises - requête « breteuil » CP 78460</t>
  </si>
  <si>
    <t xml:space="preserve">https://recherche-entreprises.api.gouv.fr/search?q=breteuil&amp;code_postal=78460&amp;per_page=15</t>
  </si>
  <si>
    <t xml:space="preserve">Cas Breteuil</t>
  </si>
  <si>
    <t xml:space="preserve">R4-14</t>
  </si>
  <si>
    <t xml:space="preserve">API Recherche d'entreprises - requête « champ de bataille » CP 27110</t>
  </si>
  <si>
    <t xml:space="preserve">https://recherche-entreprises.api.gouv.fr/search?q=champ%20de%20bataille&amp;code_postal=27110&amp;per_page=15</t>
  </si>
  <si>
    <t xml:space="preserve">Cas Champ de Bataille</t>
  </si>
  <si>
    <t xml:space="preserve">R4-15</t>
  </si>
  <si>
    <t xml:space="preserve">API Recherche d'entreprises - requête « pole international du cheval »</t>
  </si>
  <si>
    <t xml:space="preserve">https://recherche-entreprises.api.gouv.fr/search?q=pole%20international%20du%20cheval&amp;per_page=10</t>
  </si>
  <si>
    <t xml:space="preserve">Cas Pôle international du cheval Deauville</t>
  </si>
  <si>
    <t xml:space="preserve">R4-16</t>
  </si>
  <si>
    <t xml:space="preserve">API Recherche d'entreprises - requête « haras du pin »</t>
  </si>
  <si>
    <t xml:space="preserve">https://recherche-entreprises.api.gouv.fr/search?q=haras%20du%20pin&amp;per_page=10</t>
  </si>
  <si>
    <t xml:space="preserve">Cas Haras du Pin</t>
  </si>
  <si>
    <t xml:space="preserve">R4-17</t>
  </si>
  <si>
    <t xml:space="preserve">API Recherche d'entreprises - requête « haras de jardy »</t>
  </si>
  <si>
    <t xml:space="preserve">https://recherche-entreprises.api.gouv.fr/search?q=haras%20de%20jardy&amp;per_page=10</t>
  </si>
  <si>
    <t xml:space="preserve">Cas Haras de Jardy</t>
  </si>
  <si>
    <t xml:space="preserve">R4-18</t>
  </si>
  <si>
    <t xml:space="preserve">BODACC (API open data DILA) - annonces de la société GROUPE COEUR ET DETENTE (SIREN 421318247, Ygrande)</t>
  </si>
  <si>
    <t xml:space="preserve">https://bodacc-datadila.opendatasoft.com/api/explore/v2.1/catalog/datasets/annonces-commerciales/records?where=registre%20like%20%22421318247%22&amp;limit=20&amp;order_by=dateparution%20desc</t>
  </si>
  <si>
    <t xml:space="preserve">journal officiel (BODACC, API DILA)</t>
  </si>
  <si>
    <t xml:space="preserve">R4-19</t>
  </si>
  <si>
    <t xml:space="preserve">API Recherche d'entreprises - requête « mothe chandeniers »</t>
  </si>
  <si>
    <t xml:space="preserve">https://recherche-entreprises.api.gouv.fr/search?q=mothe%20chandeniers&amp;per_page=10</t>
  </si>
  <si>
    <t xml:space="preserve">Cas Mothe-Chandeniers</t>
  </si>
  <si>
    <t xml:space="preserve">R4-20</t>
  </si>
  <si>
    <t xml:space="preserve">API Recherche d'entreprises - requête « gudanes »</t>
  </si>
  <si>
    <t xml:space="preserve">https://recherche-entreprises.api.gouv.fr/search?q=gudanes&amp;per_page=10</t>
  </si>
  <si>
    <t xml:space="preserve">Cas Gudanes</t>
  </si>
  <si>
    <t xml:space="preserve">R4-21</t>
  </si>
  <si>
    <t xml:space="preserve">API Recherche d'entreprises - requête « motte husson »</t>
  </si>
  <si>
    <t xml:space="preserve">https://recherche-entreprises.api.gouv.fr/search?q=motte%20husson&amp;per_page=10</t>
  </si>
  <si>
    <t xml:space="preserve">Cas Motte-Husson</t>
  </si>
  <si>
    <t xml:space="preserve">R4-22</t>
  </si>
  <si>
    <t xml:space="preserve">API Recherche d'entreprises - société GROUPE COEUR ET DETENTE (SIREN 421318247)</t>
  </si>
  <si>
    <t xml:space="preserve">https://recherche-entreprises.api.gouv.fr/search?q=421318247</t>
  </si>
  <si>
    <t xml:space="preserve">R4-23</t>
  </si>
  <si>
    <t xml:space="preserve">Site du Château d'Ygrande - page d'accueil</t>
  </si>
  <si>
    <t xml:space="preserve">https://www.chateauygrande.fr/</t>
  </si>
  <si>
    <t xml:space="preserve">site du domaine</t>
  </si>
  <si>
    <t xml:space="preserve">R4-24</t>
  </si>
  <si>
    <t xml:space="preserve">Site du Château d'Ygrande - CGU (éditeur du site)</t>
  </si>
  <si>
    <t xml:space="preserve">https://www.chateauygrande.fr/fr/cgu/</t>
  </si>
  <si>
    <t xml:space="preserve">R4-25</t>
  </si>
  <si>
    <t xml:space="preserve">Doctrine - fiche « GROUPE COEUR ET DETENTE (CHATEAU D'YGRANDE) Liquidation judiciaire » (page fermée, vue en résultat de recherche)</t>
  </si>
  <si>
    <t xml:space="preserve">https://www.doctrine.fr/e/ENT4995DA5C55E4022E8C47</t>
  </si>
  <si>
    <t xml:space="preserve">base juridique privée</t>
  </si>
  <si>
    <t xml:space="preserve">R4-26</t>
  </si>
  <si>
    <t xml:space="preserve">API Recherche d'entreprises - requête « haras d etreham »</t>
  </si>
  <si>
    <t xml:space="preserve">https://recherche-entreprises.api.gouv.fr/search?q=haras%20d%20etreham&amp;per_page=10</t>
  </si>
  <si>
    <t xml:space="preserve">Cas Haras d'Étreham</t>
  </si>
  <si>
    <t xml:space="preserve">R4-27</t>
  </si>
  <si>
    <t xml:space="preserve">API Recherche d'entreprises - requête « smith haut lafitte »</t>
  </si>
  <si>
    <t xml:space="preserve">https://recherche-entreprises.api.gouv.fr/search?q=smith%20haut%20lafitte&amp;per_page=10</t>
  </si>
  <si>
    <t xml:space="preserve">Cas Smith Haut Lafitte</t>
  </si>
  <si>
    <t xml:space="preserve">R4-28</t>
  </si>
  <si>
    <t xml:space="preserve">API Recherche d'entreprises - requête « chateau de pommard »</t>
  </si>
  <si>
    <t xml:space="preserve">https://recherche-entreprises.api.gouv.fr/search?q=chateau%20de%20pommard&amp;per_page=10</t>
  </si>
  <si>
    <t xml:space="preserve">Cas Château de Pommard</t>
  </si>
  <si>
    <t xml:space="preserve">R4-29</t>
  </si>
  <si>
    <t xml:space="preserve">API Recherche d'entreprises - requête « domaine de chantilly »</t>
  </si>
  <si>
    <t xml:space="preserve">https://recherche-entreprises.api.gouv.fr/search?q=domaine%20de%20chantilly&amp;per_page=10</t>
  </si>
  <si>
    <t xml:space="preserve">Cas Chantilly</t>
  </si>
  <si>
    <t xml:space="preserve">R4-30</t>
  </si>
  <si>
    <t xml:space="preserve">Wikipédia FR - Château de Vaux-le-Vicomte (lecture partielle, 100 000 premiers caractères)</t>
  </si>
  <si>
    <t xml:space="preserve">https://fr.wikipedia.org/wiki/Château_de_Vaux-le-Vicomte</t>
  </si>
  <si>
    <t xml:space="preserve">encyclopédie collaborative</t>
  </si>
  <si>
    <t xml:space="preserve">R4-31</t>
  </si>
  <si>
    <t xml:space="preserve">France Télévisions (francetvpro) - dossier de presse du documentaire sur Vaux-le-Vicomte, France 5, 19 juin 2016</t>
  </si>
  <si>
    <t xml:space="preserve">https://www.francetvpro.fr/contenu-de-presse/19227</t>
  </si>
  <si>
    <t xml:space="preserve">dossier de presse audiovisuel</t>
  </si>
  <si>
    <t xml:space="preserve">R4-32</t>
  </si>
  <si>
    <t xml:space="preserve">HSE Saint-Pétersbourg - « Classic Manor-Palace of Vaux-Le-Vicomte in the Hands of Three Brothers » (page ouverte sans le contenu - chiffres vus seulement en résultat de recherche)</t>
  </si>
  <si>
    <t xml:space="preserve">https://spb.hse.ru/soc/illuminated/news/229205627.html</t>
  </si>
  <si>
    <t xml:space="preserve">article universitaire (compte rendu)</t>
  </si>
  <si>
    <t xml:space="preserve">R4-33</t>
  </si>
  <si>
    <t xml:space="preserve">Wikipédia FR - Château de Chenonceau (lecture partielle : partie historique seulement)</t>
  </si>
  <si>
    <t xml:space="preserve">https://fr.wikipedia.org/wiki/Château_de_Chenonceau</t>
  </si>
  <si>
    <t xml:space="preserve">Cas Chenonceau (aucun chiffre moderne trouvé)</t>
  </si>
  <si>
    <t xml:space="preserve">R4-34</t>
  </si>
  <si>
    <t xml:space="preserve">API Recherche d'entreprises - filtre « chateau » + NAF 55.10Z (hôtels) + CA &gt;= 1 M€, page 1 (105 résultats au total)</t>
  </si>
  <si>
    <t xml:space="preserve">https://recherche-entreprises.api.gouv.fr/search?q=chateau&amp;activite_principale=55.10Z&amp;ca_min=1000000&amp;per_page=25</t>
  </si>
  <si>
    <t xml:space="preserve">Échantillon châteaux-hôtels</t>
  </si>
  <si>
    <t xml:space="preserve">R4-35</t>
  </si>
  <si>
    <t xml:space="preserve">API Recherche d'entreprises - même filtre, page 2</t>
  </si>
  <si>
    <t xml:space="preserve">https://recherche-entreprises.api.gouv.fr/search?q=chateau&amp;activite_principale=55.10Z&amp;ca_min=1000000&amp;per_page=25&amp;page=2</t>
  </si>
  <si>
    <t xml:space="preserve">R4-36</t>
  </si>
  <si>
    <t xml:space="preserve">ADT Loir-et-Cher - « Repères 2023 » (PDF inaccessible : erreur DNS - contenu vu seulement en résultat de recherche)</t>
  </si>
  <si>
    <t xml:space="preserve">https://static.provoyage.val-de-loire-41.com/wp-content/uploads/2024/06/reperes2023.pdf</t>
  </si>
  <si>
    <t xml:space="preserve">observatoire départemental du tourisme</t>
  </si>
  <si>
    <t xml:space="preserve">Cas Cheverny (fréquentation non communiquée)</t>
  </si>
  <si>
    <t xml:space="preserve">R4-37</t>
  </si>
  <si>
    <t xml:space="preserve">API Recherche d'entreprises - filtre « chateau » + NAF 82.30Z (organisation d'événements) + CA &gt;= 300 k€</t>
  </si>
  <si>
    <t xml:space="preserve">https://recherche-entreprises.api.gouv.fr/search?q=chateau&amp;activite_principale=82.30Z&amp;ca_min=300000&amp;per_page=25</t>
  </si>
  <si>
    <t xml:space="preserve">Échantillon lieux de réception</t>
  </si>
  <si>
    <t xml:space="preserve">R4-38</t>
  </si>
  <si>
    <t xml:space="preserve">API Recherche d'entreprises - filtre « chateau » + NAF 68.20B (location) + CA &gt;= 500 k€</t>
  </si>
  <si>
    <t xml:space="preserve">https://recherche-entreprises.api.gouv.fr/search?q=chateau&amp;activite_principale=68.20B&amp;ca_min=500000&amp;per_page=25</t>
  </si>
  <si>
    <t xml:space="preserve">Échantillon lieux de réception (peu exploitable)</t>
  </si>
  <si>
    <t xml:space="preserve">R4-39</t>
  </si>
  <si>
    <t xml:space="preserve">API Recherche d'entreprises - filtre « haras » + CA &gt;= 1 M€</t>
  </si>
  <si>
    <t xml:space="preserve">https://recherche-entreprises.api.gouv.fr/search?q=haras&amp;ca_min=1000000&amp;per_page=25</t>
  </si>
  <si>
    <t xml:space="preserve">Échantillon haras privés</t>
  </si>
  <si>
    <t xml:space="preserve">R4-40</t>
  </si>
  <si>
    <t xml:space="preserve">API Recherche d'entreprises - filtre « ecurie » + NAF 93.19Z + CA &gt;= 500 k€ (7 résultats)</t>
  </si>
  <si>
    <t xml:space="preserve">https://recherche-entreprises.api.gouv.fr/search?q=ecurie&amp;activite_principale=93.19Z&amp;ca_min=500000&amp;per_page=25</t>
  </si>
  <si>
    <t xml:space="preserve">Échantillon écuries</t>
  </si>
  <si>
    <t xml:space="preserve">R4-41</t>
  </si>
  <si>
    <t xml:space="preserve">Wikipédia FR - Château de la Mothe-Chandeniers (cite Le Point 04/12/2017, Dartagnans, France 3, Challenges, Infogreffe)</t>
  </si>
  <si>
    <t xml:space="preserve">https://fr.wikipedia.org/wiki/Château_de_la_Mothe-Chandeniers</t>
  </si>
  <si>
    <t xml:space="preserve">R4-42</t>
  </si>
  <si>
    <t xml:space="preserve">Wikipédia FR - Puy du Fou (lecture partielle, 100 000 premiers caractères)</t>
  </si>
  <si>
    <t xml:space="preserve">https://fr.wikipedia.org/wiki/Puy_du_Fou</t>
  </si>
  <si>
    <t xml:space="preserve">Cas Puy du Fou</t>
  </si>
  <si>
    <t xml:space="preserve">R4-43</t>
  </si>
  <si>
    <t xml:space="preserve">Wikipédia FR - Château de Gudanes (HTTP 404, page inexistante)</t>
  </si>
  <si>
    <t xml:space="preserve">https://fr.wikipedia.org/wiki/Château_de_Gudanes</t>
  </si>
  <si>
    <t xml:space="preserve">Cas Gudanes (aucune donnée)</t>
  </si>
  <si>
    <t xml:space="preserve">R4-44</t>
  </si>
  <si>
    <t xml:space="preserve">Wikipedia EN - Escape to the Chateau</t>
  </si>
  <si>
    <t xml:space="preserve">https://en.wikipedia.org/wiki/Escape_to_the_Chateau</t>
  </si>
  <si>
    <t xml:space="preserve">R4-45</t>
  </si>
  <si>
    <t xml:space="preserve">Sénat - Question écrite n° 14331 de M. Édouard Courtial (JO Sénat 13/02/2020) et réponse du ministère de la Culture (JO Sénat 10/09/2020) sur le domaine de Chantilly</t>
  </si>
  <si>
    <t xml:space="preserve">https://www.senat.fr/questions/base/2020/qSEQ200214331.html</t>
  </si>
  <si>
    <t xml:space="preserve">texte parlementaire officiel</t>
  </si>
  <si>
    <t xml:space="preserve">R4-46</t>
  </si>
  <si>
    <t xml:space="preserve">Time Out Paris - « Ce monument emblématique à 1h de Paris lance un financement participatif pour sa rénovation à 68 millions d'euros » (09/02/2026, reprend The Independent)</t>
  </si>
  <si>
    <t xml:space="preserve">https://www.timeout.fr/paris/actualites/ce-monument-emblematique-a-1h-de-paris-lance-un-financement-participatif-pour-sa-renovation-a-68-millions-deuros-020926</t>
  </si>
  <si>
    <t xml:space="preserve">presse</t>
  </si>
  <si>
    <t xml:space="preserve">R4-47</t>
  </si>
  <si>
    <t xml:space="preserve">Option Finance - « Le domaine de Chantilly recherche des soutiens » (HTTP 403 - chiffres vus seulement en résultat de recherche)</t>
  </si>
  <si>
    <t xml:space="preserve">https://www.optionfinance.fr/carrieres/le-domaine-de-chantilly-recherche-des-soutiens.html</t>
  </si>
  <si>
    <t xml:space="preserve">presse économique</t>
  </si>
  <si>
    <t xml:space="preserve">R4-48</t>
  </si>
  <si>
    <t xml:space="preserve">Thoroughbred Racing - « How the Covid shutdown has given historic Chantilly such a battering » (HTTP 502 - vu seulement en résultat de recherche)</t>
  </si>
  <si>
    <t xml:space="preserve">https://thoroughbredracing.com/articles/how-covid-shutdown-has-given-historic-chantilly-such-battering</t>
  </si>
  <si>
    <t xml:space="preserve">presse spécialisée</t>
  </si>
  <si>
    <t xml:space="preserve">R4-49</t>
  </si>
  <si>
    <t xml:space="preserve">Robb Report Singapore - « Inside Domaine des Etangs, a French castle reimagined by Auberge » (Chrissie McClatchie, 22/11/2023)</t>
  </si>
  <si>
    <t xml:space="preserve">https://robbreport.com.sg/inside-domaine-des-etangs-a-french-castle-reimagined-by-auberge/</t>
  </si>
  <si>
    <t xml:space="preserve">presse magazine luxe</t>
  </si>
  <si>
    <t xml:space="preserve">R4-50</t>
  </si>
  <si>
    <t xml:space="preserve">Country Life - « Domaine des Etangs review » (vu seulement en résultat de recherche : hôtel depuis 2015, 29 chambres)</t>
  </si>
  <si>
    <t xml:space="preserve">https://countrylife.co.uk/travel/domaine-des-etangs-review-slice-french-heaven-earth-209935</t>
  </si>
  <si>
    <t xml:space="preserve">presse magazine</t>
  </si>
  <si>
    <t xml:space="preserve">R4-51</t>
  </si>
  <si>
    <t xml:space="preserve">La Demeure Historique - « Dossier présidentielle 2022 » (PDF, février 2022 - texte extrait localement du fichier téléchargé par WebFetch)</t>
  </si>
  <si>
    <t xml:space="preserve">https://www.demeure-historique.org/wp-content/uploads/2022/02/Dossier-presidentielle-2022.pdf</t>
  </si>
  <si>
    <t xml:space="preserve">document de plaidoyer d'association (reconnue d'utilité publique)</t>
  </si>
  <si>
    <t xml:space="preserve">Contexte marché / échecs (reventes)</t>
  </si>
  <si>
    <t xml:space="preserve">R4-52</t>
  </si>
  <si>
    <t xml:space="preserve">La Demeure Historique - « 2017-2022 Quels enjeux pour le patrimoine... Sept questions aux candidats aux élections législatives des 11 et 18 juin 2017 » (PDF - texte extrait localement)</t>
  </si>
  <si>
    <t xml:space="preserve">Contexte marché / échecs (reventes) / ERP</t>
  </si>
  <si>
    <t xml:space="preserve">R4-53</t>
  </si>
  <si>
    <t xml:space="preserve">Vie-publique.fr - rapport PDF 277948 sur les monuments détenus par des propriétaires privés (HTTP 503, non lu)</t>
  </si>
  <si>
    <t xml:space="preserve">https://www.vie-publique.fr/sites/default/files/rapport/pdf/277948_0.pdf</t>
  </si>
  <si>
    <t xml:space="preserve">rapport public</t>
  </si>
  <si>
    <t xml:space="preserve">Non utilisé (inaccessible)</t>
  </si>
  <si>
    <t xml:space="preserve">R4-54</t>
  </si>
  <si>
    <t xml:space="preserve">The Connexion - « PHOTOS: 'We wanted a small bolthole but bought a ruined French chateau' » (Gillian Harvey, 05/08/2022, modifié 07/02/2025) - Château de Gudanes</t>
  </si>
  <si>
    <t xml:space="preserve">https://www.connexionfrance.com/news/photos-we-wanted-a-small-bolthole-but-bought-a-ruined-french-chateau/244599</t>
  </si>
  <si>
    <t xml:space="preserve">presse (anglophones en France)</t>
  </si>
  <si>
    <t xml:space="preserve">R4-55</t>
  </si>
  <si>
    <t xml:space="preserve">Companies House (UK) - recherche d'officers « Angela Strawbridge »</t>
  </si>
  <si>
    <t xml:space="preserve">https://find-and-update.company-information.service.gov.uk/search/officers?q=Angela+Strawbridge</t>
  </si>
  <si>
    <t xml:space="preserve">registre officiel britannique</t>
  </si>
  <si>
    <t xml:space="preserve">R4-56</t>
  </si>
  <si>
    <t xml:space="preserve">Companies House - mandats d'Angela Strawbridge (adresse Château de la Motte-Husson)</t>
  </si>
  <si>
    <t xml:space="preserve">https://find-and-update.company-information.service.gov.uk/officers/CJ-8BaNPABN8_uS0D8rWBPg7AA4/appointments</t>
  </si>
  <si>
    <t xml:space="preserve">R4-57</t>
  </si>
  <si>
    <t xml:space="preserve">Companies House - mandat d'Angela Strawbridge (ESCAPE TO THE CHATEAU LIMITED)</t>
  </si>
  <si>
    <t xml:space="preserve">https://find-and-update.company-information.service.gov.uk/officers/4t4q5MHTzVayuPShMtion9kRO5U/appointments</t>
  </si>
  <si>
    <t xml:space="preserve">R4-58</t>
  </si>
  <si>
    <t xml:space="preserve">Companies House - ESCAPE TO THE CHATEAU LIMITED (12032099), fiche société</t>
  </si>
  <si>
    <t xml:space="preserve">https://find-and-update.company-information.service.gov.uk/company/12032099</t>
  </si>
  <si>
    <t xml:space="preserve">R4-59</t>
  </si>
  <si>
    <t xml:space="preserve">Companies House - CHATEAU TELEVISION LIMITED (12462133), historique des dépôts</t>
  </si>
  <si>
    <t xml:space="preserve">https://find-and-update.company-information.service.gov.uk/company/12462133/filing-history</t>
  </si>
  <si>
    <t xml:space="preserve">R4-60</t>
  </si>
  <si>
    <t xml:space="preserve">Companies House - CHATEAU-DE-LA-MOTTE HUSSON LIMITED (10674609), fiche société (dissoute le 08/08/2023)</t>
  </si>
  <si>
    <t xml:space="preserve">https://find-and-update.company-information.service.gov.uk/company/10674609</t>
  </si>
  <si>
    <t xml:space="preserve">R4-61</t>
  </si>
  <si>
    <t xml:space="preserve">Hachette UK - fiche du livre « Living the Château Dream » (vue seulement en résultat de recherche)</t>
  </si>
  <si>
    <t xml:space="preserve">https://www.hachette.co.uk/titles/dick-strawbridge-2/living-the-ch%c3%a2teau-dream/9781841885391/</t>
  </si>
  <si>
    <t xml:space="preserve">éditeur (texte promotionnel)</t>
  </si>
  <si>
    <t xml:space="preserve">R4-62</t>
  </si>
  <si>
    <t xml:space="preserve">Paris ZigZag - « Château de la Mothe-Chandeniers : écolodges » (Mélina Hoffmann, modifié le 09/12/2024)</t>
  </si>
  <si>
    <t xml:space="preserve">https://www.pariszigzag.fr/france/chateau-mothe-chandeniers-ecolodges/</t>
  </si>
  <si>
    <t xml:space="preserve">presse loisirs</t>
  </si>
  <si>
    <t xml:space="preserve">R4-63</t>
  </si>
  <si>
    <t xml:space="preserve">BODACC (API DILA) - annonces de la SAS CHATEAU DE LA MOTHE-CHANDENIERS (SIREN 835113820)</t>
  </si>
  <si>
    <t xml:space="preserve">https://bodacc-datadila.opendatasoft.com/api/explore/v2.1/catalog/datasets/annonces-commerciales/records?where=registre%20like%20%22835113820%22&amp;limit=30&amp;order_by=dateparution%20desc</t>
  </si>
  <si>
    <t xml:space="preserve">R4-64</t>
  </si>
  <si>
    <t xml:space="preserve">France 3 Nouvelle-Aquitaine - article de décembre 2020 sur la 3e campagne (domaine non accessible par WebFetch - cité par Wikipédia)</t>
  </si>
  <si>
    <t xml:space="preserve">https://france3-regions.francetvinfo.fr/nouvelle-aquitaine/vienne/poitiers/vienne-chateau-mothe-chandeniers-se-cherche-nouveau-co-proprietaires-1905192.html</t>
  </si>
  <si>
    <t xml:space="preserve">R4-65</t>
  </si>
  <si>
    <t xml:space="preserve">Acteurs publics - « Polémique sur la possible privatisation du Versailles du cheval » (22/02/2012) - Haras national du Pin</t>
  </si>
  <si>
    <t xml:space="preserve">https://acteurspublics.fr/articles/polemique-sur-la-possible-privatisation-du-versailles-du-cheval/</t>
  </si>
  <si>
    <t xml:space="preserve">presse administration publique</t>
  </si>
  <si>
    <t xml:space="preserve">R4-66</t>
  </si>
  <si>
    <t xml:space="preserve">Sénat - étude d'impact du projet de loi pjl20-709 (dissolution de l'EPA Haras national du Pin) (HTTP 503 à deux reprises - contenu vu seulement en résultat de recherche)</t>
  </si>
  <si>
    <t xml:space="preserve">https://www.senat.fr/leg/etudes-impact/pjl20-709-ei/pjl20-709-ei.pdf</t>
  </si>
  <si>
    <t xml:space="preserve">R4-67</t>
  </si>
  <si>
    <t xml:space="preserve">Ministère de l'Agriculture - document téléchargeable 56428 (budget prévisionnel 2016 du Haras du Pin d'après le résultat de recherche - HTTP 503)</t>
  </si>
  <si>
    <t xml:space="preserve">https://agriculture.gouv.fr/telecharger/56428</t>
  </si>
  <si>
    <t xml:space="preserve">document administratif officiel</t>
  </si>
  <si>
    <t xml:space="preserve">R4-68</t>
  </si>
  <si>
    <t xml:space="preserve">Wikipédia FR - Haras de Jardy (bandeau « sources insuffisantes » depuis 2019)</t>
  </si>
  <si>
    <t xml:space="preserve">https://fr.wikipedia.org/wiki/Haras_de_Jardy</t>
  </si>
  <si>
    <t xml:space="preserve">R4-69</t>
  </si>
  <si>
    <t xml:space="preserve">API Recherche d'entreprises - requête « haras de montaigu »</t>
  </si>
  <si>
    <t xml:space="preserve">https://recherche-entreprises.api.gouv.fr/search?q=haras%20de%20montaigu&amp;per_page=5</t>
  </si>
  <si>
    <t xml:space="preserve">Haras privés normands</t>
  </si>
  <si>
    <t xml:space="preserve">R4-70</t>
  </si>
  <si>
    <t xml:space="preserve">API Recherche d'entreprises - requête « haras du logis saint germain »</t>
  </si>
  <si>
    <t xml:space="preserve">https://recherche-entreprises.api.gouv.fr/search?q=haras%20du%20logis%20saint%20germain&amp;per_page=5</t>
  </si>
  <si>
    <t xml:space="preserve">R4-71</t>
  </si>
  <si>
    <t xml:space="preserve">API Recherche d'entreprises - requête « haras du quesnay »</t>
  </si>
  <si>
    <t xml:space="preserve">https://recherche-entreprises.api.gouv.fr/search?q=haras%20du%20quesnay&amp;per_page=5</t>
  </si>
  <si>
    <t xml:space="preserve">R4-72</t>
  </si>
  <si>
    <t xml:space="preserve">API Recherche d'entreprises - requête « haras de bonneval »</t>
  </si>
  <si>
    <t xml:space="preserve">https://recherche-entreprises.api.gouv.fr/search?q=haras%20de%20bonneval&amp;per_page=5</t>
  </si>
  <si>
    <t xml:space="preserve">R4-73</t>
  </si>
  <si>
    <t xml:space="preserve">API Recherche d'entreprises - requête « haras de fresnay le buffard »</t>
  </si>
  <si>
    <t xml:space="preserve">https://recherche-entreprises.api.gouv.fr/search?q=haras%20de%20fresnay%20le%20buffard&amp;per_page=5</t>
  </si>
  <si>
    <t xml:space="preserve">R4-74</t>
  </si>
  <si>
    <t xml:space="preserve">BODACC (API DILA) - procédures collectives 2023-2026, nom contenant « chateau », jugement contenant « liquidation » (327 annonces) - enregistrements 1 à 100</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</si>
  <si>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</si>
  <si>
    <t xml:space="preserve">Échecs (liquidations)</t>
  </si>
  <si>
    <t xml:space="preserve">R4-75</t>
  </si>
  <si>
    <t xml:space="preserve">BODACC (API DILA) - même requête, enregistrements 101 à 200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</si>
  <si>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</si>
  <si>
    <t xml:space="preserve">R4-76</t>
  </si>
  <si>
    <t xml:space="preserve">BODACC (API DILA) - même requête, enregistrements 201 à 300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</si>
  <si>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</si>
  <si>
    <t xml:space="preserve">R4-77</t>
  </si>
  <si>
    <t xml:space="preserve">Wikipédia FR - Château Smith Haut Lafitte (cite Le Point 29/07/2010)</t>
  </si>
  <si>
    <t xml:space="preserve">https://fr.wikipedia.org/wiki/Château_Smith_Haut_Lafitte</t>
  </si>
  <si>
    <t xml:space="preserve">R4-78</t>
  </si>
  <si>
    <t xml:space="preserve">Wikipédia FR - Château de Pommard (cite Le Figaro, 17/09/2014 - bandeau « sources » 2021)</t>
  </si>
  <si>
    <t xml:space="preserve">https://fr.wikipedia.org/wiki/Château_de_Pommard</t>
  </si>
  <si>
    <t xml:space="preserve">R4-79</t>
  </si>
  <si>
    <t xml:space="preserve">Wikipédia FR - Château du Champ-de-Bataille (cite Le Monde 22/03/2024, actu.fr 2023)</t>
  </si>
  <si>
    <t xml:space="preserve">https://fr.wikipedia.org/wiki/Château_du_Champ-de-Bataille</t>
  </si>
  <si>
    <t xml:space="preserve">R4-80</t>
  </si>
  <si>
    <t xml:space="preserve">Wikipédia FR - Château de Courances</t>
  </si>
  <si>
    <t xml:space="preserve">https://fr.wikipedia.org/wiki/Château_de_Courances</t>
  </si>
  <si>
    <t xml:space="preserve">R4-81</t>
  </si>
  <si>
    <t xml:space="preserve">Site officiel du Domaine de Courances (page d'accueil et navigation)</t>
  </si>
  <si>
    <t xml:space="preserve">https://www.domainedecourances.com</t>
  </si>
  <si>
    <t xml:space="preserve">R4-82</t>
  </si>
  <si>
    <t xml:space="preserve">Wikipédia FR - Château de Breteuil (cite Le Figaro Magazine 2021 sans URL)</t>
  </si>
  <si>
    <t xml:space="preserve">https://fr.wikipedia.org/wiki/Château_de_Breteuil</t>
  </si>
  <si>
    <t xml:space="preserve">R4-83</t>
  </si>
  <si>
    <t xml:space="preserve">Wikipédia FR - Château de Brissac</t>
  </si>
  <si>
    <t xml:space="preserve">https://fr.wikipedia.org/wiki/Château_de_Brissac</t>
  </si>
  <si>
    <t xml:space="preserve">R4-84</t>
  </si>
  <si>
    <t xml:space="preserve">Wikipédia FR - Château de Cheverny (tableau de fréquentation 2011-2016, cite France 3 et ADT 41)</t>
  </si>
  <si>
    <t xml:space="preserve">https://fr.wikipedia.org/wiki/Château_de_Cheverny</t>
  </si>
  <si>
    <t xml:space="preserve">R4-85</t>
  </si>
  <si>
    <t xml:space="preserve">Wikipédia FR - Château de Villandry (lecture partielle)</t>
  </si>
  <si>
    <t xml:space="preserve">https://fr.wikipedia.org/wiki/Château_de_Villandry</t>
  </si>
  <si>
    <t xml:space="preserve">R4-86</t>
  </si>
  <si>
    <t xml:space="preserve">Résultats de recherche « Vaux-le-Vicomte modèle économique » (TourMaG, CNC, Avygeo… - phrases vues seulement dans les extraits : ouverture en 1968, plus de 70 salariés, objectif 400 000 visiteurs en 2020)</t>
  </si>
  <si>
    <t xml:space="preserve">https://www.tourmag.com/Groupes-vivez-une-journee-Grand-Siecle-et-bonnes-manieres-a-Vaux-le-Vicomte_a87719.html</t>
  </si>
  <si>
    <t xml:space="preserve">presse tourisme (extraits)</t>
  </si>
  <si>
    <t xml:space="preserve">R4-87</t>
  </si>
  <si>
    <t xml:space="preserve">Ministère de la Culture (DRAC Centre-Val de Loire) - « Val de Loire Unesco » (11/07/2017), fréquentation de Chenonceau</t>
  </si>
  <si>
    <t xml:space="preserve">https://www.culture.gouv.fr/switchToLanguage/168969/fre-FR</t>
  </si>
  <si>
    <t xml:space="preserve">site officiel ministériel</t>
  </si>
  <si>
    <t xml:space="preserve">R4-88</t>
  </si>
  <si>
    <t xml:space="preserve">MADD Bordeaux - exposition « Paysans designers » : fiche Domaine de Courances (2021-2022)</t>
  </si>
  <si>
    <t xml:space="preserve">https://plan-paysans-designers.madd-bordeaux.fr/en/dans-les-champs/domaine-de-courances-essonne-3/</t>
  </si>
  <si>
    <t xml:space="preserve">site de musée (exposition)</t>
  </si>
  <si>
    <t xml:space="preserve">R4-89</t>
  </si>
  <si>
    <t xml:space="preserve">Résultats de recherche « Courances » (Sortiraparis, Gault&amp;Millau, agroforesterie.fr - PDF en 404) : 1 800 ha moitié bois moitié champs, dix cousins propriétaires, potager bio en 2015, 10 chambres et suites et 2 appartements</t>
  </si>
  <si>
    <t xml:space="preserve">https://www.sortiraparis.com/arts-culture/histoire-patrimoine/articles/283209-le-chateau-et-domaine-de-courances-et-ses-superbes-jardins-remarquables</t>
  </si>
  <si>
    <t xml:space="preserve">presse (extraits)</t>
  </si>
  <si>
    <t xml:space="preserve">R4-90</t>
  </si>
  <si>
    <t xml:space="preserve">Revue Conflits - « Chantilly – Il était une fois les Grandes Écuries… » (Pétronille de Lestrade, 26/09/2021)</t>
  </si>
  <si>
    <t xml:space="preserve">https://www.revueconflits.com/chantilly-il-etait-une-fois-les-grandes-ecuries</t>
  </si>
  <si>
    <t xml:space="preserve">presse (revue)</t>
  </si>
  <si>
    <t xml:space="preserve">Cas Chantilly (équestre)</t>
  </si>
  <si>
    <t xml:space="preserve">R4-91</t>
  </si>
  <si>
    <t xml:space="preserve">Résultats de recherche « Grandes Écuries Chantilly spectacle » (Paris Select Book 2025, Sanef - pages en 403) : distribution et tarifs du spectacle</t>
  </si>
  <si>
    <t xml:space="preserve">https://www.parisselectbook.com/?p=177538</t>
  </si>
  <si>
    <t xml:space="preserve">presse loisirs (extraits)</t>
  </si>
  <si>
    <t xml:space="preserve">R4-92</t>
  </si>
  <si>
    <t xml:space="preserve">API Recherche d'entreprises - requête « haras de la cense »</t>
  </si>
  <si>
    <t xml:space="preserve">https://recherche-entreprises.api.gouv.fr/search?q=haras%20de%20la%20cense&amp;per_page=5</t>
  </si>
  <si>
    <t xml:space="preserve">Domaines équestres privés</t>
  </si>
  <si>
    <t xml:space="preserve">R4-93</t>
  </si>
  <si>
    <t xml:space="preserve">API Recherche d'entreprises - requête « domaine equestre » + CA &gt;= 300 k€</t>
  </si>
  <si>
    <t xml:space="preserve">https://recherche-entreprises.api.gouv.fr/search?q=domaine%20equestre&amp;ca_min=300000&amp;per_page=25</t>
  </si>
  <si>
    <t xml:space="preserve">R4-94</t>
  </si>
  <si>
    <t xml:space="preserve">The Independent (via Yahoo News) - « Channel 4 severs ties with Escape to the Chateau stars » (Tom Murray, 20/05/2023)</t>
  </si>
  <si>
    <t xml:space="preserve">https://sg.news.yahoo.com/channel-4-severs-ties-escape-055036949.html</t>
  </si>
  <si>
    <t xml:space="preserve">presse nationale britannique</t>
  </si>
  <si>
    <t xml:space="preserve">Cas Motte-Husson (difficultés)</t>
  </si>
  <si>
    <t xml:space="preserve">R4-95</t>
  </si>
  <si>
    <t xml:space="preserve">Yorkshire Evening Post - « Channel 4 drops Escape to the Chateau stars Dick and Angel Strawbridge after bullying claims » (HTTP 403 - vu seulement en résultat de recherche)</t>
  </si>
  <si>
    <t xml:space="preserve">https://www.yorkshireeveningpost.co.uk/read-this/channel-4-drops-escape-to-the-chateau-stars-dick-and-angel-strawbridge-4147890</t>
  </si>
  <si>
    <t xml:space="preserve">presse régionale britannique</t>
  </si>
  <si>
    <t xml:space="preserve">R5-01</t>
  </si>
  <si>
    <t xml:space="preserve">The Goodwood Estate Company Limited - Group strategic report and audited consolidated financial statements year ended 31 December 2025 (PDF Companies House)</t>
  </si>
  <si>
    <t xml:space="preserve">https://find-and-update.company-information.service.gov.uk/company/00553452/filing-history/MzU0OTg3NDM4MGFkaXF6a2N4/document?format=pdf&amp;download=0</t>
  </si>
  <si>
    <t xml:space="preserve">comptes annuels audités (registre officiel)</t>
  </si>
  <si>
    <t xml:space="preserve">R5 §1.1</t>
  </si>
  <si>
    <t xml:space="preserve">R5-02</t>
  </si>
  <si>
    <t xml:space="preserve">Companies House - historique des dépôts de comptes de The Goodwood Estate Company Limited (00553452)</t>
  </si>
  <si>
    <t xml:space="preserve">https://find-and-update.company-information.service.gov.uk/company/00553452/filing-history?category=accounts</t>
  </si>
  <si>
    <t xml:space="preserve">registre officiel</t>
  </si>
  <si>
    <t xml:space="preserve">R5-03</t>
  </si>
  <si>
    <t xml:space="preserve">Blenheim Palace Heritage Foundation - Report of the Trustees and consolidated financial statements year ended 31 March 2025 (PDF Companies House)</t>
  </si>
  <si>
    <t xml:space="preserve">https://find-and-update.company-information.service.gov.uk/company/09430048/filing-history/MzQ4ODEzMTc4M2FkaXF6a2N4/document?format=pdf&amp;download=0</t>
  </si>
  <si>
    <t xml:space="preserve">comptes annuels audités de charity (registre officiel)</t>
  </si>
  <si>
    <t xml:space="preserve">R5 §1.2</t>
  </si>
  <si>
    <t xml:space="preserve">R5-04</t>
  </si>
  <si>
    <t xml:space="preserve">Companies House - historique des dépôts de comptes de Blenheim Palace Heritage Foundation (09430048)</t>
  </si>
  <si>
    <t xml:space="preserve">https://find-and-update.company-information.service.gov.uk/company/09430048/filing-history?category=accounts</t>
  </si>
  <si>
    <t xml:space="preserve">R5-05</t>
  </si>
  <si>
    <t xml:space="preserve">Chatsworth House Trust - Council of Management's report and consolidated financial statements year ended 31 March 2025 (PDF Companies House)</t>
  </si>
  <si>
    <t xml:space="preserve">https://find-and-update.company-information.service.gov.uk/company/01541046/filing-history/MzQ5MDAzMTU2MmFkaXF6a2N4/document?format=pdf&amp;download=0</t>
  </si>
  <si>
    <t xml:space="preserve">R5 §1.3</t>
  </si>
  <si>
    <t xml:space="preserve">R5-06</t>
  </si>
  <si>
    <t xml:space="preserve">Companies House - historique des dépôts de comptes de Chatsworth House Trust (01541046)</t>
  </si>
  <si>
    <t xml:space="preserve">https://find-and-update.company-information.service.gov.uk/company/01541046/filing-history?category=accounts</t>
  </si>
  <si>
    <t xml:space="preserve">R5-07</t>
  </si>
  <si>
    <t xml:space="preserve">Burghley House Preservation Trust Limited - Annual Report 2026 and consolidated financial statements year ended 31 January 2026 (PDF Companies House)</t>
  </si>
  <si>
    <t xml:space="preserve">https://find-and-update.company-information.service.gov.uk/company/00951524/filing-history/MzUzOTA5NTUzNmFkaXF6a2N4/document?format=pdf&amp;download=0</t>
  </si>
  <si>
    <t xml:space="preserve">R5 §1.4</t>
  </si>
  <si>
    <t xml:space="preserve">R5-08</t>
  </si>
  <si>
    <t xml:space="preserve">Burghley Horse Trials Limited - Directors' report and financial statements year ended 31 January 2026 (PDF Companies House)</t>
  </si>
  <si>
    <t xml:space="preserve">https://find-and-update.company-information.service.gov.uk/company/07087188/filing-history/MzUzOTA5MjA4M2FkaXF6a2N4/document?format=pdf&amp;download=0</t>
  </si>
  <si>
    <t xml:space="preserve">R5-09</t>
  </si>
  <si>
    <t xml:space="preserve">Companies House - recherches internes et historiques de dépôts (Burghley 00951524, Burghley Horse Trials 07087188, Badminton Horse Trials 03270324, liste des sociétés de concours complet dissoutes)</t>
  </si>
  <si>
    <t xml:space="preserve">https://find-and-update.company-information.service.gov.uk/search/companies?q=burghley+horse+trials</t>
  </si>
  <si>
    <t xml:space="preserve">R5 §1.4 §1.5</t>
  </si>
  <si>
    <t xml:space="preserve">R5-10</t>
  </si>
  <si>
    <t xml:space="preserve">Badminton Horse Trials Ltd - Total exemption full accounts 30 September 2025 (PDF Companies House)</t>
  </si>
  <si>
    <t xml:space="preserve">https://find-and-update.company-information.service.gov.uk/company/03270324/filing-history/MzUyMTI2NzYwNGFkaXF6a2N4/document?format=pdf&amp;download=0</t>
  </si>
  <si>
    <t xml:space="preserve">comptes annuels (registre officiel)</t>
  </si>
  <si>
    <t xml:space="preserve">R5 §1.5</t>
  </si>
  <si>
    <t xml:space="preserve">R5-11</t>
  </si>
  <si>
    <t xml:space="preserve">Castle Howard Estate Limited - Strategic report and audited financial statements year ended 31 January 2025 (PDF Companies House)</t>
  </si>
  <si>
    <t xml:space="preserve">https://find-and-update.company-information.service.gov.uk/company/00480214/filing-history/MzQ4NTM0NjMxOGFkaXF6a2N4/document?format=pdf&amp;download=0</t>
  </si>
  <si>
    <t xml:space="preserve">R5 §1.6</t>
  </si>
  <si>
    <t xml:space="preserve">R5-12</t>
  </si>
  <si>
    <t xml:space="preserve">Longleat Enterprises Limited - Strategic report and audited financial statements year ended 31 December 2025 (PDF Companies House)</t>
  </si>
  <si>
    <t xml:space="preserve">https://find-and-update.company-information.service.gov.uk/company/00789512/filing-history/MzU0NDU1MzI2NWFkaXF6a2N4/document?format=pdf&amp;download=0</t>
  </si>
  <si>
    <t xml:space="preserve">R5 §1.7</t>
  </si>
  <si>
    <t xml:space="preserve">R5-13</t>
  </si>
  <si>
    <t xml:space="preserve">Highclere Enterprises LLP - Filleted unaudited financial statements year ended 31 March 2025 (PDF Companies House)</t>
  </si>
  <si>
    <t xml:space="preserve">https://find-and-update.company-information.service.gov.uk/company/OC305641/filing-history/MzUxMjQ5NDk3MWFkaXF6a2N4/document?format=pdf&amp;download=0</t>
  </si>
  <si>
    <t xml:space="preserve">R5 §1.8</t>
  </si>
  <si>
    <t xml:space="preserve">R5-14</t>
  </si>
  <si>
    <t xml:space="preserve">Northumberland Estates Limited - Group strategic report and audited consolidated financial statements year ended 31 March 2026 (PDF Companies House)</t>
  </si>
  <si>
    <t xml:space="preserve">https://find-and-update.company-information.service.gov.uk/company/05941545/filing-history/MzU0NTg2NTU3M2FkaXF6a2N4/document?format=pdf&amp;download=0</t>
  </si>
  <si>
    <t xml:space="preserve">R5 §1.9</t>
  </si>
  <si>
    <t xml:space="preserve">R5-15</t>
  </si>
  <si>
    <t xml:space="preserve">Historic Houses - The economic, social and cultural impact of independent historic houses (UK key stats 2025, PDF)</t>
  </si>
  <si>
    <t xml:space="preserve">https://cdn.historichouses.org/app/uploads/2025/04/05-uk-key-stats-2025-v5.pdf</t>
  </si>
  <si>
    <t xml:space="preserve">fiche statistique d'association professionnelle (enquête membres)</t>
  </si>
  <si>
    <t xml:space="preserve">R5 §1.10</t>
  </si>
  <si>
    <t xml:space="preserve">R5-16</t>
  </si>
  <si>
    <t xml:space="preserve">Museums Association - New report highlights ongoing risk of repair backlog at historic houses (18/11/2025)</t>
  </si>
  <si>
    <t xml:space="preserve">presse professionnelle</t>
  </si>
  <si>
    <t xml:space="preserve">R5-17</t>
  </si>
  <si>
    <t xml:space="preserve">HMRC Trusts, Settlements and Estates Manual - TSEM5800 Heritage maintenance funds</t>
  </si>
  <si>
    <t xml:space="preserve">https://www.gov.uk/hmrc-internal-manuals/trusts-settlements-and-estates-manual/tsem5800</t>
  </si>
  <si>
    <t xml:space="preserve">texte administratif officiel</t>
  </si>
  <si>
    <t xml:space="preserve">R5-18</t>
  </si>
  <si>
    <t xml:space="preserve">HMRC Inheritance Tax Manual - IHTM11250 Exemptions: maintenance funds</t>
  </si>
  <si>
    <t xml:space="preserve">https://www.gov.uk/hmrc-internal-manuals/inheritance-tax-manual/ihtm11250</t>
  </si>
  <si>
    <t xml:space="preserve">R5-19</t>
  </si>
  <si>
    <t xml:space="preserve">HMRC - Guidance on capital taxation and the national heritage (chapitre 8 Maintenance Funds, mise à jour 23/08/2024)</t>
  </si>
  <si>
    <t xml:space="preserve">https://www.gov.uk/government/publications/capital-taxation-and-tax-exempt-heritage-assets/guidance-on-capital-taxation-and-the-national-heritage</t>
  </si>
  <si>
    <t xml:space="preserve">guide administratif officiel</t>
  </si>
  <si>
    <t xml:space="preserve">R5-20</t>
  </si>
  <si>
    <t xml:space="preserve">Spear's - How Lady Carnarvon turned Highclere Castle, the real Downton Abbey, into one of the most successful country homes (07/02/2022)</t>
  </si>
  <si>
    <t xml:space="preserve">https://spearswms.com/wealth/highclere-castle-lady-carnarvon/</t>
  </si>
  <si>
    <t xml:space="preserve">presse économique (entretien)</t>
  </si>
  <si>
    <t xml:space="preserve">R5 §1.11</t>
  </si>
  <si>
    <t xml:space="preserve">R5-21</t>
  </si>
  <si>
    <t xml:space="preserve">The Irish National Stud DAC - Consolidated financial statements 2024 (PDF)</t>
  </si>
  <si>
    <t xml:space="preserve">https://irishnationalstud.ie/wp-content/uploads/2025/07/INS-CONSOL-Typesigned_-FY24.pdf</t>
  </si>
  <si>
    <t xml:space="preserve">comptes annuels audités (société publique)</t>
  </si>
  <si>
    <t xml:space="preserve">R5 §2.1</t>
  </si>
  <si>
    <t xml:space="preserve">R5-22</t>
  </si>
  <si>
    <t xml:space="preserve">The Irish Field - Irish National Stud posts improved results (10/07/2026)</t>
  </si>
  <si>
    <t xml:space="preserve">https://www.theirishfield.ie/amp/bloodstock/news/irish-national-stud-posts-improved-results-923266</t>
  </si>
  <si>
    <t xml:space="preserve">R5-23</t>
  </si>
  <si>
    <t xml:space="preserve">Castle Leslie Estate - Hospitality Year End Report 2023 (No financials) (PDF)</t>
  </si>
  <si>
    <t xml:space="preserve">https://www.castleleslie.com/wp-content/uploads/2024/08/CLE-Hospitality-Year-End-Report-2023-7-No-financials.pdf</t>
  </si>
  <si>
    <t xml:space="preserve">rapport d'entreprise (sans comptes)</t>
  </si>
  <si>
    <t xml:space="preserve">R5 §2.2</t>
  </si>
  <si>
    <t xml:space="preserve">R5-24</t>
  </si>
  <si>
    <t xml:space="preserve">Castle Leslie Estate - Welcome to the Castle Leslie Equestrian Centre</t>
  </si>
  <si>
    <t xml:space="preserve">https://www.castleleslie.com/equestrian/</t>
  </si>
  <si>
    <t xml:space="preserve">site officiel du domaine</t>
  </si>
  <si>
    <t xml:space="preserve">R5-25</t>
  </si>
  <si>
    <t xml:space="preserve">Lampoon Magazine - Chronicles from Reschio: 1500 Hectares of Regenerated Forest (Carlo Mazzoni, 15/08/2025)</t>
  </si>
  <si>
    <t xml:space="preserve">https://lampoonmagazine.com/reschio-benedikt-bolza-architecture-estate-castle-farmhouses-forest-umbria-nencia-corsini/</t>
  </si>
  <si>
    <t xml:space="preserve">R5 §3.1</t>
  </si>
  <si>
    <t xml:space="preserve">R5-26</t>
  </si>
  <si>
    <t xml:space="preserve">Reschio - site officiel, page d'accueil</t>
  </si>
  <si>
    <t xml:space="preserve">https://www.reschio.com/</t>
  </si>
  <si>
    <t xml:space="preserve">R5-27</t>
  </si>
  <si>
    <t xml:space="preserve">Reschio - Own a House</t>
  </si>
  <si>
    <t xml:space="preserve">https://www.reschio.com/own-a-house</t>
  </si>
  <si>
    <t xml:space="preserve">R5-28</t>
  </si>
  <si>
    <t xml:space="preserve">Reschio - Horses</t>
  </si>
  <si>
    <t xml:space="preserve">https://www.reschio.com/horses</t>
  </si>
  <si>
    <t xml:space="preserve">R5-29</t>
  </si>
  <si>
    <t xml:space="preserve">Résultats de recherche web (Reschio: 1200 ou 1500 ha, hôtel de 36 chambres, 20 maisons vendues selon une source plus ancienne)</t>
  </si>
  <si>
    <t xml:space="preserve">https://www.culturedmag.com/article/2021/06/28/castello-di-reschio-opens-as-unparalleled-mecca-of-italian-authenticity</t>
  </si>
  <si>
    <t xml:space="preserve">presse (vu en extrait de recherche seulement)</t>
  </si>
  <si>
    <t xml:space="preserve">R5-30</t>
  </si>
  <si>
    <t xml:space="preserve">snobb.net - La Donaira: pure luxury, pure nature and pure conscience (Karethe Linaae, 01/07/2020)</t>
  </si>
  <si>
    <t xml:space="preserve">https://snobb.net/2020/07/la-donaira-pure-luxury-pure-nature-and-pure-conscience</t>
  </si>
  <si>
    <t xml:space="preserve">R5 §4.1</t>
  </si>
  <si>
    <t xml:space="preserve">R5-31</t>
  </si>
  <si>
    <t xml:space="preserve">La Donaira - site officiel, page d'accueil</t>
  </si>
  <si>
    <t xml:space="preserve">https://www.ladonaira.com/</t>
  </si>
  <si>
    <t xml:space="preserve">R5-32</t>
  </si>
  <si>
    <t xml:space="preserve">La Donaira - Lusitanos</t>
  </si>
  <si>
    <t xml:space="preserve">https://www.ladonaira.com/lusitanos</t>
  </si>
  <si>
    <t xml:space="preserve">R5-33</t>
  </si>
  <si>
    <t xml:space="preserve">La Donaira - Lusitanos for sale</t>
  </si>
  <si>
    <t xml:space="preserve">https://www.ladonaira.com/lusitanos-for-sale</t>
  </si>
  <si>
    <t xml:space="preserve">R5-34</t>
  </si>
  <si>
    <t xml:space="preserve">Biltmore - Biltmore House by the Numbers (fact sheet PDF, 2018)</t>
  </si>
  <si>
    <t xml:space="preserve">https://www.biltmore.com/wp-content/uploads/2019/07/FactSheet_BiltmoreBytheNumbers.pdf</t>
  </si>
  <si>
    <t xml:space="preserve">fiche officielle de l'entreprise</t>
  </si>
  <si>
    <t xml:space="preserve">R5 §5.1</t>
  </si>
  <si>
    <t xml:space="preserve">R5-35</t>
  </si>
  <si>
    <t xml:space="preserve">Biltmore Report to Our Community 2024 - Economic Impact (vu en résultat de recherche, page vide pour l'outil)</t>
  </si>
  <si>
    <t xml:space="preserve">https://compassmedia.mydigitalpublication.com/article/Economic+Impact/5015516/850075/article.html</t>
  </si>
  <si>
    <t xml:space="preserve">rapport d'entreprise</t>
  </si>
  <si>
    <t xml:space="preserve">R5-36</t>
  </si>
  <si>
    <t xml:space="preserve">TrueNicks - Into Mischief, Vekoma Lead 2026 Spendthrift Stud Roster (07/10/2025)</t>
  </si>
  <si>
    <t xml:space="preserve">https://truenicks.com/articles/287787/into-mischief-vekoma-lead-2026-spendthrift-stud-roster</t>
  </si>
  <si>
    <t xml:space="preserve">presse spécialisée hippique</t>
  </si>
  <si>
    <t xml:space="preserve">R5 §5.2</t>
  </si>
  <si>
    <t xml:space="preserve">R5-37</t>
  </si>
  <si>
    <t xml:space="preserve">WKYT - Into Mischief's Derby legacy: Lexington stallion could make history again (01/05/2026)</t>
  </si>
  <si>
    <t xml:space="preserve">https://www.wkyt.com/2026/05/01/into-mischiefs-derby-legacy-lexington-stallion-could-make-history-again</t>
  </si>
  <si>
    <t xml:space="preserve">presse locale</t>
  </si>
  <si>
    <t xml:space="preserve">R5-38</t>
  </si>
  <si>
    <t xml:space="preserve">The Land Report - Wellington Equestrian Market Jumps to $692,000 Per Acre (Cary Estes, 01/05/2023)</t>
  </si>
  <si>
    <t xml:space="preserve">https://landreport.com/wellington-692000-per-acre</t>
  </si>
  <si>
    <t xml:space="preserve">presse spécialisée foncier</t>
  </si>
  <si>
    <t xml:space="preserve">R5 §5.3</t>
  </si>
  <si>
    <t xml:space="preserve">R5-39</t>
  </si>
  <si>
    <t xml:space="preserve">Town-Crier - Study: 2025 WEF Delivered $538.2 Million In Economic Impact (05/09/2025)</t>
  </si>
  <si>
    <t xml:space="preserve">https://gotowncrier.com/2025/09/study-2025-wef-delivered-538-2-million-in-economic-impact</t>
  </si>
  <si>
    <t xml:space="preserve">R5-40</t>
  </si>
  <si>
    <t xml:space="preserve">Wentworth Woodhouse Preservation Trust - Trustees' report and consolidated financial statements year ended 31 March 2025 (PDF Companies House)</t>
  </si>
  <si>
    <t xml:space="preserve">https://find-and-update.company-information.service.gov.uk/company/08809187/filing-history/MzQ5MzQyNzI3MmFkaXF6a2N4/document?format=pdf&amp;download=0</t>
  </si>
  <si>
    <t xml:space="preserve">R5 §6.1</t>
  </si>
  <si>
    <t xml:space="preserve">R5-41</t>
  </si>
  <si>
    <t xml:space="preserve">Résultat de recherche - Wentworth Woodhouse stately home saved with 7m sale to trust (Batley News / Dewsbury Reporter, page 403)</t>
  </si>
  <si>
    <t xml:space="preserve">https://www.batleynews.co.uk/news/breaking-yorkshires-wentworth-woodhouse-stately-home-saved-aps7m-sale-trust-477792</t>
  </si>
  <si>
    <t xml:space="preserve">presse locale (vu en extrait de recherche seulement)</t>
  </si>
  <si>
    <t xml:space="preserve">R5-42</t>
  </si>
  <si>
    <t xml:space="preserve">Travel Extra - Adare Manor hotel resort reports third successive loss for 2025 (31/07/2026)</t>
  </si>
  <si>
    <t xml:space="preserve">https://www.travelextra.ie/adare-manor-hotel-resort-reports-third-successive-loss-for-2025/</t>
  </si>
  <si>
    <t xml:space="preserve">presse professionnelle tourisme</t>
  </si>
  <si>
    <t xml:space="preserve">R5 §2.3</t>
  </si>
  <si>
    <t xml:space="preserve">R5-43</t>
  </si>
  <si>
    <t xml:space="preserve">Travel Extra - Mount Juliet estate back in the black as it reports 9.38m profit (29/11/2024)</t>
  </si>
  <si>
    <t xml:space="preserve">https://www.travelextra.ie/mount-juliet-estate-back-in-the-black-as-it-reports-e9-38m-profit/</t>
  </si>
  <si>
    <t xml:space="preserve">R5-44</t>
  </si>
  <si>
    <t xml:space="preserve">Irish Times - Mount Juliet golf resort profits hit 9.4m (28/11/2024) (chiffre d'affaires vu en extrait de recherche seulement)</t>
  </si>
  <si>
    <t xml:space="preserve">https://irishtimes.com/business/2024/11/28/mount-juliet-golf-resort-profits-hit-94m</t>
  </si>
  <si>
    <t xml:space="preserve">R5-45</t>
  </si>
  <si>
    <t xml:space="preserve">Explore West Norfolk (Borough Council of King's Lynn &amp; West Norfolk) - Holkham Hall</t>
  </si>
  <si>
    <t xml:space="preserve">https://explorewestnorfolk.co.uk/venues/holkham-hall-63</t>
  </si>
  <si>
    <t xml:space="preserve">site touristique d'une collectivité</t>
  </si>
  <si>
    <t xml:space="preserve">R5 §1.12</t>
  </si>
  <si>
    <t xml:space="preserve">R5-46</t>
  </si>
  <si>
    <t xml:space="preserve">Résultats de recherche sur Holkham (conférence St George's Society 2017, rachat de McDonnell Caravans en octobre 2024)</t>
  </si>
  <si>
    <t xml:space="preserve">https://www.stgeorgessociety.org/events/2017/11/08/holkam-a-family-home-for-over-400-years-fty8f</t>
  </si>
  <si>
    <t xml:space="preserve">annonce d'événement et presse (vus en extrait de recherche seulement)</t>
  </si>
  <si>
    <t xml:space="preserve">R5-47</t>
  </si>
  <si>
    <t xml:space="preserve">Assemblée nationale - Question écrite n° 13372 (17e législature), Droit de préemption concernant le bâti agricole, réponse publiée au JO le 28/04/2026 p. 3676</t>
  </si>
  <si>
    <t xml:space="preserve">https://www.assemblee-nationale.fr/dyn/17/questions/QANR5L17QE13372</t>
  </si>
  <si>
    <t xml:space="preserve">réponse ministérielle officielle</t>
  </si>
  <si>
    <t xml:space="preserve">R5 §8.2</t>
  </si>
  <si>
    <t xml:space="preserve">R5-48</t>
  </si>
  <si>
    <t xml:space="preserve">Assemblée nationale - Question écrite n° 91548 (14e législature), changement de destination en zone A ou N (CDPENAF, CDNPS), réponse publiée au JO le 13/09/2016 p. 8216</t>
  </si>
  <si>
    <t xml:space="preserve">https://www.assemblee-nationale.fr/dyn/14/questions/QANR5L14QE91548</t>
  </si>
  <si>
    <t xml:space="preserve">R5 §8.1</t>
  </si>
  <si>
    <t xml:space="preserve">R5-49</t>
  </si>
  <si>
    <t xml:space="preserve">Companies House - recherche Coke Estates Limited (01171497) et historiques de dépôts de Coke Estates et Holkham Holiday Parks Limited (11802261)</t>
  </si>
  <si>
    <t xml:space="preserve">https://find-and-update.company-information.service.gov.uk/company/01171497/filing-history?category=accounts</t>
  </si>
  <si>
    <t xml:space="preserve">R5-50</t>
  </si>
  <si>
    <t xml:space="preserve">Eurojuris (A. Gaucher-Piola, avocat) - Droit de préemption de la SAFER sur les bâtiments agricoles (20/09/2007)</t>
  </si>
  <si>
    <t xml:space="preserve">https://www.eurojuris.fr/urbanisme/articles/droit-preemption-safer-sur-batiments-agricoles-6456.htm</t>
  </si>
  <si>
    <t xml:space="preserve">article d'avocat (ancien)</t>
  </si>
  <si>
    <t xml:space="preserve">R5-51</t>
  </si>
  <si>
    <t xml:space="preserve">Résultats de recherche Historic Houses (documents non ouverts: vat-summary-v10.pdf, rapport TVA 2025, infographie 2023) mentionnant une dépense annuelle d'environ 160 millions de livres</t>
  </si>
  <si>
    <t xml:space="preserve">https://historichouses.org/app/uploads/2025/01/hh-vat-research-report-final-v4-20250128.pdf</t>
  </si>
  <si>
    <t xml:space="preserve">documents d'association (vus en extrait de recherche seulement, document exact non identifié)</t>
  </si>
  <si>
    <t xml:space="preserve">R5-52</t>
  </si>
  <si>
    <t xml:space="preserve">Résultats de recherche Adare Manor (Irish Examiner, Limerick Leader: Tizzard Holdings, statut unlimited, pas d'obligation de dépôt des comptes)</t>
  </si>
  <si>
    <t xml:space="preserve">https://www.irishexaminer.com/business/companies/arid-41888824.html</t>
  </si>
  <si>
    <t xml:space="preserve">presse économique (vue en extrait de recherche seulement)</t>
  </si>
  <si>
    <t xml:space="preserve">R6-01</t>
  </si>
  <si>
    <t xml:space="preserve">IFCE-OESC — Chiffres clés 2025, bilan statistique de la filière équine française, données 2024 (dépliant PDF, créé le 13/03/2026)</t>
  </si>
  <si>
    <t xml:space="preserve">https://equipedia.ifce.fr/bibliotheque/6.Statistiques/6.1.Ecus-depliant/IFCE-depliant-chiffres-cles-2025.pdf</t>
  </si>
  <si>
    <t xml:space="preserve">statistique officielle (établissement public)</t>
  </si>
  <si>
    <t xml:space="preserve">§1 filière, §5 courses, §7 compétitions</t>
  </si>
  <si>
    <t xml:space="preserve">Inosys Réseaux d'élevage / Réseau Équin (Idele, IFCE, Chambres d'agriculture) — Cas-type EQCE3 « Centre équestre tout public Compétition », campagne 2025 (PDF, mars 2026, réf. 00 26 602 014)</t>
  </si>
  <si>
    <t xml:space="preserve">https://chevaux-normandie.com/wp-content/uploads/2026/06/Cas-type-competition_2025.pdf</t>
  </si>
  <si>
    <t xml:space="preserve">référence technico-économique (instituts techniques)</t>
  </si>
  <si>
    <t xml:space="preserve">§2 références, §3 pension, §9 tableau modèles</t>
  </si>
  <si>
    <t xml:space="preserve">Réseau Équin (Idele, IFCE, Chambres d'agriculture, Conseils des chevaux) — Synthèse nationale des exploitations du Réseau Équin 2023, repères technico-économiques 2021 (88 exploitations, PDF juillet 2023)</t>
  </si>
  <si>
    <t xml:space="preserve">https://chevaux-normandie.com/wp-content/uploads/2024/04/Synthese-nationale-2023.pdf</t>
  </si>
  <si>
    <t xml:space="preserve">§2 références, §3 pension, §5 entraîneur, §9 tableau modèles</t>
  </si>
  <si>
    <t xml:space="preserve">R6-04</t>
  </si>
  <si>
    <t xml:space="preserve">Commune de Bry-sur-Marne (94) — délibération 2025DELIB0067 du 30/06/2025, tarifs du centre équestre municipal (concession UCPA) saison 2025-2026 (PDF)</t>
  </si>
  <si>
    <t xml:space="preserve">https://www.brysurmarne.fr/app/uploads/2025/07/CM-du-30-juin-2025-2025DELIB0067-Actualisation-des-tarifs-du-centre-equestre-municipal-de-Bry-sur-Marne-pour-la-saison-sportive-2025-2026.pdf</t>
  </si>
  <si>
    <t xml:space="preserve">acte administratif (délibération municipale)</t>
  </si>
  <si>
    <t xml:space="preserve">§3 pension</t>
  </si>
  <si>
    <t xml:space="preserve">R6-05</t>
  </si>
  <si>
    <t xml:space="preserve">IFCE-OESC — Annuaire ECUS 2023 (données 2022), 96 p., PDF hébergé par l'AQPS (téléchargé par curl car &gt; 10 Mo pour WebFetch)</t>
  </si>
  <si>
    <t xml:space="preserve">https://www.aqps.fr/wp-content/uploads/2024/02/Annuaire-ECUS-2023.pdf</t>
  </si>
  <si>
    <t xml:space="preserve">§4 commerce et élevage, §5 courses</t>
  </si>
  <si>
    <t xml:space="preserve">R6-06</t>
  </si>
  <si>
    <t xml:space="preserve">France Galop — Rapport d'activité 2025 / comptes sociaux 2025 (46 p., PDF publié en juin 2026)</t>
  </si>
  <si>
    <t xml:space="preserve">https://www.france-galop.com/sites/default/files/2026-06/fg_comptes_sociaux_2025.pdf</t>
  </si>
  <si>
    <t xml:space="preserve">comptes officiels (société mère des courses au galop)</t>
  </si>
  <si>
    <t xml:space="preserve">§5 courses</t>
  </si>
  <si>
    <t xml:space="preserve">R6-07</t>
  </si>
  <si>
    <t xml:space="preserve">France Galop — Programme officiel Obstacles février-mai 2024 (216 p., PDF, téléchargé par curl car &gt; 10 Mo pour WebFetch), page 3 « Prime au propriétaire »</t>
  </si>
  <si>
    <t xml:space="preserve">https://www.france-galop.com/sites/default/files/2024-01/obstacles_fev_2024_mai_2024_v6.pdf</t>
  </si>
  <si>
    <t xml:space="preserve">règlement officiel (conditions de courses)</t>
  </si>
  <si>
    <t xml:space="preserve">R6-08</t>
  </si>
  <si>
    <t xml:space="preserve">Arqana — Statistiques annuelles (page 2026 lue par WebFetch, années 2025 et 2024 lues par curl avec cookie de session, la sélection d'année passant par une redirection 302 que WebFetch ne suit pas)</t>
  </si>
  <si>
    <t xml:space="preserve">https://www.arqana.com/statistiques_annuelles.html</t>
  </si>
  <si>
    <t xml:space="preserve">statistiques d'une maison de ventes (source primaire)</t>
  </si>
  <si>
    <t xml:space="preserve">§5 courses et ventes</t>
  </si>
  <si>
    <t xml:space="preserve">R6-09</t>
  </si>
  <si>
    <t xml:space="preserve">Arqana — Processus de vente (frais vendeur, rachat, inscription)</t>
  </si>
  <si>
    <t xml:space="preserve">https://www.arqana.com/processus_de_vente.html</t>
  </si>
  <si>
    <t xml:space="preserve">conditions commerciales (maison de ventes)</t>
  </si>
  <si>
    <t xml:space="preserve">§5 courses et ventes, §6 haras</t>
  </si>
  <si>
    <t xml:space="preserve">R6-10</t>
  </si>
  <si>
    <t xml:space="preserve">Arqana — Processus d'achat (frais acheteur, TVA, paiement)</t>
  </si>
  <si>
    <t xml:space="preserve">https://www.arqana.com/processus_d_achat.html</t>
  </si>
  <si>
    <t xml:space="preserve">R6-11</t>
  </si>
  <si>
    <t xml:space="preserve">Chambres d'agriculture (Hauts-de-France / Normandie) — fiches « pension reproduction » (résultat de recherche seulement, PDF en 404/503 à l'ouverture, non daté)</t>
  </si>
  <si>
    <t xml:space="preserve">https://refonte-normandie.chambres-agriculture.fr/fileadmin/user_upload/Normandie/506_Fichiers-communs/PDF/EQUINS/pension-reproduction-activite-complementaire.pdf</t>
  </si>
  <si>
    <t xml:space="preserve">fiche technique de chambre d'agriculture</t>
  </si>
  <si>
    <t xml:space="preserve">§6 haras</t>
  </si>
  <si>
    <t xml:space="preserve">R6-12</t>
  </si>
  <si>
    <t xml:space="preserve">Aga Khan Studs — fiche étalon Siyouni (Haras de Bonneval), tarif 2026</t>
  </si>
  <si>
    <t xml:space="preserve">https://www.agakhanstuds.com/all-stallions/siyouni/</t>
  </si>
  <si>
    <t xml:space="preserve">site d'un haras (source primaire commerciale)</t>
  </si>
  <si>
    <t xml:space="preserve">R6-13</t>
  </si>
  <si>
    <t xml:space="preserve">Aga Khan Studs — fiche étalon Zarak (Haras de Bonneval), tarif 2026</t>
  </si>
  <si>
    <t xml:space="preserve">https://www.agakhanstuds.com/all-stallions/zarak/</t>
  </si>
  <si>
    <t xml:space="preserve">R6-14</t>
  </si>
  <si>
    <t xml:space="preserve">Aga Khan Studs — « Aga Khan Studs fees 2026 » (article, non daté sur la page)</t>
  </si>
  <si>
    <t xml:space="preserve">https://www.agakhanstuds.com/news/stallions/aga-khan-studs-fees-2026/</t>
  </si>
  <si>
    <t xml:space="preserve">R6-15</t>
  </si>
  <si>
    <t xml:space="preserve">Haras de Jardy (Marnes-la-Coquette, Hauts-de-Seine) — page « Les pensions » et plaquette « Pensions chevaux de propriétaires » (image JPG mise en ligne en mars 2026, lue visuellement)</t>
  </si>
  <si>
    <t xml:space="preserve">https://harasdejardy.com/wp-content/uploads/2026/03/Plaquette_proprietaires_Jardy.jpg</t>
  </si>
  <si>
    <t xml:space="preserve">tarif public d'un établissement équestre</t>
  </si>
  <si>
    <t xml:space="preserve">IFCE-OESC — « Gestion de la fin de vie : quels dispositifs pour répondre aux besoins futurs ? » Synthèse 2021 (enquêtes de juin 2019 : 658 propriétaires, 164 structures), PDF 18 p.</t>
  </si>
  <si>
    <t xml:space="preserve">https://equipedia.ifce.fr/fileadmin/bibliotheque/6.Statistiques/6.5.Notes-thematiques/Rapport-Gestion-fin-de-vie-cheval-2020.pdf</t>
  </si>
  <si>
    <t xml:space="preserve">étude statistique (établissement public)</t>
  </si>
  <si>
    <t xml:space="preserve">§3 pension (retraite, demande)</t>
  </si>
  <si>
    <t xml:space="preserve">R6-17</t>
  </si>
  <si>
    <t xml:space="preserve">Syndicat mixte du Haras national de Lamballe (22) — « Point budgétaire, rapport d'activité 2025 au 22 novembre 2025 » (PDF 18 p.)</t>
  </si>
  <si>
    <t xml:space="preserve">https://www.haras-lamballe.com/front/media/document/3/25-11-22-point-budegtaire-rapport-d-activite.pdf</t>
  </si>
  <si>
    <t xml:space="preserve">document budgétaire d'une collectivité (syndicat mixte)</t>
  </si>
  <si>
    <t xml:space="preserve">§7 événements, §8 risques, contre-exemples</t>
  </si>
  <si>
    <t xml:space="preserve">R6-18</t>
  </si>
  <si>
    <t xml:space="preserve">Acteurs publics — « Polémique sur la possible privatisation du Versailles du cheval » (Haras du Pin), 22/02/2012</t>
  </si>
  <si>
    <t xml:space="preserve">presse spécialisée (secteur public)</t>
  </si>
  <si>
    <t xml:space="preserve">contre-exemples</t>
  </si>
  <si>
    <t xml:space="preserve">R6-19</t>
  </si>
  <si>
    <t xml:space="preserve">Sénat — étude d'impact du projet de loi pjl20-709 (dissolution de l'établissement public du Haras national du Pin, transfert des biens au département de l'Orne et à l'État) — vu seulement en résultat de recherche</t>
  </si>
  <si>
    <t xml:space="preserve">R6-20</t>
  </si>
  <si>
    <t xml:space="preserve">Mondial du Lion — dossier de presse 2025 (PDF 25 p., 13/10/2025)</t>
  </si>
  <si>
    <t xml:space="preserve">https://www.mondialdulion.com/wp-content/uploads/2025/10/DOSSIER-DE-PRESSE-FR.pdf</t>
  </si>
  <si>
    <t xml:space="preserve">dossier de presse d'un organisateur</t>
  </si>
  <si>
    <t xml:space="preserve">§7 événements</t>
  </si>
  <si>
    <t xml:space="preserve">R6-21</t>
  </si>
  <si>
    <t xml:space="preserve">Polo Club du Domaine de Chantilly — page « Membership » (tarifs 2026 annoncés via un lien Dropbox supprimé)</t>
  </si>
  <si>
    <t xml:space="preserve">https://www.poloclubchantilly.com/membership</t>
  </si>
  <si>
    <t xml:space="preserve">site d'un club</t>
  </si>
  <si>
    <t xml:space="preserve">§7 polo</t>
  </si>
  <si>
    <t xml:space="preserve">R6-22</t>
  </si>
  <si>
    <t xml:space="preserve">Around the Rings (Infobae) — « FEI cancels European mainland events due to EHV-1 neurological form » (communiqué FEI repris)</t>
  </si>
  <si>
    <t xml:space="preserve">https://www.infobae.com/aroundtherings/federations/2021/07/12/fei-cancels-european-mainland-events-due-to-ehv-1-neurological-form</t>
  </si>
  <si>
    <t xml:space="preserve">presse spécialisée reprenant un communiqué officiel</t>
  </si>
  <si>
    <t xml:space="preserve">§8 risques</t>
  </si>
  <si>
    <t xml:space="preserve">R6-23</t>
  </si>
  <si>
    <t xml:space="preserve">Préfecture de l'Orne — « Épidémie de rhinopneumonie, 15 mars 2021 » (communiqué FFE-SHF) — vu seulement en résultat de recherche (PDF en 503)</t>
  </si>
  <si>
    <t xml:space="preserve">https://www.orne.gouv.fr/contenu/telechargement/11501/98689/file/epidemie_de_rhinopneumonie_15_mars_2021_cle04d22c.pdf</t>
  </si>
  <si>
    <t xml:space="preserve">communiqué officiel</t>
  </si>
  <si>
    <t xml:space="preserve">R6-24</t>
  </si>
  <si>
    <t xml:space="preserve">IFCE / Réseau Économique de la Filière Équine — J. Pavie, B. Morhain, « Coûts de production dans les élevages équins », 4e journée REFErences, 19/01/2011 (diaporama PDF 9 p.)</t>
  </si>
  <si>
    <t xml:space="preserve">https://www.ifce.fr/wp-content/uploads/2015/07/OESC-4-Coûts-de-production_Pavie_Morhain.pdf</t>
  </si>
  <si>
    <t xml:space="preserve">référence technico-économique (ancienne)</t>
  </si>
  <si>
    <t xml:space="preserve">§4 élevage de sport</t>
  </si>
  <si>
    <t xml:space="preserve">R6-25</t>
  </si>
  <si>
    <t xml:space="preserve">Ville de Paris (DJS) — Avis d'appel public à candidature, convention d'occupation temporaire du domaine public pour l'exploitation du centre équestre de la Cartoucherie (Bois de Vincennes, Paris 12e), PDF du 08/01/2021</t>
  </si>
  <si>
    <t xml:space="preserve">https://cdn.paris.fr/paris/2021/01/15/6efbddef7a8dc5a7b0e1fffd8708e2d4.pdf</t>
  </si>
  <si>
    <t xml:space="preserve">acte administratif (avis de concession)</t>
  </si>
  <si>
    <t xml:space="preserve">§4 location d'écuries</t>
  </si>
  <si>
    <t xml:space="preserve">Inosys Réseaux d'élevage / Idele — Monographie « Centre de reproduction : des services développés par un éleveur pour les éleveurs », Haras du Rond Pré (Grand Est), saison 2022, décembre 2023, réf. 00 23 602 033 (PDF 4 p., page 3 lue aussi en image)</t>
  </si>
  <si>
    <t xml:space="preserve">https://chevaux-normandie.com/wp-content/uploads/2024/04/Monographie-Haras-du-Rond-Pre-1.pdf</t>
  </si>
  <si>
    <t xml:space="preserve">référence technico-économique (monographie)</t>
  </si>
  <si>
    <t xml:space="preserve">§6 haras, §6.3 reproduction, §9 tableau modèles</t>
  </si>
  <si>
    <t xml:space="preserve">R6-27</t>
  </si>
  <si>
    <t xml:space="preserve">Conseil des Chevaux de Normandie (Equi'Up, FNADT) — « Trajectoires économiques des entreprises normandes de la filière équine au cours de la crise Covid 2020 » (PDF 13 p., décembre 2021)</t>
  </si>
  <si>
    <t xml:space="preserve">https://equiup.chevaux-normandie.com/uploads/Ressources/Economique/Pilotage%20d'entreprise/EQUIUP211015-etude%20equicer%20VF.pdf</t>
  </si>
  <si>
    <t xml:space="preserve">étude économique (conseil régional des équidés)</t>
  </si>
  <si>
    <t xml:space="preserve">§8 risques (choc 2020)</t>
  </si>
  <si>
    <t xml:space="preserve">R6-28</t>
  </si>
  <si>
    <t xml:space="preserve">Haras de Hus (Petit-Mars, Loire-Atlantique) — page « Centre de reproduction : nos tarifs » (année non écrite dans le texte, fichier image nommé 2026, tarifs HT)</t>
  </si>
  <si>
    <t xml:space="preserve">https://www.harasdehus.com/fr/centre-reproduction/nos-tarifs.html</t>
  </si>
  <si>
    <t xml:space="preserve">tarif public d'un centre de reproduction</t>
  </si>
  <si>
    <t xml:space="preserve">§6 haras, centre de reproduction</t>
  </si>
  <si>
    <t xml:space="preserve">R7-01</t>
  </si>
  <si>
    <t xml:space="preserve">INSEE - Mariages et Pacs : données annuelles de 1990 à 2025</t>
  </si>
  <si>
    <t xml:space="preserve">https://www.insee.fr/fr/statistiques/2381498</t>
  </si>
  <si>
    <t xml:space="preserve">statistique officielle</t>
  </si>
  <si>
    <t xml:space="preserve">§1 Mariages, §8 Chocs</t>
  </si>
  <si>
    <t xml:space="preserve">R7-02</t>
  </si>
  <si>
    <t xml:space="preserve">INSEE Première n°2033 - Bilan démographique 2024 (janvier 2025)</t>
  </si>
  <si>
    <t xml:space="preserve">https://www.insee.fr/fr/statistiques/8327319</t>
  </si>
  <si>
    <t xml:space="preserve">R7-03</t>
  </si>
  <si>
    <t xml:space="preserve">Mariages.net - Rapport sur le Secteur Nuptial 2026 (3e édition, 1 304 couples mariés en 2025)</t>
  </si>
  <si>
    <t xml:space="preserve">https://www.mariages.net/articles/survivre-organisation-mariage-france-faits-curiosites-rapport-secteur-nuptial--c11444</t>
  </si>
  <si>
    <t xml:space="preserve">étude privée (plateforme)</t>
  </si>
  <si>
    <t xml:space="preserve">§1 Mariages</t>
  </si>
  <si>
    <t xml:space="preserve">R7-04</t>
  </si>
  <si>
    <t xml:space="preserve">Journal de l'économie - Mariage : prix, traditions, lieux… (28 mai 2026, cite Mariages.net, Hyatt, Sofinco)</t>
  </si>
  <si>
    <t xml:space="preserve">https://www.journaldeleconomie.fr/?p=47317</t>
  </si>
  <si>
    <t xml:space="preserve">R7-05</t>
  </si>
  <si>
    <t xml:space="preserve">Mariages.net - annuaire Château mariage (compteur de résultats)</t>
  </si>
  <si>
    <t xml:space="preserve">https://www.mariages.net/chateau-mariage</t>
  </si>
  <si>
    <t xml:space="preserve">plateforme (annuaire)</t>
  </si>
  <si>
    <t xml:space="preserve">§1 Concurrence</t>
  </si>
  <si>
    <t xml:space="preserve">R7-06</t>
  </si>
  <si>
    <t xml:space="preserve">Mariages.net - annuaire Domaine mariage (compteur de résultats)</t>
  </si>
  <si>
    <t xml:space="preserve">https://www.mariages.net/domaine-mariage</t>
  </si>
  <si>
    <t xml:space="preserve">R7-07</t>
  </si>
  <si>
    <t xml:space="preserve">Château de Picomtal - Brochure mariages 2026-2027 (PDF)</t>
  </si>
  <si>
    <t xml:space="preserve">https://www.picomtal.fr/sites/default/files/documents/2025-10/brochure-mariages-picomtal-2026-2027.pdf</t>
  </si>
  <si>
    <t xml:space="preserve">site du domaine (grille tarifaire)</t>
  </si>
  <si>
    <t xml:space="preserve">§1.4 Tarifs mariage</t>
  </si>
  <si>
    <t xml:space="preserve">R7-08</t>
  </si>
  <si>
    <t xml:space="preserve">Château de Berne - Hiring a château exclusively for a wedding: the two packages (14 août 2026)</t>
  </si>
  <si>
    <t xml:space="preserve">https://www.chateauberne.com/en/wp-json/wp/v2/posts/28026</t>
  </si>
  <si>
    <t xml:space="preserve">R7-09</t>
  </si>
  <si>
    <t xml:space="preserve">Bridebook - fiche Château des Pères (Piré-sur-Seiche)</t>
  </si>
  <si>
    <t xml:space="preserve">https://bridebook.com/fr/wedding-venues/ch-teau-des-p-res-pir-sur-seiche-ille-et-vilaine-freaXqZMgl</t>
  </si>
  <si>
    <t xml:space="preserve">R7-10</t>
  </si>
  <si>
    <t xml:space="preserve">1001 Salles - Guide complet : comment choisir sa salle de mariage en France en 2026 (17 février 2026)</t>
  </si>
  <si>
    <t xml:space="preserve">https://www.1001salles.com/blog/article/2562/guide-complet-comment-choisir-sa-salle-de-mariage-en-france-en-2026</t>
  </si>
  <si>
    <t xml:space="preserve">blog commercial</t>
  </si>
  <si>
    <t xml:space="preserve">§1.4 Tarifs, §1.5 Saisonnalité</t>
  </si>
  <si>
    <t xml:space="preserve">R7-11</t>
  </si>
  <si>
    <t xml:space="preserve">1001 Salles - Château de mariage à Bordeaux : prix, fourchettes (page en erreur 522)</t>
  </si>
  <si>
    <t xml:space="preserve">https://www.1001salles.com/blog/article/2589/chateau-de-mariage-a-bordeaux-prix-fourchettes-et-conseils-pour-votre-budget</t>
  </si>
  <si>
    <t xml:space="preserve">§1.4 Tarifs</t>
  </si>
  <si>
    <t xml:space="preserve">Centre des monuments nationaux - Grille tarifaire tournages et prises de vue CMN 2024 (PDF, modifié nov. 2025)</t>
  </si>
  <si>
    <t xml:space="preserve">https://www.monuments-nationaux.fr/content/download/9853454/file/Grille%20tarifaire%20tournages%20et%20prises%20de%20vue%20CMN%202024.pdf?version=15&amp;inLanguage=fre-FR</t>
  </si>
  <si>
    <t xml:space="preserve">établissement public (grille officielle)</t>
  </si>
  <si>
    <t xml:space="preserve">§3 Tournages</t>
  </si>
  <si>
    <t xml:space="preserve">R7-13</t>
  </si>
  <si>
    <t xml:space="preserve">Centre des monuments nationaux - Grilles tarifaires privatisation CMN (PDF, créé nov. 2025)</t>
  </si>
  <si>
    <t xml:space="preserve">https://www.monuments-nationaux.fr/content/download/9862216/file/Grilles%20tarifaires%20privatisation%20CMN.pdf?version=16&amp;inLanguage=fre-FR</t>
  </si>
  <si>
    <t xml:space="preserve">§1.4 bis, §2 Séminaires</t>
  </si>
  <si>
    <t xml:space="preserve">R7-14</t>
  </si>
  <si>
    <t xml:space="preserve">Centre des monuments nationaux - pages Tournage et prise de vue / Privatisation</t>
  </si>
  <si>
    <t xml:space="preserve">https://www.monuments-nationaux.fr/tournage-et-prise-de-vue</t>
  </si>
  <si>
    <t xml:space="preserve">établissement public</t>
  </si>
  <si>
    <t xml:space="preserve">R7-15</t>
  </si>
  <si>
    <t xml:space="preserve">Insee Focus n°225 - Se marier en été est une habitude récente : 150 ans de saisonnalité des mariages (11/02/2021)</t>
  </si>
  <si>
    <t xml:space="preserve">https://www.insee.fr/fr/statistiques/5018214</t>
  </si>
  <si>
    <t xml:space="preserve">§1.5 Saisonnalité</t>
  </si>
  <si>
    <t xml:space="preserve">R7-16</t>
  </si>
  <si>
    <t xml:space="preserve">Insee Focus n°260 - Une chute historique du nombre de mariages en 2020 à la suite des restrictions sanitaires (11/02/2022)</t>
  </si>
  <si>
    <t xml:space="preserve">https://www.insee.fr/fr/statistiques/6050251</t>
  </si>
  <si>
    <t xml:space="preserve">§1.5, §8 Chocs</t>
  </si>
  <si>
    <t xml:space="preserve">R7-17</t>
  </si>
  <si>
    <t xml:space="preserve">Atout France - recherche interne « mariage » sur atout-france.fr</t>
  </si>
  <si>
    <t xml:space="preserve">https://www.atout-france.fr/fr/recherche?search_api_fulltext=mariage</t>
  </si>
  <si>
    <t xml:space="preserve">agence publique (catalogue)</t>
  </si>
  <si>
    <t xml:space="preserve">§1.6 Destination</t>
  </si>
  <si>
    <t xml:space="preserve">R7-18</t>
  </si>
  <si>
    <t xml:space="preserve">Atout France - Salon EPEX 2025 (Inde, MICE et destination weddings)</t>
  </si>
  <si>
    <t xml:space="preserve">https://www.atout-france.fr/fr/catalogue/rendez-vous/salon-epex-2025</t>
  </si>
  <si>
    <t xml:space="preserve">agence publique</t>
  </si>
  <si>
    <t xml:space="preserve">R7-19</t>
  </si>
  <si>
    <t xml:space="preserve">Atout France - Wedding Planner Event avec Business France</t>
  </si>
  <si>
    <t xml:space="preserve">https://www.atout-france.fr/fr/catalogue/operations-carte/wedding-planner-event-avec-business-france</t>
  </si>
  <si>
    <t xml:space="preserve">R7-20</t>
  </si>
  <si>
    <t xml:space="preserve">La Demeure Historique - Dossier de presse « Châteaux près d'ici » (31 mars 2026, PDF)</t>
  </si>
  <si>
    <t xml:space="preserve">https://www.demeure-historique.org/wp-content/uploads/2026/03/Dossier-de-presse-Chateaux-pres-dici-VF-31.03.pdf</t>
  </si>
  <si>
    <t xml:space="preserve">association professionnelle (communiqué)</t>
  </si>
  <si>
    <t xml:space="preserve">§7.1 Visites</t>
  </si>
  <si>
    <t xml:space="preserve">R7-21</t>
  </si>
  <si>
    <t xml:space="preserve">La Demeure Historique - Communiqué « Sauvons nos monuments ! » (31.03.2021, PDF)</t>
  </si>
  <si>
    <t xml:space="preserve">https://www.demeure-historique.org/wp-content/uploads/2022/05/Sauvons-nos-monuments-.pdf</t>
  </si>
  <si>
    <t xml:space="preserve">§8 Chocs</t>
  </si>
  <si>
    <t xml:space="preserve">R7-22</t>
  </si>
  <si>
    <t xml:space="preserve">La Demeure Historique - page d'accueil (chiffres clés)</t>
  </si>
  <si>
    <t xml:space="preserve">https://www.demeure-historique.org/</t>
  </si>
  <si>
    <t xml:space="preserve">association professionnelle</t>
  </si>
  <si>
    <t xml:space="preserve">R7-23</t>
  </si>
  <si>
    <t xml:space="preserve">La Demeure Historique - Dossier « Une vraie stratégie » (octobre 2017, PDF)</t>
  </si>
  <si>
    <t xml:space="preserve">https://demeure-historique.org/wp-content/uploads/2017/11/dossier-une-vraie-strategie-light-2.pdf</t>
  </si>
  <si>
    <t xml:space="preserve">association professionnelle (dossier)</t>
  </si>
  <si>
    <t xml:space="preserve">§7.1 Visites, §1.7 ERP, échecs</t>
  </si>
  <si>
    <t xml:space="preserve">R7-24</t>
  </si>
  <si>
    <t xml:space="preserve">Unimev - Event Data Book 2026 : les chiffres qui font parler notre filière (3 sept. 2026)</t>
  </si>
  <si>
    <t xml:space="preserve">https://www.unimev.fr/articles/abdf3cc1-92a7-f111-9b33-000d3a4c7d4d/event-data-book-2026-les-chiffres-qui-font-parler-notre-filiere</t>
  </si>
  <si>
    <t xml:space="preserve">fédération professionnelle</t>
  </si>
  <si>
    <t xml:space="preserve">§2 Séminaires</t>
  </si>
  <si>
    <t xml:space="preserve">R7-25</t>
  </si>
  <si>
    <t xml:space="preserve">Voyages d'Affaires - B. Abittan (Châteauform') : « Je serai prudent en 2025 » (06/01/2025)</t>
  </si>
  <si>
    <t xml:space="preserve">https://www.voyages-d-affaires.com/?p=188143</t>
  </si>
  <si>
    <t xml:space="preserve">R7-26</t>
  </si>
  <si>
    <t xml:space="preserve">Voyages d'Affaires - Châteauform' : de nouvelles solutions pour entretenir le lien à distance (28/01/2021)</t>
  </si>
  <si>
    <t xml:space="preserve">https://www.voyages-d-affaires.com/?p=104795</t>
  </si>
  <si>
    <t xml:space="preserve">§2 Séminaires, §8 Chocs</t>
  </si>
  <si>
    <t xml:space="preserve">R7-27</t>
  </si>
  <si>
    <t xml:space="preserve">Château de La Roche-Guyon - Fiche produit séminaires 2023 (PDF)</t>
  </si>
  <si>
    <t xml:space="preserve">https://www.chateaudelarocheguyon.fr/wp-content/uploads/2019/09/1_Ficheproduitseminaire-2023.pdf</t>
  </si>
  <si>
    <t xml:space="preserve">§2.2 Prix séminaires</t>
  </si>
  <si>
    <t xml:space="preserve">R7-28</t>
  </si>
  <si>
    <t xml:space="preserve">Funbooker - fiche Château de Châtenay (95)</t>
  </si>
  <si>
    <t xml:space="preserve">https://www.funbooker.com/fr/annonce/chateau-de-chatenay-95/voir</t>
  </si>
  <si>
    <t xml:space="preserve">R7-29</t>
  </si>
  <si>
    <t xml:space="preserve">Funbooker - fiche Château de Couches (71)</t>
  </si>
  <si>
    <t xml:space="preserve">https://www.funbooker.com/fr/annonce/chateau-de-couches-dans-la-saone-et-loire-71/voir</t>
  </si>
  <si>
    <t xml:space="preserve">R7-30</t>
  </si>
  <si>
    <t xml:space="preserve">Funbooker - fiche L'Ermitage (69)</t>
  </si>
  <si>
    <t xml:space="preserve">https://www.funbooker.com/fr/annonce/lermitage-69/voir</t>
  </si>
  <si>
    <t xml:space="preserve">R7-31</t>
  </si>
  <si>
    <t xml:space="preserve">1001 Salles Pro - Séminaire d'entreprise à Paris : comment choisir (page en erreur 522)</t>
  </si>
  <si>
    <t xml:space="preserve">https://www.1001salles.com/pro/blog/article/2665/seminaire-d-entreprise-a-paris-comment-choisir-le-bon-lieu-et-le-bon-format</t>
  </si>
  <si>
    <t xml:space="preserve">R7-32</t>
  </si>
  <si>
    <t xml:space="preserve">Giggster - Location de châteaux pour tournages (France, catégorie castle)</t>
  </si>
  <si>
    <t xml:space="preserve">https://giggster.com/fr/book/castle</t>
  </si>
  <si>
    <t xml:space="preserve">§3.2 Tournages</t>
  </si>
  <si>
    <t xml:space="preserve">R7-33</t>
  </si>
  <si>
    <t xml:space="preserve">Château de Gudanes - page Photography &amp; Film (commercial)</t>
  </si>
  <si>
    <t xml:space="preserve">https://www.chateaugudanes.com/commercial</t>
  </si>
  <si>
    <t xml:space="preserve">R7-34</t>
  </si>
  <si>
    <t xml:space="preserve">Fondation du Château de Chillon - formulaire demande de tournage professionnels (2025, PDF)</t>
  </si>
  <si>
    <t xml:space="preserve">https://www.chillon.ch/wp-content/uploads/2025/12/demande-de-tournage-professionnels-fr.pdf</t>
  </si>
  <si>
    <t xml:space="preserve">fondation (grille)</t>
  </si>
  <si>
    <t xml:space="preserve">R7-35</t>
  </si>
  <si>
    <t xml:space="preserve">Slate.fr - James Bond à Versailles ? (date non vue, page en 403)</t>
  </si>
  <si>
    <t xml:space="preserve">https://www.slate.fr/story/19617/james-bond-versailles</t>
  </si>
  <si>
    <t xml:space="preserve">R7-36</t>
  </si>
  <si>
    <t xml:space="preserve">Film Paris Region - Chiffres clefs</t>
  </si>
  <si>
    <t xml:space="preserve">https://www.filmparisregion.com/fr/choisir-ile-de-france/chiffres-clefs</t>
  </si>
  <si>
    <t xml:space="preserve">commission du film (agence régionale)</t>
  </si>
  <si>
    <t xml:space="preserve">§3.3 Tournages</t>
  </si>
  <si>
    <t xml:space="preserve">R7-37</t>
  </si>
  <si>
    <t xml:space="preserve">Film Paris Region - Base décors</t>
  </si>
  <si>
    <t xml:space="preserve">https://www.filmparisregion.com/fr/base-decors</t>
  </si>
  <si>
    <t xml:space="preserve">UMIH-GNC - Observatoire mensuel des performances hôtelières Décembre 2025 (données MKG_destination, PDF)</t>
  </si>
  <si>
    <t xml:space="preserve">https://www.umih.fr/assets/files/site/ressources/observatoires-et-etudes/Observatoire_mensuel_des_performances_hotelieres_UMIH___GNC_Decembre_2025.pdf</t>
  </si>
  <si>
    <t xml:space="preserve">organisation professionnelle (données MKG)</t>
  </si>
  <si>
    <t xml:space="preserve">§4.1 Hôtels</t>
  </si>
  <si>
    <t xml:space="preserve">R7-39</t>
  </si>
  <si>
    <t xml:space="preserve">Voyages d'Affaires - Hôtellerie française : le bilan 2025 et les perspectives d'In Extenso (09/02/2026)</t>
  </si>
  <si>
    <t xml:space="preserve">https://www.voyages-d-affaires.com/?p=216609</t>
  </si>
  <si>
    <t xml:space="preserve">presse professionnelle (données In Extenso)</t>
  </si>
  <si>
    <t xml:space="preserve">R7-40</t>
  </si>
  <si>
    <t xml:space="preserve">TourMaG - Bilan 2025 : le chiffre d'affaires de l'hôtellerie française a progressé de 2% (09/02/2026)</t>
  </si>
  <si>
    <t xml:space="preserve">https://www.tourmag.com/Bilan-2025-le-chiffre-d-affaires-de-l-hotellerie-francaise-a-progresse-de-2_a130416.html</t>
  </si>
  <si>
    <t xml:space="preserve">R7-41</t>
  </si>
  <si>
    <t xml:space="preserve">L'Hôtellerie Restauration - L'hôtel Louise de la Vallière, un château comme à l'époque royale (18/10/2022)</t>
  </si>
  <si>
    <t xml:space="preserve">https://www.lhotellerie-restauration.fr/actualite/l-hotel-louise-de-la-valliere-un-chateau-comme-a-l-epoque-royale</t>
  </si>
  <si>
    <t xml:space="preserve">§4.2 Investissement hôtel</t>
  </si>
  <si>
    <t xml:space="preserve">R7-42</t>
  </si>
  <si>
    <t xml:space="preserve">Le Journal des Entreprises - LJ Hôtels transforme un château biterrois en futur 5 étoiles (page en 503)</t>
  </si>
  <si>
    <t xml:space="preserve">https://www.lejournaldesentreprises.com/article/lj-hotels-transforme-un-chateau-biterrois-en-futur-5-etoiles-2108334</t>
  </si>
  <si>
    <t xml:space="preserve">presse économique régionale</t>
  </si>
  <si>
    <t xml:space="preserve">R7-43</t>
  </si>
  <si>
    <t xml:space="preserve">Le Journal des Entreprises - Le Château de Portereau se métamorphose en hôtel 4 étoiles (page en 503)</t>
  </si>
  <si>
    <t xml:space="preserve">https://www.lejournaldesentreprises.com/article/ancien-siege-social-de-maisons-du-monde-le-chateau-de-portereau-se-metamorphose-en-hotel-4-etoiles-2136672</t>
  </si>
  <si>
    <t xml:space="preserve">R7-44</t>
  </si>
  <si>
    <t xml:space="preserve">Hospitality ON - 5e étoile pour le Château Eza</t>
  </si>
  <si>
    <t xml:space="preserve">https://hospitality-on.com/fr/developpement/5e-etoile-pour-le-chateau-eza</t>
  </si>
  <si>
    <t xml:space="preserve">R7-45</t>
  </si>
  <si>
    <t xml:space="preserve">HVS - Hotel Management Contracts in Europe (20/06/2007)</t>
  </si>
  <si>
    <t xml:space="preserve">https://www.hvs.com/article/2820-Hotel-Management-Contracts-In-Europe</t>
  </si>
  <si>
    <t xml:space="preserve">cabinet de conseil hôtelier</t>
  </si>
  <si>
    <t xml:space="preserve">§4.3 Contrats de gestion</t>
  </si>
  <si>
    <t xml:space="preserve">R7-46</t>
  </si>
  <si>
    <t xml:space="preserve">Batiweb - Château de Versailles : Lov Hotel Collection retenu pour réaliser un hôtel de luxe</t>
  </si>
  <si>
    <t xml:space="preserve">https://www.batiweb.com/actualites/architecture/chateau-de-versailles-lov-hotel-collection-retenu-pour-realiser-un-hotel-de-luxe-28159</t>
  </si>
  <si>
    <t xml:space="preserve">§4.3 Baux</t>
  </si>
  <si>
    <t xml:space="preserve">R7-47</t>
  </si>
  <si>
    <t xml:space="preserve">Hospitality ON - French luxury hotels confirm a model driven by price, not by volumes (page en 403)</t>
  </si>
  <si>
    <t xml:space="preserve">https://hospitality-on.com/en/hospitality/french-luxury-hotels-confirm-model-driven-price-not-volumes</t>
  </si>
  <si>
    <t xml:space="preserve">§4.4 GOP</t>
  </si>
  <si>
    <t xml:space="preserve">R7-48</t>
  </si>
  <si>
    <t xml:space="preserve">L'Écho touristique - Gîtes de France : une hausse des nuitées de 3% en 2024 (page en 403)</t>
  </si>
  <si>
    <t xml:space="preserve">https://www.lechotouristique.com/article/gites-de-france-une-hausse-des-nuitees-de-3-en-2024</t>
  </si>
  <si>
    <t xml:space="preserve">§5.1 Gîtes</t>
  </si>
  <si>
    <t xml:space="preserve">R7-49</t>
  </si>
  <si>
    <t xml:space="preserve">TourMaG - Vacances d'été 2025 : Gîtes de France dresse un bilan positif (03/09/2025)</t>
  </si>
  <si>
    <t xml:space="preserve">https://www.tourmag.com/Vacances-d-ete-2025-Gites-de-France-dresse-un-bilan-positif_a128279.html</t>
  </si>
  <si>
    <t xml:space="preserve">R7-50</t>
  </si>
  <si>
    <t xml:space="preserve">Ardèche Tourisme (observatoire) - Les meublés de tourisme, bilan 2024 (PDF)</t>
  </si>
  <si>
    <t xml:space="preserve">https://pro.ardeche-guide.com/wp-content/uploads/2025/03/les-gites-bilan-2024.pdf</t>
  </si>
  <si>
    <t xml:space="preserve">R7-51</t>
  </si>
  <si>
    <t xml:space="preserve">modelesdebusinessplan.com - marché des logements de tourisme (panier moyen gîtes / chambres d'hôtes)</t>
  </si>
  <si>
    <t xml:space="preserve">https://modelesdebusinessplan.com/blogs/infos/marche-logements-tourisme-chiffres</t>
  </si>
  <si>
    <t xml:space="preserve">site commercial</t>
  </si>
  <si>
    <t xml:space="preserve">R7-52</t>
  </si>
  <si>
    <t xml:space="preserve">Service-Public.gouv.fr - fiche F2043 Location d'une résidence secondaire en meublé de tourisme (vérifiée le 21/05/2026)</t>
  </si>
  <si>
    <t xml:space="preserve">https://www.service-public.gouv.fr/particuliers/vosdroits/F2043</t>
  </si>
  <si>
    <t xml:space="preserve">site officiel</t>
  </si>
  <si>
    <t xml:space="preserve">§5.2 Réglementation</t>
  </si>
  <si>
    <t xml:space="preserve">R7-53</t>
  </si>
  <si>
    <t xml:space="preserve">Le Collectionist - page d'accueil (nombre de propriétés)</t>
  </si>
  <si>
    <t xml:space="preserve">https://www.lecollectionist.com/fr</t>
  </si>
  <si>
    <t xml:space="preserve">plateforme de location de luxe</t>
  </si>
  <si>
    <t xml:space="preserve">§5.3 Location luxe</t>
  </si>
  <si>
    <t xml:space="preserve">R7-54</t>
  </si>
  <si>
    <t xml:space="preserve">Le Collectionist - Location villas de luxe Normandie</t>
  </si>
  <si>
    <t xml:space="preserve">https://www.lecollectionist.com/fr/location-villas-luxe/normandie</t>
  </si>
  <si>
    <t xml:space="preserve">R7-55</t>
  </si>
  <si>
    <t xml:space="preserve">Le Collectionist - Location villas de luxe Provence</t>
  </si>
  <si>
    <t xml:space="preserve">https://www.lecollectionist.com/fr/location-villas-luxe/provence</t>
  </si>
  <si>
    <t xml:space="preserve">R7-56</t>
  </si>
  <si>
    <t xml:space="preserve">Le Collectionist - Location villas de luxe Dordogne-Périgord</t>
  </si>
  <si>
    <t xml:space="preserve">https://www.lecollectionist.com/fr/location-villas-luxe/dordogne-perigord</t>
  </si>
  <si>
    <t xml:space="preserve">R7-57</t>
  </si>
  <si>
    <t xml:space="preserve">Le Collectionist - Location villas de luxe environs de Bordeaux</t>
  </si>
  <si>
    <t xml:space="preserve">https://www.lecollectionist.com/fr/location-villas-luxe/environs-de-bordeaux</t>
  </si>
  <si>
    <t xml:space="preserve">R7-58</t>
  </si>
  <si>
    <t xml:space="preserve">TourMaG - Hébergements insolites : un marché en croissance qui s'organise (20/07/2022, étude Protourisme)</t>
  </si>
  <si>
    <t xml:space="preserve">https://www.tourmag.com/Hebergements-insolites-un-marche-en-croissance-qui-s-organise_a114762.html</t>
  </si>
  <si>
    <t xml:space="preserve">presse professionnelle (étude Protourisme)</t>
  </si>
  <si>
    <t xml:space="preserve">§6 Glamping</t>
  </si>
  <si>
    <t xml:space="preserve">R7-59</t>
  </si>
  <si>
    <t xml:space="preserve">Hospitality ON - Les hébergements insolites arrivent à l'âge de raison (3e observatoire, page en 403)</t>
  </si>
  <si>
    <t xml:space="preserve">https://hospitality-on.com/fr/insolite/les-hebergements-insolites-arrivent-lage-de-raison-selon-le-3e-observatoire-du-secteur</t>
  </si>
  <si>
    <t xml:space="preserve">R7-60</t>
  </si>
  <si>
    <t xml:space="preserve">Tarn-et-Garonne Tourisme - Créer son hébergement insolite (liste et tarifs)</t>
  </si>
  <si>
    <t xml:space="preserve">https://tourisme-tarnetgaronne.fr/app/uploads/tarnetgaronne/2022/11/Creer-son-hebergement-insolite.pdf</t>
  </si>
  <si>
    <t xml:space="preserve">agence départementale du tourisme</t>
  </si>
  <si>
    <t xml:space="preserve">R7-61</t>
  </si>
  <si>
    <t xml:space="preserve">Beancount.io - Glamping business bookkeeping guide (2026)</t>
  </si>
  <si>
    <t xml:space="preserve">https://beancount.io/fr/blog/2026/09/25/glamping-business-bookkeeping-nightly-rates-occupancy-payouts-guide</t>
  </si>
  <si>
    <t xml:space="preserve">site commercial (éditeur logiciel)</t>
  </si>
  <si>
    <t xml:space="preserve">R7-62</t>
  </si>
  <si>
    <t xml:space="preserve">Service-Public.gouv.fr - fiche F17665 Permis d'aménager (vérifiée le 13/02/2026)</t>
  </si>
  <si>
    <t xml:space="preserve">https://www.service-public.gouv.fr/particuliers/vosdroits/F17665</t>
  </si>
  <si>
    <t xml:space="preserve">§6 Glamping (urbanisme)</t>
  </si>
  <si>
    <t xml:space="preserve">R7-63</t>
  </si>
  <si>
    <t xml:space="preserve">API Recherche d'entreprises (data.gouv / DINUM) - données financières publiées (requêtes chateauform, chateau NAF 82.30Z, chateau reception)</t>
  </si>
  <si>
    <t xml:space="preserve">https://recherche-entreprises.api.gouv.fr/search?q=chateau&amp;activite_principale=82.30Z&amp;per_page=25&amp;page=1</t>
  </si>
  <si>
    <t xml:space="preserve">base officielle (API publique)</t>
  </si>
  <si>
    <t xml:space="preserve">§1.8 Comptes, §2 Séminaires</t>
  </si>
  <si>
    <t xml:space="preserve">R7-64</t>
  </si>
  <si>
    <t xml:space="preserve">BODACC (DILA) - API open data annonces commerciales, procédures collectives 2024-2026 (requêtes « chateau » et activités hôtel/réception/mariage/hôtes/séminaire/hébergement)</t>
  </si>
  <si>
    <t xml:space="preserve">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</si>
  <si>
    <t xml:space="preserve">journal officiel (données ouvertes)</t>
  </si>
  <si>
    <t xml:space="preserve">Contre-exemples et échecs</t>
  </si>
  <si>
    <t xml:space="preserve">R7-65</t>
  </si>
  <si>
    <t xml:space="preserve">BODACC A n°149 du 7 août 2026 - annonce n°3475 (Laetitia Bataillé Events, liquidation judiciaire, TC Toulon)</t>
  </si>
  <si>
    <t xml:space="preserve">https://www.bodacc.fr/telechargements/COMMERCIALES/PDF/A/2026/20260149/1/BODACC_A_PDF_Unitaire_20260149_03475.pdf</t>
  </si>
  <si>
    <t xml:space="preserve">journal officiel</t>
  </si>
  <si>
    <t xml:space="preserve">R7-66</t>
  </si>
  <si>
    <t xml:space="preserve">Doctrine.fr - fiche GROUPE COEUR ET DETENTE (CHATEAU D'YGRANDE) (page d'inscription, non lisible)</t>
  </si>
  <si>
    <t xml:space="preserve">R7-67</t>
  </si>
  <si>
    <t xml:space="preserve">Château de Cheverny - Prices &amp; opening hours</t>
  </si>
  <si>
    <t xml:space="preserve">https://www.chateau-cheverny.fr/en/practical-information/prices-opening-hours</t>
  </si>
  <si>
    <t xml:space="preserve">§7.2 Visites</t>
  </si>
  <si>
    <t xml:space="preserve">R7-68</t>
  </si>
  <si>
    <t xml:space="preserve">Château de Cheverny - Room rentals</t>
  </si>
  <si>
    <t xml:space="preserve">https://www.chateau-cheverny.fr/en/room-rentals</t>
  </si>
  <si>
    <t xml:space="preserve">§7.2 Visites, §2 Séminaires</t>
  </si>
  <si>
    <t xml:space="preserve">R7-69</t>
  </si>
  <si>
    <t xml:space="preserve">Château de Breteuil - Horaires, tarifs, accès</t>
  </si>
  <si>
    <t xml:space="preserve">https://www.breteuil.fr/fr/horaires-tarifs-acces-chateau-breteuil/</t>
  </si>
  <si>
    <t xml:space="preserve">R7-70</t>
  </si>
  <si>
    <t xml:space="preserve">Château de Breteuil - Privatisation château et orangerie (tarifs sur demande)</t>
  </si>
  <si>
    <t xml:space="preserve">https://www.breteuil.fr/fr/privatisation-chateau-orangerie-breteuil/</t>
  </si>
  <si>
    <t xml:space="preserve">R7-71</t>
  </si>
  <si>
    <t xml:space="preserve">Paris Zigzag - Ce château privé à 45 min de Paris ouvre exceptionnellement au public (Ormesson)</t>
  </si>
  <si>
    <t xml:space="preserve">https://www.pariszigzag.fr/paris-au-quotidien/chateau-ormesson-ouverture/</t>
  </si>
  <si>
    <t xml:space="preserve">presse en ligne</t>
  </si>
  <si>
    <t xml:space="preserve">R7-72</t>
  </si>
  <si>
    <t xml:space="preserve">Restaurants-de-France - fiche Château de Sarzay (avis)</t>
  </si>
  <si>
    <t xml:space="preserve">https://restaurants-de-france.fr/hotel/fr-fr/fiche/chateau-de-sarzay-96114.html</t>
  </si>
  <si>
    <t xml:space="preserve">annuaire en ligne</t>
  </si>
  <si>
    <t xml:space="preserve">R7-73</t>
  </si>
  <si>
    <t xml:space="preserve">Château de Cheverny - Presentation of the estate</t>
  </si>
  <si>
    <t xml:space="preserve">https://www.chateau-cheverny.fr/en/presentation-du-domaine</t>
  </si>
  <si>
    <t xml:space="preserve">TourMaG - Séminaires : l'Europe du Sud dans le viseur de Châteauform' (23/03/2022)</t>
  </si>
  <si>
    <t xml:space="preserve">https://www.tourmag.com/Seminaires-l-Europe-du-Sud-dans-le-viseur-de-Chateauform_a113108.html</t>
  </si>
  <si>
    <t xml:space="preserve">Louer son terrain pour des panneaux solaires : comment cela fonctionne ? (les-energies-renouvelables.eu, mis à jour le 8 janvier 2026)</t>
  </si>
  <si>
    <t xml:space="preserve">https://www.les-energies-renouvelables.eu/conseils/panneaux-solaires-pour-entreprise-professionnels/louer-son-terrain-pour-des-panneaux-solaires-comment-cela-fonctionne/</t>
  </si>
  <si>
    <t xml:space="preserve">site commercial / conseil</t>
  </si>
  <si>
    <t xml:space="preserve">R8 §1.1 loyers PV au sol</t>
  </si>
  <si>
    <t xml:space="preserve">R8-02</t>
  </si>
  <si>
    <t xml:space="preserve">Des surfaces additionnelles grâce à l'agrivoltaïsme (Réussir Pâtre, 8 février 2021)</t>
  </si>
  <si>
    <t xml:space="preserve">https://www.reussir.fr/patre/des-surfaces-additionnelles-grace-lagrivoltaisme</t>
  </si>
  <si>
    <t xml:space="preserve">presse agricole spécialisée</t>
  </si>
  <si>
    <t xml:space="preserve">R8 §1.2 pâturage ovin sous panneaux</t>
  </si>
  <si>
    <t xml:space="preserve">R8-03</t>
  </si>
  <si>
    <t xml:space="preserve">Agrivoltaïsme (Wikipédia, version consultée le 2026-10-14)</t>
  </si>
  <si>
    <t xml:space="preserve">https://fr.wikipedia.org/wiki/Agrivolta%C3%AFsme</t>
  </si>
  <si>
    <t xml:space="preserve">R8 §1.2 cadre loi APER / décret 2024-318</t>
  </si>
  <si>
    <t xml:space="preserve">R8-04</t>
  </si>
  <si>
    <t xml:space="preserve">Forêt française : l'État chiffre la dégradation, le foncier bat des records (France Épargne, 16 septembre 2026)</t>
  </si>
  <si>
    <t xml:space="preserve">https://www.france-epargne.fr/news/foret-francaise-letat-chiffre-la-degradation-le-foncier-bat-des-records</t>
  </si>
  <si>
    <t xml:space="preserve">presse économique (reprend Safer / Société Forestière / France Bois Forêt / DG Trésor)</t>
  </si>
  <si>
    <t xml:space="preserve">R8 §1.5 forêt prix 2025</t>
  </si>
  <si>
    <t xml:space="preserve">R8-05</t>
  </si>
  <si>
    <t xml:space="preserve">Prix des bois sur pied en forêt privée : un recul de 4 % en 2025 (France Bois Forêt, communiqué du 26 mai 2026, PDF)</t>
  </si>
  <si>
    <t xml:space="preserve">https://franceboisforet.fr/wp-content/uploads/2026/05/CP_PlaquettePrixDesBois_v4.pdf</t>
  </si>
  <si>
    <t xml:space="preserve">interprofession (observatoire économique)</t>
  </si>
  <si>
    <t xml:space="preserve">R8 §1.5 forêt prix bois sur pied</t>
  </si>
  <si>
    <t xml:space="preserve">R8-06</t>
  </si>
  <si>
    <t xml:space="preserve">Le marché des forêts en France — Indicateur 2020 (Safer / Société Forestière, PDF 64 p.)</t>
  </si>
  <si>
    <t xml:space="preserve">https://www.ofme.org/documents/actualite/202202/2020_Indicateur_marche_forets_SAFER.pdf</t>
  </si>
  <si>
    <t xml:space="preserve">étude de marché institutionnelle</t>
  </si>
  <si>
    <t xml:space="preserve">R8 §1.5 (constat : aucun chiffre de rendement dans l'indicateur)</t>
  </si>
  <si>
    <t xml:space="preserve">R8-07</t>
  </si>
  <si>
    <t xml:space="preserve">Adjudications de chasse en forêt domaniale (ONF)</t>
  </si>
  <si>
    <t xml:space="preserve">https://www.onf.fr/chasse/adjudications-de-chasse</t>
  </si>
  <si>
    <t xml:space="preserve">établissement public (ONF)</t>
  </si>
  <si>
    <t xml:space="preserve">R8 §1.6 chasse (aucun prix publié)</t>
  </si>
  <si>
    <t xml:space="preserve">R8-08</t>
  </si>
  <si>
    <t xml:space="preserve">Et si la truffe trouvait une place sur votre exploitation ? (Terre-net, Sophie Guyomard, 2 octobre 2026)</t>
  </si>
  <si>
    <t xml:space="preserve">https://www.terre-net.fr/productions-vegetales/article/904311/et-si-la-truffe-trouvait-une-place-sur-votre-exploitation</t>
  </si>
  <si>
    <t xml:space="preserve">presse agricole spécialisée (reprend chambre d'agriculture de la Somme / Agri-Truffe)</t>
  </si>
  <si>
    <t xml:space="preserve">R8 §1.8 truffières</t>
  </si>
  <si>
    <t xml:space="preserve">R8-09</t>
  </si>
  <si>
    <t xml:space="preserve">Enquête truffe : le véritable prix de l'or noir (UFC-Que Choisir, 18 décembre 2024)</t>
  </si>
  <si>
    <t xml:space="preserve">https://www.quechoisir.org/enquete-truffe-le-veritable-prix-de-l-or-noir-n147866/</t>
  </si>
  <si>
    <t xml:space="preserve">R8 §1.8 truffières (variabilité des rendements)</t>
  </si>
  <si>
    <t xml:space="preserve">R8-10</t>
  </si>
  <si>
    <t xml:space="preserve">Délibération CRE n° 2026-58 du 5 mars 2026 portant avis sur un projet d'arrêté modifiant l'arrêté H16 (PDF 9 p.)</t>
  </si>
  <si>
    <t xml:space="preserve">https://www.cre.fr/fileadmin/Documents/Deliberations/2026/260305_2026-58_avis_H16.pdf</t>
  </si>
  <si>
    <t xml:space="preserve">autorité de régulation (CRE)</t>
  </si>
  <si>
    <t xml:space="preserve">R8 §1.4 petite hydroélectricité (seuils OA/CR, plafonds d'heures)</t>
  </si>
  <si>
    <t xml:space="preserve">R8-11</t>
  </si>
  <si>
    <t xml:space="preserve">Question écrite n° 8832 (16e législature) « Production électrique générée par les moulins à eau », réponse publiée au JO le 12 décembre 2023 (PDF)</t>
  </si>
  <si>
    <t xml:space="preserve">https://www.assemblee-nationale.fr/dyn/16/questions/QANR5L16QE8832.pdf</t>
  </si>
  <si>
    <t xml:space="preserve">réponse ministérielle (Assemblée nationale)</t>
  </si>
  <si>
    <t xml:space="preserve">R8 §1.4 tarif H16 ≈ 170 €/MWh pour ≈ 100 kW</t>
  </si>
  <si>
    <t xml:space="preserve">R8-12</t>
  </si>
  <si>
    <t xml:space="preserve">CRE, Coûts et rentabilités de la petite hydroélectricité en métropole continentale, rapport du 30 janvier 2020 (PDF 37 p.)</t>
  </si>
  <si>
    <t xml:space="preserve">https://cre.fr/content/download/21963/278862</t>
  </si>
  <si>
    <t xml:space="preserve">rapport d'audit de la CRE</t>
  </si>
  <si>
    <t xml:space="preserve">R8 §1.4 coûts, productible, TRI de la petite hydro</t>
  </si>
  <si>
    <t xml:space="preserve">R8-13</t>
  </si>
  <si>
    <t xml:space="preserve">Label bas-carbone — page d'accueil (chiffres clés) (ministère de la Transition écologique)</t>
  </si>
  <si>
    <t xml:space="preserve">https://label-bas-carbone.ecologie.gouv.fr/</t>
  </si>
  <si>
    <t xml:space="preserve">site officiel du label</t>
  </si>
  <si>
    <t xml:space="preserve">R8 §1.7 crédits carbone (volumes du label)</t>
  </si>
  <si>
    <t xml:space="preserve">R8-14</t>
  </si>
  <si>
    <t xml:space="preserve">Label bas carbone : le bilan après 6 ans d'existence (Terre-net, Amélie Bachelet, 25 août 2025, d'après I4CE juin 2025)</t>
  </si>
  <si>
    <t xml:space="preserve">https://www.terre-net.fr/changement-climatique/article/886550/label-bas-carbone-le-bilan-apres-6-ans-d-existence</t>
  </si>
  <si>
    <t xml:space="preserve">presse agricole (reprend une étude I4CE)</t>
  </si>
  <si>
    <t xml:space="preserve">R8 §1.7 prix moyen 35 €/t</t>
  </si>
  <si>
    <t xml:space="preserve">R8-15</t>
  </si>
  <si>
    <t xml:space="preserve">Label bas-carbone — La méthode Boisement (V3 du 6 septembre 2025)</t>
  </si>
  <si>
    <t xml:space="preserve">https://label-bas-carbone.ecologie.gouv.fr/la-methode-boisement</t>
  </si>
  <si>
    <t xml:space="preserve">R8 §1.7 conditions de la méthode boisement</t>
  </si>
  <si>
    <t xml:space="preserve">R8-16</t>
  </si>
  <si>
    <t xml:space="preserve">Label bas-carbone — liste des projets labellisés (projets individuels)</t>
  </si>
  <si>
    <t xml:space="preserve">https://label-bas-carbone.ecologie.gouv.fr/liste-projets-labellises?taxonomies_entity_list_filter_field_project_type_tref%5B2%5D=2</t>
  </si>
  <si>
    <t xml:space="preserve">site officiel du label (registre)</t>
  </si>
  <si>
    <t xml:space="preserve">R8 §1.7 crédits par hectare observés</t>
  </si>
  <si>
    <t xml:space="preserve">Prix du gardiennage d'un camping-car : tarifs et options (Wikicampers, 30 novembre 2025)</t>
  </si>
  <si>
    <t xml:space="preserve">https://www.wikicampers.fr/blog/combien-coute-le-gardiennage-dun-camping-car/</t>
  </si>
  <si>
    <t xml:space="preserve">blog commercial (plateforme de location)</t>
  </si>
  <si>
    <t xml:space="preserve">R8 §2.2 hivernage camping-cars</t>
  </si>
  <si>
    <t xml:space="preserve">Hôtels pour voitures de collection (Forbes Belgique, Philippe Coulée, 16 août 2026)</t>
  </si>
  <si>
    <t xml:space="preserve">https://www.forbes.be/fr/hotels-pour-voitures-de-collection/</t>
  </si>
  <si>
    <t xml:space="preserve">R8 §2.1 gardiennage de voitures de collection</t>
  </si>
  <si>
    <t xml:space="preserve">R8-19</t>
  </si>
  <si>
    <t xml:space="preserve">Comparis.ch — annonce de gardiennage de voitures de collection à Saint-Sulpice (VD) (vu dans les résultats de recherche)</t>
  </si>
  <si>
    <t xml:space="preserve">https://www.comparis.ch/immobilien/marktplatz/details/show/33471271</t>
  </si>
  <si>
    <t xml:space="preserve">annonce immobilière (Suisse)</t>
  </si>
  <si>
    <t xml:space="preserve">R8 §2.1 gardiennage CHF 250/mois</t>
  </si>
  <si>
    <t xml:space="preserve">R8-20</t>
  </si>
  <si>
    <t xml:space="preserve">Les Chais de France : stockage de vin pour les particuliers à Paris en cave individuelle (La Passion du Vin, messages de l'entreprise des 6 février et 18 septembre 2020)</t>
  </si>
  <si>
    <t xml:space="preserve">https://www.lapassionduvin.com/vitrine-des-cavistes/49356-les-chais-de-france-stockage-de-vin-pour-les-particuliers-a-paris-en-cave-individuelle</t>
  </si>
  <si>
    <t xml:space="preserve">forum spécialisé (message publié par l'entreprise)</t>
  </si>
  <si>
    <t xml:space="preserve">R8 §2.3 stockage de vins</t>
  </si>
  <si>
    <t xml:space="preserve">R8-21</t>
  </si>
  <si>
    <t xml:space="preserve">Nouveau : iDealwine lance sa cave de stockage idéale (iDealwine, 2 mars 2022, modifié le 3 octobre 2025)</t>
  </si>
  <si>
    <t xml:space="preserve">https://www.idealwine.net/nouveau-idealwine-lance-sa-cave-de-stockage-ideale/</t>
  </si>
  <si>
    <t xml:space="preserve">R8 §2.3 conditions techniques de stockage de vin</t>
  </si>
  <si>
    <t xml:space="preserve">R8-22</t>
  </si>
  <si>
    <t xml:space="preserve">Carte des loyers — Indicateurs de loyers d'annonce par commune en 2025 (ministère de la Transition écologique / ANIL, data.gouv.fr, mise à jour du 11 décembre 2025)</t>
  </si>
  <si>
    <t xml:space="preserve">https://www.data.gouv.fr/fr/datasets/carte-des-loyers-indicateurs-de-loyers-dannonce-par-commune-en-2025/</t>
  </si>
  <si>
    <t xml:space="preserve">données publiques officielles</t>
  </si>
  <si>
    <t xml:space="preserve">R8 §3.1 loyers résidentiels ruraux (méthode)</t>
  </si>
  <si>
    <t xml:space="preserve">R8-23</t>
  </si>
  <si>
    <t xml:space="preserve">Carte des loyers 2025 — fichier maisons pred-mai-mef-dhup.csv (40 premières lignes lues)</t>
  </si>
  <si>
    <t xml:space="preserve">https://static.data.gouv.fr/resources/carte-des-loyers-indicateurs-de-loyers-dannonce-par-commune-en-2025/20251211-145039/pred-mai-mef-dhup.csv</t>
  </si>
  <si>
    <t xml:space="preserve">données publiques officielles (CSV)</t>
  </si>
  <si>
    <t xml:space="preserve">R8 §3.1 loyers de maisons en communes rurales</t>
  </si>
  <si>
    <t xml:space="preserve">CAUE 74, Références 2025 — Réhabilitation ancienne ferme, Le Biot (PDF)</t>
  </si>
  <si>
    <t xml:space="preserve">https://references.caue74.fr/wp-content/uploads/2025/03/REFERENCES_2025_WEB_BIOT.pdf</t>
  </si>
  <si>
    <t xml:space="preserve">organisme public de conseil (CAUE), fiche de réalisation</t>
  </si>
  <si>
    <t xml:space="preserve">R8 §3.2 coût de transformation d'une grange en logement</t>
  </si>
  <si>
    <t xml:space="preserve">R8-25</t>
  </si>
  <si>
    <t xml:space="preserve">Réhabiliter une grange (Habitatpresto, vu dans les résultats de recherche)</t>
  </si>
  <si>
    <t xml:space="preserve">https://www.habitatpresto.com/mag/renovation/rehabiliter-grange-renovation</t>
  </si>
  <si>
    <t xml:space="preserve">R8 §3.2 fourchette générale de rénovation</t>
  </si>
  <si>
    <t xml:space="preserve">R8-26</t>
  </si>
  <si>
    <t xml:space="preserve">Château de Ferrières-en-Brie (Wikipédia, version consultée le 2026-10-14)</t>
  </si>
  <si>
    <t xml:space="preserve">https://fr.wikipedia.org/wiki/Ch%C3%A2teau_de_Ferri%C3%A8res-en-Brie</t>
  </si>
  <si>
    <t xml:space="preserve">R8 §4 locataires institutionnels (école Ferrières)</t>
  </si>
  <si>
    <t xml:space="preserve">R8-27</t>
  </si>
  <si>
    <t xml:space="preserve">Institut Lyfe (Wikipédia, version consultée le 2026-10-14)</t>
  </si>
  <si>
    <t xml:space="preserve">https://fr.wikipedia.org/wiki/Institut_Lyfe</t>
  </si>
  <si>
    <t xml:space="preserve">R8 §4 locataires institutionnels (château du Vivier)</t>
  </si>
  <si>
    <t xml:space="preserve">R8-28</t>
  </si>
  <si>
    <t xml:space="preserve">École nationale supérieure de pâtisserie (Wikipédia, version consultée le 2026-10-14)</t>
  </si>
  <si>
    <t xml:space="preserve">https://fr.wikipedia.org/wiki/%C3%89cole_nationale_sup%C3%A9rieure_de_p%C3%A2tisserie</t>
  </si>
  <si>
    <t xml:space="preserve">R8 §4 locataires institutionnels (château de Montbarnier, Yssingeaux)</t>
  </si>
  <si>
    <t xml:space="preserve">R8-29</t>
  </si>
  <si>
    <t xml:space="preserve">ASPIM — Collecte et performance des fonds immobiliers grand public en 2025 (communiqué du 9 février 2026)</t>
  </si>
  <si>
    <t xml:space="preserve">https://www.aspim.fr/actualites/collecte-et-performance-des-fonds-immobiliers-grand-public-en-2025-des-signaux-damelioration-dans-des-marches-encore-sous-contraintes/</t>
  </si>
  <si>
    <t xml:space="preserve">association professionnelle (données de marché)</t>
  </si>
  <si>
    <t xml:space="preserve">R8 §7.3 rendement des SCPI 2024-2025</t>
  </si>
  <si>
    <t xml:space="preserve">R8-30</t>
  </si>
  <si>
    <t xml:space="preserve">ASPIM — Collecte et performance des fonds immobiliers grand public au premier semestre 2026 (communiqué du 5 août 2026)</t>
  </si>
  <si>
    <t xml:space="preserve">https://www.aspim.fr/actualites/collecte-et-performance-des-fonds-immobiliers-grand-public-au-premier-semestre-2026/</t>
  </si>
  <si>
    <t xml:space="preserve">R8 §7.3 SCPI 1er semestre 2026</t>
  </si>
  <si>
    <t xml:space="preserve">R8-31</t>
  </si>
  <si>
    <t xml:space="preserve">Service-public.gouv.fr — Impôt sur le revenu : revenus d'épargne et de placement (F2613, vérifié le 15 avril 2026)</t>
  </si>
  <si>
    <t xml:space="preserve">https://www.service-public.gouv.fr/particuliers/vosdroits/F2613</t>
  </si>
  <si>
    <t xml:space="preserve">site officiel de l'administration</t>
  </si>
  <si>
    <t xml:space="preserve">R8 §7.2 PFU et prélèvements sociaux 2026</t>
  </si>
  <si>
    <t xml:space="preserve">R8-32</t>
  </si>
  <si>
    <t xml:space="preserve">UBS Global Investment Returns Yearbook 2025 (page de présentation)</t>
  </si>
  <si>
    <t xml:space="preserve">https://www.ubs.com/global/en/investment-bank/insights-and-data/2025/global-investment-returns-yearbook-2025.html</t>
  </si>
  <si>
    <t xml:space="preserve">banque (étude Dimson-Marsh-Staunton)</t>
  </si>
  <si>
    <t xml:space="preserve">R8 §7.1 rendements réels de long terme</t>
  </si>
  <si>
    <t xml:space="preserve">R8-33</t>
  </si>
  <si>
    <t xml:space="preserve">NBER Working Paper 24112 — The Rate of Return on Everything, 1870–2015 (Jordà et al.)</t>
  </si>
  <si>
    <t xml:space="preserve">https://www.nber.org/papers/w24112</t>
  </si>
  <si>
    <t xml:space="preserve">article académique (résumé)</t>
  </si>
  <si>
    <t xml:space="preserve">R8 §7.1 (résumé sans chiffres)</t>
  </si>
  <si>
    <t xml:space="preserve">2025 NACUBO-Commonfund Study of Endowments — Summary and Key Insights (PDF)</t>
  </si>
  <si>
    <t xml:space="preserve">https://edge.sitecorecloud.io/nacubo1-nacubo-prd-dc8b/media/Nacubo/Documents/EndowmentFiles/2025-NCSE---Summary-and-Key-Insights-from-the-2025-NCSE-FINAL.pdf</t>
  </si>
  <si>
    <t xml:space="preserve">étude annuelle de référence (associations professionnelles)</t>
  </si>
  <si>
    <t xml:space="preserve">R8 §7.1 taux de dépense des dotations</t>
  </si>
  <si>
    <t xml:space="preserve">R8-35</t>
  </si>
  <si>
    <t xml:space="preserve">Argos Index® mid-market — 2e trimestre 2026 (Argos Wityu / Epsilon Research, PDF)</t>
  </si>
  <si>
    <t xml:space="preserve">https://argos.fund/wp-content/uploads/2026/09/ARGOS-INDEX-Q2-2026_FR.pdf</t>
  </si>
  <si>
    <t xml:space="preserve">indice de référence du capital-investissement (zone euro)</t>
  </si>
  <si>
    <t xml:space="preserve">R8 §7.5 multiples de valorisation des PME</t>
  </si>
  <si>
    <t xml:space="preserve">R8-36</t>
  </si>
  <si>
    <t xml:space="preserve">Question écrite n° 75244 (12e législature) « transmission », question publiée le 11 octobre 2005, réponse le 15 novembre 2005 (PDF)</t>
  </si>
  <si>
    <t xml:space="preserve">https://www.assemblee-nationale.fr/dyn/12/questions/QANR5L12QE75244.pdf</t>
  </si>
  <si>
    <t xml:space="preserve">question parlementaire citant une étude OSEO-BDPME</t>
  </si>
  <si>
    <t xml:space="preserve">R8 §7.5 taux d'échec des transmissions</t>
  </si>
  <si>
    <t xml:space="preserve">R8-37</t>
  </si>
  <si>
    <t xml:space="preserve">Transmission des commerces : comment éviter le gâchis (Banque des Territoires, vu dans les résultats de recherche, page en maintenance)</t>
  </si>
  <si>
    <t xml:space="preserve">https://www.banquedesterritoires.fr/transmission-des-commerces-comment-eviter-le-gachis</t>
  </si>
  <si>
    <t xml:space="preserve">presse institutionnelle (Caisse des Dépôts)</t>
  </si>
  <si>
    <t xml:space="preserve">R8 §7.5 survie à 5 ans des établissements repris</t>
  </si>
  <si>
    <t xml:space="preserve">R8-38</t>
  </si>
  <si>
    <t xml:space="preserve">Polo de Paris (Wikipédia, version consultée le 2026-10-14)</t>
  </si>
  <si>
    <t xml:space="preserve">https://fr.wikipedia.org/wiki/Polo_de_Paris</t>
  </si>
  <si>
    <t xml:space="preserve">R8 §5 cotisations de club (données 2010)</t>
  </si>
  <si>
    <t xml:space="preserve">R8-39</t>
  </si>
  <si>
    <t xml:space="preserve">Soho House (club) (Wikipedia, version consultée le 2026-10-14)</t>
  </si>
  <si>
    <t xml:space="preserve">https://en.wikipedia.org/wiki/Soho_House_(club)</t>
  </si>
  <si>
    <t xml:space="preserve">R8 §5 modèle Soho Farmhouse / pertes du groupe</t>
  </si>
  <si>
    <t xml:space="preserve">R8-40</t>
  </si>
  <si>
    <t xml:space="preserve">Reschio — About us (site officiel du domaine)</t>
  </si>
  <si>
    <t xml:space="preserve">https://www.reschio.com/about-us</t>
  </si>
  <si>
    <t xml:space="preserve">R8 §6.1 modèle de Castello di Reschio</t>
  </si>
  <si>
    <t xml:space="preserve">R8-41</t>
  </si>
  <si>
    <t xml:space="preserve">Why the ultra-wealthy are buying estates in a part of Italy most Americans have never heard of (Resident, URL datée du 4 juin 2026)</t>
  </si>
  <si>
    <t xml:space="preserve">https://resident.com/amp/story/real-estate-resources/2026/06/04/why-the-ultra-wealthy-are-buying-estates-in-a-part-of-italy-most-americans-have-never-heard-of</t>
  </si>
  <si>
    <t xml:space="preserve">R8 §6.1 Reschio (surface, modèle)</t>
  </si>
  <si>
    <t xml:space="preserve">R8-42</t>
  </si>
  <si>
    <t xml:space="preserve">Luxury farmhouses for sale in Italy (Country Life, texte non lisible, vu dans les résultats de recherche)</t>
  </si>
  <si>
    <t xml:space="preserve">https://countrylife.co.uk/news/luxury-farmhouses-for-sale-in-italy-26095</t>
  </si>
  <si>
    <t xml:space="preserve">presse immobilière de prestige</t>
  </si>
  <si>
    <t xml:space="preserve">R8 §6.1 Reschio (nombre de fermes vendues)</t>
  </si>
  <si>
    <t xml:space="preserve">R8-43</t>
  </si>
  <si>
    <t xml:space="preserve">Castello di Reschio (Wikipedia, version consultée le 2026-10-14)</t>
  </si>
  <si>
    <t xml:space="preserve">https://en.wikipedia.org/wiki/Castello_di_Reschio</t>
  </si>
  <si>
    <t xml:space="preserve">R8 §6.1 Reschio (date d'achat)</t>
  </si>
  <si>
    <t xml:space="preserve">R8-44</t>
  </si>
  <si>
    <t xml:space="preserve">Usufruit, nue-propriété, pleine propriété : quelles différences ? (Service-public, F33076, vérifié le 6 décembre 2024)</t>
  </si>
  <si>
    <t xml:space="preserve">https://www.service-public.gouv.fr/particuliers/vosdroits/F33076</t>
  </si>
  <si>
    <t xml:space="preserve">R8 §6.3 démembrement</t>
  </si>
  <si>
    <t xml:space="preserve">R8-45</t>
  </si>
  <si>
    <t xml:space="preserve">Fonds de dotation (Wikipédia, version consultée le 2026-10-14)</t>
  </si>
  <si>
    <t xml:space="preserve">https://fr.wikipedia.org/wiki/Fonds_de_dotation</t>
  </si>
  <si>
    <t xml:space="preserve">encyclopédie collaborative (sections signalées comme à sourcer)</t>
  </si>
  <si>
    <t xml:space="preserve">R8 §6.4 fonds de dotation</t>
  </si>
  <si>
    <t xml:space="preserve">R8-46</t>
  </si>
  <si>
    <t xml:space="preserve">Fondation de Coubertin (Wikipédia, version consultée le 2026-10-14)</t>
  </si>
  <si>
    <t xml:space="preserve">https://fr.wikipedia.org/wiki/Fondation_de_Coubertin</t>
  </si>
  <si>
    <t xml:space="preserve">R8 §6.4 et §8.2 domaine porté par une fondation, pôle d'artisans</t>
  </si>
  <si>
    <t xml:space="preserve">R8-47</t>
  </si>
  <si>
    <t xml:space="preserve">France compétences — Référentiel unique des NPEC applicables au 1er septembre 2026 (fichier xlsx dans une archive zip, décret n° 2026-832 du 29 août 2026)</t>
  </si>
  <si>
    <t xml:space="preserve">https://www.francecompetences.fr/app/uploads/2026/09/Referentiel-unique-des-NPEC-1er-septembre-2026.zip</t>
  </si>
  <si>
    <t xml:space="preserve">référentiel officiel (autorité publique)</t>
  </si>
  <si>
    <t xml:space="preserve">R8 §8.1 CFA métiers du cheval et du patrimoine</t>
  </si>
  <si>
    <t xml:space="preserve">R8-48</t>
  </si>
  <si>
    <t xml:space="preserve">France compétences — page d'accueil (liens vers les NPEC)</t>
  </si>
  <si>
    <t xml:space="preserve">https://www.francecompetences.fr/</t>
  </si>
  <si>
    <t xml:space="preserve">R8 §8.1 accès au référentiel</t>
  </si>
  <si>
    <t xml:space="preserve">R8-49</t>
  </si>
  <si>
    <t xml:space="preserve">Castello di Reschio opens as unparalleled mecca of Italian authenticity (Cultured, URL datée du 28 juin 2021, vu dans les résultats de recherche)</t>
  </si>
  <si>
    <t xml:space="preserve">R8 §6.1 ouverture de l'hôtel du château (2021), 30 fermes restaurées</t>
  </si>
  <si>
    <t xml:space="preserve">V2A-01</t>
  </si>
  <si>
    <t xml:space="preserve">API Recherche d'entreprises - requête « chateauform » (12 entités du groupe, comptes publiés)</t>
  </si>
  <si>
    <t xml:space="preserve">https://recherche-entreprises.api.gouv.fr/search?q=chateauform&amp;per_page=25</t>
  </si>
  <si>
    <t xml:space="preserve">§1 Châteauform' structure et comptes</t>
  </si>
  <si>
    <t xml:space="preserve">V2A-02</t>
  </si>
  <si>
    <t xml:space="preserve">API BODACC (DILA, opendatasoft) - annonces dont le commerçant contient CHATEAUFORM (158 annonces) et sous-ensemble « ventes et cessions » (3)</t>
  </si>
  <si>
    <t xml:space="preserve">https://bodacc-datadila.opendatasoft.com/api/explore/v2.1/catalog/datasets/annonces-commerciales/records?where=commercant%20like%20%22%25CHATEAUFORM%25%22&amp;limit=100</t>
  </si>
  <si>
    <t xml:space="preserve">registre officiel (BODACC)</t>
  </si>
  <si>
    <t xml:space="preserve">§1 acquisition du fonds de Bellinglise (350 000 €, 2017) et fusion 2024</t>
  </si>
  <si>
    <t xml:space="preserve">V2A-03</t>
  </si>
  <si>
    <t xml:space="preserve">API BODACC - recherche plein texte « chateauform » hors dénomination (42 annonces) : achat du fonds du centre de Fillerval à FORMIVAL (500 000 €, 2017)</t>
  </si>
  <si>
    <t xml:space="preserve">https://bodacc-datadila.opendatasoft.com/api/explore/v2.1/catalog/datasets/annonces-commerciales/records?where=search(*,%22chateauform%22)</t>
  </si>
  <si>
    <t xml:space="preserve">§1 Fillerval</t>
  </si>
  <si>
    <t xml:space="preserve">V2A-04</t>
  </si>
  <si>
    <t xml:space="preserve">API Recherche d'entreprises - CHATEAUFORM'PARTICIPATIONS (SIREN 495133282)</t>
  </si>
  <si>
    <t xml:space="preserve">https://recherche-entreprises.api.gouv.fr/search?q=495133282</t>
  </si>
  <si>
    <t xml:space="preserve">§1 structure</t>
  </si>
  <si>
    <t xml:space="preserve">V2A-05</t>
  </si>
  <si>
    <t xml:space="preserve">API Recherche d'entreprises - requête « bellinglise » (SA CHATEAU DE BELLINGLISE, NAF 68.20B, liquidée)</t>
  </si>
  <si>
    <t xml:space="preserve">https://recherche-entreprises.api.gouv.fr/search?q=bellinglise&amp;per_page=25</t>
  </si>
  <si>
    <t xml:space="preserve">§1 Bellinglise</t>
  </si>
  <si>
    <t xml:space="preserve">V2A-06</t>
  </si>
  <si>
    <t xml:space="preserve">API Recherche d'entreprises - requête « fillerval » (SCI du centre de Fillerval fermée, FORMIVAL fermée, LAGUNE FILLERVAL active)</t>
  </si>
  <si>
    <t xml:space="preserve">https://recherche-entreprises.api.gouv.fr/search?q=fillerval&amp;per_page=25</t>
  </si>
  <si>
    <t xml:space="preserve">V2A-07</t>
  </si>
  <si>
    <t xml:space="preserve">API Recherche d'entreprises - requête « lagune participations » (LAGUNE FILLERVAL créée 2017-10-27, LAGUNE MELLO créée 2018-02-06)</t>
  </si>
  <si>
    <t xml:space="preserve">https://recherche-entreprises.api.gouv.fr/search?q=lagune%20participations&amp;per_page=25</t>
  </si>
  <si>
    <t xml:space="preserve">§1 bailleur investisseur</t>
  </si>
  <si>
    <t xml:space="preserve">V2A-08</t>
  </si>
  <si>
    <t xml:space="preserve">API Recherche d'entreprises - LAGUNE (SIREN 318045069), présidée par BATIPART IMMO EUROPE MANAGEMENT FRANCE, CA 2025 24,9 M€</t>
  </si>
  <si>
    <t xml:space="preserve">https://recherche-entreprises.api.gouv.fr/search?q=318045069</t>
  </si>
  <si>
    <t xml:space="preserve">V2A-09</t>
  </si>
  <si>
    <t xml:space="preserve">Résultats WebSearch « Batipart Châteauform' murs... » (custplace : « Chateauform Le Grand Mello », Suduiraut 61 chambres, Val Saint-Lambert concession 12 ans, Batipart sale and lease back Adeo)</t>
  </si>
  <si>
    <t xml:space="preserve">https://fr.custplace.com/chateauform-le-grand-mello-191849</t>
  </si>
  <si>
    <t xml:space="preserve">résultats de recherche (extraits)</t>
  </si>
  <si>
    <t xml:space="preserve">§1 indices</t>
  </si>
  <si>
    <t xml:space="preserve">V2A-10</t>
  </si>
  <si>
    <t xml:space="preserve">RTBF, « Seraing : le groupe français Châteauform devient partenaire du Val Saint-Lambert », 23/11/2017</t>
  </si>
  <si>
    <t xml:space="preserve">https://www.rtbf.be/article/seraing-le-groupe-francais-chateauform-devient-partenaire-du-val-saint-lambert-9770707</t>
  </si>
  <si>
    <t xml:space="preserve">presse (service public belge)</t>
  </si>
  <si>
    <t xml:space="preserve">§1 contrat de concession 12 ans</t>
  </si>
  <si>
    <t xml:space="preserve">V2A-11</t>
  </si>
  <si>
    <t xml:space="preserve">Châteauform, brochure « Le Château de Suduiraut » (PDF 14 p., extrait localement avec pdftotext)</t>
  </si>
  <si>
    <t xml:space="preserve">https://assets.chateauform.com/pm_8909_101_101148-ewbg6ahorl.pdf</t>
  </si>
  <si>
    <t xml:space="preserve">document commercial de l'exploitant</t>
  </si>
  <si>
    <t xml:space="preserve">§1 maison en domaine viticole (61 chambres)</t>
  </si>
  <si>
    <t xml:space="preserve">V2A-12</t>
  </si>
  <si>
    <t xml:space="preserve">Châteauform, page d'accueil du site (maisons « au vert » de 40 à 185 chambres, « nous concevons, exploitons et animons nos propres lieux », prix « à partir de 290 € HT par participant/jour »)</t>
  </si>
  <si>
    <t xml:space="preserve">https://www.chateauform.com/fr</t>
  </si>
  <si>
    <t xml:space="preserve">site de l'exploitant</t>
  </si>
  <si>
    <t xml:space="preserve">§1 et §4 conditions d'entrée</t>
  </si>
  <si>
    <t xml:space="preserve">V2A-13</t>
  </si>
  <si>
    <t xml:space="preserve">Châteauform, page de recherche des lieux : données structurées de 67 lieux (nom, marque, chambres, participants, salles, coordonnées GPS, accès, fourchette de prix) extraites du code HTML (curl + Python)</t>
  </si>
  <si>
    <t xml:space="preserve">https://www.chateauform.com/fr/search/?requirement=3</t>
  </si>
  <si>
    <t xml:space="preserve">site de l'exploitant (données brutes)</t>
  </si>
  <si>
    <t xml:space="preserve">§4 statistiques chambres et distances</t>
  </si>
  <si>
    <t xml:space="preserve">V2A-14</t>
  </si>
  <si>
    <t xml:space="preserve">API Recherche d'entreprises - requête « chateau de mery » : CHATEAU DE MERY (SIREN 479916298, 82.30Z, 20-49 salariés, CA 2024 5 069 906 €, RN -562 515 €), présidée par FONCIERE DE PARIS SIIC</t>
  </si>
  <si>
    <t xml:space="preserve">https://recherche-entreprises.api.gouv.fr/search?q=chateau%20de%20mery&amp;per_page=25</t>
  </si>
  <si>
    <t xml:space="preserve">§1 Méry (foncière propriétaire de l'exploitation)</t>
  </si>
  <si>
    <t xml:space="preserve">V2A-15</t>
  </si>
  <si>
    <t xml:space="preserve">API Recherche d'entreprises - FONCIERE DE PARIS SIIC (SIREN 331250472), présidée par EUROSIC, siège 16 rue des Capucines</t>
  </si>
  <si>
    <t xml:space="preserve">https://recherche-entreprises.api.gouv.fr/search?q=331250472</t>
  </si>
  <si>
    <t xml:space="preserve">§1 Méry</t>
  </si>
  <si>
    <t xml:space="preserve">V2A-16</t>
  </si>
  <si>
    <t xml:space="preserve">Résultats WebSearch « Foncière de Paris SIIC centres de séminaires Châteauform' » + 7 dépôts AMF/Eurosic téléchargés (aucune mention des centres de séminaires)</t>
  </si>
  <si>
    <t xml:space="preserve">https://echanges.dila.gouv.fr/OPENDATA/AMF/BWR/2011/02/FCBWR064538_20110210.pdf</t>
  </si>
  <si>
    <t xml:space="preserve">résultats de recherche + PDF officiels</t>
  </si>
  <si>
    <t xml:space="preserve">§1 Méry (recherche infructueuse)</t>
  </si>
  <si>
    <t xml:space="preserve">V2A-17</t>
  </si>
  <si>
    <t xml:space="preserve">API Recherche d'entreprises - requête « pierres d'histoire » : PIERRES D HISTOIRE (SIREN 523838811, 55.20Z, 3-5 salariés, CA 2025 1 197 864 €, RN 684 764 €)</t>
  </si>
  <si>
    <t xml:space="preserve">https://recherche-entreprises.api.gouv.fr/search?q=pierres%20d%27histoire&amp;per_page=25</t>
  </si>
  <si>
    <t xml:space="preserve">§3 Courances</t>
  </si>
  <si>
    <t xml:space="preserve">V2A-18</t>
  </si>
  <si>
    <t xml:space="preserve">Pierres d'Histoire, page d'accueil (« collection d'adresses privées », 9 ou 10 domaines « à louer en exclusivité »)</t>
  </si>
  <si>
    <t xml:space="preserve">https://www.pierresdhistoire.com/</t>
  </si>
  <si>
    <t xml:space="preserve">V2A-19</t>
  </si>
  <si>
    <t xml:space="preserve">Pierres d'Histoire, « Notre histoire » (ouverture de Courances en 2015, 10 sites restaurés, 42 maisons, 100 chambres, « en réhabilitant et en exploitant des demeures historiques »)</t>
  </si>
  <si>
    <t xml:space="preserve">https://www.pierresdhistoire.com/notre-histoire</t>
  </si>
  <si>
    <t xml:space="preserve">V2A-20</t>
  </si>
  <si>
    <t xml:space="preserve">Pierres d'Histoire, liste des domaines</t>
  </si>
  <si>
    <t xml:space="preserve">https://www.pierresdhistoire.com/domaines</t>
  </si>
  <si>
    <t xml:space="preserve">§3</t>
  </si>
  <si>
    <t xml:space="preserve">V2A-21</t>
  </si>
  <si>
    <t xml:space="preserve">Pierres d'Histoire, fiche « Domaine de Courances » (7 maisons, 39 personnes, château privé, « Rénovation du hameau en partenariat avec Pierres d'Histoire en 2015 », prix par nuit)</t>
  </si>
  <si>
    <t xml:space="preserve">https://www.pierresdhistoire.com/domaines/courances</t>
  </si>
  <si>
    <t xml:space="preserve">V2A-22</t>
  </si>
  <si>
    <t xml:space="preserve">API Recherche d'entreprises - requête « esprit de france » (holding ESPRIT DE FRANCE présidée par COMPAGNIE LEBON, une SAS par hôtel parisien)</t>
  </si>
  <si>
    <t xml:space="preserve">https://recherche-entreprises.api.gouv.fr/search?q=esprit%20de%20france&amp;per_page=25</t>
  </si>
  <si>
    <t xml:space="preserve">§1 concurrents</t>
  </si>
  <si>
    <t xml:space="preserve">V2A-23</t>
  </si>
  <si>
    <t xml:space="preserve">API Recherche d'entreprises - requête « fontenille » + NAF 55.10Z (PRIMARD SAS, FONTENILLE OPPEDE, CHALAMON SAS : comptes déficitaires)</t>
  </si>
  <si>
    <t xml:space="preserve">https://recherche-entreprises.api.gouv.fr/search?q=fontenille&amp;activite_principale=55.10Z&amp;per_page=25</t>
  </si>
  <si>
    <t xml:space="preserve">V2A-24</t>
  </si>
  <si>
    <t xml:space="preserve">API Recherche d'entreprises - requête « les maisons de campagne » (SAMH LES MAISONS DE CAMPAGNE 2017, siège au château de Villiers-le-Mahieu, présidée par LES HOTELS (TRES) PARTICULIERS)</t>
  </si>
  <si>
    <t xml:space="preserve">https://recherche-entreprises.api.gouv.fr/search?q=les%20maisons%20de%20campagne&amp;per_page=25</t>
  </si>
  <si>
    <t xml:space="preserve">V2A-25</t>
  </si>
  <si>
    <t xml:space="preserve">API Recherche d'entreprises - requête « millesime » + NAF 82.30Z/55.10Z/55.20Z/68.20B (aucun opérateur de séminaires en château identifiable)</t>
  </si>
  <si>
    <t xml:space="preserve">https://recherche-entreprises.api.gouv.fr/search?q=millesime&amp;activite_principale=82.30Z,55.10Z,55.20Z,68.20B&amp;per_page=25</t>
  </si>
  <si>
    <t xml:space="preserve">V2A-26</t>
  </si>
  <si>
    <t xml:space="preserve">API Recherche d'entreprises - LES HOTELS (TRES) PARTICULIERS (SIREN 820234904, 2025 : CA 2 558 733 €, RN -127 477 €)</t>
  </si>
  <si>
    <t xml:space="preserve">https://recherche-entreprises.api.gouv.fr/search?q=820234904</t>
  </si>
  <si>
    <t xml:space="preserve">V2A-27</t>
  </si>
  <si>
    <t xml:space="preserve">API Recherche d'entreprises - requête « villiers-le-mahieu » (CHATEAU DE VILLIERS LE MAHIEU, SH VILLIERS-LE-MAHIEU, SCI DU TOURINIER au château, sociétés hôtelières du même groupe)</t>
  </si>
  <si>
    <t xml:space="preserve">https://recherche-entreprises.api.gouv.fr/search?q=villiers-le-mahieu&amp;activite_principale=55.10Z,82.30Z,68.20B,64.20Z,68.10Z&amp;per_page=25</t>
  </si>
  <si>
    <t xml:space="preserve">§1 concurrents (propriétaire-exploitant)</t>
  </si>
  <si>
    <t xml:space="preserve">V2A-28</t>
  </si>
  <si>
    <t xml:space="preserve">Résultats WebSearch « méthode hôtelière loyer renouvellement... » (CA Caen 9 oct. 2025 : taux sur recette 13 % demandé par une partie, abattements 15 % et 20 %)</t>
  </si>
  <si>
    <t xml:space="preserve">https://www.doctrine.fr/d/CA/Caen/2025/CAPE3D548D7FFAC738EB4DA</t>
  </si>
  <si>
    <t xml:space="preserve">résultats de recherche (jurisprudence, extraits, page Doctrine non accessible)</t>
  </si>
  <si>
    <t xml:space="preserve">§2 comparables</t>
  </si>
  <si>
    <t xml:space="preserve">V2A-29</t>
  </si>
  <si>
    <t xml:space="preserve">La Grande Bibliothèque du Droit, « Baux hôteliers (fr) » : compte rendu (A.-L. Lonné-Clément, Lexbase) de la réunion du 13/12/2011 de la commission de droit immobilier du barreau de Paris</t>
  </si>
  <si>
    <t xml:space="preserve">https://lagbd.org/Baux_h%C3%B4teliers_(fr)</t>
  </si>
  <si>
    <t xml:space="preserve">doctrine juridique (compte rendu)</t>
  </si>
  <si>
    <t xml:space="preserve">§2 et §5 loyers en % du CA, monovalence, méthode hôtelière</t>
  </si>
  <si>
    <t xml:space="preserve">V2A-30</t>
  </si>
  <si>
    <t xml:space="preserve">Kohen Avocats, commentaire de TJ Marseille, juge des loyers commerciaux, 7 avril 2026, RG 20/11618 (hôtel : loyer renouvelé fixé à 72 000 €/an, méthode hôtelière actualisée)</t>
  </si>
  <si>
    <t xml:space="preserve">https://kohenavocats.com/tribunal-judiciaire-de-marseille-le-7-avril-2026-n20-11618/</t>
  </si>
  <si>
    <t xml:space="preserve">commentaire d'avocat sur décision de justice</t>
  </si>
  <si>
    <t xml:space="preserve">§2 et §5</t>
  </si>
  <si>
    <t xml:space="preserve">V2A-31</t>
  </si>
  <si>
    <t xml:space="preserve">Covivio Hotels, communiqué résultats semestriels 2020 (15/07/2020, dépôt AMF) : loyers variables -67 %, clause de sous-performance IHG, taux de couverture des loyers 1,8x fin 2019</t>
  </si>
  <si>
    <t xml:space="preserve">https://echanges.dila.gouv.fr/OPENDATA/AMF/ECO/2020/07/FCECO055802_20200715.pdf</t>
  </si>
  <si>
    <t xml:space="preserve">rapport financier d'une foncière cotée (PDF, pdftotext)</t>
  </si>
  <si>
    <t xml:space="preserve">§2 et §5 risques</t>
  </si>
  <si>
    <t xml:space="preserve">V2A-32</t>
  </si>
  <si>
    <t xml:space="preserve">Covivio, communiqué résultats annuels 2023 (15/02/2024, dépôt AMF) : 54 hôtels loués à AccorInvest « en loyer variable sur chiffre d'affaires », fonds de commerce valorisés « au rendement de 12% », répartition fixe 60 % / variable 17 % / EBITDA 23 %</t>
  </si>
  <si>
    <t xml:space="preserve">https://echanges.dila.gouv.fr/OPENDATA/AMF/ECO/2024/02/FCECO073798_20240215.pdf</t>
  </si>
  <si>
    <t xml:space="preserve">V2A-33</t>
  </si>
  <si>
    <t xml:space="preserve">Covivio, communiqué du 07/11/2023 (négociations AccorInvest, part de loyers variables 20 % passant à 7 %)</t>
  </si>
  <si>
    <t xml:space="preserve">https://echanges.dila.gouv.fr/OPENDATA/AMF/ECO/2023/11/FCECO072950_20231107.pdf</t>
  </si>
  <si>
    <t xml:space="preserve">communiqué d'une foncière cotée (PDF)</t>
  </si>
  <si>
    <t xml:space="preserve">V2A-34</t>
  </si>
  <si>
    <t xml:space="preserve">Résultats WebSearch « Grand Contrôle Versailles Airelles redevance... » (aucune donnée de redevance trouvée)</t>
  </si>
  <si>
    <t xml:space="preserve">https://en.versailles-tourisme.com/airelles-chateau-de-versailles-le-grand-controle.html</t>
  </si>
  <si>
    <t xml:space="preserve">résultats de recherche</t>
  </si>
  <si>
    <t xml:space="preserve">§2 (recherche infructueuse)</t>
  </si>
  <si>
    <t xml:space="preserve">V2A-35</t>
  </si>
  <si>
    <t xml:space="preserve">Service Public Entreprendre, « Contrat de bail commercial » (F23927), vérifié le 28/05/2025</t>
  </si>
  <si>
    <t xml:space="preserve">https://entreprendre.service-public.gouv.fr/vosdroits/F23927</t>
  </si>
  <si>
    <t xml:space="preserve">§5 cadre juridique</t>
  </si>
  <si>
    <t xml:space="preserve">V2A-36</t>
  </si>
  <si>
    <t xml:space="preserve">Service Public Entreprendre, « Comment est évaluée l'indemnité d'éviction d'un bail commercial ? » (F32783), vérifié le 16/04/2025</t>
  </si>
  <si>
    <t xml:space="preserve">https://entreprendre.service-public.gouv.fr/vosdroits/F32783</t>
  </si>
  <si>
    <t xml:space="preserve">§5 indemnité d'éviction</t>
  </si>
  <si>
    <t xml:space="preserve">V2A-37</t>
  </si>
  <si>
    <t xml:space="preserve">Service Public Entreprendre, « Loyer du bail commercial » (F31925), vérifié le 28/05/2026 (clause recettes, loyer minimum garanti, révision, lissage 10 %)</t>
  </si>
  <si>
    <t xml:space="preserve">https://entreprendre.service-public.gouv.fr/vosdroits/F31925</t>
  </si>
  <si>
    <t xml:space="preserve">§5 loyer</t>
  </si>
  <si>
    <t xml:space="preserve">Service Public Entreprendre, « Bail commercial : charges et dépenses du locataire et du bailleur » (F32336), vérifié le 29/05/2026</t>
  </si>
  <si>
    <t xml:space="preserve">https://entreprendre.service-public.gouv.fr/vosdroits/F32336</t>
  </si>
  <si>
    <t xml:space="preserve">§5 travaux (grosses réparations à la charge du bailleur)</t>
  </si>
  <si>
    <t xml:space="preserve">V2A-39</t>
  </si>
  <si>
    <t xml:space="preserve">Service Public Entreprendre, « Que devient le bail commercial lorsque le locataire est en procédure collective ? » (F36624), vérifié le 17/07/2026</t>
  </si>
  <si>
    <t xml:space="preserve">https://entreprendre.service-public.gouv.fr/vosdroits/F36624</t>
  </si>
  <si>
    <t xml:space="preserve">§5 défaillance de l'exploitant</t>
  </si>
  <si>
    <t xml:space="preserve">V2A-40</t>
  </si>
  <si>
    <t xml:space="preserve">Service Public Entreprendre, « Bail dérogatoire (ou bail de courte durée) » (F32304), vérifié le 09/06/2026</t>
  </si>
  <si>
    <t xml:space="preserve">https://entreprendre.service-public.gouv.fr/vosdroits/F32304</t>
  </si>
  <si>
    <t xml:space="preserve">§5 alternatives</t>
  </si>
  <si>
    <t xml:space="preserve">V2A-41</t>
  </si>
  <si>
    <t xml:space="preserve">Service Public Entreprendre, « Renouvellement ou prolongation tacite du bail commercial » (F22854), vérifié le 10/10/2025 (9 ans minimum, plafonnement, déplafonnement si bail &gt; 9 ans ou &gt; 12 ans tacite)</t>
  </si>
  <si>
    <t xml:space="preserve">https://entreprendre.service-public.gouv.fr/vosdroits/F22854</t>
  </si>
  <si>
    <t xml:space="preserve">§5 renouvellement</t>
  </si>
  <si>
    <t xml:space="preserve">V2A-42</t>
  </si>
  <si>
    <t xml:space="preserve">Service Public Entreprendre, dossier « Bail commercial » (N31379) et recherche interne</t>
  </si>
  <si>
    <t xml:space="preserve">https://entreprendre.service-public.gouv.fr/vosdroits/N31379</t>
  </si>
  <si>
    <t xml:space="preserve">§5</t>
  </si>
  <si>
    <t xml:space="preserve">V2A-43</t>
  </si>
  <si>
    <t xml:space="preserve">Service Public Entreprendre, « Résilier un bail commercial » (F31707), vérifié le 28/05/2026 (résiliation triennale et exclusions, reprise par le bailleur, clause résolutoire)</t>
  </si>
  <si>
    <t xml:space="preserve">https://entreprendre.service-public.gouv.fr/vosdroits/F31707</t>
  </si>
  <si>
    <t xml:space="preserve">V2A-44</t>
  </si>
  <si>
    <t xml:space="preserve">Service Public Entreprendre, « En cas de vente d'un local commercial, le locataire est-il prioritaire pour le racheter ? » (F32253), vérifié le 28/05/2026</t>
  </si>
  <si>
    <t xml:space="preserve">https://entreprendre.service-public.gouv.fr/vosdroits/F32253</t>
  </si>
  <si>
    <t xml:space="preserve">§5 droit de préférence</t>
  </si>
  <si>
    <t xml:space="preserve">V2A-45</t>
  </si>
  <si>
    <t xml:space="preserve">Service Public Entreprendre, « Location-gérance d'un fonds de commerce » (F23573), vérifié le 28/08/2026</t>
  </si>
  <si>
    <t xml:space="preserve">https://entreprendre.service-public.gouv.fr/vosdroits/F23573</t>
  </si>
  <si>
    <t xml:space="preserve">§5 alternative (location-gérance)</t>
  </si>
  <si>
    <t xml:space="preserve">V2A-46</t>
  </si>
  <si>
    <t xml:space="preserve">Résultats WebSearch « Pierres d'Histoire Dominique Imbert Courances... » (Hospitality ON : « Pierres d'Histoire est une société d'exploitation pure. Nous ne sommes pas propriétaires des sites. », page en 403 / anti-robot)</t>
  </si>
  <si>
    <t xml:space="preserve">https://hospitality-on.com/fr/location-meublee/dominique-imbert-pierres-dhistoire-nous-sauvons-durablement-le-patrimoine-en-en</t>
  </si>
  <si>
    <t xml:space="preserve">presse professionnelle (extrait)</t>
  </si>
  <si>
    <t xml:space="preserve">V2A-47</t>
  </si>
  <si>
    <t xml:space="preserve">Presseagence.fr, « Richebourg - Pierres d'Histoire : une restauration respectueuse et minutieuse » (02/05/2025)</t>
  </si>
  <si>
    <t xml:space="preserve">https://presseagence.fr/richebourg-pierres-dhistoire-une-restauration-respectueuse-et-minutieuse/</t>
  </si>
  <si>
    <t xml:space="preserve">V2A-48</t>
  </si>
  <si>
    <t xml:space="preserve">Paris Zigzag, séjours Pierres d'Histoire (Courances, Régie, Hameau, château de Fleury), modifié le 14/06/2021</t>
  </si>
  <si>
    <t xml:space="preserve">https://www.pariszigzag.fr/?p=127459</t>
  </si>
  <si>
    <t xml:space="preserve">presse (loisirs)</t>
  </si>
  <si>
    <t xml:space="preserve">V2A-49</t>
  </si>
  <si>
    <t xml:space="preserve">API Recherche d'entreprises - requête « chateau » + code postal 78730 (SA TAKEI, 68.20B, siège au château de Rochefort, établissement Chateauform' ouvert en 2008)</t>
  </si>
  <si>
    <t xml:space="preserve">https://recherche-entreprises.api.gouv.fr/search?q=chateau&amp;code_postal=78730&amp;activite_principale=68.20A,68.20B,68.10Z,64.20Z,55.10Z,82.30Z&amp;per_page=25</t>
  </si>
  <si>
    <t xml:space="preserve">§1 Rochefort</t>
  </si>
  <si>
    <t xml:space="preserve">V2A-50</t>
  </si>
  <si>
    <t xml:space="preserve">API Recherche d'entreprises - requête « royaumont » (établissement Chateauform' au palais abbatial depuis 2012, TRUST ANAVIM, 68.20B, siège New York, établissement « Domaine Royaumont »)</t>
  </si>
  <si>
    <t xml:space="preserve">https://recherche-entreprises.api.gouv.fr/search?q=royaumont&amp;activite_principale=68.20A,68.20B,68.10Z,64.20Z,55.10Z,82.30Z,94.99Z&amp;per_page=25</t>
  </si>
  <si>
    <t xml:space="preserve">§1 Royaumont</t>
  </si>
  <si>
    <t xml:space="preserve">V2A-51</t>
  </si>
  <si>
    <t xml:space="preserve">API Recherche d'entreprises - requête « chateau » + code postal 78490 (établissements Chateauform' aux Mesnuls, Mareil-le-Guyon, Tremblay, anciennes sociétés hôtelières fermées en 2009 et 2014)</t>
  </si>
  <si>
    <t xml:space="preserve">https://recherche-entreprises.api.gouv.fr/search?q=chateau&amp;code_postal=78490&amp;activite_principale=68.20A,68.20B,68.10Z,64.20Z,55.10Z,82.30Z&amp;per_page=25</t>
  </si>
  <si>
    <t xml:space="preserve">§1 et §8 rotation des exploitants</t>
  </si>
  <si>
    <t xml:space="preserve">V2A-52</t>
  </si>
  <si>
    <t xml:space="preserve">API Recherche d'entreprises - requête « herces » (établissement Chateauform' ouvert en 2021, ancienne société hôtelière BERCHERES ET HERCES fermée)</t>
  </si>
  <si>
    <t xml:space="preserve">https://recherche-entreprises.api.gouv.fr/search?q=herces&amp;per_page=25</t>
  </si>
  <si>
    <t xml:space="preserve">§1 et §8</t>
  </si>
  <si>
    <t xml:space="preserve">V2A-53</t>
  </si>
  <si>
    <t xml:space="preserve">API Recherche d'entreprises - requête « chateau » + code postal 77600 (établissement Chateauform' au château de Guermantes depuis 2010, 65 établissements dont 54 ouverts)</t>
  </si>
  <si>
    <t xml:space="preserve">https://recherche-entreprises.api.gouv.fr/search?q=chateau&amp;code_postal=77600&amp;activite_principale=68.20A,68.20B,68.10Z,64.20Z,55.10Z,82.30Z&amp;per_page=25</t>
  </si>
  <si>
    <t xml:space="preserve">§1</t>
  </si>
  <si>
    <t xml:space="preserve">V2A-54</t>
  </si>
  <si>
    <t xml:space="preserve">Voyages d'Affaires, entretien avec Benjamin Abittan (Châteauform'), « Je serai prudent en 2025 », 06/01/2025 (concession de 5 ans de l'Institut de France, « 15 ou 30 ans », critères gare, maisons de 60 à 160 chambres, Bail Engagé Climat avec Icade)</t>
  </si>
  <si>
    <t xml:space="preserve">presse professionnelle (déjà lue par R7, [R7-25])</t>
  </si>
  <si>
    <t xml:space="preserve">§1 et §4</t>
  </si>
  <si>
    <t xml:space="preserve">V2A-55</t>
  </si>
  <si>
    <t xml:space="preserve">TourMaG, « Séminaires : l'Europe du Sud dans le viseur de Châteauform' », 23/03/2022 (Marseille : « pas moins de 51 chambres », aucun élément sur la propriété des murs)</t>
  </si>
  <si>
    <t xml:space="preserve">presse professionnelle (déjà lue par R7, [R7-74])</t>
  </si>
  <si>
    <t xml:space="preserve">§4</t>
  </si>
  <si>
    <t xml:space="preserve">V2A-56</t>
  </si>
  <si>
    <t xml:space="preserve">Résultats WebSearch « délibération conseil municipal bail château exploitant... » (aucune délibération Châteauform', baux emphytéotiques de Besançon)</t>
  </si>
  <si>
    <t xml:space="preserve">https://datasets.grandbesancon.fr/fichiers/delibs/villeDeBesancon/conseilMunicipal/2019/20190919/a190943.pdf</t>
  </si>
  <si>
    <t xml:space="preserve">§6</t>
  </si>
  <si>
    <t xml:space="preserve">V2A-57</t>
  </si>
  <si>
    <t xml:space="preserve">Ville de Besançon, délibération du 19/09/2019 : bail emphytéotique de 25 ans à la SAS Le Château de Germigney (café-restaurant), canon de 4 500 €/an, toutes réparations à la charge de l'emphytéote, retour sans indemnité (PDF, pdftotext)</t>
  </si>
  <si>
    <t xml:space="preserve">délibération publique</t>
  </si>
  <si>
    <t xml:space="preserve">§6 modèle emphytéotique</t>
  </si>
  <si>
    <t xml:space="preserve">V2A-58</t>
  </si>
  <si>
    <t xml:space="preserve">Ville de Besançon, délibération du 28/04/2005 : château de Montfort, bail emphytéotique de 18 ans à l'Association d'Hygiène Sociale du Doubs, loyer annuel 22 945,50 € indexé ICC (PDF)</t>
  </si>
  <si>
    <t xml:space="preserve">https://datasets.grandbesancon.fr/fichiers/delibs/villeDeBesancon/conseilMunicipal/2005/20050428/28avril32.pdf</t>
  </si>
  <si>
    <t xml:space="preserve">§6 locataire institutionnel</t>
  </si>
  <si>
    <t xml:space="preserve">V2A-59</t>
  </si>
  <si>
    <t xml:space="preserve">Résultats WebSearch « Château de Suduiraut Châteauform AXA Millésimes » (propriété AXA Millésimes depuis 1992, Decanter : incendie dans une aile « rented out for conferences », ancien centre de séminaires AXA-Université)</t>
  </si>
  <si>
    <t xml:space="preserve">https://decanter.com/?p=395932</t>
  </si>
  <si>
    <t xml:space="preserve">résultats de recherche (extraits, page Decanter illisible)</t>
  </si>
  <si>
    <t xml:space="preserve">§3 et §8 Suduiraut</t>
  </si>
  <si>
    <t xml:space="preserve">V2A-60</t>
  </si>
  <si>
    <t xml:space="preserve">Résultats WebSearch « Châteauform' interview dirigeant développement... » (aucun résultat pertinent)</t>
  </si>
  <si>
    <t xml:space="preserve">https://www.galivel.com/media/files/191023_barnes_chateaux.pdf</t>
  </si>
  <si>
    <t xml:space="preserve">— (recherche infructueuse)</t>
  </si>
  <si>
    <t xml:space="preserve">V2A-61</t>
  </si>
  <si>
    <t xml:space="preserve">Résultats WebSearch « Pierre et Vacances suspension paiement loyers... » (conciliation, 740 propriétaires assignant, abandon proposé de 5 mois de loyers sous condition de 85 % des lots, pages L'Écho touristique en 403)</t>
  </si>
  <si>
    <t xml:space="preserve">https://www.lechotouristique.com/article/covid-19-pierre-vacances-reduit-les-loyers-impayes-a-5-mois</t>
  </si>
  <si>
    <t xml:space="preserve">presse professionnelle (extraits)</t>
  </si>
  <si>
    <t xml:space="preserve">V2A-62</t>
  </si>
  <si>
    <t xml:space="preserve">Assemblée nationale, question écrite n° 38760 (Mme Cazarian), « Situation des bailleurs commerciaux liés à Pierre et Vacances », JO 11/05/2021, réponse JO 31/05/2022 (PDF, pdftotext)</t>
  </si>
  <si>
    <t xml:space="preserve">https://questions.assemblee-nationale.fr/dyn/15/questions/QANR5L15QE38760.pdf</t>
  </si>
  <si>
    <t xml:space="preserve">V2A-63</t>
  </si>
  <si>
    <t xml:space="preserve">Assemblée nationale, question écrite n° 30678 (M. Sermier), « Difficultés des bailleurs en résidence de tourisme », JO 23/06/2020 (PDF)</t>
  </si>
  <si>
    <t xml:space="preserve">https://questions.assemblee-nationale.fr/dyn/15/questions/QANR5L15QE30678.pdf</t>
  </si>
  <si>
    <t xml:space="preserve">V2C-01</t>
  </si>
  <si>
    <t xml:space="preserve">INSEE, Banque de données macro-économiques (API SDMX) — Index du bâtiment BT01 tous corps d'état, base 2010, idbank 001710986 (dernière mise à jour 15/09/2026, données 2014-10 à 2026-07)</t>
  </si>
  <si>
    <t xml:space="preserve">https://bdm.insee.fr/series/sdmx/data/SERIES_BDM/001710986</t>
  </si>
  <si>
    <t xml:space="preserve">statistique officielle (API)</t>
  </si>
  <si>
    <t xml:space="preserve">V2C §4</t>
  </si>
  <si>
    <t xml:space="preserve">V2C-02</t>
  </si>
  <si>
    <t xml:space="preserve">INSEE BDM (API SDMX) — Index BT01 tous corps d'état, référence 100 en janvier 1974, série arrêtée, idbank 000008631 (données jusqu'à 2014-09)</t>
  </si>
  <si>
    <t xml:space="preserve">https://bdm.insee.fr/series/sdmx/data/INDEX-BT-TP-DIV-ANCIENNES-BASES?startPeriod=2000</t>
  </si>
  <si>
    <t xml:space="preserve">V2C-03</t>
  </si>
  <si>
    <t xml:space="preserve">INSEE BDM (API SDMX) — Indice des prix de l'entretien-amélioration des bâtiments (IPEA), base 2021 : résidentiel 011779962, couverture 011779978, menuiserie 011779972, plomberie-chauffage 011779966, tous bâtiments 011779960 (données 2000-T1 à 2026-T2)</t>
  </si>
  <si>
    <t xml:space="preserve">https://bdm.insee.fr/series/sdmx/data/IPEA-2021?startPeriod=2000</t>
  </si>
  <si>
    <t xml:space="preserve">V2C-04</t>
  </si>
  <si>
    <t xml:space="preserve">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</si>
  <si>
    <t xml:space="preserve">https://bdm.insee.fr/series/sdmx/data/IPC-2015/M...0451........?startPeriod=2000</t>
  </si>
  <si>
    <t xml:space="preserve">V2C-05</t>
  </si>
  <si>
    <t xml:space="preserve">INSEE BDM (API SDMX) — Montant du SMIC brut horaire, idbank 000822484 (2000-01 à 2026-10)</t>
  </si>
  <si>
    <t xml:space="preserve">https://bdm.insee.fr/series/sdmx/data/SMIC-COTISATIONS?startPeriod=2000</t>
  </si>
  <si>
    <t xml:space="preserve">V2C-06</t>
  </si>
  <si>
    <t xml:space="preserve">INSEE BDM (API SDMX) — Indice des taux de salaire horaire des ouvriers et des employés (ACEMO), base 100 au T2 2017 : services administratifs et de soutien NZ 010562769, ensemble non agricole 010562787</t>
  </si>
  <si>
    <t xml:space="preserve">https://bdm.insee.fr/series/sdmx/data/SALAIRES-ACEMO-2017?startPeriod=2005</t>
  </si>
  <si>
    <t xml:space="preserve">V2C-07</t>
  </si>
  <si>
    <t xml:space="preserve">IGF-IGAC (F.-X. Deniau, G. Amsellem, S. Kancel) — « Modernisation de la notion fiscale d'ouverture au public pour les propriétaires privés de monuments », rapport n° 2019-M-065-03 / 2020-06, février 2020 (inclut une enquête de La Demeure Historique auprès de 187 propriétaires)</t>
  </si>
  <si>
    <t xml:space="preserve">https://www.culture.gouv.fr/de/mc/content/download/281740/pdf_file/Rapport_Monuments-historiques.pdf?version=2</t>
  </si>
  <si>
    <t xml:space="preserve">rapport d'inspection publique (PDF)</t>
  </si>
  <si>
    <t xml:space="preserve">V2C §1 §5</t>
  </si>
  <si>
    <t xml:space="preserve">V2C-08</t>
  </si>
  <si>
    <t xml:space="preserve">RTBF Actus (S. Hosni) — « Les châteaux belges : entre luxe et gouffre financier » (14 mars 2025)</t>
  </si>
  <si>
    <t xml:space="preserve">https://www.rtbf.be/article/les-chateaux-belges-entre-luxe-et-gouffre-financier-11516135</t>
  </si>
  <si>
    <t xml:space="preserve">presse (Belgique)</t>
  </si>
  <si>
    <t xml:space="preserve">V2C §1</t>
  </si>
  <si>
    <t xml:space="preserve">V2C-09</t>
  </si>
  <si>
    <t xml:space="preserve">AFP via Connaissance des Énergies — « Dans les châteaux de la Loire, le coût de l'énergie grimpe dans les tours » (mis à jour le 24 octobre 2022)</t>
  </si>
  <si>
    <t xml:space="preserve">https://www.connaissancedesenergies.org/afp/dans-les-chateaux-de-la-loire-le-cout-de-lenergie-grimpe-dans-les-tours-221022-0</t>
  </si>
  <si>
    <t xml:space="preserve">presse (dépêche AFP)</t>
  </si>
  <si>
    <t xml:space="preserve">V2C §1 §2</t>
  </si>
  <si>
    <t xml:space="preserve">V2C-10</t>
  </si>
  <si>
    <t xml:space="preserve">La Demeure Historique, revue n° 202 — dossier « Le financement privé des travaux » (mécénat, financement participatif, aucune donnée de budget annuel de propriétaire)</t>
  </si>
  <si>
    <t xml:space="preserve">https://www.demeure-historique.org/wp-content/uploads/2022/09/article-DH202-financement-privé-des-travaux.pdf</t>
  </si>
  <si>
    <t xml:space="preserve">revue d'association (PDF)</t>
  </si>
  <si>
    <t xml:space="preserve">V2C §1 (sans donnée utile)</t>
  </si>
  <si>
    <t xml:space="preserve">V2C-11</t>
  </si>
  <si>
    <t xml:space="preserve">Ville de Liffré (35), service espaces verts — « Document cadre de la gestion différenciée » (novembre 2021, 17 p.) : tâches et fréquences par code d'entretien</t>
  </si>
  <si>
    <t xml:space="preserve">https://www.ville-liffre.fr/wp-content/uploads/sites/2/2022/05/PHASE-1-DU-DOCUMENT-CADRE-DE-LA-GESTION-DIFFERENCIEE-.pdf</t>
  </si>
  <si>
    <t xml:space="preserve">document de collectivité (PDF)</t>
  </si>
  <si>
    <t xml:space="preserve">V2C §2 §3</t>
  </si>
  <si>
    <t xml:space="preserve">V2C-12</t>
  </si>
  <si>
    <t xml:space="preserve">Commune de Marmande (47) — « Le Plan de Gestion Différenciée des espaces verts » (avril 2025), annexe à la délibération D_2025_E_03 du 28 avril 2025 : 32 agents, 193,21 ha</t>
  </si>
  <si>
    <t xml:space="preserve">https://www.mairie-marmande.fr/app/uploads/2025/06/D_2025.E.03_Annexe.pdf</t>
  </si>
  <si>
    <t xml:space="preserve">délibération de collectivité (PDF)</t>
  </si>
  <si>
    <t xml:space="preserve">V2C §3</t>
  </si>
  <si>
    <t xml:space="preserve">V2C-13</t>
  </si>
  <si>
    <t xml:space="preserve">Ville d'Avignon — « L'éco-pâturage gagne du terrain à Avignon » (document interne, juin 2020) : convention de 3 ans, 13 ha, 75 animaux, économie estimée &gt; 12 000 €/an</t>
  </si>
  <si>
    <t xml:space="preserve">https://www.avignon.fr/fileadmin/actualites/Documents/interne_juin_2020/Eco_Paturage_terrain.pdf</t>
  </si>
  <si>
    <t xml:space="preserve">V2C-14</t>
  </si>
  <si>
    <t xml:space="preserve">Métropole Rouen Normandie — communiqué « Terrains cherchent herbivores ! » (appel à candidatures éco-pâturage, 2016)</t>
  </si>
  <si>
    <t xml:space="preserve">https://www.metropole-rouen-normandie.fr/sites/default/files/documents/dossier_presse/CP_ecopaturage.pdf</t>
  </si>
  <si>
    <t xml:space="preserve">communiqué de collectivité (PDF)</t>
  </si>
  <si>
    <t xml:space="preserve">V2C §2</t>
  </si>
  <si>
    <t xml:space="preserve">V2C-15</t>
  </si>
  <si>
    <t xml:space="preserve">Ville de Dumbéa (Nouvelle-Calédonie) — communiqué « Gestion différenciée des espaces verts » (août 2026) : baisse attendue des coûts de 20 à 40 % (téléchargement refusé, 403)</t>
  </si>
  <si>
    <t xml:space="preserve">https://www.ville-dumbea.nc/sites/default/files/2026-08/2026-28%20Gestion%20diffe%CC%81rencie%CC%81e%20des%20espaces%20verts.pdf</t>
  </si>
  <si>
    <t xml:space="preserve">communiqué de collectivité</t>
  </si>
  <si>
    <t xml:space="preserve">V2C-16</t>
  </si>
  <si>
    <t xml:space="preserve">Wikipédia (fr) — article « Thouars », section « Labels » (palmarès 2025 des villes fleuries) : 65 ha d'espaces verts et 34 jardiniers</t>
  </si>
  <si>
    <t xml:space="preserve">https://fr.wikipedia.org/wiki/Thouars</t>
  </si>
  <si>
    <t xml:space="preserve">V2C-17</t>
  </si>
  <si>
    <t xml:space="preserve">Wikipédia (fr) — article « Château de Robersart » (Wambrechies, Nord, version du 12 juin 2024) : parc de 9 ha, jardin de 5 500 m², quatre jardiniers depuis 2016</t>
  </si>
  <si>
    <t xml:space="preserve">https://fr.wikipedia.org/wiki/Ch%C3%A2teau_de_Robersart</t>
  </si>
  <si>
    <t xml:space="preserve">V2C-18</t>
  </si>
  <si>
    <t xml:space="preserve">Hérodote.net — « Un jardinier qui sait se faire apprécier » (Le Nôtre, Versailles « 7000 jardiniers », « une quarantaine aujourd'hui », vu seulement dans un résultat de recherche)</t>
  </si>
  <si>
    <t xml:space="preserve">https://www.herodote.net/Un_jardinier_qui_sait_se_faire_apprecier-synthese-1719.php?resume=1</t>
  </si>
  <si>
    <t xml:space="preserve">site de vulgarisation historique</t>
  </si>
  <si>
    <t xml:space="preserve">V2C-19</t>
  </si>
  <si>
    <t xml:space="preserve">INSEE BDM (API SDMX) — Indice des prix à la consommation base 2015, COICOP 12.5.2 « Assurance habitation », ensemble des ménages, France, idbank 001763819 (2000-01 à 2025-12)</t>
  </si>
  <si>
    <t xml:space="preserve">https://bdm.insee.fr/series/sdmx/data/IPC-2015/M...1252........?startPeriod=2000</t>
  </si>
  <si>
    <t xml:space="preserve">V2C-20</t>
  </si>
  <si>
    <t xml:space="preserve">INSEE BDM (API SDMX) — Indices des prix de production des services (IPPS) base 2021, CPF 81.30 « Services d'aménagement paysager » : BtoAll 010766745, BtoB 010766608, CPF 81 ensemble 010766633 (2010-T1 à 2026-T2)</t>
  </si>
  <si>
    <t xml:space="preserve">https://bdm.insee.fr/series/sdmx/data/IPPS-2021?startPeriod=2000</t>
  </si>
  <si>
    <t xml:space="preserve">V2C §2 §4</t>
  </si>
  <si>
    <t xml:space="preserve">V2C-21</t>
  </si>
  <si>
    <t xml:space="preserve">Plante &amp; Cité, Baromètres — « Parcs et jardins : Temps de travaux pour l'entretien » (données Ville de Rennes, « Coûts de maintenance », 2012, fiche publiée 2017, modifiée 2018) : h/ha/an par code de gestion différenciée</t>
  </si>
  <si>
    <t xml:space="preserve">https://barometres.plante-et-cite.fr/donnees/parcs-jardins-temps-entretien/</t>
  </si>
  <si>
    <t xml:space="preserve">observatoire technique (données de collectivité)</t>
  </si>
  <si>
    <t xml:space="preserve">V2C-22</t>
  </si>
  <si>
    <t xml:space="preserve">Plante &amp; Cité, Baromètres — « Désherbage : Coût annuel » (programme COMPAMED ZNA 2011, évaluation des coûts 2013) : €/100 m²/an par technique</t>
  </si>
  <si>
    <t xml:space="preserve">https://barometres.plante-et-cite.fr/donnees/desherbage-cout-annuel/</t>
  </si>
  <si>
    <t xml:space="preserve">observatoire technique</t>
  </si>
  <si>
    <t xml:space="preserve">V2C-23</t>
  </si>
  <si>
    <t xml:space="preserve">Plante &amp; Cité, Baromètres — « Désherbage : Composantes du coût de l'intervention » (2011, 253 interventions) : part de la main-d'œuvre 60 à 99 %</t>
  </si>
  <si>
    <t xml:space="preserve">https://barometres.plante-et-cite.fr/donnees/desherbage-composition-cout-intervention/</t>
  </si>
  <si>
    <t xml:space="preserve">V2C-24</t>
  </si>
  <si>
    <t xml:space="preserve">France Télévisions (francetvpro) — dossier de presse « Vaux-le-Vicomte, un château de famille », Le Doc du dimanche, France 5, 19 juin 2016 (même document que R4-31, relu pour la part des jardins et l'effectif)</t>
  </si>
  <si>
    <t xml:space="preserve">dossier de presse</t>
  </si>
  <si>
    <t xml:space="preserve">V2C §1 §3</t>
  </si>
  <si>
    <t xml:space="preserve">V2C-25</t>
  </si>
  <si>
    <t xml:space="preserve">Vaux-le-Vicomte (site officiel) — page « Le jardin » : 33 ha de jardin, parc de 500 ha clos par un mur de 13 km, remplacement en 2019 des buis des parterres des boulingrins par une œuvre temporaire</t>
  </si>
  <si>
    <t xml:space="preserve">https://vaux-le-vicomte.com/le-domaine/le-jardin/</t>
  </si>
  <si>
    <t xml:space="preserve">V2C-26</t>
  </si>
  <si>
    <t xml:space="preserve">Service-public.gouv.fr — actualité A18805 « À quelle date l'obligation d'installer un thermostat programmable sera-t-elle effective ? » (17 février 2026) : jusqu'à 15 % d'économie de chauffage selon l'ADEME, report au 1er janvier 2030 (décret n° 2025-1343)</t>
  </si>
  <si>
    <t xml:space="preserve">https://www.service-public.gouv.fr/particuliers/actualites/A18805</t>
  </si>
  <si>
    <t xml:space="preserve">V2C-27</t>
  </si>
  <si>
    <t xml:space="preserve">Service-public.gouv.fr — fiche F33682 « Doit-on obligatoirement entreprendre des travaux d'isolation thermique en cas de rénovation ? » (vérifiée le 20 juin 2025) : MH classés ou inscrits exclus</t>
  </si>
  <si>
    <t xml:space="preserve">https://www.service-public.gouv.fr/particuliers/vosdroits/F33682</t>
  </si>
  <si>
    <t xml:space="preserve">V2C-28</t>
  </si>
  <si>
    <t xml:space="preserve">Wikipédia (fr) — article « Jardin du Luxembourg » : « Il y a 60 jardiniers en 2016 » [réf. nécessaire], 23 ha (21 ouverts au public)</t>
  </si>
  <si>
    <t xml:space="preserve">https://fr.wikipedia.org/wiki/Jardin_du_Luxembourg</t>
  </si>
  <si>
    <t xml:space="preserve">V2C-29</t>
  </si>
  <si>
    <t xml:space="preserve">Entreprendre.service-public.gouv.fr — fiche F1694 « Embauche d'un salarié par un groupement d'employeurs : quelles sont les règles ? » (vérifiée le 12 juin 2026)</t>
  </si>
  <si>
    <t xml:space="preserve">https://entreprendre.service-public.gouv.fr/vosdroits/F1694</t>
  </si>
  <si>
    <t xml:space="preserve">V2C-30</t>
  </si>
  <si>
    <t xml:space="preserve">IGN, Inventaire forestier national — « Mémento 2024 » (72 p.) : production biologique brute 5,4 m³/ha/an, nette 4,4 m³/ha/an (2014-2022)</t>
  </si>
  <si>
    <t xml:space="preserve">https://inventaire-forestier.ign.fr/IMG/pdf/memento_2024.pdf</t>
  </si>
  <si>
    <t xml:space="preserve">statistique officielle (PDF)</t>
  </si>
  <si>
    <t xml:space="preserve">V2C-31</t>
  </si>
  <si>
    <t xml:space="preserve">Parc naturel régional du Morvan — « Le Bois Énergie dans le Morvan » (4 pages, mai 2018) : ≈ 70 000 t de bois par an, équivalent de 19 millions de litres de fioul</t>
  </si>
  <si>
    <t xml:space="preserve">https://www.parcdumorvan.org/wp-content/uploads/2019/07/4pages_bois_energie_morvan_reduit.pdf</t>
  </si>
  <si>
    <t xml:space="preserve">document de parc naturel régional (PDF)</t>
  </si>
  <si>
    <t xml:space="preserve">V2C-32</t>
  </si>
  <si>
    <t xml:space="preserve">Bioénergie Promotion / ADEME PACA — fiches de site de chaufferies bois de 90 à 400 kW (Saignon 100 kW, Luceram 90 kW, Notre-Dame du Laus 2 × 200 kW) : économies annuelles par rapport au fioul (fiches refusées en lecture, 403, chiffres vus seulement dans le résultat de recherche)</t>
  </si>
  <si>
    <t xml:space="preserve">https://bioenergie-promotion.fr/wp-content/uploads/2023/10/fr-06460-luceram-fiche-site-luceram-90kw-froling-mrbe-ademe-paca.pdf</t>
  </si>
  <si>
    <t xml:space="preserve">fiches techniques (PDF)</t>
  </si>
  <si>
    <t xml:space="preserve">V2C-33</t>
  </si>
  <si>
    <t xml:space="preserve">Chambre d'agriculture des Alpes-de-Haute-Provence — fiche « Bilan chaudière M. Michel » (Selonnet, 110 kW, page en 404 à l'ouverture, chiffres vus seulement dans le résultat de recherche)</t>
  </si>
  <si>
    <t xml:space="preserve">https://paca.chambres-agriculture.fr/fileadmin/user_upload/Provence-Alpes-Cote_d_Azur/020_Inst_Paca/CA04/Documents/Actualites/2024/FicheChaudiereBilanMMichel_CA04_VF.pdf</t>
  </si>
  <si>
    <t xml:space="preserve">fiche de chambre d'agriculture</t>
  </si>
  <si>
    <t xml:space="preserve">V2C-34</t>
  </si>
  <si>
    <t xml:space="preserve">Comité des Parcs et Jardins (Champagne-Ardenne) — « Lettre d'automne 2015 » : pyrale du buis, traitement au Bacillus thuringiensis, Ilex crenata en remplacement (aucun coût)</t>
  </si>
  <si>
    <t xml:space="preserve">https://www.parcsetjardins.fr/data/diaries//files/lettre-d-automne-2015.pdf</t>
  </si>
  <si>
    <t xml:space="preserve">lettre d'association (PDF)</t>
  </si>
  <si>
    <t xml:space="preserve">V2C-35</t>
  </si>
  <si>
    <t xml:space="preserve">BOAMP — avis de marchés d'entretien d'espaces verts (ex. Mairie de Panazol, avis 25-42381, accord-cadre de 600 000 € max.) : montants sans surfaces ni prix unitaires</t>
  </si>
  <si>
    <t xml:space="preserve">https://www.boamp.fr/telechargements/FILES/PDF/2025/04/25-42381.pdf</t>
  </si>
  <si>
    <t xml:space="preserve">avis de marché public (PDF)</t>
  </si>
  <si>
    <t xml:space="preserve">V2C §3 (constat d'absence)</t>
  </si>
  <si>
    <t xml:space="preserve">V2D-01</t>
  </si>
  <si>
    <t xml:space="preserve">Euodia : programme « Château de Chassagny », Montagny (69) (T1 dès 84 800 €, T2 dès 129 500 €, livraison T4 2024)</t>
  </si>
  <si>
    <t xml:space="preserve">https://www.euodia.fr/programme/chateau-de-chassagny/</t>
  </si>
  <si>
    <t xml:space="preserve">site commercial de conseil en défiscalisation</t>
  </si>
  <si>
    <t xml:space="preserve">§1.1 opérations MH</t>
  </si>
  <si>
    <t xml:space="preserve">V2D-02</t>
  </si>
  <si>
    <t xml:space="preserve">MySweetImmo (17/09/2020, mis à jour 31/08/2022) : « La vie de Château, un rêve accessible » (Groupe Mercure, prix de châteaux MH)</t>
  </si>
  <si>
    <t xml:space="preserve">https://www.mysweetimmo.com/2020/09/17/immobilier-chateau-le-reve-devient-accessible/</t>
  </si>
  <si>
    <t xml:space="preserve">presse immobilière en ligne</t>
  </si>
  <si>
    <t xml:space="preserve">§1.1 contexte</t>
  </si>
  <si>
    <t xml:space="preserve">V2D-03</t>
  </si>
  <si>
    <t xml:space="preserve">Histoire &amp; Patrimoine (groupe Altarea) : page d'accueil (1,5 Md€ investis par les clients, lien « Proposer un bâtiment » vers altarea-partenaires.com)</t>
  </si>
  <si>
    <t xml:space="preserve">https://www.histoire-patrimoine.fr/</t>
  </si>
  <si>
    <t xml:space="preserve">site d'opérateur (promoteur spécialisé)</t>
  </si>
  <si>
    <t xml:space="preserve">§1.1 opérateurs</t>
  </si>
  <si>
    <t xml:space="preserve">V2D-04</t>
  </si>
  <si>
    <t xml:space="preserve">Histoire &amp; Patrimoine : chiffres clés et gouvernance (+ de 500 demeures, + de 10 000 logements, + de 1,5 Md€ investis, + de 30 ans)</t>
  </si>
  <si>
    <t xml:space="preserve">https://www.histoire-patrimoine.fr/chiffres-cles-gouvernance</t>
  </si>
  <si>
    <t xml:space="preserve">V2D-05</t>
  </si>
  <si>
    <t xml:space="preserve">Histoire &amp; Patrimoine : programme Domaine de Wendel, Hayange (125 logements, MH + déficit foncier, dès 305 700 €, simulateur travaux 78 % / foncier 22 %)</t>
  </si>
  <si>
    <t xml:space="preserve">https://www.histoire-patrimoine.fr/programme-immobilier/domaine-de-wendel</t>
  </si>
  <si>
    <t xml:space="preserve">§1.2 prix et structure</t>
  </si>
  <si>
    <t xml:space="preserve">V2D-06</t>
  </si>
  <si>
    <t xml:space="preserve">Histoire &amp; Patrimoine : page « Monument historique » (100 % des travaux déduits du revenu global, déplafonnement, simulateur 80 % travaux / 20 % foncier, cible TMI 41-45 %)</t>
  </si>
  <si>
    <t xml:space="preserve">https://www.histoire-patrimoine.fr/investir-defiscaliser/monument-historique</t>
  </si>
  <si>
    <t xml:space="preserve">§1.2 avantage fiscal</t>
  </si>
  <si>
    <t xml:space="preserve">V2D-07</t>
  </si>
  <si>
    <t xml:space="preserve">Histoire &amp; Patrimoine : liste des programmes en vente (12 programmes, octobre 2026)</t>
  </si>
  <si>
    <t xml:space="preserve">https://www.histoire-patrimoine.fr/programme-immobilier</t>
  </si>
  <si>
    <t xml:space="preserve">§1.1 typologie des biens</t>
  </si>
  <si>
    <t xml:space="preserve">V2D-08</t>
  </si>
  <si>
    <t xml:space="preserve">Histoire &amp; Patrimoine : actualité « Manoir de la Paclais », Saint-Herblain (manoir XVe inscrit MH, 7 appartements, réhabilité en 2026)</t>
  </si>
  <si>
    <t xml:space="preserve">https://www.histoire-patrimoine.fr/actualites/manoir-de-la-paclais-saint-herblain</t>
  </si>
  <si>
    <t xml:space="preserve">§1.3 exemples réels</t>
  </si>
  <si>
    <t xml:space="preserve">V2D-09</t>
  </si>
  <si>
    <t xml:space="preserve">Histoire &amp; Patrimoine : programme Château Bon Air, Mérignac (château XVIIIe, 15 appartements, déficit foncier, dès 387 800 €, simulateur travaux 87 % / foncier 13 %)</t>
  </si>
  <si>
    <t xml:space="preserve">https://www.histoire-patrimoine.fr/programme-immobilier/chateau-bon-air</t>
  </si>
  <si>
    <t xml:space="preserve">V2D-10</t>
  </si>
  <si>
    <t xml:space="preserve">API Recherche d'entreprises : ALTAREA GESTION IMMOBILIERE (HISTOIRE &amp; PATRIMOINE GESTION), SIREN 401165089 (CA 2025 et résultat net)</t>
  </si>
  <si>
    <t xml:space="preserve">https://recherche-entreprises.api.gouv.fr/search?q=histoire%20et%20patrimoine%20altarea&amp;per_page=10</t>
  </si>
  <si>
    <t xml:space="preserve">V2D-11</t>
  </si>
  <si>
    <t xml:space="preserve">Altarea Partenaires : portail des partenaires commerciaux (aucun critère d'acquisition de bâtiments publié)</t>
  </si>
  <si>
    <t xml:space="preserve">https://altarea-partenaires.com/</t>
  </si>
  <si>
    <t xml:space="preserve">site d'opérateur (portail partenaires)</t>
  </si>
  <si>
    <t xml:space="preserve">V2D-12</t>
  </si>
  <si>
    <t xml:space="preserve">Histoire &amp; Patrimoine : article « Malraux vs Monument historique » (déduction sans limite vs réduction jusqu'à 30 %, report, transmission, non daté)</t>
  </si>
  <si>
    <t xml:space="preserve">https://www.histoire-patrimoine.fr/actualites/malraux-vs-monument-historique</t>
  </si>
  <si>
    <t xml:space="preserve">§1.4 et Q2 Malraux</t>
  </si>
  <si>
    <t xml:space="preserve">V2D-13</t>
  </si>
  <si>
    <t xml:space="preserve">Galivel et Associés pour Buildinvest, communiqué « Monuments Historiques » (Journées du patrimoine 2020, 3 programmes MH avec prix foncier + travaux) (PDF converti localement)</t>
  </si>
  <si>
    <t xml:space="preserve">https://www.galivel.com/media/files/vflg2_cp__monuments_historiques-1.pdf</t>
  </si>
  <si>
    <t xml:space="preserve">communiqué de presse d'opérateur</t>
  </si>
  <si>
    <t xml:space="preserve">§1.1 §1.3 §1.4</t>
  </si>
  <si>
    <t xml:space="preserve">V2D-14</t>
  </si>
  <si>
    <t xml:space="preserve">API BODACC (DILA, opendatasoft) : annonces dont le commerçant contient BUILDINVEST (70 annonces, aucune procédure collective)</t>
  </si>
  <si>
    <t xml:space="preserve">https://bodacc-datadila.opendatasoft.com/api/explore/v2.1/catalog/datasets/annonces-commerciales/records?where=commercant%20like%20%22%25BUILDINVEST%25%22&amp;limit=100</t>
  </si>
  <si>
    <t xml:space="preserve">V2D-15</t>
  </si>
  <si>
    <t xml:space="preserve">Leggett Immobilier : fiche d'annonce A04312 (appartement dans un château divisé, foncier 174 600 € et travaux 544 300 € d'après le résultat de recherche, page protégée par Cloudflare, non ouverte)</t>
  </si>
  <si>
    <t xml:space="preserve">https://www.leggett-immo.com/allproperties/printfr_pdf/A04312/2/</t>
  </si>
  <si>
    <t xml:space="preserve">annonce immobilière</t>
  </si>
  <si>
    <t xml:space="preserve">§1.3 prix</t>
  </si>
  <si>
    <t xml:space="preserve">V2D-16</t>
  </si>
  <si>
    <t xml:space="preserve">BOFiP BOI-RFPI-SPEC-30-30-20181219 : MH, conditions (division, copropriété, 75 % d'habitation, conservation 15 ans), relecture ciblée § 460-560</t>
  </si>
  <si>
    <t xml:space="preserve">§1.4 §1.6</t>
  </si>
  <si>
    <t xml:space="preserve">V2D-17</t>
  </si>
  <si>
    <t xml:space="preserve">Assemblée nationale, question écrite n° 43918 (B. Kuster, JO 01/02/2022 p. 588) : suppression de l'agrément de 2017, lotissement des MH, domaine de Grignon (retirée le 21/06/2022) (PDF converti localement)</t>
  </si>
  <si>
    <t xml:space="preserve">https://questions.assemblee-nationale.fr/dyn/15/questions/QANR5L15QE43918.pdf</t>
  </si>
  <si>
    <t xml:space="preserve">V2D-18</t>
  </si>
  <si>
    <t xml:space="preserve">DVF géolocalisées (data.gouv.fr, geo-dvf) : mutations 2021-2025 de Saint-Herblain (44162), lieu-dit La Paclais, section DZ (fichiers CSV lus localement)</t>
  </si>
  <si>
    <t xml:space="preserve">https://files.data.gouv.fr/geo-dvf/latest/csv/2021/communes/44/44162.csv</t>
  </si>
  <si>
    <t xml:space="preserve">données publiques officielles (DGFiP, Etalab)</t>
  </si>
  <si>
    <t xml:space="preserve">§1.6 prix d'achat (attribution non confirmée)</t>
  </si>
  <si>
    <t xml:space="preserve">V2D-19</t>
  </si>
  <si>
    <t xml:space="preserve">BOFiP BOI-ENR-DMTG-10-40-10-50-20131223 : démembrement du droit de propriété (barème de l'article 669 CGI, usufruit à durée fixe 23 % par période de dix ans)</t>
  </si>
  <si>
    <t xml:space="preserve">https://bofip.impots.gouv.fr/bofip/2323-PGP.html/identifiant%3DBOI-ENR-DMTG-10-40-10-50-20131223</t>
  </si>
  <si>
    <t xml:space="preserve">§3.1 §3.2</t>
  </si>
  <si>
    <t xml:space="preserve">V2D-20</t>
  </si>
  <si>
    <t xml:space="preserve">BOFiP BOI-PAT-IFI-20-20-30-10-20180608 : IFI des biens démembrés (exception de la vente avec réserve d'usufruit, § 160-170)</t>
  </si>
  <si>
    <t xml:space="preserve">https://bofip.impots.gouv.fr/bofip/11310-PGP.html/identifiant%3DBOI-PAT-IFI-20-20-30-10-20180608</t>
  </si>
  <si>
    <t xml:space="preserve">§3.2 IFI</t>
  </si>
  <si>
    <t xml:space="preserve">V2D-21</t>
  </si>
  <si>
    <t xml:space="preserve">BOFiP BOI-IR-BASE-10-10-30-20170406 : imposition du produit de la cession à titre onéreux d'un usufruit temporaire (art. 13, 5 CGI)</t>
  </si>
  <si>
    <t xml:space="preserve">https://bofip.impots.gouv.fr/bofip/10233-PGP.html/identifiant%3DBOI-IR-BASE-10-10-30-20170406</t>
  </si>
  <si>
    <t xml:space="preserve">§3.2 option B</t>
  </si>
  <si>
    <t xml:space="preserve">V2D-22</t>
  </si>
  <si>
    <t xml:space="preserve">Service-public : Droits de donation, calcul et paiement (F14205, vérifié le 15/01/2026) : renvoi au simulateur pour le barème usufruit / nue-propriété</t>
  </si>
  <si>
    <t xml:space="preserve">https://www.service-public.gouv.fr/particuliers/vosdroits/F14205</t>
  </si>
  <si>
    <t xml:space="preserve">§3.1 (barème non reproduit)</t>
  </si>
  <si>
    <t xml:space="preserve">V2D-23</t>
  </si>
  <si>
    <t xml:space="preserve">Le Collectionist : page « propriétaires » (plus de 2 000 propriétaires accompagnés, aucune commission ni taux de remplissage publiés)</t>
  </si>
  <si>
    <t xml:space="preserve">https://www.lecollectionist.com/fr/proprietaires</t>
  </si>
  <si>
    <t xml:space="preserve">site de plateforme de location de luxe</t>
  </si>
  <si>
    <t xml:space="preserve">§4.2 commission</t>
  </si>
  <si>
    <t xml:space="preserve">Tech.eu (19/09/2017) : « Parisian luxury vacation rental platform Le Collectionist raises $10 million » (commission de 20 %, 26 000 € en moyenne pour 10 nuits)</t>
  </si>
  <si>
    <t xml:space="preserve">https://tech.eu/2017/09/19/lecollectionist-raises-funds/</t>
  </si>
  <si>
    <t xml:space="preserve">presse économique en ligne</t>
  </si>
  <si>
    <t xml:space="preserve">V2D-25</t>
  </si>
  <si>
    <t xml:space="preserve">The Connexion (26/10/2020) : « Introducing Le Collectionist, the luxury rental home company » (commission de 22 %, 25 000 € par semaine en moyenne, 5 000 € de conciergerie, environ 10 biens retenus sur 100 demandes)</t>
  </si>
  <si>
    <t xml:space="preserve">https://www.connexionfrance.com/article/Mag/Explore-France/Introducing-Le-Collectionist-the-luxury-rental-home-company</t>
  </si>
  <si>
    <t xml:space="preserve">presse (journal anglophone en France)</t>
  </si>
  <si>
    <t xml:space="preserve">§4.2 §4.3</t>
  </si>
  <si>
    <t xml:space="preserve">V2D-26</t>
  </si>
  <si>
    <t xml:space="preserve">Rental Scale-Up (U. Wahi, 25/11/2025) : stratégie d'acquisitions de Le Collectionist (GBV 160 M€ prévu en 2024, plus de 3 000 propriétés, environ 5 000 réservations en 2023, acquisitions avec GBV et nombre de maisons)</t>
  </si>
  <si>
    <t xml:space="preserve">https://www.rentalscaleup.com/fr/decouvrez-le-playbook-detaille-de-fusions-acquisitions-ma-de-le-collectionist-sur-le-marche-de-la-location-de-luxe/</t>
  </si>
  <si>
    <t xml:space="preserve">presse spécialisée (location de vacances)</t>
  </si>
  <si>
    <t xml:space="preserve">§4.3 semaines louées</t>
  </si>
  <si>
    <t xml:space="preserve">V2D-27</t>
  </si>
  <si>
    <t xml:space="preserve">API Recherche d'entreprises : LE COLLECTIONIST, SIREN 789370152 (NAF 79.11Z, créée le 12/11/2012, finances non publiées)</t>
  </si>
  <si>
    <t xml:space="preserve">https://recherche-entreprises.api.gouv.fr/search?q=le%20collectionist&amp;per_page=10</t>
  </si>
  <si>
    <t xml:space="preserve">§4.2 comptes</t>
  </si>
  <si>
    <t xml:space="preserve">V2D-28</t>
  </si>
  <si>
    <t xml:space="preserve">Oliver's Travels : page « List your home » (commission seule, sans frais d'inscription, études de cas d'occupation 62-80 %, 6 semaines minimum en juillet-août en France, contrat d'un an)</t>
  </si>
  <si>
    <t xml:space="preserve">https://www.oliverstravels.com/list-your-home/</t>
  </si>
  <si>
    <t xml:space="preserve">§4.2 §4.3 §4.4</t>
  </si>
  <si>
    <t xml:space="preserve">V2D-29</t>
  </si>
  <si>
    <t xml:space="preserve">Oliver's Travels : « French chateaux to rent » (6 châteaux mis en avant, capacité 10 à 20 personnes, prix non affichés)</t>
  </si>
  <si>
    <t xml:space="preserve">https://www.oliverstravels.com/french-chateaux-to-rent/</t>
  </si>
  <si>
    <t xml:space="preserve">§4.1 offre</t>
  </si>
  <si>
    <t xml:space="preserve">V2D-30</t>
  </si>
  <si>
    <t xml:space="preserve">SeLoger (édito) : « Viager occupé ou nue-propriété : quelle option choisir pour investir » (décote d'environ 30 % en moyenne selon le résultat de recherche, page non ouverte)</t>
  </si>
  <si>
    <t xml:space="preserve">https://edito.seloger.com/conseils-d-experts/viager/viager-occupe-ou-nue-propriete-quelle-option-choisir-pour-investir-dans-l-immobilier-article-4224.html</t>
  </si>
  <si>
    <t xml:space="preserve">§3.4 marché</t>
  </si>
  <si>
    <t xml:space="preserve">V2D-31</t>
  </si>
  <si>
    <t xml:space="preserve">Airbnb, centre d'aide : « Airbnb service fees » (frais hôte 3 % en formule partagée, 15,5 % en formule hôte seul, Airbnb Luxe non mentionné)</t>
  </si>
  <si>
    <t xml:space="preserve">https://www.airbnb.com/help/article/1857</t>
  </si>
  <si>
    <t xml:space="preserve">site de plateforme de location</t>
  </si>
  <si>
    <t xml:space="preserve">V2D-32</t>
  </si>
  <si>
    <t xml:space="preserve">Service-public : Faire de sa résidence principale une location de vacances (meublé de tourisme) (F33175, vérifié le 21/05/2026)</t>
  </si>
  <si>
    <t xml:space="preserve">https://www.service-public.gouv.fr/particuliers/vosdroits/F33175</t>
  </si>
  <si>
    <t xml:space="preserve">§4.5 fiscalité et limites</t>
  </si>
  <si>
    <t xml:space="preserve">V2D-33</t>
  </si>
  <si>
    <t xml:space="preserve">Pretto (C. Brezeky, 04/06/2025, mis à jour 18/09/2026) : « Résidence secondaire : cette nouvelle façon d'en profiter sans exploser son budget » (Lazazu, SCI, 8 parts par maison, dès 250 000 €)</t>
  </si>
  <si>
    <t xml:space="preserve">https://www.pretto.fr/actualites/actualites-2025/ils-ont-acheter-a-plusieurs-residence-secondaire/</t>
  </si>
  <si>
    <t xml:space="preserve">presse en ligne (courtier immobilier)</t>
  </si>
  <si>
    <t xml:space="preserve">§5 copropriété partagée</t>
  </si>
  <si>
    <t xml:space="preserve">V2D-34</t>
  </si>
  <si>
    <t xml:space="preserve">Wargny-Lelong et associés, notaires : dépliant « La maison de famille » (indivision contre SCI, gouvernance, clauses d'agrément) (PDF converti localement)</t>
  </si>
  <si>
    <t xml:space="preserve">https://www.wargny-lelong.notaires.fr/depliants-dinformation/gestion-de-patrimoine/la-maison-de-famille/?pdf=778</t>
  </si>
  <si>
    <t xml:space="preserve">office notarial</t>
  </si>
  <si>
    <t xml:space="preserve">§5 gouvernance</t>
  </si>
  <si>
    <t xml:space="preserve">V2D-35</t>
  </si>
  <si>
    <t xml:space="preserve">Le Collectionist : fiche Château Montravel (environs de Bordeaux), 8 chambres, 15 570 à 29 335 € par semaine (octobre 2026)</t>
  </si>
  <si>
    <t xml:space="preserve">https://www.lecollectionist.com/fr/location-luxe/chateau-montravel-environs-de-bordeaux</t>
  </si>
  <si>
    <t xml:space="preserve">§4.1 §4.4</t>
  </si>
  <si>
    <t xml:space="preserve">V2D-36</t>
  </si>
  <si>
    <t xml:space="preserve">Le Collectionist : fiche Château Renaissance (Dordogne), 9 chambres, 12 755 à 15 045 € par semaine sur les semaines affichées (octobre 2026)</t>
  </si>
  <si>
    <t xml:space="preserve">https://www.lecollectionist.com/fr/location-luxe/chateau-renaissance-dordogne-perigord</t>
  </si>
  <si>
    <t xml:space="preserve">§4.1</t>
  </si>
  <si>
    <t xml:space="preserve">V2D-37</t>
  </si>
  <si>
    <t xml:space="preserve">Le Collectionist : fiche Château de la Belle (Dordogne), 11 chambres, 1 850 m², 35 265 à 46 860 € par semaine (octobre 2026)</t>
  </si>
  <si>
    <t xml:space="preserve">https://www.lecollectionist.com/fr/location-luxe/chateau-de-la-belle-dordogne-perigord</t>
  </si>
  <si>
    <t xml:space="preserve">V2D-38</t>
  </si>
  <si>
    <t xml:space="preserve">Le Collectionist : fiche Château Hippolyte (environs de Bordeaux), 14 chambres, 36 615 € par semaine (octobre 2026)</t>
  </si>
  <si>
    <t xml:space="preserve">https://www.lecollectionist.com/fr/location-luxe/chateau-hippolyte-environs-de-bordeaux</t>
  </si>
  <si>
    <t xml:space="preserve">V2D-39</t>
  </si>
  <si>
    <t xml:space="preserve">Résultats de recherche (WebSearch) sur les semaines louées par des propriétaires de châteaux : aucune donnée chiffrée (articles Le Temps, Journal de Morges, Galivel 2011 vus en résultats)</t>
  </si>
  <si>
    <t xml:space="preserve">https://www.letemps.ch/societe/dyverdon-davos-chateaux-louer</t>
  </si>
  <si>
    <t xml:space="preserve">résultat de recherche</t>
  </si>
  <si>
    <t xml:space="preserve">§4.3 (absence de données)</t>
  </si>
  <si>
    <t xml:space="preserve">V2D-40</t>
  </si>
  <si>
    <t xml:space="preserve">Le Collectionist : page destination Dordogne-Périgord (9 châteaux et domaines, capacité, chambres, salles de bains, piscine)</t>
  </si>
  <si>
    <t xml:space="preserve">https://lecollectionist.com/fr/location-villas-luxe/dordogne-perigord</t>
  </si>
  <si>
    <t xml:space="preserve">§4.4 exigences</t>
  </si>
  <si>
    <t xml:space="preserve">V2D-41</t>
  </si>
  <si>
    <t xml:space="preserve">Le Collectionist : page destination Environs de Bordeaux (6 châteaux et domaines, capacité, chambres, salles de bains, piscine)</t>
  </si>
  <si>
    <t xml:space="preserve">https://lecollectionist.com/fr/location-villas-luxe/environs-de-bordeaux</t>
  </si>
  <si>
    <t xml:space="preserve">V2D-42</t>
  </si>
  <si>
    <t xml:space="preserve">API Recherche d'entreprises : requête « histoire et patrimoine » (454 résultats, comptes 2025 publiés de 7 sociétés Histoire &amp; Patrimoine du groupe Altarea)</t>
  </si>
  <si>
    <t xml:space="preserve">https://recherche-entreprises.api.gouv.fr/search?q=histoire%20et%20patrimoine&amp;per_page=25</t>
  </si>
  <si>
    <t xml:space="preserve">§1.1 opérateurs (comptes)</t>
  </si>
  <si>
    <t xml:space="preserve">V2D-43</t>
  </si>
  <si>
    <t xml:space="preserve">Batiweb (C. Decambu, 24/09/2019, mis à jour 01/05/2025) : « Un collectif rachète le château de Panat pour en faire une coopérative d'habitants » (L'Isle-Jourdain, Gers, 14 logements, 1 500 m², travaux 1,5 M€)</t>
  </si>
  <si>
    <t xml:space="preserve">https://www.batiweb.com/actualites/vie-pratique/un-collectif-rachete-le-chateau-de-panat-pour-en-faire-une-cooperative-d-habitants-35254</t>
  </si>
  <si>
    <t xml:space="preserve">presse professionnelle du bâtiment</t>
  </si>
  <si>
    <t xml:space="preserve">§5 exemples</t>
  </si>
  <si>
    <t xml:space="preserve">V2D-44</t>
  </si>
  <si>
    <t xml:space="preserve">MySweetImmo et Perigord Sotheby's International Realty (22/11/2023) : « Dordogne : appartements et maison en copropriété au château Monboucher » (12 logements, 640 000 € et 960 000 €, pièces communes)</t>
  </si>
  <si>
    <t xml:space="preserve">https://www.mysweetimmo.com/2023/11/22/dordogne-appartements-et-maison-en-copropriete-au-chateau-monboucher/</t>
  </si>
  <si>
    <t xml:space="preserve">presse immobilière en ligne (contenu d'agence)</t>
  </si>
  <si>
    <t xml:space="preserve">V2D-45</t>
  </si>
  <si>
    <t xml:space="preserve">Galivel et Associés pour Sarthe Society, communiqué du 12/12/2023 : « Crowdfunding et Monument Historique » (château Fontenay, Sarthe, 11,6 ha, levée de 690 000 € en obligations à 7 % sur Bricks.co, valeur du château environ 2 M€) (PDF converti localement)</t>
  </si>
  <si>
    <t xml:space="preserve">https://galivel.com/media/files/12__cp__ils_le__vent_310_000__en_12h___booster_son_e__pargne_tout_en_sauvegardant_le_patrimoine.pdf</t>
  </si>
  <si>
    <t xml:space="preserve">communiqué de presse de porteur de projet</t>
  </si>
  <si>
    <t xml:space="preserve">§6 autres mécanismes</t>
  </si>
  <si>
    <t xml:space="preserve">V2D-46</t>
  </si>
  <si>
    <t xml:space="preserve">API BODACC (DILA, opendatasoft) : annonces SARTHE SOCIETY, SIREN 980419436 (4 annonces : création 2023, modification 2024, dépôts de comptes 2025 et 2026, aucune procédure collective)</t>
  </si>
  <si>
    <t xml:space="preserve">https://bodacc-datadila.opendatasoft.com/api/explore/v2.1/catalog/datasets/annonces-commerciales/records?where=commercant%20like%20%22%25SARTHE%20SOCIETY%25%22&amp;limit=50</t>
  </si>
  <si>
    <t xml:space="preserve">V2D-47</t>
  </si>
  <si>
    <t xml:space="preserve">Domaine de Courances : page d'accueil du site (menu : visites, mariages, tournages, polo, « La Ferme - Les Appartements INSEAD », « Le Fenil – La Maison des Réunions », pages internes en erreur 404)</t>
  </si>
  <si>
    <t xml:space="preserve">https://www.courances.net/</t>
  </si>
  <si>
    <t xml:space="preserve">§5.1 Courances</t>
  </si>
  <si>
    <t xml:space="preserve">V2R-01</t>
  </si>
  <si>
    <t xml:space="preserve">HMRC — Guidance on capital taxation and the national heritage, chapitre 8 « Maintenance Funds » (sections 8.1 à 8.11) et section 3.20 (relecture complète de R5-19)</t>
  </si>
  <si>
    <t xml:space="preserve">guide administratif officiel (HMRC)</t>
  </si>
  <si>
    <t xml:space="preserve">V2R constats C1 et M5 (accès du public obligatoire, aucun contrôle du constituant, logement gratuit interdit, impôts et taxes exclus, revenus imposés au taux des trusts, exonération de droits de succession)</t>
  </si>
  <si>
    <t xml:space="preserve">V2R-02</t>
  </si>
  <si>
    <t xml:space="preserve">BOFiP BOI-IS-CHAMP-10-50-30-50 (version en vigueur du 18/12/2024) — IS, fonds de dotation, paragraphes 50 à 110</t>
  </si>
  <si>
    <t xml:space="preserve">https://bofip.impots.gouv.fr/bofip/4343-PGP.html/identifiant=BOI-IS-CHAMP-10-50-30-50-20241218</t>
  </si>
  <si>
    <t xml:space="preserve">doctrine administrative officielle</t>
  </si>
  <si>
    <t xml:space="preserve">V2R constat C1 (apport gratuit et irrévocable, mission d'intérêt général, gestion désintéressée, non-assujettissement à l'IS sous conditions)</t>
  </si>
  <si>
    <t xml:space="preserve">V2R-03</t>
  </si>
  <si>
    <t xml:space="preserve">Service-public F22414 — Impôt sur le revenu : comment sont imposés les revenus d'un contrat d'assurance-vie ? (vérifié le 15 avril 2026)</t>
  </si>
  <si>
    <t xml:space="preserve">https://www.service-public.gouv.fr/particuliers/vosdroits/F22414</t>
  </si>
  <si>
    <t xml:space="preserve">V2R constats C1 et C2 (imposition au rachat, 12,8 % avant 8 ans, 7,5 % puis 12,8 % au-delà de 150 000 € de primes, prélèvements sociaux 17,2 %, abattement 4 600 / 9 200 €)</t>
  </si>
  <si>
    <t xml:space="preserve">V2R-04</t>
  </si>
  <si>
    <t xml:space="preserve">Service-public F31130 — Qui doit payer la contribution exceptionnelle sur les hauts revenus ? (vérifié le 15 avril 2026)</t>
  </si>
  <si>
    <t xml:space="preserve">https://www.service-public.gouv.fr/particuliers/vosdroits/F31130</t>
  </si>
  <si>
    <t xml:space="preserve">V2R constats C2 et m2 (CEHR 3 % entre 250 000 et 500 000 € de revenu fiscal de référence et 4 % au-delà pour une personne seule)</t>
  </si>
  <si>
    <t xml:space="preserve">V2R-05</t>
  </si>
  <si>
    <t xml:space="preserve">BOFiP BOI-IR-CDHR-10 (version en vigueur du 30/06/2026) — contribution différentielle sur les hauts revenus : champ, assiette, formule et exemple chiffré</t>
  </si>
  <si>
    <t xml:space="preserve">https://bofip.impots.gouv.fr/bofip/15095-PGP.html/identifiant=BOI-IR-CDHR-10-20260630</t>
  </si>
  <si>
    <t xml:space="preserve">V2R constats C2, M4 et m2 (taux minimal de 20 % du revenu de référence, revenus taxés à 12,8 % inclus, LF 2025 art. 10 et LF 2026 art. 2)</t>
  </si>
  <si>
    <t xml:space="preserve">V2R-06</t>
  </si>
  <si>
    <t xml:space="preserve">Service-public F14198 — Droits de succession : évaluation de la succession et calcul des droits (vérifié le 09 février 2026)</t>
  </si>
  <si>
    <t xml:space="preserve">https://www.service-public.gouv.fr/particuliers/vosdroits/F14198</t>
  </si>
  <si>
    <t xml:space="preserve">V2R constat M5 (abattement de 100 000 € par enfant, barème en ligne directe de 5 % à 45 % au-delà de 1 805 677 €)</t>
  </si>
  <si>
    <t xml:space="preserve">V2R-07</t>
  </si>
  <si>
    <t xml:space="preserve">Service-public F835 — Mariage sans contrat : régime de la communauté réduite aux acquêts (vérifié le 27 avril 2026)</t>
  </si>
  <si>
    <t xml:space="preserve">https://www.service-public.gouv.fr/particuliers/vosdroits/F835</t>
  </si>
  <si>
    <t xml:space="preserve">V2R constat M6 (économies faites sur les revenus des biens propres et revenus d'épargne et de placements = biens communs)</t>
  </si>
  <si>
    <t xml:space="preserve">UBS Global Investment Returns Yearbook 2025, page de présentation (relecture de R8-32)</t>
  </si>
  <si>
    <t xml:space="preserve">V2R constats C2 et m4 (actions mondiales : 3,5 % réel par an depuis 2000 et prime de 4,3 % sur les bons du Trésor, aucun chiffre pour les obligations)</t>
  </si>
  <si>
    <t xml:space="preserve">DRAC Normandie — Restaurer un monument historique : guide à l'usage des propriétaires privés (PDF de 20 pages, mis à jour en janvier 2021)</t>
  </si>
  <si>
    <t xml:space="preserve">https://www.culture.gouv.fr/Media/Regions/Drac-Normandie/Aides-et-subventions/Aides-et-demarches-monuments-historiques/Restaurer-un-monument-historique-guide-a-l-usage-des-proprietaires-prives</t>
  </si>
  <si>
    <t xml:space="preserve">guide administratif officiel (ministère de la Culture)</t>
  </si>
  <si>
    <t xml:space="preserve">V2R constat M8 (architecte obligatoire pour tous travaux sur un classé, diagnostic préalable, honoraires évalués sur l'enveloppe des travaux, assurance dommages-ouvrage obligatoire)</t>
  </si>
  <si>
    <t xml:space="preserve">V2R-10</t>
  </si>
  <si>
    <t xml:space="preserve">Prosper Conseil — Loi Sapin 2 et assurance vie : l'État peut-il imposer un blocage ? (mis à jour le 12 août 2026)</t>
  </si>
  <si>
    <t xml:space="preserve">https://www.prosper-conseil.fr/assurance-vie/loi-sapin-2-assurance-vie/</t>
  </si>
  <si>
    <t xml:space="preserve">site commercial de conseil patrimonial</t>
  </si>
  <si>
    <t xml:space="preserve">V2R constat m12 (art. L631-2-1 du code monétaire et financier, 5° ter : limitation des rachats pour 3 mois au plus, 6 mois consécutifs au maximum, contrats de capitalisation compris)</t>
  </si>
  <si>
    <t xml:space="preserve">V2R-11</t>
  </si>
  <si>
    <t xml:space="preserve">Deloitte Société d'Avocats — Lois de finances pour 2026, première partie : analyse des mesures les plus significatives (23 janvier 2026, texte avant promulgation)</t>
  </si>
  <si>
    <t xml:space="preserve">https://blog.avocats.deloitte.fr/lois-de-finances-pour-2026-premiere-partie-analyse-des-mesures-les-plus-significatives/</t>
  </si>
  <si>
    <t xml:space="preserve">V2R constats C1 et m15 (taxe sur les holdings patrimoniales à 20 %, assiette réduite aux biens somptuaires, titres et trésorerie exclus, exercices clos à compter du 31/12/2026)</t>
  </si>
  <si>
    <t xml:space="preserve">V2R-12</t>
  </si>
  <si>
    <t xml:space="preserve">LégiFiscal — Taxe sur le patrimoine financier des holdings patrimoniales : actifs soumis et actifs exonérés (20 octobre 2025, projet de loi de finances)</t>
  </si>
  <si>
    <t xml:space="preserve">https://www.legifiscal.fr/actualites-fiscales/4281-taxe-patrimoine-financier-holdings-patrimoniales-actifs-soumis-vs-actifs-exoneres.html</t>
  </si>
  <si>
    <t xml:space="preserve">site d'information fiscale</t>
  </si>
  <si>
    <t xml:space="preserve">V2R constat m15 (assiette initiale du projet : actifs non affectés à une activité opérationnelle, titres et trésorerie compris)</t>
  </si>
  <si>
    <t xml:space="preserve">V2R-13</t>
  </si>
  <si>
    <t xml:space="preserve">Sénat — Question écrite de M. Philippe Marini « Patrimoine d'affectation résultant d'une fiducie » (JO Sénat du 13/11/2008, texte de la question)</t>
  </si>
  <si>
    <t xml:space="preserve">https://www.senat.fr/questions/base/2008/qSEQ081106166.html</t>
  </si>
  <si>
    <t xml:space="preserve">question parlementaire</t>
  </si>
  <si>
    <t xml:space="preserve">V2R constat C1 (art. 2011 du code civil : biens tenus séparés du patrimoine propre du fiduciaire, le patrimoine fiduciaire est qualifié de patrimoine d'affectation)</t>
  </si>
  <si>
    <t xml:space="preserve">V2R-14</t>
  </si>
  <si>
    <t xml:space="preserve">Sénat — Rapport n° 11 (2006-2007) sur la proposition de loi instituant la fiducie (vu dans les résultats de recherche)</t>
  </si>
  <si>
    <t xml:space="preserve">https://www.senat.fr/rap/l06-011/l06-0119.html</t>
  </si>
  <si>
    <t xml:space="preserve">V2R constat C1 (fiducie-gestion envisagée pour les personnes physiques, fiducie-libéralité nulle, constituant redevable des impôts directs)</t>
  </si>
  <si>
    <t xml:space="preserve">V2R-15</t>
  </si>
  <si>
    <t xml:space="preserve">economie.gouv.fr — Tout savoir sur la contribution différentielle sur les hauts revenus (CDHR) (vu dans les résultats de recherche)</t>
  </si>
  <si>
    <t xml:space="preserve">https://www.economie.gouv.fr/particuliers/impots-et-fiscalite/gerer-mon-impot-sur-le-revenu/tout-savoir-sur-la-contribution-differentielle-sur-les-hauts-revenus-cdhr</t>
  </si>
  <si>
    <t xml:space="preserve">site officiel (ministère de l'Économie)</t>
  </si>
  <si>
    <t xml:space="preserve">V2R constat C2 (CDHR reconduite par la LF 2026 pour les revenus 2025 et 2026)</t>
  </si>
  <si>
    <t xml:space="preserve">V2R-16</t>
  </si>
  <si>
    <t xml:space="preserve">Service-public F2613 — Impôt sur le revenu : revenus d'épargne et de placement (vérifié le 15 avril 2026, relecture de R8-31)</t>
  </si>
  <si>
    <t xml:space="preserve">V2R constat C2 (PFU = 12,8 % d'impôt sur le revenu + 18,6 % de prélèvements sociaux en 2026)</t>
  </si>
  <si>
    <t xml:space="preserve">V2V-01</t>
  </si>
  <si>
    <t xml:space="preserve">National Research Council (2001) - Deferred Maintenance Reporting for Federal Facilities, chapitre Inadequate Funding for Maintenance and Repair, p. 46 (rouverture de R1-07, texte HTML extrait par curl)</t>
  </si>
  <si>
    <t xml:space="preserve">rapport académique (États-Unis)</t>
  </si>
  <si>
    <t xml:space="preserve">V2V item 1</t>
  </si>
  <si>
    <t xml:space="preserve">V2V-02</t>
  </si>
  <si>
    <t xml:space="preserve">National Research Council (1990) - Committing to the Cost of Ownership, Front Matter, p. xii, recommandation 1 (image de page GIF lue visuellement, nap.nationalacademies.org/books/9807/gif/R12.gif)</t>
  </si>
  <si>
    <t xml:space="preserve">https://www.nationalacademies.org/read/9807/chapter/1</t>
  </si>
  <si>
    <t xml:space="preserve">V2V item 1 (« absolute minimum value »)</t>
  </si>
  <si>
    <t xml:space="preserve">V2V-03</t>
  </si>
  <si>
    <t xml:space="preserve">National Research Council (1990) - même ouvrage, chapitre 3 The Maintenance and Repair Component of the Cost of Ownership, p. 17-19, et définitions p. 6-7 (images GIF lues visuellement, rouverture de R1-08, URL nap. redirigée vers www.)</t>
  </si>
  <si>
    <t xml:space="preserve">https://www.nationalacademies.org/read/9807/chapter/4</t>
  </si>
  <si>
    <t xml:space="preserve">V2V-04</t>
  </si>
  <si>
    <t xml:space="preserve">Le Figaro (A. Michel) - Comment assurer un bien exceptionnel ? (25/02/2020), coupure de presse du Groupe Mercure (rouverture de R1-26 : curl refusé, PDF obtenu par WebFetch puis pdftotext)</t>
  </si>
  <si>
    <t xml:space="preserve">presse nationale (propos d'un courtier)</t>
  </si>
  <si>
    <t xml:space="preserve">V2V item 2</t>
  </si>
  <si>
    <t xml:space="preserve">V2V-05</t>
  </si>
  <si>
    <t xml:space="preserve">France Épargne - Assurance château 2026 (21/11/2025, mis à jour le 25/05/2026) (rouverture de R1-27)</t>
  </si>
  <si>
    <t xml:space="preserve">site commercial de courtier</t>
  </si>
  <si>
    <t xml:space="preserve">V2V item 3</t>
  </si>
  <si>
    <t xml:space="preserve">V2V-06</t>
  </si>
  <si>
    <t xml:space="preserve">Harlow Consulting pour Historic Houses - VAT-Rebates for Repairs to Publicly Accessible Heritage Sites (janvier 2025), §3.4.2 p. 28-29 et p. 42 (rouverture de R1-05)</t>
  </si>
  <si>
    <t xml:space="preserve">rapport d'étude (association de propriétaires, Royaume-Uni)</t>
  </si>
  <si>
    <t xml:space="preserve">V2V item 4</t>
  </si>
  <si>
    <t xml:space="preserve">V2V-07</t>
  </si>
  <si>
    <t xml:space="preserve">La Demeure Historique - Note Dialogue national de Sécurité - Établissements patrimoniaux (27/05/2019, 3 p.) (rouverture de R1-01)</t>
  </si>
  <si>
    <t xml:space="preserve">note d'association</t>
  </si>
  <si>
    <t xml:space="preserve">V2V item 5</t>
  </si>
  <si>
    <t xml:space="preserve">V2V-08</t>
  </si>
  <si>
    <t xml:space="preserve">Sénat - L'essentiel sur le PLF 2026, avis sur le programme 175 Patrimoines (a25-144-21) (rouverture de R1-34)</t>
  </si>
  <si>
    <t xml:space="preserve">V2V item 6</t>
  </si>
  <si>
    <t xml:space="preserve">V2V-09</t>
  </si>
  <si>
    <t xml:space="preserve">Assemblée nationale - Avis n° 2043 tome III (PLF 2026, programme 175), passage sur les crédits déconcentrés d'intervention (rouverture de R1-33 pour contrôle croisé)</t>
  </si>
  <si>
    <t xml:space="preserve">V2V item 6 (divergence -13 % / -29 %)</t>
  </si>
  <si>
    <t xml:space="preserve">V2V-10</t>
  </si>
  <si>
    <t xml:space="preserve">Assemblée nationale - Question écrite n° 12985 (château d'Olhain), JO 17/02/2026 et réponse JO 28/04/2026 (rouverture de R1-28)</t>
  </si>
  <si>
    <t xml:space="preserve">V2V item 7</t>
  </si>
  <si>
    <t xml:space="preserve">V2V-11</t>
  </si>
  <si>
    <t xml:space="preserve">Service-public.gouv.fr - Quelle évolution pour votre facture d'électricité au 1er août ? (21/07/2026) (rouverture de R1-24)</t>
  </si>
  <si>
    <t xml:space="preserve">V2V item 8</t>
  </si>
  <si>
    <t xml:space="preserve">V2V-12</t>
  </si>
  <si>
    <t xml:space="preserve">Service-public.gouv.fr - Le prix repère de vente de gaz va augmenter de 6,6 % en novembre (12/10/2026) (rouverture de R1-25)</t>
  </si>
  <si>
    <t xml:space="preserve">V2V-13</t>
  </si>
  <si>
    <t xml:space="preserve">Service-public.gouv.fr - Smic, fiche F2300 (vérifiée le 01/06/2026) (rouverture de R2-01)</t>
  </si>
  <si>
    <t xml:space="preserve">V2V item 9</t>
  </si>
  <si>
    <t xml:space="preserve">V2V-14</t>
  </si>
  <si>
    <t xml:space="preserve">Entreprendre.service-public.gouv.fr - Réduction générale dégressive unique, fiche F24542 (vérifiée le 15/06/2026) (rouverture de R2-02)</t>
  </si>
  <si>
    <t xml:space="preserve">V2V-15</t>
  </si>
  <si>
    <t xml:space="preserve">URSSAF mon-entreprise - API publique /api/v1/evaluate, 3 calculs (1, 1,5 et 2,5 SMIC, CDI, effectif 10, règles au 01/07/2026), sans compte ni donnée personnelle (rouverture de R2-11)</t>
  </si>
  <si>
    <t xml:space="preserve">outil officiel de calcul</t>
  </si>
  <si>
    <t xml:space="preserve">V2V item 10</t>
  </si>
  <si>
    <t xml:space="preserve">V2V-16</t>
  </si>
  <si>
    <t xml:space="preserve">France.fr (Atout France) - Dans le secret des jardins de Villandry (17/01/2024) (rouverture de R2-15)</t>
  </si>
  <si>
    <t xml:space="preserve">site institutionnel tourisme</t>
  </si>
  <si>
    <t xml:space="preserve">V2V item 11</t>
  </si>
  <si>
    <t xml:space="preserve">V2V-17</t>
  </si>
  <si>
    <t xml:space="preserve">Guide des coûts de revient des matériels en cuma, Édition Est 2025-2026, fiche Tracteur 100-140 CV p. 49 (rouverture de R2-30, texte extrait par pdftotext)</t>
  </si>
  <si>
    <t xml:space="preserve">organisme professionnel agricole</t>
  </si>
  <si>
    <t xml:space="preserve">V2V item 12</t>
  </si>
  <si>
    <t xml:space="preserve">V2V-18</t>
  </si>
  <si>
    <t xml:space="preserve">Blenheim Palace Heritage Foundation - comptes au 31/03/2025, pages 9, 10, 29 et 43 (scan Companies House lu en image) (rouverture de R5-03)</t>
  </si>
  <si>
    <t xml:space="preserve">comptes audités (registre officiel)</t>
  </si>
  <si>
    <t xml:space="preserve">V2V item 13</t>
  </si>
  <si>
    <t xml:space="preserve">V2V-19</t>
  </si>
  <si>
    <t xml:space="preserve">Chatsworth House Trust - comptes au 31/03/2025, pages imprimées 11, 38 et 40 (PDF p. 13, 40 et 42, scan lu en image) (rouverture de R5-05)</t>
  </si>
  <si>
    <t xml:space="preserve">V2V item 14</t>
  </si>
  <si>
    <t xml:space="preserve">V2V-20</t>
  </si>
  <si>
    <t xml:space="preserve">Burghley House Preservation Trust - rapport et comptes au 31/01/2026, pages imprimées 24 à 26 et 39 (PDF p. 25 à 27 et 40, scan lu en image) (rouverture de R5-07)</t>
  </si>
  <si>
    <t xml:space="preserve">V2V item 15</t>
  </si>
  <si>
    <t xml:space="preserve">V2V-21</t>
  </si>
  <si>
    <t xml:space="preserve">Inosys Réseau Équin - Cas-type EQCE3 Centre équestre tout public Compétition, campagne 2025, tableau 9 Référentiel de produits 2025 (rouverture de R6-02)</t>
  </si>
  <si>
    <t xml:space="preserve">référence technico-économique</t>
  </si>
  <si>
    <t xml:space="preserve">V2V item 16</t>
  </si>
  <si>
    <t xml:space="preserve">V2V-22</t>
  </si>
  <si>
    <t xml:space="preserve">Haras de Jardy - plaquette Pensions chevaux de propriétaires (image JPG lue visuellement) (rouverture de R6-15)</t>
  </si>
  <si>
    <t xml:space="preserve">tarif public d'établissement équestre</t>
  </si>
  <si>
    <t xml:space="preserve">V2V item 17</t>
  </si>
  <si>
    <t xml:space="preserve">V2V-23</t>
  </si>
  <si>
    <t xml:space="preserve">Haras de Jardy - page Les pensions (recherche de l'unité de temps du tarif, absente)</t>
  </si>
  <si>
    <t xml:space="preserve">https://harasdejardy.com/les-pensions/</t>
  </si>
  <si>
    <t xml:space="preserve">site d'établissement équestre</t>
  </si>
  <si>
    <t xml:space="preserve">V2V-24</t>
  </si>
  <si>
    <t xml:space="preserve">Réseau Équin - Synthèse nationale 2023, repères technico-économiques 2021, p. 16 et tableau des 26 écuries de pension (rouverture de R6-03)</t>
  </si>
  <si>
    <t xml:space="preserve">V2V item 18</t>
  </si>
  <si>
    <t xml:space="preserve">V2V-25</t>
  </si>
  <si>
    <t xml:space="preserve">Ville de Paris - Avis d'appel public à candidature, centre équestre de la Cartoucherie (08/01/2021) (rouverture de R6-25)</t>
  </si>
  <si>
    <t xml:space="preserve">acte administratif</t>
  </si>
  <si>
    <t xml:space="preserve">V2V item 19</t>
  </si>
  <si>
    <t xml:space="preserve">V2V-26</t>
  </si>
  <si>
    <t xml:space="preserve">Mariages.net - annuaire Château mariage, compteur 1.382 résultats (WebFetch, curl refusé 403) (rouverture de R7-05)</t>
  </si>
  <si>
    <t xml:space="preserve">V2V item 20</t>
  </si>
  <si>
    <t xml:space="preserve">V2V-27</t>
  </si>
  <si>
    <t xml:space="preserve">Mariages.net - annuaire Domaine mariage, compteur 3.769 résultats (WebFetch, curl refusé 403) (rouverture de R7-06)</t>
  </si>
  <si>
    <t xml:space="preserve">V2V-28</t>
  </si>
  <si>
    <t xml:space="preserve">API Recherche d'entreprises - requête chateauform (Châteauform' France SIREN 402559595, finances 2025) (contrôle de R7-63)</t>
  </si>
  <si>
    <t xml:space="preserve">registre officiel (API publique)</t>
  </si>
  <si>
    <t xml:space="preserve">V2V item 21</t>
  </si>
  <si>
    <t xml:space="preserve">V2V-29</t>
  </si>
  <si>
    <t xml:space="preserve">UMIH-GNC - Observatoire mensuel des performances hôtelières, décembre 2025 (MKG_destination), tableaux départementaux cumulés (rouverture de R7-38)</t>
  </si>
  <si>
    <t xml:space="preserve">organisation professionnelle</t>
  </si>
  <si>
    <t xml:space="preserve">V2V item 22</t>
  </si>
  <si>
    <t xml:space="preserve">V2V-30</t>
  </si>
  <si>
    <t xml:space="preserve">L'Hôtellerie Restauration - L'hôtel Louise de la Vallière, un château comme à l'époque royale (18/10/2022) (rouverture de R7-41)</t>
  </si>
  <si>
    <t xml:space="preserve">V2V item 23</t>
  </si>
  <si>
    <t xml:space="preserve">V2V-31</t>
  </si>
  <si>
    <t xml:space="preserve">Centre des monuments nationaux - Grille tarifaire tournages et prises de vue CMN 2024 (rouverture de R7-12)</t>
  </si>
  <si>
    <t xml:space="preserve">V2V item 24</t>
  </si>
  <si>
    <t xml:space="preserve">V2V-32</t>
  </si>
  <si>
    <t xml:space="preserve">API Recherche d'entreprises - requête domaine des etangs, CP 16310 (rouverture de R4-08)</t>
  </si>
  <si>
    <t xml:space="preserve">V2V item 25</t>
  </si>
  <si>
    <t xml:space="preserve">V2V-33</t>
  </si>
  <si>
    <t xml:space="preserve">API Recherche d'entreprises - chateau + NAF 55.10Z + CA &gt;= 1 M€, pages 1 et 2 (50 premiers résultats sur 105) (rouverture de R4-34 et R4-35, calcul refait)</t>
  </si>
  <si>
    <t xml:space="preserve">V2V item 26</t>
  </si>
  <si>
    <t xml:space="preserve">V2V-34</t>
  </si>
  <si>
    <t xml:space="preserve">API Recherche d'entreprises - même requête, pages 3 à 5 (résultats 51 à 105, contrôle de sensibilité)</t>
  </si>
  <si>
    <t xml:space="preserve">https://recherche-entreprises.api.gouv.fr/search?q=chateau&amp;activite_principale=55.10Z&amp;ca_min=1000000&amp;per_page=25&amp;page=3</t>
  </si>
  <si>
    <t xml:space="preserve">V2V-35</t>
  </si>
  <si>
    <t xml:space="preserve">data.gouv.fr - Carte des loyers, indicateurs de loyers d'annonce par commune en 2025, page de présentation (rouverture de R8-22)</t>
  </si>
  <si>
    <t xml:space="preserve">V2V item 27</t>
  </si>
  <si>
    <t xml:space="preserve">V2V-36</t>
  </si>
  <si>
    <t xml:space="preserve">data.gouv.fr - fichier maisons pred-mai-mef-dhup.csv, lu en entier (34 900 communes) (rouverture de R8-23)</t>
  </si>
  <si>
    <t xml:space="preserve">V2V-37</t>
  </si>
  <si>
    <t xml:space="preserve">CAUE 74 - Références 2025, Réhabilitation ancienne ferme, Le Biot (rouverture de R8-24)</t>
  </si>
  <si>
    <t xml:space="preserve">organisme public de conseil</t>
  </si>
  <si>
    <t xml:space="preserve">V2V-38</t>
  </si>
  <si>
    <t xml:space="preserve">2025 NACUBO-Commonfund Study of Endowments - Summary and Key Insights (rouverture de R8-34)</t>
  </si>
  <si>
    <t xml:space="preserve">étude annuelle de référence</t>
  </si>
  <si>
    <t xml:space="preserve">V2V item 28</t>
  </si>
  <si>
    <t xml:space="preserve">V2V-39</t>
  </si>
  <si>
    <t xml:space="preserve">UBS - Global Investment Returns Yearbook 2025, page de présentation (WebFetch, curl refusé 403) (rouverture de R8-32)</t>
  </si>
  <si>
    <t xml:space="preserve">V2V-40</t>
  </si>
  <si>
    <t xml:space="preserve">Argos Index mid-market, 2e trimestre 2026 (rouverture de R8-35)</t>
  </si>
  <si>
    <t xml:space="preserve">indice de référence</t>
  </si>
  <si>
    <t xml:space="preserve">V2V-41</t>
  </si>
  <si>
    <t xml:space="preserve">Assemblée nationale - Question écrite n° 75244 (12e législature), transmission, 11/10/2005 (rouverture de R8-36)</t>
  </si>
  <si>
    <t xml:space="preserve">question parlementaire citant OSEO-BDPME</t>
  </si>
  <si>
    <t xml:space="preserve">V2V-42</t>
  </si>
  <si>
    <t xml:space="preserve">Service-public.gouv.fr - Prélèvements sociaux sur les revenus du patrimoine et de placements, F2329 (vérifiée le 30/06/2026) (rouverture de R3-16)</t>
  </si>
  <si>
    <t xml:space="preserve">V2V item 29</t>
  </si>
  <si>
    <t xml:space="preserve">V2V-43</t>
  </si>
  <si>
    <t xml:space="preserve">Entreprendre.service-public.gouv.fr - Revenus du dirigeant d'une société, F36065 (rouverture de R3-57)</t>
  </si>
  <si>
    <t xml:space="preserve">V2V-44</t>
  </si>
  <si>
    <t xml:space="preserve">Service-public.gouv.fr - IFI : personnes et biens concernés, F563 (vérifiée le 06/03/2026) (rouverture de R3-01)</t>
  </si>
  <si>
    <t xml:space="preserve">V2V-45</t>
  </si>
  <si>
    <t xml:space="preserve">Service-public.gouv.fr - Calcul de l'IFI, F138 (vérifiée le 06/03/2026) (rouverture de R3-15)</t>
  </si>
  <si>
    <t xml:space="preserve">V2V-46</t>
  </si>
  <si>
    <t xml:space="preserve">BOFiP - BOI-RFPI-SPEC-30-20-10-20181219, export PDF, § 105 (rouverture de R3-04)</t>
  </si>
  <si>
    <t xml:space="preserve">https://bofip.impots.gouv.fr/export/pdf/5746</t>
  </si>
  <si>
    <t xml:space="preserve">V2V-47</t>
  </si>
  <si>
    <t xml:space="preserve">Simon Associés - Lettre de la fiscalité février 2026, loi de finances pour 2026, taxe sur les holdings patrimoniales (rouverture de R3-18)</t>
  </si>
  <si>
    <t xml:space="preserve">V2V item 30</t>
  </si>
  <si>
    <t xml:space="preserve">V2V-48</t>
  </si>
  <si>
    <t xml:space="preserve">Banque de France - Projections macroéconomiques intermédiaires, 15 septembre 2026 (page HTML par WebFetch et PDF officiel /system/files/2026-09/Projections_macroeconomiques_Septembre_2026.pdf converti par pdftotext, curl refusé 403) (rouverture de D-01)</t>
  </si>
  <si>
    <t xml:space="preserve">V2V item 31</t>
  </si>
  <si>
    <t xml:space="preserve">V2V-49</t>
  </si>
  <si>
    <t xml:space="preserve">MySweetImmo (17/09/2026) citant Kretz Real Estate - pourquoi vendre un château peut prendre 2 ans (rouverture de D-02)</t>
  </si>
</sst>
</file>

<file path=xl/styles.xml><?xml version="1.0" encoding="utf-8"?>
<styleSheet xmlns="http://schemas.openxmlformats.org/spreadsheetml/2006/main">
  <numFmts count="6">
    <numFmt numFmtId="164" formatCode="General"/>
    <numFmt numFmtId="165" formatCode="#,##0&quot; €&quot;;\-#,##0&quot; €&quot;;\-"/>
    <numFmt numFmtId="166" formatCode="0.0%;\-0.0%;\-"/>
    <numFmt numFmtId="167" formatCode="#,##0.###;\-#,##0.###;\-"/>
    <numFmt numFmtId="168" formatCode="#,##0.00&quot; €&quot;;\-#,##0.00&quot; €&quot;;\-"/>
    <numFmt numFmtId="169" formatCode="#,##0.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E8EEF5"/>
        <bgColor rgb="FFE2EFDA"/>
      </patternFill>
    </fill>
    <fill>
      <patternFill patternType="solid">
        <fgColor rgb="FFFCE4D6"/>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E8EEF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6" fontId="5"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8"/>
    <col collapsed="false" customWidth="true" hidden="false" outlineLevel="0" max="5" min="3" style="0" width="13"/>
    <col collapsed="false" customWidth="true" hidden="false" outlineLevel="0" max="6" min="6" style="0" width="16"/>
    <col collapsed="false" customWidth="true" hidden="false" outlineLevel="0" max="7" min="7" style="0" width="13"/>
    <col collapsed="false" customWidth="true" hidden="false" outlineLevel="0" max="8" min="8" style="0" width="22"/>
    <col collapsed="false" customWidth="true" hidden="false" outlineLevel="0" max="9" min="9" style="0" width="70"/>
    <col collapsed="false" customWidth="true" hidden="false" outlineLevel="0" max="10" min="10" style="0" width="18"/>
  </cols>
  <sheetData>
    <row r="1" customFormat="false" ht="16.15" hidden="false" customHeight="false" outlineLevel="0" collapsed="false">
      <c r="A1" s="1" t="s">
        <v>9</v>
      </c>
    </row>
    <row r="2" customFormat="false" ht="42" hidden="false" customHeight="true" outlineLevel="0" collapsed="false">
      <c r="A2" s="3" t="s">
        <v>10</v>
      </c>
      <c r="B2" s="3"/>
      <c r="C2" s="3"/>
      <c r="D2" s="3"/>
      <c r="E2" s="3"/>
      <c r="F2" s="3"/>
      <c r="G2" s="3"/>
      <c r="H2" s="3"/>
      <c r="I2" s="3"/>
      <c r="J2" s="3"/>
    </row>
    <row r="4" customFormat="false" ht="15" hidden="false" customHeight="false" outlineLevel="0" collapsed="false">
      <c r="A4" s="4" t="s">
        <v>11</v>
      </c>
      <c r="B4" s="4" t="s">
        <v>12</v>
      </c>
      <c r="C4" s="4" t="s">
        <v>13</v>
      </c>
      <c r="D4" s="4" t="s">
        <v>14</v>
      </c>
      <c r="E4" s="4" t="s">
        <v>15</v>
      </c>
      <c r="F4" s="4" t="s">
        <v>16</v>
      </c>
      <c r="G4" s="4" t="s">
        <v>17</v>
      </c>
      <c r="H4" s="4" t="s">
        <v>18</v>
      </c>
      <c r="I4" s="4" t="s">
        <v>19</v>
      </c>
      <c r="J4" s="4" t="s">
        <v>20</v>
      </c>
    </row>
    <row r="5" customFormat="false" ht="15" hidden="false" customHeight="false" outlineLevel="0" collapsed="false">
      <c r="A5" s="5" t="s">
        <v>21</v>
      </c>
    </row>
    <row r="6" customFormat="false" ht="15" hidden="false" customHeight="false" outlineLevel="0" collapsed="false">
      <c r="A6" s="2" t="s">
        <v>22</v>
      </c>
      <c r="B6" s="2" t="s">
        <v>23</v>
      </c>
      <c r="C6" s="6" t="n">
        <v>4000</v>
      </c>
      <c r="D6" s="6" t="n">
        <v>7000</v>
      </c>
      <c r="E6" s="6" t="n">
        <v>12000</v>
      </c>
      <c r="F6" s="2" t="s">
        <v>24</v>
      </c>
      <c r="G6" s="7" t="s">
        <v>25</v>
      </c>
      <c r="H6" s="2"/>
      <c r="I6" s="8"/>
      <c r="J6" s="2" t="s">
        <v>26</v>
      </c>
    </row>
    <row r="7" customFormat="false" ht="15" hidden="false" customHeight="false" outlineLevel="0" collapsed="false">
      <c r="A7" s="2" t="s">
        <v>27</v>
      </c>
      <c r="B7" s="2" t="s">
        <v>28</v>
      </c>
      <c r="C7" s="6" t="n">
        <v>2000</v>
      </c>
      <c r="D7" s="6" t="n">
        <v>3500</v>
      </c>
      <c r="E7" s="6" t="n">
        <v>6000</v>
      </c>
      <c r="F7" s="2" t="s">
        <v>24</v>
      </c>
      <c r="G7" s="7" t="s">
        <v>25</v>
      </c>
      <c r="H7" s="2" t="s">
        <v>29</v>
      </c>
      <c r="I7" s="8"/>
      <c r="J7" s="2" t="s">
        <v>26</v>
      </c>
    </row>
    <row r="8" customFormat="false" ht="15" hidden="false" customHeight="false" outlineLevel="0" collapsed="false">
      <c r="A8" s="2" t="s">
        <v>30</v>
      </c>
      <c r="B8" s="2" t="s">
        <v>31</v>
      </c>
      <c r="C8" s="6" t="n">
        <v>15000</v>
      </c>
      <c r="D8" s="6" t="n">
        <v>25000</v>
      </c>
      <c r="E8" s="6" t="n">
        <v>40000</v>
      </c>
      <c r="F8" s="2" t="s">
        <v>24</v>
      </c>
      <c r="G8" s="7" t="s">
        <v>25</v>
      </c>
      <c r="H8" s="2"/>
      <c r="I8" s="8"/>
      <c r="J8" s="2" t="s">
        <v>26</v>
      </c>
    </row>
    <row r="9" customFormat="false" ht="15" hidden="false" customHeight="false" outlineLevel="0" collapsed="false">
      <c r="A9" s="2" t="s">
        <v>32</v>
      </c>
      <c r="B9" s="2" t="s">
        <v>33</v>
      </c>
      <c r="C9" s="6" t="n">
        <v>5000</v>
      </c>
      <c r="D9" s="6" t="n">
        <v>9000</v>
      </c>
      <c r="E9" s="6" t="n">
        <v>15000</v>
      </c>
      <c r="F9" s="2" t="s">
        <v>24</v>
      </c>
      <c r="G9" s="7" t="s">
        <v>25</v>
      </c>
      <c r="H9" s="2" t="s">
        <v>29</v>
      </c>
      <c r="I9" s="8"/>
      <c r="J9" s="2" t="s">
        <v>26</v>
      </c>
    </row>
    <row r="10" customFormat="false" ht="15" hidden="false" customHeight="false" outlineLevel="0" collapsed="false">
      <c r="A10" s="2" t="s">
        <v>34</v>
      </c>
      <c r="B10" s="2" t="s">
        <v>35</v>
      </c>
      <c r="C10" s="6" t="n">
        <v>40000</v>
      </c>
      <c r="D10" s="6" t="n">
        <v>70000</v>
      </c>
      <c r="E10" s="6" t="n">
        <v>110000</v>
      </c>
      <c r="F10" s="2" t="s">
        <v>24</v>
      </c>
      <c r="G10" s="7" t="s">
        <v>25</v>
      </c>
      <c r="H10" s="2"/>
      <c r="I10" s="8"/>
      <c r="J10" s="2" t="s">
        <v>26</v>
      </c>
    </row>
    <row r="11" customFormat="false" ht="15" hidden="false" customHeight="false" outlineLevel="0" collapsed="false">
      <c r="A11" s="2" t="s">
        <v>36</v>
      </c>
      <c r="B11" s="2" t="s">
        <v>37</v>
      </c>
      <c r="C11" s="6" t="n">
        <v>12000</v>
      </c>
      <c r="D11" s="6" t="n">
        <v>20000</v>
      </c>
      <c r="E11" s="6" t="n">
        <v>35000</v>
      </c>
      <c r="F11" s="2" t="s">
        <v>24</v>
      </c>
      <c r="G11" s="7" t="s">
        <v>25</v>
      </c>
      <c r="H11" s="2" t="s">
        <v>29</v>
      </c>
      <c r="I11" s="8"/>
      <c r="J11" s="2" t="s">
        <v>26</v>
      </c>
    </row>
    <row r="12" customFormat="false" ht="46.25" hidden="false" customHeight="false" outlineLevel="0" collapsed="false">
      <c r="A12" s="2" t="s">
        <v>38</v>
      </c>
      <c r="B12" s="2" t="s">
        <v>39</v>
      </c>
      <c r="C12" s="9" t="n">
        <v>0.0015</v>
      </c>
      <c r="D12" s="10" t="n">
        <v>0.003</v>
      </c>
      <c r="E12" s="9" t="n">
        <v>0.005</v>
      </c>
      <c r="F12" s="2" t="s">
        <v>40</v>
      </c>
      <c r="G12" s="11" t="s">
        <v>41</v>
      </c>
      <c r="H12" s="2" t="s">
        <v>42</v>
      </c>
      <c r="I12" s="8" t="s">
        <v>43</v>
      </c>
      <c r="J12" s="2" t="s">
        <v>26</v>
      </c>
    </row>
    <row r="13" customFormat="false" ht="35.05" hidden="false" customHeight="false" outlineLevel="0" collapsed="false">
      <c r="A13" s="2" t="s">
        <v>44</v>
      </c>
      <c r="B13" s="2" t="s">
        <v>45</v>
      </c>
      <c r="C13" s="9" t="n">
        <v>0.3</v>
      </c>
      <c r="D13" s="9" t="n">
        <v>0.3</v>
      </c>
      <c r="E13" s="9" t="n">
        <v>0</v>
      </c>
      <c r="F13" s="2" t="s">
        <v>46</v>
      </c>
      <c r="G13" s="12" t="s">
        <v>47</v>
      </c>
      <c r="H13" s="2" t="s">
        <v>48</v>
      </c>
      <c r="I13" s="8" t="s">
        <v>49</v>
      </c>
      <c r="J13" s="2" t="s">
        <v>26</v>
      </c>
    </row>
    <row r="14" customFormat="false" ht="23.85" hidden="false" customHeight="false" outlineLevel="0" collapsed="false">
      <c r="A14" s="2" t="s">
        <v>50</v>
      </c>
      <c r="B14" s="2" t="s">
        <v>51</v>
      </c>
      <c r="C14" s="9" t="n">
        <v>0.02</v>
      </c>
      <c r="D14" s="9" t="n">
        <v>0.03</v>
      </c>
      <c r="E14" s="9" t="n">
        <v>0.05</v>
      </c>
      <c r="F14" s="2" t="s">
        <v>46</v>
      </c>
      <c r="G14" s="7" t="s">
        <v>25</v>
      </c>
      <c r="H14" s="2"/>
      <c r="I14" s="8" t="s">
        <v>52</v>
      </c>
      <c r="J14" s="2" t="s">
        <v>26</v>
      </c>
    </row>
    <row r="15" customFormat="false" ht="15" hidden="false" customHeight="false" outlineLevel="0" collapsed="false">
      <c r="A15" s="2" t="s">
        <v>53</v>
      </c>
      <c r="B15" s="2" t="s">
        <v>54</v>
      </c>
      <c r="C15" s="9" t="n">
        <v>0.02</v>
      </c>
      <c r="D15" s="9" t="n">
        <v>0.04</v>
      </c>
      <c r="E15" s="9" t="n">
        <v>0.06</v>
      </c>
      <c r="F15" s="2" t="s">
        <v>46</v>
      </c>
      <c r="G15" s="7" t="s">
        <v>25</v>
      </c>
      <c r="H15" s="2"/>
      <c r="I15" s="8" t="s">
        <v>55</v>
      </c>
      <c r="J15" s="2" t="s">
        <v>26</v>
      </c>
    </row>
    <row r="16" customFormat="false" ht="23.85" hidden="false" customHeight="false" outlineLevel="0" collapsed="false">
      <c r="A16" s="2" t="s">
        <v>56</v>
      </c>
      <c r="B16" s="2" t="s">
        <v>57</v>
      </c>
      <c r="C16" s="6" t="n">
        <v>3</v>
      </c>
      <c r="D16" s="6" t="n">
        <v>6</v>
      </c>
      <c r="E16" s="6" t="n">
        <v>10</v>
      </c>
      <c r="F16" s="2" t="s">
        <v>58</v>
      </c>
      <c r="G16" s="7" t="s">
        <v>25</v>
      </c>
      <c r="H16" s="2" t="s">
        <v>59</v>
      </c>
      <c r="I16" s="8" t="s">
        <v>60</v>
      </c>
      <c r="J16" s="2" t="s">
        <v>26</v>
      </c>
    </row>
    <row r="17" customFormat="false" ht="15" hidden="false" customHeight="false" outlineLevel="0" collapsed="false">
      <c r="A17" s="2" t="s">
        <v>61</v>
      </c>
      <c r="B17" s="2" t="s">
        <v>62</v>
      </c>
      <c r="C17" s="6" t="n">
        <v>1</v>
      </c>
      <c r="D17" s="6" t="n">
        <v>2</v>
      </c>
      <c r="E17" s="6" t="n">
        <v>3</v>
      </c>
      <c r="F17" s="2" t="s">
        <v>58</v>
      </c>
      <c r="G17" s="7" t="s">
        <v>25</v>
      </c>
      <c r="H17" s="2" t="s">
        <v>63</v>
      </c>
      <c r="I17" s="8"/>
      <c r="J17" s="2" t="s">
        <v>26</v>
      </c>
    </row>
    <row r="18" customFormat="false" ht="15" hidden="false" customHeight="false" outlineLevel="0" collapsed="false">
      <c r="A18" s="5" t="s">
        <v>64</v>
      </c>
    </row>
    <row r="19" customFormat="false" ht="15" hidden="false" customHeight="false" outlineLevel="0" collapsed="false">
      <c r="A19" s="2" t="s">
        <v>65</v>
      </c>
      <c r="B19" s="2" t="s">
        <v>66</v>
      </c>
      <c r="C19" s="6" t="n">
        <v>0</v>
      </c>
      <c r="D19" s="6" t="n">
        <v>1500</v>
      </c>
      <c r="E19" s="6" t="n">
        <v>4000</v>
      </c>
      <c r="F19" s="2" t="s">
        <v>24</v>
      </c>
      <c r="G19" s="7" t="s">
        <v>25</v>
      </c>
      <c r="H19" s="2" t="s">
        <v>67</v>
      </c>
      <c r="I19" s="8" t="s">
        <v>68</v>
      </c>
      <c r="J19" s="2" t="s">
        <v>69</v>
      </c>
    </row>
    <row r="20" customFormat="false" ht="23.85" hidden="false" customHeight="false" outlineLevel="0" collapsed="false">
      <c r="A20" s="2" t="s">
        <v>70</v>
      </c>
      <c r="B20" s="2" t="s">
        <v>71</v>
      </c>
      <c r="C20" s="6" t="n">
        <v>1500</v>
      </c>
      <c r="D20" s="6" t="n">
        <v>2500</v>
      </c>
      <c r="E20" s="6" t="n">
        <v>4000</v>
      </c>
      <c r="F20" s="2" t="s">
        <v>24</v>
      </c>
      <c r="G20" s="7" t="s">
        <v>25</v>
      </c>
      <c r="H20" s="2" t="s">
        <v>72</v>
      </c>
      <c r="I20" s="8" t="s">
        <v>73</v>
      </c>
      <c r="J20" s="2" t="s">
        <v>69</v>
      </c>
    </row>
    <row r="21" customFormat="false" ht="35.05" hidden="false" customHeight="false" outlineLevel="0" collapsed="false">
      <c r="A21" s="2" t="s">
        <v>74</v>
      </c>
      <c r="B21" s="2" t="s">
        <v>75</v>
      </c>
      <c r="C21" s="6" t="n">
        <v>2400</v>
      </c>
      <c r="D21" s="6" t="n">
        <v>3000</v>
      </c>
      <c r="E21" s="6" t="n">
        <v>4000</v>
      </c>
      <c r="F21" s="2" t="s">
        <v>76</v>
      </c>
      <c r="G21" s="11" t="s">
        <v>41</v>
      </c>
      <c r="H21" s="2" t="s">
        <v>77</v>
      </c>
      <c r="I21" s="8" t="s">
        <v>78</v>
      </c>
      <c r="J21" s="2" t="s">
        <v>69</v>
      </c>
    </row>
    <row r="22" customFormat="false" ht="15" hidden="false" customHeight="false" outlineLevel="0" collapsed="false">
      <c r="A22" s="2" t="s">
        <v>79</v>
      </c>
      <c r="B22" s="2" t="s">
        <v>80</v>
      </c>
      <c r="C22" s="6" t="n">
        <v>3000</v>
      </c>
      <c r="D22" s="6" t="n">
        <v>6000</v>
      </c>
      <c r="E22" s="6" t="n">
        <v>10000</v>
      </c>
      <c r="F22" s="2" t="s">
        <v>24</v>
      </c>
      <c r="G22" s="7" t="s">
        <v>25</v>
      </c>
      <c r="H22" s="2" t="s">
        <v>67</v>
      </c>
      <c r="I22" s="8"/>
      <c r="J22" s="2" t="s">
        <v>69</v>
      </c>
    </row>
    <row r="23" customFormat="false" ht="15" hidden="false" customHeight="false" outlineLevel="0" collapsed="false">
      <c r="A23" s="2" t="s">
        <v>81</v>
      </c>
      <c r="B23" s="2" t="s">
        <v>82</v>
      </c>
      <c r="C23" s="6" t="n">
        <v>4000</v>
      </c>
      <c r="D23" s="6" t="n">
        <v>7000</v>
      </c>
      <c r="E23" s="6" t="n">
        <v>12000</v>
      </c>
      <c r="F23" s="2" t="s">
        <v>24</v>
      </c>
      <c r="G23" s="7" t="s">
        <v>25</v>
      </c>
      <c r="H23" s="2" t="s">
        <v>72</v>
      </c>
      <c r="I23" s="8"/>
      <c r="J23" s="2" t="s">
        <v>69</v>
      </c>
    </row>
    <row r="24" customFormat="false" ht="23.85" hidden="false" customHeight="false" outlineLevel="0" collapsed="false">
      <c r="A24" s="2" t="s">
        <v>83</v>
      </c>
      <c r="B24" s="2" t="s">
        <v>84</v>
      </c>
      <c r="C24" s="6" t="n">
        <v>2800</v>
      </c>
      <c r="D24" s="13" t="n">
        <v>3700</v>
      </c>
      <c r="E24" s="6" t="n">
        <v>5000</v>
      </c>
      <c r="F24" s="2" t="s">
        <v>76</v>
      </c>
      <c r="G24" s="11" t="s">
        <v>41</v>
      </c>
      <c r="H24" s="2" t="s">
        <v>77</v>
      </c>
      <c r="I24" s="8" t="s">
        <v>85</v>
      </c>
      <c r="J24" s="2" t="s">
        <v>69</v>
      </c>
    </row>
    <row r="25" customFormat="false" ht="15" hidden="false" customHeight="false" outlineLevel="0" collapsed="false">
      <c r="A25" s="2" t="s">
        <v>86</v>
      </c>
      <c r="B25" s="2" t="s">
        <v>87</v>
      </c>
      <c r="C25" s="6" t="n">
        <v>8000</v>
      </c>
      <c r="D25" s="6" t="n">
        <v>15000</v>
      </c>
      <c r="E25" s="6" t="n">
        <v>25000</v>
      </c>
      <c r="F25" s="2" t="s">
        <v>24</v>
      </c>
      <c r="G25" s="7" t="s">
        <v>25</v>
      </c>
      <c r="H25" s="2" t="s">
        <v>67</v>
      </c>
      <c r="I25" s="8"/>
      <c r="J25" s="2" t="s">
        <v>69</v>
      </c>
    </row>
    <row r="26" customFormat="false" ht="15" hidden="false" customHeight="false" outlineLevel="0" collapsed="false">
      <c r="A26" s="2" t="s">
        <v>88</v>
      </c>
      <c r="B26" s="2" t="s">
        <v>89</v>
      </c>
      <c r="C26" s="6" t="n">
        <v>15000</v>
      </c>
      <c r="D26" s="6" t="n">
        <v>25000</v>
      </c>
      <c r="E26" s="6" t="n">
        <v>40000</v>
      </c>
      <c r="F26" s="2" t="s">
        <v>24</v>
      </c>
      <c r="G26" s="7" t="s">
        <v>25</v>
      </c>
      <c r="H26" s="2" t="s">
        <v>72</v>
      </c>
      <c r="I26" s="8"/>
      <c r="J26" s="2" t="s">
        <v>69</v>
      </c>
    </row>
    <row r="27" customFormat="false" ht="23.85" hidden="false" customHeight="false" outlineLevel="0" collapsed="false">
      <c r="A27" s="2" t="s">
        <v>90</v>
      </c>
      <c r="B27" s="2" t="s">
        <v>91</v>
      </c>
      <c r="C27" s="6" t="n">
        <v>5000</v>
      </c>
      <c r="D27" s="6" t="n">
        <v>7000</v>
      </c>
      <c r="E27" s="6" t="n">
        <v>10000</v>
      </c>
      <c r="F27" s="2" t="s">
        <v>76</v>
      </c>
      <c r="G27" s="11" t="s">
        <v>41</v>
      </c>
      <c r="H27" s="2" t="s">
        <v>29</v>
      </c>
      <c r="I27" s="8" t="s">
        <v>92</v>
      </c>
      <c r="J27" s="2" t="s">
        <v>69</v>
      </c>
    </row>
    <row r="28" customFormat="false" ht="23.85" hidden="false" customHeight="false" outlineLevel="0" collapsed="false">
      <c r="A28" s="2" t="s">
        <v>93</v>
      </c>
      <c r="B28" s="2" t="s">
        <v>94</v>
      </c>
      <c r="C28" s="9" t="n">
        <v>0.1</v>
      </c>
      <c r="D28" s="9" t="n">
        <v>0.15</v>
      </c>
      <c r="E28" s="9" t="n">
        <v>0.2</v>
      </c>
      <c r="F28" s="2" t="s">
        <v>95</v>
      </c>
      <c r="G28" s="7" t="s">
        <v>25</v>
      </c>
      <c r="H28" s="2" t="s">
        <v>67</v>
      </c>
      <c r="I28" s="8" t="s">
        <v>96</v>
      </c>
      <c r="J28" s="2" t="s">
        <v>69</v>
      </c>
    </row>
    <row r="29" customFormat="false" ht="35.05" hidden="false" customHeight="false" outlineLevel="0" collapsed="false">
      <c r="A29" s="2" t="s">
        <v>97</v>
      </c>
      <c r="B29" s="2" t="s">
        <v>98</v>
      </c>
      <c r="C29" s="9" t="n">
        <v>0.005</v>
      </c>
      <c r="D29" s="9" t="n">
        <v>0.0075</v>
      </c>
      <c r="E29" s="9" t="n">
        <v>0.01</v>
      </c>
      <c r="F29" s="2" t="s">
        <v>99</v>
      </c>
      <c r="G29" s="7" t="s">
        <v>25</v>
      </c>
      <c r="H29" s="2" t="s">
        <v>100</v>
      </c>
      <c r="I29" s="8" t="s">
        <v>101</v>
      </c>
      <c r="J29" s="2" t="s">
        <v>69</v>
      </c>
    </row>
    <row r="30" customFormat="false" ht="91" hidden="false" customHeight="false" outlineLevel="0" collapsed="false">
      <c r="A30" s="2" t="s">
        <v>102</v>
      </c>
      <c r="B30" s="2" t="s">
        <v>103</v>
      </c>
      <c r="C30" s="9" t="n">
        <v>0.015</v>
      </c>
      <c r="D30" s="10" t="n">
        <v>0.0225</v>
      </c>
      <c r="E30" s="9" t="n">
        <v>0.03</v>
      </c>
      <c r="F30" s="2" t="s">
        <v>99</v>
      </c>
      <c r="G30" s="11" t="s">
        <v>41</v>
      </c>
      <c r="H30" s="2" t="s">
        <v>104</v>
      </c>
      <c r="I30" s="8" t="s">
        <v>105</v>
      </c>
      <c r="J30" s="2" t="s">
        <v>69</v>
      </c>
    </row>
    <row r="31" customFormat="false" ht="46.25" hidden="false" customHeight="false" outlineLevel="0" collapsed="false">
      <c r="A31" s="2" t="s">
        <v>106</v>
      </c>
      <c r="B31" s="2" t="s">
        <v>107</v>
      </c>
      <c r="C31" s="9" t="n">
        <v>0.08</v>
      </c>
      <c r="D31" s="9" t="n">
        <v>0.12</v>
      </c>
      <c r="E31" s="9" t="n">
        <v>0.18</v>
      </c>
      <c r="F31" s="2" t="s">
        <v>95</v>
      </c>
      <c r="G31" s="7" t="s">
        <v>25</v>
      </c>
      <c r="H31" s="2" t="s">
        <v>108</v>
      </c>
      <c r="I31" s="8" t="s">
        <v>109</v>
      </c>
      <c r="J31" s="2" t="s">
        <v>69</v>
      </c>
    </row>
    <row r="32" customFormat="false" ht="15" hidden="false" customHeight="false" outlineLevel="0" collapsed="false">
      <c r="A32" s="2" t="s">
        <v>110</v>
      </c>
      <c r="B32" s="2" t="s">
        <v>111</v>
      </c>
      <c r="C32" s="14" t="n">
        <v>0.4</v>
      </c>
      <c r="D32" s="14" t="n">
        <v>0.5</v>
      </c>
      <c r="E32" s="14" t="n">
        <v>0.6</v>
      </c>
      <c r="F32" s="2" t="s">
        <v>112</v>
      </c>
      <c r="G32" s="7" t="s">
        <v>25</v>
      </c>
      <c r="H32" s="2" t="s">
        <v>63</v>
      </c>
      <c r="I32" s="8" t="s">
        <v>113</v>
      </c>
      <c r="J32" s="2" t="s">
        <v>69</v>
      </c>
    </row>
    <row r="33" customFormat="false" ht="15" hidden="false" customHeight="false" outlineLevel="0" collapsed="false">
      <c r="A33" s="5" t="s">
        <v>114</v>
      </c>
    </row>
    <row r="34" customFormat="false" ht="15" hidden="false" customHeight="false" outlineLevel="0" collapsed="false">
      <c r="A34" s="2" t="s">
        <v>115</v>
      </c>
      <c r="B34" s="2" t="s">
        <v>116</v>
      </c>
      <c r="C34" s="14" t="n">
        <v>0</v>
      </c>
      <c r="D34" s="14" t="n">
        <v>0</v>
      </c>
      <c r="E34" s="14" t="n">
        <v>0</v>
      </c>
      <c r="F34" s="2" t="s">
        <v>117</v>
      </c>
      <c r="G34" s="7" t="s">
        <v>25</v>
      </c>
      <c r="H34" s="2"/>
      <c r="I34" s="8" t="s">
        <v>118</v>
      </c>
      <c r="J34" s="2" t="s">
        <v>119</v>
      </c>
    </row>
    <row r="35" customFormat="false" ht="15" hidden="false" customHeight="false" outlineLevel="0" collapsed="false">
      <c r="A35" s="2" t="s">
        <v>120</v>
      </c>
      <c r="B35" s="2" t="s">
        <v>121</v>
      </c>
      <c r="C35" s="14" t="n">
        <v>0</v>
      </c>
      <c r="D35" s="14" t="n">
        <v>0</v>
      </c>
      <c r="E35" s="14" t="n">
        <v>0</v>
      </c>
      <c r="F35" s="2" t="s">
        <v>117</v>
      </c>
      <c r="G35" s="7" t="s">
        <v>25</v>
      </c>
      <c r="H35" s="2"/>
      <c r="I35" s="8" t="s">
        <v>118</v>
      </c>
      <c r="J35" s="2" t="s">
        <v>119</v>
      </c>
    </row>
    <row r="36" customFormat="false" ht="15" hidden="false" customHeight="false" outlineLevel="0" collapsed="false">
      <c r="A36" s="2" t="s">
        <v>122</v>
      </c>
      <c r="B36" s="2" t="s">
        <v>123</v>
      </c>
      <c r="C36" s="14" t="n">
        <v>1</v>
      </c>
      <c r="D36" s="14" t="n">
        <v>1</v>
      </c>
      <c r="E36" s="14" t="n">
        <v>1</v>
      </c>
      <c r="F36" s="2" t="s">
        <v>117</v>
      </c>
      <c r="G36" s="7" t="s">
        <v>25</v>
      </c>
      <c r="H36" s="2"/>
      <c r="I36" s="8" t="s">
        <v>118</v>
      </c>
      <c r="J36" s="2" t="s">
        <v>119</v>
      </c>
    </row>
    <row r="37" customFormat="false" ht="15" hidden="false" customHeight="false" outlineLevel="0" collapsed="false">
      <c r="A37" s="2" t="s">
        <v>124</v>
      </c>
      <c r="B37" s="2" t="s">
        <v>125</v>
      </c>
      <c r="C37" s="14" t="n">
        <v>0</v>
      </c>
      <c r="D37" s="14" t="n">
        <v>0</v>
      </c>
      <c r="E37" s="14" t="n">
        <v>0</v>
      </c>
      <c r="F37" s="2" t="s">
        <v>117</v>
      </c>
      <c r="G37" s="7" t="s">
        <v>25</v>
      </c>
      <c r="H37" s="2"/>
      <c r="I37" s="8" t="s">
        <v>118</v>
      </c>
      <c r="J37" s="2" t="s">
        <v>119</v>
      </c>
    </row>
    <row r="38" customFormat="false" ht="15" hidden="false" customHeight="false" outlineLevel="0" collapsed="false">
      <c r="A38" s="2" t="s">
        <v>126</v>
      </c>
      <c r="B38" s="2" t="s">
        <v>127</v>
      </c>
      <c r="C38" s="14" t="n">
        <v>0</v>
      </c>
      <c r="D38" s="14" t="n">
        <v>0</v>
      </c>
      <c r="E38" s="14" t="n">
        <v>0</v>
      </c>
      <c r="F38" s="2" t="s">
        <v>117</v>
      </c>
      <c r="G38" s="7" t="s">
        <v>25</v>
      </c>
      <c r="H38" s="2"/>
      <c r="I38" s="8" t="s">
        <v>118</v>
      </c>
      <c r="J38" s="2" t="s">
        <v>119</v>
      </c>
    </row>
    <row r="39" customFormat="false" ht="15" hidden="false" customHeight="false" outlineLevel="0" collapsed="false">
      <c r="A39" s="2" t="s">
        <v>128</v>
      </c>
      <c r="B39" s="2" t="s">
        <v>129</v>
      </c>
      <c r="C39" s="14" t="n">
        <v>1</v>
      </c>
      <c r="D39" s="14" t="n">
        <v>1</v>
      </c>
      <c r="E39" s="14" t="n">
        <v>1</v>
      </c>
      <c r="F39" s="2" t="s">
        <v>117</v>
      </c>
      <c r="G39" s="7" t="s">
        <v>25</v>
      </c>
      <c r="H39" s="2"/>
      <c r="I39" s="8" t="s">
        <v>118</v>
      </c>
      <c r="J39" s="2" t="s">
        <v>119</v>
      </c>
    </row>
    <row r="40" customFormat="false" ht="15" hidden="false" customHeight="false" outlineLevel="0" collapsed="false">
      <c r="A40" s="2" t="s">
        <v>130</v>
      </c>
      <c r="B40" s="2" t="s">
        <v>131</v>
      </c>
      <c r="C40" s="14" t="n">
        <v>0</v>
      </c>
      <c r="D40" s="14" t="n">
        <v>0</v>
      </c>
      <c r="E40" s="14" t="n">
        <v>0</v>
      </c>
      <c r="F40" s="2" t="s">
        <v>117</v>
      </c>
      <c r="G40" s="7" t="s">
        <v>25</v>
      </c>
      <c r="H40" s="2"/>
      <c r="I40" s="8" t="s">
        <v>118</v>
      </c>
      <c r="J40" s="2" t="s">
        <v>119</v>
      </c>
    </row>
    <row r="41" customFormat="false" ht="15" hidden="false" customHeight="false" outlineLevel="0" collapsed="false">
      <c r="A41" s="2" t="s">
        <v>132</v>
      </c>
      <c r="B41" s="2" t="s">
        <v>133</v>
      </c>
      <c r="C41" s="14" t="n">
        <v>0</v>
      </c>
      <c r="D41" s="14" t="n">
        <v>0</v>
      </c>
      <c r="E41" s="14" t="n">
        <v>0</v>
      </c>
      <c r="F41" s="2" t="s">
        <v>117</v>
      </c>
      <c r="G41" s="7" t="s">
        <v>25</v>
      </c>
      <c r="H41" s="2"/>
      <c r="I41" s="8" t="s">
        <v>118</v>
      </c>
      <c r="J41" s="2" t="s">
        <v>119</v>
      </c>
    </row>
    <row r="42" customFormat="false" ht="15" hidden="false" customHeight="false" outlineLevel="0" collapsed="false">
      <c r="A42" s="2" t="s">
        <v>134</v>
      </c>
      <c r="B42" s="2" t="s">
        <v>135</v>
      </c>
      <c r="C42" s="14" t="n">
        <v>0</v>
      </c>
      <c r="D42" s="14" t="n">
        <v>0</v>
      </c>
      <c r="E42" s="14" t="n">
        <v>0</v>
      </c>
      <c r="F42" s="2" t="s">
        <v>117</v>
      </c>
      <c r="G42" s="7" t="s">
        <v>25</v>
      </c>
      <c r="H42" s="2"/>
      <c r="I42" s="8" t="s">
        <v>118</v>
      </c>
      <c r="J42" s="2" t="s">
        <v>119</v>
      </c>
    </row>
    <row r="43" customFormat="false" ht="15" hidden="false" customHeight="false" outlineLevel="0" collapsed="false">
      <c r="A43" s="2" t="s">
        <v>136</v>
      </c>
      <c r="B43" s="2" t="s">
        <v>137</v>
      </c>
      <c r="C43" s="14" t="n">
        <v>0</v>
      </c>
      <c r="D43" s="14" t="n">
        <v>0</v>
      </c>
      <c r="E43" s="14" t="n">
        <v>0</v>
      </c>
      <c r="F43" s="2" t="s">
        <v>117</v>
      </c>
      <c r="G43" s="7" t="s">
        <v>25</v>
      </c>
      <c r="H43" s="2"/>
      <c r="I43" s="8" t="s">
        <v>118</v>
      </c>
      <c r="J43" s="2" t="s">
        <v>119</v>
      </c>
    </row>
    <row r="44" customFormat="false" ht="15" hidden="false" customHeight="false" outlineLevel="0" collapsed="false">
      <c r="A44" s="2" t="s">
        <v>138</v>
      </c>
      <c r="B44" s="2" t="s">
        <v>139</v>
      </c>
      <c r="C44" s="14" t="n">
        <v>1</v>
      </c>
      <c r="D44" s="14" t="n">
        <v>1</v>
      </c>
      <c r="E44" s="14" t="n">
        <v>1</v>
      </c>
      <c r="F44" s="2" t="s">
        <v>117</v>
      </c>
      <c r="G44" s="7" t="s">
        <v>25</v>
      </c>
      <c r="H44" s="2"/>
      <c r="I44" s="8" t="s">
        <v>118</v>
      </c>
      <c r="J44" s="2" t="s">
        <v>119</v>
      </c>
    </row>
    <row r="45" customFormat="false" ht="15" hidden="false" customHeight="false" outlineLevel="0" collapsed="false">
      <c r="A45" s="2" t="s">
        <v>140</v>
      </c>
      <c r="B45" s="2" t="s">
        <v>141</v>
      </c>
      <c r="C45" s="14" t="n">
        <v>0</v>
      </c>
      <c r="D45" s="14" t="n">
        <v>0</v>
      </c>
      <c r="E45" s="14" t="n">
        <v>0</v>
      </c>
      <c r="F45" s="2" t="s">
        <v>117</v>
      </c>
      <c r="G45" s="7" t="s">
        <v>25</v>
      </c>
      <c r="H45" s="2"/>
      <c r="I45" s="8" t="s">
        <v>118</v>
      </c>
      <c r="J45" s="2" t="s">
        <v>119</v>
      </c>
    </row>
    <row r="46" customFormat="false" ht="15" hidden="false" customHeight="false" outlineLevel="0" collapsed="false">
      <c r="A46" s="2" t="s">
        <v>142</v>
      </c>
      <c r="B46" s="2" t="s">
        <v>143</v>
      </c>
      <c r="C46" s="14" t="n">
        <v>1</v>
      </c>
      <c r="D46" s="14" t="n">
        <v>1</v>
      </c>
      <c r="E46" s="14" t="n">
        <v>1</v>
      </c>
      <c r="F46" s="2" t="s">
        <v>117</v>
      </c>
      <c r="G46" s="7" t="s">
        <v>25</v>
      </c>
      <c r="H46" s="2"/>
      <c r="I46" s="8" t="s">
        <v>118</v>
      </c>
      <c r="J46" s="2" t="s">
        <v>119</v>
      </c>
    </row>
    <row r="47" customFormat="false" ht="15" hidden="false" customHeight="false" outlineLevel="0" collapsed="false">
      <c r="A47" s="2" t="s">
        <v>144</v>
      </c>
      <c r="B47" s="2" t="s">
        <v>145</v>
      </c>
      <c r="C47" s="14" t="n">
        <v>0</v>
      </c>
      <c r="D47" s="14" t="n">
        <v>0</v>
      </c>
      <c r="E47" s="14" t="n">
        <v>0</v>
      </c>
      <c r="F47" s="2" t="s">
        <v>117</v>
      </c>
      <c r="G47" s="7" t="s">
        <v>25</v>
      </c>
      <c r="H47" s="2"/>
      <c r="I47" s="8" t="s">
        <v>118</v>
      </c>
      <c r="J47" s="2" t="s">
        <v>119</v>
      </c>
    </row>
    <row r="48" customFormat="false" ht="15" hidden="false" customHeight="false" outlineLevel="0" collapsed="false">
      <c r="A48" s="2" t="s">
        <v>146</v>
      </c>
      <c r="B48" s="2" t="s">
        <v>147</v>
      </c>
      <c r="C48" s="14" t="n">
        <v>0</v>
      </c>
      <c r="D48" s="14" t="n">
        <v>0</v>
      </c>
      <c r="E48" s="14" t="n">
        <v>0</v>
      </c>
      <c r="F48" s="2" t="s">
        <v>117</v>
      </c>
      <c r="G48" s="7" t="s">
        <v>25</v>
      </c>
      <c r="H48" s="2"/>
      <c r="I48" s="8" t="s">
        <v>118</v>
      </c>
      <c r="J48" s="2" t="s">
        <v>119</v>
      </c>
    </row>
    <row r="49" customFormat="false" ht="15" hidden="false" customHeight="false" outlineLevel="0" collapsed="false">
      <c r="A49" s="2" t="s">
        <v>148</v>
      </c>
      <c r="B49" s="2" t="s">
        <v>149</v>
      </c>
      <c r="C49" s="14" t="n">
        <v>1</v>
      </c>
      <c r="D49" s="14" t="n">
        <v>1</v>
      </c>
      <c r="E49" s="14" t="n">
        <v>1</v>
      </c>
      <c r="F49" s="2" t="s">
        <v>117</v>
      </c>
      <c r="G49" s="7" t="s">
        <v>25</v>
      </c>
      <c r="H49" s="2"/>
      <c r="I49" s="8" t="s">
        <v>118</v>
      </c>
      <c r="J49" s="2" t="s">
        <v>119</v>
      </c>
    </row>
    <row r="50" customFormat="false" ht="15" hidden="false" customHeight="false" outlineLevel="0" collapsed="false">
      <c r="A50" s="2" t="s">
        <v>150</v>
      </c>
      <c r="B50" s="2" t="s">
        <v>151</v>
      </c>
      <c r="C50" s="14" t="n">
        <v>1</v>
      </c>
      <c r="D50" s="14" t="n">
        <v>1</v>
      </c>
      <c r="E50" s="14" t="n">
        <v>1</v>
      </c>
      <c r="F50" s="2" t="s">
        <v>117</v>
      </c>
      <c r="G50" s="7" t="s">
        <v>25</v>
      </c>
      <c r="H50" s="2"/>
      <c r="I50" s="8" t="s">
        <v>118</v>
      </c>
      <c r="J50" s="2" t="s">
        <v>119</v>
      </c>
    </row>
    <row r="51" customFormat="false" ht="15" hidden="false" customHeight="false" outlineLevel="0" collapsed="false">
      <c r="A51" s="2" t="s">
        <v>152</v>
      </c>
      <c r="B51" s="2" t="s">
        <v>153</v>
      </c>
      <c r="C51" s="14" t="n">
        <v>0</v>
      </c>
      <c r="D51" s="14" t="n">
        <v>0</v>
      </c>
      <c r="E51" s="14" t="n">
        <v>0</v>
      </c>
      <c r="F51" s="2" t="s">
        <v>117</v>
      </c>
      <c r="G51" s="7" t="s">
        <v>25</v>
      </c>
      <c r="H51" s="2"/>
      <c r="I51" s="8" t="s">
        <v>154</v>
      </c>
      <c r="J51" s="2" t="s">
        <v>119</v>
      </c>
    </row>
    <row r="52" customFormat="false" ht="15" hidden="false" customHeight="false" outlineLevel="0" collapsed="false">
      <c r="A52" s="2" t="s">
        <v>155</v>
      </c>
      <c r="B52" s="2" t="s">
        <v>156</v>
      </c>
      <c r="C52" s="14" t="n">
        <v>0</v>
      </c>
      <c r="D52" s="14" t="n">
        <v>0</v>
      </c>
      <c r="E52" s="14" t="n">
        <v>0</v>
      </c>
      <c r="F52" s="2" t="s">
        <v>117</v>
      </c>
      <c r="G52" s="7" t="s">
        <v>25</v>
      </c>
      <c r="H52" s="2"/>
      <c r="I52" s="8" t="s">
        <v>154</v>
      </c>
      <c r="J52" s="2" t="s">
        <v>119</v>
      </c>
    </row>
    <row r="53" customFormat="false" ht="15" hidden="false" customHeight="false" outlineLevel="0" collapsed="false">
      <c r="A53" s="2" t="s">
        <v>157</v>
      </c>
      <c r="B53" s="2" t="s">
        <v>158</v>
      </c>
      <c r="C53" s="14" t="n">
        <v>1</v>
      </c>
      <c r="D53" s="14" t="n">
        <v>1</v>
      </c>
      <c r="E53" s="14" t="n">
        <v>1</v>
      </c>
      <c r="F53" s="2" t="s">
        <v>117</v>
      </c>
      <c r="G53" s="7" t="s">
        <v>25</v>
      </c>
      <c r="H53" s="2"/>
      <c r="I53" s="8" t="s">
        <v>154</v>
      </c>
      <c r="J53" s="2" t="s">
        <v>119</v>
      </c>
    </row>
    <row r="54" customFormat="false" ht="15" hidden="false" customHeight="false" outlineLevel="0" collapsed="false">
      <c r="A54" s="2" t="s">
        <v>159</v>
      </c>
      <c r="B54" s="2" t="s">
        <v>160</v>
      </c>
      <c r="C54" s="14" t="n">
        <v>0</v>
      </c>
      <c r="D54" s="14" t="n">
        <v>0</v>
      </c>
      <c r="E54" s="14" t="n">
        <v>0</v>
      </c>
      <c r="F54" s="2" t="s">
        <v>117</v>
      </c>
      <c r="G54" s="7" t="s">
        <v>25</v>
      </c>
      <c r="H54" s="2"/>
      <c r="I54" s="8" t="s">
        <v>154</v>
      </c>
      <c r="J54" s="2" t="s">
        <v>119</v>
      </c>
    </row>
    <row r="55" customFormat="false" ht="15" hidden="false" customHeight="false" outlineLevel="0" collapsed="false">
      <c r="A55" s="2" t="s">
        <v>161</v>
      </c>
      <c r="B55" s="2" t="s">
        <v>162</v>
      </c>
      <c r="C55" s="14" t="n">
        <v>0</v>
      </c>
      <c r="D55" s="14" t="n">
        <v>0</v>
      </c>
      <c r="E55" s="14" t="n">
        <v>0</v>
      </c>
      <c r="F55" s="2" t="s">
        <v>117</v>
      </c>
      <c r="G55" s="7" t="s">
        <v>25</v>
      </c>
      <c r="H55" s="2"/>
      <c r="I55" s="8" t="s">
        <v>154</v>
      </c>
      <c r="J55" s="2" t="s">
        <v>119</v>
      </c>
    </row>
    <row r="56" customFormat="false" ht="15" hidden="false" customHeight="false" outlineLevel="0" collapsed="false">
      <c r="A56" s="2" t="s">
        <v>163</v>
      </c>
      <c r="B56" s="2" t="s">
        <v>164</v>
      </c>
      <c r="C56" s="14" t="n">
        <v>1</v>
      </c>
      <c r="D56" s="14" t="n">
        <v>1</v>
      </c>
      <c r="E56" s="14" t="n">
        <v>1</v>
      </c>
      <c r="F56" s="2" t="s">
        <v>117</v>
      </c>
      <c r="G56" s="7" t="s">
        <v>25</v>
      </c>
      <c r="H56" s="2"/>
      <c r="I56" s="8" t="s">
        <v>154</v>
      </c>
      <c r="J56" s="2" t="s">
        <v>119</v>
      </c>
    </row>
    <row r="57" customFormat="false" ht="15" hidden="false" customHeight="false" outlineLevel="0" collapsed="false">
      <c r="A57" s="2" t="s">
        <v>165</v>
      </c>
      <c r="B57" s="2" t="s">
        <v>166</v>
      </c>
      <c r="C57" s="14" t="n">
        <v>0</v>
      </c>
      <c r="D57" s="14" t="n">
        <v>0</v>
      </c>
      <c r="E57" s="14" t="n">
        <v>0</v>
      </c>
      <c r="F57" s="2" t="s">
        <v>117</v>
      </c>
      <c r="G57" s="7" t="s">
        <v>25</v>
      </c>
      <c r="H57" s="2"/>
      <c r="I57" s="8" t="s">
        <v>154</v>
      </c>
      <c r="J57" s="2" t="s">
        <v>119</v>
      </c>
    </row>
    <row r="58" customFormat="false" ht="15" hidden="false" customHeight="false" outlineLevel="0" collapsed="false">
      <c r="A58" s="2" t="s">
        <v>167</v>
      </c>
      <c r="B58" s="2" t="s">
        <v>168</v>
      </c>
      <c r="C58" s="14" t="n">
        <v>1</v>
      </c>
      <c r="D58" s="14" t="n">
        <v>1</v>
      </c>
      <c r="E58" s="14" t="n">
        <v>1</v>
      </c>
      <c r="F58" s="2" t="s">
        <v>117</v>
      </c>
      <c r="G58" s="7" t="s">
        <v>25</v>
      </c>
      <c r="H58" s="2"/>
      <c r="I58" s="8" t="s">
        <v>154</v>
      </c>
      <c r="J58" s="2" t="s">
        <v>119</v>
      </c>
    </row>
    <row r="59" customFormat="false" ht="15" hidden="false" customHeight="false" outlineLevel="0" collapsed="false">
      <c r="A59" s="2" t="s">
        <v>169</v>
      </c>
      <c r="B59" s="2" t="s">
        <v>170</v>
      </c>
      <c r="C59" s="14" t="n">
        <v>1</v>
      </c>
      <c r="D59" s="14" t="n">
        <v>1</v>
      </c>
      <c r="E59" s="14" t="n">
        <v>1</v>
      </c>
      <c r="F59" s="2" t="s">
        <v>117</v>
      </c>
      <c r="G59" s="7" t="s">
        <v>25</v>
      </c>
      <c r="H59" s="2"/>
      <c r="I59" s="8" t="s">
        <v>154</v>
      </c>
      <c r="J59" s="2" t="s">
        <v>119</v>
      </c>
    </row>
    <row r="60" customFormat="false" ht="15" hidden="false" customHeight="false" outlineLevel="0" collapsed="false">
      <c r="A60" s="2" t="s">
        <v>171</v>
      </c>
      <c r="B60" s="2" t="s">
        <v>172</v>
      </c>
      <c r="C60" s="14" t="n">
        <v>0</v>
      </c>
      <c r="D60" s="14" t="n">
        <v>0</v>
      </c>
      <c r="E60" s="14" t="n">
        <v>0</v>
      </c>
      <c r="F60" s="2" t="s">
        <v>117</v>
      </c>
      <c r="G60" s="7" t="s">
        <v>25</v>
      </c>
      <c r="H60" s="2"/>
      <c r="I60" s="8" t="s">
        <v>154</v>
      </c>
      <c r="J60" s="2" t="s">
        <v>119</v>
      </c>
    </row>
    <row r="61" customFormat="false" ht="15" hidden="false" customHeight="false" outlineLevel="0" collapsed="false">
      <c r="A61" s="2" t="s">
        <v>173</v>
      </c>
      <c r="B61" s="2" t="s">
        <v>174</v>
      </c>
      <c r="C61" s="14" t="n">
        <v>1</v>
      </c>
      <c r="D61" s="14" t="n">
        <v>1</v>
      </c>
      <c r="E61" s="14" t="n">
        <v>1</v>
      </c>
      <c r="F61" s="2" t="s">
        <v>117</v>
      </c>
      <c r="G61" s="7" t="s">
        <v>25</v>
      </c>
      <c r="H61" s="2"/>
      <c r="I61" s="8" t="s">
        <v>154</v>
      </c>
      <c r="J61" s="2" t="s">
        <v>119</v>
      </c>
    </row>
    <row r="62" customFormat="false" ht="15" hidden="false" customHeight="false" outlineLevel="0" collapsed="false">
      <c r="A62" s="2" t="s">
        <v>175</v>
      </c>
      <c r="B62" s="2" t="s">
        <v>176</v>
      </c>
      <c r="C62" s="14" t="n">
        <v>0</v>
      </c>
      <c r="D62" s="14" t="n">
        <v>0</v>
      </c>
      <c r="E62" s="14" t="n">
        <v>0</v>
      </c>
      <c r="F62" s="2" t="s">
        <v>117</v>
      </c>
      <c r="G62" s="7" t="s">
        <v>25</v>
      </c>
      <c r="H62" s="2"/>
      <c r="I62" s="8" t="s">
        <v>154</v>
      </c>
      <c r="J62" s="2" t="s">
        <v>119</v>
      </c>
    </row>
    <row r="63" customFormat="false" ht="15" hidden="false" customHeight="false" outlineLevel="0" collapsed="false">
      <c r="A63" s="2" t="s">
        <v>177</v>
      </c>
      <c r="B63" s="2" t="s">
        <v>178</v>
      </c>
      <c r="C63" s="14" t="n">
        <v>1</v>
      </c>
      <c r="D63" s="14" t="n">
        <v>1</v>
      </c>
      <c r="E63" s="14" t="n">
        <v>1</v>
      </c>
      <c r="F63" s="2" t="s">
        <v>117</v>
      </c>
      <c r="G63" s="7" t="s">
        <v>25</v>
      </c>
      <c r="H63" s="2"/>
      <c r="I63" s="8" t="s">
        <v>154</v>
      </c>
      <c r="J63" s="2" t="s">
        <v>119</v>
      </c>
    </row>
    <row r="64" customFormat="false" ht="15" hidden="false" customHeight="false" outlineLevel="0" collapsed="false">
      <c r="A64" s="2" t="s">
        <v>179</v>
      </c>
      <c r="B64" s="2" t="s">
        <v>180</v>
      </c>
      <c r="C64" s="14" t="n">
        <v>0</v>
      </c>
      <c r="D64" s="14" t="n">
        <v>0</v>
      </c>
      <c r="E64" s="14" t="n">
        <v>0</v>
      </c>
      <c r="F64" s="2" t="s">
        <v>117</v>
      </c>
      <c r="G64" s="7" t="s">
        <v>25</v>
      </c>
      <c r="H64" s="2"/>
      <c r="I64" s="8" t="s">
        <v>154</v>
      </c>
      <c r="J64" s="2" t="s">
        <v>119</v>
      </c>
    </row>
    <row r="65" customFormat="false" ht="15" hidden="false" customHeight="false" outlineLevel="0" collapsed="false">
      <c r="A65" s="2" t="s">
        <v>181</v>
      </c>
      <c r="B65" s="2" t="s">
        <v>182</v>
      </c>
      <c r="C65" s="14" t="n">
        <v>1</v>
      </c>
      <c r="D65" s="14" t="n">
        <v>1</v>
      </c>
      <c r="E65" s="14" t="n">
        <v>1</v>
      </c>
      <c r="F65" s="2" t="s">
        <v>117</v>
      </c>
      <c r="G65" s="7" t="s">
        <v>25</v>
      </c>
      <c r="H65" s="2"/>
      <c r="I65" s="8" t="s">
        <v>154</v>
      </c>
      <c r="J65" s="2" t="s">
        <v>119</v>
      </c>
    </row>
    <row r="66" customFormat="false" ht="15" hidden="false" customHeight="false" outlineLevel="0" collapsed="false">
      <c r="A66" s="2" t="s">
        <v>183</v>
      </c>
      <c r="B66" s="2" t="s">
        <v>184</v>
      </c>
      <c r="C66" s="14" t="n">
        <v>1</v>
      </c>
      <c r="D66" s="14" t="n">
        <v>1</v>
      </c>
      <c r="E66" s="14" t="n">
        <v>1</v>
      </c>
      <c r="F66" s="2" t="s">
        <v>117</v>
      </c>
      <c r="G66" s="7" t="s">
        <v>25</v>
      </c>
      <c r="H66" s="2"/>
      <c r="I66" s="8" t="s">
        <v>154</v>
      </c>
      <c r="J66" s="2" t="s">
        <v>119</v>
      </c>
    </row>
    <row r="67" customFormat="false" ht="15" hidden="false" customHeight="false" outlineLevel="0" collapsed="false">
      <c r="A67" s="2" t="s">
        <v>185</v>
      </c>
      <c r="B67" s="2" t="s">
        <v>186</v>
      </c>
      <c r="C67" s="14" t="n">
        <v>1</v>
      </c>
      <c r="D67" s="14" t="n">
        <v>1</v>
      </c>
      <c r="E67" s="14" t="n">
        <v>1</v>
      </c>
      <c r="F67" s="2" t="s">
        <v>117</v>
      </c>
      <c r="G67" s="7" t="s">
        <v>25</v>
      </c>
      <c r="H67" s="2"/>
      <c r="I67" s="8" t="s">
        <v>154</v>
      </c>
      <c r="J67" s="2" t="s">
        <v>119</v>
      </c>
    </row>
    <row r="68" customFormat="false" ht="15" hidden="false" customHeight="false" outlineLevel="0" collapsed="false">
      <c r="A68" s="2" t="s">
        <v>187</v>
      </c>
      <c r="B68" s="2" t="s">
        <v>188</v>
      </c>
      <c r="C68" s="14" t="n">
        <v>0</v>
      </c>
      <c r="D68" s="14" t="n">
        <v>0</v>
      </c>
      <c r="E68" s="14" t="n">
        <v>0</v>
      </c>
      <c r="F68" s="2" t="s">
        <v>117</v>
      </c>
      <c r="G68" s="7" t="s">
        <v>25</v>
      </c>
      <c r="H68" s="2"/>
      <c r="I68" s="8" t="s">
        <v>189</v>
      </c>
      <c r="J68" s="2" t="s">
        <v>119</v>
      </c>
    </row>
    <row r="69" customFormat="false" ht="15" hidden="false" customHeight="false" outlineLevel="0" collapsed="false">
      <c r="A69" s="2" t="s">
        <v>190</v>
      </c>
      <c r="B69" s="2" t="s">
        <v>191</v>
      </c>
      <c r="C69" s="14" t="n">
        <v>0</v>
      </c>
      <c r="D69" s="14" t="n">
        <v>0</v>
      </c>
      <c r="E69" s="14" t="n">
        <v>0</v>
      </c>
      <c r="F69" s="2" t="s">
        <v>117</v>
      </c>
      <c r="G69" s="7" t="s">
        <v>25</v>
      </c>
      <c r="H69" s="2"/>
      <c r="I69" s="8" t="s">
        <v>189</v>
      </c>
      <c r="J69" s="2" t="s">
        <v>119</v>
      </c>
    </row>
    <row r="70" customFormat="false" ht="15" hidden="false" customHeight="false" outlineLevel="0" collapsed="false">
      <c r="A70" s="2" t="s">
        <v>192</v>
      </c>
      <c r="B70" s="2" t="s">
        <v>193</v>
      </c>
      <c r="C70" s="14" t="n">
        <v>1</v>
      </c>
      <c r="D70" s="14" t="n">
        <v>1</v>
      </c>
      <c r="E70" s="14" t="n">
        <v>1</v>
      </c>
      <c r="F70" s="2" t="s">
        <v>117</v>
      </c>
      <c r="G70" s="7" t="s">
        <v>25</v>
      </c>
      <c r="H70" s="2"/>
      <c r="I70" s="8" t="s">
        <v>189</v>
      </c>
      <c r="J70" s="2" t="s">
        <v>119</v>
      </c>
    </row>
    <row r="71" customFormat="false" ht="15" hidden="false" customHeight="false" outlineLevel="0" collapsed="false">
      <c r="A71" s="2" t="s">
        <v>194</v>
      </c>
      <c r="B71" s="2" t="s">
        <v>195</v>
      </c>
      <c r="C71" s="14" t="n">
        <v>1</v>
      </c>
      <c r="D71" s="14" t="n">
        <v>1</v>
      </c>
      <c r="E71" s="14" t="n">
        <v>1</v>
      </c>
      <c r="F71" s="2" t="s">
        <v>117</v>
      </c>
      <c r="G71" s="7" t="s">
        <v>25</v>
      </c>
      <c r="H71" s="2"/>
      <c r="I71" s="8" t="s">
        <v>189</v>
      </c>
      <c r="J71" s="2" t="s">
        <v>119</v>
      </c>
    </row>
    <row r="72" customFormat="false" ht="15" hidden="false" customHeight="false" outlineLevel="0" collapsed="false">
      <c r="A72" s="2" t="s">
        <v>196</v>
      </c>
      <c r="B72" s="2" t="s">
        <v>197</v>
      </c>
      <c r="C72" s="14" t="n">
        <v>0</v>
      </c>
      <c r="D72" s="14" t="n">
        <v>0</v>
      </c>
      <c r="E72" s="14" t="n">
        <v>0</v>
      </c>
      <c r="F72" s="2" t="s">
        <v>117</v>
      </c>
      <c r="G72" s="7" t="s">
        <v>25</v>
      </c>
      <c r="H72" s="2"/>
      <c r="I72" s="8" t="s">
        <v>189</v>
      </c>
      <c r="J72" s="2" t="s">
        <v>119</v>
      </c>
    </row>
    <row r="73" customFormat="false" ht="15" hidden="false" customHeight="false" outlineLevel="0" collapsed="false">
      <c r="A73" s="2" t="s">
        <v>198</v>
      </c>
      <c r="B73" s="2" t="s">
        <v>199</v>
      </c>
      <c r="C73" s="14" t="n">
        <v>1</v>
      </c>
      <c r="D73" s="14" t="n">
        <v>1</v>
      </c>
      <c r="E73" s="14" t="n">
        <v>1</v>
      </c>
      <c r="F73" s="2" t="s">
        <v>117</v>
      </c>
      <c r="G73" s="7" t="s">
        <v>25</v>
      </c>
      <c r="H73" s="2"/>
      <c r="I73" s="8" t="s">
        <v>189</v>
      </c>
      <c r="J73" s="2" t="s">
        <v>119</v>
      </c>
    </row>
    <row r="74" customFormat="false" ht="15" hidden="false" customHeight="false" outlineLevel="0" collapsed="false">
      <c r="A74" s="2" t="s">
        <v>200</v>
      </c>
      <c r="B74" s="2" t="s">
        <v>201</v>
      </c>
      <c r="C74" s="14" t="n">
        <v>0</v>
      </c>
      <c r="D74" s="14" t="n">
        <v>0</v>
      </c>
      <c r="E74" s="14" t="n">
        <v>0</v>
      </c>
      <c r="F74" s="2" t="s">
        <v>117</v>
      </c>
      <c r="G74" s="7" t="s">
        <v>25</v>
      </c>
      <c r="H74" s="2"/>
      <c r="I74" s="8" t="s">
        <v>189</v>
      </c>
      <c r="J74" s="2" t="s">
        <v>119</v>
      </c>
    </row>
    <row r="75" customFormat="false" ht="15" hidden="false" customHeight="false" outlineLevel="0" collapsed="false">
      <c r="A75" s="2" t="s">
        <v>202</v>
      </c>
      <c r="B75" s="2" t="s">
        <v>203</v>
      </c>
      <c r="C75" s="14" t="n">
        <v>0</v>
      </c>
      <c r="D75" s="14" t="n">
        <v>0</v>
      </c>
      <c r="E75" s="14" t="n">
        <v>0</v>
      </c>
      <c r="F75" s="2" t="s">
        <v>117</v>
      </c>
      <c r="G75" s="7" t="s">
        <v>25</v>
      </c>
      <c r="H75" s="2"/>
      <c r="I75" s="8" t="s">
        <v>189</v>
      </c>
      <c r="J75" s="2" t="s">
        <v>119</v>
      </c>
    </row>
    <row r="76" customFormat="false" ht="15" hidden="false" customHeight="false" outlineLevel="0" collapsed="false">
      <c r="A76" s="2" t="s">
        <v>204</v>
      </c>
      <c r="B76" s="2" t="s">
        <v>205</v>
      </c>
      <c r="C76" s="14" t="n">
        <v>0</v>
      </c>
      <c r="D76" s="14" t="n">
        <v>0</v>
      </c>
      <c r="E76" s="14" t="n">
        <v>0</v>
      </c>
      <c r="F76" s="2" t="s">
        <v>117</v>
      </c>
      <c r="G76" s="7" t="s">
        <v>25</v>
      </c>
      <c r="H76" s="2"/>
      <c r="I76" s="8" t="s">
        <v>189</v>
      </c>
      <c r="J76" s="2" t="s">
        <v>119</v>
      </c>
    </row>
    <row r="77" customFormat="false" ht="15" hidden="false" customHeight="false" outlineLevel="0" collapsed="false">
      <c r="A77" s="2" t="s">
        <v>206</v>
      </c>
      <c r="B77" s="2" t="s">
        <v>207</v>
      </c>
      <c r="C77" s="14" t="n">
        <v>0</v>
      </c>
      <c r="D77" s="14" t="n">
        <v>0</v>
      </c>
      <c r="E77" s="14" t="n">
        <v>0</v>
      </c>
      <c r="F77" s="2" t="s">
        <v>117</v>
      </c>
      <c r="G77" s="7" t="s">
        <v>25</v>
      </c>
      <c r="H77" s="2"/>
      <c r="I77" s="8" t="s">
        <v>189</v>
      </c>
      <c r="J77" s="2" t="s">
        <v>119</v>
      </c>
    </row>
    <row r="78" customFormat="false" ht="15" hidden="false" customHeight="false" outlineLevel="0" collapsed="false">
      <c r="A78" s="2" t="s">
        <v>208</v>
      </c>
      <c r="B78" s="2" t="s">
        <v>209</v>
      </c>
      <c r="C78" s="14" t="n">
        <v>0</v>
      </c>
      <c r="D78" s="14" t="n">
        <v>0</v>
      </c>
      <c r="E78" s="14" t="n">
        <v>0</v>
      </c>
      <c r="F78" s="2" t="s">
        <v>117</v>
      </c>
      <c r="G78" s="7" t="s">
        <v>25</v>
      </c>
      <c r="H78" s="2"/>
      <c r="I78" s="8" t="s">
        <v>189</v>
      </c>
      <c r="J78" s="2" t="s">
        <v>119</v>
      </c>
    </row>
    <row r="79" customFormat="false" ht="15" hidden="false" customHeight="false" outlineLevel="0" collapsed="false">
      <c r="A79" s="2" t="s">
        <v>210</v>
      </c>
      <c r="B79" s="2" t="s">
        <v>211</v>
      </c>
      <c r="C79" s="14" t="n">
        <v>0</v>
      </c>
      <c r="D79" s="14" t="n">
        <v>0</v>
      </c>
      <c r="E79" s="14" t="n">
        <v>0</v>
      </c>
      <c r="F79" s="2" t="s">
        <v>117</v>
      </c>
      <c r="G79" s="7" t="s">
        <v>25</v>
      </c>
      <c r="H79" s="2"/>
      <c r="I79" s="8" t="s">
        <v>189</v>
      </c>
      <c r="J79" s="2" t="s">
        <v>119</v>
      </c>
    </row>
    <row r="80" customFormat="false" ht="15" hidden="false" customHeight="false" outlineLevel="0" collapsed="false">
      <c r="A80" s="2" t="s">
        <v>212</v>
      </c>
      <c r="B80" s="2" t="s">
        <v>213</v>
      </c>
      <c r="C80" s="14" t="n">
        <v>0</v>
      </c>
      <c r="D80" s="14" t="n">
        <v>0</v>
      </c>
      <c r="E80" s="14" t="n">
        <v>0</v>
      </c>
      <c r="F80" s="2" t="s">
        <v>117</v>
      </c>
      <c r="G80" s="7" t="s">
        <v>25</v>
      </c>
      <c r="H80" s="2"/>
      <c r="I80" s="8" t="s">
        <v>189</v>
      </c>
      <c r="J80" s="2" t="s">
        <v>119</v>
      </c>
    </row>
    <row r="81" customFormat="false" ht="15" hidden="false" customHeight="false" outlineLevel="0" collapsed="false">
      <c r="A81" s="2" t="s">
        <v>214</v>
      </c>
      <c r="B81" s="2" t="s">
        <v>215</v>
      </c>
      <c r="C81" s="14" t="n">
        <v>1</v>
      </c>
      <c r="D81" s="14" t="n">
        <v>1</v>
      </c>
      <c r="E81" s="14" t="n">
        <v>1</v>
      </c>
      <c r="F81" s="2" t="s">
        <v>117</v>
      </c>
      <c r="G81" s="7" t="s">
        <v>25</v>
      </c>
      <c r="H81" s="2"/>
      <c r="I81" s="8" t="s">
        <v>189</v>
      </c>
      <c r="J81" s="2" t="s">
        <v>119</v>
      </c>
    </row>
    <row r="82" customFormat="false" ht="15" hidden="false" customHeight="false" outlineLevel="0" collapsed="false">
      <c r="A82" s="2" t="s">
        <v>216</v>
      </c>
      <c r="B82" s="2" t="s">
        <v>217</v>
      </c>
      <c r="C82" s="14" t="n">
        <v>0</v>
      </c>
      <c r="D82" s="14" t="n">
        <v>0</v>
      </c>
      <c r="E82" s="14" t="n">
        <v>0</v>
      </c>
      <c r="F82" s="2" t="s">
        <v>117</v>
      </c>
      <c r="G82" s="7" t="s">
        <v>25</v>
      </c>
      <c r="H82" s="2"/>
      <c r="I82" s="8" t="s">
        <v>189</v>
      </c>
      <c r="J82" s="2" t="s">
        <v>119</v>
      </c>
    </row>
    <row r="83" customFormat="false" ht="15" hidden="false" customHeight="false" outlineLevel="0" collapsed="false">
      <c r="A83" s="2" t="s">
        <v>218</v>
      </c>
      <c r="B83" s="2" t="s">
        <v>219</v>
      </c>
      <c r="C83" s="14" t="n">
        <v>0</v>
      </c>
      <c r="D83" s="14" t="n">
        <v>0</v>
      </c>
      <c r="E83" s="14" t="n">
        <v>0</v>
      </c>
      <c r="F83" s="2" t="s">
        <v>117</v>
      </c>
      <c r="G83" s="7" t="s">
        <v>25</v>
      </c>
      <c r="H83" s="2"/>
      <c r="I83" s="8" t="s">
        <v>189</v>
      </c>
      <c r="J83" s="2" t="s">
        <v>119</v>
      </c>
    </row>
    <row r="84" customFormat="false" ht="15" hidden="false" customHeight="false" outlineLevel="0" collapsed="false">
      <c r="A84" s="2" t="s">
        <v>220</v>
      </c>
      <c r="B84" s="2" t="s">
        <v>221</v>
      </c>
      <c r="C84" s="14" t="n">
        <v>1</v>
      </c>
      <c r="D84" s="14" t="n">
        <v>1</v>
      </c>
      <c r="E84" s="14" t="n">
        <v>1</v>
      </c>
      <c r="F84" s="2" t="s">
        <v>117</v>
      </c>
      <c r="G84" s="7" t="s">
        <v>25</v>
      </c>
      <c r="H84" s="2"/>
      <c r="I84" s="8" t="s">
        <v>189</v>
      </c>
      <c r="J84" s="2" t="s">
        <v>119</v>
      </c>
    </row>
    <row r="85" customFormat="false" ht="15" hidden="false" customHeight="false" outlineLevel="0" collapsed="false">
      <c r="A85" s="2" t="s">
        <v>222</v>
      </c>
      <c r="B85" s="2" t="s">
        <v>223</v>
      </c>
      <c r="C85" s="14" t="n">
        <v>0</v>
      </c>
      <c r="D85" s="14" t="n">
        <v>0</v>
      </c>
      <c r="E85" s="14" t="n">
        <v>0</v>
      </c>
      <c r="F85" s="2" t="s">
        <v>117</v>
      </c>
      <c r="G85" s="7" t="s">
        <v>25</v>
      </c>
      <c r="H85" s="2"/>
      <c r="I85" s="8" t="s">
        <v>224</v>
      </c>
      <c r="J85" s="2" t="s">
        <v>119</v>
      </c>
    </row>
    <row r="86" customFormat="false" ht="15" hidden="false" customHeight="false" outlineLevel="0" collapsed="false">
      <c r="A86" s="2" t="s">
        <v>225</v>
      </c>
      <c r="B86" s="2" t="s">
        <v>226</v>
      </c>
      <c r="C86" s="14" t="n">
        <v>0</v>
      </c>
      <c r="D86" s="14" t="n">
        <v>0</v>
      </c>
      <c r="E86" s="14" t="n">
        <v>0</v>
      </c>
      <c r="F86" s="2" t="s">
        <v>117</v>
      </c>
      <c r="G86" s="7" t="s">
        <v>25</v>
      </c>
      <c r="H86" s="2"/>
      <c r="I86" s="8" t="s">
        <v>224</v>
      </c>
      <c r="J86" s="2" t="s">
        <v>119</v>
      </c>
    </row>
    <row r="87" customFormat="false" ht="15" hidden="false" customHeight="false" outlineLevel="0" collapsed="false">
      <c r="A87" s="2" t="s">
        <v>227</v>
      </c>
      <c r="B87" s="2" t="s">
        <v>228</v>
      </c>
      <c r="C87" s="14" t="n">
        <v>1</v>
      </c>
      <c r="D87" s="14" t="n">
        <v>1</v>
      </c>
      <c r="E87" s="14" t="n">
        <v>1</v>
      </c>
      <c r="F87" s="2" t="s">
        <v>117</v>
      </c>
      <c r="G87" s="7" t="s">
        <v>25</v>
      </c>
      <c r="H87" s="2"/>
      <c r="I87" s="8" t="s">
        <v>224</v>
      </c>
      <c r="J87" s="2" t="s">
        <v>119</v>
      </c>
    </row>
    <row r="88" customFormat="false" ht="15" hidden="false" customHeight="false" outlineLevel="0" collapsed="false">
      <c r="A88" s="2" t="s">
        <v>229</v>
      </c>
      <c r="B88" s="2" t="s">
        <v>230</v>
      </c>
      <c r="C88" s="14" t="n">
        <v>0</v>
      </c>
      <c r="D88" s="14" t="n">
        <v>0</v>
      </c>
      <c r="E88" s="14" t="n">
        <v>0</v>
      </c>
      <c r="F88" s="2" t="s">
        <v>117</v>
      </c>
      <c r="G88" s="7" t="s">
        <v>25</v>
      </c>
      <c r="H88" s="2"/>
      <c r="I88" s="8" t="s">
        <v>224</v>
      </c>
      <c r="J88" s="2" t="s">
        <v>119</v>
      </c>
    </row>
    <row r="89" customFormat="false" ht="15" hidden="false" customHeight="false" outlineLevel="0" collapsed="false">
      <c r="A89" s="2" t="s">
        <v>231</v>
      </c>
      <c r="B89" s="2" t="s">
        <v>232</v>
      </c>
      <c r="C89" s="14" t="n">
        <v>0</v>
      </c>
      <c r="D89" s="14" t="n">
        <v>0</v>
      </c>
      <c r="E89" s="14" t="n">
        <v>0</v>
      </c>
      <c r="F89" s="2" t="s">
        <v>117</v>
      </c>
      <c r="G89" s="7" t="s">
        <v>25</v>
      </c>
      <c r="H89" s="2"/>
      <c r="I89" s="8" t="s">
        <v>224</v>
      </c>
      <c r="J89" s="2" t="s">
        <v>119</v>
      </c>
    </row>
    <row r="90" customFormat="false" ht="15" hidden="false" customHeight="false" outlineLevel="0" collapsed="false">
      <c r="A90" s="2" t="s">
        <v>233</v>
      </c>
      <c r="B90" s="2" t="s">
        <v>234</v>
      </c>
      <c r="C90" s="14" t="n">
        <v>0</v>
      </c>
      <c r="D90" s="14" t="n">
        <v>0</v>
      </c>
      <c r="E90" s="14" t="n">
        <v>0</v>
      </c>
      <c r="F90" s="2" t="s">
        <v>117</v>
      </c>
      <c r="G90" s="7" t="s">
        <v>25</v>
      </c>
      <c r="H90" s="2"/>
      <c r="I90" s="8" t="s">
        <v>224</v>
      </c>
      <c r="J90" s="2" t="s">
        <v>119</v>
      </c>
    </row>
    <row r="91" customFormat="false" ht="15" hidden="false" customHeight="false" outlineLevel="0" collapsed="false">
      <c r="A91" s="2" t="s">
        <v>235</v>
      </c>
      <c r="B91" s="2" t="s">
        <v>236</v>
      </c>
      <c r="C91" s="14" t="n">
        <v>1</v>
      </c>
      <c r="D91" s="14" t="n">
        <v>1</v>
      </c>
      <c r="E91" s="14" t="n">
        <v>1</v>
      </c>
      <c r="F91" s="2" t="s">
        <v>117</v>
      </c>
      <c r="G91" s="7" t="s">
        <v>25</v>
      </c>
      <c r="H91" s="2"/>
      <c r="I91" s="8" t="s">
        <v>224</v>
      </c>
      <c r="J91" s="2" t="s">
        <v>119</v>
      </c>
    </row>
    <row r="92" customFormat="false" ht="15" hidden="false" customHeight="false" outlineLevel="0" collapsed="false">
      <c r="A92" s="2" t="s">
        <v>237</v>
      </c>
      <c r="B92" s="2" t="s">
        <v>238</v>
      </c>
      <c r="C92" s="14" t="n">
        <v>1</v>
      </c>
      <c r="D92" s="14" t="n">
        <v>1</v>
      </c>
      <c r="E92" s="14" t="n">
        <v>1</v>
      </c>
      <c r="F92" s="2" t="s">
        <v>117</v>
      </c>
      <c r="G92" s="7" t="s">
        <v>25</v>
      </c>
      <c r="H92" s="2"/>
      <c r="I92" s="8" t="s">
        <v>224</v>
      </c>
      <c r="J92" s="2" t="s">
        <v>119</v>
      </c>
    </row>
    <row r="93" customFormat="false" ht="15" hidden="false" customHeight="false" outlineLevel="0" collapsed="false">
      <c r="A93" s="2" t="s">
        <v>239</v>
      </c>
      <c r="B93" s="2" t="s">
        <v>240</v>
      </c>
      <c r="C93" s="14" t="n">
        <v>0</v>
      </c>
      <c r="D93" s="14" t="n">
        <v>0</v>
      </c>
      <c r="E93" s="14" t="n">
        <v>0</v>
      </c>
      <c r="F93" s="2" t="s">
        <v>117</v>
      </c>
      <c r="G93" s="7" t="s">
        <v>25</v>
      </c>
      <c r="H93" s="2"/>
      <c r="I93" s="8" t="s">
        <v>224</v>
      </c>
      <c r="J93" s="2" t="s">
        <v>119</v>
      </c>
    </row>
    <row r="94" customFormat="false" ht="15" hidden="false" customHeight="false" outlineLevel="0" collapsed="false">
      <c r="A94" s="2" t="s">
        <v>241</v>
      </c>
      <c r="B94" s="2" t="s">
        <v>242</v>
      </c>
      <c r="C94" s="14" t="n">
        <v>1</v>
      </c>
      <c r="D94" s="14" t="n">
        <v>1</v>
      </c>
      <c r="E94" s="14" t="n">
        <v>1</v>
      </c>
      <c r="F94" s="2" t="s">
        <v>117</v>
      </c>
      <c r="G94" s="7" t="s">
        <v>25</v>
      </c>
      <c r="H94" s="2"/>
      <c r="I94" s="8" t="s">
        <v>224</v>
      </c>
      <c r="J94" s="2" t="s">
        <v>119</v>
      </c>
    </row>
    <row r="95" customFormat="false" ht="15" hidden="false" customHeight="false" outlineLevel="0" collapsed="false">
      <c r="A95" s="2" t="s">
        <v>243</v>
      </c>
      <c r="B95" s="2" t="s">
        <v>244</v>
      </c>
      <c r="C95" s="14" t="n">
        <v>0</v>
      </c>
      <c r="D95" s="14" t="n">
        <v>0</v>
      </c>
      <c r="E95" s="14" t="n">
        <v>0</v>
      </c>
      <c r="F95" s="2" t="s">
        <v>117</v>
      </c>
      <c r="G95" s="7" t="s">
        <v>25</v>
      </c>
      <c r="H95" s="2"/>
      <c r="I95" s="8" t="s">
        <v>224</v>
      </c>
      <c r="J95" s="2" t="s">
        <v>119</v>
      </c>
    </row>
    <row r="96" customFormat="false" ht="15" hidden="false" customHeight="false" outlineLevel="0" collapsed="false">
      <c r="A96" s="2" t="s">
        <v>245</v>
      </c>
      <c r="B96" s="2" t="s">
        <v>246</v>
      </c>
      <c r="C96" s="14" t="n">
        <v>0</v>
      </c>
      <c r="D96" s="14" t="n">
        <v>0</v>
      </c>
      <c r="E96" s="14" t="n">
        <v>0</v>
      </c>
      <c r="F96" s="2" t="s">
        <v>117</v>
      </c>
      <c r="G96" s="7" t="s">
        <v>25</v>
      </c>
      <c r="H96" s="2"/>
      <c r="I96" s="8" t="s">
        <v>224</v>
      </c>
      <c r="J96" s="2" t="s">
        <v>119</v>
      </c>
    </row>
    <row r="97" customFormat="false" ht="15" hidden="false" customHeight="false" outlineLevel="0" collapsed="false">
      <c r="A97" s="2" t="s">
        <v>247</v>
      </c>
      <c r="B97" s="2" t="s">
        <v>248</v>
      </c>
      <c r="C97" s="14" t="n">
        <v>0</v>
      </c>
      <c r="D97" s="14" t="n">
        <v>0</v>
      </c>
      <c r="E97" s="14" t="n">
        <v>0</v>
      </c>
      <c r="F97" s="2" t="s">
        <v>117</v>
      </c>
      <c r="G97" s="7" t="s">
        <v>25</v>
      </c>
      <c r="H97" s="2"/>
      <c r="I97" s="8" t="s">
        <v>224</v>
      </c>
      <c r="J97" s="2" t="s">
        <v>119</v>
      </c>
    </row>
    <row r="98" customFormat="false" ht="15" hidden="false" customHeight="false" outlineLevel="0" collapsed="false">
      <c r="A98" s="2" t="s">
        <v>249</v>
      </c>
      <c r="B98" s="2" t="s">
        <v>250</v>
      </c>
      <c r="C98" s="14" t="n">
        <v>0</v>
      </c>
      <c r="D98" s="14" t="n">
        <v>0</v>
      </c>
      <c r="E98" s="14" t="n">
        <v>0</v>
      </c>
      <c r="F98" s="2" t="s">
        <v>117</v>
      </c>
      <c r="G98" s="7" t="s">
        <v>25</v>
      </c>
      <c r="H98" s="2"/>
      <c r="I98" s="8" t="s">
        <v>224</v>
      </c>
      <c r="J98" s="2" t="s">
        <v>119</v>
      </c>
    </row>
    <row r="99" customFormat="false" ht="15" hidden="false" customHeight="false" outlineLevel="0" collapsed="false">
      <c r="A99" s="2" t="s">
        <v>251</v>
      </c>
      <c r="B99" s="2" t="s">
        <v>252</v>
      </c>
      <c r="C99" s="14" t="n">
        <v>1</v>
      </c>
      <c r="D99" s="14" t="n">
        <v>1</v>
      </c>
      <c r="E99" s="14" t="n">
        <v>1</v>
      </c>
      <c r="F99" s="2" t="s">
        <v>117</v>
      </c>
      <c r="G99" s="7" t="s">
        <v>25</v>
      </c>
      <c r="H99" s="2"/>
      <c r="I99" s="8" t="s">
        <v>224</v>
      </c>
      <c r="J99" s="2" t="s">
        <v>119</v>
      </c>
    </row>
    <row r="100" customFormat="false" ht="15" hidden="false" customHeight="false" outlineLevel="0" collapsed="false">
      <c r="A100" s="2" t="s">
        <v>253</v>
      </c>
      <c r="B100" s="2" t="s">
        <v>254</v>
      </c>
      <c r="C100" s="14" t="n">
        <v>0</v>
      </c>
      <c r="D100" s="14" t="n">
        <v>0</v>
      </c>
      <c r="E100" s="14" t="n">
        <v>0</v>
      </c>
      <c r="F100" s="2" t="s">
        <v>117</v>
      </c>
      <c r="G100" s="7" t="s">
        <v>25</v>
      </c>
      <c r="H100" s="2"/>
      <c r="I100" s="8" t="s">
        <v>224</v>
      </c>
      <c r="J100" s="2" t="s">
        <v>119</v>
      </c>
    </row>
    <row r="101" customFormat="false" ht="15" hidden="false" customHeight="false" outlineLevel="0" collapsed="false">
      <c r="A101" s="2" t="s">
        <v>255</v>
      </c>
      <c r="B101" s="2" t="s">
        <v>256</v>
      </c>
      <c r="C101" s="14" t="n">
        <v>1</v>
      </c>
      <c r="D101" s="14" t="n">
        <v>1</v>
      </c>
      <c r="E101" s="14" t="n">
        <v>1</v>
      </c>
      <c r="F101" s="2" t="s">
        <v>117</v>
      </c>
      <c r="G101" s="7" t="s">
        <v>25</v>
      </c>
      <c r="H101" s="2"/>
      <c r="I101" s="8" t="s">
        <v>224</v>
      </c>
      <c r="J101" s="2" t="s">
        <v>119</v>
      </c>
    </row>
    <row r="102" customFormat="false" ht="15" hidden="false" customHeight="false" outlineLevel="0" collapsed="false">
      <c r="A102" s="2" t="s">
        <v>257</v>
      </c>
      <c r="B102" s="2" t="s">
        <v>258</v>
      </c>
      <c r="C102" s="14" t="n">
        <v>0</v>
      </c>
      <c r="D102" s="14" t="n">
        <v>0</v>
      </c>
      <c r="E102" s="14" t="n">
        <v>0</v>
      </c>
      <c r="F102" s="2" t="s">
        <v>117</v>
      </c>
      <c r="G102" s="7" t="s">
        <v>25</v>
      </c>
      <c r="H102" s="2"/>
      <c r="I102" s="8" t="s">
        <v>259</v>
      </c>
      <c r="J102" s="2" t="s">
        <v>119</v>
      </c>
    </row>
    <row r="103" customFormat="false" ht="15" hidden="false" customHeight="false" outlineLevel="0" collapsed="false">
      <c r="A103" s="2" t="s">
        <v>260</v>
      </c>
      <c r="B103" s="2" t="s">
        <v>261</v>
      </c>
      <c r="C103" s="14" t="n">
        <v>0</v>
      </c>
      <c r="D103" s="14" t="n">
        <v>0</v>
      </c>
      <c r="E103" s="14" t="n">
        <v>0</v>
      </c>
      <c r="F103" s="2" t="s">
        <v>117</v>
      </c>
      <c r="G103" s="7" t="s">
        <v>25</v>
      </c>
      <c r="H103" s="2"/>
      <c r="I103" s="8" t="s">
        <v>259</v>
      </c>
      <c r="J103" s="2" t="s">
        <v>119</v>
      </c>
    </row>
    <row r="104" customFormat="false" ht="15" hidden="false" customHeight="false" outlineLevel="0" collapsed="false">
      <c r="A104" s="2" t="s">
        <v>262</v>
      </c>
      <c r="B104" s="2" t="s">
        <v>263</v>
      </c>
      <c r="C104" s="14" t="n">
        <v>1</v>
      </c>
      <c r="D104" s="14" t="n">
        <v>1</v>
      </c>
      <c r="E104" s="14" t="n">
        <v>1</v>
      </c>
      <c r="F104" s="2" t="s">
        <v>117</v>
      </c>
      <c r="G104" s="7" t="s">
        <v>25</v>
      </c>
      <c r="H104" s="2"/>
      <c r="I104" s="8" t="s">
        <v>259</v>
      </c>
      <c r="J104" s="2" t="s">
        <v>119</v>
      </c>
    </row>
    <row r="105" customFormat="false" ht="15" hidden="false" customHeight="false" outlineLevel="0" collapsed="false">
      <c r="A105" s="2" t="s">
        <v>264</v>
      </c>
      <c r="B105" s="2" t="s">
        <v>265</v>
      </c>
      <c r="C105" s="14" t="n">
        <v>0</v>
      </c>
      <c r="D105" s="14" t="n">
        <v>0</v>
      </c>
      <c r="E105" s="14" t="n">
        <v>0</v>
      </c>
      <c r="F105" s="2" t="s">
        <v>117</v>
      </c>
      <c r="G105" s="7" t="s">
        <v>25</v>
      </c>
      <c r="H105" s="2"/>
      <c r="I105" s="8" t="s">
        <v>259</v>
      </c>
      <c r="J105" s="2" t="s">
        <v>119</v>
      </c>
    </row>
    <row r="106" customFormat="false" ht="15" hidden="false" customHeight="false" outlineLevel="0" collapsed="false">
      <c r="A106" s="2" t="s">
        <v>266</v>
      </c>
      <c r="B106" s="2" t="s">
        <v>267</v>
      </c>
      <c r="C106" s="14" t="n">
        <v>0</v>
      </c>
      <c r="D106" s="14" t="n">
        <v>0</v>
      </c>
      <c r="E106" s="14" t="n">
        <v>0</v>
      </c>
      <c r="F106" s="2" t="s">
        <v>117</v>
      </c>
      <c r="G106" s="7" t="s">
        <v>25</v>
      </c>
      <c r="H106" s="2"/>
      <c r="I106" s="8" t="s">
        <v>259</v>
      </c>
      <c r="J106" s="2" t="s">
        <v>119</v>
      </c>
    </row>
    <row r="107" customFormat="false" ht="15" hidden="false" customHeight="false" outlineLevel="0" collapsed="false">
      <c r="A107" s="2" t="s">
        <v>268</v>
      </c>
      <c r="B107" s="2" t="s">
        <v>269</v>
      </c>
      <c r="C107" s="14" t="n">
        <v>1</v>
      </c>
      <c r="D107" s="14" t="n">
        <v>1</v>
      </c>
      <c r="E107" s="14" t="n">
        <v>1</v>
      </c>
      <c r="F107" s="2" t="s">
        <v>117</v>
      </c>
      <c r="G107" s="7" t="s">
        <v>25</v>
      </c>
      <c r="H107" s="2"/>
      <c r="I107" s="8" t="s">
        <v>259</v>
      </c>
      <c r="J107" s="2" t="s">
        <v>119</v>
      </c>
    </row>
    <row r="108" customFormat="false" ht="15" hidden="false" customHeight="false" outlineLevel="0" collapsed="false">
      <c r="A108" s="2" t="s">
        <v>270</v>
      </c>
      <c r="B108" s="2" t="s">
        <v>271</v>
      </c>
      <c r="C108" s="14" t="n">
        <v>0</v>
      </c>
      <c r="D108" s="14" t="n">
        <v>0</v>
      </c>
      <c r="E108" s="14" t="n">
        <v>0</v>
      </c>
      <c r="F108" s="2" t="s">
        <v>117</v>
      </c>
      <c r="G108" s="7" t="s">
        <v>25</v>
      </c>
      <c r="H108" s="2"/>
      <c r="I108" s="8" t="s">
        <v>259</v>
      </c>
      <c r="J108" s="2" t="s">
        <v>119</v>
      </c>
    </row>
    <row r="109" customFormat="false" ht="15" hidden="false" customHeight="false" outlineLevel="0" collapsed="false">
      <c r="A109" s="2" t="s">
        <v>272</v>
      </c>
      <c r="B109" s="2" t="s">
        <v>273</v>
      </c>
      <c r="C109" s="14" t="n">
        <v>0</v>
      </c>
      <c r="D109" s="14" t="n">
        <v>0</v>
      </c>
      <c r="E109" s="14" t="n">
        <v>0</v>
      </c>
      <c r="F109" s="2" t="s">
        <v>117</v>
      </c>
      <c r="G109" s="7" t="s">
        <v>25</v>
      </c>
      <c r="H109" s="2"/>
      <c r="I109" s="8" t="s">
        <v>259</v>
      </c>
      <c r="J109" s="2" t="s">
        <v>119</v>
      </c>
    </row>
    <row r="110" customFormat="false" ht="15" hidden="false" customHeight="false" outlineLevel="0" collapsed="false">
      <c r="A110" s="2" t="s">
        <v>274</v>
      </c>
      <c r="B110" s="2" t="s">
        <v>275</v>
      </c>
      <c r="C110" s="14" t="n">
        <v>0</v>
      </c>
      <c r="D110" s="14" t="n">
        <v>0</v>
      </c>
      <c r="E110" s="14" t="n">
        <v>0</v>
      </c>
      <c r="F110" s="2" t="s">
        <v>117</v>
      </c>
      <c r="G110" s="7" t="s">
        <v>25</v>
      </c>
      <c r="H110" s="2"/>
      <c r="I110" s="8" t="s">
        <v>259</v>
      </c>
      <c r="J110" s="2" t="s">
        <v>119</v>
      </c>
    </row>
    <row r="111" customFormat="false" ht="15" hidden="false" customHeight="false" outlineLevel="0" collapsed="false">
      <c r="A111" s="2" t="s">
        <v>276</v>
      </c>
      <c r="B111" s="2" t="s">
        <v>277</v>
      </c>
      <c r="C111" s="14" t="n">
        <v>0</v>
      </c>
      <c r="D111" s="14" t="n">
        <v>0</v>
      </c>
      <c r="E111" s="14" t="n">
        <v>0</v>
      </c>
      <c r="F111" s="2" t="s">
        <v>117</v>
      </c>
      <c r="G111" s="7" t="s">
        <v>25</v>
      </c>
      <c r="H111" s="2"/>
      <c r="I111" s="8" t="s">
        <v>259</v>
      </c>
      <c r="J111" s="2" t="s">
        <v>119</v>
      </c>
    </row>
    <row r="112" customFormat="false" ht="15" hidden="false" customHeight="false" outlineLevel="0" collapsed="false">
      <c r="A112" s="2" t="s">
        <v>278</v>
      </c>
      <c r="B112" s="2" t="s">
        <v>279</v>
      </c>
      <c r="C112" s="14" t="n">
        <v>0</v>
      </c>
      <c r="D112" s="14" t="n">
        <v>0</v>
      </c>
      <c r="E112" s="14" t="n">
        <v>0</v>
      </c>
      <c r="F112" s="2" t="s">
        <v>117</v>
      </c>
      <c r="G112" s="7" t="s">
        <v>25</v>
      </c>
      <c r="H112" s="2"/>
      <c r="I112" s="8" t="s">
        <v>259</v>
      </c>
      <c r="J112" s="2" t="s">
        <v>119</v>
      </c>
    </row>
    <row r="113" customFormat="false" ht="15" hidden="false" customHeight="false" outlineLevel="0" collapsed="false">
      <c r="A113" s="2" t="s">
        <v>280</v>
      </c>
      <c r="B113" s="2" t="s">
        <v>281</v>
      </c>
      <c r="C113" s="14" t="n">
        <v>0</v>
      </c>
      <c r="D113" s="14" t="n">
        <v>0</v>
      </c>
      <c r="E113" s="14" t="n">
        <v>0</v>
      </c>
      <c r="F113" s="2" t="s">
        <v>117</v>
      </c>
      <c r="G113" s="7" t="s">
        <v>25</v>
      </c>
      <c r="H113" s="2"/>
      <c r="I113" s="8" t="s">
        <v>259</v>
      </c>
      <c r="J113" s="2" t="s">
        <v>119</v>
      </c>
    </row>
    <row r="114" customFormat="false" ht="15" hidden="false" customHeight="false" outlineLevel="0" collapsed="false">
      <c r="A114" s="2" t="s">
        <v>282</v>
      </c>
      <c r="B114" s="2" t="s">
        <v>283</v>
      </c>
      <c r="C114" s="14" t="n">
        <v>0</v>
      </c>
      <c r="D114" s="14" t="n">
        <v>0</v>
      </c>
      <c r="E114" s="14" t="n">
        <v>0</v>
      </c>
      <c r="F114" s="2" t="s">
        <v>117</v>
      </c>
      <c r="G114" s="7" t="s">
        <v>25</v>
      </c>
      <c r="H114" s="2"/>
      <c r="I114" s="8" t="s">
        <v>259</v>
      </c>
      <c r="J114" s="2" t="s">
        <v>119</v>
      </c>
    </row>
    <row r="115" customFormat="false" ht="15" hidden="false" customHeight="false" outlineLevel="0" collapsed="false">
      <c r="A115" s="2" t="s">
        <v>284</v>
      </c>
      <c r="B115" s="2" t="s">
        <v>285</v>
      </c>
      <c r="C115" s="14" t="n">
        <v>0</v>
      </c>
      <c r="D115" s="14" t="n">
        <v>0</v>
      </c>
      <c r="E115" s="14" t="n">
        <v>0</v>
      </c>
      <c r="F115" s="2" t="s">
        <v>117</v>
      </c>
      <c r="G115" s="7" t="s">
        <v>25</v>
      </c>
      <c r="H115" s="2"/>
      <c r="I115" s="8" t="s">
        <v>259</v>
      </c>
      <c r="J115" s="2" t="s">
        <v>119</v>
      </c>
    </row>
    <row r="116" customFormat="false" ht="15" hidden="false" customHeight="false" outlineLevel="0" collapsed="false">
      <c r="A116" s="2" t="s">
        <v>286</v>
      </c>
      <c r="B116" s="2" t="s">
        <v>287</v>
      </c>
      <c r="C116" s="14" t="n">
        <v>0</v>
      </c>
      <c r="D116" s="14" t="n">
        <v>0</v>
      </c>
      <c r="E116" s="14" t="n">
        <v>0</v>
      </c>
      <c r="F116" s="2" t="s">
        <v>117</v>
      </c>
      <c r="G116" s="7" t="s">
        <v>25</v>
      </c>
      <c r="H116" s="2"/>
      <c r="I116" s="8" t="s">
        <v>259</v>
      </c>
      <c r="J116" s="2" t="s">
        <v>119</v>
      </c>
    </row>
    <row r="117" customFormat="false" ht="15" hidden="false" customHeight="false" outlineLevel="0" collapsed="false">
      <c r="A117" s="2" t="s">
        <v>288</v>
      </c>
      <c r="B117" s="2" t="s">
        <v>289</v>
      </c>
      <c r="C117" s="14" t="n">
        <v>0</v>
      </c>
      <c r="D117" s="14" t="n">
        <v>0</v>
      </c>
      <c r="E117" s="14" t="n">
        <v>0</v>
      </c>
      <c r="F117" s="2" t="s">
        <v>117</v>
      </c>
      <c r="G117" s="7" t="s">
        <v>25</v>
      </c>
      <c r="H117" s="2"/>
      <c r="I117" s="8" t="s">
        <v>259</v>
      </c>
      <c r="J117" s="2" t="s">
        <v>119</v>
      </c>
    </row>
    <row r="118" customFormat="false" ht="15" hidden="false" customHeight="false" outlineLevel="0" collapsed="false">
      <c r="A118" s="2" t="s">
        <v>290</v>
      </c>
      <c r="B118" s="2" t="s">
        <v>291</v>
      </c>
      <c r="C118" s="14" t="n">
        <v>1</v>
      </c>
      <c r="D118" s="14" t="n">
        <v>1</v>
      </c>
      <c r="E118" s="14" t="n">
        <v>1</v>
      </c>
      <c r="F118" s="2" t="s">
        <v>117</v>
      </c>
      <c r="G118" s="7" t="s">
        <v>25</v>
      </c>
      <c r="H118" s="2"/>
      <c r="I118" s="8" t="s">
        <v>259</v>
      </c>
      <c r="J118" s="2" t="s">
        <v>119</v>
      </c>
    </row>
    <row r="119" customFormat="false" ht="15" hidden="false" customHeight="false" outlineLevel="0" collapsed="false">
      <c r="A119" s="2" t="s">
        <v>292</v>
      </c>
      <c r="B119" s="2" t="s">
        <v>293</v>
      </c>
      <c r="C119" s="14" t="n">
        <v>0</v>
      </c>
      <c r="D119" s="14" t="n">
        <v>0</v>
      </c>
      <c r="E119" s="14" t="n">
        <v>0</v>
      </c>
      <c r="F119" s="2" t="s">
        <v>117</v>
      </c>
      <c r="G119" s="7" t="s">
        <v>25</v>
      </c>
      <c r="H119" s="2"/>
      <c r="I119" s="8" t="s">
        <v>294</v>
      </c>
      <c r="J119" s="2" t="s">
        <v>119</v>
      </c>
    </row>
    <row r="120" customFormat="false" ht="15" hidden="false" customHeight="false" outlineLevel="0" collapsed="false">
      <c r="A120" s="2" t="s">
        <v>295</v>
      </c>
      <c r="B120" s="2" t="s">
        <v>296</v>
      </c>
      <c r="C120" s="14" t="n">
        <v>0</v>
      </c>
      <c r="D120" s="14" t="n">
        <v>0</v>
      </c>
      <c r="E120" s="14" t="n">
        <v>0</v>
      </c>
      <c r="F120" s="2" t="s">
        <v>117</v>
      </c>
      <c r="G120" s="7" t="s">
        <v>25</v>
      </c>
      <c r="H120" s="2"/>
      <c r="I120" s="8" t="s">
        <v>294</v>
      </c>
      <c r="J120" s="2" t="s">
        <v>119</v>
      </c>
    </row>
    <row r="121" customFormat="false" ht="15" hidden="false" customHeight="false" outlineLevel="0" collapsed="false">
      <c r="A121" s="2" t="s">
        <v>297</v>
      </c>
      <c r="B121" s="2" t="s">
        <v>298</v>
      </c>
      <c r="C121" s="14" t="n">
        <v>1</v>
      </c>
      <c r="D121" s="14" t="n">
        <v>1</v>
      </c>
      <c r="E121" s="14" t="n">
        <v>1</v>
      </c>
      <c r="F121" s="2" t="s">
        <v>117</v>
      </c>
      <c r="G121" s="7" t="s">
        <v>25</v>
      </c>
      <c r="H121" s="2"/>
      <c r="I121" s="8" t="s">
        <v>294</v>
      </c>
      <c r="J121" s="2" t="s">
        <v>119</v>
      </c>
    </row>
    <row r="122" customFormat="false" ht="15" hidden="false" customHeight="false" outlineLevel="0" collapsed="false">
      <c r="A122" s="2" t="s">
        <v>299</v>
      </c>
      <c r="B122" s="2" t="s">
        <v>300</v>
      </c>
      <c r="C122" s="14" t="n">
        <v>0</v>
      </c>
      <c r="D122" s="14" t="n">
        <v>0</v>
      </c>
      <c r="E122" s="14" t="n">
        <v>0</v>
      </c>
      <c r="F122" s="2" t="s">
        <v>117</v>
      </c>
      <c r="G122" s="7" t="s">
        <v>25</v>
      </c>
      <c r="H122" s="2"/>
      <c r="I122" s="8" t="s">
        <v>294</v>
      </c>
      <c r="J122" s="2" t="s">
        <v>119</v>
      </c>
    </row>
    <row r="123" customFormat="false" ht="15" hidden="false" customHeight="false" outlineLevel="0" collapsed="false">
      <c r="A123" s="2" t="s">
        <v>301</v>
      </c>
      <c r="B123" s="2" t="s">
        <v>302</v>
      </c>
      <c r="C123" s="14" t="n">
        <v>0</v>
      </c>
      <c r="D123" s="14" t="n">
        <v>0</v>
      </c>
      <c r="E123" s="14" t="n">
        <v>0</v>
      </c>
      <c r="F123" s="2" t="s">
        <v>117</v>
      </c>
      <c r="G123" s="7" t="s">
        <v>25</v>
      </c>
      <c r="H123" s="2"/>
      <c r="I123" s="8" t="s">
        <v>294</v>
      </c>
      <c r="J123" s="2" t="s">
        <v>119</v>
      </c>
    </row>
    <row r="124" customFormat="false" ht="15" hidden="false" customHeight="false" outlineLevel="0" collapsed="false">
      <c r="A124" s="2" t="s">
        <v>303</v>
      </c>
      <c r="B124" s="2" t="s">
        <v>304</v>
      </c>
      <c r="C124" s="14" t="n">
        <v>1</v>
      </c>
      <c r="D124" s="14" t="n">
        <v>1</v>
      </c>
      <c r="E124" s="14" t="n">
        <v>1</v>
      </c>
      <c r="F124" s="2" t="s">
        <v>117</v>
      </c>
      <c r="G124" s="7" t="s">
        <v>25</v>
      </c>
      <c r="H124" s="2"/>
      <c r="I124" s="8" t="s">
        <v>294</v>
      </c>
      <c r="J124" s="2" t="s">
        <v>119</v>
      </c>
    </row>
    <row r="125" customFormat="false" ht="15" hidden="false" customHeight="false" outlineLevel="0" collapsed="false">
      <c r="A125" s="2" t="s">
        <v>305</v>
      </c>
      <c r="B125" s="2" t="s">
        <v>306</v>
      </c>
      <c r="C125" s="14" t="n">
        <v>0</v>
      </c>
      <c r="D125" s="14" t="n">
        <v>0</v>
      </c>
      <c r="E125" s="14" t="n">
        <v>0</v>
      </c>
      <c r="F125" s="2" t="s">
        <v>117</v>
      </c>
      <c r="G125" s="7" t="s">
        <v>25</v>
      </c>
      <c r="H125" s="2"/>
      <c r="I125" s="8" t="s">
        <v>294</v>
      </c>
      <c r="J125" s="2" t="s">
        <v>119</v>
      </c>
    </row>
    <row r="126" customFormat="false" ht="15" hidden="false" customHeight="false" outlineLevel="0" collapsed="false">
      <c r="A126" s="2" t="s">
        <v>307</v>
      </c>
      <c r="B126" s="2" t="s">
        <v>308</v>
      </c>
      <c r="C126" s="14" t="n">
        <v>0</v>
      </c>
      <c r="D126" s="14" t="n">
        <v>0</v>
      </c>
      <c r="E126" s="14" t="n">
        <v>0</v>
      </c>
      <c r="F126" s="2" t="s">
        <v>117</v>
      </c>
      <c r="G126" s="7" t="s">
        <v>25</v>
      </c>
      <c r="H126" s="2"/>
      <c r="I126" s="8" t="s">
        <v>294</v>
      </c>
      <c r="J126" s="2" t="s">
        <v>119</v>
      </c>
    </row>
    <row r="127" customFormat="false" ht="15" hidden="false" customHeight="false" outlineLevel="0" collapsed="false">
      <c r="A127" s="2" t="s">
        <v>309</v>
      </c>
      <c r="B127" s="2" t="s">
        <v>310</v>
      </c>
      <c r="C127" s="14" t="n">
        <v>0</v>
      </c>
      <c r="D127" s="14" t="n">
        <v>0</v>
      </c>
      <c r="E127" s="14" t="n">
        <v>0</v>
      </c>
      <c r="F127" s="2" t="s">
        <v>117</v>
      </c>
      <c r="G127" s="7" t="s">
        <v>25</v>
      </c>
      <c r="H127" s="2"/>
      <c r="I127" s="8" t="s">
        <v>294</v>
      </c>
      <c r="J127" s="2" t="s">
        <v>119</v>
      </c>
    </row>
    <row r="128" customFormat="false" ht="15" hidden="false" customHeight="false" outlineLevel="0" collapsed="false">
      <c r="A128" s="2" t="s">
        <v>311</v>
      </c>
      <c r="B128" s="2" t="s">
        <v>312</v>
      </c>
      <c r="C128" s="14" t="n">
        <v>0</v>
      </c>
      <c r="D128" s="14" t="n">
        <v>0</v>
      </c>
      <c r="E128" s="14" t="n">
        <v>0</v>
      </c>
      <c r="F128" s="2" t="s">
        <v>117</v>
      </c>
      <c r="G128" s="7" t="s">
        <v>25</v>
      </c>
      <c r="H128" s="2"/>
      <c r="I128" s="8" t="s">
        <v>294</v>
      </c>
      <c r="J128" s="2" t="s">
        <v>119</v>
      </c>
    </row>
    <row r="129" customFormat="false" ht="15" hidden="false" customHeight="false" outlineLevel="0" collapsed="false">
      <c r="A129" s="2" t="s">
        <v>313</v>
      </c>
      <c r="B129" s="2" t="s">
        <v>314</v>
      </c>
      <c r="C129" s="14" t="n">
        <v>0</v>
      </c>
      <c r="D129" s="14" t="n">
        <v>0</v>
      </c>
      <c r="E129" s="14" t="n">
        <v>0</v>
      </c>
      <c r="F129" s="2" t="s">
        <v>117</v>
      </c>
      <c r="G129" s="7" t="s">
        <v>25</v>
      </c>
      <c r="H129" s="2"/>
      <c r="I129" s="8" t="s">
        <v>294</v>
      </c>
      <c r="J129" s="2" t="s">
        <v>119</v>
      </c>
    </row>
    <row r="130" customFormat="false" ht="15" hidden="false" customHeight="false" outlineLevel="0" collapsed="false">
      <c r="A130" s="2" t="s">
        <v>315</v>
      </c>
      <c r="B130" s="2" t="s">
        <v>316</v>
      </c>
      <c r="C130" s="14" t="n">
        <v>0</v>
      </c>
      <c r="D130" s="14" t="n">
        <v>0</v>
      </c>
      <c r="E130" s="14" t="n">
        <v>0</v>
      </c>
      <c r="F130" s="2" t="s">
        <v>117</v>
      </c>
      <c r="G130" s="7" t="s">
        <v>25</v>
      </c>
      <c r="H130" s="2"/>
      <c r="I130" s="8" t="s">
        <v>294</v>
      </c>
      <c r="J130" s="2" t="s">
        <v>119</v>
      </c>
    </row>
    <row r="131" customFormat="false" ht="15" hidden="false" customHeight="false" outlineLevel="0" collapsed="false">
      <c r="A131" s="2" t="s">
        <v>317</v>
      </c>
      <c r="B131" s="2" t="s">
        <v>318</v>
      </c>
      <c r="C131" s="14" t="n">
        <v>0</v>
      </c>
      <c r="D131" s="14" t="n">
        <v>0</v>
      </c>
      <c r="E131" s="14" t="n">
        <v>0</v>
      </c>
      <c r="F131" s="2" t="s">
        <v>117</v>
      </c>
      <c r="G131" s="7" t="s">
        <v>25</v>
      </c>
      <c r="H131" s="2"/>
      <c r="I131" s="8" t="s">
        <v>294</v>
      </c>
      <c r="J131" s="2" t="s">
        <v>119</v>
      </c>
    </row>
    <row r="132" customFormat="false" ht="15" hidden="false" customHeight="false" outlineLevel="0" collapsed="false">
      <c r="A132" s="2" t="s">
        <v>319</v>
      </c>
      <c r="B132" s="2" t="s">
        <v>320</v>
      </c>
      <c r="C132" s="14" t="n">
        <v>0</v>
      </c>
      <c r="D132" s="14" t="n">
        <v>0</v>
      </c>
      <c r="E132" s="14" t="n">
        <v>0</v>
      </c>
      <c r="F132" s="2" t="s">
        <v>117</v>
      </c>
      <c r="G132" s="7" t="s">
        <v>25</v>
      </c>
      <c r="H132" s="2"/>
      <c r="I132" s="8" t="s">
        <v>294</v>
      </c>
      <c r="J132" s="2" t="s">
        <v>119</v>
      </c>
    </row>
    <row r="133" customFormat="false" ht="15" hidden="false" customHeight="false" outlineLevel="0" collapsed="false">
      <c r="A133" s="2" t="s">
        <v>321</v>
      </c>
      <c r="B133" s="2" t="s">
        <v>322</v>
      </c>
      <c r="C133" s="14" t="n">
        <v>0</v>
      </c>
      <c r="D133" s="14" t="n">
        <v>0</v>
      </c>
      <c r="E133" s="14" t="n">
        <v>0</v>
      </c>
      <c r="F133" s="2" t="s">
        <v>117</v>
      </c>
      <c r="G133" s="7" t="s">
        <v>25</v>
      </c>
      <c r="H133" s="2"/>
      <c r="I133" s="8" t="s">
        <v>294</v>
      </c>
      <c r="J133" s="2" t="s">
        <v>119</v>
      </c>
    </row>
    <row r="134" customFormat="false" ht="15" hidden="false" customHeight="false" outlineLevel="0" collapsed="false">
      <c r="A134" s="2" t="s">
        <v>323</v>
      </c>
      <c r="B134" s="2" t="s">
        <v>324</v>
      </c>
      <c r="C134" s="14" t="n">
        <v>0</v>
      </c>
      <c r="D134" s="14" t="n">
        <v>0</v>
      </c>
      <c r="E134" s="14" t="n">
        <v>0</v>
      </c>
      <c r="F134" s="2" t="s">
        <v>117</v>
      </c>
      <c r="G134" s="7" t="s">
        <v>25</v>
      </c>
      <c r="H134" s="2"/>
      <c r="I134" s="8" t="s">
        <v>294</v>
      </c>
      <c r="J134" s="2" t="s">
        <v>119</v>
      </c>
    </row>
    <row r="135" customFormat="false" ht="15" hidden="false" customHeight="false" outlineLevel="0" collapsed="false">
      <c r="A135" s="2" t="s">
        <v>325</v>
      </c>
      <c r="B135" s="2" t="s">
        <v>326</v>
      </c>
      <c r="C135" s="14" t="n">
        <v>1</v>
      </c>
      <c r="D135" s="14" t="n">
        <v>1</v>
      </c>
      <c r="E135" s="14" t="n">
        <v>1</v>
      </c>
      <c r="F135" s="2" t="s">
        <v>117</v>
      </c>
      <c r="G135" s="7" t="s">
        <v>25</v>
      </c>
      <c r="H135" s="2"/>
      <c r="I135" s="8" t="s">
        <v>294</v>
      </c>
      <c r="J135" s="2" t="s">
        <v>119</v>
      </c>
    </row>
    <row r="136" customFormat="false" ht="15" hidden="false" customHeight="false" outlineLevel="0" collapsed="false">
      <c r="A136" s="2" t="s">
        <v>327</v>
      </c>
      <c r="B136" s="2" t="s">
        <v>328</v>
      </c>
      <c r="C136" s="14" t="n">
        <v>1</v>
      </c>
      <c r="D136" s="14" t="n">
        <v>1</v>
      </c>
      <c r="E136" s="14" t="n">
        <v>1</v>
      </c>
      <c r="F136" s="2" t="s">
        <v>117</v>
      </c>
      <c r="G136" s="7" t="s">
        <v>25</v>
      </c>
      <c r="H136" s="2"/>
      <c r="I136" s="8" t="s">
        <v>329</v>
      </c>
      <c r="J136" s="2" t="s">
        <v>119</v>
      </c>
    </row>
    <row r="137" customFormat="false" ht="15" hidden="false" customHeight="false" outlineLevel="0" collapsed="false">
      <c r="A137" s="2" t="s">
        <v>330</v>
      </c>
      <c r="B137" s="2" t="s">
        <v>331</v>
      </c>
      <c r="C137" s="14" t="n">
        <v>0</v>
      </c>
      <c r="D137" s="14" t="n">
        <v>0</v>
      </c>
      <c r="E137" s="14" t="n">
        <v>0</v>
      </c>
      <c r="F137" s="2" t="s">
        <v>117</v>
      </c>
      <c r="G137" s="7" t="s">
        <v>25</v>
      </c>
      <c r="H137" s="2"/>
      <c r="I137" s="8" t="s">
        <v>329</v>
      </c>
      <c r="J137" s="2" t="s">
        <v>119</v>
      </c>
    </row>
    <row r="138" customFormat="false" ht="15" hidden="false" customHeight="false" outlineLevel="0" collapsed="false">
      <c r="A138" s="2" t="s">
        <v>332</v>
      </c>
      <c r="B138" s="2" t="s">
        <v>333</v>
      </c>
      <c r="C138" s="14" t="n">
        <v>1</v>
      </c>
      <c r="D138" s="14" t="n">
        <v>1</v>
      </c>
      <c r="E138" s="14" t="n">
        <v>1</v>
      </c>
      <c r="F138" s="2" t="s">
        <v>117</v>
      </c>
      <c r="G138" s="7" t="s">
        <v>25</v>
      </c>
      <c r="H138" s="2"/>
      <c r="I138" s="8" t="s">
        <v>329</v>
      </c>
      <c r="J138" s="2" t="s">
        <v>119</v>
      </c>
    </row>
    <row r="139" customFormat="false" ht="15" hidden="false" customHeight="false" outlineLevel="0" collapsed="false">
      <c r="A139" s="2" t="s">
        <v>334</v>
      </c>
      <c r="B139" s="2" t="s">
        <v>335</v>
      </c>
      <c r="C139" s="14" t="n">
        <v>0</v>
      </c>
      <c r="D139" s="14" t="n">
        <v>0</v>
      </c>
      <c r="E139" s="14" t="n">
        <v>0</v>
      </c>
      <c r="F139" s="2" t="s">
        <v>117</v>
      </c>
      <c r="G139" s="7" t="s">
        <v>25</v>
      </c>
      <c r="H139" s="2"/>
      <c r="I139" s="8" t="s">
        <v>329</v>
      </c>
      <c r="J139" s="2" t="s">
        <v>119</v>
      </c>
    </row>
    <row r="140" customFormat="false" ht="15" hidden="false" customHeight="false" outlineLevel="0" collapsed="false">
      <c r="A140" s="2" t="s">
        <v>336</v>
      </c>
      <c r="B140" s="2" t="s">
        <v>337</v>
      </c>
      <c r="C140" s="14" t="n">
        <v>0</v>
      </c>
      <c r="D140" s="14" t="n">
        <v>0</v>
      </c>
      <c r="E140" s="14" t="n">
        <v>0</v>
      </c>
      <c r="F140" s="2" t="s">
        <v>117</v>
      </c>
      <c r="G140" s="7" t="s">
        <v>25</v>
      </c>
      <c r="H140" s="2"/>
      <c r="I140" s="8" t="s">
        <v>329</v>
      </c>
      <c r="J140" s="2" t="s">
        <v>119</v>
      </c>
    </row>
    <row r="141" customFormat="false" ht="15" hidden="false" customHeight="false" outlineLevel="0" collapsed="false">
      <c r="A141" s="2" t="s">
        <v>338</v>
      </c>
      <c r="B141" s="2" t="s">
        <v>339</v>
      </c>
      <c r="C141" s="14" t="n">
        <v>1</v>
      </c>
      <c r="D141" s="14" t="n">
        <v>1</v>
      </c>
      <c r="E141" s="14" t="n">
        <v>1</v>
      </c>
      <c r="F141" s="2" t="s">
        <v>117</v>
      </c>
      <c r="G141" s="7" t="s">
        <v>25</v>
      </c>
      <c r="H141" s="2"/>
      <c r="I141" s="8" t="s">
        <v>329</v>
      </c>
      <c r="J141" s="2" t="s">
        <v>119</v>
      </c>
    </row>
    <row r="142" customFormat="false" ht="15" hidden="false" customHeight="false" outlineLevel="0" collapsed="false">
      <c r="A142" s="2" t="s">
        <v>340</v>
      </c>
      <c r="B142" s="2" t="s">
        <v>341</v>
      </c>
      <c r="C142" s="14" t="n">
        <v>0</v>
      </c>
      <c r="D142" s="14" t="n">
        <v>0</v>
      </c>
      <c r="E142" s="14" t="n">
        <v>0</v>
      </c>
      <c r="F142" s="2" t="s">
        <v>117</v>
      </c>
      <c r="G142" s="7" t="s">
        <v>25</v>
      </c>
      <c r="H142" s="2"/>
      <c r="I142" s="8" t="s">
        <v>329</v>
      </c>
      <c r="J142" s="2" t="s">
        <v>119</v>
      </c>
    </row>
    <row r="143" customFormat="false" ht="15" hidden="false" customHeight="false" outlineLevel="0" collapsed="false">
      <c r="A143" s="2" t="s">
        <v>342</v>
      </c>
      <c r="B143" s="2" t="s">
        <v>343</v>
      </c>
      <c r="C143" s="14" t="n">
        <v>0</v>
      </c>
      <c r="D143" s="14" t="n">
        <v>0</v>
      </c>
      <c r="E143" s="14" t="n">
        <v>0</v>
      </c>
      <c r="F143" s="2" t="s">
        <v>117</v>
      </c>
      <c r="G143" s="7" t="s">
        <v>25</v>
      </c>
      <c r="H143" s="2"/>
      <c r="I143" s="8" t="s">
        <v>329</v>
      </c>
      <c r="J143" s="2" t="s">
        <v>119</v>
      </c>
    </row>
    <row r="144" customFormat="false" ht="15" hidden="false" customHeight="false" outlineLevel="0" collapsed="false">
      <c r="A144" s="2" t="s">
        <v>344</v>
      </c>
      <c r="B144" s="2" t="s">
        <v>345</v>
      </c>
      <c r="C144" s="14" t="n">
        <v>0</v>
      </c>
      <c r="D144" s="14" t="n">
        <v>0</v>
      </c>
      <c r="E144" s="14" t="n">
        <v>0</v>
      </c>
      <c r="F144" s="2" t="s">
        <v>117</v>
      </c>
      <c r="G144" s="7" t="s">
        <v>25</v>
      </c>
      <c r="H144" s="2"/>
      <c r="I144" s="8" t="s">
        <v>329</v>
      </c>
      <c r="J144" s="2" t="s">
        <v>119</v>
      </c>
    </row>
    <row r="145" customFormat="false" ht="15" hidden="false" customHeight="false" outlineLevel="0" collapsed="false">
      <c r="A145" s="2" t="s">
        <v>346</v>
      </c>
      <c r="B145" s="2" t="s">
        <v>347</v>
      </c>
      <c r="C145" s="14" t="n">
        <v>0</v>
      </c>
      <c r="D145" s="14" t="n">
        <v>0</v>
      </c>
      <c r="E145" s="14" t="n">
        <v>0</v>
      </c>
      <c r="F145" s="2" t="s">
        <v>117</v>
      </c>
      <c r="G145" s="7" t="s">
        <v>25</v>
      </c>
      <c r="H145" s="2"/>
      <c r="I145" s="8" t="s">
        <v>329</v>
      </c>
      <c r="J145" s="2" t="s">
        <v>119</v>
      </c>
    </row>
    <row r="146" customFormat="false" ht="15" hidden="false" customHeight="false" outlineLevel="0" collapsed="false">
      <c r="A146" s="2" t="s">
        <v>348</v>
      </c>
      <c r="B146" s="2" t="s">
        <v>349</v>
      </c>
      <c r="C146" s="14" t="n">
        <v>0</v>
      </c>
      <c r="D146" s="14" t="n">
        <v>0</v>
      </c>
      <c r="E146" s="14" t="n">
        <v>0</v>
      </c>
      <c r="F146" s="2" t="s">
        <v>117</v>
      </c>
      <c r="G146" s="7" t="s">
        <v>25</v>
      </c>
      <c r="H146" s="2"/>
      <c r="I146" s="8" t="s">
        <v>329</v>
      </c>
      <c r="J146" s="2" t="s">
        <v>119</v>
      </c>
    </row>
    <row r="147" customFormat="false" ht="15" hidden="false" customHeight="false" outlineLevel="0" collapsed="false">
      <c r="A147" s="2" t="s">
        <v>350</v>
      </c>
      <c r="B147" s="2" t="s">
        <v>351</v>
      </c>
      <c r="C147" s="14" t="n">
        <v>0</v>
      </c>
      <c r="D147" s="14" t="n">
        <v>0</v>
      </c>
      <c r="E147" s="14" t="n">
        <v>0</v>
      </c>
      <c r="F147" s="2" t="s">
        <v>117</v>
      </c>
      <c r="G147" s="7" t="s">
        <v>25</v>
      </c>
      <c r="H147" s="2"/>
      <c r="I147" s="8" t="s">
        <v>329</v>
      </c>
      <c r="J147" s="2" t="s">
        <v>119</v>
      </c>
    </row>
    <row r="148" customFormat="false" ht="15" hidden="false" customHeight="false" outlineLevel="0" collapsed="false">
      <c r="A148" s="2" t="s">
        <v>352</v>
      </c>
      <c r="B148" s="2" t="s">
        <v>353</v>
      </c>
      <c r="C148" s="14" t="n">
        <v>1</v>
      </c>
      <c r="D148" s="14" t="n">
        <v>1</v>
      </c>
      <c r="E148" s="14" t="n">
        <v>1</v>
      </c>
      <c r="F148" s="2" t="s">
        <v>117</v>
      </c>
      <c r="G148" s="7" t="s">
        <v>25</v>
      </c>
      <c r="H148" s="2"/>
      <c r="I148" s="8" t="s">
        <v>329</v>
      </c>
      <c r="J148" s="2" t="s">
        <v>119</v>
      </c>
    </row>
    <row r="149" customFormat="false" ht="15" hidden="false" customHeight="false" outlineLevel="0" collapsed="false">
      <c r="A149" s="2" t="s">
        <v>354</v>
      </c>
      <c r="B149" s="2" t="s">
        <v>355</v>
      </c>
      <c r="C149" s="14" t="n">
        <v>0</v>
      </c>
      <c r="D149" s="14" t="n">
        <v>0</v>
      </c>
      <c r="E149" s="14" t="n">
        <v>0</v>
      </c>
      <c r="F149" s="2" t="s">
        <v>117</v>
      </c>
      <c r="G149" s="7" t="s">
        <v>25</v>
      </c>
      <c r="H149" s="2"/>
      <c r="I149" s="8" t="s">
        <v>329</v>
      </c>
      <c r="J149" s="2" t="s">
        <v>119</v>
      </c>
    </row>
    <row r="150" customFormat="false" ht="15" hidden="false" customHeight="false" outlineLevel="0" collapsed="false">
      <c r="A150" s="2" t="s">
        <v>356</v>
      </c>
      <c r="B150" s="2" t="s">
        <v>357</v>
      </c>
      <c r="C150" s="14" t="n">
        <v>0</v>
      </c>
      <c r="D150" s="14" t="n">
        <v>0</v>
      </c>
      <c r="E150" s="14" t="n">
        <v>0</v>
      </c>
      <c r="F150" s="2" t="s">
        <v>117</v>
      </c>
      <c r="G150" s="7" t="s">
        <v>25</v>
      </c>
      <c r="H150" s="2"/>
      <c r="I150" s="8" t="s">
        <v>329</v>
      </c>
      <c r="J150" s="2" t="s">
        <v>119</v>
      </c>
    </row>
    <row r="151" customFormat="false" ht="15" hidden="false" customHeight="false" outlineLevel="0" collapsed="false">
      <c r="A151" s="2" t="s">
        <v>358</v>
      </c>
      <c r="B151" s="2" t="s">
        <v>359</v>
      </c>
      <c r="C151" s="14" t="n">
        <v>0</v>
      </c>
      <c r="D151" s="14" t="n">
        <v>0</v>
      </c>
      <c r="E151" s="14" t="n">
        <v>0</v>
      </c>
      <c r="F151" s="2" t="s">
        <v>117</v>
      </c>
      <c r="G151" s="7" t="s">
        <v>25</v>
      </c>
      <c r="H151" s="2"/>
      <c r="I151" s="8" t="s">
        <v>329</v>
      </c>
      <c r="J151" s="2" t="s">
        <v>119</v>
      </c>
    </row>
    <row r="152" customFormat="false" ht="15" hidden="false" customHeight="false" outlineLevel="0" collapsed="false">
      <c r="A152" s="2" t="s">
        <v>360</v>
      </c>
      <c r="B152" s="2" t="s">
        <v>361</v>
      </c>
      <c r="C152" s="14" t="n">
        <v>0</v>
      </c>
      <c r="D152" s="14" t="n">
        <v>0</v>
      </c>
      <c r="E152" s="14" t="n">
        <v>0</v>
      </c>
      <c r="F152" s="2" t="s">
        <v>117</v>
      </c>
      <c r="G152" s="7" t="s">
        <v>25</v>
      </c>
      <c r="H152" s="2"/>
      <c r="I152" s="8" t="s">
        <v>329</v>
      </c>
      <c r="J152" s="2" t="s">
        <v>119</v>
      </c>
    </row>
    <row r="153" customFormat="false" ht="15" hidden="false" customHeight="false" outlineLevel="0" collapsed="false">
      <c r="A153" s="2" t="s">
        <v>362</v>
      </c>
      <c r="B153" s="2" t="s">
        <v>363</v>
      </c>
      <c r="C153" s="14" t="n">
        <v>0</v>
      </c>
      <c r="D153" s="14" t="n">
        <v>0</v>
      </c>
      <c r="E153" s="14" t="n">
        <v>0</v>
      </c>
      <c r="F153" s="2" t="s">
        <v>117</v>
      </c>
      <c r="G153" s="7" t="s">
        <v>25</v>
      </c>
      <c r="H153" s="2"/>
      <c r="I153" s="8" t="s">
        <v>364</v>
      </c>
      <c r="J153" s="2" t="s">
        <v>119</v>
      </c>
    </row>
    <row r="154" customFormat="false" ht="15" hidden="false" customHeight="false" outlineLevel="0" collapsed="false">
      <c r="A154" s="2" t="s">
        <v>365</v>
      </c>
      <c r="B154" s="2" t="s">
        <v>366</v>
      </c>
      <c r="C154" s="14" t="n">
        <v>0</v>
      </c>
      <c r="D154" s="14" t="n">
        <v>0</v>
      </c>
      <c r="E154" s="14" t="n">
        <v>0</v>
      </c>
      <c r="F154" s="2" t="s">
        <v>117</v>
      </c>
      <c r="G154" s="7" t="s">
        <v>25</v>
      </c>
      <c r="H154" s="2"/>
      <c r="I154" s="8" t="s">
        <v>364</v>
      </c>
      <c r="J154" s="2" t="s">
        <v>119</v>
      </c>
    </row>
    <row r="155" customFormat="false" ht="15" hidden="false" customHeight="false" outlineLevel="0" collapsed="false">
      <c r="A155" s="2" t="s">
        <v>367</v>
      </c>
      <c r="B155" s="2" t="s">
        <v>368</v>
      </c>
      <c r="C155" s="14" t="n">
        <v>1</v>
      </c>
      <c r="D155" s="14" t="n">
        <v>1</v>
      </c>
      <c r="E155" s="14" t="n">
        <v>1</v>
      </c>
      <c r="F155" s="2" t="s">
        <v>117</v>
      </c>
      <c r="G155" s="7" t="s">
        <v>25</v>
      </c>
      <c r="H155" s="2"/>
      <c r="I155" s="8" t="s">
        <v>364</v>
      </c>
      <c r="J155" s="2" t="s">
        <v>119</v>
      </c>
    </row>
    <row r="156" customFormat="false" ht="15" hidden="false" customHeight="false" outlineLevel="0" collapsed="false">
      <c r="A156" s="2" t="s">
        <v>369</v>
      </c>
      <c r="B156" s="2" t="s">
        <v>370</v>
      </c>
      <c r="C156" s="14" t="n">
        <v>0</v>
      </c>
      <c r="D156" s="14" t="n">
        <v>0</v>
      </c>
      <c r="E156" s="14" t="n">
        <v>0</v>
      </c>
      <c r="F156" s="2" t="s">
        <v>117</v>
      </c>
      <c r="G156" s="7" t="s">
        <v>25</v>
      </c>
      <c r="H156" s="2"/>
      <c r="I156" s="8" t="s">
        <v>364</v>
      </c>
      <c r="J156" s="2" t="s">
        <v>119</v>
      </c>
    </row>
    <row r="157" customFormat="false" ht="15" hidden="false" customHeight="false" outlineLevel="0" collapsed="false">
      <c r="A157" s="2" t="s">
        <v>371</v>
      </c>
      <c r="B157" s="2" t="s">
        <v>372</v>
      </c>
      <c r="C157" s="14" t="n">
        <v>0</v>
      </c>
      <c r="D157" s="14" t="n">
        <v>0</v>
      </c>
      <c r="E157" s="14" t="n">
        <v>0</v>
      </c>
      <c r="F157" s="2" t="s">
        <v>117</v>
      </c>
      <c r="G157" s="7" t="s">
        <v>25</v>
      </c>
      <c r="H157" s="2"/>
      <c r="I157" s="8" t="s">
        <v>364</v>
      </c>
      <c r="J157" s="2" t="s">
        <v>119</v>
      </c>
    </row>
    <row r="158" customFormat="false" ht="15" hidden="false" customHeight="false" outlineLevel="0" collapsed="false">
      <c r="A158" s="2" t="s">
        <v>373</v>
      </c>
      <c r="B158" s="2" t="s">
        <v>374</v>
      </c>
      <c r="C158" s="14" t="n">
        <v>1</v>
      </c>
      <c r="D158" s="14" t="n">
        <v>1</v>
      </c>
      <c r="E158" s="14" t="n">
        <v>1</v>
      </c>
      <c r="F158" s="2" t="s">
        <v>117</v>
      </c>
      <c r="G158" s="7" t="s">
        <v>25</v>
      </c>
      <c r="H158" s="2"/>
      <c r="I158" s="8" t="s">
        <v>364</v>
      </c>
      <c r="J158" s="2" t="s">
        <v>119</v>
      </c>
    </row>
    <row r="159" customFormat="false" ht="15" hidden="false" customHeight="false" outlineLevel="0" collapsed="false">
      <c r="A159" s="2" t="s">
        <v>375</v>
      </c>
      <c r="B159" s="2" t="s">
        <v>376</v>
      </c>
      <c r="C159" s="14" t="n">
        <v>0</v>
      </c>
      <c r="D159" s="14" t="n">
        <v>0</v>
      </c>
      <c r="E159" s="14" t="n">
        <v>0</v>
      </c>
      <c r="F159" s="2" t="s">
        <v>117</v>
      </c>
      <c r="G159" s="7" t="s">
        <v>25</v>
      </c>
      <c r="H159" s="2"/>
      <c r="I159" s="8" t="s">
        <v>364</v>
      </c>
      <c r="J159" s="2" t="s">
        <v>119</v>
      </c>
    </row>
    <row r="160" customFormat="false" ht="15" hidden="false" customHeight="false" outlineLevel="0" collapsed="false">
      <c r="A160" s="2" t="s">
        <v>377</v>
      </c>
      <c r="B160" s="2" t="s">
        <v>378</v>
      </c>
      <c r="C160" s="14" t="n">
        <v>0</v>
      </c>
      <c r="D160" s="14" t="n">
        <v>0</v>
      </c>
      <c r="E160" s="14" t="n">
        <v>0</v>
      </c>
      <c r="F160" s="2" t="s">
        <v>117</v>
      </c>
      <c r="G160" s="7" t="s">
        <v>25</v>
      </c>
      <c r="H160" s="2"/>
      <c r="I160" s="8" t="s">
        <v>364</v>
      </c>
      <c r="J160" s="2" t="s">
        <v>119</v>
      </c>
    </row>
    <row r="161" customFormat="false" ht="15" hidden="false" customHeight="false" outlineLevel="0" collapsed="false">
      <c r="A161" s="2" t="s">
        <v>379</v>
      </c>
      <c r="B161" s="2" t="s">
        <v>380</v>
      </c>
      <c r="C161" s="14" t="n">
        <v>0</v>
      </c>
      <c r="D161" s="14" t="n">
        <v>0</v>
      </c>
      <c r="E161" s="14" t="n">
        <v>0</v>
      </c>
      <c r="F161" s="2" t="s">
        <v>117</v>
      </c>
      <c r="G161" s="7" t="s">
        <v>25</v>
      </c>
      <c r="H161" s="2"/>
      <c r="I161" s="8" t="s">
        <v>364</v>
      </c>
      <c r="J161" s="2" t="s">
        <v>119</v>
      </c>
    </row>
    <row r="162" customFormat="false" ht="15" hidden="false" customHeight="false" outlineLevel="0" collapsed="false">
      <c r="A162" s="2" t="s">
        <v>381</v>
      </c>
      <c r="B162" s="2" t="s">
        <v>382</v>
      </c>
      <c r="C162" s="14" t="n">
        <v>0</v>
      </c>
      <c r="D162" s="14" t="n">
        <v>0</v>
      </c>
      <c r="E162" s="14" t="n">
        <v>0</v>
      </c>
      <c r="F162" s="2" t="s">
        <v>117</v>
      </c>
      <c r="G162" s="7" t="s">
        <v>25</v>
      </c>
      <c r="H162" s="2"/>
      <c r="I162" s="8" t="s">
        <v>364</v>
      </c>
      <c r="J162" s="2" t="s">
        <v>119</v>
      </c>
    </row>
    <row r="163" customFormat="false" ht="15" hidden="false" customHeight="false" outlineLevel="0" collapsed="false">
      <c r="A163" s="2" t="s">
        <v>383</v>
      </c>
      <c r="B163" s="2" t="s">
        <v>384</v>
      </c>
      <c r="C163" s="14" t="n">
        <v>1</v>
      </c>
      <c r="D163" s="14" t="n">
        <v>1</v>
      </c>
      <c r="E163" s="14" t="n">
        <v>1</v>
      </c>
      <c r="F163" s="2" t="s">
        <v>117</v>
      </c>
      <c r="G163" s="7" t="s">
        <v>25</v>
      </c>
      <c r="H163" s="2"/>
      <c r="I163" s="8" t="s">
        <v>364</v>
      </c>
      <c r="J163" s="2" t="s">
        <v>119</v>
      </c>
    </row>
    <row r="164" customFormat="false" ht="15" hidden="false" customHeight="false" outlineLevel="0" collapsed="false">
      <c r="A164" s="2" t="s">
        <v>385</v>
      </c>
      <c r="B164" s="2" t="s">
        <v>386</v>
      </c>
      <c r="C164" s="14" t="n">
        <v>1</v>
      </c>
      <c r="D164" s="14" t="n">
        <v>1</v>
      </c>
      <c r="E164" s="14" t="n">
        <v>1</v>
      </c>
      <c r="F164" s="2" t="s">
        <v>117</v>
      </c>
      <c r="G164" s="7" t="s">
        <v>25</v>
      </c>
      <c r="H164" s="2"/>
      <c r="I164" s="8" t="s">
        <v>364</v>
      </c>
      <c r="J164" s="2" t="s">
        <v>119</v>
      </c>
    </row>
    <row r="165" customFormat="false" ht="15" hidden="false" customHeight="false" outlineLevel="0" collapsed="false">
      <c r="A165" s="2" t="s">
        <v>387</v>
      </c>
      <c r="B165" s="2" t="s">
        <v>388</v>
      </c>
      <c r="C165" s="14" t="n">
        <v>1</v>
      </c>
      <c r="D165" s="14" t="n">
        <v>1</v>
      </c>
      <c r="E165" s="14" t="n">
        <v>1</v>
      </c>
      <c r="F165" s="2" t="s">
        <v>117</v>
      </c>
      <c r="G165" s="7" t="s">
        <v>25</v>
      </c>
      <c r="H165" s="2"/>
      <c r="I165" s="8" t="s">
        <v>364</v>
      </c>
      <c r="J165" s="2" t="s">
        <v>119</v>
      </c>
    </row>
    <row r="166" customFormat="false" ht="15" hidden="false" customHeight="false" outlineLevel="0" collapsed="false">
      <c r="A166" s="2" t="s">
        <v>389</v>
      </c>
      <c r="B166" s="2" t="s">
        <v>390</v>
      </c>
      <c r="C166" s="14" t="n">
        <v>0</v>
      </c>
      <c r="D166" s="14" t="n">
        <v>0</v>
      </c>
      <c r="E166" s="14" t="n">
        <v>0</v>
      </c>
      <c r="F166" s="2" t="s">
        <v>117</v>
      </c>
      <c r="G166" s="7" t="s">
        <v>25</v>
      </c>
      <c r="H166" s="2"/>
      <c r="I166" s="8" t="s">
        <v>364</v>
      </c>
      <c r="J166" s="2" t="s">
        <v>119</v>
      </c>
    </row>
    <row r="167" customFormat="false" ht="15" hidden="false" customHeight="false" outlineLevel="0" collapsed="false">
      <c r="A167" s="2" t="s">
        <v>391</v>
      </c>
      <c r="B167" s="2" t="s">
        <v>392</v>
      </c>
      <c r="C167" s="14" t="n">
        <v>0</v>
      </c>
      <c r="D167" s="14" t="n">
        <v>0</v>
      </c>
      <c r="E167" s="14" t="n">
        <v>0</v>
      </c>
      <c r="F167" s="2" t="s">
        <v>117</v>
      </c>
      <c r="G167" s="7" t="s">
        <v>25</v>
      </c>
      <c r="H167" s="2"/>
      <c r="I167" s="8" t="s">
        <v>364</v>
      </c>
      <c r="J167" s="2" t="s">
        <v>119</v>
      </c>
    </row>
    <row r="168" customFormat="false" ht="15" hidden="false" customHeight="false" outlineLevel="0" collapsed="false">
      <c r="A168" s="2" t="s">
        <v>393</v>
      </c>
      <c r="B168" s="2" t="s">
        <v>394</v>
      </c>
      <c r="C168" s="14" t="n">
        <v>1</v>
      </c>
      <c r="D168" s="14" t="n">
        <v>1</v>
      </c>
      <c r="E168" s="14" t="n">
        <v>1</v>
      </c>
      <c r="F168" s="2" t="s">
        <v>117</v>
      </c>
      <c r="G168" s="7" t="s">
        <v>25</v>
      </c>
      <c r="H168" s="2"/>
      <c r="I168" s="8" t="s">
        <v>364</v>
      </c>
      <c r="J168" s="2" t="s">
        <v>119</v>
      </c>
    </row>
    <row r="169" customFormat="false" ht="15" hidden="false" customHeight="false" outlineLevel="0" collapsed="false">
      <c r="A169" s="2" t="s">
        <v>395</v>
      </c>
      <c r="B169" s="2" t="s">
        <v>396</v>
      </c>
      <c r="C169" s="14" t="n">
        <v>1</v>
      </c>
      <c r="D169" s="14" t="n">
        <v>1</v>
      </c>
      <c r="E169" s="14" t="n">
        <v>1</v>
      </c>
      <c r="F169" s="2" t="s">
        <v>117</v>
      </c>
      <c r="G169" s="7" t="s">
        <v>25</v>
      </c>
      <c r="H169" s="2"/>
      <c r="I169" s="8" t="s">
        <v>364</v>
      </c>
      <c r="J169" s="2" t="s">
        <v>119</v>
      </c>
    </row>
    <row r="170" customFormat="false" ht="46.25" hidden="false" customHeight="false" outlineLevel="0" collapsed="false">
      <c r="A170" s="2" t="s">
        <v>397</v>
      </c>
      <c r="B170" s="2" t="s">
        <v>398</v>
      </c>
      <c r="C170" s="9" t="n">
        <v>0.25</v>
      </c>
      <c r="D170" s="9" t="n">
        <v>0.4</v>
      </c>
      <c r="E170" s="9" t="n">
        <v>0.54</v>
      </c>
      <c r="F170" s="2" t="s">
        <v>46</v>
      </c>
      <c r="G170" s="11" t="s">
        <v>41</v>
      </c>
      <c r="H170" s="2" t="s">
        <v>399</v>
      </c>
      <c r="I170" s="8" t="s">
        <v>400</v>
      </c>
      <c r="J170" s="2" t="s">
        <v>119</v>
      </c>
    </row>
    <row r="171" customFormat="false" ht="15" hidden="false" customHeight="false" outlineLevel="0" collapsed="false">
      <c r="A171" s="5" t="s">
        <v>401</v>
      </c>
    </row>
    <row r="172" customFormat="false" ht="23.85" hidden="false" customHeight="false" outlineLevel="0" collapsed="false">
      <c r="A172" s="2" t="s">
        <v>402</v>
      </c>
      <c r="B172" s="2" t="s">
        <v>403</v>
      </c>
      <c r="C172" s="6" t="n">
        <v>170000</v>
      </c>
      <c r="D172" s="6" t="n">
        <v>170000</v>
      </c>
      <c r="E172" s="6" t="n">
        <v>170000</v>
      </c>
      <c r="F172" s="2" t="s">
        <v>404</v>
      </c>
      <c r="G172" s="11" t="s">
        <v>41</v>
      </c>
      <c r="H172" s="2" t="s">
        <v>405</v>
      </c>
      <c r="I172" s="8" t="s">
        <v>406</v>
      </c>
      <c r="J172" s="2" t="s">
        <v>407</v>
      </c>
    </row>
    <row r="173" customFormat="false" ht="23.85" hidden="false" customHeight="false" outlineLevel="0" collapsed="false">
      <c r="A173" s="2" t="s">
        <v>408</v>
      </c>
      <c r="B173" s="2" t="s">
        <v>409</v>
      </c>
      <c r="C173" s="6" t="n">
        <v>500000</v>
      </c>
      <c r="D173" s="6" t="n">
        <v>500000</v>
      </c>
      <c r="E173" s="6" t="n">
        <v>500000</v>
      </c>
      <c r="F173" s="2" t="s">
        <v>404</v>
      </c>
      <c r="G173" s="11" t="s">
        <v>41</v>
      </c>
      <c r="H173" s="2" t="s">
        <v>405</v>
      </c>
      <c r="I173" s="8" t="s">
        <v>410</v>
      </c>
      <c r="J173" s="2" t="s">
        <v>407</v>
      </c>
    </row>
    <row r="174" customFormat="false" ht="15" hidden="false" customHeight="false" outlineLevel="0" collapsed="false">
      <c r="A174" s="2" t="s">
        <v>411</v>
      </c>
      <c r="B174" s="2" t="s">
        <v>412</v>
      </c>
      <c r="C174" s="6" t="n">
        <v>665000</v>
      </c>
      <c r="D174" s="6" t="n">
        <v>665000</v>
      </c>
      <c r="E174" s="6" t="n">
        <v>665000</v>
      </c>
      <c r="F174" s="2" t="s">
        <v>404</v>
      </c>
      <c r="G174" s="11" t="s">
        <v>41</v>
      </c>
      <c r="H174" s="2" t="s">
        <v>405</v>
      </c>
      <c r="I174" s="8" t="s">
        <v>413</v>
      </c>
      <c r="J174" s="2" t="s">
        <v>407</v>
      </c>
    </row>
    <row r="175" customFormat="false" ht="15" hidden="false" customHeight="false" outlineLevel="0" collapsed="false">
      <c r="A175" s="2" t="s">
        <v>414</v>
      </c>
      <c r="B175" s="2" t="s">
        <v>415</v>
      </c>
      <c r="C175" s="6" t="n">
        <v>15</v>
      </c>
      <c r="D175" s="6" t="n">
        <v>30</v>
      </c>
      <c r="E175" s="6" t="n">
        <v>60</v>
      </c>
      <c r="F175" s="2" t="s">
        <v>416</v>
      </c>
      <c r="G175" s="7" t="s">
        <v>25</v>
      </c>
      <c r="H175" s="2"/>
      <c r="I175" s="8" t="s">
        <v>417</v>
      </c>
      <c r="J175" s="2" t="s">
        <v>407</v>
      </c>
    </row>
    <row r="176" customFormat="false" ht="15" hidden="false" customHeight="false" outlineLevel="0" collapsed="false">
      <c r="A176" s="2" t="s">
        <v>418</v>
      </c>
      <c r="B176" s="2" t="s">
        <v>419</v>
      </c>
      <c r="C176" s="6" t="n">
        <v>300</v>
      </c>
      <c r="D176" s="6" t="n">
        <v>500</v>
      </c>
      <c r="E176" s="6" t="n">
        <v>900</v>
      </c>
      <c r="F176" s="2" t="s">
        <v>420</v>
      </c>
      <c r="G176" s="11" t="s">
        <v>41</v>
      </c>
      <c r="H176" s="2" t="s">
        <v>421</v>
      </c>
      <c r="I176" s="8" t="s">
        <v>422</v>
      </c>
      <c r="J176" s="2" t="s">
        <v>407</v>
      </c>
    </row>
    <row r="177" customFormat="false" ht="35.05" hidden="false" customHeight="false" outlineLevel="0" collapsed="false">
      <c r="A177" s="2" t="s">
        <v>423</v>
      </c>
      <c r="B177" s="2" t="s">
        <v>424</v>
      </c>
      <c r="C177" s="6" t="n">
        <v>2900</v>
      </c>
      <c r="D177" s="6" t="n">
        <v>4000</v>
      </c>
      <c r="E177" s="6" t="n">
        <v>5500</v>
      </c>
      <c r="F177" s="2" t="s">
        <v>425</v>
      </c>
      <c r="G177" s="11" t="s">
        <v>41</v>
      </c>
      <c r="H177" s="2" t="s">
        <v>426</v>
      </c>
      <c r="I177" s="8" t="s">
        <v>427</v>
      </c>
      <c r="J177" s="2" t="s">
        <v>407</v>
      </c>
    </row>
    <row r="178" customFormat="false" ht="15" hidden="false" customHeight="false" outlineLevel="0" collapsed="false">
      <c r="A178" s="2" t="s">
        <v>428</v>
      </c>
      <c r="B178" s="2" t="s">
        <v>429</v>
      </c>
      <c r="C178" s="6" t="n">
        <v>20</v>
      </c>
      <c r="D178" s="6" t="n">
        <v>35</v>
      </c>
      <c r="E178" s="6" t="n">
        <v>60</v>
      </c>
      <c r="F178" s="2" t="s">
        <v>430</v>
      </c>
      <c r="G178" s="7" t="s">
        <v>25</v>
      </c>
      <c r="H178" s="2" t="s">
        <v>431</v>
      </c>
      <c r="I178" s="8" t="s">
        <v>432</v>
      </c>
      <c r="J178" s="2" t="s">
        <v>407</v>
      </c>
    </row>
    <row r="179" customFormat="false" ht="15" hidden="false" customHeight="false" outlineLevel="0" collapsed="false">
      <c r="A179" s="2" t="s">
        <v>433</v>
      </c>
      <c r="B179" s="2" t="s">
        <v>434</v>
      </c>
      <c r="C179" s="14" t="n">
        <v>25</v>
      </c>
      <c r="D179" s="14" t="n">
        <v>20</v>
      </c>
      <c r="E179" s="14" t="n">
        <v>15</v>
      </c>
      <c r="F179" s="2" t="s">
        <v>435</v>
      </c>
      <c r="G179" s="7" t="s">
        <v>25</v>
      </c>
      <c r="H179" s="2" t="s">
        <v>431</v>
      </c>
      <c r="I179" s="8"/>
      <c r="J179" s="2" t="s">
        <v>407</v>
      </c>
    </row>
    <row r="180" customFormat="false" ht="15" hidden="false" customHeight="false" outlineLevel="0" collapsed="false">
      <c r="A180" s="2" t="s">
        <v>436</v>
      </c>
      <c r="B180" s="2" t="s">
        <v>437</v>
      </c>
      <c r="C180" s="9" t="n">
        <v>0.04</v>
      </c>
      <c r="D180" s="9" t="n">
        <v>0.06</v>
      </c>
      <c r="E180" s="9" t="n">
        <v>0.08</v>
      </c>
      <c r="F180" s="2" t="s">
        <v>99</v>
      </c>
      <c r="G180" s="7" t="s">
        <v>25</v>
      </c>
      <c r="H180" s="2" t="s">
        <v>405</v>
      </c>
      <c r="I180" s="8"/>
      <c r="J180" s="2" t="s">
        <v>407</v>
      </c>
    </row>
    <row r="181" customFormat="false" ht="15" hidden="false" customHeight="false" outlineLevel="0" collapsed="false">
      <c r="A181" s="2" t="s">
        <v>438</v>
      </c>
      <c r="B181" s="2" t="s">
        <v>439</v>
      </c>
      <c r="C181" s="14" t="n">
        <v>12</v>
      </c>
      <c r="D181" s="14" t="n">
        <v>10</v>
      </c>
      <c r="E181" s="14" t="n">
        <v>8</v>
      </c>
      <c r="F181" s="2" t="s">
        <v>435</v>
      </c>
      <c r="G181" s="12" t="s">
        <v>47</v>
      </c>
      <c r="H181" s="2" t="s">
        <v>405</v>
      </c>
      <c r="I181" s="8" t="s">
        <v>440</v>
      </c>
      <c r="J181" s="2" t="s">
        <v>407</v>
      </c>
    </row>
    <row r="182" customFormat="false" ht="23.85" hidden="false" customHeight="false" outlineLevel="0" collapsed="false">
      <c r="A182" s="2" t="s">
        <v>441</v>
      </c>
      <c r="B182" s="2" t="s">
        <v>442</v>
      </c>
      <c r="C182" s="6" t="n">
        <v>3000</v>
      </c>
      <c r="D182" s="6" t="n">
        <v>5000</v>
      </c>
      <c r="E182" s="6" t="n">
        <v>8000</v>
      </c>
      <c r="F182" s="2" t="s">
        <v>443</v>
      </c>
      <c r="G182" s="7" t="s">
        <v>25</v>
      </c>
      <c r="H182" s="2" t="s">
        <v>431</v>
      </c>
      <c r="I182" s="8" t="s">
        <v>444</v>
      </c>
      <c r="J182" s="2" t="s">
        <v>407</v>
      </c>
    </row>
    <row r="183" customFormat="false" ht="15" hidden="false" customHeight="false" outlineLevel="0" collapsed="false">
      <c r="A183" s="2" t="s">
        <v>445</v>
      </c>
      <c r="B183" s="2" t="s">
        <v>446</v>
      </c>
      <c r="C183" s="6" t="n">
        <v>150</v>
      </c>
      <c r="D183" s="6" t="n">
        <v>180</v>
      </c>
      <c r="E183" s="6" t="n">
        <v>250</v>
      </c>
      <c r="F183" s="2" t="s">
        <v>76</v>
      </c>
      <c r="G183" s="11" t="s">
        <v>41</v>
      </c>
      <c r="H183" s="2" t="s">
        <v>447</v>
      </c>
      <c r="I183" s="8" t="s">
        <v>448</v>
      </c>
      <c r="J183" s="2" t="s">
        <v>407</v>
      </c>
    </row>
    <row r="184" customFormat="false" ht="15" hidden="false" customHeight="false" outlineLevel="0" collapsed="false">
      <c r="A184" s="2" t="s">
        <v>449</v>
      </c>
      <c r="B184" s="2" t="s">
        <v>450</v>
      </c>
      <c r="C184" s="14" t="n">
        <v>35</v>
      </c>
      <c r="D184" s="14" t="n">
        <v>30</v>
      </c>
      <c r="E184" s="14" t="n">
        <v>25</v>
      </c>
      <c r="F184" s="2" t="s">
        <v>435</v>
      </c>
      <c r="G184" s="12" t="s">
        <v>47</v>
      </c>
      <c r="H184" s="2" t="s">
        <v>447</v>
      </c>
      <c r="I184" s="8" t="s">
        <v>451</v>
      </c>
      <c r="J184" s="2" t="s">
        <v>407</v>
      </c>
    </row>
    <row r="185" customFormat="false" ht="15" hidden="false" customHeight="false" outlineLevel="0" collapsed="false">
      <c r="A185" s="2" t="s">
        <v>452</v>
      </c>
      <c r="B185" s="2" t="s">
        <v>453</v>
      </c>
      <c r="C185" s="6" t="n">
        <v>500</v>
      </c>
      <c r="D185" s="6" t="n">
        <v>800</v>
      </c>
      <c r="E185" s="6" t="n">
        <v>1500</v>
      </c>
      <c r="F185" s="2" t="s">
        <v>443</v>
      </c>
      <c r="G185" s="7" t="s">
        <v>25</v>
      </c>
      <c r="H185" s="2" t="s">
        <v>431</v>
      </c>
      <c r="I185" s="8"/>
      <c r="J185" s="2" t="s">
        <v>407</v>
      </c>
    </row>
    <row r="186" customFormat="false" ht="23.85" hidden="false" customHeight="false" outlineLevel="0" collapsed="false">
      <c r="A186" s="2" t="s">
        <v>454</v>
      </c>
      <c r="B186" s="2" t="s">
        <v>455</v>
      </c>
      <c r="C186" s="6" t="n">
        <v>120</v>
      </c>
      <c r="D186" s="6" t="n">
        <v>180</v>
      </c>
      <c r="E186" s="6" t="n">
        <v>250</v>
      </c>
      <c r="F186" s="2" t="s">
        <v>416</v>
      </c>
      <c r="G186" s="11" t="s">
        <v>41</v>
      </c>
      <c r="H186" s="2" t="s">
        <v>456</v>
      </c>
      <c r="I186" s="8" t="s">
        <v>457</v>
      </c>
      <c r="J186" s="2" t="s">
        <v>407</v>
      </c>
    </row>
    <row r="187" customFormat="false" ht="15" hidden="false" customHeight="false" outlineLevel="0" collapsed="false">
      <c r="A187" s="2" t="s">
        <v>458</v>
      </c>
      <c r="B187" s="2" t="s">
        <v>459</v>
      </c>
      <c r="C187" s="6" t="n">
        <v>8</v>
      </c>
      <c r="D187" s="6" t="n">
        <v>12</v>
      </c>
      <c r="E187" s="6" t="n">
        <v>18</v>
      </c>
      <c r="F187" s="2" t="s">
        <v>76</v>
      </c>
      <c r="G187" s="11" t="s">
        <v>41</v>
      </c>
      <c r="H187" s="2" t="s">
        <v>447</v>
      </c>
      <c r="I187" s="8" t="s">
        <v>460</v>
      </c>
      <c r="J187" s="2" t="s">
        <v>407</v>
      </c>
    </row>
    <row r="188" customFormat="false" ht="15" hidden="false" customHeight="false" outlineLevel="0" collapsed="false">
      <c r="A188" s="2" t="s">
        <v>461</v>
      </c>
      <c r="B188" s="2" t="s">
        <v>462</v>
      </c>
      <c r="C188" s="14" t="n">
        <v>12</v>
      </c>
      <c r="D188" s="14" t="n">
        <v>10</v>
      </c>
      <c r="E188" s="14" t="n">
        <v>8</v>
      </c>
      <c r="F188" s="2" t="s">
        <v>435</v>
      </c>
      <c r="G188" s="7" t="s">
        <v>25</v>
      </c>
      <c r="H188" s="2"/>
      <c r="I188" s="8" t="s">
        <v>463</v>
      </c>
      <c r="J188" s="2" t="s">
        <v>407</v>
      </c>
    </row>
    <row r="189" customFormat="false" ht="23.85" hidden="false" customHeight="false" outlineLevel="0" collapsed="false">
      <c r="A189" s="2" t="s">
        <v>464</v>
      </c>
      <c r="B189" s="2" t="s">
        <v>465</v>
      </c>
      <c r="C189" s="6" t="n">
        <v>6</v>
      </c>
      <c r="D189" s="6" t="n">
        <v>12</v>
      </c>
      <c r="E189" s="6" t="n">
        <v>25</v>
      </c>
      <c r="F189" s="2" t="s">
        <v>416</v>
      </c>
      <c r="G189" s="7" t="s">
        <v>25</v>
      </c>
      <c r="H189" s="2"/>
      <c r="I189" s="8" t="s">
        <v>466</v>
      </c>
      <c r="J189" s="2" t="s">
        <v>407</v>
      </c>
    </row>
    <row r="190" customFormat="false" ht="15" hidden="false" customHeight="false" outlineLevel="0" collapsed="false">
      <c r="A190" s="5" t="s">
        <v>467</v>
      </c>
    </row>
    <row r="191" customFormat="false" ht="35.05" hidden="false" customHeight="false" outlineLevel="0" collapsed="false">
      <c r="A191" s="2" t="s">
        <v>468</v>
      </c>
      <c r="B191" s="2" t="s">
        <v>469</v>
      </c>
      <c r="C191" s="6" t="n">
        <v>72400</v>
      </c>
      <c r="D191" s="6" t="n">
        <v>70000</v>
      </c>
      <c r="E191" s="6" t="n">
        <v>68800</v>
      </c>
      <c r="F191" s="2" t="s">
        <v>470</v>
      </c>
      <c r="G191" s="11" t="s">
        <v>41</v>
      </c>
      <c r="H191" s="2" t="s">
        <v>471</v>
      </c>
      <c r="I191" s="8" t="s">
        <v>472</v>
      </c>
      <c r="J191" s="2" t="s">
        <v>473</v>
      </c>
    </row>
    <row r="192" customFormat="false" ht="46.25" hidden="false" customHeight="false" outlineLevel="0" collapsed="false">
      <c r="A192" s="2" t="s">
        <v>474</v>
      </c>
      <c r="B192" s="2" t="s">
        <v>475</v>
      </c>
      <c r="C192" s="14" t="n">
        <v>60</v>
      </c>
      <c r="D192" s="14" t="n">
        <v>50</v>
      </c>
      <c r="E192" s="14" t="n">
        <v>0</v>
      </c>
      <c r="F192" s="2" t="s">
        <v>476</v>
      </c>
      <c r="G192" s="7" t="s">
        <v>25</v>
      </c>
      <c r="H192" s="2" t="s">
        <v>477</v>
      </c>
      <c r="I192" s="8" t="s">
        <v>478</v>
      </c>
      <c r="J192" s="2" t="s">
        <v>473</v>
      </c>
    </row>
    <row r="193" customFormat="false" ht="15" hidden="false" customHeight="false" outlineLevel="0" collapsed="false">
      <c r="A193" s="2" t="s">
        <v>479</v>
      </c>
      <c r="B193" s="2" t="s">
        <v>480</v>
      </c>
      <c r="C193" s="9" t="n">
        <v>0.05</v>
      </c>
      <c r="D193" s="9" t="n">
        <v>0.1</v>
      </c>
      <c r="E193" s="9" t="n">
        <v>0.15</v>
      </c>
      <c r="F193" s="2" t="s">
        <v>481</v>
      </c>
      <c r="G193" s="7" t="s">
        <v>25</v>
      </c>
      <c r="H193" s="2"/>
      <c r="I193" s="8"/>
      <c r="J193" s="2" t="s">
        <v>473</v>
      </c>
    </row>
    <row r="194" customFormat="false" ht="23.85" hidden="false" customHeight="false" outlineLevel="0" collapsed="false">
      <c r="A194" s="2" t="s">
        <v>482</v>
      </c>
      <c r="B194" s="2" t="s">
        <v>483</v>
      </c>
      <c r="C194" s="9" t="n">
        <v>0.4</v>
      </c>
      <c r="D194" s="9" t="n">
        <v>0.25</v>
      </c>
      <c r="E194" s="9" t="n">
        <v>0</v>
      </c>
      <c r="F194" s="2" t="s">
        <v>46</v>
      </c>
      <c r="G194" s="7" t="s">
        <v>25</v>
      </c>
      <c r="H194" s="2" t="s">
        <v>484</v>
      </c>
      <c r="I194" s="8" t="s">
        <v>485</v>
      </c>
      <c r="J194" s="2" t="s">
        <v>473</v>
      </c>
    </row>
    <row r="195" customFormat="false" ht="46.25" hidden="false" customHeight="false" outlineLevel="0" collapsed="false">
      <c r="A195" s="2" t="s">
        <v>486</v>
      </c>
      <c r="B195" s="2" t="s">
        <v>487</v>
      </c>
      <c r="C195" s="9" t="n">
        <v>0.12</v>
      </c>
      <c r="D195" s="9" t="n">
        <v>0.1</v>
      </c>
      <c r="E195" s="9" t="n">
        <v>0.08</v>
      </c>
      <c r="F195" s="2" t="s">
        <v>46</v>
      </c>
      <c r="G195" s="11" t="s">
        <v>41</v>
      </c>
      <c r="H195" s="2" t="s">
        <v>488</v>
      </c>
      <c r="I195" s="8" t="s">
        <v>489</v>
      </c>
      <c r="J195" s="2" t="s">
        <v>473</v>
      </c>
    </row>
    <row r="196" customFormat="false" ht="35.05" hidden="false" customHeight="false" outlineLevel="0" collapsed="false">
      <c r="A196" s="2" t="s">
        <v>490</v>
      </c>
      <c r="B196" s="2" t="s">
        <v>491</v>
      </c>
      <c r="C196" s="6" t="n">
        <v>100000</v>
      </c>
      <c r="D196" s="6" t="n">
        <v>300000</v>
      </c>
      <c r="E196" s="6" t="n">
        <v>600000</v>
      </c>
      <c r="F196" s="2" t="s">
        <v>492</v>
      </c>
      <c r="G196" s="7" t="s">
        <v>25</v>
      </c>
      <c r="H196" s="2" t="s">
        <v>493</v>
      </c>
      <c r="I196" s="8" t="s">
        <v>494</v>
      </c>
      <c r="J196" s="2" t="s">
        <v>473</v>
      </c>
    </row>
    <row r="197" customFormat="false" ht="15" hidden="false" customHeight="false" outlineLevel="0" collapsed="false">
      <c r="A197" s="2" t="s">
        <v>495</v>
      </c>
      <c r="B197" s="2" t="s">
        <v>496</v>
      </c>
      <c r="C197" s="9" t="n">
        <v>0.2</v>
      </c>
      <c r="D197" s="9" t="n">
        <v>0.22</v>
      </c>
      <c r="E197" s="9" t="n">
        <v>0.22</v>
      </c>
      <c r="F197" s="2" t="s">
        <v>46</v>
      </c>
      <c r="G197" s="12" t="s">
        <v>47</v>
      </c>
      <c r="H197" s="2" t="s">
        <v>497</v>
      </c>
      <c r="I197" s="8" t="s">
        <v>498</v>
      </c>
      <c r="J197" s="2" t="s">
        <v>473</v>
      </c>
    </row>
    <row r="198" customFormat="false" ht="15" hidden="false" customHeight="false" outlineLevel="0" collapsed="false">
      <c r="A198" s="2" t="s">
        <v>499</v>
      </c>
      <c r="B198" s="2" t="s">
        <v>500</v>
      </c>
      <c r="C198" s="6" t="n">
        <v>5000</v>
      </c>
      <c r="D198" s="6" t="n">
        <v>10000</v>
      </c>
      <c r="E198" s="6" t="n">
        <v>20000</v>
      </c>
      <c r="F198" s="2" t="s">
        <v>501</v>
      </c>
      <c r="G198" s="7" t="s">
        <v>25</v>
      </c>
      <c r="H198" s="2" t="s">
        <v>502</v>
      </c>
      <c r="I198" s="8"/>
      <c r="J198" s="2" t="s">
        <v>473</v>
      </c>
    </row>
    <row r="199" customFormat="false" ht="35.05" hidden="false" customHeight="false" outlineLevel="0" collapsed="false">
      <c r="A199" s="2" t="s">
        <v>503</v>
      </c>
      <c r="B199" s="2" t="s">
        <v>504</v>
      </c>
      <c r="C199" s="6" t="n">
        <v>45000</v>
      </c>
      <c r="D199" s="6" t="n">
        <v>30000</v>
      </c>
      <c r="E199" s="6" t="n">
        <v>20000</v>
      </c>
      <c r="F199" s="2" t="s">
        <v>505</v>
      </c>
      <c r="G199" s="11" t="s">
        <v>41</v>
      </c>
      <c r="H199" s="2" t="s">
        <v>506</v>
      </c>
      <c r="I199" s="8" t="s">
        <v>507</v>
      </c>
      <c r="J199" s="2" t="s">
        <v>473</v>
      </c>
    </row>
    <row r="200" customFormat="false" ht="35.05" hidden="false" customHeight="false" outlineLevel="0" collapsed="false">
      <c r="A200" s="2" t="s">
        <v>508</v>
      </c>
      <c r="B200" s="2" t="s">
        <v>509</v>
      </c>
      <c r="C200" s="14" t="n">
        <v>6</v>
      </c>
      <c r="D200" s="14" t="n">
        <v>3</v>
      </c>
      <c r="E200" s="14" t="n">
        <v>2</v>
      </c>
      <c r="F200" s="2" t="s">
        <v>510</v>
      </c>
      <c r="G200" s="7" t="s">
        <v>25</v>
      </c>
      <c r="H200" s="2" t="s">
        <v>511</v>
      </c>
      <c r="I200" s="8" t="s">
        <v>512</v>
      </c>
      <c r="J200" s="2" t="s">
        <v>473</v>
      </c>
    </row>
    <row r="201" customFormat="false" ht="15" hidden="false" customHeight="false" outlineLevel="0" collapsed="false">
      <c r="A201" s="2" t="s">
        <v>513</v>
      </c>
      <c r="B201" s="2" t="s">
        <v>514</v>
      </c>
      <c r="C201" s="9" t="n">
        <v>0.1</v>
      </c>
      <c r="D201" s="9" t="n">
        <v>0.15</v>
      </c>
      <c r="E201" s="9" t="n">
        <v>0.2</v>
      </c>
      <c r="F201" s="2" t="s">
        <v>46</v>
      </c>
      <c r="G201" s="7" t="s">
        <v>25</v>
      </c>
      <c r="H201" s="2" t="s">
        <v>515</v>
      </c>
      <c r="I201" s="8" t="s">
        <v>516</v>
      </c>
      <c r="J201" s="2" t="s">
        <v>473</v>
      </c>
    </row>
    <row r="202" customFormat="false" ht="15" hidden="false" customHeight="false" outlineLevel="0" collapsed="false">
      <c r="A202" s="5" t="s">
        <v>517</v>
      </c>
    </row>
    <row r="203" customFormat="false" ht="15" hidden="false" customHeight="false" outlineLevel="0" collapsed="false">
      <c r="A203" s="2" t="s">
        <v>518</v>
      </c>
      <c r="B203" s="2" t="s">
        <v>519</v>
      </c>
      <c r="C203" s="9" t="n">
        <v>0.3</v>
      </c>
      <c r="D203" s="9" t="n">
        <v>0.35</v>
      </c>
      <c r="E203" s="9" t="n">
        <v>0.4</v>
      </c>
      <c r="F203" s="2" t="s">
        <v>46</v>
      </c>
      <c r="G203" s="7" t="s">
        <v>25</v>
      </c>
      <c r="H203" s="2"/>
      <c r="I203" s="8"/>
      <c r="J203" s="2" t="s">
        <v>520</v>
      </c>
    </row>
    <row r="204" customFormat="false" ht="15" hidden="false" customHeight="false" outlineLevel="0" collapsed="false">
      <c r="A204" s="2" t="s">
        <v>521</v>
      </c>
      <c r="B204" s="2" t="s">
        <v>522</v>
      </c>
      <c r="C204" s="9" t="n">
        <v>0.9</v>
      </c>
      <c r="D204" s="9" t="n">
        <v>0.6</v>
      </c>
      <c r="E204" s="9" t="n">
        <v>0.4</v>
      </c>
      <c r="F204" s="2" t="s">
        <v>46</v>
      </c>
      <c r="G204" s="7" t="s">
        <v>25</v>
      </c>
      <c r="H204" s="2"/>
      <c r="I204" s="8"/>
      <c r="J204" s="2" t="s">
        <v>520</v>
      </c>
    </row>
    <row r="205" customFormat="false" ht="23.85" hidden="false" customHeight="false" outlineLevel="0" collapsed="false">
      <c r="A205" s="2" t="s">
        <v>523</v>
      </c>
      <c r="B205" s="2" t="s">
        <v>524</v>
      </c>
      <c r="C205" s="6" t="n">
        <v>350000</v>
      </c>
      <c r="D205" s="6" t="n">
        <v>500000</v>
      </c>
      <c r="E205" s="6" t="n">
        <v>700000</v>
      </c>
      <c r="F205" s="2" t="s">
        <v>525</v>
      </c>
      <c r="G205" s="12" t="s">
        <v>47</v>
      </c>
      <c r="H205" s="2" t="s">
        <v>526</v>
      </c>
      <c r="I205" s="8" t="s">
        <v>527</v>
      </c>
      <c r="J205" s="2" t="s">
        <v>520</v>
      </c>
    </row>
    <row r="206" customFormat="false" ht="15" hidden="false" customHeight="false" outlineLevel="0" collapsed="false">
      <c r="A206" s="2" t="s">
        <v>528</v>
      </c>
      <c r="B206" s="2" t="s">
        <v>529</v>
      </c>
      <c r="C206" s="14" t="n">
        <v>15</v>
      </c>
      <c r="D206" s="14" t="n">
        <v>15</v>
      </c>
      <c r="E206" s="14" t="n">
        <v>15</v>
      </c>
      <c r="F206" s="2" t="s">
        <v>476</v>
      </c>
      <c r="G206" s="7" t="s">
        <v>25</v>
      </c>
      <c r="H206" s="2"/>
      <c r="I206" s="8"/>
      <c r="J206" s="2" t="s">
        <v>520</v>
      </c>
    </row>
    <row r="207" customFormat="false" ht="15" hidden="false" customHeight="false" outlineLevel="0" collapsed="false">
      <c r="A207" s="2" t="s">
        <v>530</v>
      </c>
      <c r="B207" s="2" t="s">
        <v>531</v>
      </c>
      <c r="C207" s="6" t="n">
        <v>34000</v>
      </c>
      <c r="D207" s="6" t="n">
        <v>38000</v>
      </c>
      <c r="E207" s="6" t="n">
        <v>42000</v>
      </c>
      <c r="F207" s="2" t="s">
        <v>532</v>
      </c>
      <c r="G207" s="11" t="s">
        <v>41</v>
      </c>
      <c r="H207" s="2" t="s">
        <v>533</v>
      </c>
      <c r="I207" s="8" t="s">
        <v>534</v>
      </c>
      <c r="J207" s="2" t="s">
        <v>520</v>
      </c>
    </row>
    <row r="208" customFormat="false" ht="35.05" hidden="false" customHeight="false" outlineLevel="0" collapsed="false">
      <c r="A208" s="2" t="s">
        <v>535</v>
      </c>
      <c r="B208" s="2" t="s">
        <v>536</v>
      </c>
      <c r="C208" s="14" t="n">
        <v>1.2</v>
      </c>
      <c r="D208" s="14" t="n">
        <v>1.65</v>
      </c>
      <c r="E208" s="14" t="n">
        <v>1.9</v>
      </c>
      <c r="F208" s="2" t="s">
        <v>537</v>
      </c>
      <c r="G208" s="11" t="s">
        <v>41</v>
      </c>
      <c r="H208" s="2" t="s">
        <v>538</v>
      </c>
      <c r="I208" s="8" t="s">
        <v>539</v>
      </c>
      <c r="J208" s="2" t="s">
        <v>520</v>
      </c>
    </row>
    <row r="209" customFormat="false" ht="15" hidden="false" customHeight="false" outlineLevel="0" collapsed="false">
      <c r="A209" s="2" t="s">
        <v>540</v>
      </c>
      <c r="B209" s="2" t="s">
        <v>541</v>
      </c>
      <c r="C209" s="6" t="n">
        <v>184</v>
      </c>
      <c r="D209" s="6" t="n">
        <v>130</v>
      </c>
      <c r="E209" s="6" t="n">
        <v>102</v>
      </c>
      <c r="F209" s="2" t="s">
        <v>542</v>
      </c>
      <c r="G209" s="12" t="s">
        <v>47</v>
      </c>
      <c r="H209" s="2" t="s">
        <v>543</v>
      </c>
      <c r="I209" s="8" t="s">
        <v>544</v>
      </c>
      <c r="J209" s="2" t="s">
        <v>520</v>
      </c>
    </row>
    <row r="210" customFormat="false" ht="15" hidden="false" customHeight="false" outlineLevel="0" collapsed="false">
      <c r="A210" s="5" t="s">
        <v>545</v>
      </c>
    </row>
    <row r="211" customFormat="false" ht="46.25" hidden="false" customHeight="false" outlineLevel="0" collapsed="false">
      <c r="A211" s="2" t="s">
        <v>546</v>
      </c>
      <c r="B211" s="2" t="s">
        <v>547</v>
      </c>
      <c r="C211" s="9" t="n">
        <v>0.0225</v>
      </c>
      <c r="D211" s="9" t="n">
        <v>0.0175</v>
      </c>
      <c r="E211" s="9" t="n">
        <v>0.0125</v>
      </c>
      <c r="F211" s="2" t="s">
        <v>548</v>
      </c>
      <c r="G211" s="7" t="s">
        <v>25</v>
      </c>
      <c r="H211" s="2" t="s">
        <v>549</v>
      </c>
      <c r="I211" s="8" t="s">
        <v>550</v>
      </c>
      <c r="J211" s="2" t="s">
        <v>551</v>
      </c>
    </row>
    <row r="212" customFormat="false" ht="35.05" hidden="false" customHeight="false" outlineLevel="0" collapsed="false">
      <c r="A212" s="2" t="s">
        <v>552</v>
      </c>
      <c r="B212" s="2" t="s">
        <v>553</v>
      </c>
      <c r="C212" s="6" t="n">
        <v>0.4</v>
      </c>
      <c r="D212" s="6" t="n">
        <v>0.355</v>
      </c>
      <c r="E212" s="6" t="n">
        <v>0.33</v>
      </c>
      <c r="F212" s="2" t="s">
        <v>554</v>
      </c>
      <c r="G212" s="11" t="s">
        <v>41</v>
      </c>
      <c r="H212" s="2" t="s">
        <v>555</v>
      </c>
      <c r="I212" s="8" t="s">
        <v>556</v>
      </c>
      <c r="J212" s="2" t="s">
        <v>551</v>
      </c>
    </row>
    <row r="213" customFormat="false" ht="15" hidden="false" customHeight="false" outlineLevel="0" collapsed="false">
      <c r="A213" s="5" t="s">
        <v>557</v>
      </c>
    </row>
    <row r="214" customFormat="false" ht="23.85" hidden="false" customHeight="false" outlineLevel="0" collapsed="false">
      <c r="A214" s="2" t="s">
        <v>558</v>
      </c>
      <c r="B214" s="2" t="s">
        <v>559</v>
      </c>
      <c r="C214" s="6" t="n">
        <v>100</v>
      </c>
      <c r="D214" s="6" t="n">
        <v>75</v>
      </c>
      <c r="E214" s="6" t="n">
        <v>50</v>
      </c>
      <c r="F214" s="2" t="s">
        <v>416</v>
      </c>
      <c r="G214" s="7" t="s">
        <v>25</v>
      </c>
      <c r="H214" s="2" t="s">
        <v>560</v>
      </c>
      <c r="I214" s="8" t="s">
        <v>561</v>
      </c>
      <c r="J214" s="2" t="s">
        <v>562</v>
      </c>
    </row>
    <row r="215" customFormat="false" ht="23.85" hidden="false" customHeight="false" outlineLevel="0" collapsed="false">
      <c r="A215" s="2" t="s">
        <v>563</v>
      </c>
      <c r="B215" s="2" t="s">
        <v>564</v>
      </c>
      <c r="C215" s="14" t="n">
        <v>10</v>
      </c>
      <c r="D215" s="14" t="n">
        <v>5</v>
      </c>
      <c r="E215" s="14" t="n">
        <v>0</v>
      </c>
      <c r="F215" s="2" t="s">
        <v>565</v>
      </c>
      <c r="G215" s="7" t="s">
        <v>25</v>
      </c>
      <c r="H215" s="2" t="s">
        <v>566</v>
      </c>
      <c r="I215" s="8" t="s">
        <v>567</v>
      </c>
      <c r="J215" s="2" t="s">
        <v>562</v>
      </c>
    </row>
    <row r="216" customFormat="false" ht="15" hidden="false" customHeight="false" outlineLevel="0" collapsed="false">
      <c r="A216" s="2" t="s">
        <v>568</v>
      </c>
      <c r="B216" s="2" t="s">
        <v>569</v>
      </c>
      <c r="C216" s="6" t="n">
        <v>6000</v>
      </c>
      <c r="D216" s="6" t="n">
        <v>3000</v>
      </c>
      <c r="E216" s="6" t="n">
        <v>1500</v>
      </c>
      <c r="F216" s="2" t="s">
        <v>416</v>
      </c>
      <c r="G216" s="11" t="s">
        <v>41</v>
      </c>
      <c r="H216" s="2" t="s">
        <v>570</v>
      </c>
      <c r="I216" s="8" t="s">
        <v>571</v>
      </c>
      <c r="J216" s="2" t="s">
        <v>562</v>
      </c>
    </row>
    <row r="217" customFormat="false" ht="15" hidden="false" customHeight="false" outlineLevel="0" collapsed="false">
      <c r="A217" s="5" t="s">
        <v>572</v>
      </c>
    </row>
    <row r="218" customFormat="false" ht="15" hidden="false" customHeight="false" outlineLevel="0" collapsed="false">
      <c r="A218" s="2" t="s">
        <v>573</v>
      </c>
      <c r="B218" s="2" t="s">
        <v>574</v>
      </c>
      <c r="C218" s="14" t="n">
        <v>30</v>
      </c>
      <c r="D218" s="14" t="n">
        <v>30</v>
      </c>
      <c r="E218" s="14" t="n">
        <v>30</v>
      </c>
      <c r="F218" s="2" t="s">
        <v>575</v>
      </c>
      <c r="G218" s="7" t="s">
        <v>25</v>
      </c>
      <c r="H218" s="2"/>
      <c r="I218" s="8"/>
      <c r="J218" s="2" t="s">
        <v>576</v>
      </c>
    </row>
    <row r="219" customFormat="false" ht="15" hidden="false" customHeight="false" outlineLevel="0" collapsed="false">
      <c r="A219" s="2" t="s">
        <v>577</v>
      </c>
      <c r="B219" s="2" t="s">
        <v>578</v>
      </c>
      <c r="C219" s="6" t="n">
        <v>4300</v>
      </c>
      <c r="D219" s="6" t="n">
        <v>4545</v>
      </c>
      <c r="E219" s="6" t="n">
        <v>5300</v>
      </c>
      <c r="F219" s="2" t="s">
        <v>420</v>
      </c>
      <c r="G219" s="11" t="s">
        <v>41</v>
      </c>
      <c r="H219" s="2" t="s">
        <v>579</v>
      </c>
      <c r="I219" s="8" t="s">
        <v>580</v>
      </c>
      <c r="J219" s="2" t="s">
        <v>576</v>
      </c>
    </row>
    <row r="220" customFormat="false" ht="15" hidden="false" customHeight="false" outlineLevel="0" collapsed="false">
      <c r="A220" s="2" t="s">
        <v>581</v>
      </c>
      <c r="B220" s="2" t="s">
        <v>582</v>
      </c>
      <c r="C220" s="6" t="n">
        <v>2122</v>
      </c>
      <c r="D220" s="6" t="n">
        <v>2238</v>
      </c>
      <c r="E220" s="6" t="n">
        <v>2500</v>
      </c>
      <c r="F220" s="2" t="s">
        <v>583</v>
      </c>
      <c r="G220" s="11" t="s">
        <v>41</v>
      </c>
      <c r="H220" s="2" t="s">
        <v>579</v>
      </c>
      <c r="I220" s="8" t="s">
        <v>584</v>
      </c>
      <c r="J220" s="2" t="s">
        <v>576</v>
      </c>
    </row>
    <row r="221" customFormat="false" ht="15" hidden="false" customHeight="false" outlineLevel="0" collapsed="false">
      <c r="A221" s="2" t="s">
        <v>585</v>
      </c>
      <c r="B221" s="2" t="s">
        <v>586</v>
      </c>
      <c r="C221" s="9" t="n">
        <v>0.92</v>
      </c>
      <c r="D221" s="9" t="n">
        <v>0.85</v>
      </c>
      <c r="E221" s="9" t="n">
        <v>0.7</v>
      </c>
      <c r="F221" s="2" t="s">
        <v>46</v>
      </c>
      <c r="G221" s="7" t="s">
        <v>25</v>
      </c>
      <c r="H221" s="2" t="s">
        <v>587</v>
      </c>
      <c r="I221" s="8"/>
      <c r="J221" s="2" t="s">
        <v>576</v>
      </c>
    </row>
    <row r="222" customFormat="false" ht="46.25" hidden="false" customHeight="false" outlineLevel="0" collapsed="false">
      <c r="A222" s="2" t="s">
        <v>588</v>
      </c>
      <c r="B222" s="2" t="s">
        <v>589</v>
      </c>
      <c r="C222" s="6" t="n">
        <v>874</v>
      </c>
      <c r="D222" s="6" t="n">
        <v>700</v>
      </c>
      <c r="E222" s="6" t="n">
        <v>450</v>
      </c>
      <c r="F222" s="2" t="s">
        <v>590</v>
      </c>
      <c r="G222" s="11" t="s">
        <v>41</v>
      </c>
      <c r="H222" s="2" t="s">
        <v>591</v>
      </c>
      <c r="I222" s="8" t="s">
        <v>592</v>
      </c>
      <c r="J222" s="2" t="s">
        <v>576</v>
      </c>
    </row>
    <row r="223" customFormat="false" ht="15" hidden="false" customHeight="false" outlineLevel="0" collapsed="false">
      <c r="A223" s="2" t="s">
        <v>593</v>
      </c>
      <c r="B223" s="2" t="s">
        <v>594</v>
      </c>
      <c r="C223" s="14" t="n">
        <v>20</v>
      </c>
      <c r="D223" s="14" t="n">
        <v>20</v>
      </c>
      <c r="E223" s="14" t="n">
        <v>20</v>
      </c>
      <c r="F223" s="2" t="s">
        <v>575</v>
      </c>
      <c r="G223" s="7" t="s">
        <v>25</v>
      </c>
      <c r="H223" s="2"/>
      <c r="I223" s="8"/>
      <c r="J223" s="2" t="s">
        <v>576</v>
      </c>
    </row>
    <row r="224" customFormat="false" ht="15" hidden="false" customHeight="false" outlineLevel="0" collapsed="false">
      <c r="A224" s="2" t="s">
        <v>595</v>
      </c>
      <c r="B224" s="2" t="s">
        <v>596</v>
      </c>
      <c r="C224" s="6" t="n">
        <v>100</v>
      </c>
      <c r="D224" s="6" t="n">
        <v>150</v>
      </c>
      <c r="E224" s="6" t="n">
        <v>250</v>
      </c>
      <c r="F224" s="2" t="s">
        <v>420</v>
      </c>
      <c r="G224" s="7" t="s">
        <v>25</v>
      </c>
      <c r="H224" s="2"/>
      <c r="I224" s="8"/>
      <c r="J224" s="2" t="s">
        <v>576</v>
      </c>
    </row>
    <row r="225" customFormat="false" ht="35.05" hidden="false" customHeight="false" outlineLevel="0" collapsed="false">
      <c r="A225" s="2" t="s">
        <v>597</v>
      </c>
      <c r="B225" s="2" t="s">
        <v>598</v>
      </c>
      <c r="C225" s="6" t="n">
        <v>1176</v>
      </c>
      <c r="D225" s="6" t="n">
        <v>600</v>
      </c>
      <c r="E225" s="6" t="n">
        <v>0</v>
      </c>
      <c r="F225" s="2" t="s">
        <v>420</v>
      </c>
      <c r="G225" s="11" t="s">
        <v>41</v>
      </c>
      <c r="H225" s="2" t="s">
        <v>599</v>
      </c>
      <c r="I225" s="8" t="s">
        <v>600</v>
      </c>
      <c r="J225" s="2" t="s">
        <v>576</v>
      </c>
    </row>
    <row r="226" customFormat="false" ht="15" hidden="false" customHeight="false" outlineLevel="0" collapsed="false">
      <c r="A226" s="2" t="s">
        <v>601</v>
      </c>
      <c r="B226" s="2" t="s">
        <v>602</v>
      </c>
      <c r="C226" s="14" t="n">
        <v>30</v>
      </c>
      <c r="D226" s="14" t="n">
        <v>30</v>
      </c>
      <c r="E226" s="14" t="n">
        <v>30</v>
      </c>
      <c r="F226" s="2" t="s">
        <v>603</v>
      </c>
      <c r="G226" s="7" t="s">
        <v>25</v>
      </c>
      <c r="H226" s="2"/>
      <c r="I226" s="8"/>
      <c r="J226" s="2" t="s">
        <v>576</v>
      </c>
    </row>
    <row r="227" customFormat="false" ht="15" hidden="false" customHeight="false" outlineLevel="0" collapsed="false">
      <c r="A227" s="2" t="s">
        <v>604</v>
      </c>
      <c r="B227" s="2" t="s">
        <v>605</v>
      </c>
      <c r="C227" s="6" t="n">
        <v>1500</v>
      </c>
      <c r="D227" s="6" t="n">
        <v>1800</v>
      </c>
      <c r="E227" s="6" t="n">
        <v>2100</v>
      </c>
      <c r="F227" s="2" t="s">
        <v>583</v>
      </c>
      <c r="G227" s="11" t="s">
        <v>41</v>
      </c>
      <c r="H227" s="2" t="s">
        <v>606</v>
      </c>
      <c r="I227" s="8" t="s">
        <v>607</v>
      </c>
      <c r="J227" s="2" t="s">
        <v>576</v>
      </c>
    </row>
    <row r="228" customFormat="false" ht="15" hidden="false" customHeight="false" outlineLevel="0" collapsed="false">
      <c r="A228" s="2" t="s">
        <v>608</v>
      </c>
      <c r="B228" s="2" t="s">
        <v>609</v>
      </c>
      <c r="C228" s="9" t="n">
        <v>0.92</v>
      </c>
      <c r="D228" s="9" t="n">
        <v>0.85</v>
      </c>
      <c r="E228" s="9" t="n">
        <v>0.7</v>
      </c>
      <c r="F228" s="2" t="s">
        <v>46</v>
      </c>
      <c r="G228" s="7" t="s">
        <v>25</v>
      </c>
      <c r="H228" s="2" t="s">
        <v>587</v>
      </c>
      <c r="I228" s="8" t="s">
        <v>610</v>
      </c>
      <c r="J228" s="2" t="s">
        <v>576</v>
      </c>
    </row>
    <row r="229" customFormat="false" ht="23.85" hidden="false" customHeight="false" outlineLevel="0" collapsed="false">
      <c r="A229" s="2" t="s">
        <v>611</v>
      </c>
      <c r="B229" s="2" t="s">
        <v>612</v>
      </c>
      <c r="C229" s="6" t="n">
        <v>220</v>
      </c>
      <c r="D229" s="6" t="n">
        <v>183</v>
      </c>
      <c r="E229" s="6" t="n">
        <v>150</v>
      </c>
      <c r="F229" s="2" t="s">
        <v>590</v>
      </c>
      <c r="G229" s="11" t="s">
        <v>41</v>
      </c>
      <c r="H229" s="2" t="s">
        <v>613</v>
      </c>
      <c r="I229" s="8" t="s">
        <v>614</v>
      </c>
      <c r="J229" s="2" t="s">
        <v>576</v>
      </c>
    </row>
    <row r="230" customFormat="false" ht="23.85" hidden="false" customHeight="false" outlineLevel="0" collapsed="false">
      <c r="A230" s="2" t="s">
        <v>615</v>
      </c>
      <c r="B230" s="2" t="s">
        <v>616</v>
      </c>
      <c r="C230" s="14" t="n">
        <v>30</v>
      </c>
      <c r="D230" s="14" t="n">
        <v>30</v>
      </c>
      <c r="E230" s="14" t="n">
        <v>30</v>
      </c>
      <c r="F230" s="2" t="s">
        <v>575</v>
      </c>
      <c r="G230" s="7" t="s">
        <v>25</v>
      </c>
      <c r="H230" s="2"/>
      <c r="I230" s="8" t="s">
        <v>617</v>
      </c>
      <c r="J230" s="2" t="s">
        <v>576</v>
      </c>
    </row>
    <row r="231" customFormat="false" ht="23.85" hidden="false" customHeight="false" outlineLevel="0" collapsed="false">
      <c r="A231" s="2" t="s">
        <v>618</v>
      </c>
      <c r="B231" s="2" t="s">
        <v>619</v>
      </c>
      <c r="C231" s="6" t="n">
        <v>2862</v>
      </c>
      <c r="D231" s="6" t="n">
        <v>3018</v>
      </c>
      <c r="E231" s="6" t="n">
        <v>3600</v>
      </c>
      <c r="F231" s="2" t="s">
        <v>420</v>
      </c>
      <c r="G231" s="11" t="s">
        <v>41</v>
      </c>
      <c r="H231" s="2" t="s">
        <v>620</v>
      </c>
      <c r="I231" s="8" t="s">
        <v>621</v>
      </c>
      <c r="J231" s="2" t="s">
        <v>576</v>
      </c>
    </row>
    <row r="232" customFormat="false" ht="15" hidden="false" customHeight="false" outlineLevel="0" collapsed="false">
      <c r="A232" s="2" t="s">
        <v>622</v>
      </c>
      <c r="B232" s="2" t="s">
        <v>623</v>
      </c>
      <c r="C232" s="6" t="n">
        <v>847</v>
      </c>
      <c r="D232" s="6" t="n">
        <v>893</v>
      </c>
      <c r="E232" s="6" t="n">
        <v>1000</v>
      </c>
      <c r="F232" s="2" t="s">
        <v>583</v>
      </c>
      <c r="G232" s="11" t="s">
        <v>41</v>
      </c>
      <c r="H232" s="2" t="s">
        <v>579</v>
      </c>
      <c r="I232" s="8" t="s">
        <v>624</v>
      </c>
      <c r="J232" s="2" t="s">
        <v>576</v>
      </c>
    </row>
    <row r="233" customFormat="false" ht="15" hidden="false" customHeight="false" outlineLevel="0" collapsed="false">
      <c r="A233" s="2" t="s">
        <v>625</v>
      </c>
      <c r="B233" s="2" t="s">
        <v>626</v>
      </c>
      <c r="C233" s="9" t="n">
        <v>0.92</v>
      </c>
      <c r="D233" s="9" t="n">
        <v>0.85</v>
      </c>
      <c r="E233" s="9" t="n">
        <v>0.75</v>
      </c>
      <c r="F233" s="2" t="s">
        <v>46</v>
      </c>
      <c r="G233" s="7" t="s">
        <v>25</v>
      </c>
      <c r="H233" s="2" t="s">
        <v>587</v>
      </c>
      <c r="I233" s="8" t="s">
        <v>627</v>
      </c>
      <c r="J233" s="2" t="s">
        <v>576</v>
      </c>
    </row>
    <row r="234" customFormat="false" ht="15" hidden="false" customHeight="false" outlineLevel="0" collapsed="false">
      <c r="A234" s="2" t="s">
        <v>628</v>
      </c>
      <c r="B234" s="2" t="s">
        <v>629</v>
      </c>
      <c r="C234" s="6" t="n">
        <v>401</v>
      </c>
      <c r="D234" s="6" t="n">
        <v>368</v>
      </c>
      <c r="E234" s="6" t="n">
        <v>334</v>
      </c>
      <c r="F234" s="2" t="s">
        <v>590</v>
      </c>
      <c r="G234" s="12" t="s">
        <v>47</v>
      </c>
      <c r="H234" s="2" t="s">
        <v>630</v>
      </c>
      <c r="I234" s="8" t="s">
        <v>631</v>
      </c>
      <c r="J234" s="2" t="s">
        <v>576</v>
      </c>
    </row>
    <row r="235" customFormat="false" ht="23.85" hidden="false" customHeight="false" outlineLevel="0" collapsed="false">
      <c r="A235" s="2" t="s">
        <v>632</v>
      </c>
      <c r="B235" s="2" t="s">
        <v>633</v>
      </c>
      <c r="C235" s="6" t="n">
        <v>30000</v>
      </c>
      <c r="D235" s="6" t="n">
        <v>21100</v>
      </c>
      <c r="E235" s="6" t="n">
        <v>0</v>
      </c>
      <c r="F235" s="2" t="s">
        <v>501</v>
      </c>
      <c r="G235" s="11" t="s">
        <v>41</v>
      </c>
      <c r="H235" s="2" t="s">
        <v>634</v>
      </c>
      <c r="I235" s="8" t="s">
        <v>635</v>
      </c>
      <c r="J235" s="2" t="s">
        <v>576</v>
      </c>
    </row>
    <row r="236" customFormat="false" ht="15" hidden="false" customHeight="false" outlineLevel="0" collapsed="false">
      <c r="A236" s="5" t="s">
        <v>636</v>
      </c>
    </row>
    <row r="237" customFormat="false" ht="15" hidden="false" customHeight="false" outlineLevel="0" collapsed="false">
      <c r="A237" s="2" t="s">
        <v>637</v>
      </c>
      <c r="B237" s="2" t="s">
        <v>638</v>
      </c>
      <c r="C237" s="6" t="n">
        <v>60000</v>
      </c>
      <c r="D237" s="6" t="n">
        <v>60000</v>
      </c>
      <c r="E237" s="6" t="n">
        <v>60000</v>
      </c>
      <c r="F237" s="2" t="s">
        <v>492</v>
      </c>
      <c r="G237" s="7" t="s">
        <v>25</v>
      </c>
      <c r="H237" s="2"/>
      <c r="I237" s="8"/>
      <c r="J237" s="2" t="s">
        <v>639</v>
      </c>
    </row>
    <row r="238" customFormat="false" ht="15" hidden="false" customHeight="false" outlineLevel="0" collapsed="false">
      <c r="A238" s="2" t="s">
        <v>640</v>
      </c>
      <c r="B238" s="2" t="s">
        <v>641</v>
      </c>
      <c r="C238" s="6" t="n">
        <v>9000</v>
      </c>
      <c r="D238" s="6" t="n">
        <v>12000</v>
      </c>
      <c r="E238" s="6" t="n">
        <v>15000</v>
      </c>
      <c r="F238" s="2" t="s">
        <v>501</v>
      </c>
      <c r="G238" s="7" t="s">
        <v>25</v>
      </c>
      <c r="H238" s="2"/>
      <c r="I238" s="8"/>
      <c r="J238" s="2" t="s">
        <v>639</v>
      </c>
    </row>
    <row r="239" customFormat="false" ht="15" hidden="false" customHeight="false" outlineLevel="0" collapsed="false">
      <c r="A239" s="2" t="s">
        <v>642</v>
      </c>
      <c r="B239" s="2" t="s">
        <v>643</v>
      </c>
      <c r="C239" s="9" t="n">
        <v>0.9</v>
      </c>
      <c r="D239" s="9" t="n">
        <v>0.6</v>
      </c>
      <c r="E239" s="9" t="n">
        <v>0.2</v>
      </c>
      <c r="F239" s="2" t="s">
        <v>46</v>
      </c>
      <c r="G239" s="7" t="s">
        <v>25</v>
      </c>
      <c r="H239" s="2"/>
      <c r="I239" s="8"/>
      <c r="J239" s="2" t="s">
        <v>639</v>
      </c>
    </row>
    <row r="240" customFormat="false" ht="15" hidden="false" customHeight="false" outlineLevel="0" collapsed="false">
      <c r="A240" s="2" t="s">
        <v>644</v>
      </c>
      <c r="B240" s="2" t="s">
        <v>645</v>
      </c>
      <c r="C240" s="14" t="n">
        <v>18</v>
      </c>
      <c r="D240" s="14" t="n">
        <v>18</v>
      </c>
      <c r="E240" s="14" t="n">
        <v>18</v>
      </c>
      <c r="F240" s="2" t="s">
        <v>646</v>
      </c>
      <c r="G240" s="7" t="s">
        <v>25</v>
      </c>
      <c r="H240" s="2"/>
      <c r="I240" s="8"/>
      <c r="J240" s="2" t="s">
        <v>639</v>
      </c>
    </row>
    <row r="241" customFormat="false" ht="15" hidden="false" customHeight="false" outlineLevel="0" collapsed="false">
      <c r="A241" s="2" t="s">
        <v>647</v>
      </c>
      <c r="B241" s="2" t="s">
        <v>648</v>
      </c>
      <c r="C241" s="6" t="n">
        <v>2400</v>
      </c>
      <c r="D241" s="6" t="n">
        <v>2000</v>
      </c>
      <c r="E241" s="6" t="n">
        <v>1500</v>
      </c>
      <c r="F241" s="2" t="s">
        <v>649</v>
      </c>
      <c r="G241" s="11" t="s">
        <v>41</v>
      </c>
      <c r="H241" s="2" t="s">
        <v>650</v>
      </c>
      <c r="I241" s="8" t="s">
        <v>651</v>
      </c>
      <c r="J241" s="2" t="s">
        <v>639</v>
      </c>
    </row>
    <row r="242" customFormat="false" ht="23.85" hidden="false" customHeight="false" outlineLevel="0" collapsed="false">
      <c r="A242" s="2" t="s">
        <v>652</v>
      </c>
      <c r="B242" s="2" t="s">
        <v>653</v>
      </c>
      <c r="C242" s="6" t="n">
        <v>250000</v>
      </c>
      <c r="D242" s="6" t="n">
        <v>400000</v>
      </c>
      <c r="E242" s="6" t="n">
        <v>600000</v>
      </c>
      <c r="F242" s="2" t="s">
        <v>492</v>
      </c>
      <c r="G242" s="7" t="s">
        <v>25</v>
      </c>
      <c r="H242" s="2" t="s">
        <v>654</v>
      </c>
      <c r="I242" s="8" t="s">
        <v>655</v>
      </c>
      <c r="J242" s="2" t="s">
        <v>639</v>
      </c>
    </row>
    <row r="243" customFormat="false" ht="15" hidden="false" customHeight="false" outlineLevel="0" collapsed="false">
      <c r="A243" s="2" t="s">
        <v>656</v>
      </c>
      <c r="B243" s="2" t="s">
        <v>657</v>
      </c>
      <c r="C243" s="6" t="n">
        <v>22000</v>
      </c>
      <c r="D243" s="6" t="n">
        <v>30000</v>
      </c>
      <c r="E243" s="6" t="n">
        <v>40000</v>
      </c>
      <c r="F243" s="2" t="s">
        <v>501</v>
      </c>
      <c r="G243" s="7" t="s">
        <v>25</v>
      </c>
      <c r="H243" s="2" t="s">
        <v>658</v>
      </c>
      <c r="I243" s="8" t="s">
        <v>659</v>
      </c>
      <c r="J243" s="2" t="s">
        <v>639</v>
      </c>
    </row>
    <row r="244" customFormat="false" ht="35.05" hidden="false" customHeight="false" outlineLevel="0" collapsed="false">
      <c r="A244" s="2" t="s">
        <v>660</v>
      </c>
      <c r="B244" s="2" t="s">
        <v>661</v>
      </c>
      <c r="C244" s="14" t="n">
        <v>14</v>
      </c>
      <c r="D244" s="14" t="n">
        <v>10</v>
      </c>
      <c r="E244" s="14" t="n">
        <v>5</v>
      </c>
      <c r="F244" s="2" t="s">
        <v>662</v>
      </c>
      <c r="G244" s="7" t="s">
        <v>25</v>
      </c>
      <c r="H244" s="2" t="s">
        <v>663</v>
      </c>
      <c r="I244" s="8" t="s">
        <v>664</v>
      </c>
      <c r="J244" s="2" t="s">
        <v>639</v>
      </c>
    </row>
    <row r="245" customFormat="false" ht="23.85" hidden="false" customHeight="false" outlineLevel="0" collapsed="false">
      <c r="A245" s="2" t="s">
        <v>665</v>
      </c>
      <c r="B245" s="2" t="s">
        <v>666</v>
      </c>
      <c r="C245" s="6" t="n">
        <v>10000</v>
      </c>
      <c r="D245" s="6" t="n">
        <v>6500</v>
      </c>
      <c r="E245" s="6" t="n">
        <v>4500</v>
      </c>
      <c r="F245" s="2" t="s">
        <v>667</v>
      </c>
      <c r="G245" s="11" t="s">
        <v>41</v>
      </c>
      <c r="H245" s="2" t="s">
        <v>668</v>
      </c>
      <c r="I245" s="8" t="s">
        <v>669</v>
      </c>
      <c r="J245" s="2" t="s">
        <v>639</v>
      </c>
    </row>
    <row r="246" customFormat="false" ht="15" hidden="false" customHeight="false" outlineLevel="0" collapsed="false">
      <c r="A246" s="2" t="s">
        <v>670</v>
      </c>
      <c r="B246" s="2" t="s">
        <v>671</v>
      </c>
      <c r="C246" s="9" t="n">
        <v>0.25</v>
      </c>
      <c r="D246" s="9" t="n">
        <v>0.3</v>
      </c>
      <c r="E246" s="9" t="n">
        <v>0.35</v>
      </c>
      <c r="F246" s="2" t="s">
        <v>46</v>
      </c>
      <c r="G246" s="7" t="s">
        <v>25</v>
      </c>
      <c r="H246" s="2"/>
      <c r="I246" s="8"/>
      <c r="J246" s="2" t="s">
        <v>639</v>
      </c>
    </row>
    <row r="247" customFormat="false" ht="23.85" hidden="false" customHeight="false" outlineLevel="0" collapsed="false">
      <c r="A247" s="2" t="s">
        <v>672</v>
      </c>
      <c r="B247" s="2" t="s">
        <v>673</v>
      </c>
      <c r="C247" s="6" t="n">
        <v>0</v>
      </c>
      <c r="D247" s="6" t="n">
        <v>600000</v>
      </c>
      <c r="E247" s="6" t="n">
        <v>800000</v>
      </c>
      <c r="F247" s="2" t="s">
        <v>674</v>
      </c>
      <c r="G247" s="11" t="s">
        <v>41</v>
      </c>
      <c r="H247" s="2" t="s">
        <v>675</v>
      </c>
      <c r="I247" s="8" t="s">
        <v>676</v>
      </c>
      <c r="J247" s="2" t="s">
        <v>639</v>
      </c>
    </row>
    <row r="248" customFormat="false" ht="15" hidden="false" customHeight="false" outlineLevel="0" collapsed="false">
      <c r="A248" s="2" t="s">
        <v>677</v>
      </c>
      <c r="B248" s="2" t="s">
        <v>678</v>
      </c>
      <c r="C248" s="6" t="n">
        <v>4000</v>
      </c>
      <c r="D248" s="6" t="n">
        <v>6000</v>
      </c>
      <c r="E248" s="6" t="n">
        <v>9000</v>
      </c>
      <c r="F248" s="2" t="s">
        <v>501</v>
      </c>
      <c r="G248" s="7" t="s">
        <v>25</v>
      </c>
      <c r="H248" s="2"/>
      <c r="I248" s="8"/>
      <c r="J248" s="2" t="s">
        <v>639</v>
      </c>
    </row>
    <row r="249" customFormat="false" ht="15" hidden="false" customHeight="false" outlineLevel="0" collapsed="false">
      <c r="A249" s="2" t="s">
        <v>679</v>
      </c>
      <c r="B249" s="2" t="s">
        <v>680</v>
      </c>
      <c r="C249" s="6" t="n">
        <v>6000</v>
      </c>
      <c r="D249" s="6" t="n">
        <v>3500</v>
      </c>
      <c r="E249" s="6" t="n">
        <v>2500</v>
      </c>
      <c r="F249" s="2" t="s">
        <v>681</v>
      </c>
      <c r="G249" s="7" t="s">
        <v>25</v>
      </c>
      <c r="H249" s="2"/>
      <c r="I249" s="8" t="s">
        <v>682</v>
      </c>
      <c r="J249" s="2" t="s">
        <v>639</v>
      </c>
    </row>
    <row r="250" customFormat="false" ht="15" hidden="false" customHeight="false" outlineLevel="0" collapsed="false">
      <c r="A250" s="2" t="s">
        <v>683</v>
      </c>
      <c r="B250" s="2" t="s">
        <v>684</v>
      </c>
      <c r="C250" s="14" t="n">
        <v>30</v>
      </c>
      <c r="D250" s="14" t="n">
        <v>23</v>
      </c>
      <c r="E250" s="14" t="n">
        <v>15</v>
      </c>
      <c r="F250" s="2" t="s">
        <v>510</v>
      </c>
      <c r="G250" s="11" t="s">
        <v>41</v>
      </c>
      <c r="H250" s="2" t="s">
        <v>685</v>
      </c>
      <c r="I250" s="8" t="s">
        <v>686</v>
      </c>
      <c r="J250" s="2" t="s">
        <v>639</v>
      </c>
    </row>
    <row r="251" customFormat="false" ht="15" hidden="false" customHeight="false" outlineLevel="0" collapsed="false">
      <c r="A251" s="2" t="s">
        <v>687</v>
      </c>
      <c r="B251" s="2" t="s">
        <v>688</v>
      </c>
      <c r="C251" s="9" t="n">
        <v>0.25</v>
      </c>
      <c r="D251" s="9" t="n">
        <v>0.3</v>
      </c>
      <c r="E251" s="9" t="n">
        <v>0.35</v>
      </c>
      <c r="F251" s="2" t="s">
        <v>46</v>
      </c>
      <c r="G251" s="7" t="s">
        <v>25</v>
      </c>
      <c r="H251" s="2"/>
      <c r="I251" s="8"/>
      <c r="J251" s="2" t="s">
        <v>639</v>
      </c>
    </row>
    <row r="252" customFormat="false" ht="15" hidden="false" customHeight="false" outlineLevel="0" collapsed="false">
      <c r="A252" s="2" t="s">
        <v>689</v>
      </c>
      <c r="B252" s="2" t="s">
        <v>690</v>
      </c>
      <c r="C252" s="6" t="n">
        <v>1600</v>
      </c>
      <c r="D252" s="6" t="n">
        <v>1800</v>
      </c>
      <c r="E252" s="6" t="n">
        <v>2200</v>
      </c>
      <c r="F252" s="2" t="s">
        <v>691</v>
      </c>
      <c r="G252" s="11" t="s">
        <v>41</v>
      </c>
      <c r="H252" s="2" t="s">
        <v>675</v>
      </c>
      <c r="I252" s="8"/>
      <c r="J252" s="2" t="s">
        <v>639</v>
      </c>
    </row>
    <row r="253" customFormat="false" ht="15" hidden="false" customHeight="false" outlineLevel="0" collapsed="false">
      <c r="A253" s="2" t="s">
        <v>692</v>
      </c>
      <c r="B253" s="2" t="s">
        <v>693</v>
      </c>
      <c r="C253" s="9" t="n">
        <v>0.15</v>
      </c>
      <c r="D253" s="9" t="n">
        <v>0.2</v>
      </c>
      <c r="E253" s="9" t="n">
        <v>0.25</v>
      </c>
      <c r="F253" s="2" t="s">
        <v>694</v>
      </c>
      <c r="G253" s="7" t="s">
        <v>25</v>
      </c>
      <c r="H253" s="2"/>
      <c r="I253" s="8"/>
      <c r="J253" s="2" t="s">
        <v>639</v>
      </c>
    </row>
    <row r="254" customFormat="false" ht="35.05" hidden="false" customHeight="false" outlineLevel="0" collapsed="false">
      <c r="A254" s="2" t="s">
        <v>695</v>
      </c>
      <c r="B254" s="2" t="s">
        <v>696</v>
      </c>
      <c r="C254" s="6" t="n">
        <v>10.9</v>
      </c>
      <c r="D254" s="6" t="n">
        <v>8</v>
      </c>
      <c r="E254" s="6" t="n">
        <v>6.8</v>
      </c>
      <c r="F254" s="2" t="s">
        <v>697</v>
      </c>
      <c r="G254" s="12" t="s">
        <v>47</v>
      </c>
      <c r="H254" s="2" t="s">
        <v>698</v>
      </c>
      <c r="I254" s="8" t="s">
        <v>699</v>
      </c>
      <c r="J254" s="2" t="s">
        <v>639</v>
      </c>
    </row>
    <row r="255" customFormat="false" ht="15" hidden="false" customHeight="false" outlineLevel="0" collapsed="false">
      <c r="A255" s="2" t="s">
        <v>700</v>
      </c>
      <c r="B255" s="2" t="s">
        <v>701</v>
      </c>
      <c r="C255" s="14" t="n">
        <v>800</v>
      </c>
      <c r="D255" s="14" t="n">
        <v>600</v>
      </c>
      <c r="E255" s="14" t="n">
        <v>400</v>
      </c>
      <c r="F255" s="2" t="s">
        <v>702</v>
      </c>
      <c r="G255" s="7" t="s">
        <v>25</v>
      </c>
      <c r="H255" s="2"/>
      <c r="I255" s="8"/>
      <c r="J255" s="2" t="s">
        <v>639</v>
      </c>
    </row>
    <row r="256" customFormat="false" ht="15" hidden="false" customHeight="false" outlineLevel="0" collapsed="false">
      <c r="A256" s="2" t="s">
        <v>703</v>
      </c>
      <c r="B256" s="2" t="s">
        <v>704</v>
      </c>
      <c r="C256" s="9" t="n">
        <v>0.03</v>
      </c>
      <c r="D256" s="9" t="n">
        <v>0.05</v>
      </c>
      <c r="E256" s="9" t="n">
        <v>0.1</v>
      </c>
      <c r="F256" s="2" t="s">
        <v>46</v>
      </c>
      <c r="G256" s="7" t="s">
        <v>25</v>
      </c>
      <c r="H256" s="2"/>
      <c r="I256" s="8"/>
      <c r="J256" s="2" t="s">
        <v>639</v>
      </c>
    </row>
    <row r="257" customFormat="false" ht="23.85" hidden="false" customHeight="false" outlineLevel="0" collapsed="false">
      <c r="A257" s="2" t="s">
        <v>705</v>
      </c>
      <c r="B257" s="2" t="s">
        <v>706</v>
      </c>
      <c r="C257" s="14" t="n">
        <v>40</v>
      </c>
      <c r="D257" s="14" t="n">
        <v>20</v>
      </c>
      <c r="E257" s="14" t="n">
        <v>0</v>
      </c>
      <c r="F257" s="2" t="s">
        <v>707</v>
      </c>
      <c r="G257" s="7" t="s">
        <v>25</v>
      </c>
      <c r="H257" s="2" t="s">
        <v>708</v>
      </c>
      <c r="I257" s="8" t="s">
        <v>709</v>
      </c>
      <c r="J257" s="2" t="s">
        <v>639</v>
      </c>
    </row>
    <row r="258" customFormat="false" ht="15" hidden="false" customHeight="false" outlineLevel="0" collapsed="false">
      <c r="A258" s="2" t="s">
        <v>710</v>
      </c>
      <c r="B258" s="2" t="s">
        <v>711</v>
      </c>
      <c r="C258" s="9" t="n">
        <v>0.45</v>
      </c>
      <c r="D258" s="9" t="n">
        <v>0.35</v>
      </c>
      <c r="E258" s="9" t="n">
        <v>0.25</v>
      </c>
      <c r="F258" s="2" t="s">
        <v>46</v>
      </c>
      <c r="G258" s="7" t="s">
        <v>25</v>
      </c>
      <c r="H258" s="2"/>
      <c r="I258" s="8"/>
      <c r="J258" s="2" t="s">
        <v>639</v>
      </c>
    </row>
    <row r="259" customFormat="false" ht="15" hidden="false" customHeight="false" outlineLevel="0" collapsed="false">
      <c r="A259" s="2" t="s">
        <v>712</v>
      </c>
      <c r="B259" s="2" t="s">
        <v>713</v>
      </c>
      <c r="C259" s="14" t="n">
        <v>25</v>
      </c>
      <c r="D259" s="14" t="n">
        <v>20</v>
      </c>
      <c r="E259" s="14" t="n">
        <v>15</v>
      </c>
      <c r="F259" s="2" t="s">
        <v>714</v>
      </c>
      <c r="G259" s="7" t="s">
        <v>25</v>
      </c>
      <c r="H259" s="2"/>
      <c r="I259" s="8"/>
      <c r="J259" s="2" t="s">
        <v>639</v>
      </c>
    </row>
    <row r="260" customFormat="false" ht="15" hidden="false" customHeight="false" outlineLevel="0" collapsed="false">
      <c r="A260" s="2" t="s">
        <v>715</v>
      </c>
      <c r="B260" s="2" t="s">
        <v>716</v>
      </c>
      <c r="C260" s="6" t="n">
        <v>100</v>
      </c>
      <c r="D260" s="6" t="n">
        <v>95</v>
      </c>
      <c r="E260" s="6" t="n">
        <v>85</v>
      </c>
      <c r="F260" s="2" t="s">
        <v>717</v>
      </c>
      <c r="G260" s="12" t="s">
        <v>47</v>
      </c>
      <c r="H260" s="2" t="s">
        <v>718</v>
      </c>
      <c r="I260" s="8"/>
      <c r="J260" s="2" t="s">
        <v>639</v>
      </c>
    </row>
    <row r="261" customFormat="false" ht="15" hidden="false" customHeight="false" outlineLevel="0" collapsed="false">
      <c r="A261" s="2" t="s">
        <v>719</v>
      </c>
      <c r="B261" s="2" t="s">
        <v>720</v>
      </c>
      <c r="C261" s="6" t="n">
        <v>20000</v>
      </c>
      <c r="D261" s="6" t="n">
        <v>20000</v>
      </c>
      <c r="E261" s="6" t="n">
        <v>20000</v>
      </c>
      <c r="F261" s="2" t="s">
        <v>492</v>
      </c>
      <c r="G261" s="7" t="s">
        <v>25</v>
      </c>
      <c r="H261" s="2"/>
      <c r="I261" s="8"/>
      <c r="J261" s="2" t="s">
        <v>639</v>
      </c>
    </row>
    <row r="262" customFormat="false" ht="15" hidden="false" customHeight="false" outlineLevel="0" collapsed="false">
      <c r="A262" s="2" t="s">
        <v>721</v>
      </c>
      <c r="B262" s="2" t="s">
        <v>722</v>
      </c>
      <c r="C262" s="9" t="n">
        <v>0.95</v>
      </c>
      <c r="D262" s="9" t="n">
        <v>0.8</v>
      </c>
      <c r="E262" s="9" t="n">
        <v>0.5</v>
      </c>
      <c r="F262" s="2" t="s">
        <v>46</v>
      </c>
      <c r="G262" s="7" t="s">
        <v>25</v>
      </c>
      <c r="H262" s="2"/>
      <c r="I262" s="8"/>
      <c r="J262" s="2" t="s">
        <v>639</v>
      </c>
    </row>
    <row r="263" customFormat="false" ht="15" hidden="false" customHeight="false" outlineLevel="0" collapsed="false">
      <c r="A263" s="2" t="s">
        <v>723</v>
      </c>
      <c r="B263" s="2" t="s">
        <v>724</v>
      </c>
      <c r="C263" s="14" t="n">
        <v>25</v>
      </c>
      <c r="D263" s="14" t="n">
        <v>20</v>
      </c>
      <c r="E263" s="14" t="n">
        <v>15</v>
      </c>
      <c r="F263" s="2" t="s">
        <v>646</v>
      </c>
      <c r="G263" s="7" t="s">
        <v>25</v>
      </c>
      <c r="H263" s="2"/>
      <c r="I263" s="8"/>
      <c r="J263" s="2" t="s">
        <v>639</v>
      </c>
    </row>
    <row r="264" customFormat="false" ht="15" hidden="false" customHeight="false" outlineLevel="0" collapsed="false">
      <c r="A264" s="2" t="s">
        <v>725</v>
      </c>
      <c r="B264" s="2" t="s">
        <v>726</v>
      </c>
      <c r="C264" s="6" t="n">
        <v>460</v>
      </c>
      <c r="D264" s="6" t="n">
        <v>375</v>
      </c>
      <c r="E264" s="6" t="n">
        <v>290</v>
      </c>
      <c r="F264" s="2" t="s">
        <v>649</v>
      </c>
      <c r="G264" s="11" t="s">
        <v>41</v>
      </c>
      <c r="H264" s="2" t="s">
        <v>727</v>
      </c>
      <c r="I264" s="8" t="s">
        <v>728</v>
      </c>
      <c r="J264" s="2" t="s">
        <v>639</v>
      </c>
    </row>
    <row r="265" customFormat="false" ht="15" hidden="false" customHeight="false" outlineLevel="0" collapsed="false">
      <c r="A265" s="2" t="s">
        <v>729</v>
      </c>
      <c r="B265" s="2" t="s">
        <v>730</v>
      </c>
      <c r="C265" s="9" t="n">
        <v>0.02</v>
      </c>
      <c r="D265" s="9" t="n">
        <v>0.025</v>
      </c>
      <c r="E265" s="9" t="n">
        <v>0.035</v>
      </c>
      <c r="F265" s="2" t="s">
        <v>99</v>
      </c>
      <c r="G265" s="7" t="s">
        <v>25</v>
      </c>
      <c r="H265" s="2"/>
      <c r="I265" s="8"/>
      <c r="J265" s="2" t="s">
        <v>639</v>
      </c>
    </row>
    <row r="266" customFormat="false" ht="23.85" hidden="false" customHeight="false" outlineLevel="0" collapsed="false">
      <c r="A266" s="2" t="s">
        <v>731</v>
      </c>
      <c r="B266" s="2" t="s">
        <v>732</v>
      </c>
      <c r="C266" s="14" t="n">
        <v>6</v>
      </c>
      <c r="D266" s="14" t="n">
        <v>2</v>
      </c>
      <c r="E266" s="14" t="n">
        <v>0</v>
      </c>
      <c r="F266" s="2" t="s">
        <v>707</v>
      </c>
      <c r="G266" s="7" t="s">
        <v>25</v>
      </c>
      <c r="H266" s="2" t="s">
        <v>733</v>
      </c>
      <c r="I266" s="8" t="s">
        <v>734</v>
      </c>
      <c r="J266" s="2" t="s">
        <v>639</v>
      </c>
    </row>
    <row r="267" customFormat="false" ht="23.85" hidden="false" customHeight="false" outlineLevel="0" collapsed="false">
      <c r="A267" s="2" t="s">
        <v>735</v>
      </c>
      <c r="B267" s="2" t="s">
        <v>736</v>
      </c>
      <c r="C267" s="6" t="n">
        <v>5500</v>
      </c>
      <c r="D267" s="6" t="n">
        <v>3500</v>
      </c>
      <c r="E267" s="6" t="n">
        <v>2500</v>
      </c>
      <c r="F267" s="2" t="s">
        <v>737</v>
      </c>
      <c r="G267" s="12" t="s">
        <v>47</v>
      </c>
      <c r="H267" s="2" t="s">
        <v>738</v>
      </c>
      <c r="I267" s="8" t="s">
        <v>739</v>
      </c>
      <c r="J267" s="2" t="s">
        <v>639</v>
      </c>
    </row>
    <row r="268" customFormat="false" ht="15" hidden="false" customHeight="false" outlineLevel="0" collapsed="false">
      <c r="A268" s="2" t="s">
        <v>740</v>
      </c>
      <c r="B268" s="2" t="s">
        <v>741</v>
      </c>
      <c r="C268" s="9" t="n">
        <v>0.15</v>
      </c>
      <c r="D268" s="9" t="n">
        <v>0.15</v>
      </c>
      <c r="E268" s="9" t="n">
        <v>0.15</v>
      </c>
      <c r="F268" s="2" t="s">
        <v>46</v>
      </c>
      <c r="G268" s="7" t="s">
        <v>25</v>
      </c>
      <c r="H268" s="2"/>
      <c r="I268" s="8"/>
      <c r="J268" s="2" t="s">
        <v>639</v>
      </c>
    </row>
    <row r="269" customFormat="false" ht="15" hidden="false" customHeight="false" outlineLevel="0" collapsed="false">
      <c r="A269" s="5" t="s">
        <v>742</v>
      </c>
    </row>
    <row r="270" customFormat="false" ht="15" hidden="false" customHeight="false" outlineLevel="0" collapsed="false">
      <c r="A270" s="2" t="s">
        <v>743</v>
      </c>
      <c r="B270" s="2" t="s">
        <v>744</v>
      </c>
      <c r="C270" s="6" t="n">
        <v>0</v>
      </c>
      <c r="D270" s="6" t="n">
        <v>0</v>
      </c>
      <c r="E270" s="6" t="n">
        <v>0</v>
      </c>
      <c r="F270" s="2" t="s">
        <v>532</v>
      </c>
      <c r="G270" s="7" t="s">
        <v>25</v>
      </c>
      <c r="H270" s="2"/>
      <c r="I270" s="8"/>
      <c r="J270" s="2" t="s">
        <v>745</v>
      </c>
    </row>
    <row r="271" customFormat="false" ht="15" hidden="false" customHeight="false" outlineLevel="0" collapsed="false">
      <c r="A271" s="2" t="s">
        <v>746</v>
      </c>
      <c r="B271" s="2" t="s">
        <v>747</v>
      </c>
      <c r="C271" s="6" t="n">
        <v>0</v>
      </c>
      <c r="D271" s="6" t="n">
        <v>0</v>
      </c>
      <c r="E271" s="6" t="n">
        <v>0</v>
      </c>
      <c r="F271" s="2" t="s">
        <v>532</v>
      </c>
      <c r="G271" s="7" t="s">
        <v>25</v>
      </c>
      <c r="H271" s="2"/>
      <c r="I271" s="8"/>
      <c r="J271" s="2" t="s">
        <v>745</v>
      </c>
    </row>
    <row r="272" customFormat="false" ht="35.05" hidden="false" customHeight="false" outlineLevel="0" collapsed="false">
      <c r="A272" s="2" t="s">
        <v>748</v>
      </c>
      <c r="B272" s="2" t="s">
        <v>749</v>
      </c>
      <c r="C272" s="6" t="n">
        <v>62277</v>
      </c>
      <c r="D272" s="6" t="n">
        <v>79253</v>
      </c>
      <c r="E272" s="6" t="n">
        <v>96730</v>
      </c>
      <c r="F272" s="2" t="s">
        <v>532</v>
      </c>
      <c r="G272" s="11" t="s">
        <v>41</v>
      </c>
      <c r="H272" s="2" t="s">
        <v>750</v>
      </c>
      <c r="I272" s="8" t="s">
        <v>751</v>
      </c>
      <c r="J272" s="2" t="s">
        <v>745</v>
      </c>
    </row>
    <row r="273" customFormat="false" ht="15" hidden="false" customHeight="false" outlineLevel="0" collapsed="false">
      <c r="A273" s="2" t="s">
        <v>752</v>
      </c>
      <c r="B273" s="2" t="s">
        <v>753</v>
      </c>
      <c r="C273" s="6" t="n">
        <v>37863</v>
      </c>
      <c r="D273" s="6" t="n">
        <v>40776</v>
      </c>
      <c r="E273" s="6" t="n">
        <v>43688</v>
      </c>
      <c r="F273" s="2" t="s">
        <v>532</v>
      </c>
      <c r="G273" s="11" t="s">
        <v>41</v>
      </c>
      <c r="H273" s="2" t="s">
        <v>754</v>
      </c>
      <c r="I273" s="8"/>
      <c r="J273" s="2" t="s">
        <v>745</v>
      </c>
    </row>
    <row r="274" customFormat="false" ht="46.25" hidden="false" customHeight="false" outlineLevel="0" collapsed="false">
      <c r="A274" s="2" t="s">
        <v>755</v>
      </c>
      <c r="B274" s="2" t="s">
        <v>756</v>
      </c>
      <c r="C274" s="6" t="n">
        <v>79253</v>
      </c>
      <c r="D274" s="6" t="n">
        <v>96730</v>
      </c>
      <c r="E274" s="6" t="n">
        <v>115000</v>
      </c>
      <c r="F274" s="2" t="s">
        <v>532</v>
      </c>
      <c r="G274" s="11" t="s">
        <v>41</v>
      </c>
      <c r="H274" s="2" t="s">
        <v>533</v>
      </c>
      <c r="I274" s="8" t="s">
        <v>757</v>
      </c>
      <c r="J274" s="2" t="s">
        <v>745</v>
      </c>
    </row>
    <row r="275" customFormat="false" ht="23.85" hidden="false" customHeight="false" outlineLevel="0" collapsed="false">
      <c r="A275" s="2" t="s">
        <v>758</v>
      </c>
      <c r="B275" s="2" t="s">
        <v>759</v>
      </c>
      <c r="C275" s="6" t="n">
        <v>50000</v>
      </c>
      <c r="D275" s="6" t="n">
        <v>58251</v>
      </c>
      <c r="E275" s="6" t="n">
        <v>66000</v>
      </c>
      <c r="F275" s="2" t="s">
        <v>532</v>
      </c>
      <c r="G275" s="11" t="s">
        <v>41</v>
      </c>
      <c r="H275" s="2" t="s">
        <v>754</v>
      </c>
      <c r="I275" s="8" t="s">
        <v>760</v>
      </c>
      <c r="J275" s="2" t="s">
        <v>745</v>
      </c>
    </row>
    <row r="276" customFormat="false" ht="35.05" hidden="false" customHeight="false" outlineLevel="0" collapsed="false">
      <c r="A276" s="2" t="s">
        <v>761</v>
      </c>
      <c r="B276" s="2" t="s">
        <v>762</v>
      </c>
      <c r="C276" s="6" t="n">
        <v>40479</v>
      </c>
      <c r="D276" s="6" t="n">
        <v>44289</v>
      </c>
      <c r="E276" s="6" t="n">
        <v>48000</v>
      </c>
      <c r="F276" s="2" t="s">
        <v>532</v>
      </c>
      <c r="G276" s="11" t="s">
        <v>41</v>
      </c>
      <c r="H276" s="2" t="s">
        <v>763</v>
      </c>
      <c r="I276" s="8" t="s">
        <v>751</v>
      </c>
      <c r="J276" s="2" t="s">
        <v>745</v>
      </c>
    </row>
    <row r="277" customFormat="false" ht="35.05" hidden="false" customHeight="false" outlineLevel="0" collapsed="false">
      <c r="A277" s="2" t="s">
        <v>764</v>
      </c>
      <c r="B277" s="2" t="s">
        <v>765</v>
      </c>
      <c r="C277" s="6" t="n">
        <v>32531</v>
      </c>
      <c r="D277" s="6" t="n">
        <v>36566</v>
      </c>
      <c r="E277" s="6" t="n">
        <v>40479</v>
      </c>
      <c r="F277" s="2" t="s">
        <v>532</v>
      </c>
      <c r="G277" s="11" t="s">
        <v>41</v>
      </c>
      <c r="H277" s="2" t="s">
        <v>533</v>
      </c>
      <c r="I277" s="8" t="s">
        <v>751</v>
      </c>
      <c r="J277" s="2" t="s">
        <v>745</v>
      </c>
    </row>
    <row r="278" customFormat="false" ht="35.05" hidden="false" customHeight="false" outlineLevel="0" collapsed="false">
      <c r="A278" s="2" t="s">
        <v>766</v>
      </c>
      <c r="B278" s="2" t="s">
        <v>767</v>
      </c>
      <c r="C278" s="6" t="n">
        <v>44289</v>
      </c>
      <c r="D278" s="6" t="n">
        <v>53470</v>
      </c>
      <c r="E278" s="6" t="n">
        <v>62277</v>
      </c>
      <c r="F278" s="2" t="s">
        <v>532</v>
      </c>
      <c r="G278" s="11" t="s">
        <v>41</v>
      </c>
      <c r="H278" s="2" t="s">
        <v>750</v>
      </c>
      <c r="I278" s="8" t="s">
        <v>751</v>
      </c>
      <c r="J278" s="2" t="s">
        <v>745</v>
      </c>
    </row>
    <row r="279" customFormat="false" ht="46.25" hidden="false" customHeight="false" outlineLevel="0" collapsed="false">
      <c r="A279" s="2" t="s">
        <v>768</v>
      </c>
      <c r="B279" s="2" t="s">
        <v>769</v>
      </c>
      <c r="C279" s="6" t="n">
        <v>28346</v>
      </c>
      <c r="D279" s="13" t="n">
        <v>32531</v>
      </c>
      <c r="E279" s="6" t="n">
        <v>36566</v>
      </c>
      <c r="F279" s="2" t="s">
        <v>532</v>
      </c>
      <c r="G279" s="11" t="s">
        <v>41</v>
      </c>
      <c r="H279" s="2" t="s">
        <v>750</v>
      </c>
      <c r="I279" s="8" t="s">
        <v>770</v>
      </c>
      <c r="J279" s="2" t="s">
        <v>745</v>
      </c>
    </row>
    <row r="280" customFormat="false" ht="23.85" hidden="false" customHeight="false" outlineLevel="0" collapsed="false">
      <c r="A280" s="2" t="s">
        <v>771</v>
      </c>
      <c r="B280" s="2" t="s">
        <v>772</v>
      </c>
      <c r="C280" s="6" t="n">
        <v>29125</v>
      </c>
      <c r="D280" s="6" t="n">
        <v>32038</v>
      </c>
      <c r="E280" s="6" t="n">
        <v>34950</v>
      </c>
      <c r="F280" s="2" t="s">
        <v>532</v>
      </c>
      <c r="G280" s="11" t="s">
        <v>41</v>
      </c>
      <c r="H280" s="2" t="s">
        <v>754</v>
      </c>
      <c r="I280" s="8" t="s">
        <v>773</v>
      </c>
      <c r="J280" s="2" t="s">
        <v>745</v>
      </c>
    </row>
    <row r="281" customFormat="false" ht="35.05" hidden="false" customHeight="false" outlineLevel="0" collapsed="false">
      <c r="A281" s="2" t="s">
        <v>774</v>
      </c>
      <c r="B281" s="2" t="s">
        <v>775</v>
      </c>
      <c r="C281" s="6" t="n">
        <v>28346</v>
      </c>
      <c r="D281" s="6" t="n">
        <v>32531</v>
      </c>
      <c r="E281" s="6" t="n">
        <v>36566</v>
      </c>
      <c r="F281" s="2" t="s">
        <v>532</v>
      </c>
      <c r="G281" s="11" t="s">
        <v>41</v>
      </c>
      <c r="H281" s="2" t="s">
        <v>776</v>
      </c>
      <c r="I281" s="8" t="s">
        <v>751</v>
      </c>
      <c r="J281" s="2" t="s">
        <v>745</v>
      </c>
    </row>
    <row r="282" customFormat="false" ht="35.05" hidden="false" customHeight="false" outlineLevel="0" collapsed="false">
      <c r="A282" s="2" t="s">
        <v>777</v>
      </c>
      <c r="B282" s="2" t="s">
        <v>778</v>
      </c>
      <c r="C282" s="6" t="n">
        <v>36566</v>
      </c>
      <c r="D282" s="6" t="n">
        <v>40479</v>
      </c>
      <c r="E282" s="6" t="n">
        <v>44289</v>
      </c>
      <c r="F282" s="2" t="s">
        <v>532</v>
      </c>
      <c r="G282" s="11" t="s">
        <v>41</v>
      </c>
      <c r="H282" s="2" t="s">
        <v>763</v>
      </c>
      <c r="I282" s="8" t="s">
        <v>751</v>
      </c>
      <c r="J282" s="2" t="s">
        <v>745</v>
      </c>
    </row>
    <row r="283" customFormat="false" ht="35.05" hidden="false" customHeight="false" outlineLevel="0" collapsed="false">
      <c r="A283" s="2" t="s">
        <v>779</v>
      </c>
      <c r="B283" s="2" t="s">
        <v>780</v>
      </c>
      <c r="C283" s="6" t="n">
        <v>23853</v>
      </c>
      <c r="D283" s="6" t="n">
        <v>23973</v>
      </c>
      <c r="E283" s="6" t="n">
        <v>28216</v>
      </c>
      <c r="F283" s="2" t="s">
        <v>532</v>
      </c>
      <c r="G283" s="11" t="s">
        <v>41</v>
      </c>
      <c r="H283" s="2" t="s">
        <v>763</v>
      </c>
      <c r="I283" s="8" t="s">
        <v>751</v>
      </c>
      <c r="J283" s="2" t="s">
        <v>745</v>
      </c>
    </row>
    <row r="284" customFormat="false" ht="15" hidden="false" customHeight="false" outlineLevel="0" collapsed="false">
      <c r="A284" s="5" t="s">
        <v>781</v>
      </c>
    </row>
    <row r="285" customFormat="false" ht="46.25" hidden="false" customHeight="false" outlineLevel="0" collapsed="false">
      <c r="A285" s="2" t="s">
        <v>782</v>
      </c>
      <c r="B285" s="2" t="s">
        <v>783</v>
      </c>
      <c r="C285" s="14" t="n">
        <v>0</v>
      </c>
      <c r="D285" s="14" t="n">
        <v>0</v>
      </c>
      <c r="E285" s="14" t="n">
        <v>0</v>
      </c>
      <c r="F285" s="2" t="s">
        <v>784</v>
      </c>
      <c r="G285" s="7" t="s">
        <v>25</v>
      </c>
      <c r="H285" s="2" t="s">
        <v>431</v>
      </c>
      <c r="I285" s="8" t="s">
        <v>785</v>
      </c>
      <c r="J285" s="2" t="s">
        <v>786</v>
      </c>
    </row>
    <row r="286" customFormat="false" ht="46.25" hidden="false" customHeight="false" outlineLevel="0" collapsed="false">
      <c r="A286" s="2" t="s">
        <v>787</v>
      </c>
      <c r="B286" s="2" t="s">
        <v>788</v>
      </c>
      <c r="C286" s="14" t="n">
        <v>0</v>
      </c>
      <c r="D286" s="14" t="n">
        <v>0</v>
      </c>
      <c r="E286" s="14" t="n">
        <v>0</v>
      </c>
      <c r="F286" s="2" t="s">
        <v>784</v>
      </c>
      <c r="G286" s="7" t="s">
        <v>25</v>
      </c>
      <c r="H286" s="2" t="s">
        <v>431</v>
      </c>
      <c r="I286" s="8" t="s">
        <v>785</v>
      </c>
      <c r="J286" s="2" t="s">
        <v>786</v>
      </c>
    </row>
    <row r="287" customFormat="false" ht="46.25" hidden="false" customHeight="false" outlineLevel="0" collapsed="false">
      <c r="A287" s="2" t="s">
        <v>789</v>
      </c>
      <c r="B287" s="2" t="s">
        <v>790</v>
      </c>
      <c r="C287" s="14" t="n">
        <v>0</v>
      </c>
      <c r="D287" s="14" t="n">
        <v>0</v>
      </c>
      <c r="E287" s="14" t="n">
        <v>0</v>
      </c>
      <c r="F287" s="2" t="s">
        <v>784</v>
      </c>
      <c r="G287" s="7" t="s">
        <v>25</v>
      </c>
      <c r="H287" s="2" t="s">
        <v>431</v>
      </c>
      <c r="I287" s="8" t="s">
        <v>785</v>
      </c>
      <c r="J287" s="2" t="s">
        <v>786</v>
      </c>
    </row>
    <row r="288" customFormat="false" ht="46.25" hidden="false" customHeight="false" outlineLevel="0" collapsed="false">
      <c r="A288" s="2" t="s">
        <v>791</v>
      </c>
      <c r="B288" s="2" t="s">
        <v>792</v>
      </c>
      <c r="C288" s="14" t="n">
        <v>0</v>
      </c>
      <c r="D288" s="14" t="n">
        <v>0</v>
      </c>
      <c r="E288" s="14" t="n">
        <v>0</v>
      </c>
      <c r="F288" s="2" t="s">
        <v>784</v>
      </c>
      <c r="G288" s="7" t="s">
        <v>25</v>
      </c>
      <c r="H288" s="2" t="s">
        <v>431</v>
      </c>
      <c r="I288" s="8" t="s">
        <v>785</v>
      </c>
      <c r="J288" s="2" t="s">
        <v>786</v>
      </c>
    </row>
    <row r="289" customFormat="false" ht="46.25" hidden="false" customHeight="false" outlineLevel="0" collapsed="false">
      <c r="A289" s="2" t="s">
        <v>793</v>
      </c>
      <c r="B289" s="2" t="s">
        <v>794</v>
      </c>
      <c r="C289" s="14" t="n">
        <v>0</v>
      </c>
      <c r="D289" s="14" t="n">
        <v>0</v>
      </c>
      <c r="E289" s="14" t="n">
        <v>0</v>
      </c>
      <c r="F289" s="2" t="s">
        <v>784</v>
      </c>
      <c r="G289" s="7" t="s">
        <v>25</v>
      </c>
      <c r="H289" s="2" t="s">
        <v>431</v>
      </c>
      <c r="I289" s="8" t="s">
        <v>785</v>
      </c>
      <c r="J289" s="2" t="s">
        <v>786</v>
      </c>
    </row>
    <row r="290" customFormat="false" ht="46.25" hidden="false" customHeight="false" outlineLevel="0" collapsed="false">
      <c r="A290" s="2" t="s">
        <v>795</v>
      </c>
      <c r="B290" s="2" t="s">
        <v>796</v>
      </c>
      <c r="C290" s="14" t="n">
        <v>0</v>
      </c>
      <c r="D290" s="14" t="n">
        <v>0</v>
      </c>
      <c r="E290" s="14" t="n">
        <v>0</v>
      </c>
      <c r="F290" s="2" t="s">
        <v>784</v>
      </c>
      <c r="G290" s="7" t="s">
        <v>25</v>
      </c>
      <c r="H290" s="2" t="s">
        <v>431</v>
      </c>
      <c r="I290" s="8" t="s">
        <v>785</v>
      </c>
      <c r="J290" s="2" t="s">
        <v>786</v>
      </c>
    </row>
    <row r="291" customFormat="false" ht="46.25" hidden="false" customHeight="false" outlineLevel="0" collapsed="false">
      <c r="A291" s="2" t="s">
        <v>797</v>
      </c>
      <c r="B291" s="2" t="s">
        <v>798</v>
      </c>
      <c r="C291" s="14" t="n">
        <v>1</v>
      </c>
      <c r="D291" s="14" t="n">
        <v>1</v>
      </c>
      <c r="E291" s="14" t="n">
        <v>1</v>
      </c>
      <c r="F291" s="2" t="s">
        <v>784</v>
      </c>
      <c r="G291" s="7" t="s">
        <v>25</v>
      </c>
      <c r="H291" s="2" t="s">
        <v>799</v>
      </c>
      <c r="I291" s="8" t="s">
        <v>785</v>
      </c>
      <c r="J291" s="2" t="s">
        <v>786</v>
      </c>
    </row>
    <row r="292" customFormat="false" ht="46.25" hidden="false" customHeight="false" outlineLevel="0" collapsed="false">
      <c r="A292" s="2" t="s">
        <v>800</v>
      </c>
      <c r="B292" s="2" t="s">
        <v>801</v>
      </c>
      <c r="C292" s="14" t="n">
        <v>0.5</v>
      </c>
      <c r="D292" s="14" t="n">
        <v>0.5</v>
      </c>
      <c r="E292" s="14" t="n">
        <v>0.5</v>
      </c>
      <c r="F292" s="2" t="s">
        <v>784</v>
      </c>
      <c r="G292" s="7" t="s">
        <v>25</v>
      </c>
      <c r="H292" s="2" t="s">
        <v>431</v>
      </c>
      <c r="I292" s="8" t="s">
        <v>785</v>
      </c>
      <c r="J292" s="2" t="s">
        <v>786</v>
      </c>
    </row>
    <row r="293" customFormat="false" ht="46.25" hidden="false" customHeight="false" outlineLevel="0" collapsed="false">
      <c r="A293" s="2" t="s">
        <v>802</v>
      </c>
      <c r="B293" s="2" t="s">
        <v>803</v>
      </c>
      <c r="C293" s="14" t="n">
        <v>0</v>
      </c>
      <c r="D293" s="14" t="n">
        <v>0</v>
      </c>
      <c r="E293" s="14" t="n">
        <v>0</v>
      </c>
      <c r="F293" s="2" t="s">
        <v>784</v>
      </c>
      <c r="G293" s="7" t="s">
        <v>25</v>
      </c>
      <c r="H293" s="2" t="s">
        <v>431</v>
      </c>
      <c r="I293" s="8" t="s">
        <v>785</v>
      </c>
      <c r="J293" s="2" t="s">
        <v>786</v>
      </c>
    </row>
    <row r="294" customFormat="false" ht="46.25" hidden="false" customHeight="false" outlineLevel="0" collapsed="false">
      <c r="A294" s="2" t="s">
        <v>804</v>
      </c>
      <c r="B294" s="2" t="s">
        <v>805</v>
      </c>
      <c r="C294" s="14" t="n">
        <v>1</v>
      </c>
      <c r="D294" s="14" t="n">
        <v>1</v>
      </c>
      <c r="E294" s="14" t="n">
        <v>1</v>
      </c>
      <c r="F294" s="2" t="s">
        <v>784</v>
      </c>
      <c r="G294" s="7" t="s">
        <v>25</v>
      </c>
      <c r="H294" s="2" t="s">
        <v>431</v>
      </c>
      <c r="I294" s="8" t="s">
        <v>785</v>
      </c>
      <c r="J294" s="2" t="s">
        <v>786</v>
      </c>
    </row>
    <row r="295" customFormat="false" ht="46.25" hidden="false" customHeight="false" outlineLevel="0" collapsed="false">
      <c r="A295" s="2" t="s">
        <v>806</v>
      </c>
      <c r="B295" s="2" t="s">
        <v>807</v>
      </c>
      <c r="C295" s="14" t="n">
        <v>0</v>
      </c>
      <c r="D295" s="14" t="n">
        <v>0</v>
      </c>
      <c r="E295" s="14" t="n">
        <v>0</v>
      </c>
      <c r="F295" s="2" t="s">
        <v>784</v>
      </c>
      <c r="G295" s="7" t="s">
        <v>25</v>
      </c>
      <c r="H295" s="2" t="s">
        <v>431</v>
      </c>
      <c r="I295" s="8" t="s">
        <v>785</v>
      </c>
      <c r="J295" s="2" t="s">
        <v>786</v>
      </c>
    </row>
    <row r="296" customFormat="false" ht="46.25" hidden="false" customHeight="false" outlineLevel="0" collapsed="false">
      <c r="A296" s="2" t="s">
        <v>808</v>
      </c>
      <c r="B296" s="2" t="s">
        <v>809</v>
      </c>
      <c r="C296" s="14" t="n">
        <v>1</v>
      </c>
      <c r="D296" s="14" t="n">
        <v>1</v>
      </c>
      <c r="E296" s="14" t="n">
        <v>1</v>
      </c>
      <c r="F296" s="2" t="s">
        <v>784</v>
      </c>
      <c r="G296" s="7" t="s">
        <v>25</v>
      </c>
      <c r="H296" s="2" t="s">
        <v>431</v>
      </c>
      <c r="I296" s="8" t="s">
        <v>785</v>
      </c>
      <c r="J296" s="2" t="s">
        <v>786</v>
      </c>
    </row>
    <row r="297" customFormat="false" ht="46.25" hidden="false" customHeight="false" outlineLevel="0" collapsed="false">
      <c r="A297" s="2" t="s">
        <v>810</v>
      </c>
      <c r="B297" s="2" t="s">
        <v>811</v>
      </c>
      <c r="C297" s="14" t="n">
        <v>1</v>
      </c>
      <c r="D297" s="14" t="n">
        <v>1</v>
      </c>
      <c r="E297" s="14" t="n">
        <v>1</v>
      </c>
      <c r="F297" s="2" t="s">
        <v>784</v>
      </c>
      <c r="G297" s="7" t="s">
        <v>25</v>
      </c>
      <c r="H297" s="2" t="s">
        <v>431</v>
      </c>
      <c r="I297" s="8" t="s">
        <v>785</v>
      </c>
      <c r="J297" s="2" t="s">
        <v>786</v>
      </c>
    </row>
    <row r="298" customFormat="false" ht="46.25" hidden="false" customHeight="false" outlineLevel="0" collapsed="false">
      <c r="A298" s="2" t="s">
        <v>812</v>
      </c>
      <c r="B298" s="2" t="s">
        <v>813</v>
      </c>
      <c r="C298" s="14" t="n">
        <v>1</v>
      </c>
      <c r="D298" s="14" t="n">
        <v>1</v>
      </c>
      <c r="E298" s="14" t="n">
        <v>1</v>
      </c>
      <c r="F298" s="2" t="s">
        <v>784</v>
      </c>
      <c r="G298" s="7" t="s">
        <v>25</v>
      </c>
      <c r="H298" s="2" t="s">
        <v>431</v>
      </c>
      <c r="I298" s="8" t="s">
        <v>785</v>
      </c>
      <c r="J298" s="2" t="s">
        <v>786</v>
      </c>
    </row>
    <row r="299" customFormat="false" ht="46.25" hidden="false" customHeight="false" outlineLevel="0" collapsed="false">
      <c r="A299" s="2" t="s">
        <v>814</v>
      </c>
      <c r="B299" s="2" t="s">
        <v>815</v>
      </c>
      <c r="C299" s="14" t="n">
        <v>1</v>
      </c>
      <c r="D299" s="14" t="n">
        <v>1</v>
      </c>
      <c r="E299" s="14" t="n">
        <v>1</v>
      </c>
      <c r="F299" s="2" t="s">
        <v>784</v>
      </c>
      <c r="G299" s="7" t="s">
        <v>25</v>
      </c>
      <c r="H299" s="2" t="s">
        <v>431</v>
      </c>
      <c r="I299" s="8" t="s">
        <v>785</v>
      </c>
      <c r="J299" s="2" t="s">
        <v>786</v>
      </c>
    </row>
    <row r="300" customFormat="false" ht="46.25" hidden="false" customHeight="false" outlineLevel="0" collapsed="false">
      <c r="A300" s="2" t="s">
        <v>816</v>
      </c>
      <c r="B300" s="2" t="s">
        <v>817</v>
      </c>
      <c r="C300" s="14" t="n">
        <v>1</v>
      </c>
      <c r="D300" s="14" t="n">
        <v>1</v>
      </c>
      <c r="E300" s="14" t="n">
        <v>1</v>
      </c>
      <c r="F300" s="2" t="s">
        <v>784</v>
      </c>
      <c r="G300" s="7" t="s">
        <v>25</v>
      </c>
      <c r="H300" s="2" t="s">
        <v>431</v>
      </c>
      <c r="I300" s="8" t="s">
        <v>785</v>
      </c>
      <c r="J300" s="2" t="s">
        <v>786</v>
      </c>
    </row>
    <row r="301" customFormat="false" ht="46.25" hidden="false" customHeight="false" outlineLevel="0" collapsed="false">
      <c r="A301" s="2" t="s">
        <v>818</v>
      </c>
      <c r="B301" s="2" t="s">
        <v>819</v>
      </c>
      <c r="C301" s="14" t="n">
        <v>2</v>
      </c>
      <c r="D301" s="14" t="n">
        <v>2</v>
      </c>
      <c r="E301" s="14" t="n">
        <v>2</v>
      </c>
      <c r="F301" s="2" t="s">
        <v>784</v>
      </c>
      <c r="G301" s="7" t="s">
        <v>25</v>
      </c>
      <c r="H301" s="2" t="s">
        <v>799</v>
      </c>
      <c r="I301" s="8" t="s">
        <v>785</v>
      </c>
      <c r="J301" s="2" t="s">
        <v>786</v>
      </c>
    </row>
    <row r="302" customFormat="false" ht="46.25" hidden="false" customHeight="false" outlineLevel="0" collapsed="false">
      <c r="A302" s="2" t="s">
        <v>820</v>
      </c>
      <c r="B302" s="2" t="s">
        <v>821</v>
      </c>
      <c r="C302" s="14" t="n">
        <v>1</v>
      </c>
      <c r="D302" s="14" t="n">
        <v>1</v>
      </c>
      <c r="E302" s="14" t="n">
        <v>1</v>
      </c>
      <c r="F302" s="2" t="s">
        <v>784</v>
      </c>
      <c r="G302" s="7" t="s">
        <v>25</v>
      </c>
      <c r="H302" s="2" t="s">
        <v>431</v>
      </c>
      <c r="I302" s="8" t="s">
        <v>785</v>
      </c>
      <c r="J302" s="2" t="s">
        <v>786</v>
      </c>
    </row>
    <row r="303" customFormat="false" ht="46.25" hidden="false" customHeight="false" outlineLevel="0" collapsed="false">
      <c r="A303" s="2" t="s">
        <v>822</v>
      </c>
      <c r="B303" s="2" t="s">
        <v>823</v>
      </c>
      <c r="C303" s="14" t="n">
        <v>1</v>
      </c>
      <c r="D303" s="14" t="n">
        <v>1</v>
      </c>
      <c r="E303" s="14" t="n">
        <v>1</v>
      </c>
      <c r="F303" s="2" t="s">
        <v>784</v>
      </c>
      <c r="G303" s="7" t="s">
        <v>25</v>
      </c>
      <c r="H303" s="2" t="s">
        <v>431</v>
      </c>
      <c r="I303" s="8" t="s">
        <v>785</v>
      </c>
      <c r="J303" s="2" t="s">
        <v>786</v>
      </c>
    </row>
    <row r="304" customFormat="false" ht="46.25" hidden="false" customHeight="false" outlineLevel="0" collapsed="false">
      <c r="A304" s="2" t="s">
        <v>824</v>
      </c>
      <c r="B304" s="2" t="s">
        <v>825</v>
      </c>
      <c r="C304" s="14" t="n">
        <v>1</v>
      </c>
      <c r="D304" s="14" t="n">
        <v>1</v>
      </c>
      <c r="E304" s="14" t="n">
        <v>1</v>
      </c>
      <c r="F304" s="2" t="s">
        <v>784</v>
      </c>
      <c r="G304" s="7" t="s">
        <v>25</v>
      </c>
      <c r="H304" s="2" t="s">
        <v>431</v>
      </c>
      <c r="I304" s="8" t="s">
        <v>785</v>
      </c>
      <c r="J304" s="2" t="s">
        <v>786</v>
      </c>
    </row>
    <row r="305" customFormat="false" ht="46.25" hidden="false" customHeight="false" outlineLevel="0" collapsed="false">
      <c r="A305" s="2" t="s">
        <v>826</v>
      </c>
      <c r="B305" s="2" t="s">
        <v>827</v>
      </c>
      <c r="C305" s="14" t="n">
        <v>1</v>
      </c>
      <c r="D305" s="14" t="n">
        <v>1</v>
      </c>
      <c r="E305" s="14" t="n">
        <v>1</v>
      </c>
      <c r="F305" s="2" t="s">
        <v>784</v>
      </c>
      <c r="G305" s="7" t="s">
        <v>25</v>
      </c>
      <c r="H305" s="2" t="s">
        <v>431</v>
      </c>
      <c r="I305" s="8" t="s">
        <v>785</v>
      </c>
      <c r="J305" s="2" t="s">
        <v>786</v>
      </c>
    </row>
    <row r="306" customFormat="false" ht="46.25" hidden="false" customHeight="false" outlineLevel="0" collapsed="false">
      <c r="A306" s="2" t="s">
        <v>828</v>
      </c>
      <c r="B306" s="2" t="s">
        <v>829</v>
      </c>
      <c r="C306" s="14" t="n">
        <v>2</v>
      </c>
      <c r="D306" s="14" t="n">
        <v>2</v>
      </c>
      <c r="E306" s="14" t="n">
        <v>2</v>
      </c>
      <c r="F306" s="2" t="s">
        <v>784</v>
      </c>
      <c r="G306" s="7" t="s">
        <v>25</v>
      </c>
      <c r="H306" s="2" t="s">
        <v>431</v>
      </c>
      <c r="I306" s="8" t="s">
        <v>785</v>
      </c>
      <c r="J306" s="2" t="s">
        <v>786</v>
      </c>
    </row>
    <row r="307" customFormat="false" ht="46.25" hidden="false" customHeight="false" outlineLevel="0" collapsed="false">
      <c r="A307" s="2" t="s">
        <v>830</v>
      </c>
      <c r="B307" s="2" t="s">
        <v>831</v>
      </c>
      <c r="C307" s="14" t="n">
        <v>1</v>
      </c>
      <c r="D307" s="14" t="n">
        <v>1</v>
      </c>
      <c r="E307" s="14" t="n">
        <v>1</v>
      </c>
      <c r="F307" s="2" t="s">
        <v>784</v>
      </c>
      <c r="G307" s="7" t="s">
        <v>25</v>
      </c>
      <c r="H307" s="2" t="s">
        <v>431</v>
      </c>
      <c r="I307" s="8" t="s">
        <v>785</v>
      </c>
      <c r="J307" s="2" t="s">
        <v>786</v>
      </c>
    </row>
    <row r="308" customFormat="false" ht="46.25" hidden="false" customHeight="false" outlineLevel="0" collapsed="false">
      <c r="A308" s="2" t="s">
        <v>832</v>
      </c>
      <c r="B308" s="2" t="s">
        <v>833</v>
      </c>
      <c r="C308" s="14" t="n">
        <v>1</v>
      </c>
      <c r="D308" s="14" t="n">
        <v>1</v>
      </c>
      <c r="E308" s="14" t="n">
        <v>1</v>
      </c>
      <c r="F308" s="2" t="s">
        <v>784</v>
      </c>
      <c r="G308" s="7" t="s">
        <v>25</v>
      </c>
      <c r="H308" s="2" t="s">
        <v>431</v>
      </c>
      <c r="I308" s="8" t="s">
        <v>785</v>
      </c>
      <c r="J308" s="2" t="s">
        <v>786</v>
      </c>
    </row>
    <row r="309" customFormat="false" ht="46.25" hidden="false" customHeight="false" outlineLevel="0" collapsed="false">
      <c r="A309" s="2" t="s">
        <v>834</v>
      </c>
      <c r="B309" s="2" t="s">
        <v>835</v>
      </c>
      <c r="C309" s="14" t="n">
        <v>2</v>
      </c>
      <c r="D309" s="14" t="n">
        <v>2</v>
      </c>
      <c r="E309" s="14" t="n">
        <v>2</v>
      </c>
      <c r="F309" s="2" t="s">
        <v>784</v>
      </c>
      <c r="G309" s="7" t="s">
        <v>25</v>
      </c>
      <c r="H309" s="2" t="s">
        <v>431</v>
      </c>
      <c r="I309" s="8" t="s">
        <v>785</v>
      </c>
      <c r="J309" s="2" t="s">
        <v>786</v>
      </c>
    </row>
    <row r="310" customFormat="false" ht="46.25" hidden="false" customHeight="false" outlineLevel="0" collapsed="false">
      <c r="A310" s="2" t="s">
        <v>836</v>
      </c>
      <c r="B310" s="2" t="s">
        <v>837</v>
      </c>
      <c r="C310" s="14" t="n">
        <v>2</v>
      </c>
      <c r="D310" s="14" t="n">
        <v>2</v>
      </c>
      <c r="E310" s="14" t="n">
        <v>2</v>
      </c>
      <c r="F310" s="2" t="s">
        <v>784</v>
      </c>
      <c r="G310" s="7" t="s">
        <v>25</v>
      </c>
      <c r="H310" s="2" t="s">
        <v>431</v>
      </c>
      <c r="I310" s="8" t="s">
        <v>785</v>
      </c>
      <c r="J310" s="2" t="s">
        <v>786</v>
      </c>
    </row>
    <row r="311" customFormat="false" ht="57.45" hidden="false" customHeight="false" outlineLevel="0" collapsed="false">
      <c r="A311" s="2" t="s">
        <v>838</v>
      </c>
      <c r="B311" s="2" t="s">
        <v>839</v>
      </c>
      <c r="C311" s="14" t="n">
        <v>16</v>
      </c>
      <c r="D311" s="14" t="n">
        <v>16</v>
      </c>
      <c r="E311" s="14" t="n">
        <v>16</v>
      </c>
      <c r="F311" s="2" t="s">
        <v>784</v>
      </c>
      <c r="G311" s="11" t="s">
        <v>41</v>
      </c>
      <c r="H311" s="2" t="s">
        <v>840</v>
      </c>
      <c r="I311" s="8" t="s">
        <v>841</v>
      </c>
      <c r="J311" s="2" t="s">
        <v>786</v>
      </c>
    </row>
    <row r="312" customFormat="false" ht="46.25" hidden="false" customHeight="false" outlineLevel="0" collapsed="false">
      <c r="A312" s="2" t="s">
        <v>842</v>
      </c>
      <c r="B312" s="2" t="s">
        <v>843</v>
      </c>
      <c r="C312" s="14" t="n">
        <v>2</v>
      </c>
      <c r="D312" s="14" t="n">
        <v>2</v>
      </c>
      <c r="E312" s="14" t="n">
        <v>2</v>
      </c>
      <c r="F312" s="2" t="s">
        <v>784</v>
      </c>
      <c r="G312" s="7" t="s">
        <v>25</v>
      </c>
      <c r="H312" s="2" t="s">
        <v>431</v>
      </c>
      <c r="I312" s="8" t="s">
        <v>785</v>
      </c>
      <c r="J312" s="2" t="s">
        <v>786</v>
      </c>
    </row>
    <row r="313" customFormat="false" ht="46.25" hidden="false" customHeight="false" outlineLevel="0" collapsed="false">
      <c r="A313" s="2" t="s">
        <v>844</v>
      </c>
      <c r="B313" s="2" t="s">
        <v>845</v>
      </c>
      <c r="C313" s="14" t="n">
        <v>1</v>
      </c>
      <c r="D313" s="14" t="n">
        <v>1</v>
      </c>
      <c r="E313" s="14" t="n">
        <v>1</v>
      </c>
      <c r="F313" s="2" t="s">
        <v>784</v>
      </c>
      <c r="G313" s="7" t="s">
        <v>25</v>
      </c>
      <c r="H313" s="2" t="s">
        <v>431</v>
      </c>
      <c r="I313" s="8" t="s">
        <v>785</v>
      </c>
      <c r="J313" s="2" t="s">
        <v>786</v>
      </c>
    </row>
    <row r="314" customFormat="false" ht="46.25" hidden="false" customHeight="false" outlineLevel="0" collapsed="false">
      <c r="A314" s="2" t="s">
        <v>846</v>
      </c>
      <c r="B314" s="2" t="s">
        <v>847</v>
      </c>
      <c r="C314" s="14" t="n">
        <v>1.5</v>
      </c>
      <c r="D314" s="14" t="n">
        <v>1.5</v>
      </c>
      <c r="E314" s="14" t="n">
        <v>1.5</v>
      </c>
      <c r="F314" s="2" t="s">
        <v>784</v>
      </c>
      <c r="G314" s="7" t="s">
        <v>25</v>
      </c>
      <c r="H314" s="2" t="s">
        <v>431</v>
      </c>
      <c r="I314" s="8" t="s">
        <v>785</v>
      </c>
      <c r="J314" s="2" t="s">
        <v>786</v>
      </c>
    </row>
    <row r="315" customFormat="false" ht="15" hidden="false" customHeight="false" outlineLevel="0" collapsed="false">
      <c r="A315" s="5" t="s">
        <v>848</v>
      </c>
    </row>
    <row r="316" customFormat="false" ht="15" hidden="false" customHeight="false" outlineLevel="0" collapsed="false">
      <c r="A316" s="2" t="s">
        <v>849</v>
      </c>
      <c r="B316" s="2" t="s">
        <v>850</v>
      </c>
      <c r="C316" s="14" t="n">
        <v>4</v>
      </c>
      <c r="D316" s="14" t="n">
        <v>4</v>
      </c>
      <c r="E316" s="14" t="n">
        <v>4</v>
      </c>
      <c r="F316" s="2" t="s">
        <v>435</v>
      </c>
      <c r="G316" s="7" t="s">
        <v>25</v>
      </c>
      <c r="H316" s="2" t="s">
        <v>851</v>
      </c>
      <c r="I316" s="8" t="s">
        <v>852</v>
      </c>
      <c r="J316" s="2" t="s">
        <v>853</v>
      </c>
    </row>
    <row r="317" customFormat="false" ht="57.45" hidden="false" customHeight="false" outlineLevel="0" collapsed="false">
      <c r="A317" s="2" t="s">
        <v>854</v>
      </c>
      <c r="B317" s="2" t="s">
        <v>855</v>
      </c>
      <c r="C317" s="9" t="n">
        <v>0.025</v>
      </c>
      <c r="D317" s="9" t="n">
        <v>0.02</v>
      </c>
      <c r="E317" s="9" t="n">
        <v>0.015</v>
      </c>
      <c r="F317" s="2" t="s">
        <v>99</v>
      </c>
      <c r="G317" s="11" t="s">
        <v>41</v>
      </c>
      <c r="H317" s="2" t="s">
        <v>856</v>
      </c>
      <c r="I317" s="8" t="s">
        <v>857</v>
      </c>
      <c r="J317" s="2" t="s">
        <v>853</v>
      </c>
    </row>
    <row r="318" customFormat="false" ht="23.85" hidden="false" customHeight="false" outlineLevel="0" collapsed="false">
      <c r="A318" s="2" t="s">
        <v>858</v>
      </c>
      <c r="B318" s="2" t="s">
        <v>859</v>
      </c>
      <c r="C318" s="9" t="n">
        <v>0.01</v>
      </c>
      <c r="D318" s="9" t="n">
        <v>0.0185</v>
      </c>
      <c r="E318" s="9" t="n">
        <v>0.03</v>
      </c>
      <c r="F318" s="2" t="s">
        <v>99</v>
      </c>
      <c r="G318" s="11" t="s">
        <v>41</v>
      </c>
      <c r="H318" s="2" t="s">
        <v>860</v>
      </c>
      <c r="I318" s="8" t="s">
        <v>861</v>
      </c>
      <c r="J318" s="2" t="s">
        <v>853</v>
      </c>
    </row>
    <row r="319" customFormat="false" ht="35.05" hidden="false" customHeight="false" outlineLevel="0" collapsed="false">
      <c r="A319" s="2" t="s">
        <v>862</v>
      </c>
      <c r="B319" s="2" t="s">
        <v>863</v>
      </c>
      <c r="C319" s="9" t="n">
        <v>0.009</v>
      </c>
      <c r="D319" s="9" t="n">
        <v>0.02</v>
      </c>
      <c r="E319" s="9" t="n">
        <v>0.0285</v>
      </c>
      <c r="F319" s="2" t="s">
        <v>99</v>
      </c>
      <c r="G319" s="11" t="s">
        <v>41</v>
      </c>
      <c r="H319" s="2" t="s">
        <v>864</v>
      </c>
      <c r="I319" s="8" t="s">
        <v>865</v>
      </c>
      <c r="J319" s="2" t="s">
        <v>853</v>
      </c>
    </row>
    <row r="320" customFormat="false" ht="15" hidden="false" customHeight="false" outlineLevel="0" collapsed="false">
      <c r="A320" s="2" t="s">
        <v>866</v>
      </c>
      <c r="B320" s="2" t="s">
        <v>867</v>
      </c>
      <c r="C320" s="9" t="n">
        <v>0.005</v>
      </c>
      <c r="D320" s="9" t="n">
        <v>0</v>
      </c>
      <c r="E320" s="9" t="n">
        <v>-0.005</v>
      </c>
      <c r="F320" s="2" t="s">
        <v>99</v>
      </c>
      <c r="G320" s="7" t="s">
        <v>25</v>
      </c>
      <c r="H320" s="2"/>
      <c r="I320" s="8"/>
      <c r="J320" s="2" t="s">
        <v>853</v>
      </c>
    </row>
    <row r="321" customFormat="false" ht="35.05" hidden="false" customHeight="false" outlineLevel="0" collapsed="false">
      <c r="A321" s="2" t="s">
        <v>868</v>
      </c>
      <c r="B321" s="2" t="s">
        <v>869</v>
      </c>
      <c r="C321" s="9" t="n">
        <v>0</v>
      </c>
      <c r="D321" s="9" t="n">
        <v>0.005</v>
      </c>
      <c r="E321" s="9" t="n">
        <v>0.01</v>
      </c>
      <c r="F321" s="2" t="s">
        <v>99</v>
      </c>
      <c r="G321" s="11" t="s">
        <v>41</v>
      </c>
      <c r="H321" s="2" t="s">
        <v>870</v>
      </c>
      <c r="I321" s="8" t="s">
        <v>871</v>
      </c>
      <c r="J321" s="2" t="s">
        <v>853</v>
      </c>
    </row>
    <row r="322" customFormat="false" ht="35.05" hidden="false" customHeight="false" outlineLevel="0" collapsed="false">
      <c r="A322" s="2" t="s">
        <v>872</v>
      </c>
      <c r="B322" s="2" t="s">
        <v>873</v>
      </c>
      <c r="C322" s="9" t="n">
        <v>0.005</v>
      </c>
      <c r="D322" s="9" t="n">
        <v>0.0075</v>
      </c>
      <c r="E322" s="9" t="n">
        <v>0.0125</v>
      </c>
      <c r="F322" s="2" t="s">
        <v>99</v>
      </c>
      <c r="G322" s="11" t="s">
        <v>41</v>
      </c>
      <c r="H322" s="2" t="s">
        <v>874</v>
      </c>
      <c r="I322" s="8" t="s">
        <v>875</v>
      </c>
      <c r="J322" s="2" t="s">
        <v>853</v>
      </c>
    </row>
    <row r="323" customFormat="false" ht="15" hidden="false" customHeight="false" outlineLevel="0" collapsed="false">
      <c r="A323" s="2" t="s">
        <v>876</v>
      </c>
      <c r="B323" s="2" t="s">
        <v>877</v>
      </c>
      <c r="C323" s="9" t="n">
        <v>0.02</v>
      </c>
      <c r="D323" s="9" t="n">
        <v>0.02</v>
      </c>
      <c r="E323" s="9" t="n">
        <v>0.02</v>
      </c>
      <c r="F323" s="2" t="s">
        <v>99</v>
      </c>
      <c r="G323" s="11" t="s">
        <v>41</v>
      </c>
      <c r="H323" s="2" t="s">
        <v>878</v>
      </c>
      <c r="I323" s="8" t="s">
        <v>879</v>
      </c>
      <c r="J323" s="2" t="s">
        <v>853</v>
      </c>
    </row>
    <row r="324" customFormat="false" ht="23.85" hidden="false" customHeight="false" outlineLevel="0" collapsed="false">
      <c r="A324" s="2" t="s">
        <v>880</v>
      </c>
      <c r="B324" s="2" t="s">
        <v>881</v>
      </c>
      <c r="C324" s="9" t="n">
        <v>0.45</v>
      </c>
      <c r="D324" s="9" t="n">
        <v>0.45</v>
      </c>
      <c r="E324" s="9" t="n">
        <v>0.45</v>
      </c>
      <c r="F324" s="2" t="s">
        <v>46</v>
      </c>
      <c r="G324" s="7" t="s">
        <v>25</v>
      </c>
      <c r="H324" s="2" t="s">
        <v>882</v>
      </c>
      <c r="I324" s="8" t="s">
        <v>883</v>
      </c>
      <c r="J324" s="2" t="s">
        <v>853</v>
      </c>
    </row>
    <row r="325" customFormat="false" ht="15" hidden="false" customHeight="false" outlineLevel="0" collapsed="false">
      <c r="A325" s="2" t="s">
        <v>884</v>
      </c>
      <c r="B325" s="2" t="s">
        <v>885</v>
      </c>
      <c r="C325" s="9" t="n">
        <v>0.5</v>
      </c>
      <c r="D325" s="9" t="n">
        <v>0.5</v>
      </c>
      <c r="E325" s="9" t="n">
        <v>0.5</v>
      </c>
      <c r="F325" s="2" t="s">
        <v>46</v>
      </c>
      <c r="G325" s="12" t="s">
        <v>47</v>
      </c>
      <c r="H325" s="2" t="s">
        <v>886</v>
      </c>
      <c r="I325" s="8"/>
      <c r="J325" s="2" t="s">
        <v>853</v>
      </c>
    </row>
    <row r="326" customFormat="false" ht="15" hidden="false" customHeight="false" outlineLevel="0" collapsed="false">
      <c r="A326" s="2" t="s">
        <v>887</v>
      </c>
      <c r="B326" s="2" t="s">
        <v>888</v>
      </c>
      <c r="C326" s="9" t="n">
        <v>0.45</v>
      </c>
      <c r="D326" s="9" t="n">
        <v>0.41</v>
      </c>
      <c r="E326" s="9" t="n">
        <v>0.3</v>
      </c>
      <c r="F326" s="2" t="s">
        <v>46</v>
      </c>
      <c r="G326" s="7" t="s">
        <v>25</v>
      </c>
      <c r="H326" s="2" t="s">
        <v>889</v>
      </c>
      <c r="I326" s="8"/>
      <c r="J326" s="2" t="s">
        <v>853</v>
      </c>
    </row>
    <row r="327" customFormat="false" ht="15" hidden="false" customHeight="false" outlineLevel="0" collapsed="false">
      <c r="A327" s="2" t="s">
        <v>890</v>
      </c>
      <c r="B327" s="2" t="s">
        <v>891</v>
      </c>
      <c r="C327" s="9" t="n">
        <v>1</v>
      </c>
      <c r="D327" s="9" t="n">
        <v>1</v>
      </c>
      <c r="E327" s="9" t="n">
        <v>1</v>
      </c>
      <c r="F327" s="2" t="s">
        <v>46</v>
      </c>
      <c r="G327" s="7" t="s">
        <v>25</v>
      </c>
      <c r="H327" s="2"/>
      <c r="I327" s="8"/>
      <c r="J327" s="2" t="s">
        <v>853</v>
      </c>
    </row>
    <row r="328" customFormat="false" ht="15" hidden="false" customHeight="false" outlineLevel="0" collapsed="false">
      <c r="A328" s="2" t="s">
        <v>892</v>
      </c>
      <c r="B328" s="2" t="s">
        <v>893</v>
      </c>
      <c r="C328" s="9" t="n">
        <v>0.4</v>
      </c>
      <c r="D328" s="9" t="n">
        <v>0.4</v>
      </c>
      <c r="E328" s="9" t="n">
        <v>0.4</v>
      </c>
      <c r="F328" s="2" t="s">
        <v>46</v>
      </c>
      <c r="G328" s="7" t="s">
        <v>25</v>
      </c>
      <c r="H328" s="2"/>
      <c r="I328" s="8"/>
      <c r="J328" s="2" t="s">
        <v>853</v>
      </c>
    </row>
    <row r="329" customFormat="false" ht="15" hidden="false" customHeight="false" outlineLevel="0" collapsed="false">
      <c r="A329" s="2" t="s">
        <v>894</v>
      </c>
      <c r="B329" s="2" t="s">
        <v>895</v>
      </c>
      <c r="C329" s="9" t="n">
        <v>0.75</v>
      </c>
      <c r="D329" s="9" t="n">
        <v>0.75</v>
      </c>
      <c r="E329" s="9" t="n">
        <v>0.75</v>
      </c>
      <c r="F329" s="2" t="s">
        <v>46</v>
      </c>
      <c r="G329" s="7" t="s">
        <v>25</v>
      </c>
      <c r="H329" s="2"/>
      <c r="I329" s="8"/>
      <c r="J329" s="2" t="s">
        <v>853</v>
      </c>
    </row>
    <row r="330" customFormat="false" ht="35.05" hidden="false" customHeight="false" outlineLevel="0" collapsed="false">
      <c r="A330" s="2" t="s">
        <v>896</v>
      </c>
      <c r="B330" s="2" t="s">
        <v>897</v>
      </c>
      <c r="C330" s="9" t="n">
        <v>0.1</v>
      </c>
      <c r="D330" s="9" t="n">
        <v>0.1</v>
      </c>
      <c r="E330" s="9" t="n">
        <v>0.1</v>
      </c>
      <c r="F330" s="2" t="s">
        <v>46</v>
      </c>
      <c r="G330" s="11" t="s">
        <v>41</v>
      </c>
      <c r="H330" s="2" t="s">
        <v>898</v>
      </c>
      <c r="I330" s="8" t="s">
        <v>899</v>
      </c>
      <c r="J330" s="2" t="s">
        <v>853</v>
      </c>
    </row>
    <row r="331" customFormat="false" ht="23.85" hidden="false" customHeight="false" outlineLevel="0" collapsed="false">
      <c r="A331" s="2" t="s">
        <v>900</v>
      </c>
      <c r="B331" s="2" t="s">
        <v>901</v>
      </c>
      <c r="C331" s="9" t="n">
        <v>0</v>
      </c>
      <c r="D331" s="9" t="n">
        <v>-0.005</v>
      </c>
      <c r="E331" s="9" t="n">
        <v>-0.01</v>
      </c>
      <c r="F331" s="2" t="s">
        <v>99</v>
      </c>
      <c r="G331" s="11" t="s">
        <v>41</v>
      </c>
      <c r="H331" s="2" t="s">
        <v>902</v>
      </c>
      <c r="I331" s="8" t="s">
        <v>903</v>
      </c>
      <c r="J331" s="2" t="s">
        <v>853</v>
      </c>
    </row>
    <row r="332" customFormat="false" ht="15" hidden="false" customHeight="false" outlineLevel="0" collapsed="false">
      <c r="A332" s="5" t="s">
        <v>904</v>
      </c>
    </row>
    <row r="333" customFormat="false" ht="15" hidden="false" customHeight="false" outlineLevel="0" collapsed="false">
      <c r="A333" s="2" t="s">
        <v>905</v>
      </c>
      <c r="B333" s="2" t="s">
        <v>906</v>
      </c>
      <c r="C333" s="6" t="n">
        <v>400000</v>
      </c>
      <c r="D333" s="6" t="n">
        <v>400000</v>
      </c>
      <c r="E333" s="6" t="n">
        <v>400000</v>
      </c>
      <c r="F333" s="2" t="s">
        <v>501</v>
      </c>
      <c r="G333" s="7" t="s">
        <v>25</v>
      </c>
      <c r="H333" s="2"/>
      <c r="I333" s="8"/>
      <c r="J333" s="2" t="s">
        <v>907</v>
      </c>
    </row>
    <row r="334" customFormat="false" ht="15" hidden="false" customHeight="false" outlineLevel="0" collapsed="false">
      <c r="A334" s="2" t="s">
        <v>908</v>
      </c>
      <c r="B334" s="2" t="s">
        <v>909</v>
      </c>
      <c r="C334" s="14" t="n">
        <v>10</v>
      </c>
      <c r="D334" s="14" t="n">
        <v>10</v>
      </c>
      <c r="E334" s="14" t="n">
        <v>10</v>
      </c>
      <c r="F334" s="2" t="s">
        <v>435</v>
      </c>
      <c r="G334" s="7" t="s">
        <v>25</v>
      </c>
      <c r="H334" s="2"/>
      <c r="I334" s="8"/>
      <c r="J334" s="2" t="s">
        <v>907</v>
      </c>
    </row>
    <row r="335" customFormat="false" ht="35.05" hidden="false" customHeight="false" outlineLevel="0" collapsed="false">
      <c r="A335" s="2" t="s">
        <v>910</v>
      </c>
      <c r="B335" s="2" t="s">
        <v>911</v>
      </c>
      <c r="C335" s="6" t="n">
        <v>34000000</v>
      </c>
      <c r="D335" s="6" t="n">
        <v>34000000</v>
      </c>
      <c r="E335" s="6" t="n">
        <v>34000000</v>
      </c>
      <c r="F335" s="2" t="s">
        <v>492</v>
      </c>
      <c r="G335" s="7" t="s">
        <v>25</v>
      </c>
      <c r="H335" s="2"/>
      <c r="I335" s="8" t="s">
        <v>912</v>
      </c>
      <c r="J335" s="2" t="s">
        <v>907</v>
      </c>
    </row>
    <row r="336" customFormat="false" ht="15" hidden="false" customHeight="false" outlineLevel="0" collapsed="false">
      <c r="A336" s="2" t="s">
        <v>913</v>
      </c>
      <c r="B336" s="2" t="s">
        <v>914</v>
      </c>
      <c r="C336" s="6" t="n">
        <v>400000</v>
      </c>
      <c r="D336" s="6" t="n">
        <v>400000</v>
      </c>
      <c r="E336" s="6" t="n">
        <v>400000</v>
      </c>
      <c r="F336" s="2" t="s">
        <v>492</v>
      </c>
      <c r="G336" s="7" t="s">
        <v>25</v>
      </c>
      <c r="H336" s="2"/>
      <c r="I336" s="8"/>
      <c r="J336" s="2" t="s">
        <v>907</v>
      </c>
    </row>
    <row r="337" customFormat="false" ht="15" hidden="false" customHeight="false" outlineLevel="0" collapsed="false">
      <c r="A337" s="2" t="s">
        <v>915</v>
      </c>
      <c r="B337" s="2" t="s">
        <v>916</v>
      </c>
      <c r="C337" s="6" t="n">
        <v>1000000</v>
      </c>
      <c r="D337" s="6" t="n">
        <v>1000000</v>
      </c>
      <c r="E337" s="6" t="n">
        <v>1000000</v>
      </c>
      <c r="F337" s="2" t="s">
        <v>501</v>
      </c>
      <c r="G337" s="7" t="s">
        <v>25</v>
      </c>
      <c r="H337" s="2"/>
      <c r="I337" s="8"/>
      <c r="J337" s="2" t="s">
        <v>907</v>
      </c>
    </row>
    <row r="338" customFormat="false" ht="15" hidden="false" customHeight="false" outlineLevel="0" collapsed="false">
      <c r="A338" s="2" t="s">
        <v>917</v>
      </c>
      <c r="B338" s="2" t="s">
        <v>918</v>
      </c>
      <c r="C338" s="14" t="n">
        <v>10</v>
      </c>
      <c r="D338" s="14" t="n">
        <v>10</v>
      </c>
      <c r="E338" s="14" t="n">
        <v>10</v>
      </c>
      <c r="F338" s="2" t="s">
        <v>435</v>
      </c>
      <c r="G338" s="7" t="s">
        <v>25</v>
      </c>
      <c r="H338" s="2"/>
      <c r="I338" s="8"/>
      <c r="J338" s="2" t="s">
        <v>907</v>
      </c>
    </row>
    <row r="339" customFormat="false" ht="46.25" hidden="false" customHeight="false" outlineLevel="0" collapsed="false">
      <c r="A339" s="2" t="s">
        <v>919</v>
      </c>
      <c r="B339" s="2" t="s">
        <v>920</v>
      </c>
      <c r="C339" s="6" t="n">
        <v>120000000</v>
      </c>
      <c r="D339" s="6" t="n">
        <v>120000000</v>
      </c>
      <c r="E339" s="6" t="n">
        <v>120000000</v>
      </c>
      <c r="F339" s="2" t="s">
        <v>492</v>
      </c>
      <c r="G339" s="7" t="s">
        <v>25</v>
      </c>
      <c r="H339" s="2"/>
      <c r="I339" s="8" t="s">
        <v>921</v>
      </c>
      <c r="J339" s="2" t="s">
        <v>907</v>
      </c>
    </row>
    <row r="340" customFormat="false" ht="15" hidden="false" customHeight="false" outlineLevel="0" collapsed="false">
      <c r="A340" s="2" t="s">
        <v>922</v>
      </c>
      <c r="B340" s="2" t="s">
        <v>923</v>
      </c>
      <c r="C340" s="6" t="n">
        <v>1500000</v>
      </c>
      <c r="D340" s="6" t="n">
        <v>1500000</v>
      </c>
      <c r="E340" s="6" t="n">
        <v>1500000</v>
      </c>
      <c r="F340" s="2" t="s">
        <v>492</v>
      </c>
      <c r="G340" s="7" t="s">
        <v>25</v>
      </c>
      <c r="H340" s="2"/>
      <c r="I340" s="8"/>
      <c r="J340" s="2" t="s">
        <v>907</v>
      </c>
    </row>
    <row r="341" customFormat="false" ht="15" hidden="false" customHeight="false" outlineLevel="0" collapsed="false">
      <c r="A341" s="2" t="s">
        <v>924</v>
      </c>
      <c r="B341" s="2" t="s">
        <v>925</v>
      </c>
      <c r="C341" s="6" t="n">
        <v>0</v>
      </c>
      <c r="D341" s="6" t="n">
        <v>0</v>
      </c>
      <c r="E341" s="6" t="n">
        <v>0</v>
      </c>
      <c r="F341" s="2" t="s">
        <v>501</v>
      </c>
      <c r="G341" s="7" t="s">
        <v>25</v>
      </c>
      <c r="H341" s="2"/>
      <c r="I341" s="8"/>
      <c r="J341" s="2" t="s">
        <v>907</v>
      </c>
    </row>
    <row r="342" customFormat="false" ht="15" hidden="false" customHeight="false" outlineLevel="0" collapsed="false">
      <c r="A342" s="2" t="s">
        <v>926</v>
      </c>
      <c r="B342" s="2" t="s">
        <v>927</v>
      </c>
      <c r="C342" s="14" t="n">
        <v>0</v>
      </c>
      <c r="D342" s="14" t="n">
        <v>0</v>
      </c>
      <c r="E342" s="14" t="n">
        <v>0</v>
      </c>
      <c r="F342" s="2" t="s">
        <v>435</v>
      </c>
      <c r="G342" s="7" t="s">
        <v>25</v>
      </c>
      <c r="H342" s="2"/>
      <c r="I342" s="8"/>
      <c r="J342" s="2" t="s">
        <v>907</v>
      </c>
    </row>
    <row r="343" customFormat="false" ht="35.05" hidden="false" customHeight="false" outlineLevel="0" collapsed="false">
      <c r="A343" s="2" t="s">
        <v>928</v>
      </c>
      <c r="B343" s="2" t="s">
        <v>929</v>
      </c>
      <c r="C343" s="6" t="n">
        <v>480000000</v>
      </c>
      <c r="D343" s="6" t="n">
        <v>480000000</v>
      </c>
      <c r="E343" s="6" t="n">
        <v>480000000</v>
      </c>
      <c r="F343" s="2" t="s">
        <v>492</v>
      </c>
      <c r="G343" s="7" t="s">
        <v>25</v>
      </c>
      <c r="H343" s="2"/>
      <c r="I343" s="8" t="s">
        <v>930</v>
      </c>
      <c r="J343" s="2" t="s">
        <v>907</v>
      </c>
    </row>
    <row r="344" customFormat="false" ht="23.85" hidden="false" customHeight="false" outlineLevel="0" collapsed="false">
      <c r="A344" s="2" t="s">
        <v>931</v>
      </c>
      <c r="B344" s="2" t="s">
        <v>932</v>
      </c>
      <c r="C344" s="6" t="n">
        <v>4000000</v>
      </c>
      <c r="D344" s="6" t="n">
        <v>4000000</v>
      </c>
      <c r="E344" s="6" t="n">
        <v>4000000</v>
      </c>
      <c r="F344" s="2" t="s">
        <v>492</v>
      </c>
      <c r="G344" s="7" t="s">
        <v>25</v>
      </c>
      <c r="H344" s="2"/>
      <c r="I344" s="8" t="s">
        <v>933</v>
      </c>
      <c r="J344" s="2" t="s">
        <v>907</v>
      </c>
    </row>
    <row r="345" customFormat="false" ht="15" hidden="false" customHeight="false" outlineLevel="0" collapsed="false">
      <c r="A345" s="2" t="s">
        <v>934</v>
      </c>
      <c r="B345" s="2" t="s">
        <v>935</v>
      </c>
      <c r="C345" s="14" t="n">
        <v>0</v>
      </c>
      <c r="D345" s="14" t="n">
        <v>0</v>
      </c>
      <c r="E345" s="14" t="n">
        <v>0</v>
      </c>
      <c r="F345" s="2" t="s">
        <v>936</v>
      </c>
      <c r="G345" s="7" t="s">
        <v>25</v>
      </c>
      <c r="H345" s="2"/>
      <c r="I345" s="8"/>
      <c r="J345" s="2" t="s">
        <v>907</v>
      </c>
    </row>
    <row r="346" customFormat="false" ht="15" hidden="false" customHeight="false" outlineLevel="0" collapsed="false">
      <c r="A346" s="2" t="s">
        <v>937</v>
      </c>
      <c r="B346" s="2" t="s">
        <v>938</v>
      </c>
      <c r="C346" s="9" t="n">
        <v>0.3</v>
      </c>
      <c r="D346" s="9" t="n">
        <v>0.3</v>
      </c>
      <c r="E346" s="9" t="n">
        <v>0.3</v>
      </c>
      <c r="F346" s="2" t="s">
        <v>46</v>
      </c>
      <c r="G346" s="7" t="s">
        <v>25</v>
      </c>
      <c r="H346" s="2"/>
      <c r="I346" s="8" t="s">
        <v>939</v>
      </c>
      <c r="J346" s="2" t="s">
        <v>907</v>
      </c>
    </row>
    <row r="347" customFormat="false" ht="15" hidden="false" customHeight="false" outlineLevel="0" collapsed="false">
      <c r="A347" s="2" t="s">
        <v>940</v>
      </c>
      <c r="B347" s="2" t="s">
        <v>941</v>
      </c>
      <c r="C347" s="14" t="n">
        <v>1</v>
      </c>
      <c r="D347" s="14" t="n">
        <v>1</v>
      </c>
      <c r="E347" s="14" t="n">
        <v>1</v>
      </c>
      <c r="F347" s="2" t="s">
        <v>435</v>
      </c>
      <c r="G347" s="7" t="s">
        <v>25</v>
      </c>
      <c r="H347" s="2"/>
      <c r="I347" s="8"/>
      <c r="J347" s="2" t="s">
        <v>907</v>
      </c>
    </row>
    <row r="348" customFormat="false" ht="23.85" hidden="false" customHeight="false" outlineLevel="0" collapsed="false">
      <c r="A348" s="2" t="s">
        <v>942</v>
      </c>
      <c r="B348" s="2" t="s">
        <v>943</v>
      </c>
      <c r="C348" s="9" t="n">
        <v>0.1</v>
      </c>
      <c r="D348" s="9" t="n">
        <v>0.1</v>
      </c>
      <c r="E348" s="9" t="n">
        <v>0.1</v>
      </c>
      <c r="F348" s="2" t="s">
        <v>46</v>
      </c>
      <c r="G348" s="7" t="s">
        <v>25</v>
      </c>
      <c r="H348" s="2"/>
      <c r="I348" s="8" t="s">
        <v>944</v>
      </c>
      <c r="J348" s="2" t="s">
        <v>907</v>
      </c>
    </row>
    <row r="349" customFormat="false" ht="35.05" hidden="false" customHeight="false" outlineLevel="0" collapsed="false">
      <c r="A349" s="2" t="s">
        <v>945</v>
      </c>
      <c r="B349" s="2" t="s">
        <v>946</v>
      </c>
      <c r="C349" s="9" t="n">
        <v>0.8</v>
      </c>
      <c r="D349" s="9" t="n">
        <v>0.8</v>
      </c>
      <c r="E349" s="9" t="n">
        <v>0.8</v>
      </c>
      <c r="F349" s="2" t="s">
        <v>46</v>
      </c>
      <c r="G349" s="7" t="s">
        <v>25</v>
      </c>
      <c r="H349" s="2" t="s">
        <v>947</v>
      </c>
      <c r="I349" s="8" t="s">
        <v>948</v>
      </c>
      <c r="J349" s="2" t="s">
        <v>907</v>
      </c>
    </row>
    <row r="350" customFormat="false" ht="23.85" hidden="false" customHeight="false" outlineLevel="0" collapsed="false">
      <c r="A350" s="2" t="s">
        <v>949</v>
      </c>
      <c r="B350" s="2" t="s">
        <v>950</v>
      </c>
      <c r="C350" s="14" t="n">
        <v>0</v>
      </c>
      <c r="D350" s="14" t="n">
        <v>0</v>
      </c>
      <c r="E350" s="14" t="n">
        <v>0</v>
      </c>
      <c r="F350" s="2" t="s">
        <v>936</v>
      </c>
      <c r="G350" s="7" t="s">
        <v>25</v>
      </c>
      <c r="H350" s="2"/>
      <c r="I350" s="8" t="s">
        <v>951</v>
      </c>
      <c r="J350" s="2" t="s">
        <v>907</v>
      </c>
    </row>
    <row r="351" customFormat="false" ht="35.05" hidden="false" customHeight="false" outlineLevel="0" collapsed="false">
      <c r="A351" s="2" t="s">
        <v>952</v>
      </c>
      <c r="B351" s="2" t="s">
        <v>953</v>
      </c>
      <c r="C351" s="14" t="n">
        <v>1</v>
      </c>
      <c r="D351" s="14" t="n">
        <v>1</v>
      </c>
      <c r="E351" s="14" t="n">
        <v>1</v>
      </c>
      <c r="F351" s="2" t="s">
        <v>936</v>
      </c>
      <c r="G351" s="7" t="s">
        <v>25</v>
      </c>
      <c r="H351" s="2"/>
      <c r="I351" s="8" t="s">
        <v>954</v>
      </c>
      <c r="J351" s="2" t="s">
        <v>907</v>
      </c>
    </row>
    <row r="352" customFormat="false" ht="15" hidden="false" customHeight="false" outlineLevel="0" collapsed="false">
      <c r="A352" s="2" t="s">
        <v>955</v>
      </c>
      <c r="B352" s="2" t="s">
        <v>956</v>
      </c>
      <c r="C352" s="9" t="n">
        <v>0.04</v>
      </c>
      <c r="D352" s="9" t="n">
        <v>0.04</v>
      </c>
      <c r="E352" s="9" t="n">
        <v>0.04</v>
      </c>
      <c r="F352" s="2" t="s">
        <v>46</v>
      </c>
      <c r="G352" s="7" t="s">
        <v>25</v>
      </c>
      <c r="H352" s="2"/>
      <c r="I352" s="8"/>
      <c r="J352" s="2" t="s">
        <v>907</v>
      </c>
    </row>
    <row r="353" customFormat="false" ht="15" hidden="false" customHeight="false" outlineLevel="0" collapsed="false">
      <c r="A353" s="2" t="s">
        <v>957</v>
      </c>
      <c r="B353" s="2" t="s">
        <v>958</v>
      </c>
      <c r="C353" s="14" t="n">
        <v>0</v>
      </c>
      <c r="D353" s="14" t="n">
        <v>0</v>
      </c>
      <c r="E353" s="14" t="n">
        <v>0</v>
      </c>
      <c r="F353" s="2" t="s">
        <v>936</v>
      </c>
      <c r="G353" s="7" t="s">
        <v>25</v>
      </c>
      <c r="H353" s="2"/>
      <c r="I353" s="8"/>
      <c r="J353" s="2" t="s">
        <v>907</v>
      </c>
    </row>
    <row r="354" customFormat="false" ht="15" hidden="false" customHeight="false" outlineLevel="0" collapsed="false">
      <c r="A354" s="5" t="s">
        <v>959</v>
      </c>
    </row>
    <row r="355" customFormat="false" ht="35.05" hidden="false" customHeight="false" outlineLevel="0" collapsed="false">
      <c r="A355" s="2" t="s">
        <v>960</v>
      </c>
      <c r="B355" s="2" t="s">
        <v>961</v>
      </c>
      <c r="C355" s="14" t="n">
        <v>0.4</v>
      </c>
      <c r="D355" s="14" t="n">
        <v>0.4</v>
      </c>
      <c r="E355" s="14" t="n">
        <v>0.4</v>
      </c>
      <c r="F355" s="2" t="s">
        <v>117</v>
      </c>
      <c r="G355" s="7" t="s">
        <v>25</v>
      </c>
      <c r="H355" s="2"/>
      <c r="I355" s="8" t="s">
        <v>962</v>
      </c>
      <c r="J355" s="2" t="s">
        <v>963</v>
      </c>
    </row>
    <row r="356" customFormat="false" ht="35.05" hidden="false" customHeight="false" outlineLevel="0" collapsed="false">
      <c r="A356" s="2" t="s">
        <v>964</v>
      </c>
      <c r="B356" s="2" t="s">
        <v>965</v>
      </c>
      <c r="C356" s="14" t="n">
        <v>0.333</v>
      </c>
      <c r="D356" s="14" t="n">
        <v>0.333</v>
      </c>
      <c r="E356" s="14" t="n">
        <v>0.333</v>
      </c>
      <c r="F356" s="2" t="s">
        <v>117</v>
      </c>
      <c r="G356" s="7" t="s">
        <v>25</v>
      </c>
      <c r="H356" s="2"/>
      <c r="I356" s="8" t="s">
        <v>962</v>
      </c>
      <c r="J356" s="2" t="s">
        <v>963</v>
      </c>
    </row>
    <row r="357" customFormat="false" ht="35.05" hidden="false" customHeight="false" outlineLevel="0" collapsed="false">
      <c r="A357" s="2" t="s">
        <v>966</v>
      </c>
      <c r="B357" s="2" t="s">
        <v>967</v>
      </c>
      <c r="C357" s="14" t="n">
        <v>0.267</v>
      </c>
      <c r="D357" s="14" t="n">
        <v>0.267</v>
      </c>
      <c r="E357" s="14" t="n">
        <v>0.267</v>
      </c>
      <c r="F357" s="2" t="s">
        <v>117</v>
      </c>
      <c r="G357" s="7" t="s">
        <v>25</v>
      </c>
      <c r="H357" s="2"/>
      <c r="I357" s="8" t="s">
        <v>962</v>
      </c>
      <c r="J357" s="2" t="s">
        <v>963</v>
      </c>
    </row>
    <row r="358" customFormat="false" ht="35.05" hidden="false" customHeight="false" outlineLevel="0" collapsed="false">
      <c r="A358" s="2" t="s">
        <v>968</v>
      </c>
      <c r="B358" s="2" t="s">
        <v>969</v>
      </c>
      <c r="C358" s="14" t="n">
        <v>0.25</v>
      </c>
      <c r="D358" s="14" t="n">
        <v>0.25</v>
      </c>
      <c r="E358" s="14" t="n">
        <v>0.25</v>
      </c>
      <c r="F358" s="2" t="s">
        <v>117</v>
      </c>
      <c r="G358" s="7" t="s">
        <v>25</v>
      </c>
      <c r="H358" s="2"/>
      <c r="I358" s="8" t="s">
        <v>962</v>
      </c>
      <c r="J358" s="2" t="s">
        <v>963</v>
      </c>
    </row>
    <row r="359" customFormat="false" ht="35.05" hidden="false" customHeight="false" outlineLevel="0" collapsed="false">
      <c r="A359" s="2" t="s">
        <v>970</v>
      </c>
      <c r="B359" s="2" t="s">
        <v>971</v>
      </c>
      <c r="C359" s="14" t="n">
        <v>0.4</v>
      </c>
      <c r="D359" s="14" t="n">
        <v>0.4</v>
      </c>
      <c r="E359" s="14" t="n">
        <v>0.4</v>
      </c>
      <c r="F359" s="2" t="s">
        <v>117</v>
      </c>
      <c r="G359" s="7" t="s">
        <v>25</v>
      </c>
      <c r="H359" s="2"/>
      <c r="I359" s="8" t="s">
        <v>962</v>
      </c>
      <c r="J359" s="2" t="s">
        <v>963</v>
      </c>
    </row>
    <row r="360" customFormat="false" ht="35.05" hidden="false" customHeight="false" outlineLevel="0" collapsed="false">
      <c r="A360" s="2" t="s">
        <v>972</v>
      </c>
      <c r="B360" s="2" t="s">
        <v>973</v>
      </c>
      <c r="C360" s="14" t="n">
        <v>0</v>
      </c>
      <c r="D360" s="14" t="n">
        <v>0</v>
      </c>
      <c r="E360" s="14" t="n">
        <v>0</v>
      </c>
      <c r="F360" s="2" t="s">
        <v>117</v>
      </c>
      <c r="G360" s="7" t="s">
        <v>25</v>
      </c>
      <c r="H360" s="2"/>
      <c r="I360" s="8" t="s">
        <v>962</v>
      </c>
      <c r="J360" s="2" t="s">
        <v>963</v>
      </c>
    </row>
    <row r="361" customFormat="false" ht="35.05" hidden="false" customHeight="false" outlineLevel="0" collapsed="false">
      <c r="A361" s="2" t="s">
        <v>974</v>
      </c>
      <c r="B361" s="2" t="s">
        <v>975</v>
      </c>
      <c r="C361" s="14" t="n">
        <v>0.5</v>
      </c>
      <c r="D361" s="14" t="n">
        <v>0.5</v>
      </c>
      <c r="E361" s="14" t="n">
        <v>0.5</v>
      </c>
      <c r="F361" s="2" t="s">
        <v>117</v>
      </c>
      <c r="G361" s="7" t="s">
        <v>25</v>
      </c>
      <c r="H361" s="2"/>
      <c r="I361" s="8" t="s">
        <v>962</v>
      </c>
      <c r="J361" s="2" t="s">
        <v>963</v>
      </c>
    </row>
    <row r="362" customFormat="false" ht="15" hidden="false" customHeight="false" outlineLevel="0" collapsed="false">
      <c r="A362" s="2" t="s">
        <v>976</v>
      </c>
      <c r="B362" s="2" t="s">
        <v>977</v>
      </c>
      <c r="C362" s="14" t="n">
        <v>1</v>
      </c>
      <c r="D362" s="14" t="n">
        <v>1</v>
      </c>
      <c r="E362" s="14" t="n">
        <v>1</v>
      </c>
      <c r="F362" s="2" t="s">
        <v>117</v>
      </c>
      <c r="G362" s="7" t="s">
        <v>25</v>
      </c>
      <c r="H362" s="2"/>
      <c r="I362" s="8" t="s">
        <v>978</v>
      </c>
      <c r="J362" s="2" t="s">
        <v>963</v>
      </c>
    </row>
    <row r="363" customFormat="false" ht="15" hidden="false" customHeight="false" outlineLevel="0" collapsed="false">
      <c r="A363" s="2" t="s">
        <v>979</v>
      </c>
      <c r="B363" s="2" t="s">
        <v>980</v>
      </c>
      <c r="C363" s="14" t="n">
        <v>1</v>
      </c>
      <c r="D363" s="14" t="n">
        <v>1</v>
      </c>
      <c r="E363" s="14" t="n">
        <v>1</v>
      </c>
      <c r="F363" s="2" t="s">
        <v>117</v>
      </c>
      <c r="G363" s="7" t="s">
        <v>25</v>
      </c>
      <c r="H363" s="2"/>
      <c r="I363" s="8" t="s">
        <v>978</v>
      </c>
      <c r="J363" s="2" t="s">
        <v>963</v>
      </c>
    </row>
    <row r="364" customFormat="false" ht="15" hidden="false" customHeight="false" outlineLevel="0" collapsed="false">
      <c r="A364" s="2" t="s">
        <v>981</v>
      </c>
      <c r="B364" s="2" t="s">
        <v>982</v>
      </c>
      <c r="C364" s="14" t="n">
        <v>1</v>
      </c>
      <c r="D364" s="14" t="n">
        <v>1</v>
      </c>
      <c r="E364" s="14" t="n">
        <v>1</v>
      </c>
      <c r="F364" s="2" t="s">
        <v>117</v>
      </c>
      <c r="G364" s="7" t="s">
        <v>25</v>
      </c>
      <c r="H364" s="2"/>
      <c r="I364" s="8" t="s">
        <v>978</v>
      </c>
      <c r="J364" s="2" t="s">
        <v>963</v>
      </c>
    </row>
    <row r="365" customFormat="false" ht="15" hidden="false" customHeight="false" outlineLevel="0" collapsed="false">
      <c r="A365" s="2" t="s">
        <v>983</v>
      </c>
      <c r="B365" s="2" t="s">
        <v>984</v>
      </c>
      <c r="C365" s="14" t="n">
        <v>1</v>
      </c>
      <c r="D365" s="14" t="n">
        <v>1</v>
      </c>
      <c r="E365" s="14" t="n">
        <v>1</v>
      </c>
      <c r="F365" s="2" t="s">
        <v>117</v>
      </c>
      <c r="G365" s="7" t="s">
        <v>25</v>
      </c>
      <c r="H365" s="2"/>
      <c r="I365" s="8" t="s">
        <v>978</v>
      </c>
      <c r="J365" s="2" t="s">
        <v>963</v>
      </c>
    </row>
    <row r="366" customFormat="false" ht="15" hidden="false" customHeight="false" outlineLevel="0" collapsed="false">
      <c r="A366" s="2" t="s">
        <v>985</v>
      </c>
      <c r="B366" s="2" t="s">
        <v>986</v>
      </c>
      <c r="C366" s="14" t="n">
        <v>1</v>
      </c>
      <c r="D366" s="14" t="n">
        <v>1</v>
      </c>
      <c r="E366" s="14" t="n">
        <v>1</v>
      </c>
      <c r="F366" s="2" t="s">
        <v>117</v>
      </c>
      <c r="G366" s="7" t="s">
        <v>25</v>
      </c>
      <c r="H366" s="2"/>
      <c r="I366" s="8" t="s">
        <v>978</v>
      </c>
      <c r="J366" s="2" t="s">
        <v>963</v>
      </c>
    </row>
    <row r="367" customFormat="false" ht="15" hidden="false" customHeight="false" outlineLevel="0" collapsed="false">
      <c r="A367" s="2" t="s">
        <v>987</v>
      </c>
      <c r="B367" s="2" t="s">
        <v>988</v>
      </c>
      <c r="C367" s="14" t="n">
        <v>1</v>
      </c>
      <c r="D367" s="14" t="n">
        <v>1</v>
      </c>
      <c r="E367" s="14" t="n">
        <v>1</v>
      </c>
      <c r="F367" s="2" t="s">
        <v>117</v>
      </c>
      <c r="G367" s="7" t="s">
        <v>25</v>
      </c>
      <c r="H367" s="2"/>
      <c r="I367" s="8" t="s">
        <v>978</v>
      </c>
      <c r="J367" s="2" t="s">
        <v>963</v>
      </c>
    </row>
    <row r="368" customFormat="false" ht="15" hidden="false" customHeight="false" outlineLevel="0" collapsed="false">
      <c r="A368" s="2" t="s">
        <v>989</v>
      </c>
      <c r="B368" s="2" t="s">
        <v>990</v>
      </c>
      <c r="C368" s="14" t="n">
        <v>1</v>
      </c>
      <c r="D368" s="14" t="n">
        <v>1</v>
      </c>
      <c r="E368" s="14" t="n">
        <v>1</v>
      </c>
      <c r="F368" s="2" t="s">
        <v>117</v>
      </c>
      <c r="G368" s="7" t="s">
        <v>25</v>
      </c>
      <c r="H368" s="2"/>
      <c r="I368" s="8" t="s">
        <v>978</v>
      </c>
      <c r="J368" s="2" t="s">
        <v>963</v>
      </c>
    </row>
    <row r="369" customFormat="false" ht="23.85" hidden="false" customHeight="false" outlineLevel="0" collapsed="false">
      <c r="A369" s="2" t="s">
        <v>991</v>
      </c>
      <c r="B369" s="2" t="s">
        <v>992</v>
      </c>
      <c r="C369" s="14" t="n">
        <v>4</v>
      </c>
      <c r="D369" s="14" t="n">
        <v>4</v>
      </c>
      <c r="E369" s="14" t="n">
        <v>4</v>
      </c>
      <c r="F369" s="2" t="s">
        <v>117</v>
      </c>
      <c r="G369" s="7" t="s">
        <v>25</v>
      </c>
      <c r="H369" s="2"/>
      <c r="I369" s="8" t="s">
        <v>993</v>
      </c>
      <c r="J369" s="2" t="s">
        <v>963</v>
      </c>
    </row>
    <row r="370" customFormat="false" ht="23.85" hidden="false" customHeight="false" outlineLevel="0" collapsed="false">
      <c r="A370" s="2" t="s">
        <v>994</v>
      </c>
      <c r="B370" s="2" t="s">
        <v>995</v>
      </c>
      <c r="C370" s="14" t="n">
        <v>1.333</v>
      </c>
      <c r="D370" s="14" t="n">
        <v>1.333</v>
      </c>
      <c r="E370" s="14" t="n">
        <v>1.333</v>
      </c>
      <c r="F370" s="2" t="s">
        <v>117</v>
      </c>
      <c r="G370" s="7" t="s">
        <v>25</v>
      </c>
      <c r="H370" s="2"/>
      <c r="I370" s="8" t="s">
        <v>993</v>
      </c>
      <c r="J370" s="2" t="s">
        <v>963</v>
      </c>
    </row>
    <row r="371" customFormat="false" ht="23.85" hidden="false" customHeight="false" outlineLevel="0" collapsed="false">
      <c r="A371" s="2" t="s">
        <v>996</v>
      </c>
      <c r="B371" s="2" t="s">
        <v>997</v>
      </c>
      <c r="C371" s="14" t="n">
        <v>1.267</v>
      </c>
      <c r="D371" s="14" t="n">
        <v>1.267</v>
      </c>
      <c r="E371" s="14" t="n">
        <v>1.267</v>
      </c>
      <c r="F371" s="2" t="s">
        <v>117</v>
      </c>
      <c r="G371" s="7" t="s">
        <v>25</v>
      </c>
      <c r="H371" s="2"/>
      <c r="I371" s="8" t="s">
        <v>993</v>
      </c>
      <c r="J371" s="2" t="s">
        <v>963</v>
      </c>
    </row>
    <row r="372" customFormat="false" ht="23.85" hidden="false" customHeight="false" outlineLevel="0" collapsed="false">
      <c r="A372" s="2" t="s">
        <v>998</v>
      </c>
      <c r="B372" s="2" t="s">
        <v>999</v>
      </c>
      <c r="C372" s="14" t="n">
        <v>2</v>
      </c>
      <c r="D372" s="14" t="n">
        <v>2</v>
      </c>
      <c r="E372" s="14" t="n">
        <v>2</v>
      </c>
      <c r="F372" s="2" t="s">
        <v>117</v>
      </c>
      <c r="G372" s="7" t="s">
        <v>25</v>
      </c>
      <c r="H372" s="2"/>
      <c r="I372" s="8" t="s">
        <v>993</v>
      </c>
      <c r="J372" s="2" t="s">
        <v>963</v>
      </c>
    </row>
    <row r="373" customFormat="false" ht="23.85" hidden="false" customHeight="false" outlineLevel="0" collapsed="false">
      <c r="A373" s="2" t="s">
        <v>1000</v>
      </c>
      <c r="B373" s="2" t="s">
        <v>1001</v>
      </c>
      <c r="C373" s="14" t="n">
        <v>2</v>
      </c>
      <c r="D373" s="14" t="n">
        <v>2</v>
      </c>
      <c r="E373" s="14" t="n">
        <v>2</v>
      </c>
      <c r="F373" s="2" t="s">
        <v>117</v>
      </c>
      <c r="G373" s="7" t="s">
        <v>25</v>
      </c>
      <c r="H373" s="2"/>
      <c r="I373" s="8" t="s">
        <v>993</v>
      </c>
      <c r="J373" s="2" t="s">
        <v>963</v>
      </c>
    </row>
    <row r="374" customFormat="false" ht="23.85" hidden="false" customHeight="false" outlineLevel="0" collapsed="false">
      <c r="A374" s="2" t="s">
        <v>1002</v>
      </c>
      <c r="B374" s="2" t="s">
        <v>1003</v>
      </c>
      <c r="C374" s="14" t="n">
        <v>1</v>
      </c>
      <c r="D374" s="14" t="n">
        <v>1</v>
      </c>
      <c r="E374" s="14" t="n">
        <v>1</v>
      </c>
      <c r="F374" s="2" t="s">
        <v>117</v>
      </c>
      <c r="G374" s="7" t="s">
        <v>25</v>
      </c>
      <c r="H374" s="2"/>
      <c r="I374" s="8" t="s">
        <v>993</v>
      </c>
      <c r="J374" s="2" t="s">
        <v>963</v>
      </c>
    </row>
    <row r="375" customFormat="false" ht="23.85" hidden="false" customHeight="false" outlineLevel="0" collapsed="false">
      <c r="A375" s="2" t="s">
        <v>1004</v>
      </c>
      <c r="B375" s="2" t="s">
        <v>1005</v>
      </c>
      <c r="C375" s="14" t="n">
        <v>1.5</v>
      </c>
      <c r="D375" s="14" t="n">
        <v>1.5</v>
      </c>
      <c r="E375" s="14" t="n">
        <v>1.5</v>
      </c>
      <c r="F375" s="2" t="s">
        <v>117</v>
      </c>
      <c r="G375" s="7" t="s">
        <v>25</v>
      </c>
      <c r="H375" s="2"/>
      <c r="I375" s="8" t="s">
        <v>993</v>
      </c>
      <c r="J375" s="2" t="s">
        <v>963</v>
      </c>
    </row>
    <row r="376" customFormat="false" ht="15" hidden="false" customHeight="false" outlineLevel="0" collapsed="false">
      <c r="A376" s="5" t="s">
        <v>1006</v>
      </c>
    </row>
    <row r="377" customFormat="false" ht="23.85" hidden="false" customHeight="false" outlineLevel="0" collapsed="false">
      <c r="A377" s="2" t="s">
        <v>1007</v>
      </c>
      <c r="B377" s="2" t="s">
        <v>1008</v>
      </c>
      <c r="C377" s="6" t="n">
        <v>1200000</v>
      </c>
      <c r="D377" s="6" t="n">
        <v>1200000</v>
      </c>
      <c r="E377" s="6" t="n">
        <v>1200000</v>
      </c>
      <c r="F377" s="2" t="s">
        <v>492</v>
      </c>
      <c r="G377" s="7" t="s">
        <v>25</v>
      </c>
      <c r="H377" s="2" t="s">
        <v>1009</v>
      </c>
      <c r="I377" s="8" t="s">
        <v>1010</v>
      </c>
      <c r="J377" s="2" t="s">
        <v>1011</v>
      </c>
    </row>
    <row r="378" customFormat="false" ht="15" hidden="false" customHeight="false" outlineLevel="0" collapsed="false">
      <c r="A378" s="2" t="s">
        <v>1012</v>
      </c>
      <c r="B378" s="2" t="s">
        <v>1013</v>
      </c>
      <c r="C378" s="6" t="n">
        <v>3500000</v>
      </c>
      <c r="D378" s="6" t="n">
        <v>3500000</v>
      </c>
      <c r="E378" s="6" t="n">
        <v>3500000</v>
      </c>
      <c r="F378" s="2" t="s">
        <v>492</v>
      </c>
      <c r="G378" s="7" t="s">
        <v>25</v>
      </c>
      <c r="H378" s="2" t="s">
        <v>1009</v>
      </c>
      <c r="I378" s="8"/>
      <c r="J378" s="2" t="s">
        <v>1011</v>
      </c>
    </row>
    <row r="379" customFormat="false" ht="15" hidden="false" customHeight="false" outlineLevel="0" collapsed="false">
      <c r="A379" s="2" t="s">
        <v>1014</v>
      </c>
      <c r="B379" s="2" t="s">
        <v>1015</v>
      </c>
      <c r="C379" s="6" t="n">
        <v>9000000</v>
      </c>
      <c r="D379" s="6" t="n">
        <v>9000000</v>
      </c>
      <c r="E379" s="6" t="n">
        <v>9000000</v>
      </c>
      <c r="F379" s="2" t="s">
        <v>492</v>
      </c>
      <c r="G379" s="7" t="s">
        <v>25</v>
      </c>
      <c r="H379" s="2" t="s">
        <v>1009</v>
      </c>
      <c r="I379" s="8"/>
      <c r="J379" s="2" t="s">
        <v>1011</v>
      </c>
    </row>
    <row r="380" customFormat="false" ht="15" hidden="false" customHeight="false" outlineLevel="0" collapsed="false">
      <c r="A380" s="2" t="s">
        <v>1016</v>
      </c>
      <c r="B380" s="2" t="s">
        <v>1017</v>
      </c>
      <c r="C380" s="14" t="n">
        <v>25</v>
      </c>
      <c r="D380" s="14" t="n">
        <v>20</v>
      </c>
      <c r="E380" s="14" t="n">
        <v>15</v>
      </c>
      <c r="F380" s="2" t="s">
        <v>435</v>
      </c>
      <c r="G380" s="7" t="s">
        <v>25</v>
      </c>
      <c r="H380" s="2"/>
      <c r="I380" s="8"/>
      <c r="J380" s="2" t="s">
        <v>1011</v>
      </c>
    </row>
    <row r="381" customFormat="false" ht="15" hidden="false" customHeight="false" outlineLevel="0" collapsed="false">
      <c r="A381" s="2" t="s">
        <v>1018</v>
      </c>
      <c r="B381" s="2" t="s">
        <v>1019</v>
      </c>
      <c r="C381" s="9" t="n">
        <v>0.5</v>
      </c>
      <c r="D381" s="9" t="n">
        <v>0.7</v>
      </c>
      <c r="E381" s="9" t="n">
        <v>0.8</v>
      </c>
      <c r="F381" s="2" t="s">
        <v>46</v>
      </c>
      <c r="G381" s="7" t="s">
        <v>25</v>
      </c>
      <c r="H381" s="2"/>
      <c r="I381" s="8"/>
      <c r="J381" s="2" t="s">
        <v>1011</v>
      </c>
    </row>
    <row r="382" customFormat="false" ht="23.85" hidden="false" customHeight="false" outlineLevel="0" collapsed="false">
      <c r="A382" s="2" t="s">
        <v>1020</v>
      </c>
      <c r="B382" s="2" t="s">
        <v>1021</v>
      </c>
      <c r="C382" s="9" t="n">
        <v>0.035</v>
      </c>
      <c r="D382" s="9" t="n">
        <v>0.042</v>
      </c>
      <c r="E382" s="9" t="n">
        <v>0.055</v>
      </c>
      <c r="F382" s="2" t="s">
        <v>99</v>
      </c>
      <c r="G382" s="11" t="s">
        <v>41</v>
      </c>
      <c r="H382" s="2" t="s">
        <v>1022</v>
      </c>
      <c r="I382" s="8" t="s">
        <v>1023</v>
      </c>
      <c r="J382" s="2" t="s">
        <v>1011</v>
      </c>
    </row>
    <row r="383" customFormat="false" ht="15" hidden="false" customHeight="false" outlineLevel="0" collapsed="false">
      <c r="A383" s="5" t="s">
        <v>1024</v>
      </c>
    </row>
    <row r="384" customFormat="false" ht="15" hidden="false" customHeight="false" outlineLevel="0" collapsed="false">
      <c r="A384" s="2" t="s">
        <v>1025</v>
      </c>
      <c r="B384" s="2" t="s">
        <v>1026</v>
      </c>
      <c r="C384" s="14" t="n">
        <v>12</v>
      </c>
      <c r="D384" s="14" t="n">
        <v>12</v>
      </c>
      <c r="E384" s="14" t="n">
        <v>12</v>
      </c>
      <c r="F384" s="2" t="s">
        <v>565</v>
      </c>
      <c r="G384" s="7" t="s">
        <v>25</v>
      </c>
      <c r="H384" s="2"/>
      <c r="I384" s="8"/>
      <c r="J384" s="2" t="s">
        <v>1027</v>
      </c>
    </row>
    <row r="385" customFormat="false" ht="15" hidden="false" customHeight="false" outlineLevel="0" collapsed="false">
      <c r="A385" s="2" t="s">
        <v>1028</v>
      </c>
      <c r="B385" s="2" t="s">
        <v>1029</v>
      </c>
      <c r="C385" s="14" t="n">
        <v>0.5</v>
      </c>
      <c r="D385" s="14" t="n">
        <v>0.5</v>
      </c>
      <c r="E385" s="14" t="n">
        <v>0.5</v>
      </c>
      <c r="F385" s="2" t="s">
        <v>565</v>
      </c>
      <c r="G385" s="7" t="s">
        <v>25</v>
      </c>
      <c r="H385" s="2"/>
      <c r="I385" s="8"/>
      <c r="J385" s="2" t="s">
        <v>1027</v>
      </c>
    </row>
    <row r="386" customFormat="false" ht="15" hidden="false" customHeight="false" outlineLevel="0" collapsed="false">
      <c r="A386" s="2" t="s">
        <v>1030</v>
      </c>
      <c r="B386" s="2" t="s">
        <v>1031</v>
      </c>
      <c r="C386" s="14" t="n">
        <v>2.5</v>
      </c>
      <c r="D386" s="14" t="n">
        <v>2.5</v>
      </c>
      <c r="E386" s="14" t="n">
        <v>2.5</v>
      </c>
      <c r="F386" s="2" t="s">
        <v>565</v>
      </c>
      <c r="G386" s="7" t="s">
        <v>25</v>
      </c>
      <c r="H386" s="2"/>
      <c r="I386" s="8"/>
      <c r="J386" s="2" t="s">
        <v>1027</v>
      </c>
    </row>
    <row r="387" customFormat="false" ht="15" hidden="false" customHeight="false" outlineLevel="0" collapsed="false">
      <c r="A387" s="2" t="s">
        <v>1032</v>
      </c>
      <c r="B387" s="2" t="s">
        <v>1033</v>
      </c>
      <c r="C387" s="14" t="n">
        <v>35</v>
      </c>
      <c r="D387" s="14" t="n">
        <v>35</v>
      </c>
      <c r="E387" s="14" t="n">
        <v>35</v>
      </c>
      <c r="F387" s="2" t="s">
        <v>565</v>
      </c>
      <c r="G387" s="7" t="s">
        <v>25</v>
      </c>
      <c r="H387" s="2"/>
      <c r="I387" s="8"/>
      <c r="J387" s="2" t="s">
        <v>1027</v>
      </c>
    </row>
    <row r="388" customFormat="false" ht="15" hidden="false" customHeight="false" outlineLevel="0" collapsed="false">
      <c r="A388" s="2" t="s">
        <v>1034</v>
      </c>
      <c r="B388" s="2" t="s">
        <v>1035</v>
      </c>
      <c r="C388" s="14" t="n">
        <v>3000</v>
      </c>
      <c r="D388" s="14" t="n">
        <v>3000</v>
      </c>
      <c r="E388" s="14" t="n">
        <v>3000</v>
      </c>
      <c r="F388" s="2" t="s">
        <v>1036</v>
      </c>
      <c r="G388" s="11" t="s">
        <v>41</v>
      </c>
      <c r="H388" s="2"/>
      <c r="I388" s="8" t="s">
        <v>1037</v>
      </c>
      <c r="J388" s="2" t="s">
        <v>1027</v>
      </c>
    </row>
    <row r="389" customFormat="false" ht="15" hidden="false" customHeight="false" outlineLevel="0" collapsed="false">
      <c r="A389" s="2" t="s">
        <v>1038</v>
      </c>
      <c r="B389" s="2" t="s">
        <v>1039</v>
      </c>
      <c r="C389" s="14" t="n">
        <v>60</v>
      </c>
      <c r="D389" s="14" t="n">
        <v>60</v>
      </c>
      <c r="E389" s="14" t="n">
        <v>60</v>
      </c>
      <c r="F389" s="2" t="s">
        <v>1040</v>
      </c>
      <c r="G389" s="11" t="s">
        <v>41</v>
      </c>
      <c r="H389" s="2"/>
      <c r="I389" s="8" t="s">
        <v>1041</v>
      </c>
      <c r="J389" s="2" t="s">
        <v>1027</v>
      </c>
    </row>
    <row r="390" customFormat="false" ht="15" hidden="false" customHeight="false" outlineLevel="0" collapsed="false">
      <c r="A390" s="2" t="s">
        <v>1042</v>
      </c>
      <c r="B390" s="2" t="s">
        <v>1043</v>
      </c>
      <c r="C390" s="14" t="n">
        <v>12</v>
      </c>
      <c r="D390" s="14" t="n">
        <v>12</v>
      </c>
      <c r="E390" s="14" t="n">
        <v>12</v>
      </c>
      <c r="F390" s="2" t="s">
        <v>575</v>
      </c>
      <c r="G390" s="7" t="s">
        <v>25</v>
      </c>
      <c r="H390" s="2"/>
      <c r="I390" s="8"/>
      <c r="J390" s="2" t="s">
        <v>1027</v>
      </c>
    </row>
    <row r="391" customFormat="false" ht="15" hidden="false" customHeight="false" outlineLevel="0" collapsed="false">
      <c r="A391" s="2" t="s">
        <v>1044</v>
      </c>
      <c r="B391" s="2" t="s">
        <v>1045</v>
      </c>
      <c r="C391" s="14" t="n">
        <v>4</v>
      </c>
      <c r="D391" s="14" t="n">
        <v>4</v>
      </c>
      <c r="E391" s="14" t="n">
        <v>4</v>
      </c>
      <c r="F391" s="2" t="s">
        <v>603</v>
      </c>
      <c r="G391" s="7" t="s">
        <v>25</v>
      </c>
      <c r="H391" s="2"/>
      <c r="I391" s="8" t="s">
        <v>1046</v>
      </c>
      <c r="J391" s="2" t="s">
        <v>1027</v>
      </c>
    </row>
    <row r="392" customFormat="false" ht="23.85" hidden="false" customHeight="false" outlineLevel="0" collapsed="false">
      <c r="A392" s="2" t="s">
        <v>1047</v>
      </c>
      <c r="B392" s="2" t="s">
        <v>1048</v>
      </c>
      <c r="C392" s="14" t="n">
        <v>900</v>
      </c>
      <c r="D392" s="14" t="n">
        <v>900</v>
      </c>
      <c r="E392" s="14" t="n">
        <v>900</v>
      </c>
      <c r="F392" s="2" t="s">
        <v>702</v>
      </c>
      <c r="G392" s="7" t="s">
        <v>25</v>
      </c>
      <c r="H392" s="2"/>
      <c r="I392" s="8" t="s">
        <v>1049</v>
      </c>
      <c r="J392" s="2" t="s">
        <v>1027</v>
      </c>
    </row>
    <row r="393" customFormat="false" ht="15" hidden="false" customHeight="false" outlineLevel="0" collapsed="false">
      <c r="A393" s="2" t="s">
        <v>1050</v>
      </c>
      <c r="B393" s="2" t="s">
        <v>1051</v>
      </c>
      <c r="C393" s="14" t="n">
        <v>600</v>
      </c>
      <c r="D393" s="14" t="n">
        <v>600</v>
      </c>
      <c r="E393" s="14" t="n">
        <v>600</v>
      </c>
      <c r="F393" s="2" t="s">
        <v>702</v>
      </c>
      <c r="G393" s="7" t="s">
        <v>25</v>
      </c>
      <c r="H393" s="2"/>
      <c r="I393" s="8"/>
      <c r="J393" s="2" t="s">
        <v>1027</v>
      </c>
    </row>
    <row r="394" customFormat="false" ht="46.25" hidden="false" customHeight="false" outlineLevel="0" collapsed="false">
      <c r="A394" s="2" t="s">
        <v>1052</v>
      </c>
      <c r="B394" s="2" t="s">
        <v>1053</v>
      </c>
      <c r="C394" s="14" t="n">
        <v>1800</v>
      </c>
      <c r="D394" s="14" t="n">
        <v>1800</v>
      </c>
      <c r="E394" s="14" t="n">
        <v>1800</v>
      </c>
      <c r="F394" s="2" t="s">
        <v>702</v>
      </c>
      <c r="G394" s="11" t="s">
        <v>41</v>
      </c>
      <c r="H394" s="2"/>
      <c r="I394" s="8" t="s">
        <v>1054</v>
      </c>
      <c r="J394" s="2" t="s">
        <v>1027</v>
      </c>
    </row>
    <row r="395" customFormat="false" ht="15" hidden="false" customHeight="false" outlineLevel="0" collapsed="false">
      <c r="A395" s="2" t="s">
        <v>1055</v>
      </c>
      <c r="B395" s="2" t="s">
        <v>1056</v>
      </c>
      <c r="C395" s="14" t="n">
        <v>0</v>
      </c>
      <c r="D395" s="14" t="n">
        <v>0</v>
      </c>
      <c r="E395" s="14" t="n">
        <v>0</v>
      </c>
      <c r="F395" s="2" t="s">
        <v>702</v>
      </c>
      <c r="G395" s="7" t="s">
        <v>25</v>
      </c>
      <c r="H395" s="2"/>
      <c r="I395" s="8"/>
      <c r="J395" s="2" t="s">
        <v>1027</v>
      </c>
    </row>
    <row r="396" customFormat="false" ht="15" hidden="false" customHeight="false" outlineLevel="0" collapsed="false">
      <c r="A396" s="2" t="s">
        <v>1057</v>
      </c>
      <c r="B396" s="2" t="s">
        <v>1058</v>
      </c>
      <c r="C396" s="14" t="n">
        <v>1800</v>
      </c>
      <c r="D396" s="14" t="n">
        <v>1800</v>
      </c>
      <c r="E396" s="14" t="n">
        <v>1800</v>
      </c>
      <c r="F396" s="2" t="s">
        <v>702</v>
      </c>
      <c r="G396" s="7" t="s">
        <v>25</v>
      </c>
      <c r="H396" s="2"/>
      <c r="I396" s="8" t="s">
        <v>1059</v>
      </c>
      <c r="J396" s="2" t="s">
        <v>1027</v>
      </c>
    </row>
    <row r="397" customFormat="false" ht="57.45" hidden="false" customHeight="false" outlineLevel="0" collapsed="false">
      <c r="A397" s="2" t="s">
        <v>1060</v>
      </c>
      <c r="B397" s="2" t="s">
        <v>1061</v>
      </c>
      <c r="C397" s="14" t="n">
        <v>1200</v>
      </c>
      <c r="D397" s="14" t="n">
        <v>1200</v>
      </c>
      <c r="E397" s="14" t="n">
        <v>1200</v>
      </c>
      <c r="F397" s="2" t="s">
        <v>702</v>
      </c>
      <c r="G397" s="11" t="s">
        <v>41</v>
      </c>
      <c r="H397" s="2"/>
      <c r="I397" s="8" t="s">
        <v>1062</v>
      </c>
      <c r="J397" s="2" t="s">
        <v>1027</v>
      </c>
    </row>
    <row r="398" customFormat="false" ht="15" hidden="false" customHeight="false" outlineLevel="0" collapsed="false">
      <c r="A398" s="2" t="s">
        <v>1063</v>
      </c>
      <c r="B398" s="2" t="s">
        <v>1064</v>
      </c>
      <c r="C398" s="14" t="n">
        <v>30</v>
      </c>
      <c r="D398" s="14" t="n">
        <v>30</v>
      </c>
      <c r="E398" s="14" t="n">
        <v>30</v>
      </c>
      <c r="F398" s="2" t="s">
        <v>565</v>
      </c>
      <c r="G398" s="7" t="s">
        <v>25</v>
      </c>
      <c r="H398" s="2"/>
      <c r="I398" s="8"/>
      <c r="J398" s="2" t="s">
        <v>1027</v>
      </c>
    </row>
    <row r="399" customFormat="false" ht="15" hidden="false" customHeight="false" outlineLevel="0" collapsed="false">
      <c r="A399" s="2" t="s">
        <v>1065</v>
      </c>
      <c r="B399" s="2" t="s">
        <v>1066</v>
      </c>
      <c r="C399" s="14" t="n">
        <v>2</v>
      </c>
      <c r="D399" s="14" t="n">
        <v>2</v>
      </c>
      <c r="E399" s="14" t="n">
        <v>2</v>
      </c>
      <c r="F399" s="2" t="s">
        <v>565</v>
      </c>
      <c r="G399" s="7" t="s">
        <v>25</v>
      </c>
      <c r="H399" s="2"/>
      <c r="I399" s="8"/>
      <c r="J399" s="2" t="s">
        <v>1027</v>
      </c>
    </row>
    <row r="400" customFormat="false" ht="15" hidden="false" customHeight="false" outlineLevel="0" collapsed="false">
      <c r="A400" s="2" t="s">
        <v>1067</v>
      </c>
      <c r="B400" s="2" t="s">
        <v>1068</v>
      </c>
      <c r="C400" s="14" t="n">
        <v>8</v>
      </c>
      <c r="D400" s="14" t="n">
        <v>8</v>
      </c>
      <c r="E400" s="14" t="n">
        <v>8</v>
      </c>
      <c r="F400" s="2" t="s">
        <v>565</v>
      </c>
      <c r="G400" s="7" t="s">
        <v>25</v>
      </c>
      <c r="H400" s="2"/>
      <c r="I400" s="8"/>
      <c r="J400" s="2" t="s">
        <v>1027</v>
      </c>
    </row>
    <row r="401" customFormat="false" ht="15" hidden="false" customHeight="false" outlineLevel="0" collapsed="false">
      <c r="A401" s="2" t="s">
        <v>1069</v>
      </c>
      <c r="B401" s="2" t="s">
        <v>1070</v>
      </c>
      <c r="C401" s="14" t="n">
        <v>80</v>
      </c>
      <c r="D401" s="14" t="n">
        <v>80</v>
      </c>
      <c r="E401" s="14" t="n">
        <v>80</v>
      </c>
      <c r="F401" s="2" t="s">
        <v>565</v>
      </c>
      <c r="G401" s="7" t="s">
        <v>25</v>
      </c>
      <c r="H401" s="2"/>
      <c r="I401" s="8"/>
      <c r="J401" s="2" t="s">
        <v>1027</v>
      </c>
    </row>
    <row r="402" customFormat="false" ht="15" hidden="false" customHeight="false" outlineLevel="0" collapsed="false">
      <c r="A402" s="2" t="s">
        <v>1071</v>
      </c>
      <c r="B402" s="2" t="s">
        <v>1072</v>
      </c>
      <c r="C402" s="14" t="n">
        <v>7000</v>
      </c>
      <c r="D402" s="14" t="n">
        <v>7000</v>
      </c>
      <c r="E402" s="14" t="n">
        <v>7000</v>
      </c>
      <c r="F402" s="2" t="s">
        <v>1036</v>
      </c>
      <c r="G402" s="11" t="s">
        <v>41</v>
      </c>
      <c r="H402" s="2"/>
      <c r="I402" s="8" t="s">
        <v>1073</v>
      </c>
      <c r="J402" s="2" t="s">
        <v>1027</v>
      </c>
    </row>
    <row r="403" customFormat="false" ht="15" hidden="false" customHeight="false" outlineLevel="0" collapsed="false">
      <c r="A403" s="2" t="s">
        <v>1074</v>
      </c>
      <c r="B403" s="2" t="s">
        <v>1075</v>
      </c>
      <c r="C403" s="14" t="n">
        <v>130</v>
      </c>
      <c r="D403" s="14" t="n">
        <v>130</v>
      </c>
      <c r="E403" s="14" t="n">
        <v>130</v>
      </c>
      <c r="F403" s="2" t="s">
        <v>1040</v>
      </c>
      <c r="G403" s="11" t="s">
        <v>41</v>
      </c>
      <c r="H403" s="2"/>
      <c r="I403" s="8"/>
      <c r="J403" s="2" t="s">
        <v>1027</v>
      </c>
    </row>
    <row r="404" customFormat="false" ht="15" hidden="false" customHeight="false" outlineLevel="0" collapsed="false">
      <c r="A404" s="2" t="s">
        <v>1076</v>
      </c>
      <c r="B404" s="2" t="s">
        <v>1077</v>
      </c>
      <c r="C404" s="14" t="n">
        <v>40</v>
      </c>
      <c r="D404" s="14" t="n">
        <v>40</v>
      </c>
      <c r="E404" s="14" t="n">
        <v>40</v>
      </c>
      <c r="F404" s="2" t="s">
        <v>575</v>
      </c>
      <c r="G404" s="7" t="s">
        <v>25</v>
      </c>
      <c r="H404" s="2"/>
      <c r="I404" s="8"/>
      <c r="J404" s="2" t="s">
        <v>1027</v>
      </c>
    </row>
    <row r="405" customFormat="false" ht="15" hidden="false" customHeight="false" outlineLevel="0" collapsed="false">
      <c r="A405" s="2" t="s">
        <v>1078</v>
      </c>
      <c r="B405" s="2" t="s">
        <v>1079</v>
      </c>
      <c r="C405" s="14" t="n">
        <v>8</v>
      </c>
      <c r="D405" s="14" t="n">
        <v>8</v>
      </c>
      <c r="E405" s="14" t="n">
        <v>8</v>
      </c>
      <c r="F405" s="2" t="s">
        <v>603</v>
      </c>
      <c r="G405" s="7" t="s">
        <v>25</v>
      </c>
      <c r="H405" s="2"/>
      <c r="I405" s="8"/>
      <c r="J405" s="2" t="s">
        <v>1027</v>
      </c>
    </row>
    <row r="406" customFormat="false" ht="15" hidden="false" customHeight="false" outlineLevel="0" collapsed="false">
      <c r="A406" s="2" t="s">
        <v>1080</v>
      </c>
      <c r="B406" s="2" t="s">
        <v>1081</v>
      </c>
      <c r="C406" s="14" t="n">
        <v>2000</v>
      </c>
      <c r="D406" s="14" t="n">
        <v>2000</v>
      </c>
      <c r="E406" s="14" t="n">
        <v>2000</v>
      </c>
      <c r="F406" s="2" t="s">
        <v>702</v>
      </c>
      <c r="G406" s="7" t="s">
        <v>25</v>
      </c>
      <c r="H406" s="2"/>
      <c r="I406" s="8" t="s">
        <v>1082</v>
      </c>
      <c r="J406" s="2" t="s">
        <v>1027</v>
      </c>
    </row>
    <row r="407" customFormat="false" ht="15" hidden="false" customHeight="false" outlineLevel="0" collapsed="false">
      <c r="A407" s="2" t="s">
        <v>1083</v>
      </c>
      <c r="B407" s="2" t="s">
        <v>1084</v>
      </c>
      <c r="C407" s="14" t="n">
        <v>2500</v>
      </c>
      <c r="D407" s="14" t="n">
        <v>2500</v>
      </c>
      <c r="E407" s="14" t="n">
        <v>2500</v>
      </c>
      <c r="F407" s="2" t="s">
        <v>702</v>
      </c>
      <c r="G407" s="7" t="s">
        <v>25</v>
      </c>
      <c r="H407" s="2"/>
      <c r="I407" s="8"/>
      <c r="J407" s="2" t="s">
        <v>1027</v>
      </c>
    </row>
    <row r="408" customFormat="false" ht="46.25" hidden="false" customHeight="false" outlineLevel="0" collapsed="false">
      <c r="A408" s="2" t="s">
        <v>1085</v>
      </c>
      <c r="B408" s="2" t="s">
        <v>1086</v>
      </c>
      <c r="C408" s="14" t="n">
        <v>4000</v>
      </c>
      <c r="D408" s="14" t="n">
        <v>4000</v>
      </c>
      <c r="E408" s="14" t="n">
        <v>4000</v>
      </c>
      <c r="F408" s="2" t="s">
        <v>702</v>
      </c>
      <c r="G408" s="11" t="s">
        <v>41</v>
      </c>
      <c r="H408" s="2"/>
      <c r="I408" s="8" t="s">
        <v>1087</v>
      </c>
      <c r="J408" s="2" t="s">
        <v>1027</v>
      </c>
    </row>
    <row r="409" customFormat="false" ht="15" hidden="false" customHeight="false" outlineLevel="0" collapsed="false">
      <c r="A409" s="2" t="s">
        <v>1088</v>
      </c>
      <c r="B409" s="2" t="s">
        <v>1089</v>
      </c>
      <c r="C409" s="14" t="n">
        <v>1500</v>
      </c>
      <c r="D409" s="14" t="n">
        <v>1500</v>
      </c>
      <c r="E409" s="14" t="n">
        <v>1500</v>
      </c>
      <c r="F409" s="2" t="s">
        <v>702</v>
      </c>
      <c r="G409" s="7" t="s">
        <v>25</v>
      </c>
      <c r="H409" s="2"/>
      <c r="I409" s="8"/>
      <c r="J409" s="2" t="s">
        <v>1027</v>
      </c>
    </row>
    <row r="410" customFormat="false" ht="15" hidden="false" customHeight="false" outlineLevel="0" collapsed="false">
      <c r="A410" s="2" t="s">
        <v>1090</v>
      </c>
      <c r="B410" s="2" t="s">
        <v>1091</v>
      </c>
      <c r="C410" s="14" t="n">
        <v>7100</v>
      </c>
      <c r="D410" s="14" t="n">
        <v>7100</v>
      </c>
      <c r="E410" s="14" t="n">
        <v>7100</v>
      </c>
      <c r="F410" s="2" t="s">
        <v>702</v>
      </c>
      <c r="G410" s="7" t="s">
        <v>25</v>
      </c>
      <c r="H410" s="2"/>
      <c r="I410" s="8" t="s">
        <v>1092</v>
      </c>
      <c r="J410" s="2" t="s">
        <v>1027</v>
      </c>
    </row>
    <row r="411" customFormat="false" ht="46.25" hidden="false" customHeight="false" outlineLevel="0" collapsed="false">
      <c r="A411" s="2" t="s">
        <v>1093</v>
      </c>
      <c r="B411" s="2" t="s">
        <v>1094</v>
      </c>
      <c r="C411" s="14" t="n">
        <v>3300</v>
      </c>
      <c r="D411" s="14" t="n">
        <v>3300</v>
      </c>
      <c r="E411" s="14" t="n">
        <v>3300</v>
      </c>
      <c r="F411" s="2" t="s">
        <v>702</v>
      </c>
      <c r="G411" s="11" t="s">
        <v>41</v>
      </c>
      <c r="H411" s="2"/>
      <c r="I411" s="8" t="s">
        <v>1095</v>
      </c>
      <c r="J411" s="2" t="s">
        <v>1027</v>
      </c>
    </row>
    <row r="412" customFormat="false" ht="15" hidden="false" customHeight="false" outlineLevel="0" collapsed="false">
      <c r="A412" s="2" t="s">
        <v>1096</v>
      </c>
      <c r="B412" s="2" t="s">
        <v>1097</v>
      </c>
      <c r="C412" s="14" t="n">
        <v>120</v>
      </c>
      <c r="D412" s="14" t="n">
        <v>120</v>
      </c>
      <c r="E412" s="14" t="n">
        <v>120</v>
      </c>
      <c r="F412" s="2" t="s">
        <v>565</v>
      </c>
      <c r="G412" s="7" t="s">
        <v>25</v>
      </c>
      <c r="H412" s="2"/>
      <c r="I412" s="8"/>
      <c r="J412" s="2" t="s">
        <v>1027</v>
      </c>
    </row>
    <row r="413" customFormat="false" ht="15" hidden="false" customHeight="false" outlineLevel="0" collapsed="false">
      <c r="A413" s="2" t="s">
        <v>1098</v>
      </c>
      <c r="B413" s="2" t="s">
        <v>1099</v>
      </c>
      <c r="C413" s="14" t="n">
        <v>10</v>
      </c>
      <c r="D413" s="14" t="n">
        <v>10</v>
      </c>
      <c r="E413" s="14" t="n">
        <v>10</v>
      </c>
      <c r="F413" s="2" t="s">
        <v>565</v>
      </c>
      <c r="G413" s="7" t="s">
        <v>25</v>
      </c>
      <c r="H413" s="2"/>
      <c r="I413" s="8"/>
      <c r="J413" s="2" t="s">
        <v>1027</v>
      </c>
    </row>
    <row r="414" customFormat="false" ht="15" hidden="false" customHeight="false" outlineLevel="0" collapsed="false">
      <c r="A414" s="2" t="s">
        <v>1100</v>
      </c>
      <c r="B414" s="2" t="s">
        <v>1101</v>
      </c>
      <c r="C414" s="14" t="n">
        <v>50</v>
      </c>
      <c r="D414" s="14" t="n">
        <v>50</v>
      </c>
      <c r="E414" s="14" t="n">
        <v>50</v>
      </c>
      <c r="F414" s="2" t="s">
        <v>565</v>
      </c>
      <c r="G414" s="7" t="s">
        <v>25</v>
      </c>
      <c r="H414" s="2"/>
      <c r="I414" s="8"/>
      <c r="J414" s="2" t="s">
        <v>1027</v>
      </c>
    </row>
    <row r="415" customFormat="false" ht="15" hidden="false" customHeight="false" outlineLevel="0" collapsed="false">
      <c r="A415" s="2" t="s">
        <v>1102</v>
      </c>
      <c r="B415" s="2" t="s">
        <v>1103</v>
      </c>
      <c r="C415" s="14" t="n">
        <v>120</v>
      </c>
      <c r="D415" s="14" t="n">
        <v>120</v>
      </c>
      <c r="E415" s="14" t="n">
        <v>120</v>
      </c>
      <c r="F415" s="2" t="s">
        <v>565</v>
      </c>
      <c r="G415" s="7" t="s">
        <v>25</v>
      </c>
      <c r="H415" s="2"/>
      <c r="I415" s="8"/>
      <c r="J415" s="2" t="s">
        <v>1027</v>
      </c>
    </row>
    <row r="416" customFormat="false" ht="15" hidden="false" customHeight="false" outlineLevel="0" collapsed="false">
      <c r="A416" s="2" t="s">
        <v>1104</v>
      </c>
      <c r="B416" s="2" t="s">
        <v>1105</v>
      </c>
      <c r="C416" s="14" t="n">
        <v>10000</v>
      </c>
      <c r="D416" s="14" t="n">
        <v>10000</v>
      </c>
      <c r="E416" s="14" t="n">
        <v>10000</v>
      </c>
      <c r="F416" s="2" t="s">
        <v>1036</v>
      </c>
      <c r="G416" s="11" t="s">
        <v>41</v>
      </c>
      <c r="H416" s="2"/>
      <c r="I416" s="8" t="s">
        <v>1106</v>
      </c>
      <c r="J416" s="2" t="s">
        <v>1027</v>
      </c>
    </row>
    <row r="417" customFormat="false" ht="15" hidden="false" customHeight="false" outlineLevel="0" collapsed="false">
      <c r="A417" s="2" t="s">
        <v>1107</v>
      </c>
      <c r="B417" s="2" t="s">
        <v>1108</v>
      </c>
      <c r="C417" s="14" t="n">
        <v>260</v>
      </c>
      <c r="D417" s="14" t="n">
        <v>260</v>
      </c>
      <c r="E417" s="14" t="n">
        <v>260</v>
      </c>
      <c r="F417" s="2" t="s">
        <v>1040</v>
      </c>
      <c r="G417" s="11" t="s">
        <v>41</v>
      </c>
      <c r="H417" s="2"/>
      <c r="I417" s="8"/>
      <c r="J417" s="2" t="s">
        <v>1027</v>
      </c>
    </row>
    <row r="418" customFormat="false" ht="15" hidden="false" customHeight="false" outlineLevel="0" collapsed="false">
      <c r="A418" s="2" t="s">
        <v>1109</v>
      </c>
      <c r="B418" s="2" t="s">
        <v>1110</v>
      </c>
      <c r="C418" s="14" t="n">
        <v>50</v>
      </c>
      <c r="D418" s="14" t="n">
        <v>50</v>
      </c>
      <c r="E418" s="14" t="n">
        <v>50</v>
      </c>
      <c r="F418" s="2" t="s">
        <v>575</v>
      </c>
      <c r="G418" s="7" t="s">
        <v>25</v>
      </c>
      <c r="H418" s="2"/>
      <c r="I418" s="8"/>
      <c r="J418" s="2" t="s">
        <v>1027</v>
      </c>
    </row>
    <row r="419" customFormat="false" ht="15" hidden="false" customHeight="false" outlineLevel="0" collapsed="false">
      <c r="A419" s="2" t="s">
        <v>1111</v>
      </c>
      <c r="B419" s="2" t="s">
        <v>1112</v>
      </c>
      <c r="C419" s="14" t="n">
        <v>12</v>
      </c>
      <c r="D419" s="14" t="n">
        <v>12</v>
      </c>
      <c r="E419" s="14" t="n">
        <v>12</v>
      </c>
      <c r="F419" s="2" t="s">
        <v>603</v>
      </c>
      <c r="G419" s="7" t="s">
        <v>25</v>
      </c>
      <c r="H419" s="2"/>
      <c r="I419" s="8"/>
      <c r="J419" s="2" t="s">
        <v>1027</v>
      </c>
    </row>
    <row r="420" customFormat="false" ht="15" hidden="false" customHeight="false" outlineLevel="0" collapsed="false">
      <c r="A420" s="2" t="s">
        <v>1113</v>
      </c>
      <c r="B420" s="2" t="s">
        <v>1114</v>
      </c>
      <c r="C420" s="14" t="n">
        <v>4500</v>
      </c>
      <c r="D420" s="14" t="n">
        <v>4500</v>
      </c>
      <c r="E420" s="14" t="n">
        <v>4500</v>
      </c>
      <c r="F420" s="2" t="s">
        <v>702</v>
      </c>
      <c r="G420" s="7" t="s">
        <v>25</v>
      </c>
      <c r="H420" s="2"/>
      <c r="I420" s="8" t="s">
        <v>1115</v>
      </c>
      <c r="J420" s="2" t="s">
        <v>1027</v>
      </c>
    </row>
    <row r="421" customFormat="false" ht="15" hidden="false" customHeight="false" outlineLevel="0" collapsed="false">
      <c r="A421" s="2" t="s">
        <v>1116</v>
      </c>
      <c r="B421" s="2" t="s">
        <v>1117</v>
      </c>
      <c r="C421" s="14" t="n">
        <v>4000</v>
      </c>
      <c r="D421" s="14" t="n">
        <v>4000</v>
      </c>
      <c r="E421" s="14" t="n">
        <v>4000</v>
      </c>
      <c r="F421" s="2" t="s">
        <v>702</v>
      </c>
      <c r="G421" s="7" t="s">
        <v>25</v>
      </c>
      <c r="H421" s="2"/>
      <c r="I421" s="8"/>
      <c r="J421" s="2" t="s">
        <v>1027</v>
      </c>
    </row>
    <row r="422" customFormat="false" ht="46.25" hidden="false" customHeight="false" outlineLevel="0" collapsed="false">
      <c r="A422" s="2" t="s">
        <v>1118</v>
      </c>
      <c r="B422" s="2" t="s">
        <v>1119</v>
      </c>
      <c r="C422" s="14" t="n">
        <v>6200</v>
      </c>
      <c r="D422" s="14" t="n">
        <v>6200</v>
      </c>
      <c r="E422" s="14" t="n">
        <v>6200</v>
      </c>
      <c r="F422" s="2" t="s">
        <v>702</v>
      </c>
      <c r="G422" s="11" t="s">
        <v>41</v>
      </c>
      <c r="H422" s="2"/>
      <c r="I422" s="8" t="s">
        <v>1120</v>
      </c>
      <c r="J422" s="2" t="s">
        <v>1027</v>
      </c>
    </row>
    <row r="423" customFormat="false" ht="15" hidden="false" customHeight="false" outlineLevel="0" collapsed="false">
      <c r="A423" s="2" t="s">
        <v>1121</v>
      </c>
      <c r="B423" s="2" t="s">
        <v>1122</v>
      </c>
      <c r="C423" s="14" t="n">
        <v>1500</v>
      </c>
      <c r="D423" s="14" t="n">
        <v>1500</v>
      </c>
      <c r="E423" s="14" t="n">
        <v>1500</v>
      </c>
      <c r="F423" s="2" t="s">
        <v>702</v>
      </c>
      <c r="G423" s="7" t="s">
        <v>25</v>
      </c>
      <c r="H423" s="2"/>
      <c r="I423" s="8"/>
      <c r="J423" s="2" t="s">
        <v>1027</v>
      </c>
    </row>
    <row r="424" customFormat="false" ht="15" hidden="false" customHeight="false" outlineLevel="0" collapsed="false">
      <c r="A424" s="2" t="s">
        <v>1123</v>
      </c>
      <c r="B424" s="2" t="s">
        <v>1124</v>
      </c>
      <c r="C424" s="14" t="n">
        <v>7500</v>
      </c>
      <c r="D424" s="14" t="n">
        <v>7500</v>
      </c>
      <c r="E424" s="14" t="n">
        <v>7500</v>
      </c>
      <c r="F424" s="2" t="s">
        <v>702</v>
      </c>
      <c r="G424" s="7" t="s">
        <v>25</v>
      </c>
      <c r="H424" s="2"/>
      <c r="I424" s="8"/>
      <c r="J424" s="2" t="s">
        <v>1027</v>
      </c>
    </row>
    <row r="425" customFormat="false" ht="46.25" hidden="false" customHeight="false" outlineLevel="0" collapsed="false">
      <c r="A425" s="2" t="s">
        <v>1125</v>
      </c>
      <c r="B425" s="2" t="s">
        <v>1126</v>
      </c>
      <c r="C425" s="14" t="n">
        <v>6000</v>
      </c>
      <c r="D425" s="14" t="n">
        <v>6000</v>
      </c>
      <c r="E425" s="14" t="n">
        <v>6000</v>
      </c>
      <c r="F425" s="2" t="s">
        <v>702</v>
      </c>
      <c r="G425" s="11" t="s">
        <v>41</v>
      </c>
      <c r="H425" s="2"/>
      <c r="I425" s="8" t="s">
        <v>1127</v>
      </c>
      <c r="J425" s="2" t="s">
        <v>1027</v>
      </c>
    </row>
    <row r="426" customFormat="false" ht="15" hidden="false" customHeight="false" outlineLevel="0" collapsed="false">
      <c r="A426" s="5" t="s">
        <v>1128</v>
      </c>
    </row>
    <row r="427" customFormat="false" ht="15" hidden="false" customHeight="false" outlineLevel="0" collapsed="false">
      <c r="A427" s="2" t="s">
        <v>1129</v>
      </c>
      <c r="B427" s="2" t="s">
        <v>1130</v>
      </c>
      <c r="C427" s="14" t="n">
        <v>0</v>
      </c>
      <c r="D427" s="14" t="n">
        <v>0</v>
      </c>
      <c r="E427" s="14" t="n">
        <v>0</v>
      </c>
      <c r="F427" s="2" t="s">
        <v>1131</v>
      </c>
      <c r="G427" s="7" t="s">
        <v>25</v>
      </c>
      <c r="H427" s="2"/>
      <c r="I427" s="8" t="s">
        <v>1132</v>
      </c>
      <c r="J427" s="2" t="s">
        <v>1133</v>
      </c>
    </row>
    <row r="428" customFormat="false" ht="15" hidden="false" customHeight="false" outlineLevel="0" collapsed="false">
      <c r="A428" s="2" t="s">
        <v>1134</v>
      </c>
      <c r="B428" s="2" t="s">
        <v>1135</v>
      </c>
      <c r="C428" s="14" t="n">
        <v>0</v>
      </c>
      <c r="D428" s="14" t="n">
        <v>0</v>
      </c>
      <c r="E428" s="14" t="n">
        <v>0</v>
      </c>
      <c r="F428" s="2" t="s">
        <v>1131</v>
      </c>
      <c r="G428" s="7" t="s">
        <v>25</v>
      </c>
      <c r="H428" s="2"/>
      <c r="I428" s="8" t="s">
        <v>1132</v>
      </c>
      <c r="J428" s="2" t="s">
        <v>1133</v>
      </c>
    </row>
    <row r="429" customFormat="false" ht="15" hidden="false" customHeight="false" outlineLevel="0" collapsed="false">
      <c r="A429" s="2" t="s">
        <v>1136</v>
      </c>
      <c r="B429" s="2" t="s">
        <v>1137</v>
      </c>
      <c r="C429" s="14" t="n">
        <v>0</v>
      </c>
      <c r="D429" s="14" t="n">
        <v>0</v>
      </c>
      <c r="E429" s="14" t="n">
        <v>0</v>
      </c>
      <c r="F429" s="2" t="s">
        <v>1131</v>
      </c>
      <c r="G429" s="7" t="s">
        <v>25</v>
      </c>
      <c r="H429" s="2"/>
      <c r="I429" s="8" t="s">
        <v>1132</v>
      </c>
      <c r="J429" s="2" t="s">
        <v>1133</v>
      </c>
    </row>
    <row r="430" customFormat="false" ht="15" hidden="false" customHeight="false" outlineLevel="0" collapsed="false">
      <c r="A430" s="2" t="s">
        <v>1138</v>
      </c>
      <c r="B430" s="2" t="s">
        <v>1139</v>
      </c>
      <c r="C430" s="14" t="n">
        <v>3</v>
      </c>
      <c r="D430" s="14" t="n">
        <v>3</v>
      </c>
      <c r="E430" s="14" t="n">
        <v>3</v>
      </c>
      <c r="F430" s="2" t="s">
        <v>1131</v>
      </c>
      <c r="G430" s="7" t="s">
        <v>25</v>
      </c>
      <c r="H430" s="2"/>
      <c r="I430" s="8" t="s">
        <v>1132</v>
      </c>
      <c r="J430" s="2" t="s">
        <v>1133</v>
      </c>
    </row>
    <row r="431" customFormat="false" ht="15" hidden="false" customHeight="false" outlineLevel="0" collapsed="false">
      <c r="A431" s="2" t="s">
        <v>1140</v>
      </c>
      <c r="B431" s="2" t="s">
        <v>1141</v>
      </c>
      <c r="C431" s="14" t="n">
        <v>99</v>
      </c>
      <c r="D431" s="14" t="n">
        <v>99</v>
      </c>
      <c r="E431" s="14" t="n">
        <v>99</v>
      </c>
      <c r="F431" s="2" t="s">
        <v>1131</v>
      </c>
      <c r="G431" s="7" t="s">
        <v>25</v>
      </c>
      <c r="H431" s="2"/>
      <c r="I431" s="8" t="s">
        <v>1132</v>
      </c>
      <c r="J431" s="2" t="s">
        <v>1133</v>
      </c>
    </row>
    <row r="432" customFormat="false" ht="15" hidden="false" customHeight="false" outlineLevel="0" collapsed="false">
      <c r="A432" s="2" t="s">
        <v>1142</v>
      </c>
      <c r="B432" s="2" t="s">
        <v>1143</v>
      </c>
      <c r="C432" s="14" t="n">
        <v>0</v>
      </c>
      <c r="D432" s="14" t="n">
        <v>0</v>
      </c>
      <c r="E432" s="14" t="n">
        <v>0</v>
      </c>
      <c r="F432" s="2" t="s">
        <v>1131</v>
      </c>
      <c r="G432" s="7" t="s">
        <v>25</v>
      </c>
      <c r="H432" s="2"/>
      <c r="I432" s="8" t="s">
        <v>1132</v>
      </c>
      <c r="J432" s="2" t="s">
        <v>1133</v>
      </c>
    </row>
    <row r="433" customFormat="false" ht="15" hidden="false" customHeight="false" outlineLevel="0" collapsed="false">
      <c r="A433" s="2" t="s">
        <v>1144</v>
      </c>
      <c r="B433" s="2" t="s">
        <v>1145</v>
      </c>
      <c r="C433" s="14" t="n">
        <v>99</v>
      </c>
      <c r="D433" s="14" t="n">
        <v>99</v>
      </c>
      <c r="E433" s="14" t="n">
        <v>99</v>
      </c>
      <c r="F433" s="2" t="s">
        <v>1131</v>
      </c>
      <c r="G433" s="7" t="s">
        <v>25</v>
      </c>
      <c r="H433" s="2"/>
      <c r="I433" s="8" t="s">
        <v>1132</v>
      </c>
      <c r="J433" s="2" t="s">
        <v>1133</v>
      </c>
    </row>
    <row r="434" customFormat="false" ht="15" hidden="false" customHeight="false" outlineLevel="0" collapsed="false">
      <c r="A434" s="2" t="s">
        <v>1146</v>
      </c>
      <c r="B434" s="2" t="s">
        <v>1147</v>
      </c>
      <c r="C434" s="14" t="n">
        <v>0</v>
      </c>
      <c r="D434" s="14" t="n">
        <v>0</v>
      </c>
      <c r="E434" s="14" t="n">
        <v>0</v>
      </c>
      <c r="F434" s="2" t="s">
        <v>1131</v>
      </c>
      <c r="G434" s="7" t="s">
        <v>25</v>
      </c>
      <c r="H434" s="2"/>
      <c r="I434" s="8" t="s">
        <v>1132</v>
      </c>
      <c r="J434" s="2" t="s">
        <v>1133</v>
      </c>
    </row>
    <row r="435" customFormat="false" ht="15" hidden="false" customHeight="false" outlineLevel="0" collapsed="false">
      <c r="A435" s="2" t="s">
        <v>1148</v>
      </c>
      <c r="B435" s="2" t="s">
        <v>1149</v>
      </c>
      <c r="C435" s="14" t="n">
        <v>1</v>
      </c>
      <c r="D435" s="14" t="n">
        <v>1</v>
      </c>
      <c r="E435" s="14" t="n">
        <v>1</v>
      </c>
      <c r="F435" s="2" t="s">
        <v>1131</v>
      </c>
      <c r="G435" s="7" t="s">
        <v>25</v>
      </c>
      <c r="H435" s="2"/>
      <c r="I435" s="8" t="s">
        <v>1132</v>
      </c>
      <c r="J435" s="2" t="s">
        <v>1133</v>
      </c>
    </row>
    <row r="436" customFormat="false" ht="15" hidden="false" customHeight="false" outlineLevel="0" collapsed="false">
      <c r="A436" s="2" t="s">
        <v>1150</v>
      </c>
      <c r="B436" s="2" t="s">
        <v>1151</v>
      </c>
      <c r="C436" s="14" t="n">
        <v>0</v>
      </c>
      <c r="D436" s="14" t="n">
        <v>0</v>
      </c>
      <c r="E436" s="14" t="n">
        <v>0</v>
      </c>
      <c r="F436" s="2" t="s">
        <v>1131</v>
      </c>
      <c r="G436" s="7" t="s">
        <v>25</v>
      </c>
      <c r="H436" s="2"/>
      <c r="I436" s="8" t="s">
        <v>1132</v>
      </c>
      <c r="J436" s="2" t="s">
        <v>1133</v>
      </c>
    </row>
    <row r="437" customFormat="false" ht="15" hidden="false" customHeight="false" outlineLevel="0" collapsed="false">
      <c r="A437" s="2" t="s">
        <v>1152</v>
      </c>
      <c r="B437" s="2" t="s">
        <v>1153</v>
      </c>
      <c r="C437" s="14" t="n">
        <v>0.7</v>
      </c>
      <c r="D437" s="14" t="n">
        <v>0.7</v>
      </c>
      <c r="E437" s="14" t="n">
        <v>0.7</v>
      </c>
      <c r="F437" s="2" t="s">
        <v>1131</v>
      </c>
      <c r="G437" s="7" t="s">
        <v>25</v>
      </c>
      <c r="H437" s="2"/>
      <c r="I437" s="8" t="s">
        <v>1132</v>
      </c>
      <c r="J437" s="2" t="s">
        <v>1133</v>
      </c>
    </row>
    <row r="438" customFormat="false" ht="15" hidden="false" customHeight="false" outlineLevel="0" collapsed="false">
      <c r="A438" s="2" t="s">
        <v>1154</v>
      </c>
      <c r="B438" s="2" t="s">
        <v>1155</v>
      </c>
      <c r="C438" s="14" t="n">
        <v>0.7</v>
      </c>
      <c r="D438" s="14" t="n">
        <v>0.7</v>
      </c>
      <c r="E438" s="14" t="n">
        <v>0.7</v>
      </c>
      <c r="F438" s="2" t="s">
        <v>1131</v>
      </c>
      <c r="G438" s="7" t="s">
        <v>25</v>
      </c>
      <c r="H438" s="2"/>
      <c r="I438" s="8" t="s">
        <v>1132</v>
      </c>
      <c r="J438" s="2" t="s">
        <v>1133</v>
      </c>
    </row>
    <row r="439" customFormat="false" ht="15" hidden="false" customHeight="false" outlineLevel="0" collapsed="false">
      <c r="A439" s="2" t="s">
        <v>1156</v>
      </c>
      <c r="B439" s="2" t="s">
        <v>1157</v>
      </c>
      <c r="C439" s="14" t="n">
        <v>0.7</v>
      </c>
      <c r="D439" s="14" t="n">
        <v>0.7</v>
      </c>
      <c r="E439" s="14" t="n">
        <v>0.7</v>
      </c>
      <c r="F439" s="2" t="s">
        <v>1131</v>
      </c>
      <c r="G439" s="7" t="s">
        <v>25</v>
      </c>
      <c r="H439" s="2"/>
      <c r="I439" s="8" t="s">
        <v>1132</v>
      </c>
      <c r="J439" s="2" t="s">
        <v>1133</v>
      </c>
    </row>
    <row r="440" customFormat="false" ht="15" hidden="false" customHeight="false" outlineLevel="0" collapsed="false">
      <c r="A440" s="2" t="s">
        <v>1158</v>
      </c>
      <c r="B440" s="2" t="s">
        <v>1159</v>
      </c>
      <c r="C440" s="14" t="n">
        <v>1</v>
      </c>
      <c r="D440" s="14" t="n">
        <v>1</v>
      </c>
      <c r="E440" s="14" t="n">
        <v>1</v>
      </c>
      <c r="F440" s="2" t="s">
        <v>1131</v>
      </c>
      <c r="G440" s="7" t="s">
        <v>25</v>
      </c>
      <c r="H440" s="2"/>
      <c r="I440" s="8" t="s">
        <v>1132</v>
      </c>
      <c r="J440" s="2" t="s">
        <v>1133</v>
      </c>
    </row>
    <row r="441" customFormat="false" ht="15" hidden="false" customHeight="false" outlineLevel="0" collapsed="false">
      <c r="A441" s="2" t="s">
        <v>1160</v>
      </c>
      <c r="B441" s="2" t="s">
        <v>1161</v>
      </c>
      <c r="C441" s="14" t="n">
        <v>0</v>
      </c>
      <c r="D441" s="14" t="n">
        <v>0</v>
      </c>
      <c r="E441" s="14" t="n">
        <v>0</v>
      </c>
      <c r="F441" s="2" t="s">
        <v>1131</v>
      </c>
      <c r="G441" s="7" t="s">
        <v>25</v>
      </c>
      <c r="H441" s="2"/>
      <c r="I441" s="8" t="s">
        <v>1162</v>
      </c>
      <c r="J441" s="2" t="s">
        <v>1133</v>
      </c>
    </row>
    <row r="442" customFormat="false" ht="15" hidden="false" customHeight="false" outlineLevel="0" collapsed="false">
      <c r="A442" s="2" t="s">
        <v>1163</v>
      </c>
      <c r="B442" s="2" t="s">
        <v>1164</v>
      </c>
      <c r="C442" s="14" t="n">
        <v>0</v>
      </c>
      <c r="D442" s="14" t="n">
        <v>0</v>
      </c>
      <c r="E442" s="14" t="n">
        <v>0</v>
      </c>
      <c r="F442" s="2" t="s">
        <v>1131</v>
      </c>
      <c r="G442" s="7" t="s">
        <v>25</v>
      </c>
      <c r="H442" s="2"/>
      <c r="I442" s="8" t="s">
        <v>1162</v>
      </c>
      <c r="J442" s="2" t="s">
        <v>1133</v>
      </c>
    </row>
    <row r="443" customFormat="false" ht="15" hidden="false" customHeight="false" outlineLevel="0" collapsed="false">
      <c r="A443" s="2" t="s">
        <v>1165</v>
      </c>
      <c r="B443" s="2" t="s">
        <v>1166</v>
      </c>
      <c r="C443" s="14" t="n">
        <v>0</v>
      </c>
      <c r="D443" s="14" t="n">
        <v>0</v>
      </c>
      <c r="E443" s="14" t="n">
        <v>0</v>
      </c>
      <c r="F443" s="2" t="s">
        <v>1131</v>
      </c>
      <c r="G443" s="7" t="s">
        <v>25</v>
      </c>
      <c r="H443" s="2"/>
      <c r="I443" s="8" t="s">
        <v>1162</v>
      </c>
      <c r="J443" s="2" t="s">
        <v>1133</v>
      </c>
    </row>
    <row r="444" customFormat="false" ht="15" hidden="false" customHeight="false" outlineLevel="0" collapsed="false">
      <c r="A444" s="2" t="s">
        <v>1167</v>
      </c>
      <c r="B444" s="2" t="s">
        <v>1168</v>
      </c>
      <c r="C444" s="14" t="n">
        <v>99</v>
      </c>
      <c r="D444" s="14" t="n">
        <v>99</v>
      </c>
      <c r="E444" s="14" t="n">
        <v>99</v>
      </c>
      <c r="F444" s="2" t="s">
        <v>1131</v>
      </c>
      <c r="G444" s="7" t="s">
        <v>25</v>
      </c>
      <c r="H444" s="2"/>
      <c r="I444" s="8" t="s">
        <v>1162</v>
      </c>
      <c r="J444" s="2" t="s">
        <v>1133</v>
      </c>
    </row>
    <row r="445" customFormat="false" ht="15" hidden="false" customHeight="false" outlineLevel="0" collapsed="false">
      <c r="A445" s="2" t="s">
        <v>1169</v>
      </c>
      <c r="B445" s="2" t="s">
        <v>1170</v>
      </c>
      <c r="C445" s="14" t="n">
        <v>99</v>
      </c>
      <c r="D445" s="14" t="n">
        <v>99</v>
      </c>
      <c r="E445" s="14" t="n">
        <v>99</v>
      </c>
      <c r="F445" s="2" t="s">
        <v>1131</v>
      </c>
      <c r="G445" s="7" t="s">
        <v>25</v>
      </c>
      <c r="H445" s="2"/>
      <c r="I445" s="8" t="s">
        <v>1162</v>
      </c>
      <c r="J445" s="2" t="s">
        <v>1133</v>
      </c>
    </row>
    <row r="446" customFormat="false" ht="15" hidden="false" customHeight="false" outlineLevel="0" collapsed="false">
      <c r="A446" s="2" t="s">
        <v>1171</v>
      </c>
      <c r="B446" s="2" t="s">
        <v>1172</v>
      </c>
      <c r="C446" s="14" t="n">
        <v>0</v>
      </c>
      <c r="D446" s="14" t="n">
        <v>0</v>
      </c>
      <c r="E446" s="14" t="n">
        <v>0</v>
      </c>
      <c r="F446" s="2" t="s">
        <v>1131</v>
      </c>
      <c r="G446" s="7" t="s">
        <v>25</v>
      </c>
      <c r="H446" s="2"/>
      <c r="I446" s="8" t="s">
        <v>1162</v>
      </c>
      <c r="J446" s="2" t="s">
        <v>1133</v>
      </c>
    </row>
    <row r="447" customFormat="false" ht="15" hidden="false" customHeight="false" outlineLevel="0" collapsed="false">
      <c r="A447" s="2" t="s">
        <v>1173</v>
      </c>
      <c r="B447" s="2" t="s">
        <v>1174</v>
      </c>
      <c r="C447" s="14" t="n">
        <v>99</v>
      </c>
      <c r="D447" s="14" t="n">
        <v>99</v>
      </c>
      <c r="E447" s="14" t="n">
        <v>99</v>
      </c>
      <c r="F447" s="2" t="s">
        <v>1131</v>
      </c>
      <c r="G447" s="7" t="s">
        <v>25</v>
      </c>
      <c r="H447" s="2"/>
      <c r="I447" s="8" t="s">
        <v>1162</v>
      </c>
      <c r="J447" s="2" t="s">
        <v>1133</v>
      </c>
    </row>
    <row r="448" customFormat="false" ht="15" hidden="false" customHeight="false" outlineLevel="0" collapsed="false">
      <c r="A448" s="2" t="s">
        <v>1175</v>
      </c>
      <c r="B448" s="2" t="s">
        <v>1176</v>
      </c>
      <c r="C448" s="14" t="n">
        <v>0</v>
      </c>
      <c r="D448" s="14" t="n">
        <v>0</v>
      </c>
      <c r="E448" s="14" t="n">
        <v>0</v>
      </c>
      <c r="F448" s="2" t="s">
        <v>1131</v>
      </c>
      <c r="G448" s="7" t="s">
        <v>25</v>
      </c>
      <c r="H448" s="2"/>
      <c r="I448" s="8" t="s">
        <v>1162</v>
      </c>
      <c r="J448" s="2" t="s">
        <v>1133</v>
      </c>
    </row>
    <row r="449" customFormat="false" ht="15" hidden="false" customHeight="false" outlineLevel="0" collapsed="false">
      <c r="A449" s="2" t="s">
        <v>1177</v>
      </c>
      <c r="B449" s="2" t="s">
        <v>1178</v>
      </c>
      <c r="C449" s="14" t="n">
        <v>1</v>
      </c>
      <c r="D449" s="14" t="n">
        <v>1</v>
      </c>
      <c r="E449" s="14" t="n">
        <v>1</v>
      </c>
      <c r="F449" s="2" t="s">
        <v>1131</v>
      </c>
      <c r="G449" s="7" t="s">
        <v>25</v>
      </c>
      <c r="H449" s="2"/>
      <c r="I449" s="8" t="s">
        <v>1162</v>
      </c>
      <c r="J449" s="2" t="s">
        <v>1133</v>
      </c>
    </row>
    <row r="450" customFormat="false" ht="15" hidden="false" customHeight="false" outlineLevel="0" collapsed="false">
      <c r="A450" s="2" t="s">
        <v>1179</v>
      </c>
      <c r="B450" s="2" t="s">
        <v>1180</v>
      </c>
      <c r="C450" s="14" t="n">
        <v>0</v>
      </c>
      <c r="D450" s="14" t="n">
        <v>0</v>
      </c>
      <c r="E450" s="14" t="n">
        <v>0</v>
      </c>
      <c r="F450" s="2" t="s">
        <v>1131</v>
      </c>
      <c r="G450" s="7" t="s">
        <v>25</v>
      </c>
      <c r="H450" s="2"/>
      <c r="I450" s="8" t="s">
        <v>1162</v>
      </c>
      <c r="J450" s="2" t="s">
        <v>1133</v>
      </c>
    </row>
    <row r="451" customFormat="false" ht="15" hidden="false" customHeight="false" outlineLevel="0" collapsed="false">
      <c r="A451" s="2" t="s">
        <v>1181</v>
      </c>
      <c r="B451" s="2" t="s">
        <v>1182</v>
      </c>
      <c r="C451" s="14" t="n">
        <v>1</v>
      </c>
      <c r="D451" s="14" t="n">
        <v>1</v>
      </c>
      <c r="E451" s="14" t="n">
        <v>1</v>
      </c>
      <c r="F451" s="2" t="s">
        <v>1131</v>
      </c>
      <c r="G451" s="7" t="s">
        <v>25</v>
      </c>
      <c r="H451" s="2"/>
      <c r="I451" s="8" t="s">
        <v>1162</v>
      </c>
      <c r="J451" s="2" t="s">
        <v>1133</v>
      </c>
    </row>
    <row r="452" customFormat="false" ht="15" hidden="false" customHeight="false" outlineLevel="0" collapsed="false">
      <c r="A452" s="2" t="s">
        <v>1183</v>
      </c>
      <c r="B452" s="2" t="s">
        <v>1184</v>
      </c>
      <c r="C452" s="14" t="n">
        <v>1</v>
      </c>
      <c r="D452" s="14" t="n">
        <v>1</v>
      </c>
      <c r="E452" s="14" t="n">
        <v>1</v>
      </c>
      <c r="F452" s="2" t="s">
        <v>1131</v>
      </c>
      <c r="G452" s="7" t="s">
        <v>25</v>
      </c>
      <c r="H452" s="2"/>
      <c r="I452" s="8" t="s">
        <v>1162</v>
      </c>
      <c r="J452" s="2" t="s">
        <v>1133</v>
      </c>
    </row>
    <row r="453" customFormat="false" ht="15" hidden="false" customHeight="false" outlineLevel="0" collapsed="false">
      <c r="A453" s="2" t="s">
        <v>1185</v>
      </c>
      <c r="B453" s="2" t="s">
        <v>1186</v>
      </c>
      <c r="C453" s="14" t="n">
        <v>1</v>
      </c>
      <c r="D453" s="14" t="n">
        <v>1</v>
      </c>
      <c r="E453" s="14" t="n">
        <v>1</v>
      </c>
      <c r="F453" s="2" t="s">
        <v>1131</v>
      </c>
      <c r="G453" s="7" t="s">
        <v>25</v>
      </c>
      <c r="H453" s="2"/>
      <c r="I453" s="8" t="s">
        <v>1162</v>
      </c>
      <c r="J453" s="2" t="s">
        <v>1133</v>
      </c>
    </row>
    <row r="454" customFormat="false" ht="15" hidden="false" customHeight="false" outlineLevel="0" collapsed="false">
      <c r="A454" s="2" t="s">
        <v>1187</v>
      </c>
      <c r="B454" s="2" t="s">
        <v>1188</v>
      </c>
      <c r="C454" s="14" t="n">
        <v>1</v>
      </c>
      <c r="D454" s="14" t="n">
        <v>1</v>
      </c>
      <c r="E454" s="14" t="n">
        <v>1</v>
      </c>
      <c r="F454" s="2" t="s">
        <v>1131</v>
      </c>
      <c r="G454" s="7" t="s">
        <v>25</v>
      </c>
      <c r="H454" s="2"/>
      <c r="I454" s="8" t="s">
        <v>1162</v>
      </c>
      <c r="J454" s="2" t="s">
        <v>1133</v>
      </c>
    </row>
    <row r="455" customFormat="false" ht="23.85" hidden="false" customHeight="false" outlineLevel="0" collapsed="false">
      <c r="A455" s="2" t="s">
        <v>1189</v>
      </c>
      <c r="B455" s="2" t="s">
        <v>1190</v>
      </c>
      <c r="C455" s="14" t="n">
        <v>0</v>
      </c>
      <c r="D455" s="14" t="n">
        <v>0</v>
      </c>
      <c r="E455" s="14" t="n">
        <v>0</v>
      </c>
      <c r="F455" s="2" t="s">
        <v>1131</v>
      </c>
      <c r="G455" s="7" t="s">
        <v>25</v>
      </c>
      <c r="H455" s="2"/>
      <c r="I455" s="8" t="s">
        <v>1191</v>
      </c>
      <c r="J455" s="2" t="s">
        <v>1133</v>
      </c>
    </row>
    <row r="456" customFormat="false" ht="23.85" hidden="false" customHeight="false" outlineLevel="0" collapsed="false">
      <c r="A456" s="2" t="s">
        <v>1192</v>
      </c>
      <c r="B456" s="2" t="s">
        <v>1193</v>
      </c>
      <c r="C456" s="14" t="n">
        <v>0</v>
      </c>
      <c r="D456" s="14" t="n">
        <v>0</v>
      </c>
      <c r="E456" s="14" t="n">
        <v>0</v>
      </c>
      <c r="F456" s="2" t="s">
        <v>1131</v>
      </c>
      <c r="G456" s="7" t="s">
        <v>25</v>
      </c>
      <c r="H456" s="2"/>
      <c r="I456" s="8" t="s">
        <v>1191</v>
      </c>
      <c r="J456" s="2" t="s">
        <v>1133</v>
      </c>
    </row>
    <row r="457" customFormat="false" ht="23.85" hidden="false" customHeight="false" outlineLevel="0" collapsed="false">
      <c r="A457" s="2" t="s">
        <v>1194</v>
      </c>
      <c r="B457" s="2" t="s">
        <v>1195</v>
      </c>
      <c r="C457" s="14" t="n">
        <v>5</v>
      </c>
      <c r="D457" s="14" t="n">
        <v>5</v>
      </c>
      <c r="E457" s="14" t="n">
        <v>5</v>
      </c>
      <c r="F457" s="2" t="s">
        <v>1131</v>
      </c>
      <c r="G457" s="7" t="s">
        <v>25</v>
      </c>
      <c r="H457" s="2"/>
      <c r="I457" s="8" t="s">
        <v>1191</v>
      </c>
      <c r="J457" s="2" t="s">
        <v>1133</v>
      </c>
    </row>
    <row r="458" customFormat="false" ht="23.85" hidden="false" customHeight="false" outlineLevel="0" collapsed="false">
      <c r="A458" s="2" t="s">
        <v>1196</v>
      </c>
      <c r="B458" s="2" t="s">
        <v>1197</v>
      </c>
      <c r="C458" s="14" t="n">
        <v>99</v>
      </c>
      <c r="D458" s="14" t="n">
        <v>99</v>
      </c>
      <c r="E458" s="14" t="n">
        <v>99</v>
      </c>
      <c r="F458" s="2" t="s">
        <v>1131</v>
      </c>
      <c r="G458" s="7" t="s">
        <v>25</v>
      </c>
      <c r="H458" s="2"/>
      <c r="I458" s="8" t="s">
        <v>1191</v>
      </c>
      <c r="J458" s="2" t="s">
        <v>1133</v>
      </c>
    </row>
    <row r="459" customFormat="false" ht="23.85" hidden="false" customHeight="false" outlineLevel="0" collapsed="false">
      <c r="A459" s="2" t="s">
        <v>1198</v>
      </c>
      <c r="B459" s="2" t="s">
        <v>1199</v>
      </c>
      <c r="C459" s="14" t="n">
        <v>99</v>
      </c>
      <c r="D459" s="14" t="n">
        <v>99</v>
      </c>
      <c r="E459" s="14" t="n">
        <v>99</v>
      </c>
      <c r="F459" s="2" t="s">
        <v>1131</v>
      </c>
      <c r="G459" s="7" t="s">
        <v>25</v>
      </c>
      <c r="H459" s="2"/>
      <c r="I459" s="8" t="s">
        <v>1191</v>
      </c>
      <c r="J459" s="2" t="s">
        <v>1133</v>
      </c>
    </row>
    <row r="460" customFormat="false" ht="23.85" hidden="false" customHeight="false" outlineLevel="0" collapsed="false">
      <c r="A460" s="2" t="s">
        <v>1200</v>
      </c>
      <c r="B460" s="2" t="s">
        <v>1201</v>
      </c>
      <c r="C460" s="14" t="n">
        <v>0</v>
      </c>
      <c r="D460" s="14" t="n">
        <v>0</v>
      </c>
      <c r="E460" s="14" t="n">
        <v>0</v>
      </c>
      <c r="F460" s="2" t="s">
        <v>1131</v>
      </c>
      <c r="G460" s="7" t="s">
        <v>25</v>
      </c>
      <c r="H460" s="2"/>
      <c r="I460" s="8" t="s">
        <v>1191</v>
      </c>
      <c r="J460" s="2" t="s">
        <v>1133</v>
      </c>
    </row>
    <row r="461" customFormat="false" ht="23.85" hidden="false" customHeight="false" outlineLevel="0" collapsed="false">
      <c r="A461" s="2" t="s">
        <v>1202</v>
      </c>
      <c r="B461" s="2" t="s">
        <v>1203</v>
      </c>
      <c r="C461" s="14" t="n">
        <v>99</v>
      </c>
      <c r="D461" s="14" t="n">
        <v>99</v>
      </c>
      <c r="E461" s="14" t="n">
        <v>99</v>
      </c>
      <c r="F461" s="2" t="s">
        <v>1131</v>
      </c>
      <c r="G461" s="7" t="s">
        <v>25</v>
      </c>
      <c r="H461" s="2"/>
      <c r="I461" s="8" t="s">
        <v>1191</v>
      </c>
      <c r="J461" s="2" t="s">
        <v>1133</v>
      </c>
    </row>
    <row r="462" customFormat="false" ht="23.85" hidden="false" customHeight="false" outlineLevel="0" collapsed="false">
      <c r="A462" s="2" t="s">
        <v>1204</v>
      </c>
      <c r="B462" s="2" t="s">
        <v>1205</v>
      </c>
      <c r="C462" s="14" t="n">
        <v>0</v>
      </c>
      <c r="D462" s="14" t="n">
        <v>0</v>
      </c>
      <c r="E462" s="14" t="n">
        <v>0</v>
      </c>
      <c r="F462" s="2" t="s">
        <v>1131</v>
      </c>
      <c r="G462" s="7" t="s">
        <v>25</v>
      </c>
      <c r="H462" s="2"/>
      <c r="I462" s="8" t="s">
        <v>1191</v>
      </c>
      <c r="J462" s="2" t="s">
        <v>1133</v>
      </c>
    </row>
    <row r="463" customFormat="false" ht="23.85" hidden="false" customHeight="false" outlineLevel="0" collapsed="false">
      <c r="A463" s="2" t="s">
        <v>1206</v>
      </c>
      <c r="B463" s="2" t="s">
        <v>1207</v>
      </c>
      <c r="C463" s="14" t="n">
        <v>1</v>
      </c>
      <c r="D463" s="14" t="n">
        <v>1</v>
      </c>
      <c r="E463" s="14" t="n">
        <v>1</v>
      </c>
      <c r="F463" s="2" t="s">
        <v>1131</v>
      </c>
      <c r="G463" s="7" t="s">
        <v>25</v>
      </c>
      <c r="H463" s="2"/>
      <c r="I463" s="8" t="s">
        <v>1191</v>
      </c>
      <c r="J463" s="2" t="s">
        <v>1133</v>
      </c>
    </row>
    <row r="464" customFormat="false" ht="23.85" hidden="false" customHeight="false" outlineLevel="0" collapsed="false">
      <c r="A464" s="2" t="s">
        <v>1208</v>
      </c>
      <c r="B464" s="2" t="s">
        <v>1209</v>
      </c>
      <c r="C464" s="14" t="n">
        <v>0</v>
      </c>
      <c r="D464" s="14" t="n">
        <v>0</v>
      </c>
      <c r="E464" s="14" t="n">
        <v>0</v>
      </c>
      <c r="F464" s="2" t="s">
        <v>1131</v>
      </c>
      <c r="G464" s="7" t="s">
        <v>25</v>
      </c>
      <c r="H464" s="2"/>
      <c r="I464" s="8" t="s">
        <v>1191</v>
      </c>
      <c r="J464" s="2" t="s">
        <v>1133</v>
      </c>
    </row>
    <row r="465" customFormat="false" ht="23.85" hidden="false" customHeight="false" outlineLevel="0" collapsed="false">
      <c r="A465" s="2" t="s">
        <v>1210</v>
      </c>
      <c r="B465" s="2" t="s">
        <v>1211</v>
      </c>
      <c r="C465" s="14" t="n">
        <v>1</v>
      </c>
      <c r="D465" s="14" t="n">
        <v>1</v>
      </c>
      <c r="E465" s="14" t="n">
        <v>1</v>
      </c>
      <c r="F465" s="2" t="s">
        <v>1131</v>
      </c>
      <c r="G465" s="7" t="s">
        <v>25</v>
      </c>
      <c r="H465" s="2"/>
      <c r="I465" s="8" t="s">
        <v>1191</v>
      </c>
      <c r="J465" s="2" t="s">
        <v>1133</v>
      </c>
    </row>
    <row r="466" customFormat="false" ht="23.85" hidden="false" customHeight="false" outlineLevel="0" collapsed="false">
      <c r="A466" s="2" t="s">
        <v>1212</v>
      </c>
      <c r="B466" s="2" t="s">
        <v>1213</v>
      </c>
      <c r="C466" s="14" t="n">
        <v>1</v>
      </c>
      <c r="D466" s="14" t="n">
        <v>1</v>
      </c>
      <c r="E466" s="14" t="n">
        <v>1</v>
      </c>
      <c r="F466" s="2" t="s">
        <v>1131</v>
      </c>
      <c r="G466" s="7" t="s">
        <v>25</v>
      </c>
      <c r="H466" s="2"/>
      <c r="I466" s="8" t="s">
        <v>1191</v>
      </c>
      <c r="J466" s="2" t="s">
        <v>1133</v>
      </c>
    </row>
    <row r="467" customFormat="false" ht="23.85" hidden="false" customHeight="false" outlineLevel="0" collapsed="false">
      <c r="A467" s="2" t="s">
        <v>1214</v>
      </c>
      <c r="B467" s="2" t="s">
        <v>1215</v>
      </c>
      <c r="C467" s="14" t="n">
        <v>1</v>
      </c>
      <c r="D467" s="14" t="n">
        <v>1</v>
      </c>
      <c r="E467" s="14" t="n">
        <v>1</v>
      </c>
      <c r="F467" s="2" t="s">
        <v>1131</v>
      </c>
      <c r="G467" s="7" t="s">
        <v>25</v>
      </c>
      <c r="H467" s="2"/>
      <c r="I467" s="8" t="s">
        <v>1191</v>
      </c>
      <c r="J467" s="2" t="s">
        <v>1133</v>
      </c>
    </row>
    <row r="468" customFormat="false" ht="23.85" hidden="false" customHeight="false" outlineLevel="0" collapsed="false">
      <c r="A468" s="2" t="s">
        <v>1216</v>
      </c>
      <c r="B468" s="2" t="s">
        <v>1217</v>
      </c>
      <c r="C468" s="14" t="n">
        <v>1</v>
      </c>
      <c r="D468" s="14" t="n">
        <v>1</v>
      </c>
      <c r="E468" s="14" t="n">
        <v>1</v>
      </c>
      <c r="F468" s="2" t="s">
        <v>1131</v>
      </c>
      <c r="G468" s="7" t="s">
        <v>25</v>
      </c>
      <c r="H468" s="2"/>
      <c r="I468" s="8" t="s">
        <v>1191</v>
      </c>
      <c r="J468" s="2" t="s">
        <v>1133</v>
      </c>
    </row>
    <row r="469" customFormat="false" ht="23.85" hidden="false" customHeight="false" outlineLevel="0" collapsed="false">
      <c r="A469" s="2" t="s">
        <v>1218</v>
      </c>
      <c r="B469" s="2" t="s">
        <v>1219</v>
      </c>
      <c r="C469" s="14" t="n">
        <v>6</v>
      </c>
      <c r="D469" s="14" t="n">
        <v>6</v>
      </c>
      <c r="E469" s="14" t="n">
        <v>6</v>
      </c>
      <c r="F469" s="2" t="s">
        <v>1131</v>
      </c>
      <c r="G469" s="7" t="s">
        <v>25</v>
      </c>
      <c r="H469" s="2"/>
      <c r="I469" s="8" t="s">
        <v>1220</v>
      </c>
      <c r="J469" s="2" t="s">
        <v>1133</v>
      </c>
    </row>
    <row r="470" customFormat="false" ht="23.85" hidden="false" customHeight="false" outlineLevel="0" collapsed="false">
      <c r="A470" s="2" t="s">
        <v>1221</v>
      </c>
      <c r="B470" s="2" t="s">
        <v>1222</v>
      </c>
      <c r="C470" s="14" t="n">
        <v>600000</v>
      </c>
      <c r="D470" s="14" t="n">
        <v>600000</v>
      </c>
      <c r="E470" s="14" t="n">
        <v>600000</v>
      </c>
      <c r="F470" s="2" t="s">
        <v>1131</v>
      </c>
      <c r="G470" s="7" t="s">
        <v>25</v>
      </c>
      <c r="H470" s="2"/>
      <c r="I470" s="8" t="s">
        <v>1220</v>
      </c>
      <c r="J470" s="2" t="s">
        <v>1133</v>
      </c>
    </row>
    <row r="471" customFormat="false" ht="23.85" hidden="false" customHeight="false" outlineLevel="0" collapsed="false">
      <c r="A471" s="2" t="s">
        <v>1223</v>
      </c>
      <c r="B471" s="2" t="s">
        <v>1224</v>
      </c>
      <c r="C471" s="14" t="n">
        <v>5</v>
      </c>
      <c r="D471" s="14" t="n">
        <v>5</v>
      </c>
      <c r="E471" s="14" t="n">
        <v>5</v>
      </c>
      <c r="F471" s="2" t="s">
        <v>1131</v>
      </c>
      <c r="G471" s="7" t="s">
        <v>25</v>
      </c>
      <c r="H471" s="2"/>
      <c r="I471" s="8" t="s">
        <v>1220</v>
      </c>
      <c r="J471" s="2" t="s">
        <v>1133</v>
      </c>
    </row>
    <row r="472" customFormat="false" ht="23.85" hidden="false" customHeight="false" outlineLevel="0" collapsed="false">
      <c r="A472" s="2" t="s">
        <v>1225</v>
      </c>
      <c r="B472" s="2" t="s">
        <v>1226</v>
      </c>
      <c r="C472" s="14" t="n">
        <v>3</v>
      </c>
      <c r="D472" s="14" t="n">
        <v>3</v>
      </c>
      <c r="E472" s="14" t="n">
        <v>3</v>
      </c>
      <c r="F472" s="2" t="s">
        <v>1131</v>
      </c>
      <c r="G472" s="7" t="s">
        <v>25</v>
      </c>
      <c r="H472" s="2"/>
      <c r="I472" s="8" t="s">
        <v>1220</v>
      </c>
      <c r="J472" s="2" t="s">
        <v>1133</v>
      </c>
    </row>
    <row r="473" customFormat="false" ht="23.85" hidden="false" customHeight="false" outlineLevel="0" collapsed="false">
      <c r="A473" s="2" t="s">
        <v>1227</v>
      </c>
      <c r="B473" s="2" t="s">
        <v>1228</v>
      </c>
      <c r="C473" s="14" t="n">
        <v>99</v>
      </c>
      <c r="D473" s="14" t="n">
        <v>99</v>
      </c>
      <c r="E473" s="14" t="n">
        <v>99</v>
      </c>
      <c r="F473" s="2" t="s">
        <v>1131</v>
      </c>
      <c r="G473" s="7" t="s">
        <v>25</v>
      </c>
      <c r="H473" s="2"/>
      <c r="I473" s="8" t="s">
        <v>1220</v>
      </c>
      <c r="J473" s="2" t="s">
        <v>1133</v>
      </c>
    </row>
    <row r="474" customFormat="false" ht="23.85" hidden="false" customHeight="false" outlineLevel="0" collapsed="false">
      <c r="A474" s="2" t="s">
        <v>1229</v>
      </c>
      <c r="B474" s="2" t="s">
        <v>1230</v>
      </c>
      <c r="C474" s="14" t="n">
        <v>0</v>
      </c>
      <c r="D474" s="14" t="n">
        <v>0</v>
      </c>
      <c r="E474" s="14" t="n">
        <v>0</v>
      </c>
      <c r="F474" s="2" t="s">
        <v>1131</v>
      </c>
      <c r="G474" s="7" t="s">
        <v>25</v>
      </c>
      <c r="H474" s="2"/>
      <c r="I474" s="8" t="s">
        <v>1220</v>
      </c>
      <c r="J474" s="2" t="s">
        <v>1133</v>
      </c>
    </row>
    <row r="475" customFormat="false" ht="23.85" hidden="false" customHeight="false" outlineLevel="0" collapsed="false">
      <c r="A475" s="2" t="s">
        <v>1231</v>
      </c>
      <c r="B475" s="2" t="s">
        <v>1232</v>
      </c>
      <c r="C475" s="14" t="n">
        <v>99</v>
      </c>
      <c r="D475" s="14" t="n">
        <v>99</v>
      </c>
      <c r="E475" s="14" t="n">
        <v>99</v>
      </c>
      <c r="F475" s="2" t="s">
        <v>1131</v>
      </c>
      <c r="G475" s="7" t="s">
        <v>25</v>
      </c>
      <c r="H475" s="2"/>
      <c r="I475" s="8" t="s">
        <v>1220</v>
      </c>
      <c r="J475" s="2" t="s">
        <v>1133</v>
      </c>
    </row>
    <row r="476" customFormat="false" ht="23.85" hidden="false" customHeight="false" outlineLevel="0" collapsed="false">
      <c r="A476" s="2" t="s">
        <v>1233</v>
      </c>
      <c r="B476" s="2" t="s">
        <v>1234</v>
      </c>
      <c r="C476" s="14" t="n">
        <v>0</v>
      </c>
      <c r="D476" s="14" t="n">
        <v>0</v>
      </c>
      <c r="E476" s="14" t="n">
        <v>0</v>
      </c>
      <c r="F476" s="2" t="s">
        <v>1131</v>
      </c>
      <c r="G476" s="7" t="s">
        <v>25</v>
      </c>
      <c r="H476" s="2"/>
      <c r="I476" s="8" t="s">
        <v>1220</v>
      </c>
      <c r="J476" s="2" t="s">
        <v>1133</v>
      </c>
    </row>
    <row r="477" customFormat="false" ht="23.85" hidden="false" customHeight="false" outlineLevel="0" collapsed="false">
      <c r="A477" s="2" t="s">
        <v>1235</v>
      </c>
      <c r="B477" s="2" t="s">
        <v>1236</v>
      </c>
      <c r="C477" s="14" t="n">
        <v>1</v>
      </c>
      <c r="D477" s="14" t="n">
        <v>1</v>
      </c>
      <c r="E477" s="14" t="n">
        <v>1</v>
      </c>
      <c r="F477" s="2" t="s">
        <v>1131</v>
      </c>
      <c r="G477" s="7" t="s">
        <v>25</v>
      </c>
      <c r="H477" s="2"/>
      <c r="I477" s="8" t="s">
        <v>1220</v>
      </c>
      <c r="J477" s="2" t="s">
        <v>1133</v>
      </c>
    </row>
    <row r="478" customFormat="false" ht="23.85" hidden="false" customHeight="false" outlineLevel="0" collapsed="false">
      <c r="A478" s="2" t="s">
        <v>1237</v>
      </c>
      <c r="B478" s="2" t="s">
        <v>1238</v>
      </c>
      <c r="C478" s="14" t="n">
        <v>0.01</v>
      </c>
      <c r="D478" s="14" t="n">
        <v>0.01</v>
      </c>
      <c r="E478" s="14" t="n">
        <v>0.01</v>
      </c>
      <c r="F478" s="2" t="s">
        <v>1131</v>
      </c>
      <c r="G478" s="7" t="s">
        <v>25</v>
      </c>
      <c r="H478" s="2"/>
      <c r="I478" s="8" t="s">
        <v>1220</v>
      </c>
      <c r="J478" s="2" t="s">
        <v>1133</v>
      </c>
    </row>
    <row r="479" customFormat="false" ht="23.85" hidden="false" customHeight="false" outlineLevel="0" collapsed="false">
      <c r="A479" s="2" t="s">
        <v>1239</v>
      </c>
      <c r="B479" s="2" t="s">
        <v>1240</v>
      </c>
      <c r="C479" s="14" t="n">
        <v>0.7</v>
      </c>
      <c r="D479" s="14" t="n">
        <v>0.7</v>
      </c>
      <c r="E479" s="14" t="n">
        <v>0.7</v>
      </c>
      <c r="F479" s="2" t="s">
        <v>1131</v>
      </c>
      <c r="G479" s="7" t="s">
        <v>25</v>
      </c>
      <c r="H479" s="2"/>
      <c r="I479" s="8" t="s">
        <v>1220</v>
      </c>
      <c r="J479" s="2" t="s">
        <v>1133</v>
      </c>
    </row>
    <row r="480" customFormat="false" ht="23.85" hidden="false" customHeight="false" outlineLevel="0" collapsed="false">
      <c r="A480" s="2" t="s">
        <v>1241</v>
      </c>
      <c r="B480" s="2" t="s">
        <v>1242</v>
      </c>
      <c r="C480" s="14" t="n">
        <v>0.7</v>
      </c>
      <c r="D480" s="14" t="n">
        <v>0.7</v>
      </c>
      <c r="E480" s="14" t="n">
        <v>0.7</v>
      </c>
      <c r="F480" s="2" t="s">
        <v>1131</v>
      </c>
      <c r="G480" s="7" t="s">
        <v>25</v>
      </c>
      <c r="H480" s="2"/>
      <c r="I480" s="8" t="s">
        <v>1220</v>
      </c>
      <c r="J480" s="2" t="s">
        <v>1133</v>
      </c>
    </row>
    <row r="481" customFormat="false" ht="23.85" hidden="false" customHeight="false" outlineLevel="0" collapsed="false">
      <c r="A481" s="2" t="s">
        <v>1243</v>
      </c>
      <c r="B481" s="2" t="s">
        <v>1244</v>
      </c>
      <c r="C481" s="14" t="n">
        <v>0.7</v>
      </c>
      <c r="D481" s="14" t="n">
        <v>0.7</v>
      </c>
      <c r="E481" s="14" t="n">
        <v>0.7</v>
      </c>
      <c r="F481" s="2" t="s">
        <v>1131</v>
      </c>
      <c r="G481" s="7" t="s">
        <v>25</v>
      </c>
      <c r="H481" s="2"/>
      <c r="I481" s="8" t="s">
        <v>1220</v>
      </c>
      <c r="J481" s="2" t="s">
        <v>1133</v>
      </c>
    </row>
    <row r="482" customFormat="false" ht="23.85" hidden="false" customHeight="false" outlineLevel="0" collapsed="false">
      <c r="A482" s="2" t="s">
        <v>1245</v>
      </c>
      <c r="B482" s="2" t="s">
        <v>1246</v>
      </c>
      <c r="C482" s="14" t="n">
        <v>1</v>
      </c>
      <c r="D482" s="14" t="n">
        <v>1</v>
      </c>
      <c r="E482" s="14" t="n">
        <v>1</v>
      </c>
      <c r="F482" s="2" t="s">
        <v>1131</v>
      </c>
      <c r="G482" s="7" t="s">
        <v>25</v>
      </c>
      <c r="H482" s="2"/>
      <c r="I482" s="8" t="s">
        <v>1220</v>
      </c>
      <c r="J482" s="2" t="s">
        <v>1133</v>
      </c>
    </row>
    <row r="483" customFormat="false" ht="15" hidden="false" customHeight="false" outlineLevel="0" collapsed="false">
      <c r="A483" s="2" t="s">
        <v>1247</v>
      </c>
      <c r="B483" s="2" t="s">
        <v>1248</v>
      </c>
      <c r="C483" s="14" t="n">
        <v>0</v>
      </c>
      <c r="D483" s="14" t="n">
        <v>0</v>
      </c>
      <c r="E483" s="14" t="n">
        <v>0</v>
      </c>
      <c r="F483" s="2" t="s">
        <v>1131</v>
      </c>
      <c r="G483" s="7" t="s">
        <v>25</v>
      </c>
      <c r="H483" s="2"/>
      <c r="I483" s="8" t="s">
        <v>1249</v>
      </c>
      <c r="J483" s="2" t="s">
        <v>1133</v>
      </c>
    </row>
    <row r="484" customFormat="false" ht="15" hidden="false" customHeight="false" outlineLevel="0" collapsed="false">
      <c r="A484" s="2" t="s">
        <v>1250</v>
      </c>
      <c r="B484" s="2" t="s">
        <v>1251</v>
      </c>
      <c r="C484" s="14" t="n">
        <v>0</v>
      </c>
      <c r="D484" s="14" t="n">
        <v>0</v>
      </c>
      <c r="E484" s="14" t="n">
        <v>0</v>
      </c>
      <c r="F484" s="2" t="s">
        <v>1131</v>
      </c>
      <c r="G484" s="7" t="s">
        <v>25</v>
      </c>
      <c r="H484" s="2"/>
      <c r="I484" s="8" t="s">
        <v>1249</v>
      </c>
      <c r="J484" s="2" t="s">
        <v>1133</v>
      </c>
    </row>
    <row r="485" customFormat="false" ht="15" hidden="false" customHeight="false" outlineLevel="0" collapsed="false">
      <c r="A485" s="2" t="s">
        <v>1252</v>
      </c>
      <c r="B485" s="2" t="s">
        <v>1253</v>
      </c>
      <c r="C485" s="14" t="n">
        <v>0</v>
      </c>
      <c r="D485" s="14" t="n">
        <v>0</v>
      </c>
      <c r="E485" s="14" t="n">
        <v>0</v>
      </c>
      <c r="F485" s="2" t="s">
        <v>1131</v>
      </c>
      <c r="G485" s="7" t="s">
        <v>25</v>
      </c>
      <c r="H485" s="2"/>
      <c r="I485" s="8" t="s">
        <v>1249</v>
      </c>
      <c r="J485" s="2" t="s">
        <v>1133</v>
      </c>
    </row>
    <row r="486" customFormat="false" ht="15" hidden="false" customHeight="false" outlineLevel="0" collapsed="false">
      <c r="A486" s="2" t="s">
        <v>1254</v>
      </c>
      <c r="B486" s="2" t="s">
        <v>1255</v>
      </c>
      <c r="C486" s="14" t="n">
        <v>99</v>
      </c>
      <c r="D486" s="14" t="n">
        <v>99</v>
      </c>
      <c r="E486" s="14" t="n">
        <v>99</v>
      </c>
      <c r="F486" s="2" t="s">
        <v>1131</v>
      </c>
      <c r="G486" s="7" t="s">
        <v>25</v>
      </c>
      <c r="H486" s="2"/>
      <c r="I486" s="8" t="s">
        <v>1249</v>
      </c>
      <c r="J486" s="2" t="s">
        <v>1133</v>
      </c>
    </row>
    <row r="487" customFormat="false" ht="15" hidden="false" customHeight="false" outlineLevel="0" collapsed="false">
      <c r="A487" s="2" t="s">
        <v>1256</v>
      </c>
      <c r="B487" s="2" t="s">
        <v>1257</v>
      </c>
      <c r="C487" s="14" t="n">
        <v>99</v>
      </c>
      <c r="D487" s="14" t="n">
        <v>99</v>
      </c>
      <c r="E487" s="14" t="n">
        <v>99</v>
      </c>
      <c r="F487" s="2" t="s">
        <v>1131</v>
      </c>
      <c r="G487" s="7" t="s">
        <v>25</v>
      </c>
      <c r="H487" s="2"/>
      <c r="I487" s="8" t="s">
        <v>1249</v>
      </c>
      <c r="J487" s="2" t="s">
        <v>1133</v>
      </c>
    </row>
    <row r="488" customFormat="false" ht="15" hidden="false" customHeight="false" outlineLevel="0" collapsed="false">
      <c r="A488" s="2" t="s">
        <v>1258</v>
      </c>
      <c r="B488" s="2" t="s">
        <v>1259</v>
      </c>
      <c r="C488" s="14" t="n">
        <v>0</v>
      </c>
      <c r="D488" s="14" t="n">
        <v>0</v>
      </c>
      <c r="E488" s="14" t="n">
        <v>0</v>
      </c>
      <c r="F488" s="2" t="s">
        <v>1131</v>
      </c>
      <c r="G488" s="7" t="s">
        <v>25</v>
      </c>
      <c r="H488" s="2"/>
      <c r="I488" s="8" t="s">
        <v>1249</v>
      </c>
      <c r="J488" s="2" t="s">
        <v>1133</v>
      </c>
    </row>
    <row r="489" customFormat="false" ht="15" hidden="false" customHeight="false" outlineLevel="0" collapsed="false">
      <c r="A489" s="2" t="s">
        <v>1260</v>
      </c>
      <c r="B489" s="2" t="s">
        <v>1261</v>
      </c>
      <c r="C489" s="14" t="n">
        <v>4</v>
      </c>
      <c r="D489" s="14" t="n">
        <v>4</v>
      </c>
      <c r="E489" s="14" t="n">
        <v>4</v>
      </c>
      <c r="F489" s="2" t="s">
        <v>1131</v>
      </c>
      <c r="G489" s="7" t="s">
        <v>25</v>
      </c>
      <c r="H489" s="2"/>
      <c r="I489" s="8" t="s">
        <v>1249</v>
      </c>
      <c r="J489" s="2" t="s">
        <v>1133</v>
      </c>
    </row>
    <row r="490" customFormat="false" ht="15" hidden="false" customHeight="false" outlineLevel="0" collapsed="false">
      <c r="A490" s="2" t="s">
        <v>1262</v>
      </c>
      <c r="B490" s="2" t="s">
        <v>1263</v>
      </c>
      <c r="C490" s="14" t="n">
        <v>6</v>
      </c>
      <c r="D490" s="14" t="n">
        <v>6</v>
      </c>
      <c r="E490" s="14" t="n">
        <v>6</v>
      </c>
      <c r="F490" s="2" t="s">
        <v>1131</v>
      </c>
      <c r="G490" s="7" t="s">
        <v>25</v>
      </c>
      <c r="H490" s="2"/>
      <c r="I490" s="8" t="s">
        <v>1249</v>
      </c>
      <c r="J490" s="2" t="s">
        <v>1133</v>
      </c>
    </row>
    <row r="491" customFormat="false" ht="15" hidden="false" customHeight="false" outlineLevel="0" collapsed="false">
      <c r="A491" s="2" t="s">
        <v>1264</v>
      </c>
      <c r="B491" s="2" t="s">
        <v>1265</v>
      </c>
      <c r="C491" s="14" t="n">
        <v>2</v>
      </c>
      <c r="D491" s="14" t="n">
        <v>2</v>
      </c>
      <c r="E491" s="14" t="n">
        <v>2</v>
      </c>
      <c r="F491" s="2" t="s">
        <v>1131</v>
      </c>
      <c r="G491" s="7" t="s">
        <v>25</v>
      </c>
      <c r="H491" s="2"/>
      <c r="I491" s="8" t="s">
        <v>1249</v>
      </c>
      <c r="J491" s="2" t="s">
        <v>1133</v>
      </c>
    </row>
    <row r="492" customFormat="false" ht="15" hidden="false" customHeight="false" outlineLevel="0" collapsed="false">
      <c r="A492" s="2" t="s">
        <v>1266</v>
      </c>
      <c r="B492" s="2" t="s">
        <v>1267</v>
      </c>
      <c r="C492" s="14" t="n">
        <v>0</v>
      </c>
      <c r="D492" s="14" t="n">
        <v>0</v>
      </c>
      <c r="E492" s="14" t="n">
        <v>0</v>
      </c>
      <c r="F492" s="2" t="s">
        <v>1131</v>
      </c>
      <c r="G492" s="7" t="s">
        <v>25</v>
      </c>
      <c r="H492" s="2"/>
      <c r="I492" s="8" t="s">
        <v>1249</v>
      </c>
      <c r="J492" s="2" t="s">
        <v>1133</v>
      </c>
    </row>
    <row r="493" customFormat="false" ht="15" hidden="false" customHeight="false" outlineLevel="0" collapsed="false">
      <c r="A493" s="2" t="s">
        <v>1268</v>
      </c>
      <c r="B493" s="2" t="s">
        <v>1269</v>
      </c>
      <c r="C493" s="14" t="n">
        <v>1</v>
      </c>
      <c r="D493" s="14" t="n">
        <v>1</v>
      </c>
      <c r="E493" s="14" t="n">
        <v>1</v>
      </c>
      <c r="F493" s="2" t="s">
        <v>1131</v>
      </c>
      <c r="G493" s="7" t="s">
        <v>25</v>
      </c>
      <c r="H493" s="2"/>
      <c r="I493" s="8" t="s">
        <v>1249</v>
      </c>
      <c r="J493" s="2" t="s">
        <v>1133</v>
      </c>
    </row>
    <row r="494" customFormat="false" ht="15" hidden="false" customHeight="false" outlineLevel="0" collapsed="false">
      <c r="A494" s="2" t="s">
        <v>1270</v>
      </c>
      <c r="B494" s="2" t="s">
        <v>1271</v>
      </c>
      <c r="C494" s="14" t="n">
        <v>1</v>
      </c>
      <c r="D494" s="14" t="n">
        <v>1</v>
      </c>
      <c r="E494" s="14" t="n">
        <v>1</v>
      </c>
      <c r="F494" s="2" t="s">
        <v>1131</v>
      </c>
      <c r="G494" s="7" t="s">
        <v>25</v>
      </c>
      <c r="H494" s="2"/>
      <c r="I494" s="8" t="s">
        <v>1249</v>
      </c>
      <c r="J494" s="2" t="s">
        <v>1133</v>
      </c>
    </row>
    <row r="495" customFormat="false" ht="15" hidden="false" customHeight="false" outlineLevel="0" collapsed="false">
      <c r="A495" s="2" t="s">
        <v>1272</v>
      </c>
      <c r="B495" s="2" t="s">
        <v>1273</v>
      </c>
      <c r="C495" s="14" t="n">
        <v>1</v>
      </c>
      <c r="D495" s="14" t="n">
        <v>1</v>
      </c>
      <c r="E495" s="14" t="n">
        <v>1</v>
      </c>
      <c r="F495" s="2" t="s">
        <v>1131</v>
      </c>
      <c r="G495" s="7" t="s">
        <v>25</v>
      </c>
      <c r="H495" s="2"/>
      <c r="I495" s="8" t="s">
        <v>1249</v>
      </c>
      <c r="J495" s="2" t="s">
        <v>1133</v>
      </c>
    </row>
    <row r="496" customFormat="false" ht="15" hidden="false" customHeight="false" outlineLevel="0" collapsed="false">
      <c r="A496" s="2" t="s">
        <v>1274</v>
      </c>
      <c r="B496" s="2" t="s">
        <v>1275</v>
      </c>
      <c r="C496" s="14" t="n">
        <v>1</v>
      </c>
      <c r="D496" s="14" t="n">
        <v>1</v>
      </c>
      <c r="E496" s="14" t="n">
        <v>1</v>
      </c>
      <c r="F496" s="2" t="s">
        <v>1131</v>
      </c>
      <c r="G496" s="7" t="s">
        <v>25</v>
      </c>
      <c r="H496" s="2"/>
      <c r="I496" s="8" t="s">
        <v>1249</v>
      </c>
      <c r="J496" s="2" t="s">
        <v>1133</v>
      </c>
    </row>
    <row r="497" customFormat="false" ht="23.85" hidden="false" customHeight="false" outlineLevel="0" collapsed="false">
      <c r="A497" s="2" t="s">
        <v>1276</v>
      </c>
      <c r="B497" s="2" t="s">
        <v>1277</v>
      </c>
      <c r="C497" s="14" t="n">
        <v>0</v>
      </c>
      <c r="D497" s="14" t="n">
        <v>0</v>
      </c>
      <c r="E497" s="14" t="n">
        <v>0</v>
      </c>
      <c r="F497" s="2" t="s">
        <v>1131</v>
      </c>
      <c r="G497" s="7" t="s">
        <v>25</v>
      </c>
      <c r="H497" s="2"/>
      <c r="I497" s="8" t="s">
        <v>1278</v>
      </c>
      <c r="J497" s="2" t="s">
        <v>1133</v>
      </c>
    </row>
    <row r="498" customFormat="false" ht="23.85" hidden="false" customHeight="false" outlineLevel="0" collapsed="false">
      <c r="A498" s="2" t="s">
        <v>1279</v>
      </c>
      <c r="B498" s="2" t="s">
        <v>1280</v>
      </c>
      <c r="C498" s="14" t="n">
        <v>0</v>
      </c>
      <c r="D498" s="14" t="n">
        <v>0</v>
      </c>
      <c r="E498" s="14" t="n">
        <v>0</v>
      </c>
      <c r="F498" s="2" t="s">
        <v>1131</v>
      </c>
      <c r="G498" s="7" t="s">
        <v>25</v>
      </c>
      <c r="H498" s="2"/>
      <c r="I498" s="8" t="s">
        <v>1278</v>
      </c>
      <c r="J498" s="2" t="s">
        <v>1133</v>
      </c>
    </row>
    <row r="499" customFormat="false" ht="23.85" hidden="false" customHeight="false" outlineLevel="0" collapsed="false">
      <c r="A499" s="2" t="s">
        <v>1281</v>
      </c>
      <c r="B499" s="2" t="s">
        <v>1282</v>
      </c>
      <c r="C499" s="14" t="n">
        <v>0</v>
      </c>
      <c r="D499" s="14" t="n">
        <v>0</v>
      </c>
      <c r="E499" s="14" t="n">
        <v>0</v>
      </c>
      <c r="F499" s="2" t="s">
        <v>1131</v>
      </c>
      <c r="G499" s="7" t="s">
        <v>25</v>
      </c>
      <c r="H499" s="2"/>
      <c r="I499" s="8" t="s">
        <v>1278</v>
      </c>
      <c r="J499" s="2" t="s">
        <v>1133</v>
      </c>
    </row>
    <row r="500" customFormat="false" ht="23.85" hidden="false" customHeight="false" outlineLevel="0" collapsed="false">
      <c r="A500" s="2" t="s">
        <v>1283</v>
      </c>
      <c r="B500" s="2" t="s">
        <v>1284</v>
      </c>
      <c r="C500" s="14" t="n">
        <v>99</v>
      </c>
      <c r="D500" s="14" t="n">
        <v>99</v>
      </c>
      <c r="E500" s="14" t="n">
        <v>99</v>
      </c>
      <c r="F500" s="2" t="s">
        <v>1131</v>
      </c>
      <c r="G500" s="7" t="s">
        <v>25</v>
      </c>
      <c r="H500" s="2"/>
      <c r="I500" s="8" t="s">
        <v>1278</v>
      </c>
      <c r="J500" s="2" t="s">
        <v>1133</v>
      </c>
    </row>
    <row r="501" customFormat="false" ht="23.85" hidden="false" customHeight="false" outlineLevel="0" collapsed="false">
      <c r="A501" s="2" t="s">
        <v>1285</v>
      </c>
      <c r="B501" s="2" t="s">
        <v>1286</v>
      </c>
      <c r="C501" s="14" t="n">
        <v>2</v>
      </c>
      <c r="D501" s="14" t="n">
        <v>2</v>
      </c>
      <c r="E501" s="14" t="n">
        <v>2</v>
      </c>
      <c r="F501" s="2" t="s">
        <v>1131</v>
      </c>
      <c r="G501" s="7" t="s">
        <v>25</v>
      </c>
      <c r="H501" s="2"/>
      <c r="I501" s="8" t="s">
        <v>1278</v>
      </c>
      <c r="J501" s="2" t="s">
        <v>1133</v>
      </c>
    </row>
    <row r="502" customFormat="false" ht="23.85" hidden="false" customHeight="false" outlineLevel="0" collapsed="false">
      <c r="A502" s="2" t="s">
        <v>1287</v>
      </c>
      <c r="B502" s="2" t="s">
        <v>1288</v>
      </c>
      <c r="C502" s="14" t="n">
        <v>-0.01</v>
      </c>
      <c r="D502" s="14" t="n">
        <v>-0.01</v>
      </c>
      <c r="E502" s="14" t="n">
        <v>-0.01</v>
      </c>
      <c r="F502" s="2" t="s">
        <v>1131</v>
      </c>
      <c r="G502" s="7" t="s">
        <v>25</v>
      </c>
      <c r="H502" s="2"/>
      <c r="I502" s="8" t="s">
        <v>1278</v>
      </c>
      <c r="J502" s="2" t="s">
        <v>1133</v>
      </c>
    </row>
    <row r="503" customFormat="false" ht="23.85" hidden="false" customHeight="false" outlineLevel="0" collapsed="false">
      <c r="A503" s="2" t="s">
        <v>1289</v>
      </c>
      <c r="B503" s="2" t="s">
        <v>1290</v>
      </c>
      <c r="C503" s="14" t="n">
        <v>99</v>
      </c>
      <c r="D503" s="14" t="n">
        <v>99</v>
      </c>
      <c r="E503" s="14" t="n">
        <v>99</v>
      </c>
      <c r="F503" s="2" t="s">
        <v>1131</v>
      </c>
      <c r="G503" s="7" t="s">
        <v>25</v>
      </c>
      <c r="H503" s="2"/>
      <c r="I503" s="8" t="s">
        <v>1278</v>
      </c>
      <c r="J503" s="2" t="s">
        <v>1133</v>
      </c>
    </row>
    <row r="504" customFormat="false" ht="23.85" hidden="false" customHeight="false" outlineLevel="0" collapsed="false">
      <c r="A504" s="2" t="s">
        <v>1291</v>
      </c>
      <c r="B504" s="2" t="s">
        <v>1292</v>
      </c>
      <c r="C504" s="14" t="n">
        <v>0</v>
      </c>
      <c r="D504" s="14" t="n">
        <v>0</v>
      </c>
      <c r="E504" s="14" t="n">
        <v>0</v>
      </c>
      <c r="F504" s="2" t="s">
        <v>1131</v>
      </c>
      <c r="G504" s="7" t="s">
        <v>25</v>
      </c>
      <c r="H504" s="2"/>
      <c r="I504" s="8" t="s">
        <v>1278</v>
      </c>
      <c r="J504" s="2" t="s">
        <v>1133</v>
      </c>
    </row>
    <row r="505" customFormat="false" ht="23.85" hidden="false" customHeight="false" outlineLevel="0" collapsed="false">
      <c r="A505" s="2" t="s">
        <v>1293</v>
      </c>
      <c r="B505" s="2" t="s">
        <v>1294</v>
      </c>
      <c r="C505" s="14" t="n">
        <v>1</v>
      </c>
      <c r="D505" s="14" t="n">
        <v>1</v>
      </c>
      <c r="E505" s="14" t="n">
        <v>1</v>
      </c>
      <c r="F505" s="2" t="s">
        <v>1131</v>
      </c>
      <c r="G505" s="7" t="s">
        <v>25</v>
      </c>
      <c r="H505" s="2"/>
      <c r="I505" s="8" t="s">
        <v>1278</v>
      </c>
      <c r="J505" s="2" t="s">
        <v>1133</v>
      </c>
    </row>
    <row r="506" customFormat="false" ht="23.85" hidden="false" customHeight="false" outlineLevel="0" collapsed="false">
      <c r="A506" s="2" t="s">
        <v>1295</v>
      </c>
      <c r="B506" s="2" t="s">
        <v>1296</v>
      </c>
      <c r="C506" s="14" t="n">
        <v>0</v>
      </c>
      <c r="D506" s="14" t="n">
        <v>0</v>
      </c>
      <c r="E506" s="14" t="n">
        <v>0</v>
      </c>
      <c r="F506" s="2" t="s">
        <v>1131</v>
      </c>
      <c r="G506" s="7" t="s">
        <v>25</v>
      </c>
      <c r="H506" s="2"/>
      <c r="I506" s="8" t="s">
        <v>1278</v>
      </c>
      <c r="J506" s="2" t="s">
        <v>1133</v>
      </c>
    </row>
    <row r="507" customFormat="false" ht="23.85" hidden="false" customHeight="false" outlineLevel="0" collapsed="false">
      <c r="A507" s="2" t="s">
        <v>1297</v>
      </c>
      <c r="B507" s="2" t="s">
        <v>1298</v>
      </c>
      <c r="C507" s="14" t="n">
        <v>1</v>
      </c>
      <c r="D507" s="14" t="n">
        <v>1</v>
      </c>
      <c r="E507" s="14" t="n">
        <v>1</v>
      </c>
      <c r="F507" s="2" t="s">
        <v>1131</v>
      </c>
      <c r="G507" s="7" t="s">
        <v>25</v>
      </c>
      <c r="H507" s="2"/>
      <c r="I507" s="8" t="s">
        <v>1278</v>
      </c>
      <c r="J507" s="2" t="s">
        <v>1133</v>
      </c>
    </row>
    <row r="508" customFormat="false" ht="23.85" hidden="false" customHeight="false" outlineLevel="0" collapsed="false">
      <c r="A508" s="2" t="s">
        <v>1299</v>
      </c>
      <c r="B508" s="2" t="s">
        <v>1300</v>
      </c>
      <c r="C508" s="14" t="n">
        <v>1</v>
      </c>
      <c r="D508" s="14" t="n">
        <v>1</v>
      </c>
      <c r="E508" s="14" t="n">
        <v>1</v>
      </c>
      <c r="F508" s="2" t="s">
        <v>1131</v>
      </c>
      <c r="G508" s="7" t="s">
        <v>25</v>
      </c>
      <c r="H508" s="2"/>
      <c r="I508" s="8" t="s">
        <v>1278</v>
      </c>
      <c r="J508" s="2" t="s">
        <v>1133</v>
      </c>
    </row>
    <row r="509" customFormat="false" ht="23.85" hidden="false" customHeight="false" outlineLevel="0" collapsed="false">
      <c r="A509" s="2" t="s">
        <v>1301</v>
      </c>
      <c r="B509" s="2" t="s">
        <v>1302</v>
      </c>
      <c r="C509" s="14" t="n">
        <v>1</v>
      </c>
      <c r="D509" s="14" t="n">
        <v>1</v>
      </c>
      <c r="E509" s="14" t="n">
        <v>1</v>
      </c>
      <c r="F509" s="2" t="s">
        <v>1131</v>
      </c>
      <c r="G509" s="7" t="s">
        <v>25</v>
      </c>
      <c r="H509" s="2"/>
      <c r="I509" s="8" t="s">
        <v>1278</v>
      </c>
      <c r="J509" s="2" t="s">
        <v>1133</v>
      </c>
    </row>
    <row r="510" customFormat="false" ht="23.85" hidden="false" customHeight="false" outlineLevel="0" collapsed="false">
      <c r="A510" s="2" t="s">
        <v>1303</v>
      </c>
      <c r="B510" s="2" t="s">
        <v>1304</v>
      </c>
      <c r="C510" s="14" t="n">
        <v>1</v>
      </c>
      <c r="D510" s="14" t="n">
        <v>1</v>
      </c>
      <c r="E510" s="14" t="n">
        <v>1</v>
      </c>
      <c r="F510" s="2" t="s">
        <v>1131</v>
      </c>
      <c r="G510" s="7" t="s">
        <v>25</v>
      </c>
      <c r="H510" s="2"/>
      <c r="I510" s="8" t="s">
        <v>1278</v>
      </c>
      <c r="J510" s="2" t="s">
        <v>1133</v>
      </c>
    </row>
    <row r="511" customFormat="false" ht="15" hidden="false" customHeight="false" outlineLevel="0" collapsed="false">
      <c r="A511" s="2" t="s">
        <v>1305</v>
      </c>
      <c r="B511" s="2" t="s">
        <v>1306</v>
      </c>
      <c r="C511" s="14" t="n">
        <v>0</v>
      </c>
      <c r="D511" s="14" t="n">
        <v>0</v>
      </c>
      <c r="E511" s="14" t="n">
        <v>0</v>
      </c>
      <c r="F511" s="2" t="s">
        <v>1131</v>
      </c>
      <c r="G511" s="7" t="s">
        <v>25</v>
      </c>
      <c r="H511" s="2"/>
      <c r="I511" s="8" t="s">
        <v>1307</v>
      </c>
      <c r="J511" s="2" t="s">
        <v>1133</v>
      </c>
    </row>
    <row r="512" customFormat="false" ht="15" hidden="false" customHeight="false" outlineLevel="0" collapsed="false">
      <c r="A512" s="2" t="s">
        <v>1308</v>
      </c>
      <c r="B512" s="2" t="s">
        <v>1309</v>
      </c>
      <c r="C512" s="14" t="n">
        <v>0</v>
      </c>
      <c r="D512" s="14" t="n">
        <v>0</v>
      </c>
      <c r="E512" s="14" t="n">
        <v>0</v>
      </c>
      <c r="F512" s="2" t="s">
        <v>1131</v>
      </c>
      <c r="G512" s="7" t="s">
        <v>25</v>
      </c>
      <c r="H512" s="2"/>
      <c r="I512" s="8" t="s">
        <v>1307</v>
      </c>
      <c r="J512" s="2" t="s">
        <v>1133</v>
      </c>
    </row>
    <row r="513" customFormat="false" ht="15" hidden="false" customHeight="false" outlineLevel="0" collapsed="false">
      <c r="A513" s="2" t="s">
        <v>1310</v>
      </c>
      <c r="B513" s="2" t="s">
        <v>1311</v>
      </c>
      <c r="C513" s="14" t="n">
        <v>0</v>
      </c>
      <c r="D513" s="14" t="n">
        <v>0</v>
      </c>
      <c r="E513" s="14" t="n">
        <v>0</v>
      </c>
      <c r="F513" s="2" t="s">
        <v>1131</v>
      </c>
      <c r="G513" s="7" t="s">
        <v>25</v>
      </c>
      <c r="H513" s="2"/>
      <c r="I513" s="8" t="s">
        <v>1307</v>
      </c>
      <c r="J513" s="2" t="s">
        <v>1133</v>
      </c>
    </row>
    <row r="514" customFormat="false" ht="15" hidden="false" customHeight="false" outlineLevel="0" collapsed="false">
      <c r="A514" s="2" t="s">
        <v>1312</v>
      </c>
      <c r="B514" s="2" t="s">
        <v>1313</v>
      </c>
      <c r="C514" s="14" t="n">
        <v>99</v>
      </c>
      <c r="D514" s="14" t="n">
        <v>99</v>
      </c>
      <c r="E514" s="14" t="n">
        <v>99</v>
      </c>
      <c r="F514" s="2" t="s">
        <v>1131</v>
      </c>
      <c r="G514" s="7" t="s">
        <v>25</v>
      </c>
      <c r="H514" s="2"/>
      <c r="I514" s="8" t="s">
        <v>1307</v>
      </c>
      <c r="J514" s="2" t="s">
        <v>1133</v>
      </c>
    </row>
    <row r="515" customFormat="false" ht="15" hidden="false" customHeight="false" outlineLevel="0" collapsed="false">
      <c r="A515" s="2" t="s">
        <v>1314</v>
      </c>
      <c r="B515" s="2" t="s">
        <v>1315</v>
      </c>
      <c r="C515" s="14" t="n">
        <v>99</v>
      </c>
      <c r="D515" s="14" t="n">
        <v>99</v>
      </c>
      <c r="E515" s="14" t="n">
        <v>99</v>
      </c>
      <c r="F515" s="2" t="s">
        <v>1131</v>
      </c>
      <c r="G515" s="7" t="s">
        <v>25</v>
      </c>
      <c r="H515" s="2"/>
      <c r="I515" s="8" t="s">
        <v>1307</v>
      </c>
      <c r="J515" s="2" t="s">
        <v>1133</v>
      </c>
    </row>
    <row r="516" customFormat="false" ht="15" hidden="false" customHeight="false" outlineLevel="0" collapsed="false">
      <c r="A516" s="2" t="s">
        <v>1316</v>
      </c>
      <c r="B516" s="2" t="s">
        <v>1317</v>
      </c>
      <c r="C516" s="14" t="n">
        <v>0</v>
      </c>
      <c r="D516" s="14" t="n">
        <v>0</v>
      </c>
      <c r="E516" s="14" t="n">
        <v>0</v>
      </c>
      <c r="F516" s="2" t="s">
        <v>1131</v>
      </c>
      <c r="G516" s="7" t="s">
        <v>25</v>
      </c>
      <c r="H516" s="2"/>
      <c r="I516" s="8" t="s">
        <v>1307</v>
      </c>
      <c r="J516" s="2" t="s">
        <v>1133</v>
      </c>
    </row>
    <row r="517" customFormat="false" ht="15" hidden="false" customHeight="false" outlineLevel="0" collapsed="false">
      <c r="A517" s="2" t="s">
        <v>1318</v>
      </c>
      <c r="B517" s="2" t="s">
        <v>1319</v>
      </c>
      <c r="C517" s="14" t="n">
        <v>99</v>
      </c>
      <c r="D517" s="14" t="n">
        <v>99</v>
      </c>
      <c r="E517" s="14" t="n">
        <v>99</v>
      </c>
      <c r="F517" s="2" t="s">
        <v>1131</v>
      </c>
      <c r="G517" s="7" t="s">
        <v>25</v>
      </c>
      <c r="H517" s="2"/>
      <c r="I517" s="8" t="s">
        <v>1307</v>
      </c>
      <c r="J517" s="2" t="s">
        <v>1133</v>
      </c>
    </row>
    <row r="518" customFormat="false" ht="15" hidden="false" customHeight="false" outlineLevel="0" collapsed="false">
      <c r="A518" s="2" t="s">
        <v>1320</v>
      </c>
      <c r="B518" s="2" t="s">
        <v>1321</v>
      </c>
      <c r="C518" s="14" t="n">
        <v>0</v>
      </c>
      <c r="D518" s="14" t="n">
        <v>0</v>
      </c>
      <c r="E518" s="14" t="n">
        <v>0</v>
      </c>
      <c r="F518" s="2" t="s">
        <v>1131</v>
      </c>
      <c r="G518" s="7" t="s">
        <v>25</v>
      </c>
      <c r="H518" s="2"/>
      <c r="I518" s="8" t="s">
        <v>1307</v>
      </c>
      <c r="J518" s="2" t="s">
        <v>1133</v>
      </c>
    </row>
    <row r="519" customFormat="false" ht="15" hidden="false" customHeight="false" outlineLevel="0" collapsed="false">
      <c r="A519" s="2" t="s">
        <v>1322</v>
      </c>
      <c r="B519" s="2" t="s">
        <v>1323</v>
      </c>
      <c r="C519" s="14" t="n">
        <v>1</v>
      </c>
      <c r="D519" s="14" t="n">
        <v>1</v>
      </c>
      <c r="E519" s="14" t="n">
        <v>1</v>
      </c>
      <c r="F519" s="2" t="s">
        <v>1131</v>
      </c>
      <c r="G519" s="7" t="s">
        <v>25</v>
      </c>
      <c r="H519" s="2"/>
      <c r="I519" s="8" t="s">
        <v>1307</v>
      </c>
      <c r="J519" s="2" t="s">
        <v>1133</v>
      </c>
    </row>
    <row r="520" customFormat="false" ht="15" hidden="false" customHeight="false" outlineLevel="0" collapsed="false">
      <c r="A520" s="2" t="s">
        <v>1324</v>
      </c>
      <c r="B520" s="2" t="s">
        <v>1325</v>
      </c>
      <c r="C520" s="14" t="n">
        <v>0.01</v>
      </c>
      <c r="D520" s="14" t="n">
        <v>0.01</v>
      </c>
      <c r="E520" s="14" t="n">
        <v>0.01</v>
      </c>
      <c r="F520" s="2" t="s">
        <v>1131</v>
      </c>
      <c r="G520" s="7" t="s">
        <v>25</v>
      </c>
      <c r="H520" s="2"/>
      <c r="I520" s="8" t="s">
        <v>1307</v>
      </c>
      <c r="J520" s="2" t="s">
        <v>1133</v>
      </c>
    </row>
    <row r="521" customFormat="false" ht="15" hidden="false" customHeight="false" outlineLevel="0" collapsed="false">
      <c r="A521" s="2" t="s">
        <v>1326</v>
      </c>
      <c r="B521" s="2" t="s">
        <v>1327</v>
      </c>
      <c r="C521" s="14" t="n">
        <v>1</v>
      </c>
      <c r="D521" s="14" t="n">
        <v>1</v>
      </c>
      <c r="E521" s="14" t="n">
        <v>1</v>
      </c>
      <c r="F521" s="2" t="s">
        <v>1131</v>
      </c>
      <c r="G521" s="7" t="s">
        <v>25</v>
      </c>
      <c r="H521" s="2"/>
      <c r="I521" s="8" t="s">
        <v>1307</v>
      </c>
      <c r="J521" s="2" t="s">
        <v>1133</v>
      </c>
    </row>
    <row r="522" customFormat="false" ht="15" hidden="false" customHeight="false" outlineLevel="0" collapsed="false">
      <c r="A522" s="2" t="s">
        <v>1328</v>
      </c>
      <c r="B522" s="2" t="s">
        <v>1329</v>
      </c>
      <c r="C522" s="14" t="n">
        <v>1</v>
      </c>
      <c r="D522" s="14" t="n">
        <v>1</v>
      </c>
      <c r="E522" s="14" t="n">
        <v>1</v>
      </c>
      <c r="F522" s="2" t="s">
        <v>1131</v>
      </c>
      <c r="G522" s="7" t="s">
        <v>25</v>
      </c>
      <c r="H522" s="2"/>
      <c r="I522" s="8" t="s">
        <v>1307</v>
      </c>
      <c r="J522" s="2" t="s">
        <v>1133</v>
      </c>
    </row>
    <row r="523" customFormat="false" ht="15" hidden="false" customHeight="false" outlineLevel="0" collapsed="false">
      <c r="A523" s="2" t="s">
        <v>1330</v>
      </c>
      <c r="B523" s="2" t="s">
        <v>1331</v>
      </c>
      <c r="C523" s="14" t="n">
        <v>1</v>
      </c>
      <c r="D523" s="14" t="n">
        <v>1</v>
      </c>
      <c r="E523" s="14" t="n">
        <v>1</v>
      </c>
      <c r="F523" s="2" t="s">
        <v>1131</v>
      </c>
      <c r="G523" s="7" t="s">
        <v>25</v>
      </c>
      <c r="H523" s="2"/>
      <c r="I523" s="8" t="s">
        <v>1307</v>
      </c>
      <c r="J523" s="2" t="s">
        <v>1133</v>
      </c>
    </row>
    <row r="524" customFormat="false" ht="15" hidden="false" customHeight="false" outlineLevel="0" collapsed="false">
      <c r="A524" s="2" t="s">
        <v>1332</v>
      </c>
      <c r="B524" s="2" t="s">
        <v>1333</v>
      </c>
      <c r="C524" s="14" t="n">
        <v>1</v>
      </c>
      <c r="D524" s="14" t="n">
        <v>1</v>
      </c>
      <c r="E524" s="14" t="n">
        <v>1</v>
      </c>
      <c r="F524" s="2" t="s">
        <v>1131</v>
      </c>
      <c r="G524" s="7" t="s">
        <v>25</v>
      </c>
      <c r="H524" s="2"/>
      <c r="I524" s="8" t="s">
        <v>1307</v>
      </c>
      <c r="J524" s="2" t="s">
        <v>1133</v>
      </c>
    </row>
    <row r="525" customFormat="false" ht="15" hidden="false" customHeight="false" outlineLevel="0" collapsed="false">
      <c r="A525" s="2" t="s">
        <v>1334</v>
      </c>
      <c r="B525" s="2" t="s">
        <v>1335</v>
      </c>
      <c r="C525" s="14" t="n">
        <v>6</v>
      </c>
      <c r="D525" s="14" t="n">
        <v>6</v>
      </c>
      <c r="E525" s="14" t="n">
        <v>6</v>
      </c>
      <c r="F525" s="2" t="s">
        <v>1131</v>
      </c>
      <c r="G525" s="7" t="s">
        <v>25</v>
      </c>
      <c r="H525" s="2"/>
      <c r="I525" s="8" t="s">
        <v>1336</v>
      </c>
      <c r="J525" s="2" t="s">
        <v>1133</v>
      </c>
    </row>
    <row r="526" customFormat="false" ht="15" hidden="false" customHeight="false" outlineLevel="0" collapsed="false">
      <c r="A526" s="2" t="s">
        <v>1337</v>
      </c>
      <c r="B526" s="2" t="s">
        <v>1338</v>
      </c>
      <c r="C526" s="14" t="n">
        <v>600000</v>
      </c>
      <c r="D526" s="14" t="n">
        <v>600000</v>
      </c>
      <c r="E526" s="14" t="n">
        <v>600000</v>
      </c>
      <c r="F526" s="2" t="s">
        <v>1131</v>
      </c>
      <c r="G526" s="7" t="s">
        <v>25</v>
      </c>
      <c r="H526" s="2"/>
      <c r="I526" s="8" t="s">
        <v>1336</v>
      </c>
      <c r="J526" s="2" t="s">
        <v>1133</v>
      </c>
    </row>
    <row r="527" customFormat="false" ht="15" hidden="false" customHeight="false" outlineLevel="0" collapsed="false">
      <c r="A527" s="2" t="s">
        <v>1339</v>
      </c>
      <c r="B527" s="2" t="s">
        <v>1340</v>
      </c>
      <c r="C527" s="14" t="n">
        <v>0</v>
      </c>
      <c r="D527" s="14" t="n">
        <v>0</v>
      </c>
      <c r="E527" s="14" t="n">
        <v>0</v>
      </c>
      <c r="F527" s="2" t="s">
        <v>1131</v>
      </c>
      <c r="G527" s="7" t="s">
        <v>25</v>
      </c>
      <c r="H527" s="2"/>
      <c r="I527" s="8" t="s">
        <v>1336</v>
      </c>
      <c r="J527" s="2" t="s">
        <v>1133</v>
      </c>
    </row>
    <row r="528" customFormat="false" ht="15" hidden="false" customHeight="false" outlineLevel="0" collapsed="false">
      <c r="A528" s="2" t="s">
        <v>1341</v>
      </c>
      <c r="B528" s="2" t="s">
        <v>1342</v>
      </c>
      <c r="C528" s="14" t="n">
        <v>99</v>
      </c>
      <c r="D528" s="14" t="n">
        <v>99</v>
      </c>
      <c r="E528" s="14" t="n">
        <v>99</v>
      </c>
      <c r="F528" s="2" t="s">
        <v>1131</v>
      </c>
      <c r="G528" s="7" t="s">
        <v>25</v>
      </c>
      <c r="H528" s="2"/>
      <c r="I528" s="8" t="s">
        <v>1336</v>
      </c>
      <c r="J528" s="2" t="s">
        <v>1133</v>
      </c>
    </row>
    <row r="529" customFormat="false" ht="15" hidden="false" customHeight="false" outlineLevel="0" collapsed="false">
      <c r="A529" s="2" t="s">
        <v>1343</v>
      </c>
      <c r="B529" s="2" t="s">
        <v>1344</v>
      </c>
      <c r="C529" s="14" t="n">
        <v>99</v>
      </c>
      <c r="D529" s="14" t="n">
        <v>99</v>
      </c>
      <c r="E529" s="14" t="n">
        <v>99</v>
      </c>
      <c r="F529" s="2" t="s">
        <v>1131</v>
      </c>
      <c r="G529" s="7" t="s">
        <v>25</v>
      </c>
      <c r="H529" s="2"/>
      <c r="I529" s="8" t="s">
        <v>1336</v>
      </c>
      <c r="J529" s="2" t="s">
        <v>1133</v>
      </c>
    </row>
    <row r="530" customFormat="false" ht="15" hidden="false" customHeight="false" outlineLevel="0" collapsed="false">
      <c r="A530" s="2" t="s">
        <v>1345</v>
      </c>
      <c r="B530" s="2" t="s">
        <v>1346</v>
      </c>
      <c r="C530" s="14" t="n">
        <v>0</v>
      </c>
      <c r="D530" s="14" t="n">
        <v>0</v>
      </c>
      <c r="E530" s="14" t="n">
        <v>0</v>
      </c>
      <c r="F530" s="2" t="s">
        <v>1131</v>
      </c>
      <c r="G530" s="7" t="s">
        <v>25</v>
      </c>
      <c r="H530" s="2"/>
      <c r="I530" s="8" t="s">
        <v>1336</v>
      </c>
      <c r="J530" s="2" t="s">
        <v>1133</v>
      </c>
    </row>
    <row r="531" customFormat="false" ht="15" hidden="false" customHeight="false" outlineLevel="0" collapsed="false">
      <c r="A531" s="2" t="s">
        <v>1347</v>
      </c>
      <c r="B531" s="2" t="s">
        <v>1348</v>
      </c>
      <c r="C531" s="14" t="n">
        <v>99</v>
      </c>
      <c r="D531" s="14" t="n">
        <v>99</v>
      </c>
      <c r="E531" s="14" t="n">
        <v>99</v>
      </c>
      <c r="F531" s="2" t="s">
        <v>1131</v>
      </c>
      <c r="G531" s="7" t="s">
        <v>25</v>
      </c>
      <c r="H531" s="2"/>
      <c r="I531" s="8" t="s">
        <v>1336</v>
      </c>
      <c r="J531" s="2" t="s">
        <v>1133</v>
      </c>
    </row>
    <row r="532" customFormat="false" ht="15" hidden="false" customHeight="false" outlineLevel="0" collapsed="false">
      <c r="A532" s="2" t="s">
        <v>1349</v>
      </c>
      <c r="B532" s="2" t="s">
        <v>1350</v>
      </c>
      <c r="C532" s="14" t="n">
        <v>0</v>
      </c>
      <c r="D532" s="14" t="n">
        <v>0</v>
      </c>
      <c r="E532" s="14" t="n">
        <v>0</v>
      </c>
      <c r="F532" s="2" t="s">
        <v>1131</v>
      </c>
      <c r="G532" s="7" t="s">
        <v>25</v>
      </c>
      <c r="H532" s="2"/>
      <c r="I532" s="8" t="s">
        <v>1336</v>
      </c>
      <c r="J532" s="2" t="s">
        <v>1133</v>
      </c>
    </row>
    <row r="533" customFormat="false" ht="15" hidden="false" customHeight="false" outlineLevel="0" collapsed="false">
      <c r="A533" s="2" t="s">
        <v>1351</v>
      </c>
      <c r="B533" s="2" t="s">
        <v>1352</v>
      </c>
      <c r="C533" s="14" t="n">
        <v>1</v>
      </c>
      <c r="D533" s="14" t="n">
        <v>1</v>
      </c>
      <c r="E533" s="14" t="n">
        <v>1</v>
      </c>
      <c r="F533" s="2" t="s">
        <v>1131</v>
      </c>
      <c r="G533" s="7" t="s">
        <v>25</v>
      </c>
      <c r="H533" s="2"/>
      <c r="I533" s="8" t="s">
        <v>1336</v>
      </c>
      <c r="J533" s="2" t="s">
        <v>1133</v>
      </c>
    </row>
    <row r="534" customFormat="false" ht="15" hidden="false" customHeight="false" outlineLevel="0" collapsed="false">
      <c r="A534" s="2" t="s">
        <v>1353</v>
      </c>
      <c r="B534" s="2" t="s">
        <v>1354</v>
      </c>
      <c r="C534" s="14" t="n">
        <v>0</v>
      </c>
      <c r="D534" s="14" t="n">
        <v>0</v>
      </c>
      <c r="E534" s="14" t="n">
        <v>0</v>
      </c>
      <c r="F534" s="2" t="s">
        <v>1131</v>
      </c>
      <c r="G534" s="7" t="s">
        <v>25</v>
      </c>
      <c r="H534" s="2"/>
      <c r="I534" s="8" t="s">
        <v>1336</v>
      </c>
      <c r="J534" s="2" t="s">
        <v>1133</v>
      </c>
    </row>
    <row r="535" customFormat="false" ht="15" hidden="false" customHeight="false" outlineLevel="0" collapsed="false">
      <c r="A535" s="2" t="s">
        <v>1355</v>
      </c>
      <c r="B535" s="2" t="s">
        <v>1356</v>
      </c>
      <c r="C535" s="14" t="n">
        <v>1</v>
      </c>
      <c r="D535" s="14" t="n">
        <v>1</v>
      </c>
      <c r="E535" s="14" t="n">
        <v>1</v>
      </c>
      <c r="F535" s="2" t="s">
        <v>1131</v>
      </c>
      <c r="G535" s="7" t="s">
        <v>25</v>
      </c>
      <c r="H535" s="2"/>
      <c r="I535" s="8" t="s">
        <v>1336</v>
      </c>
      <c r="J535" s="2" t="s">
        <v>1133</v>
      </c>
    </row>
    <row r="536" customFormat="false" ht="15" hidden="false" customHeight="false" outlineLevel="0" collapsed="false">
      <c r="A536" s="2" t="s">
        <v>1357</v>
      </c>
      <c r="B536" s="2" t="s">
        <v>1358</v>
      </c>
      <c r="C536" s="14" t="n">
        <v>1</v>
      </c>
      <c r="D536" s="14" t="n">
        <v>1</v>
      </c>
      <c r="E536" s="14" t="n">
        <v>1</v>
      </c>
      <c r="F536" s="2" t="s">
        <v>1131</v>
      </c>
      <c r="G536" s="7" t="s">
        <v>25</v>
      </c>
      <c r="H536" s="2"/>
      <c r="I536" s="8" t="s">
        <v>1336</v>
      </c>
      <c r="J536" s="2" t="s">
        <v>1133</v>
      </c>
    </row>
    <row r="537" customFormat="false" ht="15" hidden="false" customHeight="false" outlineLevel="0" collapsed="false">
      <c r="A537" s="2" t="s">
        <v>1359</v>
      </c>
      <c r="B537" s="2" t="s">
        <v>1360</v>
      </c>
      <c r="C537" s="14" t="n">
        <v>1</v>
      </c>
      <c r="D537" s="14" t="n">
        <v>1</v>
      </c>
      <c r="E537" s="14" t="n">
        <v>1</v>
      </c>
      <c r="F537" s="2" t="s">
        <v>1131</v>
      </c>
      <c r="G537" s="7" t="s">
        <v>25</v>
      </c>
      <c r="H537" s="2"/>
      <c r="I537" s="8" t="s">
        <v>1336</v>
      </c>
      <c r="J537" s="2" t="s">
        <v>1133</v>
      </c>
    </row>
    <row r="538" customFormat="false" ht="15" hidden="false" customHeight="false" outlineLevel="0" collapsed="false">
      <c r="A538" s="2" t="s">
        <v>1361</v>
      </c>
      <c r="B538" s="2" t="s">
        <v>1362</v>
      </c>
      <c r="C538" s="14" t="n">
        <v>1.3</v>
      </c>
      <c r="D538" s="14" t="n">
        <v>1.3</v>
      </c>
      <c r="E538" s="14" t="n">
        <v>1.3</v>
      </c>
      <c r="F538" s="2" t="s">
        <v>1131</v>
      </c>
      <c r="G538" s="7" t="s">
        <v>25</v>
      </c>
      <c r="H538" s="2"/>
      <c r="I538" s="8" t="s">
        <v>1336</v>
      </c>
      <c r="J538" s="2" t="s">
        <v>1133</v>
      </c>
    </row>
    <row r="539" customFormat="false" ht="15" hidden="false" customHeight="false" outlineLevel="0" collapsed="false">
      <c r="A539" s="5" t="s">
        <v>1363</v>
      </c>
    </row>
    <row r="540" customFormat="false" ht="15" hidden="false" customHeight="false" outlineLevel="0" collapsed="false">
      <c r="A540" s="2" t="s">
        <v>1364</v>
      </c>
      <c r="B540" s="2" t="s">
        <v>1365</v>
      </c>
      <c r="C540" s="6" t="n">
        <v>1500</v>
      </c>
      <c r="D540" s="6" t="n">
        <v>2500</v>
      </c>
      <c r="E540" s="6" t="n">
        <v>4000</v>
      </c>
      <c r="F540" s="2" t="s">
        <v>24</v>
      </c>
      <c r="G540" s="7" t="s">
        <v>25</v>
      </c>
      <c r="H540" s="2" t="s">
        <v>1366</v>
      </c>
      <c r="I540" s="8" t="s">
        <v>1367</v>
      </c>
      <c r="J540" s="2" t="s">
        <v>1368</v>
      </c>
    </row>
    <row r="541" customFormat="false" ht="15" hidden="false" customHeight="false" outlineLevel="0" collapsed="false">
      <c r="A541" s="2" t="s">
        <v>1369</v>
      </c>
      <c r="B541" s="2" t="s">
        <v>1370</v>
      </c>
      <c r="C541" s="14" t="n">
        <v>15000</v>
      </c>
      <c r="D541" s="14" t="n">
        <v>20000</v>
      </c>
      <c r="E541" s="14" t="n">
        <v>30000</v>
      </c>
      <c r="F541" s="2" t="s">
        <v>1371</v>
      </c>
      <c r="G541" s="7" t="s">
        <v>25</v>
      </c>
      <c r="H541" s="2"/>
      <c r="I541" s="8"/>
      <c r="J541" s="2" t="s">
        <v>1368</v>
      </c>
    </row>
    <row r="542" customFormat="false" ht="15" hidden="false" customHeight="false" outlineLevel="0" collapsed="false">
      <c r="A542" s="2" t="s">
        <v>1372</v>
      </c>
      <c r="B542" s="2" t="s">
        <v>1373</v>
      </c>
      <c r="C542" s="14" t="n">
        <v>350</v>
      </c>
      <c r="D542" s="14" t="n">
        <v>450</v>
      </c>
      <c r="E542" s="14" t="n">
        <v>560</v>
      </c>
      <c r="F542" s="2" t="s">
        <v>702</v>
      </c>
      <c r="G542" s="7" t="s">
        <v>25</v>
      </c>
      <c r="H542" s="2" t="s">
        <v>63</v>
      </c>
      <c r="I542" s="8" t="s">
        <v>1374</v>
      </c>
      <c r="J542" s="2" t="s">
        <v>1368</v>
      </c>
    </row>
    <row r="543" customFormat="false" ht="15" hidden="false" customHeight="false" outlineLevel="0" collapsed="false">
      <c r="A543" s="2" t="s">
        <v>1375</v>
      </c>
      <c r="B543" s="2" t="s">
        <v>1376</v>
      </c>
      <c r="C543" s="6" t="n">
        <v>4000</v>
      </c>
      <c r="D543" s="6" t="n">
        <v>7000</v>
      </c>
      <c r="E543" s="6" t="n">
        <v>12000</v>
      </c>
      <c r="F543" s="2" t="s">
        <v>24</v>
      </c>
      <c r="G543" s="7" t="s">
        <v>25</v>
      </c>
      <c r="H543" s="2"/>
      <c r="I543" s="8"/>
      <c r="J543" s="2" t="s">
        <v>1368</v>
      </c>
    </row>
    <row r="544" customFormat="false" ht="15" hidden="false" customHeight="false" outlineLevel="0" collapsed="false">
      <c r="A544" s="2" t="s">
        <v>1377</v>
      </c>
      <c r="B544" s="2" t="s">
        <v>1378</v>
      </c>
      <c r="C544" s="14" t="n">
        <v>40000</v>
      </c>
      <c r="D544" s="14" t="n">
        <v>60000</v>
      </c>
      <c r="E544" s="14" t="n">
        <v>90000</v>
      </c>
      <c r="F544" s="2" t="s">
        <v>1371</v>
      </c>
      <c r="G544" s="7" t="s">
        <v>25</v>
      </c>
      <c r="H544" s="2"/>
      <c r="I544" s="8"/>
      <c r="J544" s="2" t="s">
        <v>1368</v>
      </c>
    </row>
    <row r="545" customFormat="false" ht="15" hidden="false" customHeight="false" outlineLevel="0" collapsed="false">
      <c r="A545" s="2" t="s">
        <v>1379</v>
      </c>
      <c r="B545" s="2" t="s">
        <v>1380</v>
      </c>
      <c r="C545" s="14" t="n">
        <v>800</v>
      </c>
      <c r="D545" s="14" t="n">
        <v>1000</v>
      </c>
      <c r="E545" s="14" t="n">
        <v>1200</v>
      </c>
      <c r="F545" s="2" t="s">
        <v>702</v>
      </c>
      <c r="G545" s="7" t="s">
        <v>25</v>
      </c>
      <c r="H545" s="2" t="s">
        <v>63</v>
      </c>
      <c r="I545" s="8" t="s">
        <v>1381</v>
      </c>
      <c r="J545" s="2" t="s">
        <v>1368</v>
      </c>
    </row>
    <row r="546" customFormat="false" ht="15" hidden="false" customHeight="false" outlineLevel="0" collapsed="false">
      <c r="A546" s="2" t="s">
        <v>1382</v>
      </c>
      <c r="B546" s="2" t="s">
        <v>1383</v>
      </c>
      <c r="C546" s="6" t="n">
        <v>10000</v>
      </c>
      <c r="D546" s="6" t="n">
        <v>18000</v>
      </c>
      <c r="E546" s="6" t="n">
        <v>30000</v>
      </c>
      <c r="F546" s="2" t="s">
        <v>24</v>
      </c>
      <c r="G546" s="7" t="s">
        <v>25</v>
      </c>
      <c r="H546" s="2"/>
      <c r="I546" s="8"/>
      <c r="J546" s="2" t="s">
        <v>1368</v>
      </c>
    </row>
    <row r="547" customFormat="false" ht="15" hidden="false" customHeight="false" outlineLevel="0" collapsed="false">
      <c r="A547" s="2" t="s">
        <v>1384</v>
      </c>
      <c r="B547" s="2" t="s">
        <v>1385</v>
      </c>
      <c r="C547" s="14" t="n">
        <v>100000</v>
      </c>
      <c r="D547" s="14" t="n">
        <v>150000</v>
      </c>
      <c r="E547" s="14" t="n">
        <v>220000</v>
      </c>
      <c r="F547" s="2" t="s">
        <v>1371</v>
      </c>
      <c r="G547" s="7" t="s">
        <v>25</v>
      </c>
      <c r="H547" s="2"/>
      <c r="I547" s="8"/>
      <c r="J547" s="2" t="s">
        <v>1368</v>
      </c>
    </row>
    <row r="548" customFormat="false" ht="15" hidden="false" customHeight="false" outlineLevel="0" collapsed="false">
      <c r="A548" s="2" t="s">
        <v>1386</v>
      </c>
      <c r="B548" s="2" t="s">
        <v>1387</v>
      </c>
      <c r="C548" s="14" t="n">
        <v>1350</v>
      </c>
      <c r="D548" s="14" t="n">
        <v>1800</v>
      </c>
      <c r="E548" s="14" t="n">
        <v>2250</v>
      </c>
      <c r="F548" s="2" t="s">
        <v>702</v>
      </c>
      <c r="G548" s="7" t="s">
        <v>25</v>
      </c>
      <c r="H548" s="2" t="s">
        <v>63</v>
      </c>
      <c r="I548" s="8" t="s">
        <v>1388</v>
      </c>
      <c r="J548" s="2" t="s">
        <v>1368</v>
      </c>
    </row>
    <row r="549" customFormat="false" ht="23.85" hidden="false" customHeight="false" outlineLevel="0" collapsed="false">
      <c r="A549" s="2" t="s">
        <v>1389</v>
      </c>
      <c r="B549" s="2" t="s">
        <v>1390</v>
      </c>
      <c r="C549" s="14" t="n">
        <v>150</v>
      </c>
      <c r="D549" s="14" t="n">
        <v>220</v>
      </c>
      <c r="E549" s="14" t="n">
        <v>300</v>
      </c>
      <c r="F549" s="2" t="s">
        <v>1391</v>
      </c>
      <c r="G549" s="7" t="s">
        <v>25</v>
      </c>
      <c r="H549" s="2" t="s">
        <v>1392</v>
      </c>
      <c r="I549" s="8" t="s">
        <v>1393</v>
      </c>
      <c r="J549" s="2" t="s">
        <v>1368</v>
      </c>
    </row>
    <row r="550" customFormat="false" ht="15" hidden="false" customHeight="false" outlineLevel="0" collapsed="false">
      <c r="A550" s="2" t="s">
        <v>1394</v>
      </c>
      <c r="B550" s="2" t="s">
        <v>1395</v>
      </c>
      <c r="C550" s="14" t="n">
        <v>15</v>
      </c>
      <c r="D550" s="14" t="n">
        <v>30</v>
      </c>
      <c r="E550" s="14" t="n">
        <v>50</v>
      </c>
      <c r="F550" s="2" t="s">
        <v>1391</v>
      </c>
      <c r="G550" s="7" t="s">
        <v>25</v>
      </c>
      <c r="H550" s="2"/>
      <c r="I550" s="8" t="s">
        <v>1396</v>
      </c>
      <c r="J550" s="2" t="s">
        <v>1368</v>
      </c>
    </row>
    <row r="551" customFormat="false" ht="35.05" hidden="false" customHeight="false" outlineLevel="0" collapsed="false">
      <c r="A551" s="2" t="s">
        <v>1397</v>
      </c>
      <c r="B551" s="2" t="s">
        <v>1398</v>
      </c>
      <c r="C551" s="15" t="n">
        <v>0.1</v>
      </c>
      <c r="D551" s="15" t="n">
        <v>0.15</v>
      </c>
      <c r="E551" s="15" t="n">
        <v>0.2</v>
      </c>
      <c r="F551" s="2" t="s">
        <v>1399</v>
      </c>
      <c r="G551" s="12" t="s">
        <v>47</v>
      </c>
      <c r="H551" s="2" t="s">
        <v>1400</v>
      </c>
      <c r="I551" s="8" t="s">
        <v>1401</v>
      </c>
      <c r="J551" s="2" t="s">
        <v>1368</v>
      </c>
    </row>
    <row r="552" customFormat="false" ht="23.85" hidden="false" customHeight="false" outlineLevel="0" collapsed="false">
      <c r="A552" s="2" t="s">
        <v>1402</v>
      </c>
      <c r="B552" s="2" t="s">
        <v>1403</v>
      </c>
      <c r="C552" s="15" t="n">
        <v>0.2</v>
      </c>
      <c r="D552" s="15" t="n">
        <v>0.238</v>
      </c>
      <c r="E552" s="15" t="n">
        <v>0.28</v>
      </c>
      <c r="F552" s="2" t="s">
        <v>1399</v>
      </c>
      <c r="G552" s="11" t="s">
        <v>41</v>
      </c>
      <c r="H552" s="2" t="s">
        <v>1404</v>
      </c>
      <c r="I552" s="8" t="s">
        <v>1405</v>
      </c>
      <c r="J552" s="2" t="s">
        <v>1368</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13" min="5" style="0" width="15"/>
  </cols>
  <sheetData>
    <row r="1" customFormat="false" ht="16.15" hidden="false" customHeight="false" outlineLevel="0" collapsed="false">
      <c r="A1" s="1" t="s">
        <v>1406</v>
      </c>
    </row>
    <row r="2" customFormat="false" ht="54" hidden="false" customHeight="true" outlineLevel="0" collapsed="false">
      <c r="A2" s="3" t="s">
        <v>1407</v>
      </c>
      <c r="B2" s="3"/>
      <c r="C2" s="3"/>
      <c r="D2" s="3"/>
      <c r="E2" s="3"/>
      <c r="F2" s="3"/>
      <c r="G2" s="3"/>
      <c r="H2" s="3"/>
      <c r="I2" s="3"/>
      <c r="J2" s="3"/>
      <c r="K2" s="3"/>
      <c r="L2" s="3"/>
      <c r="M2" s="3"/>
    </row>
    <row r="4" customFormat="false" ht="23.85" hidden="false" customHeight="false" outlineLevel="0" collapsed="false">
      <c r="A4" s="4" t="s">
        <v>1408</v>
      </c>
      <c r="B4" s="4" t="s">
        <v>12</v>
      </c>
      <c r="C4" s="4" t="s">
        <v>1409</v>
      </c>
      <c r="D4" s="4" t="s">
        <v>1410</v>
      </c>
      <c r="E4" s="4" t="s">
        <v>1411</v>
      </c>
      <c r="F4" s="4" t="s">
        <v>1412</v>
      </c>
      <c r="G4" s="4" t="s">
        <v>1413</v>
      </c>
      <c r="H4" s="4" t="s">
        <v>1414</v>
      </c>
      <c r="I4" s="4" t="s">
        <v>1415</v>
      </c>
      <c r="J4" s="4" t="s">
        <v>1416</v>
      </c>
      <c r="K4" s="4" t="s">
        <v>1417</v>
      </c>
      <c r="L4" s="4" t="s">
        <v>1418</v>
      </c>
      <c r="M4" s="4" t="s">
        <v>1419</v>
      </c>
    </row>
    <row r="5" customFormat="false" ht="15" hidden="false" customHeight="false" outlineLevel="0" collapsed="false">
      <c r="A5" s="2" t="s">
        <v>1420</v>
      </c>
      <c r="B5" s="2" t="s">
        <v>1421</v>
      </c>
      <c r="C5" s="2" t="s">
        <v>1422</v>
      </c>
      <c r="D5" s="16" t="n">
        <v>0</v>
      </c>
      <c r="E5" s="17" t="n">
        <f aca="false">S1_surf_chateau*S1_vr_m2_fav+S1_surf_dep*S1_vr_m2_fav*vr_dep_ratio_fav</f>
        <v>2736000</v>
      </c>
      <c r="F5" s="17" t="n">
        <f aca="false">S1_surf_chateau*S1_vr_m2+S1_surf_dep*S1_vr_m2*vr_dep_ratio</f>
        <v>3600000</v>
      </c>
      <c r="G5" s="17" t="n">
        <f aca="false">S1_surf_chateau*S1_vr_m2_def+S1_surf_dep*S1_vr_m2_def*vr_dep_ratio_def</f>
        <v>5040000</v>
      </c>
      <c r="H5" s="17" t="n">
        <f aca="false">S2_surf_chateau*S2_vr_m2_fav+S2_surf_dep*S2_vr_m2_fav*vr_dep_ratio_fav</f>
        <v>8400000</v>
      </c>
      <c r="I5" s="17" t="n">
        <f aca="false">S2_surf_chateau*S2_vr_m2+S2_surf_dep*S2_vr_m2*vr_dep_ratio</f>
        <v>12025000</v>
      </c>
      <c r="J5" s="17" t="n">
        <f aca="false">S2_surf_chateau*S2_vr_m2_def+S2_surf_dep*S2_vr_m2_def*vr_dep_ratio_def</f>
        <v>17500000</v>
      </c>
      <c r="K5" s="17" t="n">
        <f aca="false">S3_surf_chateau*S3_vr_m2_fav+S3_surf_dep*S3_vr_m2_fav*vr_dep_ratio_fav</f>
        <v>30500000</v>
      </c>
      <c r="L5" s="17" t="n">
        <f aca="false">S3_surf_chateau*S3_vr_m2+S3_surf_dep*S3_vr_m2*vr_dep_ratio</f>
        <v>45500000</v>
      </c>
      <c r="M5" s="17" t="n">
        <f aca="false">S3_surf_chateau*S3_vr_m2_def+S3_surf_dep*S3_vr_m2_def*vr_dep_ratio_def</f>
        <v>69000000</v>
      </c>
    </row>
    <row r="6" customFormat="false" ht="15" hidden="false" customHeight="false" outlineLevel="0" collapsed="false">
      <c r="A6" s="2" t="s">
        <v>1423</v>
      </c>
      <c r="B6" s="2" t="s">
        <v>1424</v>
      </c>
      <c r="C6" s="2" t="s">
        <v>1425</v>
      </c>
      <c r="D6" s="16" t="n">
        <v>0.1</v>
      </c>
      <c r="E6" s="17" t="n">
        <f aca="false">E5*taux_entretien_courant_fav</f>
        <v>13680</v>
      </c>
      <c r="F6" s="17" t="n">
        <f aca="false">F5*taux_entretien_courant</f>
        <v>27000</v>
      </c>
      <c r="G6" s="17" t="n">
        <f aca="false">G5*taux_entretien_courant_def</f>
        <v>50400</v>
      </c>
      <c r="H6" s="17" t="n">
        <f aca="false">H5*taux_entretien_courant_fav</f>
        <v>42000</v>
      </c>
      <c r="I6" s="17" t="n">
        <f aca="false">I5*taux_entretien_courant</f>
        <v>90187.5</v>
      </c>
      <c r="J6" s="17" t="n">
        <f aca="false">J5*taux_entretien_courant_def</f>
        <v>175000</v>
      </c>
      <c r="K6" s="17" t="n">
        <f aca="false">K5*taux_entretien_courant_fav</f>
        <v>152500</v>
      </c>
      <c r="L6" s="17" t="n">
        <f aca="false">L5*taux_entretien_courant</f>
        <v>341250</v>
      </c>
      <c r="M6" s="17" t="n">
        <f aca="false">M5*taux_entretien_courant_def</f>
        <v>690000</v>
      </c>
    </row>
    <row r="7" customFormat="false" ht="15" hidden="false" customHeight="false" outlineLevel="0" collapsed="false">
      <c r="A7" s="2" t="s">
        <v>1426</v>
      </c>
      <c r="B7" s="2" t="s">
        <v>1427</v>
      </c>
      <c r="C7" s="2" t="s">
        <v>1425</v>
      </c>
      <c r="D7" s="16" t="n">
        <v>0.1</v>
      </c>
      <c r="E7" s="17" t="n">
        <f aca="false">E5*taux_gros_entretien_fav</f>
        <v>41040</v>
      </c>
      <c r="F7" s="17" t="n">
        <f aca="false">F5*taux_gros_entretien</f>
        <v>81000</v>
      </c>
      <c r="G7" s="17" t="n">
        <f aca="false">G5*taux_gros_entretien_def</f>
        <v>151200</v>
      </c>
      <c r="H7" s="17" t="n">
        <f aca="false">H5*taux_gros_entretien_fav</f>
        <v>126000</v>
      </c>
      <c r="I7" s="17" t="n">
        <f aca="false">I5*taux_gros_entretien</f>
        <v>270562.5</v>
      </c>
      <c r="J7" s="17" t="n">
        <f aca="false">J5*taux_gros_entretien_def</f>
        <v>525000</v>
      </c>
      <c r="K7" s="17" t="n">
        <f aca="false">K5*taux_gros_entretien_fav</f>
        <v>457500</v>
      </c>
      <c r="L7" s="17" t="n">
        <f aca="false">L5*taux_gros_entretien</f>
        <v>1023750</v>
      </c>
      <c r="M7" s="17" t="n">
        <f aca="false">M5*taux_gros_entretien_def</f>
        <v>2070000</v>
      </c>
    </row>
    <row r="8" customFormat="false" ht="15" hidden="false" customHeight="false" outlineLevel="0" collapsed="false">
      <c r="A8" s="2" t="s">
        <v>1428</v>
      </c>
      <c r="B8" s="2" t="s">
        <v>1429</v>
      </c>
      <c r="C8" s="2" t="s">
        <v>1425</v>
      </c>
      <c r="D8" s="16" t="n">
        <v>0.1</v>
      </c>
      <c r="E8" s="17" t="n">
        <f aca="false">E7*taux_aleas_travaux_fav</f>
        <v>4104</v>
      </c>
      <c r="F8" s="17" t="n">
        <f aca="false">F7*taux_aleas_travaux</f>
        <v>12150</v>
      </c>
      <c r="G8" s="17" t="n">
        <f aca="false">G7*taux_aleas_travaux_def</f>
        <v>30240</v>
      </c>
      <c r="H8" s="17" t="n">
        <f aca="false">H7*taux_aleas_travaux_fav</f>
        <v>12600</v>
      </c>
      <c r="I8" s="17" t="n">
        <f aca="false">I7*taux_aleas_travaux</f>
        <v>40584.375</v>
      </c>
      <c r="J8" s="17" t="n">
        <f aca="false">J7*taux_aleas_travaux_def</f>
        <v>105000</v>
      </c>
      <c r="K8" s="17" t="n">
        <f aca="false">K7*taux_aleas_travaux_fav</f>
        <v>45750</v>
      </c>
      <c r="L8" s="17" t="n">
        <f aca="false">L7*taux_aleas_travaux</f>
        <v>153562.5</v>
      </c>
      <c r="M8" s="17" t="n">
        <f aca="false">M7*taux_aleas_travaux_def</f>
        <v>414000</v>
      </c>
    </row>
    <row r="9" customFormat="false" ht="15" hidden="false" customHeight="false" outlineLevel="0" collapsed="false">
      <c r="A9" s="2" t="s">
        <v>1430</v>
      </c>
      <c r="B9" s="2" t="s">
        <v>1431</v>
      </c>
      <c r="C9" s="2" t="s">
        <v>1425</v>
      </c>
      <c r="D9" s="16" t="n">
        <v>0.2</v>
      </c>
      <c r="E9" s="17" t="n">
        <f aca="false">E7*taux_moe_do_fav</f>
        <v>3283.2</v>
      </c>
      <c r="F9" s="17" t="n">
        <f aca="false">F7*taux_moe_do</f>
        <v>9720</v>
      </c>
      <c r="G9" s="17" t="n">
        <f aca="false">G7*taux_moe_do_def</f>
        <v>27216</v>
      </c>
      <c r="H9" s="17" t="n">
        <f aca="false">H7*taux_moe_do_fav</f>
        <v>10080</v>
      </c>
      <c r="I9" s="17" t="n">
        <f aca="false">I7*taux_moe_do</f>
        <v>32467.5</v>
      </c>
      <c r="J9" s="17" t="n">
        <f aca="false">J7*taux_moe_do_def</f>
        <v>94500</v>
      </c>
      <c r="K9" s="17" t="n">
        <f aca="false">K7*taux_moe_do_fav</f>
        <v>36600</v>
      </c>
      <c r="L9" s="17" t="n">
        <f aca="false">L7*taux_moe_do</f>
        <v>122850</v>
      </c>
      <c r="M9" s="17" t="n">
        <f aca="false">M7*taux_moe_do_def</f>
        <v>372600</v>
      </c>
    </row>
    <row r="10" customFormat="false" ht="15" hidden="false" customHeight="false" outlineLevel="0" collapsed="false">
      <c r="A10" s="2" t="s">
        <v>1432</v>
      </c>
      <c r="B10" s="2" t="s">
        <v>1433</v>
      </c>
      <c r="C10" s="2" t="s">
        <v>1425</v>
      </c>
      <c r="D10" s="16" t="n">
        <v>0.2</v>
      </c>
      <c r="E10" s="17" t="n">
        <f aca="false">S1_securite_fav</f>
        <v>1500</v>
      </c>
      <c r="F10" s="17" t="n">
        <f aca="false">S1_securite</f>
        <v>2500</v>
      </c>
      <c r="G10" s="17" t="n">
        <f aca="false">S1_securite_def</f>
        <v>4000</v>
      </c>
      <c r="H10" s="17" t="n">
        <f aca="false">S2_securite_fav</f>
        <v>4000</v>
      </c>
      <c r="I10" s="17" t="n">
        <f aca="false">S2_securite</f>
        <v>7000</v>
      </c>
      <c r="J10" s="17" t="n">
        <f aca="false">S2_securite_def</f>
        <v>12000</v>
      </c>
      <c r="K10" s="17" t="n">
        <f aca="false">S3_securite_fav</f>
        <v>15000</v>
      </c>
      <c r="L10" s="17" t="n">
        <f aca="false">S3_securite</f>
        <v>25000</v>
      </c>
      <c r="M10" s="17" t="n">
        <f aca="false">S3_securite_def</f>
        <v>40000</v>
      </c>
    </row>
    <row r="11" customFormat="false" ht="15" hidden="false" customHeight="false" outlineLevel="0" collapsed="false">
      <c r="A11" s="2" t="s">
        <v>1434</v>
      </c>
      <c r="B11" s="2" t="s">
        <v>1435</v>
      </c>
      <c r="C11" s="2" t="s">
        <v>1436</v>
      </c>
      <c r="D11" s="16" t="n">
        <v>0</v>
      </c>
      <c r="E11" s="17" t="n">
        <f aca="false">S1_etp_direction*S1_cout_direction_fav</f>
        <v>0</v>
      </c>
      <c r="F11" s="17" t="n">
        <f aca="false">S1_etp_direction*S1_cout_direction</f>
        <v>0</v>
      </c>
      <c r="G11" s="17" t="n">
        <f aca="false">S1_etp_direction*S1_cout_direction_def</f>
        <v>0</v>
      </c>
      <c r="H11" s="17" t="n">
        <f aca="false">S2_etp_direction*S2_cout_direction_fav</f>
        <v>62277</v>
      </c>
      <c r="I11" s="17" t="n">
        <f aca="false">S2_etp_direction*S2_cout_direction</f>
        <v>79253</v>
      </c>
      <c r="J11" s="17" t="n">
        <f aca="false">S2_etp_direction*S2_cout_direction_def</f>
        <v>96730</v>
      </c>
      <c r="K11" s="17" t="n">
        <f aca="false">S3_etp_direction*S3_cout_direction_fav</f>
        <v>79253</v>
      </c>
      <c r="L11" s="17" t="n">
        <f aca="false">S3_etp_direction*S3_cout_direction</f>
        <v>96730</v>
      </c>
      <c r="M11" s="17" t="n">
        <f aca="false">S3_etp_direction*S3_cout_direction_def</f>
        <v>115000</v>
      </c>
    </row>
    <row r="12" customFormat="false" ht="15" hidden="false" customHeight="false" outlineLevel="0" collapsed="false">
      <c r="A12" s="2" t="s">
        <v>1437</v>
      </c>
      <c r="B12" s="2" t="s">
        <v>1438</v>
      </c>
      <c r="C12" s="2" t="s">
        <v>1436</v>
      </c>
      <c r="D12" s="16" t="n">
        <v>0</v>
      </c>
      <c r="E12" s="17" t="n">
        <f aca="false">S1_etp_admin*cout_admin_salarie_fav</f>
        <v>0</v>
      </c>
      <c r="F12" s="17" t="n">
        <f aca="false">S1_etp_admin*cout_admin_salarie</f>
        <v>0</v>
      </c>
      <c r="G12" s="17" t="n">
        <f aca="false">S1_etp_admin*cout_admin_salarie_def</f>
        <v>0</v>
      </c>
      <c r="H12" s="17" t="n">
        <f aca="false">S2_etp_admin*cout_admin_salarie_fav</f>
        <v>0</v>
      </c>
      <c r="I12" s="17" t="n">
        <f aca="false">S2_etp_admin*cout_admin_salarie</f>
        <v>0</v>
      </c>
      <c r="J12" s="17" t="n">
        <f aca="false">S2_etp_admin*cout_admin_salarie_def</f>
        <v>0</v>
      </c>
      <c r="K12" s="17" t="n">
        <f aca="false">S3_etp_admin*cout_admin_salarie_fav</f>
        <v>40479</v>
      </c>
      <c r="L12" s="17" t="n">
        <f aca="false">S3_etp_admin*cout_admin_salarie</f>
        <v>44289</v>
      </c>
      <c r="M12" s="17" t="n">
        <f aca="false">S3_etp_admin*cout_admin_salarie_def</f>
        <v>48000</v>
      </c>
    </row>
    <row r="13" customFormat="false" ht="15" hidden="false" customHeight="false" outlineLevel="0" collapsed="false">
      <c r="A13" s="2" t="s">
        <v>1439</v>
      </c>
      <c r="B13" s="2" t="s">
        <v>1440</v>
      </c>
      <c r="C13" s="2" t="s">
        <v>1436</v>
      </c>
      <c r="D13" s="16" t="n">
        <v>0</v>
      </c>
      <c r="E13" s="17" t="n">
        <f aca="false">S1_etp_chef_jardinier*cout_chef_jardinier_fav</f>
        <v>0</v>
      </c>
      <c r="F13" s="17" t="n">
        <f aca="false">S1_etp_chef_jardinier*cout_chef_jardinier</f>
        <v>0</v>
      </c>
      <c r="G13" s="17" t="n">
        <f aca="false">S1_etp_chef_jardinier*cout_chef_jardinier_def</f>
        <v>0</v>
      </c>
      <c r="H13" s="17" t="n">
        <f aca="false">S2_etp_chef_jardinier*cout_chef_jardinier_fav</f>
        <v>44289</v>
      </c>
      <c r="I13" s="17" t="n">
        <f aca="false">S2_etp_chef_jardinier*cout_chef_jardinier</f>
        <v>53470</v>
      </c>
      <c r="J13" s="17" t="n">
        <f aca="false">S2_etp_chef_jardinier*cout_chef_jardinier_def</f>
        <v>62277</v>
      </c>
      <c r="K13" s="17" t="n">
        <f aca="false">S3_etp_chef_jardinier*cout_chef_jardinier_fav</f>
        <v>44289</v>
      </c>
      <c r="L13" s="17" t="n">
        <f aca="false">S3_etp_chef_jardinier*cout_chef_jardinier</f>
        <v>53470</v>
      </c>
      <c r="M13" s="17" t="n">
        <f aca="false">S3_etp_chef_jardinier*cout_chef_jardinier_def</f>
        <v>62277</v>
      </c>
    </row>
    <row r="14" customFormat="false" ht="15" hidden="false" customHeight="false" outlineLevel="0" collapsed="false">
      <c r="A14" s="2" t="s">
        <v>1441</v>
      </c>
      <c r="B14" s="2" t="s">
        <v>1442</v>
      </c>
      <c r="C14" s="2" t="s">
        <v>1436</v>
      </c>
      <c r="D14" s="16" t="n">
        <v>0</v>
      </c>
      <c r="E14" s="17" t="n">
        <f aca="false">S1_etp_jardin*cout_jardinier_fav</f>
        <v>28346</v>
      </c>
      <c r="F14" s="17" t="n">
        <f aca="false">S1_etp_jardin*cout_jardinier</f>
        <v>32531</v>
      </c>
      <c r="G14" s="17" t="n">
        <f aca="false">S1_etp_jardin*cout_jardinier_def</f>
        <v>36566</v>
      </c>
      <c r="H14" s="17" t="n">
        <f aca="false">S2_etp_jardin*cout_jardinier_fav</f>
        <v>56692</v>
      </c>
      <c r="I14" s="17" t="n">
        <f aca="false">S2_etp_jardin*cout_jardinier</f>
        <v>65062</v>
      </c>
      <c r="J14" s="17" t="n">
        <f aca="false">S2_etp_jardin*cout_jardinier_def</f>
        <v>73132</v>
      </c>
      <c r="K14" s="17" t="n">
        <f aca="false">S3_etp_jardin*cout_jardinier_fav</f>
        <v>453536</v>
      </c>
      <c r="L14" s="17" t="n">
        <f aca="false">S3_etp_jardin*cout_jardinier</f>
        <v>520496</v>
      </c>
      <c r="M14" s="17" t="n">
        <f aca="false">S3_etp_jardin*cout_jardinier_def</f>
        <v>585056</v>
      </c>
    </row>
    <row r="15" customFormat="false" ht="15" hidden="false" customHeight="false" outlineLevel="0" collapsed="false">
      <c r="A15" s="2" t="s">
        <v>1443</v>
      </c>
      <c r="B15" s="2" t="s">
        <v>1444</v>
      </c>
      <c r="C15" s="2" t="s">
        <v>1436</v>
      </c>
      <c r="D15" s="16" t="n">
        <v>0</v>
      </c>
      <c r="E15" s="17" t="n">
        <f aca="false">S1_etp_entretien*cout_agent_entretien_fav</f>
        <v>0</v>
      </c>
      <c r="F15" s="17" t="n">
        <f aca="false">S1_etp_entretien*cout_agent_entretien</f>
        <v>0</v>
      </c>
      <c r="G15" s="17" t="n">
        <f aca="false">S1_etp_entretien*cout_agent_entretien_def</f>
        <v>0</v>
      </c>
      <c r="H15" s="17" t="n">
        <f aca="false">S2_etp_entretien*cout_agent_entretien_fav</f>
        <v>32531</v>
      </c>
      <c r="I15" s="17" t="n">
        <f aca="false">S2_etp_entretien*cout_agent_entretien</f>
        <v>36566</v>
      </c>
      <c r="J15" s="17" t="n">
        <f aca="false">S2_etp_entretien*cout_agent_entretien_def</f>
        <v>40479</v>
      </c>
      <c r="K15" s="17" t="n">
        <f aca="false">S3_etp_entretien*cout_agent_entretien_fav</f>
        <v>65062</v>
      </c>
      <c r="L15" s="17" t="n">
        <f aca="false">S3_etp_entretien*cout_agent_entretien</f>
        <v>73132</v>
      </c>
      <c r="M15" s="17" t="n">
        <f aca="false">S3_etp_entretien*cout_agent_entretien_def</f>
        <v>80958</v>
      </c>
    </row>
    <row r="16" customFormat="false" ht="15" hidden="false" customHeight="false" outlineLevel="0" collapsed="false">
      <c r="A16" s="2" t="s">
        <v>1445</v>
      </c>
      <c r="B16" s="2" t="s">
        <v>1446</v>
      </c>
      <c r="C16" s="2" t="s">
        <v>1436</v>
      </c>
      <c r="D16" s="16" t="n">
        <v>0</v>
      </c>
      <c r="E16" s="17" t="n">
        <f aca="false">S1_etp_agricole*cout_ouvrier_agricole_fav</f>
        <v>0</v>
      </c>
      <c r="F16" s="17" t="n">
        <f aca="false">S1_etp_agricole*cout_ouvrier_agricole</f>
        <v>0</v>
      </c>
      <c r="G16" s="17" t="n">
        <f aca="false">S1_etp_agricole*cout_ouvrier_agricole_def</f>
        <v>0</v>
      </c>
      <c r="H16" s="17" t="n">
        <f aca="false">S2_etp_agricole*cout_ouvrier_agricole_fav</f>
        <v>28346</v>
      </c>
      <c r="I16" s="17" t="n">
        <f aca="false">S2_etp_agricole*cout_ouvrier_agricole</f>
        <v>32531</v>
      </c>
      <c r="J16" s="17" t="n">
        <f aca="false">S2_etp_agricole*cout_ouvrier_agricole_def</f>
        <v>36566</v>
      </c>
      <c r="K16" s="17" t="n">
        <f aca="false">S3_etp_agricole*cout_ouvrier_agricole_fav</f>
        <v>56692</v>
      </c>
      <c r="L16" s="17" t="n">
        <f aca="false">S3_etp_agricole*cout_ouvrier_agricole</f>
        <v>65062</v>
      </c>
      <c r="M16" s="17" t="n">
        <f aca="false">S3_etp_agricole*cout_ouvrier_agricole_def</f>
        <v>73132</v>
      </c>
    </row>
    <row r="17" customFormat="false" ht="15" hidden="false" customHeight="false" outlineLevel="0" collapsed="false">
      <c r="A17" s="2" t="s">
        <v>1447</v>
      </c>
      <c r="B17" s="2" t="s">
        <v>1448</v>
      </c>
      <c r="C17" s="2" t="s">
        <v>1436</v>
      </c>
      <c r="D17" s="16" t="n">
        <v>0</v>
      </c>
      <c r="E17" s="17" t="n">
        <f aca="false">S1_etp_soigneur*cout_soigneur_fav</f>
        <v>23853</v>
      </c>
      <c r="F17" s="17" t="n">
        <f aca="false">S1_etp_soigneur*cout_soigneur</f>
        <v>23973</v>
      </c>
      <c r="G17" s="17" t="n">
        <f aca="false">S1_etp_soigneur*cout_soigneur_def</f>
        <v>28216</v>
      </c>
      <c r="H17" s="17" t="n">
        <f aca="false">S2_etp_soigneur*cout_soigneur_fav</f>
        <v>23853</v>
      </c>
      <c r="I17" s="17" t="n">
        <f aca="false">S2_etp_soigneur*cout_soigneur</f>
        <v>23973</v>
      </c>
      <c r="J17" s="17" t="n">
        <f aca="false">S2_etp_soigneur*cout_soigneur_def</f>
        <v>28216</v>
      </c>
      <c r="K17" s="17" t="n">
        <f aca="false">S3_etp_soigneur*cout_soigneur_fav</f>
        <v>35779.5</v>
      </c>
      <c r="L17" s="17" t="n">
        <f aca="false">S3_etp_soigneur*cout_soigneur</f>
        <v>35959.5</v>
      </c>
      <c r="M17" s="17" t="n">
        <f aca="false">S3_etp_soigneur*cout_soigneur_def</f>
        <v>42324</v>
      </c>
    </row>
    <row r="18" customFormat="false" ht="15" hidden="false" customHeight="false" outlineLevel="0" collapsed="false">
      <c r="A18" s="2" t="s">
        <v>1449</v>
      </c>
      <c r="B18" s="2" t="s">
        <v>1450</v>
      </c>
      <c r="C18" s="2" t="s">
        <v>1436</v>
      </c>
      <c r="D18" s="16" t="n">
        <v>0</v>
      </c>
      <c r="E18" s="17" t="n">
        <f aca="false">S1_etp_resp_ecurie*cout_resp_ecurie_fav</f>
        <v>0</v>
      </c>
      <c r="F18" s="17" t="n">
        <f aca="false">S1_etp_resp_ecurie*cout_resp_ecurie</f>
        <v>0</v>
      </c>
      <c r="G18" s="17" t="n">
        <f aca="false">S1_etp_resp_ecurie*cout_resp_ecurie_def</f>
        <v>0</v>
      </c>
      <c r="H18" s="17" t="n">
        <f aca="false">S2_etp_resp_ecurie*cout_resp_ecurie_fav</f>
        <v>36566</v>
      </c>
      <c r="I18" s="17" t="n">
        <f aca="false">S2_etp_resp_ecurie*cout_resp_ecurie</f>
        <v>40479</v>
      </c>
      <c r="J18" s="17" t="n">
        <f aca="false">S2_etp_resp_ecurie*cout_resp_ecurie_def</f>
        <v>44289</v>
      </c>
      <c r="K18" s="17" t="n">
        <f aca="false">S3_etp_resp_ecurie*cout_resp_ecurie_fav</f>
        <v>36566</v>
      </c>
      <c r="L18" s="17" t="n">
        <f aca="false">S3_etp_resp_ecurie*cout_resp_ecurie</f>
        <v>40479</v>
      </c>
      <c r="M18" s="17" t="n">
        <f aca="false">S3_etp_resp_ecurie*cout_resp_ecurie_def</f>
        <v>44289</v>
      </c>
    </row>
    <row r="19" customFormat="false" ht="15" hidden="false" customHeight="false" outlineLevel="0" collapsed="false">
      <c r="A19" s="2" t="s">
        <v>1451</v>
      </c>
      <c r="B19" s="2" t="s">
        <v>1452</v>
      </c>
      <c r="C19" s="2" t="s">
        <v>1436</v>
      </c>
      <c r="D19" s="16" t="n">
        <v>0</v>
      </c>
      <c r="E19" s="17" t="n">
        <f aca="false">S1_etp_gouvernance*S1_cout_gouvernance_fav</f>
        <v>0</v>
      </c>
      <c r="F19" s="17" t="n">
        <f aca="false">S1_etp_gouvernance*S1_cout_gouvernance</f>
        <v>0</v>
      </c>
      <c r="G19" s="17" t="n">
        <f aca="false">S1_etp_gouvernance*S1_cout_gouvernance_def</f>
        <v>0</v>
      </c>
      <c r="H19" s="17" t="n">
        <f aca="false">S2_etp_gouvernance*S2_cout_gouvernance_fav</f>
        <v>37863</v>
      </c>
      <c r="I19" s="17" t="n">
        <f aca="false">S2_etp_gouvernance*S2_cout_gouvernance</f>
        <v>40776</v>
      </c>
      <c r="J19" s="17" t="n">
        <f aca="false">S2_etp_gouvernance*S2_cout_gouvernance_def</f>
        <v>43688</v>
      </c>
      <c r="K19" s="17" t="n">
        <f aca="false">S3_etp_gouvernance*S3_cout_gouvernance_fav</f>
        <v>100000</v>
      </c>
      <c r="L19" s="17" t="n">
        <f aca="false">S3_etp_gouvernance*S3_cout_gouvernance</f>
        <v>116502</v>
      </c>
      <c r="M19" s="17" t="n">
        <f aca="false">S3_etp_gouvernance*S3_cout_gouvernance_def</f>
        <v>132000</v>
      </c>
    </row>
    <row r="20" customFormat="false" ht="15" hidden="false" customHeight="false" outlineLevel="0" collapsed="false">
      <c r="A20" s="2" t="s">
        <v>1453</v>
      </c>
      <c r="B20" s="2" t="s">
        <v>1454</v>
      </c>
      <c r="C20" s="2" t="s">
        <v>1436</v>
      </c>
      <c r="D20" s="16" t="n">
        <v>0</v>
      </c>
      <c r="E20" s="17" t="n">
        <f aca="false">S1_etp_maison*cout_maison_fav</f>
        <v>14562.5</v>
      </c>
      <c r="F20" s="17" t="n">
        <f aca="false">S1_etp_maison*cout_maison</f>
        <v>16019</v>
      </c>
      <c r="G20" s="17" t="n">
        <f aca="false">S1_etp_maison*cout_maison_def</f>
        <v>17475</v>
      </c>
      <c r="H20" s="17" t="n">
        <f aca="false">S2_etp_maison*cout_maison_fav</f>
        <v>29125</v>
      </c>
      <c r="I20" s="17" t="n">
        <f aca="false">S2_etp_maison*cout_maison</f>
        <v>32038</v>
      </c>
      <c r="J20" s="17" t="n">
        <f aca="false">S2_etp_maison*cout_maison_def</f>
        <v>34950</v>
      </c>
      <c r="K20" s="17" t="n">
        <f aca="false">S3_etp_maison*cout_maison_fav</f>
        <v>58250</v>
      </c>
      <c r="L20" s="17" t="n">
        <f aca="false">S3_etp_maison*cout_maison</f>
        <v>64076</v>
      </c>
      <c r="M20" s="17" t="n">
        <f aca="false">S3_etp_maison*cout_maison_def</f>
        <v>69900</v>
      </c>
    </row>
    <row r="21" customFormat="false" ht="15" hidden="false" customHeight="false" outlineLevel="0" collapsed="false">
      <c r="A21" s="2" t="s">
        <v>1455</v>
      </c>
      <c r="B21" s="2" t="s">
        <v>1456</v>
      </c>
      <c r="C21" s="2" t="s">
        <v>1457</v>
      </c>
      <c r="D21" s="16" t="n">
        <v>0.2</v>
      </c>
      <c r="E21" s="17" t="n">
        <f aca="false">S1_ha_jardins*jardin_ha_fav</f>
        <v>1500</v>
      </c>
      <c r="F21" s="17" t="n">
        <f aca="false">S1_ha_jardins*jardin_ha</f>
        <v>2500</v>
      </c>
      <c r="G21" s="17" t="n">
        <f aca="false">S1_ha_jardins*jardin_ha_def</f>
        <v>4000</v>
      </c>
      <c r="H21" s="17" t="n">
        <f aca="false">S2_ha_jardins*jardin_ha_fav</f>
        <v>6000</v>
      </c>
      <c r="I21" s="17" t="n">
        <f aca="false">S2_ha_jardins*jardin_ha</f>
        <v>10000</v>
      </c>
      <c r="J21" s="17" t="n">
        <f aca="false">S2_ha_jardins*jardin_ha_def</f>
        <v>16000</v>
      </c>
      <c r="K21" s="17" t="n">
        <f aca="false">S3_ha_jardins*jardin_ha_fav</f>
        <v>30000</v>
      </c>
      <c r="L21" s="17" t="n">
        <f aca="false">S3_ha_jardins*jardin_ha</f>
        <v>50000</v>
      </c>
      <c r="M21" s="17" t="n">
        <f aca="false">S3_ha_jardins*jardin_ha_def</f>
        <v>80000</v>
      </c>
    </row>
    <row r="22" customFormat="false" ht="15" hidden="false" customHeight="false" outlineLevel="0" collapsed="false">
      <c r="A22" s="2" t="s">
        <v>1458</v>
      </c>
      <c r="B22" s="2" t="s">
        <v>1459</v>
      </c>
      <c r="C22" s="2" t="s">
        <v>1457</v>
      </c>
      <c r="D22" s="16" t="n">
        <v>0.2</v>
      </c>
      <c r="E22" s="17" t="n">
        <f aca="false">S1_ha_parc*parc_ha_fav</f>
        <v>1250</v>
      </c>
      <c r="F22" s="17" t="n">
        <f aca="false">S1_ha_parc*parc_ha</f>
        <v>2000</v>
      </c>
      <c r="G22" s="17" t="n">
        <f aca="false">S1_ha_parc*parc_ha_def</f>
        <v>3750</v>
      </c>
      <c r="H22" s="17" t="n">
        <f aca="false">S2_ha_parc*parc_ha_fav</f>
        <v>4000</v>
      </c>
      <c r="I22" s="17" t="n">
        <f aca="false">S2_ha_parc*parc_ha</f>
        <v>6400</v>
      </c>
      <c r="J22" s="17" t="n">
        <f aca="false">S2_ha_parc*parc_ha_def</f>
        <v>12000</v>
      </c>
      <c r="K22" s="17" t="n">
        <f aca="false">S3_ha_parc*parc_ha_fav</f>
        <v>25000</v>
      </c>
      <c r="L22" s="17" t="n">
        <f aca="false">S3_ha_parc*parc_ha</f>
        <v>40000</v>
      </c>
      <c r="M22" s="17" t="n">
        <f aca="false">S3_ha_parc*parc_ha_def</f>
        <v>75000</v>
      </c>
    </row>
    <row r="23" customFormat="false" ht="15" hidden="false" customHeight="false" outlineLevel="0" collapsed="false">
      <c r="A23" s="2" t="s">
        <v>1460</v>
      </c>
      <c r="B23" s="2" t="s">
        <v>1461</v>
      </c>
      <c r="C23" s="2" t="s">
        <v>1457</v>
      </c>
      <c r="D23" s="16" t="n">
        <v>0.2</v>
      </c>
      <c r="E23" s="17" t="n">
        <f aca="false">S1_ha_prairies*prairie_ha_fav</f>
        <v>4200</v>
      </c>
      <c r="F23" s="17" t="n">
        <f aca="false">S1_ha_prairies*prairie_ha</f>
        <v>6300</v>
      </c>
      <c r="G23" s="17" t="n">
        <f aca="false">S1_ha_prairies*prairie_ha_def</f>
        <v>8750</v>
      </c>
      <c r="H23" s="17" t="n">
        <f aca="false">S2_ha_prairies*prairie_ha_fav</f>
        <v>9600</v>
      </c>
      <c r="I23" s="17" t="n">
        <f aca="false">S2_ha_prairies*prairie_ha</f>
        <v>14400</v>
      </c>
      <c r="J23" s="17" t="n">
        <f aca="false">S2_ha_prairies*prairie_ha_def</f>
        <v>20000</v>
      </c>
      <c r="K23" s="17" t="n">
        <f aca="false">S3_ha_prairies*prairie_ha_fav</f>
        <v>14400</v>
      </c>
      <c r="L23" s="17" t="n">
        <f aca="false">S3_ha_prairies*prairie_ha</f>
        <v>21600</v>
      </c>
      <c r="M23" s="17" t="n">
        <f aca="false">S3_ha_prairies*prairie_ha_def</f>
        <v>30000</v>
      </c>
    </row>
    <row r="24" customFormat="false" ht="15" hidden="false" customHeight="false" outlineLevel="0" collapsed="false">
      <c r="A24" s="2" t="s">
        <v>1462</v>
      </c>
      <c r="B24" s="2" t="s">
        <v>1463</v>
      </c>
      <c r="C24" s="2" t="s">
        <v>1457</v>
      </c>
      <c r="D24" s="16" t="n">
        <v>0.2</v>
      </c>
      <c r="E24" s="17" t="n">
        <f aca="false">S1_ml_clotures*cloture_ml_fav/cloture_vie_fav</f>
        <v>2400</v>
      </c>
      <c r="F24" s="17" t="n">
        <f aca="false">S1_ml_clotures*cloture_ml/cloture_vie</f>
        <v>5250</v>
      </c>
      <c r="G24" s="17" t="n">
        <f aca="false">S1_ml_clotures*cloture_ml_def/cloture_vie_def</f>
        <v>12000</v>
      </c>
      <c r="H24" s="17" t="n">
        <f aca="false">S2_ml_clotures*cloture_ml_fav/cloture_vie_fav</f>
        <v>5600</v>
      </c>
      <c r="I24" s="17" t="n">
        <f aca="false">S2_ml_clotures*cloture_ml/cloture_vie</f>
        <v>12250</v>
      </c>
      <c r="J24" s="17" t="n">
        <f aca="false">S2_ml_clotures*cloture_ml_def/cloture_vie_def</f>
        <v>28000</v>
      </c>
      <c r="K24" s="17" t="n">
        <f aca="false">S3_ml_clotures*cloture_ml_fav/cloture_vie_fav</f>
        <v>8000</v>
      </c>
      <c r="L24" s="17" t="n">
        <f aca="false">S3_ml_clotures*cloture_ml/cloture_vie</f>
        <v>17500</v>
      </c>
      <c r="M24" s="17" t="n">
        <f aca="false">S3_ml_clotures*cloture_ml_def/cloture_vie_def</f>
        <v>40000</v>
      </c>
    </row>
    <row r="25" customFormat="false" ht="15" hidden="false" customHeight="false" outlineLevel="0" collapsed="false">
      <c r="A25" s="2" t="s">
        <v>1464</v>
      </c>
      <c r="B25" s="2" t="s">
        <v>1465</v>
      </c>
      <c r="C25" s="2" t="s">
        <v>1457</v>
      </c>
      <c r="D25" s="16" t="n">
        <v>0.2</v>
      </c>
      <c r="E25" s="17" t="n">
        <f aca="false">S1_ha_bois*bois_cout_ha_fav</f>
        <v>180</v>
      </c>
      <c r="F25" s="17" t="n">
        <f aca="false">S1_ha_bois*bois_cout_ha</f>
        <v>360</v>
      </c>
      <c r="G25" s="17" t="n">
        <f aca="false">S1_ha_bois*bois_cout_ha_def</f>
        <v>720</v>
      </c>
      <c r="H25" s="17" t="n">
        <f aca="false">S2_ha_bois*bois_cout_ha_fav</f>
        <v>450</v>
      </c>
      <c r="I25" s="17" t="n">
        <f aca="false">S2_ha_bois*bois_cout_ha</f>
        <v>900</v>
      </c>
      <c r="J25" s="17" t="n">
        <f aca="false">S2_ha_bois*bois_cout_ha_def</f>
        <v>1800</v>
      </c>
      <c r="K25" s="17" t="n">
        <f aca="false">S3_ha_bois*bois_cout_ha_fav</f>
        <v>1800</v>
      </c>
      <c r="L25" s="17" t="n">
        <f aca="false">S3_ha_bois*bois_cout_ha</f>
        <v>3600</v>
      </c>
      <c r="M25" s="17" t="n">
        <f aca="false">S3_ha_bois*bois_cout_ha_def</f>
        <v>7200</v>
      </c>
    </row>
    <row r="26" customFormat="false" ht="15" hidden="false" customHeight="false" outlineLevel="0" collapsed="false">
      <c r="A26" s="2" t="s">
        <v>1466</v>
      </c>
      <c r="B26" s="2" t="s">
        <v>1467</v>
      </c>
      <c r="C26" s="2" t="s">
        <v>1468</v>
      </c>
      <c r="D26" s="16" t="n">
        <v>0.2</v>
      </c>
      <c r="E26" s="17" t="n">
        <f aca="false">S1_valeur_equip/equip_vie_fav</f>
        <v>14166.6666666667</v>
      </c>
      <c r="F26" s="17" t="n">
        <f aca="false">S1_valeur_equip/equip_vie</f>
        <v>17000</v>
      </c>
      <c r="G26" s="17" t="n">
        <f aca="false">S1_valeur_equip/equip_vie_def</f>
        <v>21250</v>
      </c>
      <c r="H26" s="17" t="n">
        <f aca="false">S2_valeur_equip/equip_vie_fav</f>
        <v>41666.6666666667</v>
      </c>
      <c r="I26" s="17" t="n">
        <f aca="false">S2_valeur_equip/equip_vie</f>
        <v>50000</v>
      </c>
      <c r="J26" s="17" t="n">
        <f aca="false">S2_valeur_equip/equip_vie_def</f>
        <v>62500</v>
      </c>
      <c r="K26" s="17" t="n">
        <f aca="false">S3_valeur_equip/equip_vie_fav</f>
        <v>55416.6666666667</v>
      </c>
      <c r="L26" s="17" t="n">
        <f aca="false">S3_valeur_equip/equip_vie</f>
        <v>66500</v>
      </c>
      <c r="M26" s="17" t="n">
        <f aca="false">S3_valeur_equip/equip_vie_def</f>
        <v>83125</v>
      </c>
    </row>
    <row r="27" customFormat="false" ht="15" hidden="false" customHeight="false" outlineLevel="0" collapsed="false">
      <c r="A27" s="2" t="s">
        <v>1469</v>
      </c>
      <c r="B27" s="2" t="s">
        <v>1470</v>
      </c>
      <c r="C27" s="2" t="s">
        <v>1468</v>
      </c>
      <c r="D27" s="16" t="n">
        <v>0.2</v>
      </c>
      <c r="E27" s="17" t="n">
        <f aca="false">S1_valeur_equip*equip_entretien_taux_fav</f>
        <v>6800</v>
      </c>
      <c r="F27" s="17" t="n">
        <f aca="false">S1_valeur_equip*equip_entretien_taux</f>
        <v>10200</v>
      </c>
      <c r="G27" s="17" t="n">
        <f aca="false">S1_valeur_equip*equip_entretien_taux_def</f>
        <v>13600</v>
      </c>
      <c r="H27" s="17" t="n">
        <f aca="false">S2_valeur_equip*equip_entretien_taux_fav</f>
        <v>20000</v>
      </c>
      <c r="I27" s="17" t="n">
        <f aca="false">S2_valeur_equip*equip_entretien_taux</f>
        <v>30000</v>
      </c>
      <c r="J27" s="17" t="n">
        <f aca="false">S2_valeur_equip*equip_entretien_taux_def</f>
        <v>40000</v>
      </c>
      <c r="K27" s="17" t="n">
        <f aca="false">S3_valeur_equip*equip_entretien_taux_fav</f>
        <v>26600</v>
      </c>
      <c r="L27" s="17" t="n">
        <f aca="false">S3_valeur_equip*equip_entretien_taux</f>
        <v>39900</v>
      </c>
      <c r="M27" s="17" t="n">
        <f aca="false">S3_valeur_equip*equip_entretien_taux_def</f>
        <v>53200</v>
      </c>
    </row>
    <row r="28" customFormat="false" ht="15" hidden="false" customHeight="false" outlineLevel="0" collapsed="false">
      <c r="A28" s="2" t="s">
        <v>603</v>
      </c>
      <c r="B28" s="2" t="s">
        <v>1471</v>
      </c>
      <c r="C28" s="2" t="s">
        <v>1472</v>
      </c>
      <c r="D28" s="16" t="n">
        <v>0.2</v>
      </c>
      <c r="E28" s="17" t="n">
        <f aca="false">S1_nb_chevaux*cheval_an_fav</f>
        <v>11600</v>
      </c>
      <c r="F28" s="17" t="n">
        <f aca="false">S1_nb_chevaux*cheval_an</f>
        <v>16000</v>
      </c>
      <c r="G28" s="17" t="n">
        <f aca="false">S1_nb_chevaux*cheval_an_def</f>
        <v>22000</v>
      </c>
      <c r="H28" s="17" t="n">
        <f aca="false">S2_nb_chevaux*cheval_an_fav</f>
        <v>23200</v>
      </c>
      <c r="I28" s="17" t="n">
        <f aca="false">S2_nb_chevaux*cheval_an</f>
        <v>32000</v>
      </c>
      <c r="J28" s="17" t="n">
        <f aca="false">S2_nb_chevaux*cheval_an_def</f>
        <v>44000</v>
      </c>
      <c r="K28" s="17" t="n">
        <f aca="false">S3_nb_chevaux*cheval_an_fav</f>
        <v>34800</v>
      </c>
      <c r="L28" s="17" t="n">
        <f aca="false">S3_nb_chevaux*cheval_an</f>
        <v>48000</v>
      </c>
      <c r="M28" s="17" t="n">
        <f aca="false">S3_nb_chevaux*cheval_an_def</f>
        <v>66000</v>
      </c>
    </row>
    <row r="29" customFormat="false" ht="15" hidden="false" customHeight="false" outlineLevel="0" collapsed="false">
      <c r="A29" s="2" t="s">
        <v>1473</v>
      </c>
      <c r="B29" s="2" t="s">
        <v>1474</v>
      </c>
      <c r="C29" s="2" t="s">
        <v>1472</v>
      </c>
      <c r="D29" s="16" t="n">
        <v>0.2</v>
      </c>
      <c r="E29" s="17" t="n">
        <f aca="false">S1_surf_pistes*sol_cout_m2_fav/sol_vie_fav+S1_nb_boxes*box_entretien_fav+S1_surf_manege*manege_cout_m2_fav/manege_vie_fav</f>
        <v>4800</v>
      </c>
      <c r="F29" s="17" t="n">
        <f aca="false">S1_surf_pistes*sol_cout_m2/sol_vie+S1_nb_boxes*box_entretien+S1_surf_manege*manege_cout_m2/manege_vie</f>
        <v>8160</v>
      </c>
      <c r="G29" s="17" t="n">
        <f aca="false">S1_surf_pistes*sol_cout_m2_def/sol_vie_def+S1_nb_boxes*box_entretien_def+S1_surf_manege*manege_cout_m2_def/manege_vie_def</f>
        <v>14850</v>
      </c>
      <c r="H29" s="17" t="n">
        <f aca="false">S2_surf_pistes*sol_cout_m2_fav/sol_vie_fav+S2_nb_boxes*box_entretien_fav+S2_surf_manege*manege_cout_m2_fav/manege_vie_fav</f>
        <v>23161.9047619048</v>
      </c>
      <c r="I29" s="17" t="n">
        <f aca="false">S2_surf_pistes*sol_cout_m2/sol_vie+S2_nb_boxes*box_entretien+S2_surf_manege*manege_cout_m2/manege_vie</f>
        <v>37520</v>
      </c>
      <c r="J29" s="17" t="n">
        <f aca="false">S2_surf_pistes*sol_cout_m2_def/sol_vie_def+S2_nb_boxes*box_entretien_def+S2_surf_manege*manege_cout_m2_def/manege_vie_def</f>
        <v>66975</v>
      </c>
      <c r="K29" s="17" t="n">
        <f aca="false">S3_surf_pistes*sol_cout_m2_fav/sol_vie_fav+S3_nb_boxes*box_entretien_fav+S3_surf_manege*manege_cout_m2_fav/manege_vie_fav</f>
        <v>26428.5714285714</v>
      </c>
      <c r="L29" s="17" t="n">
        <f aca="false">S3_surf_pistes*sol_cout_m2/sol_vie+S3_nb_boxes*box_entretien+S3_surf_manege*manege_cout_m2/manege_vie</f>
        <v>43000</v>
      </c>
      <c r="M29" s="17" t="n">
        <f aca="false">S3_surf_pistes*sol_cout_m2_def/sol_vie_def+S3_nb_boxes*box_entretien_def+S3_surf_manege*manege_cout_m2_def/manege_vie_def</f>
        <v>76875</v>
      </c>
    </row>
    <row r="30" customFormat="false" ht="15" hidden="false" customHeight="false" outlineLevel="0" collapsed="false">
      <c r="A30" s="2" t="s">
        <v>1475</v>
      </c>
      <c r="B30" s="2" t="s">
        <v>1476</v>
      </c>
      <c r="C30" s="2" t="s">
        <v>1477</v>
      </c>
      <c r="D30" s="16" t="n">
        <v>0.2</v>
      </c>
      <c r="E30" s="17" t="n">
        <f aca="false">S1_surf_chauffee_fav*chauffage_kwh_m2_fav*prix_chaleur_kwh_fav</f>
        <v>5250</v>
      </c>
      <c r="F30" s="17" t="n">
        <f aca="false">S1_surf_chauffee*chauffage_kwh_m2*prix_chaleur_kwh</f>
        <v>14850</v>
      </c>
      <c r="G30" s="17" t="n">
        <f aca="false">S1_surf_chauffee_def*chauffage_kwh_m2_def*prix_chaleur_kwh_def</f>
        <v>33600</v>
      </c>
      <c r="H30" s="17" t="n">
        <f aca="false">S2_surf_chauffee_fav*chauffage_kwh_m2_fav*prix_chaleur_kwh_fav</f>
        <v>12000</v>
      </c>
      <c r="I30" s="17" t="n">
        <f aca="false">S2_surf_chauffee*chauffage_kwh_m2*prix_chaleur_kwh</f>
        <v>33000</v>
      </c>
      <c r="J30" s="17" t="n">
        <f aca="false">S2_surf_chauffee_def*chauffage_kwh_m2_def*prix_chaleur_kwh_def</f>
        <v>72000</v>
      </c>
      <c r="K30" s="17" t="n">
        <f aca="false">S3_surf_chauffee_fav*chauffage_kwh_m2_fav*prix_chaleur_kwh_fav</f>
        <v>20250</v>
      </c>
      <c r="L30" s="17" t="n">
        <f aca="false">S3_surf_chauffee*chauffage_kwh_m2*prix_chaleur_kwh</f>
        <v>59400</v>
      </c>
      <c r="M30" s="17" t="n">
        <f aca="false">S3_surf_chauffee_def*chauffage_kwh_m2_def*prix_chaleur_kwh_def</f>
        <v>135000</v>
      </c>
    </row>
    <row r="31" customFormat="false" ht="15" hidden="false" customHeight="false" outlineLevel="0" collapsed="false">
      <c r="A31" s="2" t="s">
        <v>1478</v>
      </c>
      <c r="B31" s="2" t="s">
        <v>1479</v>
      </c>
      <c r="C31" s="2" t="s">
        <v>1477</v>
      </c>
      <c r="D31" s="16" t="n">
        <v>0.2</v>
      </c>
      <c r="E31" s="17" t="n">
        <f aca="false">MAX(0,S1_surf_chateau-S1_surf_chauffee_fav)*horsgel_kwh_m2_fav*prix_chaleur_kwh_fav</f>
        <v>825</v>
      </c>
      <c r="F31" s="17" t="n">
        <f aca="false">MAX(0,S1_surf_chateau-S1_surf_chauffee)*horsgel_kwh_m2*prix_chaleur_kwh</f>
        <v>2025</v>
      </c>
      <c r="G31" s="17" t="n">
        <f aca="false">MAX(0,S1_surf_chateau-S1_surf_chauffee_def)*horsgel_kwh_m2_def*prix_chaleur_kwh_def</f>
        <v>3400</v>
      </c>
      <c r="H31" s="17" t="n">
        <f aca="false">MAX(0,S2_surf_chateau-S2_surf_chauffee_fav)*horsgel_kwh_m2_fav*prix_chaleur_kwh_fav</f>
        <v>1800</v>
      </c>
      <c r="I31" s="17" t="n">
        <f aca="false">MAX(0,S2_surf_chateau-S2_surf_chauffee)*horsgel_kwh_m2*prix_chaleur_kwh</f>
        <v>4500</v>
      </c>
      <c r="J31" s="17" t="n">
        <f aca="false">MAX(0,S2_surf_chateau-S2_surf_chauffee_def)*horsgel_kwh_m2_def*prix_chaleur_kwh_def</f>
        <v>8000</v>
      </c>
      <c r="K31" s="17" t="n">
        <f aca="false">MAX(0,S3_surf_chateau-S3_surf_chauffee_fav)*horsgel_kwh_m2_fav*prix_chaleur_kwh_fav</f>
        <v>4725</v>
      </c>
      <c r="L31" s="17" t="n">
        <f aca="false">MAX(0,S3_surf_chateau-S3_surf_chauffee)*horsgel_kwh_m2*prix_chaleur_kwh</f>
        <v>12150</v>
      </c>
      <c r="M31" s="17" t="n">
        <f aca="false">MAX(0,S3_surf_chateau-S3_surf_chauffee_def)*horsgel_kwh_m2_def*prix_chaleur_kwh_def</f>
        <v>22500</v>
      </c>
    </row>
    <row r="32" customFormat="false" ht="15" hidden="false" customHeight="false" outlineLevel="0" collapsed="false">
      <c r="A32" s="2" t="s">
        <v>1480</v>
      </c>
      <c r="B32" s="2" t="s">
        <v>1481</v>
      </c>
      <c r="C32" s="2" t="s">
        <v>1477</v>
      </c>
      <c r="D32" s="16" t="n">
        <v>0.2</v>
      </c>
      <c r="E32" s="17" t="n">
        <f aca="false">S1_elec_kwh_fav*prix_elec_kwh_fav</f>
        <v>3000</v>
      </c>
      <c r="F32" s="17" t="n">
        <f aca="false">S1_elec_kwh*prix_elec_kwh</f>
        <v>4760</v>
      </c>
      <c r="G32" s="17" t="n">
        <f aca="false">S1_elec_kwh_def*prix_elec_kwh_def</f>
        <v>8400</v>
      </c>
      <c r="H32" s="17" t="n">
        <f aca="false">S2_elec_kwh_fav*prix_elec_kwh_fav</f>
        <v>8000</v>
      </c>
      <c r="I32" s="17" t="n">
        <f aca="false">S2_elec_kwh*prix_elec_kwh</f>
        <v>14280</v>
      </c>
      <c r="J32" s="17" t="n">
        <f aca="false">S2_elec_kwh_def*prix_elec_kwh_def</f>
        <v>25200</v>
      </c>
      <c r="K32" s="17" t="n">
        <f aca="false">S3_elec_kwh_fav*prix_elec_kwh_fav</f>
        <v>20000</v>
      </c>
      <c r="L32" s="17" t="n">
        <f aca="false">S3_elec_kwh*prix_elec_kwh</f>
        <v>35700</v>
      </c>
      <c r="M32" s="17" t="n">
        <f aca="false">S3_elec_kwh_def*prix_elec_kwh_def</f>
        <v>61600</v>
      </c>
    </row>
    <row r="33" customFormat="false" ht="15" hidden="false" customHeight="false" outlineLevel="0" collapsed="false">
      <c r="A33" s="2" t="s">
        <v>1482</v>
      </c>
      <c r="B33" s="2" t="s">
        <v>1483</v>
      </c>
      <c r="C33" s="2" t="s">
        <v>1477</v>
      </c>
      <c r="D33" s="16" t="n">
        <v>0.1</v>
      </c>
      <c r="E33" s="17" t="n">
        <f aca="false">S1_eau_fav</f>
        <v>1500</v>
      </c>
      <c r="F33" s="17" t="n">
        <f aca="false">S1_eau</f>
        <v>2500</v>
      </c>
      <c r="G33" s="17" t="n">
        <f aca="false">S1_eau_def</f>
        <v>4000</v>
      </c>
      <c r="H33" s="17" t="n">
        <f aca="false">S2_eau_fav</f>
        <v>4000</v>
      </c>
      <c r="I33" s="17" t="n">
        <f aca="false">S2_eau</f>
        <v>7000</v>
      </c>
      <c r="J33" s="17" t="n">
        <f aca="false">S2_eau_def</f>
        <v>12000</v>
      </c>
      <c r="K33" s="17" t="n">
        <f aca="false">S3_eau_fav</f>
        <v>10000</v>
      </c>
      <c r="L33" s="17" t="n">
        <f aca="false">S3_eau</f>
        <v>18000</v>
      </c>
      <c r="M33" s="17" t="n">
        <f aca="false">S3_eau_def</f>
        <v>30000</v>
      </c>
    </row>
    <row r="34" customFormat="false" ht="15" hidden="false" customHeight="false" outlineLevel="0" collapsed="false">
      <c r="A34" s="2" t="s">
        <v>1484</v>
      </c>
      <c r="B34" s="2" t="s">
        <v>1485</v>
      </c>
      <c r="C34" s="2" t="s">
        <v>1486</v>
      </c>
      <c r="D34" s="16" t="n">
        <v>0</v>
      </c>
      <c r="E34" s="17" t="n">
        <f aca="false">E5*assurance_taux_fav</f>
        <v>4104</v>
      </c>
      <c r="F34" s="17" t="n">
        <f aca="false">F5*assurance_taux</f>
        <v>10800</v>
      </c>
      <c r="G34" s="17" t="n">
        <f aca="false">G5*assurance_taux_def</f>
        <v>25200</v>
      </c>
      <c r="H34" s="17" t="n">
        <f aca="false">H5*assurance_taux_fav</f>
        <v>12600</v>
      </c>
      <c r="I34" s="17" t="n">
        <f aca="false">I5*assurance_taux</f>
        <v>36075</v>
      </c>
      <c r="J34" s="17" t="n">
        <f aca="false">J5*assurance_taux_def</f>
        <v>87500</v>
      </c>
      <c r="K34" s="17" t="n">
        <f aca="false">K5*assurance_taux_fav</f>
        <v>45750</v>
      </c>
      <c r="L34" s="17" t="n">
        <f aca="false">L5*assurance_taux</f>
        <v>136500</v>
      </c>
      <c r="M34" s="17" t="n">
        <f aca="false">M5*assurance_taux_def</f>
        <v>345000</v>
      </c>
    </row>
    <row r="35" customFormat="false" ht="15" hidden="false" customHeight="false" outlineLevel="0" collapsed="false">
      <c r="A35" s="2" t="s">
        <v>1487</v>
      </c>
      <c r="B35" s="2" t="s">
        <v>1488</v>
      </c>
      <c r="C35" s="2" t="s">
        <v>1486</v>
      </c>
      <c r="D35" s="16" t="n">
        <v>0</v>
      </c>
      <c r="E35" s="17" t="n">
        <f aca="false">S1_assurances_autres_fav</f>
        <v>2000</v>
      </c>
      <c r="F35" s="17" t="n">
        <f aca="false">S1_assurances_autres</f>
        <v>3500</v>
      </c>
      <c r="G35" s="17" t="n">
        <f aca="false">S1_assurances_autres_def</f>
        <v>6000</v>
      </c>
      <c r="H35" s="17" t="n">
        <f aca="false">S2_assurances_autres_fav</f>
        <v>5000</v>
      </c>
      <c r="I35" s="17" t="n">
        <f aca="false">S2_assurances_autres</f>
        <v>9000</v>
      </c>
      <c r="J35" s="17" t="n">
        <f aca="false">S2_assurances_autres_def</f>
        <v>15000</v>
      </c>
      <c r="K35" s="17" t="n">
        <f aca="false">S3_assurances_autres_fav</f>
        <v>12000</v>
      </c>
      <c r="L35" s="17" t="n">
        <f aca="false">S3_assurances_autres</f>
        <v>20000</v>
      </c>
      <c r="M35" s="17" t="n">
        <f aca="false">S3_assurances_autres_def</f>
        <v>35000</v>
      </c>
    </row>
    <row r="36" customFormat="false" ht="15" hidden="false" customHeight="false" outlineLevel="0" collapsed="false">
      <c r="A36" s="2" t="s">
        <v>1489</v>
      </c>
      <c r="B36" s="2" t="s">
        <v>1490</v>
      </c>
      <c r="C36" s="2" t="s">
        <v>1491</v>
      </c>
      <c r="D36" s="16" t="n">
        <v>0</v>
      </c>
      <c r="E36" s="17" t="n">
        <f aca="false">S1_surf_chateau*tf_chateau_m2_fav+S1_surf_dep*tf_dep_m2_fav</f>
        <v>3300</v>
      </c>
      <c r="F36" s="17" t="n">
        <f aca="false">S1_surf_chateau*tf_chateau_m2+S1_surf_dep*tf_dep_m2</f>
        <v>6600</v>
      </c>
      <c r="G36" s="17" t="n">
        <f aca="false">S1_surf_chateau*tf_chateau_m2_def+S1_surf_dep*tf_dep_m2_def</f>
        <v>10800</v>
      </c>
      <c r="H36" s="17" t="n">
        <f aca="false">S2_surf_chateau*tf_chateau_m2_fav+S2_surf_dep*tf_dep_m2_fav</f>
        <v>8500</v>
      </c>
      <c r="I36" s="17" t="n">
        <f aca="false">S2_surf_chateau*tf_chateau_m2+S2_surf_dep*tf_dep_m2</f>
        <v>17000</v>
      </c>
      <c r="J36" s="17" t="n">
        <f aca="false">S2_surf_chateau*tf_chateau_m2_def+S2_surf_dep*tf_dep_m2_def</f>
        <v>27500</v>
      </c>
      <c r="K36" s="17" t="n">
        <f aca="false">S3_surf_chateau*tf_chateau_m2_fav+S3_surf_dep*tf_dep_m2_fav</f>
        <v>17500</v>
      </c>
      <c r="L36" s="17" t="n">
        <f aca="false">S3_surf_chateau*tf_chateau_m2+S3_surf_dep*tf_dep_m2</f>
        <v>35000</v>
      </c>
      <c r="M36" s="17" t="n">
        <f aca="false">S3_surf_chateau*tf_chateau_m2_def+S3_surf_dep*tf_dep_m2_def</f>
        <v>57000</v>
      </c>
    </row>
    <row r="37" customFormat="false" ht="15" hidden="false" customHeight="false" outlineLevel="0" collapsed="false">
      <c r="A37" s="2" t="s">
        <v>1492</v>
      </c>
      <c r="B37" s="2" t="s">
        <v>1493</v>
      </c>
      <c r="C37" s="2" t="s">
        <v>1491</v>
      </c>
      <c r="D37" s="16" t="n">
        <v>0</v>
      </c>
      <c r="E37" s="17" t="n">
        <f aca="false">(S1_ha_prairies+S1_ha_bois+S1_ha_parc+S1_ha_jardins)*tfnb_ha_fav</f>
        <v>300</v>
      </c>
      <c r="F37" s="17" t="n">
        <f aca="false">(S1_ha_prairies+S1_ha_bois+S1_ha_parc+S1_ha_jardins)*tfnb_ha</f>
        <v>600</v>
      </c>
      <c r="G37" s="17" t="n">
        <f aca="false">(S1_ha_prairies+S1_ha_bois+S1_ha_parc+S1_ha_jardins)*tfnb_ha_def</f>
        <v>1250</v>
      </c>
      <c r="H37" s="17" t="n">
        <f aca="false">(S2_ha_prairies+S2_ha_bois+S2_ha_parc+S2_ha_jardins)*tfnb_ha_fav</f>
        <v>720</v>
      </c>
      <c r="I37" s="17" t="n">
        <f aca="false">(S2_ha_prairies+S2_ha_bois+S2_ha_parc+S2_ha_jardins)*tfnb_ha</f>
        <v>1440</v>
      </c>
      <c r="J37" s="17" t="n">
        <f aca="false">(S2_ha_prairies+S2_ha_bois+S2_ha_parc+S2_ha_jardins)*tfnb_ha_def</f>
        <v>3000</v>
      </c>
      <c r="K37" s="17" t="n">
        <f aca="false">(S3_ha_prairies+S3_ha_bois+S3_ha_parc+S3_ha_jardins)*tfnb_ha_fav</f>
        <v>1800</v>
      </c>
      <c r="L37" s="17" t="n">
        <f aca="false">(S3_ha_prairies+S3_ha_bois+S3_ha_parc+S3_ha_jardins)*tfnb_ha</f>
        <v>3600</v>
      </c>
      <c r="M37" s="17" t="n">
        <f aca="false">(S3_ha_prairies+S3_ha_bois+S3_ha_parc+S3_ha_jardins)*tfnb_ha_def</f>
        <v>7500</v>
      </c>
    </row>
    <row r="38" customFormat="false" ht="15" hidden="false" customHeight="false" outlineLevel="0" collapsed="false">
      <c r="A38" s="2" t="s">
        <v>1494</v>
      </c>
      <c r="B38" s="2" t="s">
        <v>1495</v>
      </c>
      <c r="C38" s="2" t="s">
        <v>1491</v>
      </c>
      <c r="D38" s="16" t="n">
        <v>0</v>
      </c>
      <c r="E38" s="17" t="n">
        <f aca="false">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0</v>
      </c>
      <c r="F38" s="17" t="n">
        <f aca="false">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0</v>
      </c>
      <c r="G38" s="17" t="n">
        <f aca="false">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0</v>
      </c>
      <c r="H38" s="17" t="n">
        <f aca="false">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10550</v>
      </c>
      <c r="I38" s="17" t="n">
        <f aca="false">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10550</v>
      </c>
      <c r="J38" s="17" t="n">
        <f aca="false">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20690</v>
      </c>
      <c r="K38" s="17" t="n">
        <f aca="false">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51940</v>
      </c>
      <c r="L38" s="17" t="n">
        <f aca="false">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51940</v>
      </c>
      <c r="M38" s="17" t="n">
        <f aca="false">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85690</v>
      </c>
    </row>
    <row r="39" customFormat="false" ht="15" hidden="false" customHeight="false" outlineLevel="0" collapsed="false">
      <c r="A39" s="2" t="s">
        <v>1496</v>
      </c>
      <c r="B39" s="2" t="s">
        <v>1497</v>
      </c>
      <c r="C39" s="2" t="s">
        <v>1498</v>
      </c>
      <c r="D39" s="16" t="n">
        <v>0.2</v>
      </c>
      <c r="E39" s="17" t="n">
        <f aca="false">S1_admin_fav</f>
        <v>4000</v>
      </c>
      <c r="F39" s="17" t="n">
        <f aca="false">S1_admin</f>
        <v>7000</v>
      </c>
      <c r="G39" s="17" t="n">
        <f aca="false">S1_admin_def</f>
        <v>12000</v>
      </c>
      <c r="H39" s="17" t="n">
        <f aca="false">S2_admin_fav</f>
        <v>15000</v>
      </c>
      <c r="I39" s="17" t="n">
        <f aca="false">S2_admin</f>
        <v>25000</v>
      </c>
      <c r="J39" s="17" t="n">
        <f aca="false">S2_admin_def</f>
        <v>40000</v>
      </c>
      <c r="K39" s="17" t="n">
        <f aca="false">S3_admin_fav</f>
        <v>40000</v>
      </c>
      <c r="L39" s="17" t="n">
        <f aca="false">S3_admin</f>
        <v>70000</v>
      </c>
      <c r="M39" s="17" t="n">
        <f aca="false">S3_admin_def</f>
        <v>110000</v>
      </c>
    </row>
    <row r="40" customFormat="false" ht="15" hidden="false" customHeight="false" outlineLevel="0" collapsed="false">
      <c r="A40" s="2" t="s">
        <v>1499</v>
      </c>
      <c r="B40" s="2" t="s">
        <v>1500</v>
      </c>
      <c r="C40" s="2" t="s">
        <v>1498</v>
      </c>
      <c r="D40" s="16" t="n">
        <v>0.2</v>
      </c>
      <c r="E40" s="17" t="n">
        <f aca="false">S1_honoraires_patrimoine_fav</f>
        <v>0</v>
      </c>
      <c r="F40" s="17" t="n">
        <f aca="false">S1_honoraires_patrimoine</f>
        <v>1500</v>
      </c>
      <c r="G40" s="17" t="n">
        <f aca="false">S1_honoraires_patrimoine_def</f>
        <v>4000</v>
      </c>
      <c r="H40" s="17" t="n">
        <f aca="false">S2_honoraires_patrimoine_fav</f>
        <v>3000</v>
      </c>
      <c r="I40" s="17" t="n">
        <f aca="false">S2_honoraires_patrimoine</f>
        <v>6000</v>
      </c>
      <c r="J40" s="17" t="n">
        <f aca="false">S2_honoraires_patrimoine_def</f>
        <v>10000</v>
      </c>
      <c r="K40" s="17" t="n">
        <f aca="false">S3_honoraires_patrimoine_fav</f>
        <v>8000</v>
      </c>
      <c r="L40" s="17" t="n">
        <f aca="false">S3_honoraires_patrimoine</f>
        <v>15000</v>
      </c>
      <c r="M40" s="17" t="n">
        <f aca="false">S3_honoraires_patrimoine_def</f>
        <v>25000</v>
      </c>
    </row>
    <row r="41" customFormat="false" ht="15" hidden="false" customHeight="false" outlineLevel="0" collapsed="false">
      <c r="A41" s="2" t="s">
        <v>1501</v>
      </c>
      <c r="B41" s="2" t="s">
        <v>1502</v>
      </c>
      <c r="C41" s="2" t="s">
        <v>1436</v>
      </c>
      <c r="D41" s="16" t="n">
        <v>0</v>
      </c>
      <c r="E41" s="17" t="n">
        <f aca="false">E11+E12+E13+E14+E15+E16+E17+E18+E19+E20</f>
        <v>66761.5</v>
      </c>
      <c r="F41" s="17" t="n">
        <f aca="false">F11+F12+F13+F14+F15+F16+F17+F18+F19+F20</f>
        <v>72523</v>
      </c>
      <c r="G41" s="17" t="n">
        <f aca="false">G11+G12+G13+G14+G15+G16+G17+G18+G19+G20</f>
        <v>82257</v>
      </c>
      <c r="H41" s="17" t="n">
        <f aca="false">H11+H12+H13+H14+H15+H16+H17+H18+H19+H20</f>
        <v>351542</v>
      </c>
      <c r="I41" s="17" t="n">
        <f aca="false">I11+I12+I13+I14+I15+I16+I17+I18+I19+I20</f>
        <v>404148</v>
      </c>
      <c r="J41" s="17" t="n">
        <f aca="false">J11+J12+J13+J14+J15+J16+J17+J18+J19+J20</f>
        <v>460327</v>
      </c>
      <c r="K41" s="17" t="n">
        <f aca="false">K11+K12+K13+K14+K15+K16+K17+K18+K19+K20</f>
        <v>969906.5</v>
      </c>
      <c r="L41" s="17" t="n">
        <f aca="false">L11+L12+L13+L14+L15+L16+L17+L18+L19+L20</f>
        <v>1110195.5</v>
      </c>
      <c r="M41" s="17" t="n">
        <f aca="false">M11+M12+M13+M14+M15+M16+M17+M18+M19+M20</f>
        <v>1252936</v>
      </c>
    </row>
    <row r="42" customFormat="false" ht="15" hidden="false" customHeight="false" outlineLevel="0" collapsed="false">
      <c r="A42" s="2" t="s">
        <v>1503</v>
      </c>
      <c r="B42" s="2" t="s">
        <v>1504</v>
      </c>
      <c r="C42" s="2" t="s">
        <v>1436</v>
      </c>
      <c r="D42" s="16" t="n">
        <v>0</v>
      </c>
      <c r="E42" s="17" t="n">
        <f aca="false">S1_etp_direction+S1_etp_admin+S1_etp_chef_jardinier+S1_etp_jardin+S1_etp_entretien+S1_etp_agricole+S1_etp_soigneur+S1_etp_resp_ecurie+S1_etp_gouvernance+S1_etp_maison</f>
        <v>2.5</v>
      </c>
      <c r="F42" s="17" t="n">
        <f aca="false">S1_etp_direction+S1_etp_admin+S1_etp_chef_jardinier+S1_etp_jardin+S1_etp_entretien+S1_etp_agricole+S1_etp_soigneur+S1_etp_resp_ecurie+S1_etp_gouvernance+S1_etp_maison</f>
        <v>2.5</v>
      </c>
      <c r="G42" s="17" t="n">
        <f aca="false">S1_etp_direction+S1_etp_admin+S1_etp_chef_jardinier+S1_etp_jardin+S1_etp_entretien+S1_etp_agricole+S1_etp_soigneur+S1_etp_resp_ecurie+S1_etp_gouvernance+S1_etp_maison</f>
        <v>2.5</v>
      </c>
      <c r="H42" s="17" t="n">
        <f aca="false">S2_etp_direction+S2_etp_admin+S2_etp_chef_jardinier+S2_etp_jardin+S2_etp_entretien+S2_etp_agricole+S2_etp_soigneur+S2_etp_resp_ecurie+S2_etp_gouvernance+S2_etp_maison</f>
        <v>10</v>
      </c>
      <c r="I42" s="17" t="n">
        <f aca="false">S2_etp_direction+S2_etp_admin+S2_etp_chef_jardinier+S2_etp_jardin+S2_etp_entretien+S2_etp_agricole+S2_etp_soigneur+S2_etp_resp_ecurie+S2_etp_gouvernance+S2_etp_maison</f>
        <v>10</v>
      </c>
      <c r="J42" s="17" t="n">
        <f aca="false">S2_etp_direction+S2_etp_admin+S2_etp_chef_jardinier+S2_etp_jardin+S2_etp_entretien+S2_etp_agricole+S2_etp_soigneur+S2_etp_resp_ecurie+S2_etp_gouvernance+S2_etp_maison</f>
        <v>10</v>
      </c>
      <c r="K42" s="17" t="n">
        <f aca="false">S3_etp_direction+S3_etp_admin+S3_etp_chef_jardinier+S3_etp_jardin+S3_etp_entretien+S3_etp_agricole+S3_etp_soigneur+S3_etp_resp_ecurie+S3_etp_gouvernance+S3_etp_maison</f>
        <v>29.5</v>
      </c>
      <c r="L42" s="17" t="n">
        <f aca="false">S3_etp_direction+S3_etp_admin+S3_etp_chef_jardinier+S3_etp_jardin+S3_etp_entretien+S3_etp_agricole+S3_etp_soigneur+S3_etp_resp_ecurie+S3_etp_gouvernance+S3_etp_maison</f>
        <v>29.5</v>
      </c>
      <c r="M42" s="17" t="n">
        <f aca="false">S3_etp_direction+S3_etp_admin+S3_etp_chef_jardinier+S3_etp_jardin+S3_etp_entretien+S3_etp_agricole+S3_etp_soigneur+S3_etp_resp_ecurie+S3_etp_gouvernance+S3_etp_maison</f>
        <v>29.5</v>
      </c>
    </row>
    <row r="43" customFormat="false" ht="15" hidden="false" customHeight="false" outlineLevel="0" collapsed="false">
      <c r="A43" s="2" t="s">
        <v>1505</v>
      </c>
      <c r="B43" s="18" t="s">
        <v>1506</v>
      </c>
      <c r="C43" s="2" t="s">
        <v>1507</v>
      </c>
      <c r="D43" s="16" t="n">
        <v>0</v>
      </c>
      <c r="E43" s="19" t="n">
        <f aca="false">E6+E10+E41+E21+E22+E23+E25+E27+E28+E30+E31+E32+E33+E34+E35+E36+E37+E38+E39+E40</f>
        <v>131750.5</v>
      </c>
      <c r="F43" s="19" t="n">
        <f aca="false">F6+F10+F41+F21+F22+F23+F25+F27+F28+F30+F31+F32+F33+F34+F35+F36+F37+F38+F39+F40</f>
        <v>193518</v>
      </c>
      <c r="G43" s="19" t="n">
        <f aca="false">G6+G10+G41+G21+G22+G23+G25+G27+G28+G30+G31+G32+G33+G34+G35+G36+G37+G38+G39+G40</f>
        <v>298127</v>
      </c>
      <c r="H43" s="19" t="n">
        <f aca="false">H6+H10+H41+H21+H22+H23+H25+H27+H28+H30+H31+H32+H33+H34+H35+H36+H37+H38+H39+H40</f>
        <v>541962</v>
      </c>
      <c r="I43" s="19" t="n">
        <f aca="false">I6+I10+I41+I21+I22+I23+I25+I27+I28+I30+I31+I32+I33+I34+I35+I36+I37+I38+I39+I40</f>
        <v>758880.5</v>
      </c>
      <c r="J43" s="19" t="n">
        <f aca="false">J6+J10+J41+J21+J22+J23+J25+J27+J28+J30+J31+J32+J33+J34+J35+J36+J37+J38+J39+J40</f>
        <v>1102017</v>
      </c>
      <c r="K43" s="19" t="n">
        <f aca="false">K6+K10+K41+K21+K22+K23+K25+K27+K28+K30+K31+K32+K33+K34+K35+K36+K37+K38+K39+K40</f>
        <v>1501971.5</v>
      </c>
      <c r="L43" s="19" t="n">
        <f aca="false">L6+L10+L41+L21+L22+L23+L25+L27+L28+L30+L31+L32+L33+L34+L35+L36+L37+L38+L39+L40</f>
        <v>2136835.5</v>
      </c>
      <c r="M43" s="19" t="n">
        <f aca="false">M6+M10+M41+M21+M22+M23+M25+M27+M28+M30+M31+M32+M33+M34+M35+M36+M37+M38+M39+M40</f>
        <v>3208626</v>
      </c>
    </row>
    <row r="44" customFormat="false" ht="15" hidden="false" customHeight="false" outlineLevel="0" collapsed="false">
      <c r="A44" s="2" t="s">
        <v>1508</v>
      </c>
      <c r="B44" s="18" t="s">
        <v>1509</v>
      </c>
      <c r="C44" s="2" t="s">
        <v>1507</v>
      </c>
      <c r="D44" s="16" t="n">
        <v>0</v>
      </c>
      <c r="E44" s="19" t="n">
        <f aca="false">E7+E8+E9+E24+E26+E29</f>
        <v>69793.8666666667</v>
      </c>
      <c r="F44" s="19" t="n">
        <f aca="false">F7+F8+F9+F24+F26+F29</f>
        <v>133280</v>
      </c>
      <c r="G44" s="19" t="n">
        <f aca="false">G7+G8+G9+G24+G26+G29</f>
        <v>256756</v>
      </c>
      <c r="H44" s="19" t="n">
        <f aca="false">H7+H8+H9+H24+H26+H29</f>
        <v>219108.571428571</v>
      </c>
      <c r="I44" s="19" t="n">
        <f aca="false">I7+I8+I9+I24+I26+I29</f>
        <v>443384.375</v>
      </c>
      <c r="J44" s="19" t="n">
        <f aca="false">J7+J8+J9+J24+J26+J29</f>
        <v>881975</v>
      </c>
      <c r="K44" s="19" t="n">
        <f aca="false">K7+K8+K9+K24+K26+K29</f>
        <v>629695.238095238</v>
      </c>
      <c r="L44" s="19" t="n">
        <f aca="false">L7+L8+L9+L24+L26+L29</f>
        <v>1427162.5</v>
      </c>
      <c r="M44" s="19" t="n">
        <f aca="false">M7+M8+M9+M24+M26+M29</f>
        <v>3056600</v>
      </c>
    </row>
    <row r="45" customFormat="false" ht="15" hidden="false" customHeight="false" outlineLevel="0" collapsed="false">
      <c r="A45" s="2" t="s">
        <v>1510</v>
      </c>
      <c r="B45" s="2" t="s">
        <v>1511</v>
      </c>
      <c r="C45" s="2" t="s">
        <v>1512</v>
      </c>
      <c r="D45" s="16" t="n">
        <v>0</v>
      </c>
      <c r="E45" s="17" t="n">
        <f aca="false">E43*taux_imprevus_fav</f>
        <v>2635.01</v>
      </c>
      <c r="F45" s="17" t="n">
        <f aca="false">F43*taux_imprevus</f>
        <v>5805.54</v>
      </c>
      <c r="G45" s="17" t="n">
        <f aca="false">G43*taux_imprevus_def</f>
        <v>14906.35</v>
      </c>
      <c r="H45" s="17" t="n">
        <f aca="false">H43*taux_imprevus_fav</f>
        <v>10839.24</v>
      </c>
      <c r="I45" s="17" t="n">
        <f aca="false">I43*taux_imprevus</f>
        <v>22766.415</v>
      </c>
      <c r="J45" s="17" t="n">
        <f aca="false">J43*taux_imprevus_def</f>
        <v>55100.85</v>
      </c>
      <c r="K45" s="17" t="n">
        <f aca="false">K43*taux_imprevus_fav</f>
        <v>30039.43</v>
      </c>
      <c r="L45" s="17" t="n">
        <f aca="false">L43*taux_imprevus</f>
        <v>64105.065</v>
      </c>
      <c r="M45" s="17" t="n">
        <f aca="false">M43*taux_imprevus_def</f>
        <v>160431.3</v>
      </c>
    </row>
    <row r="46" customFormat="false" ht="15" hidden="false" customHeight="false" outlineLevel="0" collapsed="false">
      <c r="A46" s="2" t="s">
        <v>1513</v>
      </c>
      <c r="B46" s="2" t="s">
        <v>1514</v>
      </c>
      <c r="C46" s="2" t="s">
        <v>1515</v>
      </c>
      <c r="D46" s="16" t="n">
        <v>0.1</v>
      </c>
      <c r="E46" s="17" t="n">
        <f aca="false">(E43+E44)*taux_invest_futurs_fav</f>
        <v>4030.88733333333</v>
      </c>
      <c r="F46" s="17" t="n">
        <f aca="false">(F43+F44)*taux_invest_futurs</f>
        <v>13071.92</v>
      </c>
      <c r="G46" s="17" t="n">
        <f aca="false">(G43+G44)*taux_invest_futurs_def</f>
        <v>33292.98</v>
      </c>
      <c r="H46" s="17" t="n">
        <f aca="false">(H43+H44)*taux_invest_futurs_fav</f>
        <v>15221.4114285714</v>
      </c>
      <c r="I46" s="17" t="n">
        <f aca="false">(I43+I44)*taux_invest_futurs</f>
        <v>48090.595</v>
      </c>
      <c r="J46" s="17" t="n">
        <f aca="false">(J43+J44)*taux_invest_futurs_def</f>
        <v>119039.52</v>
      </c>
      <c r="K46" s="17" t="n">
        <f aca="false">(K43+K44)*taux_invest_futurs_fav</f>
        <v>42633.3347619048</v>
      </c>
      <c r="L46" s="17" t="n">
        <f aca="false">(L43+L44)*taux_invest_futurs</f>
        <v>142559.92</v>
      </c>
      <c r="M46" s="17" t="n">
        <f aca="false">(M43+M44)*taux_invest_futurs_def</f>
        <v>375913.56</v>
      </c>
    </row>
    <row r="47" customFormat="false" ht="15" hidden="false" customHeight="false" outlineLevel="0" collapsed="false">
      <c r="A47" s="2" t="s">
        <v>1516</v>
      </c>
      <c r="B47" s="18" t="s">
        <v>1517</v>
      </c>
      <c r="C47" s="2" t="s">
        <v>1507</v>
      </c>
      <c r="D47" s="16" t="n">
        <v>0</v>
      </c>
      <c r="E47" s="19" t="n">
        <f aca="false">E43+E44+E45+E46</f>
        <v>208210.264</v>
      </c>
      <c r="F47" s="19" t="n">
        <f aca="false">F43+F44+F45+F46</f>
        <v>345675.46</v>
      </c>
      <c r="G47" s="19" t="n">
        <f aca="false">G43+G44+G45+G46</f>
        <v>603082.33</v>
      </c>
      <c r="H47" s="19" t="n">
        <f aca="false">H43+H44+H45+H46</f>
        <v>787131.222857143</v>
      </c>
      <c r="I47" s="19" t="n">
        <f aca="false">I43+I44+I45+I46</f>
        <v>1273121.885</v>
      </c>
      <c r="J47" s="19" t="n">
        <f aca="false">J43+J44+J45+J46</f>
        <v>2158132.37</v>
      </c>
      <c r="K47" s="19" t="n">
        <f aca="false">K43+K44+K45+K46</f>
        <v>2204339.50285714</v>
      </c>
      <c r="L47" s="19" t="n">
        <f aca="false">L43+L44+L45+L46</f>
        <v>3770662.985</v>
      </c>
      <c r="M47" s="19" t="n">
        <f aca="false">M43+M44+M45+M46</f>
        <v>6801570.86</v>
      </c>
    </row>
    <row r="48" customFormat="false" ht="15" hidden="false" customHeight="false" outlineLevel="0" collapsed="false">
      <c r="A48" s="2" t="s">
        <v>1518</v>
      </c>
      <c r="B48" s="2" t="s">
        <v>1519</v>
      </c>
      <c r="C48" s="2" t="s">
        <v>1520</v>
      </c>
      <c r="D48" s="16" t="n">
        <v>0</v>
      </c>
      <c r="E48" s="17" t="n">
        <f aca="false">E41</f>
        <v>66761.5</v>
      </c>
      <c r="F48" s="17" t="n">
        <f aca="false">F41</f>
        <v>72523</v>
      </c>
      <c r="G48" s="17" t="n">
        <f aca="false">G41</f>
        <v>82257</v>
      </c>
      <c r="H48" s="17" t="n">
        <f aca="false">H41</f>
        <v>351542</v>
      </c>
      <c r="I48" s="17" t="n">
        <f aca="false">I41</f>
        <v>404148</v>
      </c>
      <c r="J48" s="17" t="n">
        <f aca="false">J41</f>
        <v>460327</v>
      </c>
      <c r="K48" s="17" t="n">
        <f aca="false">K41</f>
        <v>969906.5</v>
      </c>
      <c r="L48" s="17" t="n">
        <f aca="false">L41</f>
        <v>1110195.5</v>
      </c>
      <c r="M48" s="17" t="n">
        <f aca="false">M41</f>
        <v>1252936</v>
      </c>
    </row>
    <row r="49" customFormat="false" ht="15" hidden="false" customHeight="false" outlineLevel="0" collapsed="false">
      <c r="A49" s="2" t="s">
        <v>1521</v>
      </c>
      <c r="B49" s="2" t="s">
        <v>1522</v>
      </c>
      <c r="C49" s="2" t="s">
        <v>1520</v>
      </c>
      <c r="D49" s="16" t="n">
        <v>0</v>
      </c>
      <c r="E49" s="17" t="n">
        <f aca="false">E6+E7+E8+E9+E34+E36+E10</f>
        <v>71011.2</v>
      </c>
      <c r="F49" s="17" t="n">
        <f aca="false">F6+F7+F8+F9+F34+F36+F10</f>
        <v>149770</v>
      </c>
      <c r="G49" s="17" t="n">
        <f aca="false">G6+G7+G8+G9+G34+G36+G10</f>
        <v>299056</v>
      </c>
      <c r="H49" s="17" t="n">
        <f aca="false">H6+H7+H8+H9+H34+H36+H10</f>
        <v>215780</v>
      </c>
      <c r="I49" s="17" t="n">
        <f aca="false">I6+I7+I8+I9+I34+I36+I10</f>
        <v>493876.875</v>
      </c>
      <c r="J49" s="17" t="n">
        <f aca="false">J6+J7+J8+J9+J34+J36+J10</f>
        <v>1026500</v>
      </c>
      <c r="K49" s="17" t="n">
        <f aca="false">K6+K7+K8+K9+K34+K36+K10</f>
        <v>770600</v>
      </c>
      <c r="L49" s="17" t="n">
        <f aca="false">L6+L7+L8+L9+L34+L36+L10</f>
        <v>1837912.5</v>
      </c>
      <c r="M49" s="17" t="n">
        <f aca="false">M6+M7+M8+M9+M34+M36+M10</f>
        <v>3988600</v>
      </c>
    </row>
    <row r="50" customFormat="false" ht="15" hidden="false" customHeight="false" outlineLevel="0" collapsed="false">
      <c r="A50" s="2" t="s">
        <v>1523</v>
      </c>
      <c r="B50" s="2" t="s">
        <v>1524</v>
      </c>
      <c r="C50" s="2" t="s">
        <v>1520</v>
      </c>
      <c r="D50" s="16" t="n">
        <v>0</v>
      </c>
      <c r="E50" s="20" t="n">
        <f aca="false">E48/E47</f>
        <v>0.320644615291396</v>
      </c>
      <c r="F50" s="20" t="n">
        <f aca="false">F48/F47</f>
        <v>0.209800834574719</v>
      </c>
      <c r="G50" s="20" t="n">
        <f aca="false">G48/G47</f>
        <v>0.136394312862723</v>
      </c>
      <c r="H50" s="20" t="n">
        <f aca="false">H48/H47</f>
        <v>0.446611682768683</v>
      </c>
      <c r="I50" s="20" t="n">
        <f aca="false">I48/I47</f>
        <v>0.317446432082974</v>
      </c>
      <c r="J50" s="20" t="n">
        <f aca="false">J48/J47</f>
        <v>0.213298779258846</v>
      </c>
      <c r="K50" s="20" t="n">
        <f aca="false">K48/K47</f>
        <v>0.439998692915888</v>
      </c>
      <c r="L50" s="20" t="n">
        <f aca="false">L48/L47</f>
        <v>0.29442978712668</v>
      </c>
      <c r="M50" s="20" t="n">
        <f aca="false">M48/M47</f>
        <v>0.184212739349451</v>
      </c>
    </row>
    <row r="51" customFormat="false" ht="15" hidden="false" customHeight="false" outlineLevel="0" collapsed="false">
      <c r="A51" s="2" t="s">
        <v>1525</v>
      </c>
      <c r="B51" s="2" t="s">
        <v>1526</v>
      </c>
      <c r="C51" s="2" t="s">
        <v>1520</v>
      </c>
      <c r="D51" s="16" t="n">
        <v>0</v>
      </c>
      <c r="E51" s="20" t="n">
        <f aca="false">E49/E47</f>
        <v>0.341055232512457</v>
      </c>
      <c r="F51" s="20" t="n">
        <f aca="false">F49/F47</f>
        <v>0.433267666729944</v>
      </c>
      <c r="G51" s="20" t="n">
        <f aca="false">G49/G47</f>
        <v>0.495879227633813</v>
      </c>
      <c r="H51" s="20" t="n">
        <f aca="false">H49/H47</f>
        <v>0.274134723327018</v>
      </c>
      <c r="I51" s="20" t="n">
        <f aca="false">I49/I47</f>
        <v>0.387925838695327</v>
      </c>
      <c r="J51" s="20" t="n">
        <f aca="false">J49/J47</f>
        <v>0.475642742896257</v>
      </c>
      <c r="K51" s="20" t="n">
        <f aca="false">K49/K47</f>
        <v>0.349583174007992</v>
      </c>
      <c r="L51" s="20" t="n">
        <f aca="false">L49/L47</f>
        <v>0.4874242294555</v>
      </c>
      <c r="M51" s="20" t="n">
        <f aca="false">M49/M47</f>
        <v>0.586423354560185</v>
      </c>
    </row>
    <row r="52" customFormat="false" ht="15" hidden="false" customHeight="false" outlineLevel="0" collapsed="false">
      <c r="A52" s="2" t="s">
        <v>1527</v>
      </c>
      <c r="B52" s="2" t="s">
        <v>1528</v>
      </c>
      <c r="C52" s="2" t="s">
        <v>1520</v>
      </c>
      <c r="D52" s="16" t="n">
        <v>0</v>
      </c>
      <c r="E52" s="17" t="n">
        <f aca="false">E47-(E6+E7+E8+E33+E46)*0.1/1.1-(E9+E10+E21+E22+E23+E24+E25+E26+E27+E28+E29+E30+E31+E32+E39+E40)*0.2/1.2</f>
        <v>191567.341919192</v>
      </c>
      <c r="F52" s="17" t="n">
        <f aca="false">F47-(F6+F7+F8+F33+F46)*0.1/1.1-(F9+F10+F21+F22+F23+F24+F25+F26+F27+F28+F29+F30+F31+F32+F39+F40)*0.2/1.2</f>
        <v>314982.936969697</v>
      </c>
      <c r="G52" s="17" t="n">
        <f aca="false">G47-(G6+G7+G8+G33+G46)*0.1/1.1-(G9+G10+G21+G22+G23+G24+G25+G26+G27+G28+G29+G30+G31+G32+G39+G40)*0.2/1.2</f>
        <v>546359.695454545</v>
      </c>
      <c r="H52" s="17" t="n">
        <f aca="false">H47-(H6+H7+H8+H33+H46)*0.1/1.1-(H9+H10+H21+H22+H23+H24+H25+H26+H27+H28+H29+H30+H31+H32+H39+H40)*0.2/1.2</f>
        <v>737705.878095238</v>
      </c>
      <c r="I52" s="17" t="n">
        <f aca="false">I47-(I6+I7+I8+I33+I46)*0.1/1.1-(I9+I10+I21+I22+I23+I24+I25+I26+I27+I28+I29+I30+I31+I32+I39+I40)*0.2/1.2</f>
        <v>1179009.12257576</v>
      </c>
      <c r="J52" s="17" t="n">
        <f aca="false">J47-(J6+J7+J8+J33+J46)*0.1/1.1-(J9+J10+J21+J22+J23+J24+J25+J26+J27+J28+J29+J30+J31+J32+J39+J40)*0.2/1.2</f>
        <v>1980875.36818182</v>
      </c>
      <c r="K52" s="17" t="n">
        <f aca="false">K47-(K6+K7+K8+K33+K46)*0.1/1.1-(K9+K10+K21+K22+K23+K24+K25+K26+K27+K28+K29+K30+K31+K32+K39+K40)*0.2/1.2</f>
        <v>2078770.97819625</v>
      </c>
      <c r="L52" s="17" t="n">
        <f aca="false">L47-(L6+L7+L8+L33+L46)*0.1/1.1-(L9+L10+L21+L22+L23+L24+L25+L26+L27+L28+L29+L30+L31+L32+L39+L40)*0.2/1.2</f>
        <v>3506315.49227273</v>
      </c>
      <c r="M52" s="17" t="n">
        <f aca="false">M47-(M6+M7+M8+M33+M46)*0.1/1.1-(M9+M10+M21+M22+M23+M24+M25+M26+M27+M28+M29+M30+M31+M32+M39+M40)*0.2/1.2</f>
        <v>6263107.50606061</v>
      </c>
    </row>
    <row r="53" customFormat="false" ht="15" hidden="false" customHeight="false" outlineLevel="0" collapsed="false">
      <c r="A53" s="2" t="s">
        <v>1529</v>
      </c>
      <c r="B53" s="2" t="s">
        <v>1530</v>
      </c>
      <c r="C53" s="2" t="s">
        <v>1520</v>
      </c>
      <c r="D53" s="16" t="n">
        <v>0</v>
      </c>
      <c r="E53" s="17" t="n">
        <f aca="false">E47/(S1_surf_chateau+S1_surf_dep)</f>
        <v>138.806842666667</v>
      </c>
      <c r="F53" s="17" t="n">
        <f aca="false">F47/(S1_surf_chateau+S1_surf_dep)</f>
        <v>230.450306666667</v>
      </c>
      <c r="G53" s="17" t="n">
        <f aca="false">G47/(S1_surf_chateau+S1_surf_dep)</f>
        <v>402.054886666667</v>
      </c>
      <c r="H53" s="17" t="n">
        <f aca="false">H47/(S2_surf_chateau+S2_surf_dep)</f>
        <v>174.91804952381</v>
      </c>
      <c r="I53" s="17" t="n">
        <f aca="false">I47/(S2_surf_chateau+S2_surf_dep)</f>
        <v>282.915974444444</v>
      </c>
      <c r="J53" s="17" t="n">
        <f aca="false">J47/(S2_surf_chateau+S2_surf_dep)</f>
        <v>479.584971111111</v>
      </c>
      <c r="K53" s="17" t="n">
        <f aca="false">K47/(S3_surf_chateau+S3_surf_dep)</f>
        <v>259.334059159664</v>
      </c>
      <c r="L53" s="17" t="n">
        <f aca="false">L47/(S3_surf_chateau+S3_surf_dep)</f>
        <v>443.60741</v>
      </c>
      <c r="M53" s="17" t="n">
        <f aca="false">M47/(S3_surf_chateau+S3_surf_dep)</f>
        <v>800.184807058824</v>
      </c>
    </row>
    <row r="54" customFormat="false" ht="15" hidden="false" customHeight="false" outlineLevel="0" collapsed="false">
      <c r="A54" s="2" t="s">
        <v>1531</v>
      </c>
      <c r="B54" s="2" t="s">
        <v>1532</v>
      </c>
      <c r="C54" s="2" t="s">
        <v>1520</v>
      </c>
      <c r="D54" s="16" t="n">
        <v>0</v>
      </c>
      <c r="E54" s="20" t="n">
        <f aca="false">E47/E5</f>
        <v>0.0761002426900585</v>
      </c>
      <c r="F54" s="20" t="n">
        <f aca="false">F47/F5</f>
        <v>0.0960209611111111</v>
      </c>
      <c r="G54" s="20" t="n">
        <f aca="false">G47/G5</f>
        <v>0.119659192460317</v>
      </c>
      <c r="H54" s="20" t="n">
        <f aca="false">H47/H5</f>
        <v>0.0937060979591837</v>
      </c>
      <c r="I54" s="20" t="n">
        <f aca="false">I47/I5</f>
        <v>0.105872921829522</v>
      </c>
      <c r="J54" s="20" t="n">
        <f aca="false">J47/J5</f>
        <v>0.123321849714286</v>
      </c>
      <c r="K54" s="20" t="n">
        <f aca="false">K47/K5</f>
        <v>0.072273426323185</v>
      </c>
      <c r="L54" s="20" t="n">
        <f aca="false">L47/L5</f>
        <v>0.082871713956044</v>
      </c>
      <c r="M54" s="20" t="n">
        <f aca="false">M47/M5</f>
        <v>0.0985734907246377</v>
      </c>
    </row>
    <row r="55" customFormat="false" ht="15" hidden="false" customHeight="false" outlineLevel="0" collapsed="false">
      <c r="A55" s="2" t="s">
        <v>1533</v>
      </c>
      <c r="B55" s="2" t="s">
        <v>1534</v>
      </c>
      <c r="C55" s="2" t="s">
        <v>1011</v>
      </c>
      <c r="D55" s="16" t="n">
        <v>0</v>
      </c>
      <c r="E55" s="17" t="n">
        <f aca="false">-PMT(dette_taux_fav,dette_duree_fav,S1_prix_achat*dette_quotite_fav)</f>
        <v>36404.4212466263</v>
      </c>
      <c r="F55" s="17" t="n">
        <f aca="false">-PMT(dette_taux,dette_duree,S1_prix_achat*dette_quotite)</f>
        <v>62908.2327120561</v>
      </c>
      <c r="G55" s="17" t="n">
        <f aca="false">-PMT(dette_taux_def,dette_duree_def,S1_prix_achat*dette_quotite_def)</f>
        <v>95640.5737006187</v>
      </c>
      <c r="H55" s="17" t="n">
        <f aca="false">-PMT(dette_taux_fav,dette_duree_fav,S2_prix_achat*dette_quotite_fav)</f>
        <v>106179.561969327</v>
      </c>
      <c r="I55" s="17" t="n">
        <f aca="false">-PMT(dette_taux,dette_duree,S2_prix_achat*dette_quotite)</f>
        <v>183482.345410164</v>
      </c>
      <c r="J55" s="17" t="n">
        <f aca="false">-PMT(dette_taux_def,dette_duree_def,S2_prix_achat*dette_quotite_def)</f>
        <v>278951.673293471</v>
      </c>
      <c r="K55" s="17" t="n">
        <f aca="false">-PMT(dette_taux_fav,dette_duree_fav,S3_prix_achat*dette_quotite_fav)</f>
        <v>273033.159349697</v>
      </c>
      <c r="L55" s="17" t="n">
        <f aca="false">-PMT(dette_taux,dette_duree,S3_prix_achat*dette_quotite)</f>
        <v>471811.745340421</v>
      </c>
      <c r="M55" s="17" t="n">
        <f aca="false">-PMT(dette_taux_def,dette_duree_def,S3_prix_achat*dette_quotite_def)</f>
        <v>717304.302754641</v>
      </c>
    </row>
    <row r="56" customFormat="false" ht="15" hidden="false" customHeight="false" outlineLevel="0" collapsed="false">
      <c r="A56" s="2" t="s">
        <v>1535</v>
      </c>
      <c r="B56" s="18" t="s">
        <v>1536</v>
      </c>
      <c r="C56" s="2" t="s">
        <v>1011</v>
      </c>
      <c r="D56" s="16" t="n">
        <v>0</v>
      </c>
      <c r="E56" s="19" t="n">
        <f aca="false">E47+E55</f>
        <v>244614.685246626</v>
      </c>
      <c r="F56" s="19" t="n">
        <f aca="false">F47+F55</f>
        <v>408583.692712056</v>
      </c>
      <c r="G56" s="19" t="n">
        <f aca="false">G47+G55</f>
        <v>698722.903700619</v>
      </c>
      <c r="H56" s="19" t="n">
        <f aca="false">H47+H55</f>
        <v>893310.78482647</v>
      </c>
      <c r="I56" s="19" t="n">
        <f aca="false">I47+I55</f>
        <v>1456604.23041016</v>
      </c>
      <c r="J56" s="19" t="n">
        <f aca="false">J47+J55</f>
        <v>2437084.04329347</v>
      </c>
      <c r="K56" s="19" t="n">
        <f aca="false">K47+K55</f>
        <v>2477372.66220684</v>
      </c>
      <c r="L56" s="19" t="n">
        <f aca="false">L47+L55</f>
        <v>4242474.73034042</v>
      </c>
      <c r="M56" s="19" t="n">
        <f aca="false">M47+M55</f>
        <v>7518875.16275464</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1537</v>
      </c>
    </row>
    <row r="2" customFormat="false" ht="54" hidden="false" customHeight="true" outlineLevel="0" collapsed="false">
      <c r="A2" s="3" t="s">
        <v>1538</v>
      </c>
      <c r="B2" s="3"/>
      <c r="C2" s="3"/>
      <c r="D2" s="3"/>
      <c r="E2" s="3"/>
      <c r="F2" s="3"/>
      <c r="G2" s="3"/>
    </row>
    <row r="4" customFormat="false" ht="23.85" hidden="false" customHeight="false" outlineLevel="0" collapsed="false">
      <c r="A4" s="4" t="s">
        <v>1408</v>
      </c>
      <c r="B4" s="4" t="s">
        <v>12</v>
      </c>
      <c r="C4" s="4" t="s">
        <v>1409</v>
      </c>
      <c r="D4" s="4" t="s">
        <v>1410</v>
      </c>
      <c r="E4" s="4" t="s">
        <v>13</v>
      </c>
      <c r="F4" s="4" t="s">
        <v>14</v>
      </c>
      <c r="G4" s="4" t="s">
        <v>15</v>
      </c>
    </row>
    <row r="5" customFormat="false" ht="15" hidden="false" customHeight="false" outlineLevel="0" collapsed="false">
      <c r="A5" s="2" t="s">
        <v>1539</v>
      </c>
      <c r="B5" s="2" t="s">
        <v>1540</v>
      </c>
      <c r="C5" s="2" t="s">
        <v>1541</v>
      </c>
      <c r="D5" s="16" t="n">
        <v>0</v>
      </c>
      <c r="E5" s="17" t="n">
        <f aca="false">eq_std_boxes_fav*eq_std_occ_fav*12*eq_std_prix_ht_fav</f>
        <v>132811.2</v>
      </c>
      <c r="F5" s="17" t="n">
        <f aca="false">eq_std_boxes*eq_std_occ*12*eq_std_prix_ht</f>
        <v>112608</v>
      </c>
      <c r="G5" s="17" t="n">
        <f aca="false">eq_std_boxes_def*eq_std_occ_def*12*eq_std_prix_ht_def</f>
        <v>90180</v>
      </c>
    </row>
    <row r="6" customFormat="false" ht="15" hidden="false" customHeight="false" outlineLevel="0" collapsed="false">
      <c r="A6" s="2" t="s">
        <v>1542</v>
      </c>
      <c r="B6" s="2" t="s">
        <v>1543</v>
      </c>
      <c r="C6" s="2" t="s">
        <v>1541</v>
      </c>
      <c r="D6" s="16" t="n">
        <v>0</v>
      </c>
      <c r="E6" s="17" t="n">
        <f aca="false">eq_std_boxes_fav*eq_std_occ_fav*eq_std_cout_var_fav+eq_std_boxes_fav*eq_std_cout_fixe_fav</f>
        <v>109237.2</v>
      </c>
      <c r="F6" s="17" t="n">
        <f aca="false">eq_std_boxes*eq_std_occ*eq_std_cout_var+eq_std_boxes*eq_std_cout_fixe</f>
        <v>113311.5</v>
      </c>
      <c r="G6" s="17" t="n">
        <f aca="false">eq_std_boxes_def*eq_std_occ_def*eq_std_cout_var_def+eq_std_boxes_def*eq_std_cout_fixe_def</f>
        <v>130500</v>
      </c>
    </row>
    <row r="7" customFormat="false" ht="15" hidden="false" customHeight="false" outlineLevel="0" collapsed="false">
      <c r="A7" s="2" t="s">
        <v>1544</v>
      </c>
      <c r="B7" s="2" t="s">
        <v>1545</v>
      </c>
      <c r="C7" s="2" t="s">
        <v>1541</v>
      </c>
      <c r="D7" s="16" t="n">
        <v>0</v>
      </c>
      <c r="E7" s="17" t="n">
        <f aca="false">E5-E6</f>
        <v>23574</v>
      </c>
      <c r="F7" s="17" t="n">
        <f aca="false">F5-F6</f>
        <v>-703.5</v>
      </c>
      <c r="G7" s="17" t="n">
        <f aca="false">G5-G6</f>
        <v>-40320</v>
      </c>
    </row>
    <row r="8" customFormat="false" ht="15" hidden="false" customHeight="false" outlineLevel="0" collapsed="false">
      <c r="A8" s="2" t="s">
        <v>1546</v>
      </c>
      <c r="B8" s="2" t="s">
        <v>1547</v>
      </c>
      <c r="C8" s="2" t="s">
        <v>1548</v>
      </c>
      <c r="D8" s="16" t="n">
        <v>0</v>
      </c>
      <c r="E8" s="17" t="n">
        <f aca="false">eq_hdg_boxes_fav*eq_hdg_occ_fav*12*eq_hdg_prix_ht_fav</f>
        <v>289468.8</v>
      </c>
      <c r="F8" s="17" t="n">
        <f aca="false">eq_hdg_boxes*eq_hdg_occ*12*eq_hdg_prix_ht</f>
        <v>214200</v>
      </c>
      <c r="G8" s="17" t="n">
        <f aca="false">eq_hdg_boxes_def*eq_hdg_occ_def*12*eq_hdg_prix_ht_def</f>
        <v>113400</v>
      </c>
    </row>
    <row r="9" customFormat="false" ht="15" hidden="false" customHeight="false" outlineLevel="0" collapsed="false">
      <c r="A9" s="2" t="s">
        <v>1549</v>
      </c>
      <c r="B9" s="2" t="s">
        <v>1550</v>
      </c>
      <c r="C9" s="2" t="s">
        <v>1548</v>
      </c>
      <c r="D9" s="16" t="n">
        <v>0</v>
      </c>
      <c r="E9" s="17" t="n">
        <f aca="false">eq_hdg_boxes_fav*eq_hdg_occ_fav*eq_hdg_cout_var_fav+eq_hdg_boxes_fav*eq_hdg_cout_fixe_fav</f>
        <v>187567.2</v>
      </c>
      <c r="F9" s="17" t="n">
        <f aca="false">eq_hdg_boxes*eq_hdg_occ*eq_hdg_cout_var+eq_hdg_boxes*eq_hdg_cout_fixe</f>
        <v>193419</v>
      </c>
      <c r="G9" s="17" t="n">
        <f aca="false">eq_hdg_boxes_def*eq_hdg_occ_def*eq_hdg_cout_var_def+eq_hdg_boxes_def*eq_hdg_cout_fixe_def</f>
        <v>211500</v>
      </c>
    </row>
    <row r="10" customFormat="false" ht="15" hidden="false" customHeight="false" outlineLevel="0" collapsed="false">
      <c r="A10" s="2" t="s">
        <v>1551</v>
      </c>
      <c r="B10" s="2" t="s">
        <v>1552</v>
      </c>
      <c r="C10" s="2" t="s">
        <v>1548</v>
      </c>
      <c r="D10" s="16" t="n">
        <v>0</v>
      </c>
      <c r="E10" s="17" t="n">
        <f aca="false">E8-E9</f>
        <v>101901.6</v>
      </c>
      <c r="F10" s="17" t="n">
        <f aca="false">F8-F9</f>
        <v>20781</v>
      </c>
      <c r="G10" s="17" t="n">
        <f aca="false">G8-G9</f>
        <v>-98100</v>
      </c>
    </row>
    <row r="11" customFormat="false" ht="15" hidden="false" customHeight="false" outlineLevel="0" collapsed="false">
      <c r="A11" s="2" t="s">
        <v>1553</v>
      </c>
      <c r="B11" s="2" t="s">
        <v>1554</v>
      </c>
      <c r="C11" s="2" t="s">
        <v>1555</v>
      </c>
      <c r="D11" s="16" t="n">
        <v>0</v>
      </c>
      <c r="E11" s="17" t="n">
        <f aca="false">eq_pro_boxes_fav*eq_pro_loyer_box_fav</f>
        <v>23520</v>
      </c>
      <c r="F11" s="17" t="n">
        <f aca="false">eq_pro_boxes*eq_pro_loyer_box</f>
        <v>12000</v>
      </c>
      <c r="G11" s="17" t="n">
        <f aca="false">eq_pro_boxes_def*eq_pro_loyer_box_def</f>
        <v>0</v>
      </c>
    </row>
    <row r="12" customFormat="false" ht="15" hidden="false" customHeight="false" outlineLevel="0" collapsed="false">
      <c r="A12" s="2" t="s">
        <v>1556</v>
      </c>
      <c r="B12" s="2" t="s">
        <v>1557</v>
      </c>
      <c r="C12" s="2" t="s">
        <v>1555</v>
      </c>
      <c r="D12" s="16" t="n">
        <v>0</v>
      </c>
      <c r="E12" s="17" t="n">
        <f aca="false">E11-eq_pro_boxes_fav*eq_pro_cout_box_fav</f>
        <v>21520</v>
      </c>
      <c r="F12" s="17" t="n">
        <f aca="false">F11-eq_pro_boxes*eq_pro_cout_box</f>
        <v>9000</v>
      </c>
      <c r="G12" s="17" t="n">
        <f aca="false">G11-eq_pro_boxes_def*eq_pro_cout_box_def</f>
        <v>-5000</v>
      </c>
    </row>
    <row r="13" customFormat="false" ht="15" hidden="false" customHeight="false" outlineLevel="0" collapsed="false">
      <c r="A13" s="2" t="s">
        <v>1558</v>
      </c>
      <c r="B13" s="2" t="s">
        <v>1559</v>
      </c>
      <c r="C13" s="2" t="s">
        <v>1560</v>
      </c>
      <c r="D13" s="16" t="n">
        <v>0</v>
      </c>
      <c r="E13" s="17" t="n">
        <f aca="false">eq_ret_chevaux_fav*eq_ret_occ_fav*12*eq_ret_prix_ht_fav</f>
        <v>72864</v>
      </c>
      <c r="F13" s="17" t="n">
        <f aca="false">eq_ret_chevaux*eq_ret_occ*12*eq_ret_prix_ht</f>
        <v>55998</v>
      </c>
      <c r="G13" s="17" t="n">
        <f aca="false">eq_ret_chevaux_def*eq_ret_occ_def*12*eq_ret_prix_ht_def</f>
        <v>37800</v>
      </c>
    </row>
    <row r="14" customFormat="false" ht="15" hidden="false" customHeight="false" outlineLevel="0" collapsed="false">
      <c r="A14" s="2" t="s">
        <v>1561</v>
      </c>
      <c r="B14" s="2" t="s">
        <v>1562</v>
      </c>
      <c r="C14" s="2" t="s">
        <v>1560</v>
      </c>
      <c r="D14" s="16" t="n">
        <v>0</v>
      </c>
      <c r="E14" s="17" t="n">
        <f aca="false">E13-eq_ret_chevaux_fav*eq_ret_occ_fav*eq_ret_cout_fav</f>
        <v>31464</v>
      </c>
      <c r="F14" s="17" t="n">
        <f aca="false">F13-eq_ret_chevaux*eq_ret_occ*eq_ret_cout</f>
        <v>10098</v>
      </c>
      <c r="G14" s="17" t="n">
        <f aca="false">G13-eq_ret_chevaux_def*eq_ret_occ_def*eq_ret_cout_def</f>
        <v>-6300</v>
      </c>
    </row>
    <row r="15" customFormat="false" ht="15" hidden="false" customHeight="false" outlineLevel="0" collapsed="false">
      <c r="A15" s="2" t="s">
        <v>1563</v>
      </c>
      <c r="B15" s="2" t="s">
        <v>1564</v>
      </c>
      <c r="C15" s="2" t="s">
        <v>1565</v>
      </c>
      <c r="D15" s="16" t="n">
        <v>0</v>
      </c>
      <c r="E15" s="17" t="n">
        <f aca="false">repro_contrib_fav</f>
        <v>30000</v>
      </c>
      <c r="F15" s="17" t="n">
        <f aca="false">repro_contrib</f>
        <v>21100</v>
      </c>
      <c r="G15" s="17" t="n">
        <f aca="false">repro_contrib_def</f>
        <v>0</v>
      </c>
    </row>
    <row r="16" customFormat="false" ht="15" hidden="false" customHeight="false" outlineLevel="0" collapsed="false">
      <c r="A16" s="2" t="s">
        <v>1566</v>
      </c>
      <c r="B16" s="2" t="s">
        <v>1567</v>
      </c>
      <c r="C16" s="2" t="s">
        <v>1568</v>
      </c>
      <c r="D16" s="16" t="n">
        <v>0</v>
      </c>
      <c r="E16" s="17" t="n">
        <f aca="false">evt_nb_fav*evt_prix_ht_fav</f>
        <v>140000</v>
      </c>
      <c r="F16" s="17" t="n">
        <f aca="false">evt_nb*evt_prix_ht</f>
        <v>65000</v>
      </c>
      <c r="G16" s="17" t="n">
        <f aca="false">evt_nb_def*evt_prix_ht_def</f>
        <v>22500</v>
      </c>
    </row>
    <row r="17" customFormat="false" ht="15" hidden="false" customHeight="false" outlineLevel="0" collapsed="false">
      <c r="A17" s="2" t="s">
        <v>1569</v>
      </c>
      <c r="B17" s="2" t="s">
        <v>1570</v>
      </c>
      <c r="C17" s="2" t="s">
        <v>1568</v>
      </c>
      <c r="D17" s="16" t="n">
        <v>0</v>
      </c>
      <c r="E17" s="17" t="n">
        <f aca="false">E16*evt_var_fav+evt_fixe_fav</f>
        <v>57000</v>
      </c>
      <c r="F17" s="17" t="n">
        <f aca="false">F16*evt_var+evt_fixe</f>
        <v>49500</v>
      </c>
      <c r="G17" s="17" t="n">
        <f aca="false">G16*evt_var_def+evt_fixe_def</f>
        <v>47875</v>
      </c>
    </row>
    <row r="18" customFormat="false" ht="15" hidden="false" customHeight="false" outlineLevel="0" collapsed="false">
      <c r="A18" s="2" t="s">
        <v>1571</v>
      </c>
      <c r="B18" s="2" t="s">
        <v>1572</v>
      </c>
      <c r="C18" s="2" t="s">
        <v>1568</v>
      </c>
      <c r="D18" s="16" t="n">
        <v>0</v>
      </c>
      <c r="E18" s="17" t="n">
        <f aca="false">evt_capex_fav*taux_renouv_capex_fav</f>
        <v>5000</v>
      </c>
      <c r="F18" s="17" t="n">
        <f aca="false">evt_capex*taux_renouv_capex</f>
        <v>10000</v>
      </c>
      <c r="G18" s="17" t="n">
        <f aca="false">evt_capex_def*taux_renouv_capex_def</f>
        <v>21000</v>
      </c>
    </row>
    <row r="19" customFormat="false" ht="15" hidden="false" customHeight="false" outlineLevel="0" collapsed="false">
      <c r="A19" s="2" t="s">
        <v>1573</v>
      </c>
      <c r="B19" s="2" t="s">
        <v>1574</v>
      </c>
      <c r="C19" s="2" t="s">
        <v>1568</v>
      </c>
      <c r="D19" s="16" t="n">
        <v>0</v>
      </c>
      <c r="E19" s="17" t="n">
        <f aca="false">E16-E17-E18</f>
        <v>78000</v>
      </c>
      <c r="F19" s="17" t="n">
        <f aca="false">F16-F17-F18</f>
        <v>5500</v>
      </c>
      <c r="G19" s="17" t="n">
        <f aca="false">G16-G17-G18</f>
        <v>-46375</v>
      </c>
    </row>
    <row r="20" customFormat="false" ht="15" hidden="false" customHeight="false" outlineLevel="0" collapsed="false">
      <c r="A20" s="2" t="s">
        <v>1575</v>
      </c>
      <c r="B20" s="2" t="s">
        <v>1576</v>
      </c>
      <c r="C20" s="2" t="s">
        <v>1568</v>
      </c>
      <c r="D20" s="16" t="n">
        <v>0</v>
      </c>
      <c r="E20" s="17" t="n">
        <f aca="false">evt_capex_fav</f>
        <v>250000</v>
      </c>
      <c r="F20" s="17" t="n">
        <f aca="false">evt_capex</f>
        <v>400000</v>
      </c>
      <c r="G20" s="17" t="n">
        <f aca="false">evt_capex_def</f>
        <v>600000</v>
      </c>
    </row>
    <row r="21" customFormat="false" ht="15" hidden="false" customHeight="false" outlineLevel="0" collapsed="false">
      <c r="A21" s="2" t="s">
        <v>1577</v>
      </c>
      <c r="B21" s="2" t="s">
        <v>1578</v>
      </c>
      <c r="C21" s="2" t="s">
        <v>1579</v>
      </c>
      <c r="D21" s="16" t="n">
        <v>0</v>
      </c>
      <c r="E21" s="17" t="n">
        <f aca="false">tourn_jours_fav*tourn_tarif_fav*(1-tourn_var_fav)</f>
        <v>28050</v>
      </c>
      <c r="F21" s="17" t="n">
        <f aca="false">tourn_jours*tourn_tarif*(1-tourn_var)</f>
        <v>5950</v>
      </c>
      <c r="G21" s="17" t="n">
        <f aca="false">tourn_jours_def*tourn_tarif_def*(1-tourn_var_def)</f>
        <v>0</v>
      </c>
    </row>
    <row r="22" customFormat="false" ht="15" hidden="false" customHeight="false" outlineLevel="0" collapsed="false">
      <c r="A22" s="2" t="s">
        <v>1580</v>
      </c>
      <c r="B22" s="2" t="s">
        <v>1581</v>
      </c>
      <c r="C22" s="2" t="s">
        <v>1582</v>
      </c>
      <c r="D22" s="16" t="n">
        <v>0</v>
      </c>
      <c r="E22" s="17" t="n">
        <f aca="false">semj_jours_fav*semj_pers_fav*semj_prix_fav</f>
        <v>100000</v>
      </c>
      <c r="F22" s="17" t="n">
        <f aca="false">semj_jours*semj_pers*semj_prix</f>
        <v>38000</v>
      </c>
      <c r="G22" s="17" t="n">
        <f aca="false">semj_jours_def*semj_pers_def*semj_prix_def</f>
        <v>0</v>
      </c>
    </row>
    <row r="23" customFormat="false" ht="15" hidden="false" customHeight="false" outlineLevel="0" collapsed="false">
      <c r="A23" s="2" t="s">
        <v>1583</v>
      </c>
      <c r="B23" s="2" t="s">
        <v>1584</v>
      </c>
      <c r="C23" s="2" t="s">
        <v>1582</v>
      </c>
      <c r="D23" s="16" t="n">
        <v>0</v>
      </c>
      <c r="E23" s="17" t="n">
        <f aca="false">E22*semj_marge_fav</f>
        <v>45000</v>
      </c>
      <c r="F23" s="17" t="n">
        <f aca="false">F22*semj_marge</f>
        <v>13300</v>
      </c>
      <c r="G23" s="17" t="n">
        <f aca="false">G22*semj_marge_def</f>
        <v>0</v>
      </c>
    </row>
    <row r="24" customFormat="false" ht="15" hidden="false" customHeight="false" outlineLevel="0" collapsed="false">
      <c r="A24" s="2" t="s">
        <v>1585</v>
      </c>
      <c r="B24" s="2" t="s">
        <v>1586</v>
      </c>
      <c r="C24" s="2" t="s">
        <v>1587</v>
      </c>
      <c r="D24" s="16" t="n">
        <v>0</v>
      </c>
      <c r="E24" s="17" t="n">
        <f aca="false">gite_semaines_fav*gite_prix_semaine_fav</f>
        <v>180000</v>
      </c>
      <c r="F24" s="17" t="n">
        <f aca="false">gite_semaines*gite_prix_semaine</f>
        <v>80500</v>
      </c>
      <c r="G24" s="17" t="n">
        <f aca="false">gite_semaines_def*gite_prix_semaine_def</f>
        <v>37500</v>
      </c>
    </row>
    <row r="25" customFormat="false" ht="15" hidden="false" customHeight="false" outlineLevel="0" collapsed="false">
      <c r="A25" s="2" t="s">
        <v>1588</v>
      </c>
      <c r="B25" s="2" t="s">
        <v>1589</v>
      </c>
      <c r="C25" s="2" t="s">
        <v>1587</v>
      </c>
      <c r="D25" s="16" t="n">
        <v>0</v>
      </c>
      <c r="E25" s="17" t="n">
        <f aca="false">E24*(1-gite_var_fav)-gite_fixe_fav-gite_capex_fav*taux_renouv_capex_fav</f>
        <v>131000</v>
      </c>
      <c r="F25" s="17" t="n">
        <f aca="false">F24*(1-gite_var)-gite_fixe-gite_capex*taux_renouv_capex</f>
        <v>35350</v>
      </c>
      <c r="G25" s="17" t="n">
        <f aca="false">G24*(1-gite_var_def)-gite_fixe_def-gite_capex_def*taux_renouv_capex_def</f>
        <v>-12625</v>
      </c>
    </row>
    <row r="26" customFormat="false" ht="15" hidden="false" customHeight="false" outlineLevel="0" collapsed="false">
      <c r="A26" s="2" t="s">
        <v>1590</v>
      </c>
      <c r="B26" s="2" t="s">
        <v>1591</v>
      </c>
      <c r="C26" s="2" t="s">
        <v>1587</v>
      </c>
      <c r="D26" s="16" t="n">
        <v>0</v>
      </c>
      <c r="E26" s="17" t="n">
        <f aca="false">gite_capex_fav</f>
        <v>0</v>
      </c>
      <c r="F26" s="17" t="n">
        <f aca="false">gite_capex</f>
        <v>600000</v>
      </c>
      <c r="G26" s="17" t="n">
        <f aca="false">gite_capex_def</f>
        <v>800000</v>
      </c>
    </row>
    <row r="27" customFormat="false" ht="15" hidden="false" customHeight="false" outlineLevel="0" collapsed="false">
      <c r="A27" s="2" t="s">
        <v>1592</v>
      </c>
      <c r="B27" s="2" t="s">
        <v>1593</v>
      </c>
      <c r="C27" s="2" t="s">
        <v>1594</v>
      </c>
      <c r="D27" s="16" t="n">
        <v>0</v>
      </c>
      <c r="E27" s="17" t="n">
        <f aca="false">log_m2_fav*log_loyer_m2_fav*12*(1-log_vacance_fav)</f>
        <v>101500.8</v>
      </c>
      <c r="F27" s="17" t="n">
        <f aca="false">log_m2*log_loyer_m2*12*(1-log_vacance)</f>
        <v>54720</v>
      </c>
      <c r="G27" s="17" t="n">
        <f aca="false">log_m2_def*log_loyer_m2_def*12*(1-log_vacance_def)</f>
        <v>29376</v>
      </c>
    </row>
    <row r="28" customFormat="false" ht="15" hidden="false" customHeight="false" outlineLevel="0" collapsed="false">
      <c r="A28" s="2" t="s">
        <v>1595</v>
      </c>
      <c r="B28" s="2" t="s">
        <v>1596</v>
      </c>
      <c r="C28" s="2" t="s">
        <v>1594</v>
      </c>
      <c r="D28" s="16" t="n">
        <v>0</v>
      </c>
      <c r="E28" s="17" t="n">
        <f aca="false">E27*(1-log_charges_fav)-log_m2_fav*log_capex_m2_fav*0.01</f>
        <v>73475.68</v>
      </c>
      <c r="F28" s="17" t="n">
        <f aca="false">F27*(1-log_charges)-log_m2*log_capex_m2*0.01</f>
        <v>32976</v>
      </c>
      <c r="G28" s="17" t="n">
        <f aca="false">G27*(1-log_charges_def)-log_m2_def*log_capex_m2_def*0.01</f>
        <v>13232</v>
      </c>
    </row>
    <row r="29" customFormat="false" ht="15" hidden="false" customHeight="false" outlineLevel="0" collapsed="false">
      <c r="A29" s="2" t="s">
        <v>1597</v>
      </c>
      <c r="B29" s="2" t="s">
        <v>1598</v>
      </c>
      <c r="C29" s="2" t="s">
        <v>1594</v>
      </c>
      <c r="D29" s="16" t="n">
        <v>0</v>
      </c>
      <c r="E29" s="17" t="n">
        <f aca="false">log_m2_fav*log_capex_m2_fav</f>
        <v>1280000</v>
      </c>
      <c r="F29" s="17" t="n">
        <f aca="false">log_m2*log_capex_m2</f>
        <v>1080000</v>
      </c>
      <c r="G29" s="17" t="n">
        <f aca="false">log_m2_def*log_capex_m2_def</f>
        <v>880000</v>
      </c>
    </row>
    <row r="30" customFormat="false" ht="15" hidden="false" customHeight="false" outlineLevel="0" collapsed="false">
      <c r="A30" s="2" t="s">
        <v>1599</v>
      </c>
      <c r="B30" s="2" t="s">
        <v>1600</v>
      </c>
      <c r="C30" s="2" t="s">
        <v>1594</v>
      </c>
      <c r="D30" s="16" t="n">
        <v>0</v>
      </c>
      <c r="E30" s="20" t="n">
        <f aca="false">E28/E29</f>
        <v>0.057402875</v>
      </c>
      <c r="F30" s="20" t="n">
        <f aca="false">F28/F29</f>
        <v>0.0305333333333333</v>
      </c>
      <c r="G30" s="20" t="n">
        <f aca="false">G28/G29</f>
        <v>0.0150363636363636</v>
      </c>
    </row>
    <row r="31" customFormat="false" ht="15" hidden="false" customHeight="false" outlineLevel="0" collapsed="false">
      <c r="A31" s="2" t="s">
        <v>1601</v>
      </c>
      <c r="B31" s="2" t="s">
        <v>1602</v>
      </c>
      <c r="C31" s="2" t="s">
        <v>1603</v>
      </c>
      <c r="D31" s="16" t="n">
        <v>0</v>
      </c>
      <c r="E31" s="17" t="n">
        <f aca="false">stock_places_fav*stock_occ_fav*stock_prix_fav*0.85-stock_capex_fav*taux_renouv_capex_fav</f>
        <v>8886.25</v>
      </c>
      <c r="F31" s="17" t="n">
        <f aca="false">stock_places*stock_occ*stock_prix*0.85-stock_capex*taux_renouv_capex</f>
        <v>4600</v>
      </c>
      <c r="G31" s="17" t="n">
        <f aca="false">stock_places_def*stock_occ_def*stock_prix_def*0.85-stock_capex_def*taux_renouv_capex_def</f>
        <v>1148.75</v>
      </c>
    </row>
    <row r="32" customFormat="false" ht="15" hidden="false" customHeight="false" outlineLevel="0" collapsed="false">
      <c r="A32" s="2" t="s">
        <v>1604</v>
      </c>
      <c r="B32" s="2" t="s">
        <v>1605</v>
      </c>
      <c r="C32" s="2" t="s">
        <v>1606</v>
      </c>
      <c r="D32" s="16" t="n">
        <v>0</v>
      </c>
      <c r="E32" s="17" t="n">
        <f aca="false">auto_places_fav*auto_occ_fav*auto_prix_fav-auto_fixe_fav-auto_capex_fav*taux_renouv_capex_fav</f>
        <v>28680</v>
      </c>
      <c r="F32" s="17" t="n">
        <f aca="false">auto_places*auto_occ*auto_prix-auto_fixe-auto_capex*taux_renouv_capex</f>
        <v>8100</v>
      </c>
      <c r="G32" s="17" t="n">
        <f aca="false">auto_places_def*auto_occ_def*auto_prix_def-auto_fixe_def-auto_capex_def*taux_renouv_capex_def</f>
        <v>-11700</v>
      </c>
    </row>
    <row r="33" customFormat="false" ht="15" hidden="false" customHeight="false" outlineLevel="0" collapsed="false">
      <c r="A33" s="2" t="s">
        <v>1607</v>
      </c>
      <c r="B33" s="2" t="s">
        <v>1608</v>
      </c>
      <c r="C33" s="2" t="s">
        <v>1609</v>
      </c>
      <c r="D33" s="16" t="n">
        <v>0</v>
      </c>
      <c r="E33" s="17" t="n">
        <f aca="false">pv_ha_fav*pv_loyer_ha_fav</f>
        <v>60000</v>
      </c>
      <c r="F33" s="17" t="n">
        <f aca="false">pv_ha*pv_loyer_ha</f>
        <v>15000</v>
      </c>
      <c r="G33" s="17" t="n">
        <f aca="false">pv_ha_def*pv_loyer_ha_def</f>
        <v>0</v>
      </c>
    </row>
    <row r="34" customFormat="false" ht="15" hidden="false" customHeight="false" outlineLevel="0" collapsed="false">
      <c r="A34" s="2" t="s">
        <v>1610</v>
      </c>
      <c r="B34" s="2" t="s">
        <v>1611</v>
      </c>
      <c r="C34" s="2" t="s">
        <v>1612</v>
      </c>
      <c r="D34" s="16" t="n">
        <v>0</v>
      </c>
      <c r="E34" s="17" t="n">
        <f aca="false">S2_ha_bois*bois_net_ha_fav</f>
        <v>3000</v>
      </c>
      <c r="F34" s="17" t="n">
        <f aca="false">S2_ha_bois*bois_net_ha</f>
        <v>2250</v>
      </c>
      <c r="G34" s="17" t="n">
        <f aca="false">S2_ha_bois*bois_net_ha_def</f>
        <v>1500</v>
      </c>
    </row>
    <row r="35" customFormat="false" ht="15" hidden="false" customHeight="false" outlineLevel="0" collapsed="false">
      <c r="A35" s="2" t="s">
        <v>1613</v>
      </c>
      <c r="B35" s="2" t="s">
        <v>1614</v>
      </c>
      <c r="C35" s="2" t="s">
        <v>1615</v>
      </c>
      <c r="D35" s="16" t="n">
        <v>0</v>
      </c>
      <c r="E35" s="17" t="n">
        <f aca="false">hot_chambres_fav*365*hot_revpar_fav*(1+hot_autres_recettes_fav)</f>
        <v>1914060</v>
      </c>
      <c r="F35" s="17" t="n">
        <f aca="false">hot_chambres*365*hot_revpar*(1+hot_autres_recettes)</f>
        <v>1138800</v>
      </c>
      <c r="G35" s="17" t="n">
        <f aca="false">hot_chambres_def*365*hot_revpar_def*(1+hot_autres_recettes_def)</f>
        <v>781830</v>
      </c>
    </row>
    <row r="36" customFormat="false" ht="15" hidden="false" customHeight="false" outlineLevel="0" collapsed="false">
      <c r="A36" s="2" t="s">
        <v>1616</v>
      </c>
      <c r="B36" s="2" t="s">
        <v>1617</v>
      </c>
      <c r="C36" s="2" t="s">
        <v>1615</v>
      </c>
      <c r="D36" s="16" t="n">
        <v>0</v>
      </c>
      <c r="E36" s="17" t="n">
        <f aca="false">hot_chambres_fav*hot_etp_chambre_fav*hot_cout_etp_fav+E35*hot_autres_charges_fav</f>
        <v>1186218</v>
      </c>
      <c r="F36" s="17" t="n">
        <f aca="false">hot_chambres*hot_etp_chambre*hot_cout_etp+F35*hot_autres_charges</f>
        <v>1339080</v>
      </c>
      <c r="G36" s="17" t="n">
        <f aca="false">hot_chambres_def*hot_etp_chambre_def*hot_cout_etp_def+G35*hot_autres_charges_def</f>
        <v>1509732</v>
      </c>
    </row>
    <row r="37" customFormat="false" ht="15" hidden="false" customHeight="false" outlineLevel="0" collapsed="false">
      <c r="A37" s="2" t="s">
        <v>1618</v>
      </c>
      <c r="B37" s="2" t="s">
        <v>1619</v>
      </c>
      <c r="C37" s="2" t="s">
        <v>1615</v>
      </c>
      <c r="D37" s="16" t="n">
        <v>0</v>
      </c>
      <c r="E37" s="17" t="n">
        <f aca="false">hot_chambres_fav*hot_capex_chambre_fav*taux_renouv_capex_fav</f>
        <v>105000</v>
      </c>
      <c r="F37" s="17" t="n">
        <f aca="false">hot_chambres*hot_capex_chambre*taux_renouv_capex</f>
        <v>187500</v>
      </c>
      <c r="G37" s="17" t="n">
        <f aca="false">hot_chambres_def*hot_capex_chambre_def*taux_renouv_capex_def</f>
        <v>367500</v>
      </c>
    </row>
    <row r="38" customFormat="false" ht="15" hidden="false" customHeight="false" outlineLevel="0" collapsed="false">
      <c r="A38" s="2" t="s">
        <v>1620</v>
      </c>
      <c r="B38" s="2" t="s">
        <v>1621</v>
      </c>
      <c r="C38" s="2" t="s">
        <v>1615</v>
      </c>
      <c r="D38" s="16" t="n">
        <v>0</v>
      </c>
      <c r="E38" s="17" t="n">
        <f aca="false">E35-E36-E37</f>
        <v>622842</v>
      </c>
      <c r="F38" s="17" t="n">
        <f aca="false">F35-F36-F37</f>
        <v>-387780</v>
      </c>
      <c r="G38" s="17" t="n">
        <f aca="false">G35-G36-G37</f>
        <v>-1095402</v>
      </c>
    </row>
    <row r="39" customFormat="false" ht="15" hidden="false" customHeight="false" outlineLevel="0" collapsed="false">
      <c r="A39" s="2" t="s">
        <v>1622</v>
      </c>
      <c r="B39" s="2" t="s">
        <v>1623</v>
      </c>
      <c r="C39" s="2" t="s">
        <v>1615</v>
      </c>
      <c r="D39" s="16" t="n">
        <v>0</v>
      </c>
      <c r="E39" s="17" t="n">
        <f aca="false">hot_chambres_fav*hot_capex_chambre_fav</f>
        <v>5250000</v>
      </c>
      <c r="F39" s="17" t="n">
        <f aca="false">hot_chambres*hot_capex_chambre</f>
        <v>7500000</v>
      </c>
      <c r="G39" s="17" t="n">
        <f aca="false">hot_chambres_def*hot_capex_chambre_def</f>
        <v>10500000</v>
      </c>
    </row>
    <row r="40" customFormat="false" ht="15" hidden="false" customHeight="false" outlineLevel="0" collapsed="false">
      <c r="A40" s="2" t="s">
        <v>1624</v>
      </c>
      <c r="B40" s="2" t="s">
        <v>1625</v>
      </c>
      <c r="C40" s="2" t="s">
        <v>1626</v>
      </c>
      <c r="D40" s="16" t="n">
        <v>0</v>
      </c>
      <c r="E40" s="17" t="n">
        <f aca="false">anc_chambres_fav*anc_ca_chambre_fav*anc_taux_loyer_fav</f>
        <v>521280</v>
      </c>
      <c r="F40" s="17" t="n">
        <f aca="false">anc_chambres*anc_ca_chambre*anc_taux_loyer</f>
        <v>350000</v>
      </c>
      <c r="G40" s="17" t="n">
        <f aca="false">anc_chambres_def*anc_ca_chambre_def*anc_taux_loyer_def</f>
        <v>0</v>
      </c>
    </row>
    <row r="41" customFormat="false" ht="15" hidden="false" customHeight="false" outlineLevel="0" collapsed="false">
      <c r="A41" s="2" t="s">
        <v>1627</v>
      </c>
      <c r="B41" s="2" t="s">
        <v>1628</v>
      </c>
      <c r="C41" s="2" t="s">
        <v>1626</v>
      </c>
      <c r="D41" s="16" t="n">
        <v>0</v>
      </c>
      <c r="E41" s="17" t="n">
        <f aca="false">anc_part_transferee_fav*(bud_chauffage_S2_fav+bud_hors_gel_S2_fav+bud_electricite_S2_fav+bud_bati_courant_S2_fav)</f>
        <v>25520</v>
      </c>
      <c r="F41" s="17" t="n">
        <f aca="false">anc_part_transferee*(bud_chauffage_S2+bud_hors_gel_S2+bud_electricite_S2+bud_bati_courant_S2)</f>
        <v>35491.875</v>
      </c>
      <c r="G41" s="17" t="n">
        <f aca="false">anc_part_transferee_def*(bud_chauffage_S2_def+bud_hors_gel_S2_def+bud_electricite_S2_def+bud_bati_courant_S2_def)</f>
        <v>0</v>
      </c>
    </row>
    <row r="42" customFormat="false" ht="15" hidden="false" customHeight="false" outlineLevel="0" collapsed="false">
      <c r="A42" s="2" t="s">
        <v>1629</v>
      </c>
      <c r="B42" s="2" t="s">
        <v>1630</v>
      </c>
      <c r="C42" s="2" t="s">
        <v>1626</v>
      </c>
      <c r="D42" s="16" t="n">
        <v>0</v>
      </c>
      <c r="E42" s="17" t="n">
        <f aca="false">E40*(1-anc_frais_bailleur_fav)+E41</f>
        <v>520736</v>
      </c>
      <c r="F42" s="17" t="n">
        <f aca="false">F40*(1-anc_frais_bailleur)+F41</f>
        <v>350491.875</v>
      </c>
      <c r="G42" s="17" t="n">
        <f aca="false">G40*(1-anc_frais_bailleur_def)+G41</f>
        <v>0</v>
      </c>
    </row>
    <row r="43" customFormat="false" ht="15" hidden="false" customHeight="false" outlineLevel="0" collapsed="false">
      <c r="A43" s="2" t="s">
        <v>1631</v>
      </c>
      <c r="B43" s="2" t="s">
        <v>1632</v>
      </c>
      <c r="C43" s="2" t="s">
        <v>1633</v>
      </c>
      <c r="D43" s="16" t="n">
        <v>0</v>
      </c>
      <c r="E43" s="17" t="n">
        <f aca="false">lux_semaines_fav*lux_prix_semaine_fav</f>
        <v>270000</v>
      </c>
      <c r="F43" s="17" t="n">
        <f aca="false">lux_semaines*lux_prix_semaine</f>
        <v>90000</v>
      </c>
      <c r="G43" s="17" t="n">
        <f aca="false">lux_semaines_def*lux_prix_semaine_def</f>
        <v>40000</v>
      </c>
    </row>
    <row r="44" customFormat="false" ht="15" hidden="false" customHeight="false" outlineLevel="0" collapsed="false">
      <c r="A44" s="2" t="s">
        <v>1634</v>
      </c>
      <c r="B44" s="2" t="s">
        <v>1635</v>
      </c>
      <c r="C44" s="2" t="s">
        <v>1633</v>
      </c>
      <c r="D44" s="16" t="n">
        <v>0</v>
      </c>
      <c r="E44" s="17" t="n">
        <f aca="false">E43*(1-lux_commission_fav-lux_var_fav)-lux_fixe_fav-lux_capex_fav*taux_renouv_capex_fav</f>
        <v>182000</v>
      </c>
      <c r="F44" s="17" t="n">
        <f aca="false">F43*(1-lux_commission-lux_var)-lux_fixe-lux_capex*taux_renouv_capex</f>
        <v>39200</v>
      </c>
      <c r="G44" s="17" t="n">
        <f aca="false">G43*(1-lux_commission_def-lux_var_def)-lux_fixe_def-lux_capex_def*taux_renouv_capex_def</f>
        <v>-17800</v>
      </c>
    </row>
    <row r="45" customFormat="false" ht="15" hidden="false" customHeight="false" outlineLevel="0" collapsed="false">
      <c r="A45" s="2" t="s">
        <v>1636</v>
      </c>
      <c r="B45" s="2" t="s">
        <v>1637</v>
      </c>
      <c r="C45" s="2" t="s">
        <v>1638</v>
      </c>
      <c r="D45" s="16" t="n">
        <v>0</v>
      </c>
      <c r="E45" s="17" t="n">
        <f aca="false">1000000*dot_taux_net_fav</f>
        <v>22500</v>
      </c>
      <c r="F45" s="17" t="n">
        <f aca="false">1000000*dot_taux_net</f>
        <v>17500</v>
      </c>
      <c r="G45" s="17" t="n">
        <f aca="false">1000000*dot_taux_net_def</f>
        <v>12500</v>
      </c>
    </row>
    <row r="46" customFormat="false" ht="15" hidden="false" customHeight="false" outlineLevel="0" collapsed="false">
      <c r="A46" s="2" t="s">
        <v>1639</v>
      </c>
      <c r="B46" s="2" t="s">
        <v>1640</v>
      </c>
      <c r="C46" s="2" t="s">
        <v>1641</v>
      </c>
      <c r="D46" s="16" t="n">
        <v>0</v>
      </c>
      <c r="E46" s="17" t="n">
        <f aca="false">1000000*ent_conversion_fav</f>
        <v>400000</v>
      </c>
      <c r="F46" s="17" t="n">
        <f aca="false">1000000*ent_conversion</f>
        <v>355000</v>
      </c>
      <c r="G46" s="17" t="n">
        <f aca="false">1000000*ent_conversion_def</f>
        <v>330000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1642</v>
      </c>
    </row>
    <row r="2" customFormat="false" ht="54" hidden="false" customHeight="true" outlineLevel="0" collapsed="false">
      <c r="A2" s="3" t="s">
        <v>1643</v>
      </c>
      <c r="B2" s="3"/>
      <c r="C2" s="3"/>
      <c r="D2" s="3"/>
      <c r="E2" s="3"/>
      <c r="F2" s="3"/>
      <c r="G2" s="3"/>
    </row>
    <row r="4" customFormat="false" ht="23.85" hidden="false" customHeight="false" outlineLevel="0" collapsed="false">
      <c r="A4" s="4" t="s">
        <v>1408</v>
      </c>
      <c r="B4" s="4" t="s">
        <v>12</v>
      </c>
      <c r="C4" s="4" t="s">
        <v>1409</v>
      </c>
      <c r="D4" s="4" t="s">
        <v>1410</v>
      </c>
      <c r="E4" s="4" t="s">
        <v>13</v>
      </c>
      <c r="F4" s="4" t="s">
        <v>14</v>
      </c>
      <c r="G4" s="4" t="s">
        <v>15</v>
      </c>
    </row>
    <row r="5" customFormat="false" ht="15" hidden="false" customHeight="false" outlineLevel="0" collapsed="false">
      <c r="A5" s="2" t="s">
        <v>1644</v>
      </c>
      <c r="B5" s="2" t="s">
        <v>1645</v>
      </c>
      <c r="C5" s="2" t="s">
        <v>1646</v>
      </c>
      <c r="D5" s="16" t="n">
        <v>0</v>
      </c>
      <c r="E5" s="17" t="n">
        <f aca="false">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cfg_M1_ANC_fav*mot_anc_cn_fav+cfg_M1_LUX_fav*mot_lux_cn_fav</f>
        <v>204875.93</v>
      </c>
      <c r="F5" s="17" t="n">
        <f aca="false">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cfg_M1_ANC*mot_anc_cn+cfg_M1_LUX*mot_lux_cn</f>
        <v>70874</v>
      </c>
      <c r="G5" s="17" t="n">
        <f aca="false">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cfg_M1_ANC_def*mot_anc_cn_def+cfg_M1_LUX_def*mot_lux_cn_def</f>
        <v>9580.75</v>
      </c>
    </row>
    <row r="6" customFormat="false" ht="15" hidden="false" customHeight="false" outlineLevel="0" collapsed="false">
      <c r="A6" s="2" t="s">
        <v>1647</v>
      </c>
      <c r="B6" s="2" t="s">
        <v>1648</v>
      </c>
      <c r="C6" s="2" t="s">
        <v>1646</v>
      </c>
      <c r="D6" s="16" t="n">
        <v>0</v>
      </c>
      <c r="E6" s="17" t="n">
        <f aca="false">IF(E5&gt;0,E5*(1-fuite_fiscale_fav),E5)</f>
        <v>153656.9475</v>
      </c>
      <c r="F6" s="17" t="n">
        <f aca="false">IF(F5&gt;0,F5*(1-fuite_fiscale),F5)</f>
        <v>42524.4</v>
      </c>
      <c r="G6" s="17" t="n">
        <f aca="false">IF(G5&gt;0,G5*(1-fuite_fiscale_def),G5)</f>
        <v>4407.145</v>
      </c>
    </row>
    <row r="7" customFormat="false" ht="15" hidden="false" customHeight="false" outlineLevel="0" collapsed="false">
      <c r="A7" s="2" t="s">
        <v>1649</v>
      </c>
      <c r="B7" s="2" t="s">
        <v>1650</v>
      </c>
      <c r="C7" s="2" t="s">
        <v>1646</v>
      </c>
      <c r="D7" s="16" t="n">
        <v>0</v>
      </c>
      <c r="E7" s="17" t="n">
        <f aca="false">bud_total_besoin_S2_fav</f>
        <v>787131.222857143</v>
      </c>
      <c r="F7" s="17" t="n">
        <f aca="false">bud_total_besoin_S2</f>
        <v>1273121.885</v>
      </c>
      <c r="G7" s="17" t="n">
        <f aca="false">bud_total_besoin_S2_def</f>
        <v>2158132.37</v>
      </c>
    </row>
    <row r="8" customFormat="false" ht="15" hidden="false" customHeight="false" outlineLevel="0" collapsed="false">
      <c r="A8" s="2" t="s">
        <v>1651</v>
      </c>
      <c r="B8" s="2" t="s">
        <v>1652</v>
      </c>
      <c r="C8" s="2" t="s">
        <v>1646</v>
      </c>
      <c r="D8" s="16" t="n">
        <v>0</v>
      </c>
      <c r="E8" s="20" t="n">
        <f aca="false">E6/E7</f>
        <v>0.195211348550313</v>
      </c>
      <c r="F8" s="20" t="n">
        <f aca="false">F6/F7</f>
        <v>0.033401672299428</v>
      </c>
      <c r="G8" s="20" t="n">
        <f aca="false">G6/G7</f>
        <v>0.00204211060510621</v>
      </c>
    </row>
    <row r="9" customFormat="false" ht="15" hidden="false" customHeight="false" outlineLevel="0" collapsed="false">
      <c r="A9" s="2" t="s">
        <v>1653</v>
      </c>
      <c r="B9" s="2" t="s">
        <v>1654</v>
      </c>
      <c r="C9" s="2" t="s">
        <v>1646</v>
      </c>
      <c r="D9" s="16" t="n">
        <v>0</v>
      </c>
      <c r="E9" s="17" t="n">
        <f aca="false">MAX(0,E7-E6)</f>
        <v>633474.275357143</v>
      </c>
      <c r="F9" s="17" t="n">
        <f aca="false">MAX(0,F7-F6)</f>
        <v>1230597.485</v>
      </c>
      <c r="G9" s="17" t="n">
        <f aca="false">MAX(0,G7-G6)</f>
        <v>2153725.225</v>
      </c>
    </row>
    <row r="10" customFormat="false" ht="15" hidden="false" customHeight="false" outlineLevel="0" collapsed="false">
      <c r="A10" s="2" t="s">
        <v>1655</v>
      </c>
      <c r="B10" s="2" t="s">
        <v>1656</v>
      </c>
      <c r="C10" s="2" t="s">
        <v>1646</v>
      </c>
      <c r="D10" s="16" t="n">
        <v>0</v>
      </c>
      <c r="E10" s="17" t="n">
        <f aca="false">E9/dot_taux_net_fav</f>
        <v>28154412.2380952</v>
      </c>
      <c r="F10" s="17" t="n">
        <f aca="false">F9/dot_taux_net</f>
        <v>70319856.2857143</v>
      </c>
      <c r="G10" s="17" t="n">
        <f aca="false">G9/dot_taux_net_def</f>
        <v>172298018</v>
      </c>
    </row>
    <row r="11" customFormat="false" ht="15" hidden="false" customHeight="false" outlineLevel="0" collapsed="false">
      <c r="A11" s="2" t="s">
        <v>1657</v>
      </c>
      <c r="B11" s="2" t="s">
        <v>1658</v>
      </c>
      <c r="C11" s="2" t="s">
        <v>1646</v>
      </c>
      <c r="D11" s="16" t="n">
        <v>0</v>
      </c>
      <c r="E11" s="17" t="n">
        <f aca="false">E9/ent_conversion_fav</f>
        <v>1583685.68839286</v>
      </c>
      <c r="F11" s="17" t="n">
        <f aca="false">F9/ent_conversion</f>
        <v>3466471.7887324</v>
      </c>
      <c r="G11" s="17" t="n">
        <f aca="false">G9/ent_conversion_def</f>
        <v>6526440.07575758</v>
      </c>
    </row>
    <row r="12" customFormat="false" ht="15" hidden="false" customHeight="false" outlineLevel="0" collapsed="false">
      <c r="A12" s="2" t="s">
        <v>1659</v>
      </c>
      <c r="B12" s="2" t="s">
        <v>1660</v>
      </c>
      <c r="C12" s="2" t="s">
        <v>1646</v>
      </c>
      <c r="D12" s="16" t="n">
        <v>0</v>
      </c>
      <c r="E12" s="17" t="n">
        <f aca="false">cfg_M1_EVT_fav*mot_evt_inv_fav+cfg_M1_GITE_fav*mot_gite_inv_fav+cfg_M1_LOG_fav*mot_log_inv_fav+cfg_M1_STOCK_fav*stock_capex_fav+cfg_M1_AUTO_fav*auto_capex_fav+cfg_M1_HOTEL_fav*mot_hot_inv_fav+cfg_M1_LUX_fav*lux_capex_fav</f>
        <v>1300000</v>
      </c>
      <c r="F12" s="17" t="n">
        <f aca="false">cfg_M1_EVT*mot_evt_inv+cfg_M1_GITE*mot_gite_inv+cfg_M1_LOG*mot_log_inv+cfg_M1_STOCK*stock_capex+cfg_M1_AUTO*auto_capex+cfg_M1_HOTEL*mot_hot_inv+cfg_M1_LUX*lux_capex</f>
        <v>1100000</v>
      </c>
      <c r="G12" s="17" t="n">
        <f aca="false">cfg_M1_EVT_def*mot_evt_inv_def+cfg_M1_GITE_def*mot_gite_inv_def+cfg_M1_LOG_def*mot_log_inv_def+cfg_M1_STOCK_def*stock_capex_def+cfg_M1_AUTO_def*auto_capex_def+cfg_M1_HOTEL_def*mot_hot_inv_def+cfg_M1_LUX_def*lux_capex_def</f>
        <v>900000</v>
      </c>
    </row>
    <row r="13" customFormat="false" ht="15" hidden="false" customHeight="false" outlineLevel="0" collapsed="false">
      <c r="A13" s="2" t="s">
        <v>1661</v>
      </c>
      <c r="B13" s="2" t="s">
        <v>1662</v>
      </c>
      <c r="C13" s="2" t="s">
        <v>1646</v>
      </c>
      <c r="D13" s="16" t="n">
        <v>0</v>
      </c>
      <c r="E13" s="20" t="n">
        <f aca="false">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cfg_M1_ANC_fav*mot_anc_cn_fav)/E5,0)</f>
        <v>0.863087869814673</v>
      </c>
      <c r="F13" s="20" t="n">
        <f aca="false">IF(F5&gt;0,(cfg_M1_EQ_STD*mot_eq_std_cn+cfg_M1_EQ_HDG*mot_eq_hdg_cn+cfg_M1_EQ_PRO*mot_eq_pro_cn+cfg_M1_EQ_RET*mot_eq_ret_cn+cfg_M1_REPRO*mot_repro_cn+cfg_M1_LOG*mot_log_cn+cfg_M1_STOCK*mot_stock_cn+cfg_M1_AUTO*mot_auto_cn+cfg_M1_PV*mot_pv_cn+cfg_M1_BOIS*mot_bois_cn+cfg_M1_HOTEL*mot_hot_cn+cfg_M1_ANC*mot_anc_cn)/F5,0)</f>
        <v>0.91604819821091</v>
      </c>
      <c r="G13" s="20" t="n">
        <f aca="false">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cfg_M1_ANC_def*mot_anc_cn_def)/G5,0)</f>
        <v>1</v>
      </c>
    </row>
    <row r="14" customFormat="false" ht="15" hidden="false" customHeight="false" outlineLevel="0" collapsed="false">
      <c r="A14" s="2" t="s">
        <v>1663</v>
      </c>
      <c r="B14" s="2" t="s">
        <v>1664</v>
      </c>
      <c r="C14" s="2" t="s">
        <v>1665</v>
      </c>
      <c r="D14" s="16" t="n">
        <v>0</v>
      </c>
      <c r="E14" s="17" t="n">
        <f aca="false">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cfg_M2_ANC_fav*mot_anc_cn_fav+cfg_M2_LUX_fav*mot_lux_cn_fav</f>
        <v>458875.93</v>
      </c>
      <c r="F14" s="17" t="n">
        <f aca="false">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cfg_M2_ANC*mot_anc_cn+cfg_M2_LUX*mot_lux_cn</f>
        <v>125024</v>
      </c>
      <c r="G14" s="17" t="n">
        <f aca="false">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cfg_M2_ANC_def*mot_anc_cn_def+cfg_M2_LUX_def*mot_lux_cn_def</f>
        <v>-49419.25</v>
      </c>
    </row>
    <row r="15" customFormat="false" ht="15" hidden="false" customHeight="false" outlineLevel="0" collapsed="false">
      <c r="A15" s="2" t="s">
        <v>1666</v>
      </c>
      <c r="B15" s="2" t="s">
        <v>1667</v>
      </c>
      <c r="C15" s="2" t="s">
        <v>1665</v>
      </c>
      <c r="D15" s="16" t="n">
        <v>0</v>
      </c>
      <c r="E15" s="17" t="n">
        <f aca="false">IF(E14&gt;0,E14*(1-fuite_fiscale_fav),E14)</f>
        <v>344156.9475</v>
      </c>
      <c r="F15" s="17" t="n">
        <f aca="false">IF(F14&gt;0,F14*(1-fuite_fiscale),F14)</f>
        <v>75014.4</v>
      </c>
      <c r="G15" s="17" t="n">
        <f aca="false">IF(G14&gt;0,G14*(1-fuite_fiscale_def),G14)</f>
        <v>-49419.25</v>
      </c>
    </row>
    <row r="16" customFormat="false" ht="15" hidden="false" customHeight="false" outlineLevel="0" collapsed="false">
      <c r="A16" s="2" t="s">
        <v>1668</v>
      </c>
      <c r="B16" s="2" t="s">
        <v>1669</v>
      </c>
      <c r="C16" s="2" t="s">
        <v>1665</v>
      </c>
      <c r="D16" s="16" t="n">
        <v>0</v>
      </c>
      <c r="E16" s="17" t="n">
        <f aca="false">bud_total_besoin_S2_fav</f>
        <v>787131.222857143</v>
      </c>
      <c r="F16" s="17" t="n">
        <f aca="false">bud_total_besoin_S2</f>
        <v>1273121.885</v>
      </c>
      <c r="G16" s="17" t="n">
        <f aca="false">bud_total_besoin_S2_def</f>
        <v>2158132.37</v>
      </c>
    </row>
    <row r="17" customFormat="false" ht="15" hidden="false" customHeight="false" outlineLevel="0" collapsed="false">
      <c r="A17" s="2" t="s">
        <v>1670</v>
      </c>
      <c r="B17" s="2" t="s">
        <v>1671</v>
      </c>
      <c r="C17" s="2" t="s">
        <v>1665</v>
      </c>
      <c r="D17" s="16" t="n">
        <v>0</v>
      </c>
      <c r="E17" s="20" t="n">
        <f aca="false">E15/E16</f>
        <v>0.437229444730668</v>
      </c>
      <c r="F17" s="20" t="n">
        <f aca="false">F15/F16</f>
        <v>0.0589216169196557</v>
      </c>
      <c r="G17" s="20" t="n">
        <f aca="false">G15/G16</f>
        <v>-0.0228990819501957</v>
      </c>
    </row>
    <row r="18" customFormat="false" ht="15" hidden="false" customHeight="false" outlineLevel="0" collapsed="false">
      <c r="A18" s="2" t="s">
        <v>1672</v>
      </c>
      <c r="B18" s="2" t="s">
        <v>1673</v>
      </c>
      <c r="C18" s="2" t="s">
        <v>1665</v>
      </c>
      <c r="D18" s="16" t="n">
        <v>0</v>
      </c>
      <c r="E18" s="17" t="n">
        <f aca="false">MAX(0,E16-E15)</f>
        <v>442974.275357143</v>
      </c>
      <c r="F18" s="17" t="n">
        <f aca="false">MAX(0,F16-F15)</f>
        <v>1198107.485</v>
      </c>
      <c r="G18" s="17" t="n">
        <f aca="false">MAX(0,G16-G15)</f>
        <v>2207551.62</v>
      </c>
    </row>
    <row r="19" customFormat="false" ht="15" hidden="false" customHeight="false" outlineLevel="0" collapsed="false">
      <c r="A19" s="2" t="s">
        <v>1674</v>
      </c>
      <c r="B19" s="2" t="s">
        <v>1675</v>
      </c>
      <c r="C19" s="2" t="s">
        <v>1665</v>
      </c>
      <c r="D19" s="16" t="n">
        <v>0</v>
      </c>
      <c r="E19" s="17" t="n">
        <f aca="false">E18/dot_taux_net_fav</f>
        <v>19687745.5714286</v>
      </c>
      <c r="F19" s="17" t="n">
        <f aca="false">F18/dot_taux_net</f>
        <v>68463284.8571429</v>
      </c>
      <c r="G19" s="17" t="n">
        <f aca="false">G18/dot_taux_net_def</f>
        <v>176604129.6</v>
      </c>
    </row>
    <row r="20" customFormat="false" ht="15" hidden="false" customHeight="false" outlineLevel="0" collapsed="false">
      <c r="A20" s="2" t="s">
        <v>1676</v>
      </c>
      <c r="B20" s="2" t="s">
        <v>1677</v>
      </c>
      <c r="C20" s="2" t="s">
        <v>1665</v>
      </c>
      <c r="D20" s="16" t="n">
        <v>0</v>
      </c>
      <c r="E20" s="17" t="n">
        <f aca="false">E18/ent_conversion_fav</f>
        <v>1107435.68839286</v>
      </c>
      <c r="F20" s="17" t="n">
        <f aca="false">F18/ent_conversion</f>
        <v>3374950.66197183</v>
      </c>
      <c r="G20" s="17" t="n">
        <f aca="false">G18/ent_conversion_def</f>
        <v>6689550.36363636</v>
      </c>
    </row>
    <row r="21" customFormat="false" ht="15" hidden="false" customHeight="false" outlineLevel="0" collapsed="false">
      <c r="A21" s="2" t="s">
        <v>1678</v>
      </c>
      <c r="B21" s="2" t="s">
        <v>1679</v>
      </c>
      <c r="C21" s="2" t="s">
        <v>1665</v>
      </c>
      <c r="D21" s="16" t="n">
        <v>0</v>
      </c>
      <c r="E21" s="17" t="n">
        <f aca="false">cfg_M2_EVT_fav*mot_evt_inv_fav+cfg_M2_GITE_fav*mot_gite_inv_fav+cfg_M2_LOG_fav*mot_log_inv_fav+cfg_M2_STOCK_fav*stock_capex_fav+cfg_M2_AUTO_fav*auto_capex_fav+cfg_M2_HOTEL_fav*mot_hot_inv_fav+cfg_M2_LUX_fav*lux_capex_fav</f>
        <v>1550000</v>
      </c>
      <c r="F21" s="17" t="n">
        <f aca="false">cfg_M2_EVT*mot_evt_inv+cfg_M2_GITE*mot_gite_inv+cfg_M2_LOG*mot_log_inv+cfg_M2_STOCK*stock_capex+cfg_M2_AUTO*auto_capex+cfg_M2_HOTEL*mot_hot_inv+cfg_M2_LUX*lux_capex</f>
        <v>2100000</v>
      </c>
      <c r="G21" s="17" t="n">
        <f aca="false">cfg_M2_EVT_def*mot_evt_inv_def+cfg_M2_GITE_def*mot_gite_inv_def+cfg_M2_LOG_def*mot_log_inv_def+cfg_M2_STOCK_def*stock_capex_def+cfg_M2_AUTO_def*auto_capex_def+cfg_M2_HOTEL_def*mot_hot_inv_def+cfg_M2_LUX_def*lux_capex_def</f>
        <v>2300000</v>
      </c>
    </row>
    <row r="22" customFormat="false" ht="15" hidden="false" customHeight="false" outlineLevel="0" collapsed="false">
      <c r="A22" s="2" t="s">
        <v>1680</v>
      </c>
      <c r="B22" s="2" t="s">
        <v>1681</v>
      </c>
      <c r="C22" s="2" t="s">
        <v>1665</v>
      </c>
      <c r="D22" s="16" t="n">
        <v>0</v>
      </c>
      <c r="E22" s="20" t="n">
        <f aca="false">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cfg_M2_ANC_fav*mot_anc_cn_fav)/E14,0)</f>
        <v>0.385345838470978</v>
      </c>
      <c r="F22" s="20" t="n">
        <f aca="false">IF(F14&gt;0,(cfg_M2_EQ_STD*mot_eq_std_cn+cfg_M2_EQ_HDG*mot_eq_hdg_cn+cfg_M2_EQ_PRO*mot_eq_pro_cn+cfg_M2_EQ_RET*mot_eq_ret_cn+cfg_M2_REPRO*mot_repro_cn+cfg_M2_LOG*mot_log_cn+cfg_M2_STOCK*mot_stock_cn+cfg_M2_AUTO*mot_auto_cn+cfg_M2_PV*mot_pv_cn+cfg_M2_BOIS*mot_bois_cn+cfg_M2_HOTEL*mot_hot_cn+cfg_M2_ANC*mot_anc_cn)/F14,0)</f>
        <v>0.519292295879191</v>
      </c>
      <c r="G22" s="20" t="n">
        <f aca="false">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cfg_M2_ANC_def*mot_anc_cn_def)/G14,0)</f>
        <v>0</v>
      </c>
    </row>
    <row r="23" customFormat="false" ht="15" hidden="false" customHeight="false" outlineLevel="0" collapsed="false">
      <c r="A23" s="2" t="s">
        <v>1682</v>
      </c>
      <c r="B23" s="2" t="s">
        <v>1683</v>
      </c>
      <c r="C23" s="2" t="s">
        <v>1684</v>
      </c>
      <c r="D23" s="16" t="n">
        <v>0</v>
      </c>
      <c r="E23" s="17" t="n">
        <f aca="false">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cfg_M3_ANC_fav*mot_anc_cn_fav+cfg_M3_LUX_fav*mot_lux_cn_fav</f>
        <v>194415.6</v>
      </c>
      <c r="F23" s="17" t="n">
        <f aca="false">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cfg_M3_ANC*mot_anc_cn+cfg_M3_LUX*mot_lux_cn</f>
        <v>60179</v>
      </c>
      <c r="G23" s="17" t="n">
        <f aca="false">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cfg_M3_ANC_def*mot_anc_cn_def+cfg_M3_LUX_def*mot_lux_cn_def</f>
        <v>-102900</v>
      </c>
    </row>
    <row r="24" customFormat="false" ht="15" hidden="false" customHeight="false" outlineLevel="0" collapsed="false">
      <c r="A24" s="2" t="s">
        <v>1685</v>
      </c>
      <c r="B24" s="2" t="s">
        <v>1686</v>
      </c>
      <c r="C24" s="2" t="s">
        <v>1684</v>
      </c>
      <c r="D24" s="16" t="n">
        <v>0</v>
      </c>
      <c r="E24" s="17" t="n">
        <f aca="false">IF(E23&gt;0,E23*(1-fuite_fiscale_fav),E23)</f>
        <v>145811.7</v>
      </c>
      <c r="F24" s="17" t="n">
        <f aca="false">IF(F23&gt;0,F23*(1-fuite_fiscale),F23)</f>
        <v>36107.4</v>
      </c>
      <c r="G24" s="17" t="n">
        <f aca="false">IF(G23&gt;0,G23*(1-fuite_fiscale_def),G23)</f>
        <v>-102900</v>
      </c>
    </row>
    <row r="25" customFormat="false" ht="15" hidden="false" customHeight="false" outlineLevel="0" collapsed="false">
      <c r="A25" s="2" t="s">
        <v>1687</v>
      </c>
      <c r="B25" s="2" t="s">
        <v>1688</v>
      </c>
      <c r="C25" s="2" t="s">
        <v>1684</v>
      </c>
      <c r="D25" s="16" t="n">
        <v>0</v>
      </c>
      <c r="E25" s="17" t="n">
        <f aca="false">bud_total_besoin_S2_fav</f>
        <v>787131.222857143</v>
      </c>
      <c r="F25" s="17" t="n">
        <f aca="false">bud_total_besoin_S2</f>
        <v>1273121.885</v>
      </c>
      <c r="G25" s="17" t="n">
        <f aca="false">bud_total_besoin_S2_def</f>
        <v>2158132.37</v>
      </c>
    </row>
    <row r="26" customFormat="false" ht="15" hidden="false" customHeight="false" outlineLevel="0" collapsed="false">
      <c r="A26" s="2" t="s">
        <v>1689</v>
      </c>
      <c r="B26" s="2" t="s">
        <v>1690</v>
      </c>
      <c r="C26" s="2" t="s">
        <v>1684</v>
      </c>
      <c r="D26" s="16" t="n">
        <v>0</v>
      </c>
      <c r="E26" s="20" t="n">
        <f aca="false">E24/E25</f>
        <v>0.185244462125045</v>
      </c>
      <c r="F26" s="20" t="n">
        <f aca="false">F24/F25</f>
        <v>0.0283613065060145</v>
      </c>
      <c r="G26" s="20" t="n">
        <f aca="false">G24/G25</f>
        <v>-0.0476801151914514</v>
      </c>
    </row>
    <row r="27" customFormat="false" ht="15" hidden="false" customHeight="false" outlineLevel="0" collapsed="false">
      <c r="A27" s="2" t="s">
        <v>1691</v>
      </c>
      <c r="B27" s="2" t="s">
        <v>1692</v>
      </c>
      <c r="C27" s="2" t="s">
        <v>1684</v>
      </c>
      <c r="D27" s="16" t="n">
        <v>0</v>
      </c>
      <c r="E27" s="17" t="n">
        <f aca="false">MAX(0,E25-E24)</f>
        <v>641319.522857143</v>
      </c>
      <c r="F27" s="17" t="n">
        <f aca="false">MAX(0,F25-F24)</f>
        <v>1237014.485</v>
      </c>
      <c r="G27" s="17" t="n">
        <f aca="false">MAX(0,G25-G24)</f>
        <v>2261032.37</v>
      </c>
    </row>
    <row r="28" customFormat="false" ht="15" hidden="false" customHeight="false" outlineLevel="0" collapsed="false">
      <c r="A28" s="2" t="s">
        <v>1693</v>
      </c>
      <c r="B28" s="2" t="s">
        <v>1694</v>
      </c>
      <c r="C28" s="2" t="s">
        <v>1684</v>
      </c>
      <c r="D28" s="16" t="n">
        <v>0</v>
      </c>
      <c r="E28" s="17" t="n">
        <f aca="false">E27/dot_taux_net_fav</f>
        <v>28503089.9047619</v>
      </c>
      <c r="F28" s="17" t="n">
        <f aca="false">F27/dot_taux_net</f>
        <v>70686542</v>
      </c>
      <c r="G28" s="17" t="n">
        <f aca="false">G27/dot_taux_net_def</f>
        <v>180882589.6</v>
      </c>
    </row>
    <row r="29" customFormat="false" ht="15" hidden="false" customHeight="false" outlineLevel="0" collapsed="false">
      <c r="A29" s="2" t="s">
        <v>1695</v>
      </c>
      <c r="B29" s="2" t="s">
        <v>1696</v>
      </c>
      <c r="C29" s="2" t="s">
        <v>1684</v>
      </c>
      <c r="D29" s="16" t="n">
        <v>0</v>
      </c>
      <c r="E29" s="17" t="n">
        <f aca="false">E27/ent_conversion_fav</f>
        <v>1603298.80714286</v>
      </c>
      <c r="F29" s="17" t="n">
        <f aca="false">F27/ent_conversion</f>
        <v>3484547.84507042</v>
      </c>
      <c r="G29" s="17" t="n">
        <f aca="false">G27/ent_conversion_def</f>
        <v>6851613.24242424</v>
      </c>
    </row>
    <row r="30" customFormat="false" ht="15" hidden="false" customHeight="false" outlineLevel="0" collapsed="false">
      <c r="A30" s="2" t="s">
        <v>1697</v>
      </c>
      <c r="B30" s="2" t="s">
        <v>1698</v>
      </c>
      <c r="C30" s="2" t="s">
        <v>1684</v>
      </c>
      <c r="D30" s="16" t="n">
        <v>0</v>
      </c>
      <c r="E30" s="17" t="n">
        <f aca="false">cfg_M3_EVT_fav*mot_evt_inv_fav+cfg_M3_GITE_fav*mot_gite_inv_fav+cfg_M3_LOG_fav*mot_log_inv_fav+cfg_M3_STOCK_fav*stock_capex_fav+cfg_M3_AUTO_fav*auto_capex_fav+cfg_M3_HOTEL_fav*mot_hot_inv_fav+cfg_M3_LUX_fav*lux_capex_fav</f>
        <v>0</v>
      </c>
      <c r="F30" s="17" t="n">
        <f aca="false">cfg_M3_EVT*mot_evt_inv+cfg_M3_GITE*mot_gite_inv+cfg_M3_LOG*mot_log_inv+cfg_M3_STOCK*stock_capex+cfg_M3_AUTO*auto_capex+cfg_M3_HOTEL*mot_hot_inv+cfg_M3_LUX*lux_capex</f>
        <v>0</v>
      </c>
      <c r="G30" s="17" t="n">
        <f aca="false">cfg_M3_EVT_def*mot_evt_inv_def+cfg_M3_GITE_def*mot_gite_inv_def+cfg_M3_LOG_def*mot_log_inv_def+cfg_M3_STOCK_def*stock_capex_def+cfg_M3_AUTO_def*auto_capex_def+cfg_M3_HOTEL_def*mot_hot_inv_def+cfg_M3_LUX_def*lux_capex_def</f>
        <v>0</v>
      </c>
    </row>
    <row r="31" customFormat="false" ht="15" hidden="false" customHeight="false" outlineLevel="0" collapsed="false">
      <c r="A31" s="2" t="s">
        <v>1699</v>
      </c>
      <c r="B31" s="2" t="s">
        <v>1700</v>
      </c>
      <c r="C31" s="2" t="s">
        <v>1684</v>
      </c>
      <c r="D31" s="16" t="n">
        <v>0</v>
      </c>
      <c r="E31" s="20" t="n">
        <f aca="false">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cfg_M3_ANC_fav*mot_anc_cn_fav)/E23,0)</f>
        <v>0.855721454451186</v>
      </c>
      <c r="F31" s="20" t="n">
        <f aca="false">IF(F23&gt;0,(cfg_M3_EQ_STD*mot_eq_std_cn+cfg_M3_EQ_HDG*mot_eq_hdg_cn+cfg_M3_EQ_PRO*mot_eq_pro_cn+cfg_M3_EQ_RET*mot_eq_ret_cn+cfg_M3_REPRO*mot_repro_cn+cfg_M3_LOG*mot_log_cn+cfg_M3_STOCK*mot_stock_cn+cfg_M3_AUTO*mot_auto_cn+cfg_M3_PV*mot_pv_cn+cfg_M3_BOIS*mot_bois_cn+cfg_M3_HOTEL*mot_hot_cn+cfg_M3_ANC*mot_anc_cn)/F23,0)</f>
        <v>0.901128300569966</v>
      </c>
      <c r="G31" s="20" t="n">
        <f aca="false">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cfg_M3_ANC_def*mot_anc_cn_def)/G23,0)</f>
        <v>0</v>
      </c>
    </row>
    <row r="32" customFormat="false" ht="15" hidden="false" customHeight="false" outlineLevel="0" collapsed="false">
      <c r="A32" s="2" t="s">
        <v>1701</v>
      </c>
      <c r="B32" s="2" t="s">
        <v>1702</v>
      </c>
      <c r="C32" s="2" t="s">
        <v>1703</v>
      </c>
      <c r="D32" s="16" t="n">
        <v>0</v>
      </c>
      <c r="E32" s="17" t="n">
        <f aca="false">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cfg_M4_ANC_fav*mot_anc_cn_fav+cfg_M4_LUX_fav*mot_lux_cn_fav</f>
        <v>800466</v>
      </c>
      <c r="F32" s="17" t="n">
        <f aca="false">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cfg_M4_ANC*mot_anc_cn+cfg_M4_LUX*mot_lux_cn</f>
        <v>-361483.5</v>
      </c>
      <c r="G32" s="17" t="n">
        <f aca="false">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cfg_M4_ANC_def*mot_anc_cn_def+cfg_M4_LUX_def*mot_lux_cn_def</f>
        <v>-1180597</v>
      </c>
    </row>
    <row r="33" customFormat="false" ht="15" hidden="false" customHeight="false" outlineLevel="0" collapsed="false">
      <c r="A33" s="2" t="s">
        <v>1704</v>
      </c>
      <c r="B33" s="2" t="s">
        <v>1705</v>
      </c>
      <c r="C33" s="2" t="s">
        <v>1703</v>
      </c>
      <c r="D33" s="16" t="n">
        <v>0</v>
      </c>
      <c r="E33" s="17" t="n">
        <f aca="false">IF(E32&gt;0,E32*(1-fuite_fiscale_fav),E32)</f>
        <v>600349.5</v>
      </c>
      <c r="F33" s="17" t="n">
        <f aca="false">IF(F32&gt;0,F32*(1-fuite_fiscale),F32)</f>
        <v>-361483.5</v>
      </c>
      <c r="G33" s="17" t="n">
        <f aca="false">IF(G32&gt;0,G32*(1-fuite_fiscale_def),G32)</f>
        <v>-1180597</v>
      </c>
    </row>
    <row r="34" customFormat="false" ht="15" hidden="false" customHeight="false" outlineLevel="0" collapsed="false">
      <c r="A34" s="2" t="s">
        <v>1706</v>
      </c>
      <c r="B34" s="2" t="s">
        <v>1707</v>
      </c>
      <c r="C34" s="2" t="s">
        <v>1703</v>
      </c>
      <c r="D34" s="16" t="n">
        <v>0</v>
      </c>
      <c r="E34" s="17" t="n">
        <f aca="false">bud_total_besoin_S2_fav</f>
        <v>787131.222857143</v>
      </c>
      <c r="F34" s="17" t="n">
        <f aca="false">bud_total_besoin_S2</f>
        <v>1273121.885</v>
      </c>
      <c r="G34" s="17" t="n">
        <f aca="false">bud_total_besoin_S2_def</f>
        <v>2158132.37</v>
      </c>
    </row>
    <row r="35" customFormat="false" ht="15" hidden="false" customHeight="false" outlineLevel="0" collapsed="false">
      <c r="A35" s="2" t="s">
        <v>1708</v>
      </c>
      <c r="B35" s="2" t="s">
        <v>1709</v>
      </c>
      <c r="C35" s="2" t="s">
        <v>1703</v>
      </c>
      <c r="D35" s="16" t="n">
        <v>0</v>
      </c>
      <c r="E35" s="20" t="n">
        <f aca="false">E33/E34</f>
        <v>0.762705737705132</v>
      </c>
      <c r="F35" s="20" t="n">
        <f aca="false">F33/F34</f>
        <v>-0.283934715331675</v>
      </c>
      <c r="G35" s="20" t="n">
        <f aca="false">G33/G34</f>
        <v>-0.547045684690787</v>
      </c>
    </row>
    <row r="36" customFormat="false" ht="15" hidden="false" customHeight="false" outlineLevel="0" collapsed="false">
      <c r="A36" s="2" t="s">
        <v>1710</v>
      </c>
      <c r="B36" s="2" t="s">
        <v>1711</v>
      </c>
      <c r="C36" s="2" t="s">
        <v>1703</v>
      </c>
      <c r="D36" s="16" t="n">
        <v>0</v>
      </c>
      <c r="E36" s="17" t="n">
        <f aca="false">MAX(0,E34-E33)</f>
        <v>186781.722857143</v>
      </c>
      <c r="F36" s="17" t="n">
        <f aca="false">MAX(0,F34-F33)</f>
        <v>1634605.385</v>
      </c>
      <c r="G36" s="17" t="n">
        <f aca="false">MAX(0,G34-G33)</f>
        <v>3338729.37</v>
      </c>
    </row>
    <row r="37" customFormat="false" ht="15" hidden="false" customHeight="false" outlineLevel="0" collapsed="false">
      <c r="A37" s="2" t="s">
        <v>1712</v>
      </c>
      <c r="B37" s="2" t="s">
        <v>1713</v>
      </c>
      <c r="C37" s="2" t="s">
        <v>1703</v>
      </c>
      <c r="D37" s="16" t="n">
        <v>0</v>
      </c>
      <c r="E37" s="17" t="n">
        <f aca="false">E36/dot_taux_net_fav</f>
        <v>8301409.9047619</v>
      </c>
      <c r="F37" s="17" t="n">
        <f aca="false">F36/dot_taux_net</f>
        <v>93406022</v>
      </c>
      <c r="G37" s="17" t="n">
        <f aca="false">G36/dot_taux_net_def</f>
        <v>267098349.6</v>
      </c>
    </row>
    <row r="38" customFormat="false" ht="15" hidden="false" customHeight="false" outlineLevel="0" collapsed="false">
      <c r="A38" s="2" t="s">
        <v>1714</v>
      </c>
      <c r="B38" s="2" t="s">
        <v>1715</v>
      </c>
      <c r="C38" s="2" t="s">
        <v>1703</v>
      </c>
      <c r="D38" s="16" t="n">
        <v>0</v>
      </c>
      <c r="E38" s="17" t="n">
        <f aca="false">E36/ent_conversion_fav</f>
        <v>466954.307142857</v>
      </c>
      <c r="F38" s="17" t="n">
        <f aca="false">F36/ent_conversion</f>
        <v>4604522.21126761</v>
      </c>
      <c r="G38" s="17" t="n">
        <f aca="false">G36/ent_conversion_def</f>
        <v>10117361.7272727</v>
      </c>
    </row>
    <row r="39" customFormat="false" ht="15" hidden="false" customHeight="false" outlineLevel="0" collapsed="false">
      <c r="A39" s="2" t="s">
        <v>1716</v>
      </c>
      <c r="B39" s="2" t="s">
        <v>1717</v>
      </c>
      <c r="C39" s="2" t="s">
        <v>1703</v>
      </c>
      <c r="D39" s="16" t="n">
        <v>0</v>
      </c>
      <c r="E39" s="17" t="n">
        <f aca="false">cfg_M4_EVT_fav*mot_evt_inv_fav+cfg_M4_GITE_fav*mot_gite_inv_fav+cfg_M4_LOG_fav*mot_log_inv_fav+cfg_M4_STOCK_fav*stock_capex_fav+cfg_M4_AUTO_fav*auto_capex_fav+cfg_M4_HOTEL_fav*mot_hot_inv_fav+cfg_M4_LUX_fav*lux_capex_fav</f>
        <v>5500000</v>
      </c>
      <c r="F39" s="17" t="n">
        <f aca="false">cfg_M4_EVT*mot_evt_inv+cfg_M4_GITE*mot_gite_inv+cfg_M4_LOG*mot_log_inv+cfg_M4_STOCK*stock_capex+cfg_M4_AUTO*auto_capex+cfg_M4_HOTEL*mot_hot_inv+cfg_M4_LUX*lux_capex</f>
        <v>7900000</v>
      </c>
      <c r="G39" s="17" t="n">
        <f aca="false">cfg_M4_EVT_def*mot_evt_inv_def+cfg_M4_GITE_def*mot_gite_inv_def+cfg_M4_LOG_def*mot_log_inv_def+cfg_M4_STOCK_def*stock_capex_def+cfg_M4_AUTO_def*auto_capex_def+cfg_M4_HOTEL_def*mot_hot_inv_def+cfg_M4_LUX_def*lux_capex_def</f>
        <v>11100000</v>
      </c>
    </row>
    <row r="40" customFormat="false" ht="15" hidden="false" customHeight="false" outlineLevel="0" collapsed="false">
      <c r="A40" s="2" t="s">
        <v>1718</v>
      </c>
      <c r="B40" s="2" t="s">
        <v>1719</v>
      </c>
      <c r="C40" s="2" t="s">
        <v>1703</v>
      </c>
      <c r="D40" s="16" t="n">
        <v>0</v>
      </c>
      <c r="E40" s="20" t="n">
        <f aca="false">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cfg_M4_ANC_fav*mot_anc_cn_fav)/E32,0)</f>
        <v>0.811297419253285</v>
      </c>
      <c r="F40" s="20" t="n">
        <f aca="false">IF(F32&gt;0,(cfg_M4_EQ_STD*mot_eq_std_cn+cfg_M4_EQ_HDG*mot_eq_hdg_cn+cfg_M4_EQ_PRO*mot_eq_pro_cn+cfg_M4_EQ_RET*mot_eq_ret_cn+cfg_M4_REPRO*mot_repro_cn+cfg_M4_LOG*mot_log_cn+cfg_M4_STOCK*mot_stock_cn+cfg_M4_AUTO*mot_auto_cn+cfg_M4_PV*mot_pv_cn+cfg_M4_BOIS*mot_bois_cn+cfg_M4_HOTEL*mot_hot_cn+cfg_M4_ANC*mot_anc_cn)/F32,0)</f>
        <v>0</v>
      </c>
      <c r="G40" s="20" t="n">
        <f aca="false">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cfg_M4_ANC_def*mot_anc_cn_def)/G32,0)</f>
        <v>0</v>
      </c>
    </row>
    <row r="41" customFormat="false" ht="15" hidden="false" customHeight="false" outlineLevel="0" collapsed="false">
      <c r="A41" s="2" t="s">
        <v>1720</v>
      </c>
      <c r="B41" s="2" t="s">
        <v>1721</v>
      </c>
      <c r="C41" s="2" t="s">
        <v>1722</v>
      </c>
      <c r="D41" s="16" t="n">
        <v>0</v>
      </c>
      <c r="E41" s="17" t="n">
        <f aca="false">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cfg_M5_ANC_fav*mot_anc_cn_fav+cfg_M5_LUX_fav*mot_lux_cn_fav</f>
        <v>62514</v>
      </c>
      <c r="F41" s="17" t="n">
        <f aca="false">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cfg_M5_ANC*mot_anc_cn+cfg_M5_LUX*mot_lux_cn</f>
        <v>18298</v>
      </c>
      <c r="G41" s="17" t="n">
        <f aca="false">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cfg_M5_ANC_def*mot_anc_cn_def+cfg_M5_LUX_def*mot_lux_cn_def</f>
        <v>-4800</v>
      </c>
    </row>
    <row r="42" customFormat="false" ht="15" hidden="false" customHeight="false" outlineLevel="0" collapsed="false">
      <c r="A42" s="2" t="s">
        <v>1723</v>
      </c>
      <c r="B42" s="2" t="s">
        <v>1724</v>
      </c>
      <c r="C42" s="2" t="s">
        <v>1722</v>
      </c>
      <c r="D42" s="16" t="n">
        <v>0</v>
      </c>
      <c r="E42" s="17" t="n">
        <f aca="false">IF(E41&gt;0,E41*(1-fuite_fiscale_fav),E41)</f>
        <v>46885.5</v>
      </c>
      <c r="F42" s="17" t="n">
        <f aca="false">IF(F41&gt;0,F41*(1-fuite_fiscale),F41)</f>
        <v>10978.8</v>
      </c>
      <c r="G42" s="17" t="n">
        <f aca="false">IF(G41&gt;0,G41*(1-fuite_fiscale_def),G41)</f>
        <v>-4800</v>
      </c>
    </row>
    <row r="43" customFormat="false" ht="15" hidden="false" customHeight="false" outlineLevel="0" collapsed="false">
      <c r="A43" s="2" t="s">
        <v>1725</v>
      </c>
      <c r="B43" s="2" t="s">
        <v>1726</v>
      </c>
      <c r="C43" s="2" t="s">
        <v>1722</v>
      </c>
      <c r="D43" s="16" t="n">
        <v>0</v>
      </c>
      <c r="E43" s="17" t="n">
        <f aca="false">bud_total_besoin_S2_fav</f>
        <v>787131.222857143</v>
      </c>
      <c r="F43" s="17" t="n">
        <f aca="false">bud_total_besoin_S2</f>
        <v>1273121.885</v>
      </c>
      <c r="G43" s="17" t="n">
        <f aca="false">bud_total_besoin_S2_def</f>
        <v>2158132.37</v>
      </c>
    </row>
    <row r="44" customFormat="false" ht="15" hidden="false" customHeight="false" outlineLevel="0" collapsed="false">
      <c r="A44" s="2" t="s">
        <v>1727</v>
      </c>
      <c r="B44" s="2" t="s">
        <v>1728</v>
      </c>
      <c r="C44" s="2" t="s">
        <v>1722</v>
      </c>
      <c r="D44" s="16" t="n">
        <v>0</v>
      </c>
      <c r="E44" s="20" t="n">
        <f aca="false">E42/E43</f>
        <v>0.0595650364748767</v>
      </c>
      <c r="F44" s="20" t="n">
        <f aca="false">F42/F43</f>
        <v>0.00862352625412609</v>
      </c>
      <c r="G44" s="20" t="n">
        <f aca="false">G42/G43</f>
        <v>-0.00222414531505313</v>
      </c>
    </row>
    <row r="45" customFormat="false" ht="15" hidden="false" customHeight="false" outlineLevel="0" collapsed="false">
      <c r="A45" s="2" t="s">
        <v>1729</v>
      </c>
      <c r="B45" s="2" t="s">
        <v>1730</v>
      </c>
      <c r="C45" s="2" t="s">
        <v>1722</v>
      </c>
      <c r="D45" s="16" t="n">
        <v>0</v>
      </c>
      <c r="E45" s="17" t="n">
        <f aca="false">MAX(0,E43-E42)</f>
        <v>740245.722857143</v>
      </c>
      <c r="F45" s="17" t="n">
        <f aca="false">MAX(0,F43-F42)</f>
        <v>1262143.085</v>
      </c>
      <c r="G45" s="17" t="n">
        <f aca="false">MAX(0,G43-G42)</f>
        <v>2162932.37</v>
      </c>
    </row>
    <row r="46" customFormat="false" ht="15" hidden="false" customHeight="false" outlineLevel="0" collapsed="false">
      <c r="A46" s="2" t="s">
        <v>1731</v>
      </c>
      <c r="B46" s="2" t="s">
        <v>1732</v>
      </c>
      <c r="C46" s="2" t="s">
        <v>1722</v>
      </c>
      <c r="D46" s="16" t="n">
        <v>0</v>
      </c>
      <c r="E46" s="17" t="n">
        <f aca="false">E45/dot_taux_net_fav</f>
        <v>32899809.9047619</v>
      </c>
      <c r="F46" s="17" t="n">
        <f aca="false">F45/dot_taux_net</f>
        <v>72122462</v>
      </c>
      <c r="G46" s="17" t="n">
        <f aca="false">G45/dot_taux_net_def</f>
        <v>173034589.6</v>
      </c>
    </row>
    <row r="47" customFormat="false" ht="15" hidden="false" customHeight="false" outlineLevel="0" collapsed="false">
      <c r="A47" s="2" t="s">
        <v>1733</v>
      </c>
      <c r="B47" s="2" t="s">
        <v>1734</v>
      </c>
      <c r="C47" s="2" t="s">
        <v>1722</v>
      </c>
      <c r="D47" s="16" t="n">
        <v>0</v>
      </c>
      <c r="E47" s="17" t="n">
        <f aca="false">E45/ent_conversion_fav</f>
        <v>1850614.30714286</v>
      </c>
      <c r="F47" s="17" t="n">
        <f aca="false">F45/ent_conversion</f>
        <v>3555332.63380282</v>
      </c>
      <c r="G47" s="17" t="n">
        <f aca="false">G45/ent_conversion_def</f>
        <v>6554340.51515152</v>
      </c>
    </row>
    <row r="48" customFormat="false" ht="15" hidden="false" customHeight="false" outlineLevel="0" collapsed="false">
      <c r="A48" s="2" t="s">
        <v>1735</v>
      </c>
      <c r="B48" s="2" t="s">
        <v>1736</v>
      </c>
      <c r="C48" s="2" t="s">
        <v>1722</v>
      </c>
      <c r="D48" s="16" t="n">
        <v>0</v>
      </c>
      <c r="E48" s="17" t="n">
        <f aca="false">cfg_M5_EVT_fav*mot_evt_inv_fav+cfg_M5_GITE_fav*mot_gite_inv_fav+cfg_M5_LOG_fav*mot_log_inv_fav+cfg_M5_STOCK_fav*stock_capex_fav+cfg_M5_AUTO_fav*auto_capex_fav+cfg_M5_HOTEL_fav*mot_hot_inv_fav+cfg_M5_LUX_fav*lux_capex_fav</f>
        <v>0</v>
      </c>
      <c r="F48" s="17" t="n">
        <f aca="false">cfg_M5_EVT*mot_evt_inv+cfg_M5_GITE*mot_gite_inv+cfg_M5_LOG*mot_log_inv+cfg_M5_STOCK*stock_capex+cfg_M5_AUTO*auto_capex+cfg_M5_HOTEL*mot_hot_inv+cfg_M5_LUX*lux_capex</f>
        <v>0</v>
      </c>
      <c r="G48" s="17" t="n">
        <f aca="false">cfg_M5_EVT_def*mot_evt_inv_def+cfg_M5_GITE_def*mot_gite_inv_def+cfg_M5_LOG_def*mot_log_inv_def+cfg_M5_STOCK_def*stock_capex_def+cfg_M5_AUTO_def*auto_capex_def+cfg_M5_HOTEL_def*mot_hot_inv_def+cfg_M5_LUX_def*lux_capex_def</f>
        <v>0</v>
      </c>
    </row>
    <row r="49" customFormat="false" ht="15" hidden="false" customHeight="false" outlineLevel="0" collapsed="false">
      <c r="A49" s="2" t="s">
        <v>1737</v>
      </c>
      <c r="B49" s="2" t="s">
        <v>1738</v>
      </c>
      <c r="C49" s="2" t="s">
        <v>1722</v>
      </c>
      <c r="D49" s="16" t="n">
        <v>0</v>
      </c>
      <c r="E49" s="20" t="n">
        <f aca="false">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cfg_M5_ANC_fav*mot_anc_cn_fav)/E41,0)</f>
        <v>0.551300508686054</v>
      </c>
      <c r="F49" s="20" t="n">
        <f aca="false">IF(F41&gt;0,(cfg_M5_EQ_STD*mot_eq_std_cn+cfg_M5_EQ_HDG*mot_eq_hdg_cn+cfg_M5_EQ_PRO*mot_eq_pro_cn+cfg_M5_EQ_RET*mot_eq_ret_cn+cfg_M5_REPRO*mot_repro_cn+cfg_M5_LOG*mot_log_cn+cfg_M5_STOCK*mot_stock_cn+cfg_M5_AUTO*mot_auto_cn+cfg_M5_PV*mot_pv_cn+cfg_M5_BOIS*mot_bois_cn+cfg_M5_HOTEL*mot_hot_cn+cfg_M5_ANC*mot_anc_cn)/F41,0)</f>
        <v>0.674827850038256</v>
      </c>
      <c r="G49" s="20" t="n">
        <f aca="false">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cfg_M5_ANC_def*mot_anc_cn_def)/G41,0)</f>
        <v>0</v>
      </c>
    </row>
    <row r="50" customFormat="false" ht="15" hidden="false" customHeight="false" outlineLevel="0" collapsed="false">
      <c r="A50" s="2" t="s">
        <v>1739</v>
      </c>
      <c r="B50" s="2" t="s">
        <v>1740</v>
      </c>
      <c r="C50" s="2" t="s">
        <v>1741</v>
      </c>
      <c r="D50" s="16" t="n">
        <v>0</v>
      </c>
      <c r="E50" s="17" t="n">
        <f aca="false">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cfg_M6_ANC_fav*mot_anc_cn_fav+cfg_M6_LUX_fav*mot_lux_cn_fav</f>
        <v>62514</v>
      </c>
      <c r="F50" s="17" t="n">
        <f aca="false">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cfg_M6_ANC*mot_anc_cn+cfg_M6_LUX*mot_lux_cn</f>
        <v>18298</v>
      </c>
      <c r="G50" s="17" t="n">
        <f aca="false">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cfg_M6_ANC_def*mot_anc_cn_def+cfg_M6_LUX_def*mot_lux_cn_def</f>
        <v>-4800</v>
      </c>
    </row>
    <row r="51" customFormat="false" ht="15" hidden="false" customHeight="false" outlineLevel="0" collapsed="false">
      <c r="A51" s="2" t="s">
        <v>1742</v>
      </c>
      <c r="B51" s="2" t="s">
        <v>1743</v>
      </c>
      <c r="C51" s="2" t="s">
        <v>1741</v>
      </c>
      <c r="D51" s="16" t="n">
        <v>0</v>
      </c>
      <c r="E51" s="17" t="n">
        <f aca="false">IF(E50&gt;0,E50*(1-fuite_fiscale_fav),E50)</f>
        <v>46885.5</v>
      </c>
      <c r="F51" s="17" t="n">
        <f aca="false">IF(F50&gt;0,F50*(1-fuite_fiscale),F50)</f>
        <v>10978.8</v>
      </c>
      <c r="G51" s="17" t="n">
        <f aca="false">IF(G50&gt;0,G50*(1-fuite_fiscale_def),G50)</f>
        <v>-4800</v>
      </c>
    </row>
    <row r="52" customFormat="false" ht="15" hidden="false" customHeight="false" outlineLevel="0" collapsed="false">
      <c r="A52" s="2" t="s">
        <v>1744</v>
      </c>
      <c r="B52" s="2" t="s">
        <v>1745</v>
      </c>
      <c r="C52" s="2" t="s">
        <v>1741</v>
      </c>
      <c r="D52" s="16" t="n">
        <v>0</v>
      </c>
      <c r="E52" s="17" t="n">
        <f aca="false">bud_total_besoin_S2_fav</f>
        <v>787131.222857143</v>
      </c>
      <c r="F52" s="17" t="n">
        <f aca="false">bud_total_besoin_S2</f>
        <v>1273121.885</v>
      </c>
      <c r="G52" s="17" t="n">
        <f aca="false">bud_total_besoin_S2_def</f>
        <v>2158132.37</v>
      </c>
    </row>
    <row r="53" customFormat="false" ht="15" hidden="false" customHeight="false" outlineLevel="0" collapsed="false">
      <c r="A53" s="2" t="s">
        <v>1746</v>
      </c>
      <c r="B53" s="2" t="s">
        <v>1747</v>
      </c>
      <c r="C53" s="2" t="s">
        <v>1741</v>
      </c>
      <c r="D53" s="16" t="n">
        <v>0</v>
      </c>
      <c r="E53" s="20" t="n">
        <f aca="false">E51/E52</f>
        <v>0.0595650364748767</v>
      </c>
      <c r="F53" s="20" t="n">
        <f aca="false">F51/F52</f>
        <v>0.00862352625412609</v>
      </c>
      <c r="G53" s="20" t="n">
        <f aca="false">G51/G52</f>
        <v>-0.00222414531505313</v>
      </c>
    </row>
    <row r="54" customFormat="false" ht="15" hidden="false" customHeight="false" outlineLevel="0" collapsed="false">
      <c r="A54" s="2" t="s">
        <v>1748</v>
      </c>
      <c r="B54" s="2" t="s">
        <v>1749</v>
      </c>
      <c r="C54" s="2" t="s">
        <v>1741</v>
      </c>
      <c r="D54" s="16" t="n">
        <v>0</v>
      </c>
      <c r="E54" s="17" t="n">
        <f aca="false">MAX(0,E52-E51)</f>
        <v>740245.722857143</v>
      </c>
      <c r="F54" s="17" t="n">
        <f aca="false">MAX(0,F52-F51)</f>
        <v>1262143.085</v>
      </c>
      <c r="G54" s="17" t="n">
        <f aca="false">MAX(0,G52-G51)</f>
        <v>2162932.37</v>
      </c>
    </row>
    <row r="55" customFormat="false" ht="15" hidden="false" customHeight="false" outlineLevel="0" collapsed="false">
      <c r="A55" s="2" t="s">
        <v>1750</v>
      </c>
      <c r="B55" s="2" t="s">
        <v>1751</v>
      </c>
      <c r="C55" s="2" t="s">
        <v>1741</v>
      </c>
      <c r="D55" s="16" t="n">
        <v>0</v>
      </c>
      <c r="E55" s="17" t="n">
        <f aca="false">E54/dot_taux_net_fav</f>
        <v>32899809.9047619</v>
      </c>
      <c r="F55" s="17" t="n">
        <f aca="false">F54/dot_taux_net</f>
        <v>72122462</v>
      </c>
      <c r="G55" s="17" t="n">
        <f aca="false">G54/dot_taux_net_def</f>
        <v>173034589.6</v>
      </c>
    </row>
    <row r="56" customFormat="false" ht="15" hidden="false" customHeight="false" outlineLevel="0" collapsed="false">
      <c r="A56" s="2" t="s">
        <v>1752</v>
      </c>
      <c r="B56" s="2" t="s">
        <v>1753</v>
      </c>
      <c r="C56" s="2" t="s">
        <v>1741</v>
      </c>
      <c r="D56" s="16" t="n">
        <v>0</v>
      </c>
      <c r="E56" s="17" t="n">
        <f aca="false">E54/ent_conversion_fav</f>
        <v>1850614.30714286</v>
      </c>
      <c r="F56" s="17" t="n">
        <f aca="false">F54/ent_conversion</f>
        <v>3555332.63380282</v>
      </c>
      <c r="G56" s="17" t="n">
        <f aca="false">G54/ent_conversion_def</f>
        <v>6554340.51515152</v>
      </c>
    </row>
    <row r="57" customFormat="false" ht="15" hidden="false" customHeight="false" outlineLevel="0" collapsed="false">
      <c r="A57" s="2" t="s">
        <v>1754</v>
      </c>
      <c r="B57" s="2" t="s">
        <v>1755</v>
      </c>
      <c r="C57" s="2" t="s">
        <v>1741</v>
      </c>
      <c r="D57" s="16" t="n">
        <v>0</v>
      </c>
      <c r="E57" s="17" t="n">
        <f aca="false">cfg_M6_EVT_fav*mot_evt_inv_fav+cfg_M6_GITE_fav*mot_gite_inv_fav+cfg_M6_LOG_fav*mot_log_inv_fav+cfg_M6_STOCK_fav*stock_capex_fav+cfg_M6_AUTO_fav*auto_capex_fav+cfg_M6_HOTEL_fav*mot_hot_inv_fav+cfg_M6_LUX_fav*lux_capex_fav</f>
        <v>0</v>
      </c>
      <c r="F57" s="17" t="n">
        <f aca="false">cfg_M6_EVT*mot_evt_inv+cfg_M6_GITE*mot_gite_inv+cfg_M6_LOG*mot_log_inv+cfg_M6_STOCK*stock_capex+cfg_M6_AUTO*auto_capex+cfg_M6_HOTEL*mot_hot_inv+cfg_M6_LUX*lux_capex</f>
        <v>0</v>
      </c>
      <c r="G57" s="17" t="n">
        <f aca="false">cfg_M6_EVT_def*mot_evt_inv_def+cfg_M6_GITE_def*mot_gite_inv_def+cfg_M6_LOG_def*mot_log_inv_def+cfg_M6_STOCK_def*stock_capex_def+cfg_M6_AUTO_def*auto_capex_def+cfg_M6_HOTEL_def*mot_hot_inv_def+cfg_M6_LUX_def*lux_capex_def</f>
        <v>0</v>
      </c>
    </row>
    <row r="58" customFormat="false" ht="15" hidden="false" customHeight="false" outlineLevel="0" collapsed="false">
      <c r="A58" s="2" t="s">
        <v>1756</v>
      </c>
      <c r="B58" s="2" t="s">
        <v>1757</v>
      </c>
      <c r="C58" s="2" t="s">
        <v>1741</v>
      </c>
      <c r="D58" s="16" t="n">
        <v>0</v>
      </c>
      <c r="E58" s="20" t="n">
        <f aca="false">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cfg_M6_ANC_fav*mot_anc_cn_fav)/E50,0)</f>
        <v>0.551300508686054</v>
      </c>
      <c r="F58" s="20" t="n">
        <f aca="false">IF(F50&gt;0,(cfg_M6_EQ_STD*mot_eq_std_cn+cfg_M6_EQ_HDG*mot_eq_hdg_cn+cfg_M6_EQ_PRO*mot_eq_pro_cn+cfg_M6_EQ_RET*mot_eq_ret_cn+cfg_M6_REPRO*mot_repro_cn+cfg_M6_LOG*mot_log_cn+cfg_M6_STOCK*mot_stock_cn+cfg_M6_AUTO*mot_auto_cn+cfg_M6_PV*mot_pv_cn+cfg_M6_BOIS*mot_bois_cn+cfg_M6_HOTEL*mot_hot_cn+cfg_M6_ANC*mot_anc_cn)/F50,0)</f>
        <v>0.674827850038256</v>
      </c>
      <c r="G58" s="20" t="n">
        <f aca="false">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cfg_M6_ANC_def*mot_anc_cn_def)/G50,0)</f>
        <v>0</v>
      </c>
    </row>
    <row r="59" customFormat="false" ht="15" hidden="false" customHeight="false" outlineLevel="0" collapsed="false">
      <c r="A59" s="2" t="s">
        <v>1758</v>
      </c>
      <c r="B59" s="2" t="s">
        <v>1759</v>
      </c>
      <c r="C59" s="2" t="s">
        <v>1760</v>
      </c>
      <c r="D59" s="16" t="n">
        <v>0</v>
      </c>
      <c r="E59" s="17" t="n">
        <f aca="false">cfg_M7_EQ_STD_fav*mot_eq_std_cn_fav+cfg_M7_EQ_HDG_fav*mot_eq_hdg_cn_fav+cfg_M7_EQ_PRO_fav*mot_eq_pro_cn_fav+cfg_M7_EQ_RET_fav*mot_eq_ret_cn_fav+cfg_M7_REPRO_fav*mot_repro_cn_fav+cfg_M7_EVT_fav*mot_evt_cn_fav+cfg_M7_TOURN_fav*mot_tourn_cn_fav+cfg_M7_SEMJ_fav*mot_semj_cn_fav+cfg_M7_GITE_fav*mot_gite_cn_fav+cfg_M7_LOG_fav*mot_log_cn_fav+cfg_M7_STOCK_fav*mot_stock_cn_fav+cfg_M7_AUTO_fav*mot_auto_cn_fav+cfg_M7_PV_fav*mot_pv_cn_fav+cfg_M7_BOIS_fav*mot_bois_cn_fav+cfg_M7_HOTEL_fav*mot_hot_cn_fav+cfg_M7_ANC_fav*mot_anc_cn_fav+cfg_M7_LUX_fav*mot_lux_cn_fav</f>
        <v>615200</v>
      </c>
      <c r="F59" s="17" t="n">
        <f aca="false">cfg_M7_EQ_STD*mot_eq_std_cn+cfg_M7_EQ_HDG*mot_eq_hdg_cn+cfg_M7_EQ_PRO*mot_eq_pro_cn+cfg_M7_EQ_RET*mot_eq_ret_cn+cfg_M7_REPRO*mot_repro_cn+cfg_M7_EVT*mot_evt_cn+cfg_M7_TOURN*mot_tourn_cn+cfg_M7_SEMJ*mot_semj_cn+cfg_M7_GITE*mot_gite_cn+cfg_M7_LOG*mot_log_cn+cfg_M7_STOCK*mot_stock_cn+cfg_M7_AUTO*mot_auto_cn+cfg_M7_PV*mot_pv_cn+cfg_M7_BOIS*mot_bois_cn+cfg_M7_HOTEL*mot_hot_cn+cfg_M7_ANC*mot_anc_cn+cfg_M7_LUX*mot_lux_cn</f>
        <v>377839.875</v>
      </c>
      <c r="G59" s="17" t="n">
        <f aca="false">cfg_M7_EQ_STD_def*mot_eq_std_cn_def+cfg_M7_EQ_HDG_def*mot_eq_hdg_cn_def+cfg_M7_EQ_PRO_def*mot_eq_pro_cn_def+cfg_M7_EQ_RET_def*mot_eq_ret_cn_def+cfg_M7_REPRO_def*mot_repro_cn_def+cfg_M7_EVT_def*mot_evt_cn_def+cfg_M7_TOURN_def*mot_tourn_cn_def+cfg_M7_SEMJ_def*mot_semj_cn_def+cfg_M7_GITE_def*mot_gite_cn_def+cfg_M7_LOG_def*mot_log_cn_def+cfg_M7_STOCK_def*mot_stock_cn_def+cfg_M7_AUTO_def*mot_auto_cn_def+cfg_M7_PV_def*mot_pv_cn_def+cfg_M7_BOIS_def*mot_bois_cn_def+cfg_M7_HOTEL_def*mot_hot_cn_def+cfg_M7_ANC_def*mot_anc_cn_def+cfg_M7_LUX_def*mot_lux_cn_def</f>
        <v>-4800</v>
      </c>
    </row>
    <row r="60" customFormat="false" ht="15" hidden="false" customHeight="false" outlineLevel="0" collapsed="false">
      <c r="A60" s="2" t="s">
        <v>1761</v>
      </c>
      <c r="B60" s="2" t="s">
        <v>1762</v>
      </c>
      <c r="C60" s="2" t="s">
        <v>1760</v>
      </c>
      <c r="D60" s="16" t="n">
        <v>0</v>
      </c>
      <c r="E60" s="17" t="n">
        <f aca="false">IF(E59&gt;0,E59*(1-fuite_fiscale_fav),E59)</f>
        <v>461400</v>
      </c>
      <c r="F60" s="17" t="n">
        <f aca="false">IF(F59&gt;0,F59*(1-fuite_fiscale),F59)</f>
        <v>226703.925</v>
      </c>
      <c r="G60" s="17" t="n">
        <f aca="false">IF(G59&gt;0,G59*(1-fuite_fiscale_def),G59)</f>
        <v>-4800</v>
      </c>
    </row>
    <row r="61" customFormat="false" ht="15" hidden="false" customHeight="false" outlineLevel="0" collapsed="false">
      <c r="A61" s="2" t="s">
        <v>1763</v>
      </c>
      <c r="B61" s="2" t="s">
        <v>1764</v>
      </c>
      <c r="C61" s="2" t="s">
        <v>1760</v>
      </c>
      <c r="D61" s="16" t="n">
        <v>0</v>
      </c>
      <c r="E61" s="17" t="n">
        <f aca="false">bud_total_besoin_S2_fav</f>
        <v>787131.222857143</v>
      </c>
      <c r="F61" s="17" t="n">
        <f aca="false">bud_total_besoin_S2</f>
        <v>1273121.885</v>
      </c>
      <c r="G61" s="17" t="n">
        <f aca="false">bud_total_besoin_S2_def</f>
        <v>2158132.37</v>
      </c>
    </row>
    <row r="62" customFormat="false" ht="15" hidden="false" customHeight="false" outlineLevel="0" collapsed="false">
      <c r="A62" s="2" t="s">
        <v>1765</v>
      </c>
      <c r="B62" s="2" t="s">
        <v>1766</v>
      </c>
      <c r="C62" s="2" t="s">
        <v>1760</v>
      </c>
      <c r="D62" s="16" t="n">
        <v>0</v>
      </c>
      <c r="E62" s="20" t="n">
        <f aca="false">E60/E61</f>
        <v>0.586179262874622</v>
      </c>
      <c r="F62" s="20" t="n">
        <f aca="false">F60/F61</f>
        <v>0.178069301667845</v>
      </c>
      <c r="G62" s="20" t="n">
        <f aca="false">G60/G61</f>
        <v>-0.00222414531505313</v>
      </c>
    </row>
    <row r="63" customFormat="false" ht="15" hidden="false" customHeight="false" outlineLevel="0" collapsed="false">
      <c r="A63" s="2" t="s">
        <v>1767</v>
      </c>
      <c r="B63" s="2" t="s">
        <v>1768</v>
      </c>
      <c r="C63" s="2" t="s">
        <v>1760</v>
      </c>
      <c r="D63" s="16" t="n">
        <v>0</v>
      </c>
      <c r="E63" s="17" t="n">
        <f aca="false">MAX(0,E61-E60)</f>
        <v>325731.222857143</v>
      </c>
      <c r="F63" s="17" t="n">
        <f aca="false">MAX(0,F61-F60)</f>
        <v>1046417.96</v>
      </c>
      <c r="G63" s="17" t="n">
        <f aca="false">MAX(0,G61-G60)</f>
        <v>2162932.37</v>
      </c>
    </row>
    <row r="64" customFormat="false" ht="15" hidden="false" customHeight="false" outlineLevel="0" collapsed="false">
      <c r="A64" s="2" t="s">
        <v>1769</v>
      </c>
      <c r="B64" s="2" t="s">
        <v>1770</v>
      </c>
      <c r="C64" s="2" t="s">
        <v>1760</v>
      </c>
      <c r="D64" s="16" t="n">
        <v>0</v>
      </c>
      <c r="E64" s="17" t="n">
        <f aca="false">E63/dot_taux_net_fav</f>
        <v>14476943.2380952</v>
      </c>
      <c r="F64" s="17" t="n">
        <f aca="false">F63/dot_taux_net</f>
        <v>59795312</v>
      </c>
      <c r="G64" s="17" t="n">
        <f aca="false">G63/dot_taux_net_def</f>
        <v>173034589.6</v>
      </c>
    </row>
    <row r="65" customFormat="false" ht="15" hidden="false" customHeight="false" outlineLevel="0" collapsed="false">
      <c r="A65" s="2" t="s">
        <v>1771</v>
      </c>
      <c r="B65" s="2" t="s">
        <v>1772</v>
      </c>
      <c r="C65" s="2" t="s">
        <v>1760</v>
      </c>
      <c r="D65" s="16" t="n">
        <v>0</v>
      </c>
      <c r="E65" s="17" t="n">
        <f aca="false">E63/ent_conversion_fav</f>
        <v>814328.057142857</v>
      </c>
      <c r="F65" s="17" t="n">
        <f aca="false">F63/ent_conversion</f>
        <v>2947656.22535211</v>
      </c>
      <c r="G65" s="17" t="n">
        <f aca="false">G63/ent_conversion_def</f>
        <v>6554340.51515152</v>
      </c>
    </row>
    <row r="66" customFormat="false" ht="15" hidden="false" customHeight="false" outlineLevel="0" collapsed="false">
      <c r="A66" s="2" t="s">
        <v>1773</v>
      </c>
      <c r="B66" s="2" t="s">
        <v>1774</v>
      </c>
      <c r="C66" s="2" t="s">
        <v>1760</v>
      </c>
      <c r="D66" s="16" t="n">
        <v>0</v>
      </c>
      <c r="E66" s="17" t="n">
        <f aca="false">cfg_M7_EVT_fav*mot_evt_inv_fav+cfg_M7_GITE_fav*mot_gite_inv_fav+cfg_M7_LOG_fav*mot_log_inv_fav+cfg_M7_STOCK_fav*stock_capex_fav+cfg_M7_AUTO_fav*auto_capex_fav+cfg_M7_HOTEL_fav*mot_hot_inv_fav+cfg_M7_LUX_fav*lux_capex_fav</f>
        <v>0</v>
      </c>
      <c r="F66" s="17" t="n">
        <f aca="false">cfg_M7_EVT*mot_evt_inv+cfg_M7_GITE*mot_gite_inv+cfg_M7_LOG*mot_log_inv+cfg_M7_STOCK*stock_capex+cfg_M7_AUTO*auto_capex+cfg_M7_HOTEL*mot_hot_inv+cfg_M7_LUX*lux_capex</f>
        <v>0</v>
      </c>
      <c r="G66" s="17" t="n">
        <f aca="false">cfg_M7_EVT_def*mot_evt_inv_def+cfg_M7_GITE_def*mot_gite_inv_def+cfg_M7_LOG_def*mot_log_inv_def+cfg_M7_STOCK_def*stock_capex_def+cfg_M7_AUTO_def*auto_capex_def+cfg_M7_HOTEL_def*mot_hot_inv_def+cfg_M7_LUX_def*lux_capex_def</f>
        <v>0</v>
      </c>
    </row>
    <row r="67" customFormat="false" ht="15" hidden="false" customHeight="false" outlineLevel="0" collapsed="false">
      <c r="A67" s="2" t="s">
        <v>1775</v>
      </c>
      <c r="B67" s="2" t="s">
        <v>1776</v>
      </c>
      <c r="C67" s="2" t="s">
        <v>1760</v>
      </c>
      <c r="D67" s="16" t="n">
        <v>0</v>
      </c>
      <c r="E67" s="20" t="n">
        <f aca="false">IF(E59&gt;0,(cfg_M7_EQ_STD_fav*mot_eq_std_cn_fav+cfg_M7_EQ_HDG_fav*mot_eq_hdg_cn_fav+cfg_M7_EQ_PRO_fav*mot_eq_pro_cn_fav+cfg_M7_EQ_RET_fav*mot_eq_ret_cn_fav+cfg_M7_REPRO_fav*mot_repro_cn_fav+cfg_M7_LOG_fav*mot_log_cn_fav+cfg_M7_STOCK_fav*mot_stock_cn_fav+cfg_M7_AUTO_fav*mot_auto_cn_fav+cfg_M7_PV_fav*mot_pv_cn_fav+cfg_M7_BOIS_fav*mot_bois_cn_fav+cfg_M7_HOTEL_fav*mot_hot_cn_fav+cfg_M7_ANC_fav*mot_anc_cn_fav)/E59,0)</f>
        <v>1</v>
      </c>
      <c r="F67" s="20" t="n">
        <f aca="false">IF(F59&gt;0,(cfg_M7_EQ_STD*mot_eq_std_cn+cfg_M7_EQ_HDG*mot_eq_hdg_cn+cfg_M7_EQ_PRO*mot_eq_pro_cn+cfg_M7_EQ_RET*mot_eq_ret_cn+cfg_M7_REPRO*mot_repro_cn+cfg_M7_LOG*mot_log_cn+cfg_M7_STOCK*mot_stock_cn+cfg_M7_AUTO*mot_auto_cn+cfg_M7_PV*mot_pv_cn+cfg_M7_BOIS*mot_bois_cn+cfg_M7_HOTEL*mot_hot_cn+cfg_M7_ANC*mot_anc_cn)/F59,0)</f>
        <v>1</v>
      </c>
      <c r="G67" s="20" t="n">
        <f aca="false">IF(G59&gt;0,(cfg_M7_EQ_STD_def*mot_eq_std_cn_def+cfg_M7_EQ_HDG_def*mot_eq_hdg_cn_def+cfg_M7_EQ_PRO_def*mot_eq_pro_cn_def+cfg_M7_EQ_RET_def*mot_eq_ret_cn_def+cfg_M7_REPRO_def*mot_repro_cn_def+cfg_M7_LOG_def*mot_log_cn_def+cfg_M7_STOCK_def*mot_stock_cn_def+cfg_M7_AUTO_def*mot_auto_cn_def+cfg_M7_PV_def*mot_pv_cn_def+cfg_M7_BOIS_def*mot_bois_cn_def+cfg_M7_HOTEL_def*mot_hot_cn_def+cfg_M7_ANC_def*mot_anc_cn_def)/G59,0)</f>
        <v>0</v>
      </c>
    </row>
    <row r="68" customFormat="false" ht="15" hidden="false" customHeight="false" outlineLevel="0" collapsed="false">
      <c r="A68" s="2" t="s">
        <v>1777</v>
      </c>
      <c r="B68" s="2" t="s">
        <v>1778</v>
      </c>
      <c r="C68" s="2" t="s">
        <v>1779</v>
      </c>
      <c r="D68" s="16" t="n">
        <v>0</v>
      </c>
      <c r="E68" s="17" t="n">
        <f aca="false">cfg_M8_EQ_STD_fav*mot_eq_std_cn_fav+cfg_M8_EQ_HDG_fav*mot_eq_hdg_cn_fav+cfg_M8_EQ_PRO_fav*mot_eq_pro_cn_fav+cfg_M8_EQ_RET_fav*mot_eq_ret_cn_fav+cfg_M8_REPRO_fav*mot_repro_cn_fav+cfg_M8_EVT_fav*mot_evt_cn_fav+cfg_M8_TOURN_fav*mot_tourn_cn_fav+cfg_M8_SEMJ_fav*mot_semj_cn_fav+cfg_M8_GITE_fav*mot_gite_cn_fav+cfg_M8_LOG_fav*mot_log_cn_fav+cfg_M8_STOCK_fav*mot_stock_cn_fav+cfg_M8_AUTO_fav*mot_auto_cn_fav+cfg_M8_PV_fav*mot_pv_cn_fav+cfg_M8_BOIS_fav*mot_bois_cn_fav+cfg_M8_HOTEL_fav*mot_hot_cn_fav+cfg_M8_ANC_fav*mot_anc_cn_fav+cfg_M8_LUX_fav*mot_lux_cn_fav</f>
        <v>386875.93</v>
      </c>
      <c r="F68" s="17" t="n">
        <f aca="false">cfg_M8_EQ_STD*mot_eq_std_cn+cfg_M8_EQ_HDG*mot_eq_hdg_cn+cfg_M8_EQ_PRO*mot_eq_pro_cn+cfg_M8_EQ_RET*mot_eq_ret_cn+cfg_M8_REPRO*mot_repro_cn+cfg_M8_EVT*mot_evt_cn+cfg_M8_TOURN*mot_tourn_cn+cfg_M8_SEMJ*mot_semj_cn+cfg_M8_GITE*mot_gite_cn+cfg_M8_LOG*mot_log_cn+cfg_M8_STOCK*mot_stock_cn+cfg_M8_AUTO*mot_auto_cn+cfg_M8_PV*mot_pv_cn+cfg_M8_BOIS*mot_bois_cn+cfg_M8_HOTEL*mot_hot_cn+cfg_M8_ANC*mot_anc_cn+cfg_M8_LUX*mot_lux_cn</f>
        <v>110074</v>
      </c>
      <c r="G68" s="17" t="n">
        <f aca="false">cfg_M8_EQ_STD_def*mot_eq_std_cn_def+cfg_M8_EQ_HDG_def*mot_eq_hdg_cn_def+cfg_M8_EQ_PRO_def*mot_eq_pro_cn_def+cfg_M8_EQ_RET_def*mot_eq_ret_cn_def+cfg_M8_REPRO_def*mot_repro_cn_def+cfg_M8_EVT_def*mot_evt_cn_def+cfg_M8_TOURN_def*mot_tourn_cn_def+cfg_M8_SEMJ_def*mot_semj_cn_def+cfg_M8_GITE_def*mot_gite_cn_def+cfg_M8_LOG_def*mot_log_cn_def+cfg_M8_STOCK_def*mot_stock_cn_def+cfg_M8_AUTO_def*mot_auto_cn_def+cfg_M8_PV_def*mot_pv_cn_def+cfg_M8_BOIS_def*mot_bois_cn_def+cfg_M8_HOTEL_def*mot_hot_cn_def+cfg_M8_ANC_def*mot_anc_cn_def+cfg_M8_LUX_def*mot_lux_cn_def</f>
        <v>-8219.25</v>
      </c>
    </row>
    <row r="69" customFormat="false" ht="15" hidden="false" customHeight="false" outlineLevel="0" collapsed="false">
      <c r="A69" s="2" t="s">
        <v>1780</v>
      </c>
      <c r="B69" s="2" t="s">
        <v>1781</v>
      </c>
      <c r="C69" s="2" t="s">
        <v>1779</v>
      </c>
      <c r="D69" s="16" t="n">
        <v>0</v>
      </c>
      <c r="E69" s="17" t="n">
        <f aca="false">IF(E68&gt;0,E68*(1-fuite_fiscale_fav),E68)</f>
        <v>290156.9475</v>
      </c>
      <c r="F69" s="17" t="n">
        <f aca="false">IF(F68&gt;0,F68*(1-fuite_fiscale),F68)</f>
        <v>66044.4</v>
      </c>
      <c r="G69" s="17" t="n">
        <f aca="false">IF(G68&gt;0,G68*(1-fuite_fiscale_def),G68)</f>
        <v>-8219.25</v>
      </c>
    </row>
    <row r="70" customFormat="false" ht="15" hidden="false" customHeight="false" outlineLevel="0" collapsed="false">
      <c r="A70" s="2" t="s">
        <v>1782</v>
      </c>
      <c r="B70" s="2" t="s">
        <v>1783</v>
      </c>
      <c r="C70" s="2" t="s">
        <v>1779</v>
      </c>
      <c r="D70" s="16" t="n">
        <v>0</v>
      </c>
      <c r="E70" s="17" t="n">
        <f aca="false">bud_total_besoin_S2_fav</f>
        <v>787131.222857143</v>
      </c>
      <c r="F70" s="17" t="n">
        <f aca="false">bud_total_besoin_S2</f>
        <v>1273121.885</v>
      </c>
      <c r="G70" s="17" t="n">
        <f aca="false">bud_total_besoin_S2_def</f>
        <v>2158132.37</v>
      </c>
    </row>
    <row r="71" customFormat="false" ht="15" hidden="false" customHeight="false" outlineLevel="0" collapsed="false">
      <c r="A71" s="2" t="s">
        <v>1784</v>
      </c>
      <c r="B71" s="2" t="s">
        <v>1785</v>
      </c>
      <c r="C71" s="2" t="s">
        <v>1779</v>
      </c>
      <c r="D71" s="16" t="n">
        <v>0</v>
      </c>
      <c r="E71" s="20" t="n">
        <f aca="false">E69/E70</f>
        <v>0.36862588990789</v>
      </c>
      <c r="F71" s="20" t="n">
        <f aca="false">F69/F70</f>
        <v>0.0518759443052069</v>
      </c>
      <c r="G71" s="20" t="n">
        <f aca="false">G69/G70</f>
        <v>-0.003808501329323</v>
      </c>
    </row>
    <row r="72" customFormat="false" ht="15" hidden="false" customHeight="false" outlineLevel="0" collapsed="false">
      <c r="A72" s="2" t="s">
        <v>1786</v>
      </c>
      <c r="B72" s="2" t="s">
        <v>1787</v>
      </c>
      <c r="C72" s="2" t="s">
        <v>1779</v>
      </c>
      <c r="D72" s="16" t="n">
        <v>0</v>
      </c>
      <c r="E72" s="17" t="n">
        <f aca="false">MAX(0,E70-E69)</f>
        <v>496974.275357143</v>
      </c>
      <c r="F72" s="17" t="n">
        <f aca="false">MAX(0,F70-F69)</f>
        <v>1207077.485</v>
      </c>
      <c r="G72" s="17" t="n">
        <f aca="false">MAX(0,G70-G69)</f>
        <v>2166351.62</v>
      </c>
    </row>
    <row r="73" customFormat="false" ht="15" hidden="false" customHeight="false" outlineLevel="0" collapsed="false">
      <c r="A73" s="2" t="s">
        <v>1788</v>
      </c>
      <c r="B73" s="2" t="s">
        <v>1789</v>
      </c>
      <c r="C73" s="2" t="s">
        <v>1779</v>
      </c>
      <c r="D73" s="16" t="n">
        <v>0</v>
      </c>
      <c r="E73" s="17" t="n">
        <f aca="false">E72/dot_taux_net_fav</f>
        <v>22087745.5714286</v>
      </c>
      <c r="F73" s="17" t="n">
        <f aca="false">F72/dot_taux_net</f>
        <v>68975856.2857143</v>
      </c>
      <c r="G73" s="17" t="n">
        <f aca="false">G72/dot_taux_net_def</f>
        <v>173308129.6</v>
      </c>
    </row>
    <row r="74" customFormat="false" ht="15" hidden="false" customHeight="false" outlineLevel="0" collapsed="false">
      <c r="A74" s="2" t="s">
        <v>1790</v>
      </c>
      <c r="B74" s="2" t="s">
        <v>1791</v>
      </c>
      <c r="C74" s="2" t="s">
        <v>1779</v>
      </c>
      <c r="D74" s="16" t="n">
        <v>0</v>
      </c>
      <c r="E74" s="17" t="n">
        <f aca="false">E72/ent_conversion_fav</f>
        <v>1242435.68839286</v>
      </c>
      <c r="F74" s="17" t="n">
        <f aca="false">F72/ent_conversion</f>
        <v>3400218.26760563</v>
      </c>
      <c r="G74" s="17" t="n">
        <f aca="false">G72/ent_conversion_def</f>
        <v>6564701.87878788</v>
      </c>
    </row>
    <row r="75" customFormat="false" ht="15" hidden="false" customHeight="false" outlineLevel="0" collapsed="false">
      <c r="A75" s="2" t="s">
        <v>1792</v>
      </c>
      <c r="B75" s="2" t="s">
        <v>1793</v>
      </c>
      <c r="C75" s="2" t="s">
        <v>1779</v>
      </c>
      <c r="D75" s="16" t="n">
        <v>0</v>
      </c>
      <c r="E75" s="17" t="n">
        <f aca="false">cfg_M8_EVT_fav*mot_evt_inv_fav+cfg_M8_GITE_fav*mot_gite_inv_fav+cfg_M8_LOG_fav*mot_log_inv_fav+cfg_M8_STOCK_fav*stock_capex_fav+cfg_M8_AUTO_fav*auto_capex_fav+cfg_M8_HOTEL_fav*mot_hot_inv_fav+cfg_M8_LUX_fav*lux_capex_fav</f>
        <v>1400000</v>
      </c>
      <c r="F75" s="17" t="n">
        <f aca="false">cfg_M8_EVT*mot_evt_inv+cfg_M8_GITE*mot_gite_inv+cfg_M8_LOG*mot_log_inv+cfg_M8_STOCK*stock_capex+cfg_M8_AUTO*auto_capex+cfg_M8_HOTEL*mot_hot_inv+cfg_M8_LUX*lux_capex</f>
        <v>1400000</v>
      </c>
      <c r="G75" s="17" t="n">
        <f aca="false">cfg_M8_EVT_def*mot_evt_inv_def+cfg_M8_GITE_def*mot_gite_inv_def+cfg_M8_LOG_def*mot_log_inv_def+cfg_M8_STOCK_def*stock_capex_def+cfg_M8_AUTO_def*auto_capex_def+cfg_M8_HOTEL_def*mot_hot_inv_def+cfg_M8_LUX_def*lux_capex_def</f>
        <v>1500000</v>
      </c>
    </row>
    <row r="76" customFormat="false" ht="15" hidden="false" customHeight="false" outlineLevel="0" collapsed="false">
      <c r="A76" s="2" t="s">
        <v>1794</v>
      </c>
      <c r="B76" s="2" t="s">
        <v>1795</v>
      </c>
      <c r="C76" s="2" t="s">
        <v>1779</v>
      </c>
      <c r="D76" s="16" t="n">
        <v>0</v>
      </c>
      <c r="E76" s="20" t="n">
        <f aca="false">IF(E68&gt;0,(cfg_M8_EQ_STD_fav*mot_eq_std_cn_fav+cfg_M8_EQ_HDG_fav*mot_eq_hdg_cn_fav+cfg_M8_EQ_PRO_fav*mot_eq_pro_cn_fav+cfg_M8_EQ_RET_fav*mot_eq_ret_cn_fav+cfg_M8_REPRO_fav*mot_repro_cn_fav+cfg_M8_LOG_fav*mot_log_cn_fav+cfg_M8_STOCK_fav*mot_stock_cn_fav+cfg_M8_AUTO_fav*mot_auto_cn_fav+cfg_M8_PV_fav*mot_pv_cn_fav+cfg_M8_BOIS_fav*mot_bois_cn_fav+cfg_M8_HOTEL_fav*mot_hot_cn_fav+cfg_M8_ANC_fav*mot_anc_cn_fav)/E68,0)</f>
        <v>0.457061078987261</v>
      </c>
      <c r="F76" s="20" t="n">
        <f aca="false">IF(F68&gt;0,(cfg_M8_EQ_STD*mot_eq_std_cn+cfg_M8_EQ_HDG*mot_eq_hdg_cn+cfg_M8_EQ_PRO*mot_eq_pro_cn+cfg_M8_EQ_RET*mot_eq_ret_cn+cfg_M8_REPRO*mot_repro_cn+cfg_M8_LOG*mot_log_cn+cfg_M8_STOCK*mot_stock_cn+cfg_M8_AUTO*mot_auto_cn+cfg_M8_PV*mot_pv_cn+cfg_M8_BOIS*mot_bois_cn+cfg_M8_HOTEL*mot_hot_cn+cfg_M8_ANC*mot_anc_cn)/F68,0)</f>
        <v>0.589821392881153</v>
      </c>
      <c r="G76" s="20" t="n">
        <f aca="false">IF(G68&gt;0,(cfg_M8_EQ_STD_def*mot_eq_std_cn_def+cfg_M8_EQ_HDG_def*mot_eq_hdg_cn_def+cfg_M8_EQ_PRO_def*mot_eq_pro_cn_def+cfg_M8_EQ_RET_def*mot_eq_ret_cn_def+cfg_M8_REPRO_def*mot_repro_cn_def+cfg_M8_LOG_def*mot_log_cn_def+cfg_M8_STOCK_def*mot_stock_cn_def+cfg_M8_AUTO_def*mot_auto_cn_def+cfg_M8_PV_def*mot_pv_cn_def+cfg_M8_BOIS_def*mot_bois_cn_def+cfg_M8_HOTEL_def*mot_hot_cn_def+cfg_M8_ANC_def*mot_anc_cn_def)/G68,0)</f>
        <v>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1796</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1</v>
      </c>
      <c r="G12" s="22" t="n">
        <f aca="false">pilotage_actif*IF(F45&lt;flex_seuil*MAX(F18,bud_total_besoin_S2),1,0)</f>
        <v>1</v>
      </c>
      <c r="H12" s="22" t="n">
        <f aca="false">pilotage_actif*IF(G45&lt;flex_seuil*MAX(G18,bud_total_besoin_S2),1,0)</f>
        <v>1</v>
      </c>
      <c r="I12" s="22" t="n">
        <f aca="false">pilotage_actif*IF(H45&lt;flex_seuil*MAX(H18,bud_total_besoin_S2),1,0)</f>
        <v>1</v>
      </c>
      <c r="J12" s="22" t="n">
        <f aca="false">pilotage_actif*IF(I45&lt;flex_seuil*MAX(I18,bud_total_besoin_S2),1,0)</f>
        <v>1</v>
      </c>
      <c r="K12" s="22" t="n">
        <f aca="false">pilotage_actif*IF(J45&lt;flex_seuil*MAX(J18,bud_total_besoin_S2),1,0)</f>
        <v>1</v>
      </c>
      <c r="L12" s="22" t="n">
        <f aca="false">pilotage_actif*IF(K45&lt;flex_seuil*MAX(K18,bud_total_besoin_S2),1,0)</f>
        <v>1</v>
      </c>
      <c r="M12" s="22" t="n">
        <f aca="false">pilotage_actif*IF(L45&lt;flex_seuil*MAX(L18,bud_total_besoin_S2),1,0)</f>
        <v>1</v>
      </c>
      <c r="N12" s="22" t="n">
        <f aca="false">pilotage_actif*IF(M45&lt;flex_seuil*MAX(M18,bud_total_besoin_S2),1,0)</f>
        <v>1</v>
      </c>
      <c r="O12" s="22" t="n">
        <f aca="false">pilotage_actif*IF(N45&lt;flex_seuil*MAX(N18,bud_total_besoin_S2),1,0)</f>
        <v>1</v>
      </c>
      <c r="P12" s="22" t="n">
        <f aca="false">pilotage_actif*IF(O45&lt;flex_seuil*MAX(O18,bud_total_besoin_S2),1,0)</f>
        <v>1</v>
      </c>
      <c r="Q12" s="22" t="n">
        <f aca="false">pilotage_actif*IF(P45&lt;flex_seuil*MAX(P18,bud_total_besoin_S2),1,0)</f>
        <v>1</v>
      </c>
      <c r="R12" s="22" t="n">
        <f aca="false">pilotage_actif*IF(Q45&lt;flex_seuil*MAX(Q18,bud_total_besoin_S2),1,0)</f>
        <v>1</v>
      </c>
      <c r="S12" s="22" t="n">
        <f aca="false">pilotage_actif*IF(R45&lt;flex_seuil*MAX(R18,bud_total_besoin_S2),1,0)</f>
        <v>1</v>
      </c>
      <c r="T12" s="22" t="n">
        <f aca="false">pilotage_actif*IF(S45&lt;flex_seuil*MAX(S18,bud_total_besoin_S2),1,0)</f>
        <v>1</v>
      </c>
      <c r="U12" s="22" t="n">
        <f aca="false">pilotage_actif*IF(T45&lt;flex_seuil*MAX(T18,bud_total_besoin_S2),1,0)</f>
        <v>1</v>
      </c>
      <c r="V12" s="22" t="n">
        <f aca="false">pilotage_actif*IF(U45&lt;flex_seuil*MAX(U18,bud_total_besoin_S2),1,0)</f>
        <v>1</v>
      </c>
      <c r="W12" s="22" t="n">
        <f aca="false">pilotage_actif*IF(V45&lt;flex_seuil*MAX(V18,bud_total_besoin_S2),1,0)</f>
        <v>1</v>
      </c>
      <c r="X12" s="22" t="n">
        <f aca="false">pilotage_actif*IF(W45&lt;flex_seuil*MAX(W18,bud_total_besoin_S2),1,0)</f>
        <v>1</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980295.810976809</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1304125.93578626</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1431918.68418994</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1501829.92506139</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1555334.62557173</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420126.776132918</v>
      </c>
      <c r="I22" s="17" t="n">
        <f aca="false">MAX(0,H22+I17-I19)</f>
        <v>776821.428348741</v>
      </c>
      <c r="J22" s="17" t="n">
        <f aca="false">MAX(0,I22+J17-J19)</f>
        <v>1136191.29045618</v>
      </c>
      <c r="K22" s="17" t="n">
        <f aca="false">MAX(0,J22+K17-K19)</f>
        <v>1498256.42652943</v>
      </c>
      <c r="L22" s="17" t="n">
        <f aca="false">MAX(0,K22+L17-L19)</f>
        <v>558911.115336968</v>
      </c>
      <c r="M22" s="17" t="n">
        <f aca="false">MAX(0,L22+M17-M19)</f>
        <v>926427.594615219</v>
      </c>
      <c r="N22" s="17" t="n">
        <f aca="false">MAX(0,M22+N17-N19)</f>
        <v>1296700.44748806</v>
      </c>
      <c r="O22" s="17" t="n">
        <f aca="false">MAX(0,N22+O17-O19)</f>
        <v>1669750.34675744</v>
      </c>
      <c r="P22" s="17" t="n">
        <f aca="false">MAX(0,O22+P17-P19)</f>
        <v>613679.436081403</v>
      </c>
      <c r="Q22" s="17" t="n">
        <f aca="false">MAX(0,P22+Q17-Q19)</f>
        <v>992346.067896662</v>
      </c>
      <c r="R22" s="17" t="n">
        <f aca="false">MAX(0,Q22+R17-R19)</f>
        <v>1373852.69945053</v>
      </c>
      <c r="S22" s="17" t="n">
        <f aca="false">MAX(0,R22+S17-S19)</f>
        <v>1758220.63074106</v>
      </c>
      <c r="T22" s="17" t="n">
        <f aca="false">MAX(0,S22+T17-T19)</f>
        <v>643641.39645488</v>
      </c>
      <c r="U22" s="17" t="n">
        <f aca="false">MAX(0,T22+U17-U19)</f>
        <v>1033796.4674109</v>
      </c>
      <c r="V22" s="17" t="n">
        <f aca="false">MAX(0,U22+V17-V19)</f>
        <v>1426877.70139909</v>
      </c>
      <c r="W22" s="17" t="n">
        <f aca="false">MAX(0,V22+W17-W19)</f>
        <v>1822907.04464219</v>
      </c>
      <c r="X22" s="17" t="n">
        <f aca="false">MAX(0,W22+X17-X19)</f>
        <v>666571.982387885</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1864</v>
      </c>
      <c r="B26" s="2" t="s">
        <v>1865</v>
      </c>
      <c r="C26" s="2" t="s">
        <v>1839</v>
      </c>
      <c r="E26" s="17" t="n">
        <f aca="false">(S2_ech_eq_ret*mot_eq_ret_cn)*E24*E9*IF(E$3&gt;=st_central_debut_mult,st_central_mult_B,1)*IF(E11=1,1-0.15,IF(E11=2,1-0.05,1))</f>
        <v>4039.2</v>
      </c>
      <c r="F26" s="17" t="n">
        <f aca="false">(S2_ech_eq_ret*mot_eq_ret_cn)*F24*F9*IF(F$3&gt;=st_central_debut_mult,st_central_mult_B,1)*IF(F11=1,1-0.15,IF(F11=2,1-0.05,1))</f>
        <v>7573.5</v>
      </c>
      <c r="G26" s="17" t="n">
        <f aca="false">(S2_ech_eq_ret*mot_eq_ret_cn)*G24*G9*IF(G$3&gt;=st_central_debut_mult,st_central_mult_B,1)*IF(G11=1,1-0.15,IF(G11=2,1-0.05,1))</f>
        <v>10098</v>
      </c>
      <c r="H26" s="17" t="n">
        <f aca="false">(S2_ech_eq_ret*mot_eq_ret_cn)*H24*H9*IF(H$3&gt;=st_central_debut_mult,st_central_mult_B,1)*IF(H11=1,1-0.15,IF(H11=2,1-0.05,1))</f>
        <v>10098</v>
      </c>
      <c r="I26" s="17" t="n">
        <f aca="false">(S2_ech_eq_ret*mot_eq_ret_cn)*I24*I9*IF(I$3&gt;=st_central_debut_mult,st_central_mult_B,1)*IF(I11=1,1-0.15,IF(I11=2,1-0.05,1))</f>
        <v>10098</v>
      </c>
      <c r="J26" s="17" t="n">
        <f aca="false">(S2_ech_eq_ret*mot_eq_ret_cn)*J24*J9*IF(J$3&gt;=st_central_debut_mult,st_central_mult_B,1)*IF(J11=1,1-0.15,IF(J11=2,1-0.05,1))</f>
        <v>10098</v>
      </c>
      <c r="K26" s="17" t="n">
        <f aca="false">(S2_ech_eq_ret*mot_eq_ret_cn)*K24*K9*IF(K$3&gt;=st_central_debut_mult,st_central_mult_B,1)*IF(K11=1,1-0.15,IF(K11=2,1-0.05,1))</f>
        <v>10098</v>
      </c>
      <c r="L26" s="17" t="n">
        <f aca="false">(S2_ech_eq_ret*mot_eq_ret_cn)*L24*L9*IF(L$3&gt;=st_central_debut_mult,st_central_mult_B,1)*IF(L11=1,1-0.15,IF(L11=2,1-0.05,1))</f>
        <v>10098</v>
      </c>
      <c r="M26" s="17" t="n">
        <f aca="false">(S2_ech_eq_ret*mot_eq_ret_cn)*M24*M9*IF(M$3&gt;=st_central_debut_mult,st_central_mult_B,1)*IF(M11=1,1-0.15,IF(M11=2,1-0.05,1))</f>
        <v>10098</v>
      </c>
      <c r="N26" s="17" t="n">
        <f aca="false">(S2_ech_eq_ret*mot_eq_ret_cn)*N24*N9*IF(N$3&gt;=st_central_debut_mult,st_central_mult_B,1)*IF(N11=1,1-0.15,IF(N11=2,1-0.05,1))</f>
        <v>10098</v>
      </c>
      <c r="O26" s="17" t="n">
        <f aca="false">(S2_ech_eq_ret*mot_eq_ret_cn)*O24*O9*IF(O$3&gt;=st_central_debut_mult,st_central_mult_B,1)*IF(O11=1,1-0.15,IF(O11=2,1-0.05,1))</f>
        <v>10098</v>
      </c>
      <c r="P26" s="17" t="n">
        <f aca="false">(S2_ech_eq_ret*mot_eq_ret_cn)*P24*P9*IF(P$3&gt;=st_central_debut_mult,st_central_mult_B,1)*IF(P11=1,1-0.15,IF(P11=2,1-0.05,1))</f>
        <v>10098</v>
      </c>
      <c r="Q26" s="17" t="n">
        <f aca="false">(S2_ech_eq_ret*mot_eq_ret_cn)*Q24*Q9*IF(Q$3&gt;=st_central_debut_mult,st_central_mult_B,1)*IF(Q11=1,1-0.15,IF(Q11=2,1-0.05,1))</f>
        <v>10098</v>
      </c>
      <c r="R26" s="17" t="n">
        <f aca="false">(S2_ech_eq_ret*mot_eq_ret_cn)*R24*R9*IF(R$3&gt;=st_central_debut_mult,st_central_mult_B,1)*IF(R11=1,1-0.15,IF(R11=2,1-0.05,1))</f>
        <v>10098</v>
      </c>
      <c r="S26" s="17" t="n">
        <f aca="false">(S2_ech_eq_ret*mot_eq_ret_cn)*S24*S9*IF(S$3&gt;=st_central_debut_mult,st_central_mult_B,1)*IF(S11=1,1-0.15,IF(S11=2,1-0.05,1))</f>
        <v>10098</v>
      </c>
      <c r="T26" s="17" t="n">
        <f aca="false">(S2_ech_eq_ret*mot_eq_ret_cn)*T24*T9*IF(T$3&gt;=st_central_debut_mult,st_central_mult_B,1)*IF(T11=1,1-0.15,IF(T11=2,1-0.05,1))</f>
        <v>10098</v>
      </c>
      <c r="U26" s="17" t="n">
        <f aca="false">(S2_ech_eq_ret*mot_eq_ret_cn)*U24*U9*IF(U$3&gt;=st_central_debut_mult,st_central_mult_B,1)*IF(U11=1,1-0.15,IF(U11=2,1-0.05,1))</f>
        <v>10098</v>
      </c>
      <c r="V26" s="17" t="n">
        <f aca="false">(S2_ech_eq_ret*mot_eq_ret_cn)*V24*V9*IF(V$3&gt;=st_central_debut_mult,st_central_mult_B,1)*IF(V11=1,1-0.15,IF(V11=2,1-0.05,1))</f>
        <v>10098</v>
      </c>
      <c r="W26" s="17" t="n">
        <f aca="false">(S2_ech_eq_ret*mot_eq_ret_cn)*W24*W9*IF(W$3&gt;=st_central_debut_mult,st_central_mult_B,1)*IF(W11=1,1-0.15,IF(W11=2,1-0.05,1))</f>
        <v>10098</v>
      </c>
      <c r="X26" s="17" t="n">
        <f aca="false">(S2_ech_eq_ret*mot_eq_ret_cn)*X24*X9*IF(X$3&gt;=st_central_debut_mult,st_central_mult_B,1)*IF(X11=1,1-0.15,IF(X11=2,1-0.05,1))</f>
        <v>10098</v>
      </c>
    </row>
    <row r="27" customFormat="false" ht="15" hidden="false" customHeight="false" outlineLevel="0" collapsed="false">
      <c r="A27" s="2" t="s">
        <v>1866</v>
      </c>
      <c r="B27" s="2" t="s">
        <v>1867</v>
      </c>
      <c r="C27" s="2" t="s">
        <v>1839</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127312.1885</v>
      </c>
      <c r="G34" s="17" t="n">
        <f aca="false">G12*flex_taux*bud_total_besoin_S2</f>
        <v>127312.1885</v>
      </c>
      <c r="H34" s="17" t="n">
        <f aca="false">H12*flex_taux*bud_total_besoin_S2</f>
        <v>127312.1885</v>
      </c>
      <c r="I34" s="17" t="n">
        <f aca="false">I12*flex_taux*bud_total_besoin_S2</f>
        <v>127312.1885</v>
      </c>
      <c r="J34" s="17" t="n">
        <f aca="false">J12*flex_taux*bud_total_besoin_S2</f>
        <v>127312.1885</v>
      </c>
      <c r="K34" s="17" t="n">
        <f aca="false">K12*flex_taux*bud_total_besoin_S2</f>
        <v>127312.1885</v>
      </c>
      <c r="L34" s="17" t="n">
        <f aca="false">L12*flex_taux*bud_total_besoin_S2</f>
        <v>127312.1885</v>
      </c>
      <c r="M34" s="17" t="n">
        <f aca="false">M12*flex_taux*bud_total_besoin_S2</f>
        <v>127312.1885</v>
      </c>
      <c r="N34" s="17" t="n">
        <f aca="false">N12*flex_taux*bud_total_besoin_S2</f>
        <v>127312.1885</v>
      </c>
      <c r="O34" s="17" t="n">
        <f aca="false">O12*flex_taux*bud_total_besoin_S2</f>
        <v>127312.1885</v>
      </c>
      <c r="P34" s="17" t="n">
        <f aca="false">P12*flex_taux*bud_total_besoin_S2</f>
        <v>127312.1885</v>
      </c>
      <c r="Q34" s="17" t="n">
        <f aca="false">Q12*flex_taux*bud_total_besoin_S2</f>
        <v>127312.1885</v>
      </c>
      <c r="R34" s="17" t="n">
        <f aca="false">R12*flex_taux*bud_total_besoin_S2</f>
        <v>127312.1885</v>
      </c>
      <c r="S34" s="17" t="n">
        <f aca="false">S12*flex_taux*bud_total_besoin_S2</f>
        <v>127312.1885</v>
      </c>
      <c r="T34" s="17" t="n">
        <f aca="false">T12*flex_taux*bud_total_besoin_S2</f>
        <v>127312.1885</v>
      </c>
      <c r="U34" s="17" t="n">
        <f aca="false">U12*flex_taux*bud_total_besoin_S2</f>
        <v>127312.1885</v>
      </c>
      <c r="V34" s="17" t="n">
        <f aca="false">V12*flex_taux*bud_total_besoin_S2</f>
        <v>127312.1885</v>
      </c>
      <c r="W34" s="17" t="n">
        <f aca="false">W12*flex_taux*bud_total_besoin_S2</f>
        <v>127312.1885</v>
      </c>
      <c r="X34" s="17" t="n">
        <f aca="false">X12*flex_taux*bud_total_besoin_S2</f>
        <v>127312.1885</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1126916.63805234</v>
      </c>
      <c r="G35" s="17" t="n">
        <f aca="false">G13+G14+G15+G16+G17+G21+G32-G29-G23-G33-G34</f>
        <v>1122884.91033834</v>
      </c>
      <c r="H35" s="17" t="n">
        <f aca="false">H13+H14+H15+H16+H17+H21+H32-H29-H23-H33-H34</f>
        <v>1129551.65869378</v>
      </c>
      <c r="I35" s="17" t="n">
        <f aca="false">I13+I14+I15+I16+I17+I21+I32-I29-I23-I33-I34</f>
        <v>1136286.70831921</v>
      </c>
      <c r="J35" s="17" t="n">
        <f aca="false">J13+J14+J15+J16+J17+J21+J32-J29-J23-J33-J34</f>
        <v>1143090.99987041</v>
      </c>
      <c r="K35" s="17" t="n">
        <f aca="false">K13+K14+K15+K16+K17+K21+K32-K29-K23-K33-K34</f>
        <v>1149965.48974168</v>
      </c>
      <c r="L35" s="17" t="n">
        <f aca="false">L13+L14+L15+L16+L17+L21+L32-L29-L23-L33-L34</f>
        <v>1156911.15035451</v>
      </c>
      <c r="M35" s="17" t="n">
        <f aca="false">M13+M14+M15+M16+M17+M21+M32-M29-M23-M33-M34</f>
        <v>1163928.97045166</v>
      </c>
      <c r="N35" s="17" t="n">
        <f aca="false">N13+N14+N15+N16+N17+N21+N32-N29-N23-N33-N34</f>
        <v>1171019.95539702</v>
      </c>
      <c r="O35" s="17" t="n">
        <f aca="false">O13+O14+O15+O16+O17+O21+O32-O29-O23-O33-O34</f>
        <v>1178185.12748098</v>
      </c>
      <c r="P35" s="17" t="n">
        <f aca="false">P13+P14+P15+P16+P17+P21+P32-P29-P23-P33-P34</f>
        <v>1185425.52623177</v>
      </c>
      <c r="Q35" s="17" t="n">
        <f aca="false">Q13+Q14+Q15+Q16+Q17+Q21+Q32-Q29-Q23-Q33-Q34</f>
        <v>1192742.20873266</v>
      </c>
      <c r="R35" s="17" t="n">
        <f aca="false">R13+R14+R15+R16+R17+R21+R32-R29-R23-R33-R34</f>
        <v>1200136.24994522</v>
      </c>
      <c r="S35" s="17" t="n">
        <f aca="false">S13+S14+S15+S16+S17+S21+S32-S29-S23-S33-S34</f>
        <v>1207608.74303873</v>
      </c>
      <c r="T35" s="17" t="n">
        <f aca="false">T13+T14+T15+T16+T17+T21+T32-T29-T23-T33-T34</f>
        <v>1215160.79972592</v>
      </c>
      <c r="U35" s="17" t="n">
        <f aca="false">U13+U14+U15+U16+U17+U21+U32-U29-U23-U33-U34</f>
        <v>1222793.55060507</v>
      </c>
      <c r="V35" s="17" t="n">
        <f aca="false">V13+V14+V15+V16+V17+V21+V32-V29-V23-V33-V34</f>
        <v>1230508.14550863</v>
      </c>
      <c r="W35" s="17" t="n">
        <f aca="false">W13+W14+W15+W16+W17+W21+W32-W29-W23-W33-W34</f>
        <v>1238305.75385855</v>
      </c>
      <c r="X35" s="17" t="n">
        <f aca="false">X13+X14+X15+X16+X17+X21+X32-X29-X23-X33-X34</f>
        <v>1246187.56502832</v>
      </c>
    </row>
    <row r="36" customFormat="false" ht="15" hidden="false" customHeight="false" outlineLevel="0" collapsed="false">
      <c r="A36" s="2" t="s">
        <v>1884</v>
      </c>
      <c r="B36" s="2" t="s">
        <v>1885</v>
      </c>
      <c r="C36" s="2" t="s">
        <v>1839</v>
      </c>
      <c r="E36" s="17" t="n">
        <f aca="false">IF(AND(E$3&lt;=0,E$3&lt;=st_central_div_fin),0*IF(E11=1,0.5,1),0)</f>
        <v>0</v>
      </c>
      <c r="F36" s="17" t="n">
        <f aca="false">IF(AND(F$3&lt;=0,F$3&lt;=st_central_div_fin),0*IF(F11=1,0.5,1),0)</f>
        <v>0</v>
      </c>
      <c r="G36" s="17" t="n">
        <f aca="false">IF(AND(G$3&lt;=0,G$3&lt;=st_central_div_fin),0*IF(G11=1,0.5,1),0)</f>
        <v>0</v>
      </c>
      <c r="H36" s="17" t="n">
        <f aca="false">IF(AND(H$3&lt;=0,H$3&lt;=st_central_div_fin),0*IF(H11=1,0.5,1),0)</f>
        <v>0</v>
      </c>
      <c r="I36" s="17" t="n">
        <f aca="false">IF(AND(I$3&lt;=0,I$3&lt;=st_central_div_fin),0*IF(I11=1,0.5,1),0)</f>
        <v>0</v>
      </c>
      <c r="J36" s="17" t="n">
        <f aca="false">IF(AND(J$3&lt;=0,J$3&lt;=st_central_div_fin),0*IF(J11=1,0.5,1),0)</f>
        <v>0</v>
      </c>
      <c r="K36" s="17" t="n">
        <f aca="false">IF(AND(K$3&lt;=0,K$3&lt;=st_central_div_fin),0*IF(K11=1,0.5,1),0)</f>
        <v>0</v>
      </c>
      <c r="L36" s="17" t="n">
        <f aca="false">IF(AND(L$3&lt;=0,L$3&lt;=st_central_div_fin),0*IF(L11=1,0.5,1),0)</f>
        <v>0</v>
      </c>
      <c r="M36" s="17" t="n">
        <f aca="false">IF(AND(M$3&lt;=0,M$3&lt;=st_central_div_fin),0*IF(M11=1,0.5,1),0)</f>
        <v>0</v>
      </c>
      <c r="N36" s="17" t="n">
        <f aca="false">IF(AND(N$3&lt;=0,N$3&lt;=st_central_div_fin),0*IF(N11=1,0.5,1),0)</f>
        <v>0</v>
      </c>
      <c r="O36" s="17" t="n">
        <f aca="false">IF(AND(O$3&lt;=0,O$3&lt;=st_central_div_fin),0*IF(O11=1,0.5,1),0)</f>
        <v>0</v>
      </c>
      <c r="P36" s="17" t="n">
        <f aca="false">IF(AND(P$3&lt;=0,P$3&lt;=st_central_div_fin),0*IF(P11=1,0.5,1),0)</f>
        <v>0</v>
      </c>
      <c r="Q36" s="17" t="n">
        <f aca="false">IF(AND(Q$3&lt;=0,Q$3&lt;=st_central_div_fin),0*IF(Q11=1,0.5,1),0)</f>
        <v>0</v>
      </c>
      <c r="R36" s="17" t="n">
        <f aca="false">IF(AND(R$3&lt;=0,R$3&lt;=st_central_div_fin),0*IF(R11=1,0.5,1),0)</f>
        <v>0</v>
      </c>
      <c r="S36" s="17" t="n">
        <f aca="false">IF(AND(S$3&lt;=0,S$3&lt;=st_central_div_fin),0*IF(S11=1,0.5,1),0)</f>
        <v>0</v>
      </c>
      <c r="T36" s="17" t="n">
        <f aca="false">IF(AND(T$3&lt;=0,T$3&lt;=st_central_div_fin),0*IF(T11=1,0.5,1),0)</f>
        <v>0</v>
      </c>
      <c r="U36" s="17" t="n">
        <f aca="false">IF(AND(U$3&lt;=0,U$3&lt;=st_central_div_fin),0*IF(U11=1,0.5,1),0)</f>
        <v>0</v>
      </c>
      <c r="V36" s="17" t="n">
        <f aca="false">IF(AND(V$3&lt;=0,V$3&lt;=st_central_div_fin),0*IF(V11=1,0.5,1),0)</f>
        <v>0</v>
      </c>
      <c r="W36" s="17" t="n">
        <f aca="false">IF(AND(W$3&lt;=0,W$3&lt;=st_central_div_fin),0*IF(W11=1,0.5,1),0)</f>
        <v>0</v>
      </c>
      <c r="X36" s="17" t="n">
        <f aca="false">IF(AND(X$3&lt;=0,X$3&lt;=st_central_div_fin),0*IF(X11=1,0.5,1),0)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dot_taux_net*0</f>
        <v>0</v>
      </c>
      <c r="E38" s="17" t="n">
        <f aca="false">lissage_depense*D38+(1-lissage_depense)*dot_taux_net*MAX(0,D44)</f>
        <v>0</v>
      </c>
      <c r="F38" s="17" t="n">
        <f aca="false">lissage_depense*E38+(1-lissage_depense)*dot_taux_net*MAX(0,E44)</f>
        <v>0</v>
      </c>
      <c r="G38" s="17" t="n">
        <f aca="false">lissage_depense*F38+(1-lissage_depense)*dot_taux_net*MAX(0,F44)</f>
        <v>0</v>
      </c>
      <c r="H38" s="17" t="n">
        <f aca="false">lissage_depense*G38+(1-lissage_depense)*dot_taux_net*MAX(0,G44)</f>
        <v>0</v>
      </c>
      <c r="I38" s="17" t="n">
        <f aca="false">lissage_depense*H38+(1-lissage_depense)*dot_taux_net*MAX(0,H44)</f>
        <v>0</v>
      </c>
      <c r="J38" s="17" t="n">
        <f aca="false">lissage_depense*I38+(1-lissage_depense)*dot_taux_net*MAX(0,I44)</f>
        <v>0</v>
      </c>
      <c r="K38" s="17" t="n">
        <f aca="false">lissage_depense*J38+(1-lissage_depense)*dot_taux_net*MAX(0,J44)</f>
        <v>0</v>
      </c>
      <c r="L38" s="17" t="n">
        <f aca="false">lissage_depense*K38+(1-lissage_depense)*dot_taux_net*MAX(0,K44)</f>
        <v>0</v>
      </c>
      <c r="M38" s="17" t="n">
        <f aca="false">lissage_depense*L38+(1-lissage_depense)*dot_taux_net*MAX(0,L44)</f>
        <v>0</v>
      </c>
      <c r="N38" s="17" t="n">
        <f aca="false">lissage_depense*M38+(1-lissage_depense)*dot_taux_net*MAX(0,M44)</f>
        <v>0</v>
      </c>
      <c r="O38" s="17" t="n">
        <f aca="false">lissage_depense*N38+(1-lissage_depense)*dot_taux_net*MAX(0,N44)</f>
        <v>0</v>
      </c>
      <c r="P38" s="17" t="n">
        <f aca="false">lissage_depense*O38+(1-lissage_depense)*dot_taux_net*MAX(0,O44)</f>
        <v>0</v>
      </c>
      <c r="Q38" s="17" t="n">
        <f aca="false">lissage_depense*P38+(1-lissage_depense)*dot_taux_net*MAX(0,P44)</f>
        <v>0</v>
      </c>
      <c r="R38" s="17" t="n">
        <f aca="false">lissage_depense*Q38+(1-lissage_depense)*dot_taux_net*MAX(0,Q44)</f>
        <v>0</v>
      </c>
      <c r="S38" s="17" t="n">
        <f aca="false">lissage_depense*R38+(1-lissage_depense)*dot_taux_net*MAX(0,R44)</f>
        <v>0</v>
      </c>
      <c r="T38" s="17" t="n">
        <f aca="false">lissage_depense*S38+(1-lissage_depense)*dot_taux_net*MAX(0,S44)</f>
        <v>0</v>
      </c>
      <c r="U38" s="17" t="n">
        <f aca="false">lissage_depense*T38+(1-lissage_depense)*dot_taux_net*MAX(0,T44)</f>
        <v>0</v>
      </c>
      <c r="V38" s="17" t="n">
        <f aca="false">lissage_depense*U38+(1-lissage_depense)*dot_taux_net*MAX(0,U44)</f>
        <v>0</v>
      </c>
      <c r="W38" s="17" t="n">
        <f aca="false">lissage_depense*V38+(1-lissage_depense)*dot_taux_net*MAX(0,V44)</f>
        <v>0</v>
      </c>
      <c r="X38" s="17" t="n">
        <f aca="false">lissage_depense*W38+(1-lissage_depense)*dot_taux_net*MAX(0,W44)</f>
        <v>0</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2373348.91707444</v>
      </c>
      <c r="G40" s="17" t="n">
        <f aca="false">MAX(0,G39-F45*(1+taux_reserve))</f>
        <v>3497999.43675304</v>
      </c>
      <c r="H40" s="17" t="n">
        <f aca="false">MAX(0,H39-G45*(1+taux_reserve))</f>
        <v>4613131.93101102</v>
      </c>
      <c r="I40" s="17" t="n">
        <f aca="false">MAX(0,I39-H45*(1+taux_reserve))</f>
        <v>5729440.43741308</v>
      </c>
      <c r="J40" s="17" t="n">
        <f aca="false">MAX(0,J39-I45*(1+taux_reserve))</f>
        <v>6846988.52265359</v>
      </c>
      <c r="K40" s="17" t="n">
        <f aca="false">MAX(0,K39-J45*(1+taux_reserve))</f>
        <v>7965840.39520577</v>
      </c>
      <c r="L40" s="17" t="n">
        <f aca="false">MAX(0,L39-K45*(1+taux_reserve))</f>
        <v>9086060.91819747</v>
      </c>
      <c r="M40" s="17" t="n">
        <f aca="false">MAX(0,M39-L45*(1+taux_reserve))</f>
        <v>10207715.6225177</v>
      </c>
      <c r="N40" s="17" t="n">
        <f aca="false">MAX(0,N39-M45*(1+taux_reserve))</f>
        <v>11330870.7201586</v>
      </c>
      <c r="O40" s="17" t="n">
        <f aca="false">MAX(0,O39-N45*(1+taux_reserve))</f>
        <v>12455593.1177971</v>
      </c>
      <c r="P40" s="17" t="n">
        <f aca="false">MAX(0,P39-O45*(1+taux_reserve))</f>
        <v>13581950.4306212</v>
      </c>
      <c r="Q40" s="17" t="n">
        <f aca="false">MAX(0,Q39-P45*(1+taux_reserve))</f>
        <v>14710010.9964058</v>
      </c>
      <c r="R40" s="17" t="n">
        <f aca="false">MAX(0,R39-Q45*(1+taux_reserve))</f>
        <v>15839843.8898421</v>
      </c>
      <c r="S40" s="17" t="n">
        <f aca="false">MAX(0,S39-R45*(1+taux_reserve))</f>
        <v>16971518.937126</v>
      </c>
      <c r="T40" s="17" t="n">
        <f aca="false">MAX(0,T39-S45*(1+taux_reserve))</f>
        <v>18105106.7308111</v>
      </c>
      <c r="U40" s="17" t="n">
        <f aca="false">MAX(0,U39-T45*(1+taux_reserve))</f>
        <v>19240678.6449304</v>
      </c>
      <c r="V40" s="17" t="n">
        <f aca="false">MAX(0,V39-U45*(1+taux_reserve))</f>
        <v>20378306.850392</v>
      </c>
      <c r="W40" s="17" t="n">
        <f aca="false">MAX(0,W39-V45*(1+taux_reserve))</f>
        <v>21518064.3306551</v>
      </c>
      <c r="X40" s="17" t="n">
        <f aca="false">MAX(0,X39-W45*(1+taux_reserve))</f>
        <v>22660024.8976906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0</v>
      </c>
      <c r="J41" s="17" t="n">
        <f aca="false">MIN(MAX(0,J35-J36+J40),IF(J12=1,MAX(J38,retrait_urgence*MAX(0,I44)),J38))</f>
        <v>0</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0</v>
      </c>
      <c r="P41" s="17" t="n">
        <f aca="false">MIN(MAX(0,P35-P36+P40),IF(P12=1,MAX(P38,retrait_urgence*MAX(0,O44)),P38))</f>
        <v>0</v>
      </c>
      <c r="Q41" s="17" t="n">
        <f aca="false">MIN(MAX(0,Q35-Q36+Q40),IF(Q12=1,MAX(Q38,retrait_urgence*MAX(0,P44)),Q38))</f>
        <v>0</v>
      </c>
      <c r="R41" s="17" t="n">
        <f aca="false">MIN(MAX(0,R35-R36+R40),IF(R12=1,MAX(R38,retrait_urgence*MAX(0,Q44)),R38))</f>
        <v>0</v>
      </c>
      <c r="S41" s="17" t="n">
        <f aca="false">MIN(MAX(0,S35-S36+S40),IF(S12=1,MAX(S38,retrait_urgence*MAX(0,R44)),S38))</f>
        <v>0</v>
      </c>
      <c r="T41" s="17" t="n">
        <f aca="false">MIN(MAX(0,T35-T36+T40),IF(T12=1,MAX(T38,retrait_urgence*MAX(0,S44)),T38))</f>
        <v>0</v>
      </c>
      <c r="U41" s="17" t="n">
        <f aca="false">MIN(MAX(0,U35-U36+U40),IF(U12=1,MAX(U38,retrait_urgence*MAX(0,T44)),U38))</f>
        <v>0</v>
      </c>
      <c r="V41" s="17" t="n">
        <f aca="false">MIN(MAX(0,V35-V36+V40),IF(V12=1,MAX(V38,retrait_urgence*MAX(0,U44)),V38))</f>
        <v>0</v>
      </c>
      <c r="W41" s="17" t="n">
        <f aca="false">MIN(MAX(0,W35-W36+W40),IF(W12=1,MAX(W38,retrait_urgence*MAX(0,V44)),W38))</f>
        <v>0</v>
      </c>
      <c r="X41" s="17" t="n">
        <f aca="false">MIN(MAX(0,X35-X36+X40),IF(X12=1,MAX(X38,retrait_urgence*MAX(0,W44)),X38))</f>
        <v>0</v>
      </c>
    </row>
    <row r="42" customFormat="false" ht="15" hidden="false" customHeight="false" outlineLevel="0" collapsed="false">
      <c r="A42" s="2" t="s">
        <v>1896</v>
      </c>
      <c r="B42" s="18" t="s">
        <v>1897</v>
      </c>
      <c r="C42" s="2" t="s">
        <v>1839</v>
      </c>
      <c r="E42" s="23" t="n">
        <f aca="false">E36+E41-E35</f>
        <v>-1262579.4603125</v>
      </c>
      <c r="F42" s="23" t="n">
        <f aca="false">F36+F41-F35</f>
        <v>-1126916.63805234</v>
      </c>
      <c r="G42" s="23" t="n">
        <f aca="false">G36+G41-G35</f>
        <v>-1122884.91033834</v>
      </c>
      <c r="H42" s="23" t="n">
        <f aca="false">H36+H41-H35</f>
        <v>-1129551.65869378</v>
      </c>
      <c r="I42" s="23" t="n">
        <f aca="false">I36+I41-I35</f>
        <v>-1136286.70831921</v>
      </c>
      <c r="J42" s="23" t="n">
        <f aca="false">J36+J41-J35</f>
        <v>-1143090.99987041</v>
      </c>
      <c r="K42" s="23" t="n">
        <f aca="false">K36+K41-K35</f>
        <v>-1149965.48974168</v>
      </c>
      <c r="L42" s="23" t="n">
        <f aca="false">L36+L41-L35</f>
        <v>-1156911.15035451</v>
      </c>
      <c r="M42" s="23" t="n">
        <f aca="false">M36+M41-M35</f>
        <v>-1163928.97045166</v>
      </c>
      <c r="N42" s="23" t="n">
        <f aca="false">N36+N41-N35</f>
        <v>-1171019.95539702</v>
      </c>
      <c r="O42" s="23" t="n">
        <f aca="false">O36+O41-O35</f>
        <v>-1178185.12748098</v>
      </c>
      <c r="P42" s="23" t="n">
        <f aca="false">P36+P41-P35</f>
        <v>-1185425.52623177</v>
      </c>
      <c r="Q42" s="23" t="n">
        <f aca="false">Q36+Q41-Q35</f>
        <v>-1192742.20873266</v>
      </c>
      <c r="R42" s="23" t="n">
        <f aca="false">R36+R41-R35</f>
        <v>-1200136.24994522</v>
      </c>
      <c r="S42" s="23" t="n">
        <f aca="false">S36+S41-S35</f>
        <v>-1207608.74303873</v>
      </c>
      <c r="T42" s="23" t="n">
        <f aca="false">T36+T41-T35</f>
        <v>-1215160.79972592</v>
      </c>
      <c r="U42" s="23" t="n">
        <f aca="false">U36+U41-U35</f>
        <v>-1222793.55060507</v>
      </c>
      <c r="V42" s="23" t="n">
        <f aca="false">V36+V41-V35</f>
        <v>-1230508.14550863</v>
      </c>
      <c r="W42" s="23" t="n">
        <f aca="false">W36+W41-W35</f>
        <v>-1238305.75385855</v>
      </c>
      <c r="X42" s="23" t="n">
        <f aca="false">X36+X41-X35</f>
        <v>-1246187.56502832</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0</f>
        <v>0</v>
      </c>
      <c r="E44" s="23" t="n">
        <f aca="false">MAX(0,D44)*(1+E37)-E41+E43-E31</f>
        <v>0</v>
      </c>
      <c r="F44" s="23" t="n">
        <f aca="false">MAX(0,E44)*(1+F37)-F41+F43-F31</f>
        <v>0</v>
      </c>
      <c r="G44" s="23" t="n">
        <f aca="false">MAX(0,F44)*(1+G37)-G41+G43-G31</f>
        <v>0</v>
      </c>
      <c r="H44" s="23" t="n">
        <f aca="false">MAX(0,G44)*(1+H37)-H41+H43-H31</f>
        <v>0</v>
      </c>
      <c r="I44" s="23" t="n">
        <f aca="false">MAX(0,H44)*(1+I37)-I41+I43-I31</f>
        <v>0</v>
      </c>
      <c r="J44" s="23" t="n">
        <f aca="false">MAX(0,I44)*(1+J37)-J41+J43-J31</f>
        <v>0</v>
      </c>
      <c r="K44" s="23" t="n">
        <f aca="false">MAX(0,J44)*(1+K37)-K41+K43-K31</f>
        <v>0</v>
      </c>
      <c r="L44" s="23" t="n">
        <f aca="false">MAX(0,K44)*(1+L37)-L41+L43-L31</f>
        <v>0</v>
      </c>
      <c r="M44" s="23" t="n">
        <f aca="false">MAX(0,L44)*(1+M37)-M41+M43-M31</f>
        <v>0</v>
      </c>
      <c r="N44" s="23" t="n">
        <f aca="false">MAX(0,M44)*(1+N37)-N41+N43-N31</f>
        <v>0</v>
      </c>
      <c r="O44" s="23" t="n">
        <f aca="false">MAX(0,N44)*(1+O37)-O41+O43-O31</f>
        <v>0</v>
      </c>
      <c r="P44" s="23" t="n">
        <f aca="false">MAX(0,O44)*(1+P37)-P41+P43-P31</f>
        <v>0</v>
      </c>
      <c r="Q44" s="23" t="n">
        <f aca="false">MAX(0,P44)*(1+Q37)-Q41+Q43-Q31</f>
        <v>0</v>
      </c>
      <c r="R44" s="23" t="n">
        <f aca="false">MAX(0,Q44)*(1+R37)-R41+R43-R31</f>
        <v>0</v>
      </c>
      <c r="S44" s="23" t="n">
        <f aca="false">MAX(0,R44)*(1+S37)-S41+S43-S31</f>
        <v>0</v>
      </c>
      <c r="T44" s="23" t="n">
        <f aca="false">MAX(0,S44)*(1+T37)-T41+T43-T31</f>
        <v>0</v>
      </c>
      <c r="U44" s="23" t="n">
        <f aca="false">MAX(0,T44)*(1+U37)-U41+U43-U31</f>
        <v>0</v>
      </c>
      <c r="V44" s="23" t="n">
        <f aca="false">MAX(0,U44)*(1+V37)-V41+V43-V31</f>
        <v>0</v>
      </c>
      <c r="W44" s="23" t="n">
        <f aca="false">MAX(0,V44)*(1+W37)-W41+W43-W31</f>
        <v>0</v>
      </c>
      <c r="X44" s="23" t="n">
        <f aca="false">MAX(0,W44)*(1+X37)-X41+X43-X31</f>
        <v>0</v>
      </c>
    </row>
    <row r="45" customFormat="false" ht="15" hidden="false" customHeight="false" outlineLevel="0" collapsed="false">
      <c r="A45" s="2" t="s">
        <v>1902</v>
      </c>
      <c r="B45" s="18" t="s">
        <v>1903</v>
      </c>
      <c r="C45" s="2" t="s">
        <v>1839</v>
      </c>
      <c r="D45" s="23" t="n">
        <f aca="false">S2_sol_reserve0</f>
        <v>1500000</v>
      </c>
      <c r="E45" s="23" t="n">
        <f aca="false">D45*(1+taux_reserve)+E42-E43-(E30-E31)</f>
        <v>-870079.4603125</v>
      </c>
      <c r="F45" s="23" t="n">
        <f aca="false">E45*(1+taux_reserve)+F42-F43-(F30-F31)</f>
        <v>-1992645.70106328</v>
      </c>
      <c r="G45" s="23" t="n">
        <f aca="false">F45*(1+taux_reserve)+G42-G43-(G30-G31)</f>
        <v>-3105567.38289631</v>
      </c>
      <c r="H45" s="23" t="n">
        <f aca="false">G45*(1+taux_reserve)+H42-H43-(H30-H31)</f>
        <v>-4219591.20467561</v>
      </c>
      <c r="I45" s="23" t="n">
        <f aca="false">H45*(1+taux_reserve)+I42-I43-(I30-I31)</f>
        <v>-5334779.95697144</v>
      </c>
      <c r="J45" s="23" t="n">
        <f aca="false">I45*(1+taux_reserve)+J42-J43-(J30-J31)</f>
        <v>-6451197.05705698</v>
      </c>
      <c r="K45" s="23" t="n">
        <f aca="false">J45*(1+taux_reserve)+K42-K43-(K30-K31)</f>
        <v>-7568906.56151338</v>
      </c>
      <c r="L45" s="23" t="n">
        <f aca="false">K45*(1+taux_reserve)+L42-L43-(L30-L31)</f>
        <v>-8687973.17906032</v>
      </c>
      <c r="M45" s="23" t="n">
        <f aca="false">L45*(1+taux_reserve)+M42-M43-(M30-M31)</f>
        <v>-9808462.28361668</v>
      </c>
      <c r="N45" s="23" t="n">
        <f aca="false">M45*(1+taux_reserve)+N42-N43-(N30-N31)</f>
        <v>-10930439.9275956</v>
      </c>
      <c r="O45" s="23" t="n">
        <f aca="false">N45*(1+taux_reserve)+O42-O43-(O30-O31)</f>
        <v>-12053972.8554386</v>
      </c>
      <c r="P45" s="23" t="n">
        <f aca="false">O45*(1+taux_reserve)+P42-P43-(P30-P31)</f>
        <v>-13179128.5173932</v>
      </c>
      <c r="Q45" s="23" t="n">
        <f aca="false">P45*(1+taux_reserve)+Q42-Q43-(Q30-Q31)</f>
        <v>-14305975.0835389</v>
      </c>
      <c r="R45" s="23" t="n">
        <f aca="false">Q45*(1+taux_reserve)+R42-R43-(R30-R31)</f>
        <v>-15434581.4580664</v>
      </c>
      <c r="S45" s="23" t="n">
        <f aca="false">R45*(1+taux_reserve)+S42-S43-(S30-S31)</f>
        <v>-16565017.2938148</v>
      </c>
      <c r="T45" s="23" t="n">
        <f aca="false">S45*(1+taux_reserve)+T42-T43-(T30-T31)</f>
        <v>-17697353.0070717</v>
      </c>
      <c r="U45" s="23" t="n">
        <f aca="false">T45*(1+taux_reserve)+U42-U43-(U30-U31)</f>
        <v>-18831659.7926414</v>
      </c>
      <c r="V45" s="23" t="n">
        <f aca="false">U45*(1+taux_reserve)+V42-V43-(V30-V31)</f>
        <v>-19968009.6391868</v>
      </c>
      <c r="W45" s="23" t="n">
        <f aca="false">V45*(1+taux_reserve)+W42-W43-(W30-W31)</f>
        <v>-21106475.3448494</v>
      </c>
      <c r="X45" s="23" t="n">
        <f aca="false">W45*(1+taux_reserve)+X42-X43-(X30-X31)</f>
        <v>-22247130.5331535</v>
      </c>
    </row>
    <row r="46" customFormat="false" ht="15" hidden="false" customHeight="false" outlineLevel="0" collapsed="false">
      <c r="A46" s="2" t="s">
        <v>1904</v>
      </c>
      <c r="B46" s="18" t="s">
        <v>1905</v>
      </c>
      <c r="C46" s="2" t="s">
        <v>1839</v>
      </c>
      <c r="E46" s="23" t="n">
        <f aca="false">E45+E22</f>
        <v>-523887.9775</v>
      </c>
      <c r="F46" s="23" t="n">
        <f aca="false">F45+F22</f>
        <v>-1297666.29931719</v>
      </c>
      <c r="G46" s="23" t="n">
        <f aca="false">G45+G22</f>
        <v>-2059184.15282462</v>
      </c>
      <c r="H46" s="23" t="n">
        <f aca="false">H45+H22</f>
        <v>-3799464.42854269</v>
      </c>
      <c r="I46" s="23" t="n">
        <f aca="false">I45+I22</f>
        <v>-4557958.52862269</v>
      </c>
      <c r="J46" s="23" t="n">
        <f aca="false">J45+J22</f>
        <v>-5315005.7666008</v>
      </c>
      <c r="K46" s="23" t="n">
        <f aca="false">K45+K22</f>
        <v>-6070650.13498395</v>
      </c>
      <c r="L46" s="23" t="n">
        <f aca="false">L45+L22</f>
        <v>-8129062.06372335</v>
      </c>
      <c r="M46" s="23" t="n">
        <f aca="false">M45+M22</f>
        <v>-8882034.68900146</v>
      </c>
      <c r="N46" s="23" t="n">
        <f aca="false">N45+N22</f>
        <v>-9633739.48010756</v>
      </c>
      <c r="O46" s="23" t="n">
        <f aca="false">O45+O22</f>
        <v>-10384222.5086812</v>
      </c>
      <c r="P46" s="23" t="n">
        <f aca="false">P45+P22</f>
        <v>-12565449.0813118</v>
      </c>
      <c r="Q46" s="23" t="n">
        <f aca="false">Q45+Q22</f>
        <v>-13313629.0156422</v>
      </c>
      <c r="R46" s="23" t="n">
        <f aca="false">R45+R22</f>
        <v>-14060728.7586159</v>
      </c>
      <c r="S46" s="23" t="n">
        <f aca="false">S45+S22</f>
        <v>-14806796.6630738</v>
      </c>
      <c r="T46" s="23" t="n">
        <f aca="false">T45+T22</f>
        <v>-17053711.6106168</v>
      </c>
      <c r="U46" s="23" t="n">
        <f aca="false">U45+U22</f>
        <v>-17797863.3252305</v>
      </c>
      <c r="V46" s="23" t="n">
        <f aca="false">V45+V22</f>
        <v>-18541131.9377877</v>
      </c>
      <c r="W46" s="23" t="n">
        <f aca="false">W45+W22</f>
        <v>-19283568.3002072</v>
      </c>
      <c r="X46" s="23" t="n">
        <f aca="false">X45+X22</f>
        <v>-21580558.5507656</v>
      </c>
    </row>
    <row r="47" customFormat="false" ht="15" hidden="false" customHeight="false" outlineLevel="0" collapsed="false">
      <c r="A47" s="2" t="s">
        <v>1906</v>
      </c>
      <c r="B47" s="18" t="s">
        <v>1907</v>
      </c>
      <c r="C47" s="2" t="s">
        <v>46</v>
      </c>
      <c r="E47" s="24" t="n">
        <f aca="false">(E29+E38)/E18</f>
        <v>0.0132931410565071</v>
      </c>
      <c r="F47" s="24" t="n">
        <f aca="false">(F29+F38)/F18</f>
        <v>0.0247980338270792</v>
      </c>
      <c r="G47" s="24" t="n">
        <f aca="false">(G29+G38)/G18</f>
        <v>0.0328952524099066</v>
      </c>
      <c r="H47" s="24" t="n">
        <f aca="false">(H29+H38)/H18</f>
        <v>0.0327264773187211</v>
      </c>
      <c r="I47" s="24" t="n">
        <f aca="false">(I29+I38)/I18</f>
        <v>0.0325577226158966</v>
      </c>
      <c r="J47" s="24" t="n">
        <f aca="false">(J29+J38)/J18</f>
        <v>0.0323889911192901</v>
      </c>
      <c r="K47" s="24" t="n">
        <f aca="false">(K29+K38)/K18</f>
        <v>0.032220285678481</v>
      </c>
      <c r="L47" s="24" t="n">
        <f aca="false">(L29+L38)/L18</f>
        <v>0.0320516091753169</v>
      </c>
      <c r="M47" s="24" t="n">
        <f aca="false">(M29+M38)/M18</f>
        <v>0.0318829645244582</v>
      </c>
      <c r="N47" s="24" t="n">
        <f aca="false">(N29+N38)/N18</f>
        <v>0.0317143546739226</v>
      </c>
      <c r="O47" s="24" t="n">
        <f aca="false">(O29+O38)/O18</f>
        <v>0.0315457826056269</v>
      </c>
      <c r="P47" s="24" t="n">
        <f aca="false">(P29+P38)/P18</f>
        <v>0.031377251335928</v>
      </c>
      <c r="Q47" s="24" t="n">
        <f aca="false">(Q29+Q38)/Q18</f>
        <v>0.0312087639161604</v>
      </c>
      <c r="R47" s="24" t="n">
        <f aca="false">(R29+R38)/R18</f>
        <v>0.0310403234331718</v>
      </c>
      <c r="S47" s="24" t="n">
        <f aca="false">(S29+S38)/S18</f>
        <v>0.0308719330098542</v>
      </c>
      <c r="T47" s="24" t="n">
        <f aca="false">(T29+T38)/T18</f>
        <v>0.0307035958056719</v>
      </c>
      <c r="U47" s="24" t="n">
        <f aca="false">(U29+U38)/U18</f>
        <v>0.0305353150171854</v>
      </c>
      <c r="V47" s="24" t="n">
        <f aca="false">(V29+V38)/V18</f>
        <v>0.0303670938785691</v>
      </c>
      <c r="W47" s="24" t="n">
        <f aca="false">(W29+W38)/W18</f>
        <v>0.0301989356621252</v>
      </c>
      <c r="X47" s="24" t="n">
        <f aca="false">(X29+X38)/X18</f>
        <v>0.0300308436787901</v>
      </c>
    </row>
    <row r="48" customFormat="false" ht="15" hidden="false" customHeight="false" outlineLevel="0" collapsed="false">
      <c r="A48" s="2" t="s">
        <v>1908</v>
      </c>
      <c r="B48" s="18" t="s">
        <v>1909</v>
      </c>
      <c r="C48" s="2" t="s">
        <v>1822</v>
      </c>
      <c r="E48" s="25" t="n">
        <f aca="false">IF(E38&gt;=E35,1,0)</f>
        <v>0</v>
      </c>
      <c r="F48" s="25" t="n">
        <f aca="false">IF(F38&gt;=F35,1,0)</f>
        <v>0</v>
      </c>
      <c r="G48" s="25" t="n">
        <f aca="false">IF(G38&gt;=G35,1,0)</f>
        <v>0</v>
      </c>
      <c r="H48" s="25" t="n">
        <f aca="false">IF(H38&gt;=H35,1,0)</f>
        <v>0</v>
      </c>
      <c r="I48" s="25" t="n">
        <f aca="false">IF(I38&gt;=I35,1,0)</f>
        <v>0</v>
      </c>
      <c r="J48" s="25" t="n">
        <f aca="false">IF(J38&gt;=J35,1,0)</f>
        <v>0</v>
      </c>
      <c r="K48" s="25" t="n">
        <f aca="false">IF(K38&gt;=K35,1,0)</f>
        <v>0</v>
      </c>
      <c r="L48" s="25" t="n">
        <f aca="false">IF(L38&gt;=L35,1,0)</f>
        <v>0</v>
      </c>
      <c r="M48" s="25" t="n">
        <f aca="false">IF(M38&gt;=M35,1,0)</f>
        <v>0</v>
      </c>
      <c r="N48" s="25" t="n">
        <f aca="false">IF(N38&gt;=N35,1,0)</f>
        <v>0</v>
      </c>
      <c r="O48" s="25" t="n">
        <f aca="false">IF(O38&gt;=O35,1,0)</f>
        <v>0</v>
      </c>
      <c r="P48" s="25" t="n">
        <f aca="false">IF(P38&gt;=P35,1,0)</f>
        <v>0</v>
      </c>
      <c r="Q48" s="25" t="n">
        <f aca="false">IF(Q38&gt;=Q35,1,0)</f>
        <v>0</v>
      </c>
      <c r="R48" s="25" t="n">
        <f aca="false">IF(R38&gt;=R35,1,0)</f>
        <v>0</v>
      </c>
      <c r="S48" s="25" t="n">
        <f aca="false">IF(S38&gt;=S35,1,0)</f>
        <v>0</v>
      </c>
      <c r="T48" s="25" t="n">
        <f aca="false">IF(T38&gt;=T35,1,0)</f>
        <v>0</v>
      </c>
      <c r="U48" s="25" t="n">
        <f aca="false">IF(U38&gt;=U35,1,0)</f>
        <v>0</v>
      </c>
      <c r="V48" s="25" t="n">
        <f aca="false">IF(V38&gt;=V35,1,0)</f>
        <v>0</v>
      </c>
      <c r="W48" s="25" t="n">
        <f aca="false">IF(W38&gt;=W35,1,0)</f>
        <v>0</v>
      </c>
      <c r="X48" s="25" t="n">
        <f aca="false">IF(X38&gt;=X35,1,0)</f>
        <v>0</v>
      </c>
    </row>
    <row r="49" customFormat="false" ht="15" hidden="false" customHeight="false" outlineLevel="0" collapsed="false">
      <c r="A49" s="2" t="s">
        <v>1910</v>
      </c>
      <c r="B49" s="18" t="s">
        <v>1911</v>
      </c>
      <c r="C49" s="2" t="s">
        <v>1822</v>
      </c>
      <c r="E49" s="25" t="n">
        <f aca="false">IF(E45&lt;0,1,0)</f>
        <v>1</v>
      </c>
      <c r="F49" s="25" t="n">
        <f aca="false">IF(F45&lt;0,1,0)</f>
        <v>1</v>
      </c>
      <c r="G49" s="25" t="n">
        <f aca="false">IF(G45&lt;0,1,0)</f>
        <v>1</v>
      </c>
      <c r="H49" s="25" t="n">
        <f aca="false">IF(H45&lt;0,1,0)</f>
        <v>1</v>
      </c>
      <c r="I49" s="25" t="n">
        <f aca="false">IF(I45&lt;0,1,0)</f>
        <v>1</v>
      </c>
      <c r="J49" s="25" t="n">
        <f aca="false">IF(J45&lt;0,1,0)</f>
        <v>1</v>
      </c>
      <c r="K49" s="25" t="n">
        <f aca="false">IF(K45&lt;0,1,0)</f>
        <v>1</v>
      </c>
      <c r="L49" s="25" t="n">
        <f aca="false">IF(L45&lt;0,1,0)</f>
        <v>1</v>
      </c>
      <c r="M49" s="25" t="n">
        <f aca="false">IF(M45&lt;0,1,0)</f>
        <v>1</v>
      </c>
      <c r="N49" s="25" t="n">
        <f aca="false">IF(N45&lt;0,1,0)</f>
        <v>1</v>
      </c>
      <c r="O49" s="25" t="n">
        <f aca="false">IF(O45&lt;0,1,0)</f>
        <v>1</v>
      </c>
      <c r="P49" s="25" t="n">
        <f aca="false">IF(P45&lt;0,1,0)</f>
        <v>1</v>
      </c>
      <c r="Q49" s="25" t="n">
        <f aca="false">IF(Q45&lt;0,1,0)</f>
        <v>1</v>
      </c>
      <c r="R49" s="25" t="n">
        <f aca="false">IF(R45&lt;0,1,0)</f>
        <v>1</v>
      </c>
      <c r="S49" s="25" t="n">
        <f aca="false">IF(S45&lt;0,1,0)</f>
        <v>1</v>
      </c>
      <c r="T49" s="25" t="n">
        <f aca="false">IF(T45&lt;0,1,0)</f>
        <v>1</v>
      </c>
      <c r="U49" s="25" t="n">
        <f aca="false">IF(U45&lt;0,1,0)</f>
        <v>1</v>
      </c>
      <c r="V49" s="25" t="n">
        <f aca="false">IF(V45&lt;0,1,0)</f>
        <v>1</v>
      </c>
      <c r="W49" s="25" t="n">
        <f aca="false">IF(W45&lt;0,1,0)</f>
        <v>1</v>
      </c>
      <c r="X49" s="25" t="n">
        <f aca="false">IF(X45&lt;0,1,0)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1912</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1400422.58710973</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1442910.27499031</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1486687.00493438</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1531791.88543486</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1578265.21150474</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1864</v>
      </c>
      <c r="B26" s="2" t="s">
        <v>1865</v>
      </c>
      <c r="C26" s="2" t="s">
        <v>1839</v>
      </c>
      <c r="E26" s="17" t="n">
        <f aca="false">(S2_ech_eq_ret*mot_eq_ret_cn)*E24*E9*IF(E$3&gt;=st_central_debut_mult,st_central_mult_B,1)*IF(E11=1,1-0.15,IF(E11=2,1-0.05,1))</f>
        <v>4039.2</v>
      </c>
      <c r="F26" s="17" t="n">
        <f aca="false">(S2_ech_eq_ret*mot_eq_ret_cn)*F24*F9*IF(F$3&gt;=st_central_debut_mult,st_central_mult_B,1)*IF(F11=1,1-0.15,IF(F11=2,1-0.05,1))</f>
        <v>7573.5</v>
      </c>
      <c r="G26" s="17" t="n">
        <f aca="false">(S2_ech_eq_ret*mot_eq_ret_cn)*G24*G9*IF(G$3&gt;=st_central_debut_mult,st_central_mult_B,1)*IF(G11=1,1-0.15,IF(G11=2,1-0.05,1))</f>
        <v>10098</v>
      </c>
      <c r="H26" s="17" t="n">
        <f aca="false">(S2_ech_eq_ret*mot_eq_ret_cn)*H24*H9*IF(H$3&gt;=st_central_debut_mult,st_central_mult_B,1)*IF(H11=1,1-0.15,IF(H11=2,1-0.05,1))</f>
        <v>10098</v>
      </c>
      <c r="I26" s="17" t="n">
        <f aca="false">(S2_ech_eq_ret*mot_eq_ret_cn)*I24*I9*IF(I$3&gt;=st_central_debut_mult,st_central_mult_B,1)*IF(I11=1,1-0.15,IF(I11=2,1-0.05,1))</f>
        <v>10098</v>
      </c>
      <c r="J26" s="17" t="n">
        <f aca="false">(S2_ech_eq_ret*mot_eq_ret_cn)*J24*J9*IF(J$3&gt;=st_central_debut_mult,st_central_mult_B,1)*IF(J11=1,1-0.15,IF(J11=2,1-0.05,1))</f>
        <v>10098</v>
      </c>
      <c r="K26" s="17" t="n">
        <f aca="false">(S2_ech_eq_ret*mot_eq_ret_cn)*K24*K9*IF(K$3&gt;=st_central_debut_mult,st_central_mult_B,1)*IF(K11=1,1-0.15,IF(K11=2,1-0.05,1))</f>
        <v>10098</v>
      </c>
      <c r="L26" s="17" t="n">
        <f aca="false">(S2_ech_eq_ret*mot_eq_ret_cn)*L24*L9*IF(L$3&gt;=st_central_debut_mult,st_central_mult_B,1)*IF(L11=1,1-0.15,IF(L11=2,1-0.05,1))</f>
        <v>10098</v>
      </c>
      <c r="M26" s="17" t="n">
        <f aca="false">(S2_ech_eq_ret*mot_eq_ret_cn)*M24*M9*IF(M$3&gt;=st_central_debut_mult,st_central_mult_B,1)*IF(M11=1,1-0.15,IF(M11=2,1-0.05,1))</f>
        <v>10098</v>
      </c>
      <c r="N26" s="17" t="n">
        <f aca="false">(S2_ech_eq_ret*mot_eq_ret_cn)*N24*N9*IF(N$3&gt;=st_central_debut_mult,st_central_mult_B,1)*IF(N11=1,1-0.15,IF(N11=2,1-0.05,1))</f>
        <v>10098</v>
      </c>
      <c r="O26" s="17" t="n">
        <f aca="false">(S2_ech_eq_ret*mot_eq_ret_cn)*O24*O9*IF(O$3&gt;=st_central_debut_mult,st_central_mult_B,1)*IF(O11=1,1-0.15,IF(O11=2,1-0.05,1))</f>
        <v>10098</v>
      </c>
      <c r="P26" s="17" t="n">
        <f aca="false">(S2_ech_eq_ret*mot_eq_ret_cn)*P24*P9*IF(P$3&gt;=st_central_debut_mult,st_central_mult_B,1)*IF(P11=1,1-0.15,IF(P11=2,1-0.05,1))</f>
        <v>10098</v>
      </c>
      <c r="Q26" s="17" t="n">
        <f aca="false">(S2_ech_eq_ret*mot_eq_ret_cn)*Q24*Q9*IF(Q$3&gt;=st_central_debut_mult,st_central_mult_B,1)*IF(Q11=1,1-0.15,IF(Q11=2,1-0.05,1))</f>
        <v>10098</v>
      </c>
      <c r="R26" s="17" t="n">
        <f aca="false">(S2_ech_eq_ret*mot_eq_ret_cn)*R24*R9*IF(R$3&gt;=st_central_debut_mult,st_central_mult_B,1)*IF(R11=1,1-0.15,IF(R11=2,1-0.05,1))</f>
        <v>10098</v>
      </c>
      <c r="S26" s="17" t="n">
        <f aca="false">(S2_ech_eq_ret*mot_eq_ret_cn)*S24*S9*IF(S$3&gt;=st_central_debut_mult,st_central_mult_B,1)*IF(S11=1,1-0.15,IF(S11=2,1-0.05,1))</f>
        <v>10098</v>
      </c>
      <c r="T26" s="17" t="n">
        <f aca="false">(S2_ech_eq_ret*mot_eq_ret_cn)*T24*T9*IF(T$3&gt;=st_central_debut_mult,st_central_mult_B,1)*IF(T11=1,1-0.15,IF(T11=2,1-0.05,1))</f>
        <v>10098</v>
      </c>
      <c r="U26" s="17" t="n">
        <f aca="false">(S2_ech_eq_ret*mot_eq_ret_cn)*U24*U9*IF(U$3&gt;=st_central_debut_mult,st_central_mult_B,1)*IF(U11=1,1-0.15,IF(U11=2,1-0.05,1))</f>
        <v>10098</v>
      </c>
      <c r="V26" s="17" t="n">
        <f aca="false">(S2_ech_eq_ret*mot_eq_ret_cn)*V24*V9*IF(V$3&gt;=st_central_debut_mult,st_central_mult_B,1)*IF(V11=1,1-0.15,IF(V11=2,1-0.05,1))</f>
        <v>10098</v>
      </c>
      <c r="W26" s="17" t="n">
        <f aca="false">(S2_ech_eq_ret*mot_eq_ret_cn)*W24*W9*IF(W$3&gt;=st_central_debut_mult,st_central_mult_B,1)*IF(W11=1,1-0.15,IF(W11=2,1-0.05,1))</f>
        <v>10098</v>
      </c>
      <c r="X26" s="17" t="n">
        <f aca="false">(S2_ech_eq_ret*mot_eq_ret_cn)*X24*X9*IF(X$3&gt;=st_central_debut_mult,st_central_mult_B,1)*IF(X11=1,1-0.15,IF(X11=2,1-0.05,1))</f>
        <v>10098</v>
      </c>
    </row>
    <row r="27" customFormat="false" ht="15" hidden="false" customHeight="false" outlineLevel="0" collapsed="false">
      <c r="A27" s="2" t="s">
        <v>1866</v>
      </c>
      <c r="B27" s="2" t="s">
        <v>1867</v>
      </c>
      <c r="C27" s="2" t="s">
        <v>1839</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1263598.89681921</v>
      </c>
      <c r="J35" s="17" t="n">
        <f aca="false">J13+J14+J15+J16+J17+J21+J32-J29-J23-J33-J34</f>
        <v>1270403.18837041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IF(AND(E$3&lt;=S2_sol_div_annees,E$3&lt;=st_central_div_fin),S2_sol_div*IF(E11=1,0.5,1),0)</f>
        <v>1000000</v>
      </c>
      <c r="F36" s="17" t="n">
        <f aca="false">IF(AND(F$3&lt;=S2_sol_div_annees,F$3&lt;=st_central_div_fin),S2_sol_div*IF(F11=1,0.5,1),0)</f>
        <v>1000000</v>
      </c>
      <c r="G36" s="17" t="n">
        <f aca="false">IF(AND(G$3&lt;=S2_sol_div_annees,G$3&lt;=st_central_div_fin),S2_sol_div*IF(G11=1,0.5,1),0)</f>
        <v>1000000</v>
      </c>
      <c r="H36" s="17" t="n">
        <f aca="false">IF(AND(H$3&lt;=S2_sol_div_annees,H$3&lt;=st_central_div_fin),S2_sol_div*IF(H11=1,0.5,1),0)</f>
        <v>1000000</v>
      </c>
      <c r="I36" s="17" t="n">
        <f aca="false">IF(AND(I$3&lt;=S2_sol_div_annees,I$3&lt;=st_central_div_fin),S2_sol_div*IF(I11=1,0.5,1),0)</f>
        <v>1000000</v>
      </c>
      <c r="J36" s="17" t="n">
        <f aca="false">IF(AND(J$3&lt;=S2_sol_div_annees,J$3&lt;=st_central_div_fin),S2_sol_div*IF(J11=1,0.5,1),0)</f>
        <v>1000000</v>
      </c>
      <c r="K36" s="17" t="n">
        <f aca="false">IF(AND(K$3&lt;=S2_sol_div_annees,K$3&lt;=st_central_div_fin),S2_sol_div*IF(K11=1,0.5,1),0)</f>
        <v>1000000</v>
      </c>
      <c r="L36" s="17" t="n">
        <f aca="false">IF(AND(L$3&lt;=S2_sol_div_annees,L$3&lt;=st_central_div_fin),S2_sol_div*IF(L11=1,0.5,1),0)</f>
        <v>1000000</v>
      </c>
      <c r="M36" s="17" t="n">
        <f aca="false">IF(AND(M$3&lt;=S2_sol_div_annees,M$3&lt;=st_central_div_fin),S2_sol_div*IF(M11=1,0.5,1),0)</f>
        <v>1000000</v>
      </c>
      <c r="N36" s="17" t="n">
        <f aca="false">IF(AND(N$3&lt;=S2_sol_div_annees,N$3&lt;=st_central_div_fin),S2_sol_div*IF(N11=1,0.5,1),0)</f>
        <v>1000000</v>
      </c>
      <c r="O36" s="17" t="n">
        <f aca="false">IF(AND(O$3&lt;=S2_sol_div_annees,O$3&lt;=st_central_div_fin),S2_sol_div*IF(O11=1,0.5,1),0)</f>
        <v>0</v>
      </c>
      <c r="P36" s="17" t="n">
        <f aca="false">IF(AND(P$3&lt;=S2_sol_div_annees,P$3&lt;=st_central_div_fin),S2_sol_div*IF(P11=1,0.5,1),0)</f>
        <v>0</v>
      </c>
      <c r="Q36" s="17" t="n">
        <f aca="false">IF(AND(Q$3&lt;=S2_sol_div_annees,Q$3&lt;=st_central_div_fin),S2_sol_div*IF(Q11=1,0.5,1),0)</f>
        <v>0</v>
      </c>
      <c r="R36" s="17" t="n">
        <f aca="false">IF(AND(R$3&lt;=S2_sol_div_annees,R$3&lt;=st_central_div_fin),S2_sol_div*IF(R11=1,0.5,1),0)</f>
        <v>0</v>
      </c>
      <c r="S36" s="17" t="n">
        <f aca="false">IF(AND(S$3&lt;=S2_sol_div_annees,S$3&lt;=st_central_div_fin),S2_sol_div*IF(S11=1,0.5,1),0)</f>
        <v>0</v>
      </c>
      <c r="T36" s="17" t="n">
        <f aca="false">IF(AND(T$3&lt;=S2_sol_div_annees,T$3&lt;=st_central_div_fin),S2_sol_div*IF(T11=1,0.5,1),0)</f>
        <v>0</v>
      </c>
      <c r="U36" s="17" t="n">
        <f aca="false">IF(AND(U$3&lt;=S2_sol_div_annees,U$3&lt;=st_central_div_fin),S2_sol_div*IF(U11=1,0.5,1),0)</f>
        <v>0</v>
      </c>
      <c r="V36" s="17" t="n">
        <f aca="false">IF(AND(V$3&lt;=S2_sol_div_annees,V$3&lt;=st_central_div_fin),S2_sol_div*IF(V11=1,0.5,1),0)</f>
        <v>0</v>
      </c>
      <c r="W36" s="17" t="n">
        <f aca="false">IF(AND(W$3&lt;=S2_sol_div_annees,W$3&lt;=st_central_div_fin),S2_sol_div*IF(W11=1,0.5,1),0)</f>
        <v>0</v>
      </c>
      <c r="X36" s="17" t="n">
        <f aca="false">IF(AND(X$3&lt;=S2_sol_div_annees,X$3&lt;=st_central_div_fin),S2_sol_div*IF(X11=1,0.5,1),0)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2150685.21543458</v>
      </c>
      <c r="J38" s="17" t="n">
        <f aca="false">lissage_depense*I38+(1-lissage_depense)*dot_taux_net*MAX(0,I44)</f>
        <v>2175156.0261662</v>
      </c>
      <c r="K38" s="17" t="n">
        <f aca="false">lissage_depense*J38+(1-lissage_depense)*dot_taux_net*MAX(0,J44)</f>
        <v>2202823.8556243</v>
      </c>
      <c r="L38" s="17" t="n">
        <f aca="false">lissage_depense*K38+(1-lissage_depense)*dot_taux_net*MAX(0,K44)</f>
        <v>2233186.63856473</v>
      </c>
      <c r="M38" s="17" t="n">
        <f aca="false">lissage_depense*L38+(1-lissage_depense)*dot_taux_net*MAX(0,L44)</f>
        <v>2265845.21509303</v>
      </c>
      <c r="N38" s="17" t="n">
        <f aca="false">lissage_depense*M38+(1-lissage_depense)*dot_taux_net*MAX(0,M44)</f>
        <v>2300482.79589408</v>
      </c>
      <c r="O38" s="17" t="n">
        <f aca="false">lissage_depense*N38+(1-lissage_depense)*dot_taux_net*MAX(0,N44)</f>
        <v>2336848.53528213</v>
      </c>
      <c r="P38" s="17" t="n">
        <f aca="false">lissage_depense*O38+(1-lissage_depense)*dot_taux_net*MAX(0,O44)</f>
        <v>2371244.39052332</v>
      </c>
      <c r="Q38" s="17" t="n">
        <f aca="false">lissage_depense*P38+(1-lissage_depense)*dot_taux_net*MAX(0,P44)</f>
        <v>2404144.61019266</v>
      </c>
      <c r="R38" s="17" t="n">
        <f aca="false">lissage_depense*Q38+(1-lissage_depense)*dot_taux_net*MAX(0,Q44)</f>
        <v>2435929.92577562</v>
      </c>
      <c r="S38" s="17" t="n">
        <f aca="false">lissage_depense*R38+(1-lissage_depense)*dot_taux_net*MAX(0,R44)</f>
        <v>2466906.2778823</v>
      </c>
      <c r="T38" s="17" t="n">
        <f aca="false">lissage_depense*S38+(1-lissage_depense)*dot_taux_net*MAX(0,S44)</f>
        <v>2497319.79760937</v>
      </c>
      <c r="U38" s="17" t="n">
        <f aca="false">lissage_depense*T38+(1-lissage_depense)*dot_taux_net*MAX(0,T44)</f>
        <v>2527368.79202664</v>
      </c>
      <c r="V38" s="17" t="n">
        <f aca="false">lissage_depense*U38+(1-lissage_depense)*dot_taux_net*MAX(0,U44)</f>
        <v>2557213.33297021</v>
      </c>
      <c r="W38" s="17" t="n">
        <f aca="false">lissage_depense*V38+(1-lissage_depense)*dot_taux_net*MAX(0,V44)</f>
        <v>2586982.9284876</v>
      </c>
      <c r="X38" s="17" t="n">
        <f aca="false">lissage_depense*W38+(1-lissage_depense)*dot_taux_net*MAX(0,W44)</f>
        <v>2616782.66041141</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272215.852848872</v>
      </c>
      <c r="I41" s="17" t="n">
        <f aca="false">MIN(MAX(0,I35-I36+I40),IF(I12=1,MAX(I38,retrait_urgence*MAX(0,H44)),I38))</f>
        <v>279069.162476012</v>
      </c>
      <c r="J41" s="17" t="n">
        <f aca="false">MIN(MAX(0,J35-J36+J40),IF(J12=1,MAX(J38,retrait_urgence*MAX(0,I44)),J38))</f>
        <v>285993.201020366</v>
      </c>
      <c r="K41" s="17" t="n">
        <f aca="false">MIN(MAX(0,K35-K36+K40),IF(K12=1,MAX(K38,retrait_urgence*MAX(0,J44)),K38))</f>
        <v>292988.94853608</v>
      </c>
      <c r="L41" s="17" t="n">
        <f aca="false">MIN(MAX(0,L35-L36+L40),IF(L12=1,MAX(L38,retrait_urgence*MAX(0,K44)),L38))</f>
        <v>300057.401529262</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127614732.741514</v>
      </c>
      <c r="I44" s="23" t="n">
        <f aca="false">MAX(0,H44)*(1+I37)-I41+I43-I31</f>
        <v>129887958.233868</v>
      </c>
      <c r="J44" s="23" t="n">
        <f aca="false">MAX(0,I44)*(1+J37)-J41+J43-J31</f>
        <v>132199724.197525</v>
      </c>
      <c r="K44" s="23" t="n">
        <f aca="false">MAX(0,J44)*(1+K37)-K41+K43-K31</f>
        <v>134550729.73294</v>
      </c>
      <c r="L44" s="23" t="n">
        <f aca="false">MAX(0,K44)*(1+L37)-L41+L43-L31</f>
        <v>136941686.926069</v>
      </c>
      <c r="M44" s="23" t="n">
        <f aca="false">MAX(0,L44)*(1+M37)-M41+M43-M31</f>
        <v>139373321.091331</v>
      </c>
      <c r="N44" s="23" t="n">
        <f aca="false">MAX(0,M44)*(1+N37)-N41+N43-N31</f>
        <v>141846371.019106</v>
      </c>
      <c r="O44" s="23" t="n">
        <f aca="false">MAX(0,N44)*(1+O37)-O41+O43-O31</f>
        <v>143361589.227888</v>
      </c>
      <c r="P44" s="23" t="n">
        <f aca="false">MAX(0,O44)*(1+P37)-P41+P43-P31</f>
        <v>144899742.221144</v>
      </c>
      <c r="Q44" s="23" t="n">
        <f aca="false">MAX(0,P44)*(1+Q37)-Q41+Q43-Q31</f>
        <v>146461210.748997</v>
      </c>
      <c r="R44" s="23" t="n">
        <f aca="false">MAX(0,Q44)*(1+R37)-R41+R43-R31</f>
        <v>148046382.074803</v>
      </c>
      <c r="S44" s="23" t="n">
        <f aca="false">MAX(0,R44)*(1+S37)-S41+S43-S31</f>
        <v>149655650.086723</v>
      </c>
      <c r="T44" s="23" t="n">
        <f aca="false">MAX(0,S44)*(1+T37)-T41+T43-T31</f>
        <v>151289415.411184</v>
      </c>
      <c r="U44" s="23" t="n">
        <f aca="false">MAX(0,T44)*(1+U37)-U41+U43-U31</f>
        <v>152948085.528257</v>
      </c>
      <c r="V44" s="23" t="n">
        <f aca="false">MAX(0,U44)*(1+V37)-V41+V43-V31</f>
        <v>154632074.888979</v>
      </c>
      <c r="W44" s="23" t="n">
        <f aca="false">MAX(0,V44)*(1+W37)-W41+W43-W31</f>
        <v>156341805.034666</v>
      </c>
      <c r="X44" s="23" t="n">
        <f aca="false">MAX(0,W44)*(1+X37)-X41+X43-X31</f>
        <v>158077704.718231</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1.67917502181891</v>
      </c>
      <c r="J47" s="24" t="n">
        <f aca="false">(J29+J38)/J18</f>
        <v>1.68911099576997</v>
      </c>
      <c r="K47" s="24" t="n">
        <f aca="false">(K29+K38)/K18</f>
        <v>1.70127649640898</v>
      </c>
      <c r="L47" s="24" t="n">
        <f aca="false">(L29+L38)/L18</f>
        <v>1.71525526060406</v>
      </c>
      <c r="M47" s="24" t="n">
        <f aca="false">(M29+M38)/M18</f>
        <v>1.73071616642088</v>
      </c>
      <c r="N47" s="24" t="n">
        <f aca="false">(N29+N38)/N18</f>
        <v>1.74739587658233</v>
      </c>
      <c r="O47" s="24" t="n">
        <f aca="false">(O29+O38)/O18</f>
        <v>1.76508501834529</v>
      </c>
      <c r="P47" s="24" t="n">
        <f aca="false">(P29+P38)/P18</f>
        <v>1.78103465321248</v>
      </c>
      <c r="Q47" s="24" t="n">
        <f aca="false">(Q29+Q38)/Q18</f>
        <v>1.79561652886551</v>
      </c>
      <c r="R47" s="24" t="n">
        <f aca="false">(R29+R38)/R18</f>
        <v>1.8091266163995</v>
      </c>
      <c r="S47" s="24" t="n">
        <f aca="false">(S29+S38)/S18</f>
        <v>1.82180056110034</v>
      </c>
      <c r="T47" s="24" t="n">
        <f aca="false">(T29+T38)/T18</f>
        <v>1.83382598350075</v>
      </c>
      <c r="U47" s="24" t="n">
        <f aca="false">(U29+U38)/U18</f>
        <v>1.84535227255537</v>
      </c>
      <c r="V47" s="24" t="n">
        <f aca="false">(V29+V38)/V18</f>
        <v>1.85649838202926</v>
      </c>
      <c r="W47" s="24" t="n">
        <f aca="false">(W29+W38)/W18</f>
        <v>1.86735903707245</v>
      </c>
      <c r="X47" s="24" t="n">
        <f aca="false">(X29+X38)/X18</f>
        <v>1.87800967503639</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1913</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D5*(1+g_salaires+st_ca30_g_sal_extra)</f>
        <v>1.005</v>
      </c>
      <c r="F5" s="22" t="n">
        <f aca="false">E5*(1+g_salaires+st_ca30_g_sal_extra)</f>
        <v>1.010025</v>
      </c>
      <c r="G5" s="22" t="n">
        <f aca="false">F5*(1+g_salaires+st_ca30_g_sal_extra)</f>
        <v>1.015075125</v>
      </c>
      <c r="H5" s="22" t="n">
        <f aca="false">G5*(1+g_salaires+st_ca30_g_sal_extra)</f>
        <v>1.020150500625</v>
      </c>
      <c r="I5" s="22" t="n">
        <f aca="false">H5*(1+g_salaires+st_ca30_g_sal_extra)</f>
        <v>1.02525125312812</v>
      </c>
      <c r="J5" s="22" t="n">
        <f aca="false">I5*(1+g_salaires+st_ca30_g_sal_extra)</f>
        <v>1.03037750939376</v>
      </c>
      <c r="K5" s="22" t="n">
        <f aca="false">J5*(1+g_salaires+st_ca30_g_sal_extra)</f>
        <v>1.03552939694073</v>
      </c>
      <c r="L5" s="22" t="n">
        <f aca="false">K5*(1+g_salaires+st_ca30_g_sal_extra)</f>
        <v>1.04070704392544</v>
      </c>
      <c r="M5" s="22" t="n">
        <f aca="false">L5*(1+g_salaires+st_ca30_g_sal_extra)</f>
        <v>1.04591057914506</v>
      </c>
      <c r="N5" s="22" t="n">
        <f aca="false">M5*(1+g_salaires+st_ca30_g_sal_extra)</f>
        <v>1.05114013204079</v>
      </c>
      <c r="O5" s="22" t="n">
        <f aca="false">N5*(1+g_salaires+st_ca30_g_sal_extra)</f>
        <v>1.05639583270099</v>
      </c>
      <c r="P5" s="22" t="n">
        <f aca="false">O5*(1+g_salaires+st_ca30_g_sal_extra)</f>
        <v>1.0616778118645</v>
      </c>
      <c r="Q5" s="22" t="n">
        <f aca="false">P5*(1+g_salaires+st_ca30_g_sal_extra)</f>
        <v>1.06698620092382</v>
      </c>
      <c r="R5" s="22" t="n">
        <f aca="false">Q5*(1+g_salaires+st_ca30_g_sal_extra)</f>
        <v>1.07232113192844</v>
      </c>
      <c r="S5" s="22" t="n">
        <f aca="false">R5*(1+g_salaires+st_ca30_g_sal_extra)</f>
        <v>1.07768273758808</v>
      </c>
      <c r="T5" s="22" t="n">
        <f aca="false">S5*(1+g_salaires+st_ca30_g_sal_extra)</f>
        <v>1.08307115127602</v>
      </c>
      <c r="U5" s="22" t="n">
        <f aca="false">T5*(1+g_salaires+st_ca30_g_sal_extra)</f>
        <v>1.0884865070324</v>
      </c>
      <c r="V5" s="22" t="n">
        <f aca="false">U5*(1+g_salaires+st_ca30_g_sal_extra)</f>
        <v>1.09392893956756</v>
      </c>
      <c r="W5" s="22" t="n">
        <f aca="false">V5*(1+g_salaires+st_ca30_g_sal_extra)</f>
        <v>1.0993985842654</v>
      </c>
      <c r="X5" s="22" t="n">
        <f aca="false">W5*(1+g_salaires+st_ca30_g_sal_extra)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IF(st_ca30_crise_an&gt;0,IF(E$3=st_ca30_crise_an,1,IF(E$3=st_ca30_crise_an+1,2,0)),0)</f>
        <v>0</v>
      </c>
      <c r="F11" s="22" t="n">
        <f aca="false">IF(st_ca30_crise_an&gt;0,IF(F$3=st_ca30_crise_an,1,IF(F$3=st_ca30_crise_an+1,2,0)),0)</f>
        <v>0</v>
      </c>
      <c r="G11" s="22" t="n">
        <f aca="false">IF(st_ca30_crise_an&gt;0,IF(G$3=st_ca30_crise_an,1,IF(G$3=st_ca30_crise_an+1,2,0)),0)</f>
        <v>0</v>
      </c>
      <c r="H11" s="22" t="n">
        <f aca="false">IF(st_ca30_crise_an&gt;0,IF(H$3=st_ca30_crise_an,1,IF(H$3=st_ca30_crise_an+1,2,0)),0)</f>
        <v>0</v>
      </c>
      <c r="I11" s="22" t="n">
        <f aca="false">IF(st_ca30_crise_an&gt;0,IF(I$3=st_ca30_crise_an,1,IF(I$3=st_ca30_crise_an+1,2,0)),0)</f>
        <v>0</v>
      </c>
      <c r="J11" s="22" t="n">
        <f aca="false">IF(st_ca30_crise_an&gt;0,IF(J$3=st_ca30_crise_an,1,IF(J$3=st_ca30_crise_an+1,2,0)),0)</f>
        <v>0</v>
      </c>
      <c r="K11" s="22" t="n">
        <f aca="false">IF(st_ca30_crise_an&gt;0,IF(K$3=st_ca30_crise_an,1,IF(K$3=st_ca30_crise_an+1,2,0)),0)</f>
        <v>0</v>
      </c>
      <c r="L11" s="22" t="n">
        <f aca="false">IF(st_ca30_crise_an&gt;0,IF(L$3=st_ca30_crise_an,1,IF(L$3=st_ca30_crise_an+1,2,0)),0)</f>
        <v>0</v>
      </c>
      <c r="M11" s="22" t="n">
        <f aca="false">IF(st_ca30_crise_an&gt;0,IF(M$3=st_ca30_crise_an,1,IF(M$3=st_ca30_crise_an+1,2,0)),0)</f>
        <v>0</v>
      </c>
      <c r="N11" s="22" t="n">
        <f aca="false">IF(st_ca30_crise_an&gt;0,IF(N$3=st_ca30_crise_an,1,IF(N$3=st_ca30_crise_an+1,2,0)),0)</f>
        <v>0</v>
      </c>
      <c r="O11" s="22" t="n">
        <f aca="false">IF(st_ca30_crise_an&gt;0,IF(O$3=st_ca30_crise_an,1,IF(O$3=st_ca30_crise_an+1,2,0)),0)</f>
        <v>0</v>
      </c>
      <c r="P11" s="22" t="n">
        <f aca="false">IF(st_ca30_crise_an&gt;0,IF(P$3=st_ca30_crise_an,1,IF(P$3=st_ca30_crise_an+1,2,0)),0)</f>
        <v>0</v>
      </c>
      <c r="Q11" s="22" t="n">
        <f aca="false">IF(st_ca30_crise_an&gt;0,IF(Q$3=st_ca30_crise_an,1,IF(Q$3=st_ca30_crise_an+1,2,0)),0)</f>
        <v>0</v>
      </c>
      <c r="R11" s="22" t="n">
        <f aca="false">IF(st_ca30_crise_an&gt;0,IF(R$3=st_ca30_crise_an,1,IF(R$3=st_ca30_crise_an+1,2,0)),0)</f>
        <v>0</v>
      </c>
      <c r="S11" s="22" t="n">
        <f aca="false">IF(st_ca30_crise_an&gt;0,IF(S$3=st_ca30_crise_an,1,IF(S$3=st_ca30_crise_an+1,2,0)),0)</f>
        <v>0</v>
      </c>
      <c r="T11" s="22" t="n">
        <f aca="false">IF(st_ca30_crise_an&gt;0,IF(T$3=st_ca30_crise_an,1,IF(T$3=st_ca30_crise_an+1,2,0)),0)</f>
        <v>0</v>
      </c>
      <c r="U11" s="22" t="n">
        <f aca="false">IF(st_ca30_crise_an&gt;0,IF(U$3=st_ca30_crise_an,1,IF(U$3=st_ca30_crise_an+1,2,0)),0)</f>
        <v>0</v>
      </c>
      <c r="V11" s="22" t="n">
        <f aca="false">IF(st_ca30_crise_an&gt;0,IF(V$3=st_ca30_crise_an,1,IF(V$3=st_ca30_crise_an+1,2,0)),0)</f>
        <v>0</v>
      </c>
      <c r="W11" s="22" t="n">
        <f aca="false">IF(st_ca30_crise_an&gt;0,IF(W$3=st_ca30_crise_an,1,IF(W$3=st_ca30_crise_an+1,2,0)),0)</f>
        <v>0</v>
      </c>
      <c r="X11" s="22" t="n">
        <f aca="false">IF(st_ca30_crise_an&gt;0,IF(X$3=st_ca30_crise_an,1,IF(X$3=st_ca30_crise_an+1,2,0)),0)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(bud_chauffage_S2+bud_hors_gel_S2+bud_electricite_S2)*E7*IF(AND(E$3&gt;=st_ca30_energie_debut,E$3&lt;=st_ca30_energie_fin),st_ca30_energie_mult,1)</f>
        <v>52815.6</v>
      </c>
      <c r="F14" s="17" t="n">
        <f aca="false">(bud_chauffage_S2+bud_hors_gel_S2+bud_electricite_S2)*F7*IF(AND(F$3&gt;=st_ca30_energie_debut,F$3&lt;=st_ca30_energie_fin),st_ca30_energie_mult,1)</f>
        <v>53871.912</v>
      </c>
      <c r="G14" s="17" t="n">
        <f aca="false">(bud_chauffage_S2+bud_hors_gel_S2+bud_electricite_S2)*G7*IF(AND(G$3&gt;=st_ca30_energie_debut,G$3&lt;=st_ca30_energie_fin),st_ca30_energie_mult,1)</f>
        <v>54949.35024</v>
      </c>
      <c r="H14" s="17" t="n">
        <f aca="false">(bud_chauffage_S2+bud_hors_gel_S2+bud_electricite_S2)*H7*IF(AND(H$3&gt;=st_ca30_energie_debut,H$3&lt;=st_ca30_energie_fin),st_ca30_energie_mult,1)</f>
        <v>56048.3372448</v>
      </c>
      <c r="I14" s="17" t="n">
        <f aca="false">(bud_chauffage_S2+bud_hors_gel_S2+bud_electricite_S2)*I7*IF(AND(I$3&gt;=st_ca30_energie_debut,I$3&lt;=st_ca30_energie_fin),st_ca30_energie_mult,1)</f>
        <v>57169.303989696</v>
      </c>
      <c r="J14" s="17" t="n">
        <f aca="false">(bud_chauffage_S2+bud_hors_gel_S2+bud_electricite_S2)*J7*IF(AND(J$3&gt;=st_ca30_energie_debut,J$3&lt;=st_ca30_energie_fin),st_ca30_energie_mult,1)</f>
        <v>58312.6900694899</v>
      </c>
      <c r="K14" s="17" t="n">
        <f aca="false">(bud_chauffage_S2+bud_hors_gel_S2+bud_electricite_S2)*K7*IF(AND(K$3&gt;=st_ca30_energie_debut,K$3&lt;=st_ca30_energie_fin),st_ca30_energie_mult,1)</f>
        <v>59478.9438708797</v>
      </c>
      <c r="L14" s="17" t="n">
        <f aca="false">(bud_chauffage_S2+bud_hors_gel_S2+bud_electricite_S2)*L7*IF(AND(L$3&gt;=st_ca30_energie_debut,L$3&lt;=st_ca30_energie_fin),st_ca30_energie_mult,1)</f>
        <v>60668.5227482973</v>
      </c>
      <c r="M14" s="17" t="n">
        <f aca="false">(bud_chauffage_S2+bud_hors_gel_S2+bud_electricite_S2)*M7*IF(AND(M$3&gt;=st_ca30_energie_debut,M$3&lt;=st_ca30_energie_fin),st_ca30_energie_mult,1)</f>
        <v>61881.8932032633</v>
      </c>
      <c r="N14" s="17" t="n">
        <f aca="false">(bud_chauffage_S2+bud_hors_gel_S2+bud_electricite_S2)*N7*IF(AND(N$3&gt;=st_ca30_energie_debut,N$3&lt;=st_ca30_energie_fin),st_ca30_energie_mult,1)</f>
        <v>63119.5310673285</v>
      </c>
      <c r="O14" s="17" t="n">
        <f aca="false">(bud_chauffage_S2+bud_hors_gel_S2+bud_electricite_S2)*O7*IF(AND(O$3&gt;=st_ca30_energie_debut,O$3&lt;=st_ca30_energie_fin),st_ca30_energie_mult,1)</f>
        <v>64381.9216886751</v>
      </c>
      <c r="P14" s="17" t="n">
        <f aca="false">(bud_chauffage_S2+bud_hors_gel_S2+bud_electricite_S2)*P7*IF(AND(P$3&gt;=st_ca30_energie_debut,P$3&lt;=st_ca30_energie_fin),st_ca30_energie_mult,1)</f>
        <v>65669.5601224486</v>
      </c>
      <c r="Q14" s="17" t="n">
        <f aca="false">(bud_chauffage_S2+bud_hors_gel_S2+bud_electricite_S2)*Q7*IF(AND(Q$3&gt;=st_ca30_energie_debut,Q$3&lt;=st_ca30_energie_fin),st_ca30_energie_mult,1)</f>
        <v>66982.9513248976</v>
      </c>
      <c r="R14" s="17" t="n">
        <f aca="false">(bud_chauffage_S2+bud_hors_gel_S2+bud_electricite_S2)*R7*IF(AND(R$3&gt;=st_ca30_energie_debut,R$3&lt;=st_ca30_energie_fin),st_ca30_energie_mult,1)</f>
        <v>68322.6103513955</v>
      </c>
      <c r="S14" s="17" t="n">
        <f aca="false">(bud_chauffage_S2+bud_hors_gel_S2+bud_electricite_S2)*S7*IF(AND(S$3&gt;=st_ca30_energie_debut,S$3&lt;=st_ca30_energie_fin),st_ca30_energie_mult,1)</f>
        <v>69689.0625584235</v>
      </c>
      <c r="T14" s="17" t="n">
        <f aca="false">(bud_chauffage_S2+bud_hors_gel_S2+bud_electricite_S2)*T7*IF(AND(T$3&gt;=st_ca30_energie_debut,T$3&lt;=st_ca30_energie_fin),st_ca30_energie_mult,1)</f>
        <v>71082.8438095919</v>
      </c>
      <c r="U14" s="17" t="n">
        <f aca="false">(bud_chauffage_S2+bud_hors_gel_S2+bud_electricite_S2)*U7*IF(AND(U$3&gt;=st_ca30_energie_debut,U$3&lt;=st_ca30_energie_fin),st_ca30_energie_mult,1)</f>
        <v>72504.5006857838</v>
      </c>
      <c r="V14" s="17" t="n">
        <f aca="false">(bud_chauffage_S2+bud_hors_gel_S2+bud_electricite_S2)*V7*IF(AND(V$3&gt;=st_ca30_energie_debut,V$3&lt;=st_ca30_energie_fin),st_ca30_energie_mult,1)</f>
        <v>73954.5906994994</v>
      </c>
      <c r="W14" s="17" t="n">
        <f aca="false">(bud_chauffage_S2+bud_hors_gel_S2+bud_electricite_S2)*W7*IF(AND(W$3&gt;=st_ca30_energie_debut,W$3&lt;=st_ca30_energie_fin),st_ca30_energie_mult,1)</f>
        <v>75433.6825134894</v>
      </c>
      <c r="X14" s="17" t="n">
        <f aca="false">(bud_chauffage_S2+bud_hors_gel_S2+bud_electricite_S2)*X7*IF(AND(X$3&gt;=st_ca30_energie_debut,X$3&lt;=st_ca30_energie_fin),st_ca30_energie_mult,1)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IF(MOD(E$3,campagne_periode)=0,(D22+E17)*st_ca30_mult_campagne*(1-E12*flex_report),0)</f>
        <v>0</v>
      </c>
      <c r="F19" s="17" t="n">
        <f aca="false">IF(MOD(F$3,campagne_periode)=0,(E22+F17)*st_ca30_mult_campagne*(1-F12*flex_report),0)</f>
        <v>0</v>
      </c>
      <c r="G19" s="17" t="n">
        <f aca="false">IF(MOD(G$3,campagne_periode)=0,(F22+G17)*st_ca30_mult_campagne*(1-G12*flex_report),0)</f>
        <v>0</v>
      </c>
      <c r="H19" s="17" t="n">
        <f aca="false">IF(MOD(H$3,campagne_periode)=0,(G22+H17)*st_ca30_mult_campagne*(1-H12*flex_report),0)</f>
        <v>1400422.58710973</v>
      </c>
      <c r="I19" s="17" t="n">
        <f aca="false">IF(MOD(I$3,campagne_periode)=0,(H22+I17)*st_ca30_mult_campagne*(1-I12*flex_report),0)</f>
        <v>0</v>
      </c>
      <c r="J19" s="17" t="n">
        <f aca="false">IF(MOD(J$3,campagne_periode)=0,(I22+J17)*st_ca30_mult_campagne*(1-J12*flex_report),0)</f>
        <v>0</v>
      </c>
      <c r="K19" s="17" t="n">
        <f aca="false">IF(MOD(K$3,campagne_periode)=0,(J22+K17)*st_ca30_mult_campagne*(1-K12*flex_report),0)</f>
        <v>0</v>
      </c>
      <c r="L19" s="17" t="n">
        <f aca="false">IF(MOD(L$3,campagne_periode)=0,(K22+L17)*st_ca30_mult_campagne*(1-L12*flex_report),0)</f>
        <v>1442910.27499031</v>
      </c>
      <c r="M19" s="17" t="n">
        <f aca="false">IF(MOD(M$3,campagne_periode)=0,(L22+M17)*st_ca30_mult_campagne*(1-M12*flex_report),0)</f>
        <v>0</v>
      </c>
      <c r="N19" s="17" t="n">
        <f aca="false">IF(MOD(N$3,campagne_periode)=0,(M22+N17)*st_ca30_mult_campagne*(1-N12*flex_report),0)</f>
        <v>0</v>
      </c>
      <c r="O19" s="17" t="n">
        <f aca="false">IF(MOD(O$3,campagne_periode)=0,(N22+O17)*st_ca30_mult_campagne*(1-O12*flex_report),0)</f>
        <v>0</v>
      </c>
      <c r="P19" s="17" t="n">
        <f aca="false">IF(MOD(P$3,campagne_periode)=0,(O22+P17)*st_ca30_mult_campagne*(1-P12*flex_report),0)</f>
        <v>1486687.00493438</v>
      </c>
      <c r="Q19" s="17" t="n">
        <f aca="false">IF(MOD(Q$3,campagne_periode)=0,(P22+Q17)*st_ca30_mult_campagne*(1-Q12*flex_report),0)</f>
        <v>0</v>
      </c>
      <c r="R19" s="17" t="n">
        <f aca="false">IF(MOD(R$3,campagne_periode)=0,(Q22+R17)*st_ca30_mult_campagne*(1-R12*flex_report),0)</f>
        <v>0</v>
      </c>
      <c r="S19" s="17" t="n">
        <f aca="false">IF(MOD(S$3,campagne_periode)=0,(R22+S17)*st_ca30_mult_campagne*(1-S12*flex_report),0)</f>
        <v>0</v>
      </c>
      <c r="T19" s="17" t="n">
        <f aca="false">IF(MOD(T$3,campagne_periode)=0,(S22+T17)*st_ca30_mult_campagne*(1-T12*flex_report),0)</f>
        <v>1531791.88543486</v>
      </c>
      <c r="U19" s="17" t="n">
        <f aca="false">IF(MOD(U$3,campagne_periode)=0,(T22+U17)*st_ca30_mult_campagne*(1-U12*flex_report),0)</f>
        <v>0</v>
      </c>
      <c r="V19" s="17" t="n">
        <f aca="false">IF(MOD(V$3,campagne_periode)=0,(U22+V17)*st_ca30_mult_campagne*(1-V12*flex_report),0)</f>
        <v>0</v>
      </c>
      <c r="W19" s="17" t="n">
        <f aca="false">IF(MOD(W$3,campagne_periode)=0,(V22+W17)*st_ca30_mult_campagne*(1-W12*flex_report),0)</f>
        <v>0</v>
      </c>
      <c r="X19" s="17" t="n">
        <f aca="false">IF(MOD(X$3,campagne_periode)=0,(W22+X17)*st_ca30_mult_campagne*(1-X12*flex_report),0)</f>
        <v>1578265.21150474</v>
      </c>
    </row>
    <row r="20" customFormat="false" ht="15" hidden="false" customHeight="false" outlineLevel="0" collapsed="false">
      <c r="A20" s="2" t="s">
        <v>1852</v>
      </c>
      <c r="B20" s="2" t="s">
        <v>1853</v>
      </c>
      <c r="C20" s="2" t="s">
        <v>1839</v>
      </c>
      <c r="E20" s="17" t="n">
        <f aca="false">IF(E$3=st_ca30_choc_trav_an,st_ca30_choc_trav_montant,0)</f>
        <v>0</v>
      </c>
      <c r="F20" s="17" t="n">
        <f aca="false">IF(F$3=st_ca30_choc_trav_an,st_ca30_choc_trav_montant,0)</f>
        <v>0</v>
      </c>
      <c r="G20" s="17" t="n">
        <f aca="false">IF(G$3=st_ca30_choc_trav_an,st_ca30_choc_trav_montant,0)</f>
        <v>0</v>
      </c>
      <c r="H20" s="17" t="n">
        <f aca="false">IF(H$3=st_ca30_choc_trav_an,st_ca30_choc_trav_montant,0)</f>
        <v>0</v>
      </c>
      <c r="I20" s="17" t="n">
        <f aca="false">IF(I$3=st_ca30_choc_trav_an,st_ca30_choc_trav_montant,0)</f>
        <v>0</v>
      </c>
      <c r="J20" s="17" t="n">
        <f aca="false">IF(J$3=st_ca30_choc_trav_an,st_ca30_choc_trav_montant,0)</f>
        <v>0</v>
      </c>
      <c r="K20" s="17" t="n">
        <f aca="false">IF(K$3=st_ca30_choc_trav_an,st_ca30_choc_trav_montant,0)</f>
        <v>0</v>
      </c>
      <c r="L20" s="17" t="n">
        <f aca="false">IF(L$3=st_ca30_choc_trav_an,st_ca30_choc_trav_montant,0)</f>
        <v>0</v>
      </c>
      <c r="M20" s="17" t="n">
        <f aca="false">IF(M$3=st_ca30_choc_trav_an,st_ca30_choc_trav_montant,0)</f>
        <v>0</v>
      </c>
      <c r="N20" s="17" t="n">
        <f aca="false">IF(N$3=st_ca30_choc_trav_an,st_ca30_choc_trav_montant,0)</f>
        <v>0</v>
      </c>
      <c r="O20" s="17" t="n">
        <f aca="false">IF(O$3=st_ca30_choc_trav_an,st_ca30_choc_trav_montant,0)</f>
        <v>0</v>
      </c>
      <c r="P20" s="17" t="n">
        <f aca="false">IF(P$3=st_ca30_choc_trav_an,st_ca30_choc_trav_montant,0)</f>
        <v>0</v>
      </c>
      <c r="Q20" s="17" t="n">
        <f aca="false">IF(Q$3=st_ca30_choc_trav_an,st_ca30_choc_trav_montant,0)</f>
        <v>0</v>
      </c>
      <c r="R20" s="17" t="n">
        <f aca="false">IF(R$3=st_ca30_choc_trav_an,st_ca30_choc_trav_montant,0)</f>
        <v>0</v>
      </c>
      <c r="S20" s="17" t="n">
        <f aca="false">IF(S$3=st_ca30_choc_trav_an,st_ca30_choc_trav_montant,0)</f>
        <v>0</v>
      </c>
      <c r="T20" s="17" t="n">
        <f aca="false">IF(T$3=st_ca30_choc_trav_an,st_ca30_choc_trav_montant,0)</f>
        <v>0</v>
      </c>
      <c r="U20" s="17" t="n">
        <f aca="false">IF(U$3=st_ca30_choc_trav_an,st_ca30_choc_trav_montant,0)</f>
        <v>0</v>
      </c>
      <c r="V20" s="17" t="n">
        <f aca="false">IF(V$3=st_ca30_choc_trav_an,st_ca30_choc_trav_montant,0)</f>
        <v>0</v>
      </c>
      <c r="W20" s="17" t="n">
        <f aca="false">IF(W$3=st_ca30_choc_trav_an,st_ca30_choc_trav_montant,0)</f>
        <v>0</v>
      </c>
      <c r="X20" s="17" t="n">
        <f aca="false">IF(X$3=st_ca30_choc_trav_an,st_ca30_choc_trav_montant,0)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(S2_ech_log*mot_log_cn+S2_ech_stock*mot_stock_cn+S2_ech_pv*mot_pv_cn+S2_ech_bois*mot_bois_cn)*E24*E9*IF(E$3&gt;=st_ca30_debut_mult,st_ca30_mult_A,1)*IF(E11=1,1-0.05,IF(E11=2,1-0.02,1))</f>
        <v>21930.4</v>
      </c>
      <c r="F25" s="17" t="n">
        <f aca="false">(S2_ech_log*mot_log_cn+S2_ech_stock*mot_stock_cn+S2_ech_pv*mot_pv_cn+S2_ech_bois*mot_bois_cn)*F24*F9*IF(F$3&gt;=st_ca30_debut_mult,st_ca30_mult_A,1)*IF(F11=1,1-0.05,IF(F11=2,1-0.02,1))</f>
        <v>41119.5</v>
      </c>
      <c r="G25" s="17" t="n">
        <f aca="false">(S2_ech_log*mot_log_cn+S2_ech_stock*mot_stock_cn+S2_ech_pv*mot_pv_cn+S2_ech_bois*mot_bois_cn)*G24*G9*IF(G$3&gt;=st_ca30_debut_mult,st_ca30_mult_A,1)*IF(G11=1,1-0.05,IF(G11=2,1-0.02,1))</f>
        <v>38378.2</v>
      </c>
      <c r="H25" s="17" t="n">
        <f aca="false">(S2_ech_log*mot_log_cn+S2_ech_stock*mot_stock_cn+S2_ech_pv*mot_pv_cn+S2_ech_bois*mot_bois_cn)*H24*H9*IF(H$3&gt;=st_ca30_debut_mult,st_ca30_mult_A,1)*IF(H11=1,1-0.05,IF(H11=2,1-0.02,1))</f>
        <v>38378.2</v>
      </c>
      <c r="I25" s="17" t="n">
        <f aca="false">(S2_ech_log*mot_log_cn+S2_ech_stock*mot_stock_cn+S2_ech_pv*mot_pv_cn+S2_ech_bois*mot_bois_cn)*I24*I9*IF(I$3&gt;=st_ca30_debut_mult,st_ca30_mult_A,1)*IF(I11=1,1-0.05,IF(I11=2,1-0.02,1))</f>
        <v>38378.2</v>
      </c>
      <c r="J25" s="17" t="n">
        <f aca="false">(S2_ech_log*mot_log_cn+S2_ech_stock*mot_stock_cn+S2_ech_pv*mot_pv_cn+S2_ech_bois*mot_bois_cn)*J24*J9*IF(J$3&gt;=st_ca30_debut_mult,st_ca30_mult_A,1)*IF(J11=1,1-0.05,IF(J11=2,1-0.02,1))</f>
        <v>38378.2</v>
      </c>
      <c r="K25" s="17" t="n">
        <f aca="false">(S2_ech_log*mot_log_cn+S2_ech_stock*mot_stock_cn+S2_ech_pv*mot_pv_cn+S2_ech_bois*mot_bois_cn)*K24*K9*IF(K$3&gt;=st_ca30_debut_mult,st_ca30_mult_A,1)*IF(K11=1,1-0.05,IF(K11=2,1-0.02,1))</f>
        <v>38378.2</v>
      </c>
      <c r="L25" s="17" t="n">
        <f aca="false">(S2_ech_log*mot_log_cn+S2_ech_stock*mot_stock_cn+S2_ech_pv*mot_pv_cn+S2_ech_bois*mot_bois_cn)*L24*L9*IF(L$3&gt;=st_ca30_debut_mult,st_ca30_mult_A,1)*IF(L11=1,1-0.05,IF(L11=2,1-0.02,1))</f>
        <v>38378.2</v>
      </c>
      <c r="M25" s="17" t="n">
        <f aca="false">(S2_ech_log*mot_log_cn+S2_ech_stock*mot_stock_cn+S2_ech_pv*mot_pv_cn+S2_ech_bois*mot_bois_cn)*M24*M9*IF(M$3&gt;=st_ca30_debut_mult,st_ca30_mult_A,1)*IF(M11=1,1-0.05,IF(M11=2,1-0.02,1))</f>
        <v>38378.2</v>
      </c>
      <c r="N25" s="17" t="n">
        <f aca="false">(S2_ech_log*mot_log_cn+S2_ech_stock*mot_stock_cn+S2_ech_pv*mot_pv_cn+S2_ech_bois*mot_bois_cn)*N24*N9*IF(N$3&gt;=st_ca30_debut_mult,st_ca30_mult_A,1)*IF(N11=1,1-0.05,IF(N11=2,1-0.02,1))</f>
        <v>38378.2</v>
      </c>
      <c r="O25" s="17" t="n">
        <f aca="false">(S2_ech_log*mot_log_cn+S2_ech_stock*mot_stock_cn+S2_ech_pv*mot_pv_cn+S2_ech_bois*mot_bois_cn)*O24*O9*IF(O$3&gt;=st_ca30_debut_mult,st_ca30_mult_A,1)*IF(O11=1,1-0.05,IF(O11=2,1-0.02,1))</f>
        <v>38378.2</v>
      </c>
      <c r="P25" s="17" t="n">
        <f aca="false">(S2_ech_log*mot_log_cn+S2_ech_stock*mot_stock_cn+S2_ech_pv*mot_pv_cn+S2_ech_bois*mot_bois_cn)*P24*P9*IF(P$3&gt;=st_ca30_debut_mult,st_ca30_mult_A,1)*IF(P11=1,1-0.05,IF(P11=2,1-0.02,1))</f>
        <v>38378.2</v>
      </c>
      <c r="Q25" s="17" t="n">
        <f aca="false">(S2_ech_log*mot_log_cn+S2_ech_stock*mot_stock_cn+S2_ech_pv*mot_pv_cn+S2_ech_bois*mot_bois_cn)*Q24*Q9*IF(Q$3&gt;=st_ca30_debut_mult,st_ca30_mult_A,1)*IF(Q11=1,1-0.05,IF(Q11=2,1-0.02,1))</f>
        <v>38378.2</v>
      </c>
      <c r="R25" s="17" t="n">
        <f aca="false">(S2_ech_log*mot_log_cn+S2_ech_stock*mot_stock_cn+S2_ech_pv*mot_pv_cn+S2_ech_bois*mot_bois_cn)*R24*R9*IF(R$3&gt;=st_ca30_debut_mult,st_ca30_mult_A,1)*IF(R11=1,1-0.05,IF(R11=2,1-0.02,1))</f>
        <v>38378.2</v>
      </c>
      <c r="S25" s="17" t="n">
        <f aca="false">(S2_ech_log*mot_log_cn+S2_ech_stock*mot_stock_cn+S2_ech_pv*mot_pv_cn+S2_ech_bois*mot_bois_cn)*S24*S9*IF(S$3&gt;=st_ca30_debut_mult,st_ca30_mult_A,1)*IF(S11=1,1-0.05,IF(S11=2,1-0.02,1))</f>
        <v>38378.2</v>
      </c>
      <c r="T25" s="17" t="n">
        <f aca="false">(S2_ech_log*mot_log_cn+S2_ech_stock*mot_stock_cn+S2_ech_pv*mot_pv_cn+S2_ech_bois*mot_bois_cn)*T24*T9*IF(T$3&gt;=st_ca30_debut_mult,st_ca30_mult_A,1)*IF(T11=1,1-0.05,IF(T11=2,1-0.02,1))</f>
        <v>38378.2</v>
      </c>
      <c r="U25" s="17" t="n">
        <f aca="false">(S2_ech_log*mot_log_cn+S2_ech_stock*mot_stock_cn+S2_ech_pv*mot_pv_cn+S2_ech_bois*mot_bois_cn)*U24*U9*IF(U$3&gt;=st_ca30_debut_mult,st_ca30_mult_A,1)*IF(U11=1,1-0.05,IF(U11=2,1-0.02,1))</f>
        <v>38378.2</v>
      </c>
      <c r="V25" s="17" t="n">
        <f aca="false">(S2_ech_log*mot_log_cn+S2_ech_stock*mot_stock_cn+S2_ech_pv*mot_pv_cn+S2_ech_bois*mot_bois_cn)*V24*V9*IF(V$3&gt;=st_ca30_debut_mult,st_ca30_mult_A,1)*IF(V11=1,1-0.05,IF(V11=2,1-0.02,1))</f>
        <v>38378.2</v>
      </c>
      <c r="W25" s="17" t="n">
        <f aca="false">(S2_ech_log*mot_log_cn+S2_ech_stock*mot_stock_cn+S2_ech_pv*mot_pv_cn+S2_ech_bois*mot_bois_cn)*W24*W9*IF(W$3&gt;=st_ca30_debut_mult,st_ca30_mult_A,1)*IF(W11=1,1-0.05,IF(W11=2,1-0.02,1))</f>
        <v>38378.2</v>
      </c>
      <c r="X25" s="17" t="n">
        <f aca="false">(S2_ech_log*mot_log_cn+S2_ech_stock*mot_stock_cn+S2_ech_pv*mot_pv_cn+S2_ech_bois*mot_bois_cn)*X24*X9*IF(X$3&gt;=st_ca30_debut_mult,st_ca30_mult_A,1)*IF(X11=1,1-0.05,IF(X11=2,1-0.02,1))</f>
        <v>38378.2</v>
      </c>
    </row>
    <row r="26" customFormat="false" ht="15" hidden="false" customHeight="false" outlineLevel="0" collapsed="false">
      <c r="A26" s="2" t="s">
        <v>1864</v>
      </c>
      <c r="B26" s="2" t="s">
        <v>1865</v>
      </c>
      <c r="C26" s="2" t="s">
        <v>1839</v>
      </c>
      <c r="E26" s="17" t="n">
        <f aca="false">(S2_ech_eq_ret*mot_eq_ret_cn)*E24*E9*IF(E$3&gt;=st_ca30_debut_mult,st_ca30_mult_B,1)*IF(E11=1,1-0.15,IF(E11=2,1-0.05,1))</f>
        <v>4039.2</v>
      </c>
      <c r="F26" s="17" t="n">
        <f aca="false">(S2_ech_eq_ret*mot_eq_ret_cn)*F24*F9*IF(F$3&gt;=st_ca30_debut_mult,st_ca30_mult_B,1)*IF(F11=1,1-0.15,IF(F11=2,1-0.05,1))</f>
        <v>7573.5</v>
      </c>
      <c r="G26" s="17" t="n">
        <f aca="false">(S2_ech_eq_ret*mot_eq_ret_cn)*G24*G9*IF(G$3&gt;=st_ca30_debut_mult,st_ca30_mult_B,1)*IF(G11=1,1-0.15,IF(G11=2,1-0.05,1))</f>
        <v>7068.6</v>
      </c>
      <c r="H26" s="17" t="n">
        <f aca="false">(S2_ech_eq_ret*mot_eq_ret_cn)*H24*H9*IF(H$3&gt;=st_ca30_debut_mult,st_ca30_mult_B,1)*IF(H11=1,1-0.15,IF(H11=2,1-0.05,1))</f>
        <v>7068.6</v>
      </c>
      <c r="I26" s="17" t="n">
        <f aca="false">(S2_ech_eq_ret*mot_eq_ret_cn)*I24*I9*IF(I$3&gt;=st_ca30_debut_mult,st_ca30_mult_B,1)*IF(I11=1,1-0.15,IF(I11=2,1-0.05,1))</f>
        <v>7068.6</v>
      </c>
      <c r="J26" s="17" t="n">
        <f aca="false">(S2_ech_eq_ret*mot_eq_ret_cn)*J24*J9*IF(J$3&gt;=st_ca30_debut_mult,st_ca30_mult_B,1)*IF(J11=1,1-0.15,IF(J11=2,1-0.05,1))</f>
        <v>7068.6</v>
      </c>
      <c r="K26" s="17" t="n">
        <f aca="false">(S2_ech_eq_ret*mot_eq_ret_cn)*K24*K9*IF(K$3&gt;=st_ca30_debut_mult,st_ca30_mult_B,1)*IF(K11=1,1-0.15,IF(K11=2,1-0.05,1))</f>
        <v>7068.6</v>
      </c>
      <c r="L26" s="17" t="n">
        <f aca="false">(S2_ech_eq_ret*mot_eq_ret_cn)*L24*L9*IF(L$3&gt;=st_ca30_debut_mult,st_ca30_mult_B,1)*IF(L11=1,1-0.15,IF(L11=2,1-0.05,1))</f>
        <v>7068.6</v>
      </c>
      <c r="M26" s="17" t="n">
        <f aca="false">(S2_ech_eq_ret*mot_eq_ret_cn)*M24*M9*IF(M$3&gt;=st_ca30_debut_mult,st_ca30_mult_B,1)*IF(M11=1,1-0.15,IF(M11=2,1-0.05,1))</f>
        <v>7068.6</v>
      </c>
      <c r="N26" s="17" t="n">
        <f aca="false">(S2_ech_eq_ret*mot_eq_ret_cn)*N24*N9*IF(N$3&gt;=st_ca30_debut_mult,st_ca30_mult_B,1)*IF(N11=1,1-0.15,IF(N11=2,1-0.05,1))</f>
        <v>7068.6</v>
      </c>
      <c r="O26" s="17" t="n">
        <f aca="false">(S2_ech_eq_ret*mot_eq_ret_cn)*O24*O9*IF(O$3&gt;=st_ca30_debut_mult,st_ca30_mult_B,1)*IF(O11=1,1-0.15,IF(O11=2,1-0.05,1))</f>
        <v>7068.6</v>
      </c>
      <c r="P26" s="17" t="n">
        <f aca="false">(S2_ech_eq_ret*mot_eq_ret_cn)*P24*P9*IF(P$3&gt;=st_ca30_debut_mult,st_ca30_mult_B,1)*IF(P11=1,1-0.15,IF(P11=2,1-0.05,1))</f>
        <v>7068.6</v>
      </c>
      <c r="Q26" s="17" t="n">
        <f aca="false">(S2_ech_eq_ret*mot_eq_ret_cn)*Q24*Q9*IF(Q$3&gt;=st_ca30_debut_mult,st_ca30_mult_B,1)*IF(Q11=1,1-0.15,IF(Q11=2,1-0.05,1))</f>
        <v>7068.6</v>
      </c>
      <c r="R26" s="17" t="n">
        <f aca="false">(S2_ech_eq_ret*mot_eq_ret_cn)*R24*R9*IF(R$3&gt;=st_ca30_debut_mult,st_ca30_mult_B,1)*IF(R11=1,1-0.15,IF(R11=2,1-0.05,1))</f>
        <v>7068.6</v>
      </c>
      <c r="S26" s="17" t="n">
        <f aca="false">(S2_ech_eq_ret*mot_eq_ret_cn)*S24*S9*IF(S$3&gt;=st_ca30_debut_mult,st_ca30_mult_B,1)*IF(S11=1,1-0.15,IF(S11=2,1-0.05,1))</f>
        <v>7068.6</v>
      </c>
      <c r="T26" s="17" t="n">
        <f aca="false">(S2_ech_eq_ret*mot_eq_ret_cn)*T24*T9*IF(T$3&gt;=st_ca30_debut_mult,st_ca30_mult_B,1)*IF(T11=1,1-0.15,IF(T11=2,1-0.05,1))</f>
        <v>7068.6</v>
      </c>
      <c r="U26" s="17" t="n">
        <f aca="false">(S2_ech_eq_ret*mot_eq_ret_cn)*U24*U9*IF(U$3&gt;=st_ca30_debut_mult,st_ca30_mult_B,1)*IF(U11=1,1-0.15,IF(U11=2,1-0.05,1))</f>
        <v>7068.6</v>
      </c>
      <c r="V26" s="17" t="n">
        <f aca="false">(S2_ech_eq_ret*mot_eq_ret_cn)*V24*V9*IF(V$3&gt;=st_ca30_debut_mult,st_ca30_mult_B,1)*IF(V11=1,1-0.15,IF(V11=2,1-0.05,1))</f>
        <v>7068.6</v>
      </c>
      <c r="W26" s="17" t="n">
        <f aca="false">(S2_ech_eq_ret*mot_eq_ret_cn)*W24*W9*IF(W$3&gt;=st_ca30_debut_mult,st_ca30_mult_B,1)*IF(W11=1,1-0.15,IF(W11=2,1-0.05,1))</f>
        <v>7068.6</v>
      </c>
      <c r="X26" s="17" t="n">
        <f aca="false">(S2_ech_eq_ret*mot_eq_ret_cn)*X24*X9*IF(X$3&gt;=st_ca30_debut_mult,st_ca30_mult_B,1)*IF(X11=1,1-0.15,IF(X11=2,1-0.05,1))</f>
        <v>7068.6</v>
      </c>
    </row>
    <row r="27" customFormat="false" ht="15" hidden="false" customHeight="false" outlineLevel="0" collapsed="false">
      <c r="A27" s="2" t="s">
        <v>1866</v>
      </c>
      <c r="B27" s="2" t="s">
        <v>1867</v>
      </c>
      <c r="C27" s="2" t="s">
        <v>1839</v>
      </c>
      <c r="E27" s="17" t="n">
        <f aca="false">(S2_ech_tourn*mot_tourn_cn)*E24*E9*IF(E$3&gt;=st_ca30_debut_mult,st_ca30_mult_C,1)*IF(E11=1,1-0.8,IF(E11=2,1-0.3,1))</f>
        <v>2380</v>
      </c>
      <c r="F27" s="17" t="n">
        <f aca="false">(S2_ech_tourn*mot_tourn_cn)*F24*F9*IF(F$3&gt;=st_ca30_debut_mult,st_ca30_mult_C,1)*IF(F11=1,1-0.8,IF(F11=2,1-0.3,1))</f>
        <v>4462.5</v>
      </c>
      <c r="G27" s="17" t="n">
        <f aca="false">(S2_ech_tourn*mot_tourn_cn)*G24*G9*IF(G$3&gt;=st_ca30_debut_mult,st_ca30_mult_C,1)*IF(G11=1,1-0.8,IF(G11=2,1-0.3,1))</f>
        <v>4165</v>
      </c>
      <c r="H27" s="17" t="n">
        <f aca="false">(S2_ech_tourn*mot_tourn_cn)*H24*H9*IF(H$3&gt;=st_ca30_debut_mult,st_ca30_mult_C,1)*IF(H11=1,1-0.8,IF(H11=2,1-0.3,1))</f>
        <v>4165</v>
      </c>
      <c r="I27" s="17" t="n">
        <f aca="false">(S2_ech_tourn*mot_tourn_cn)*I24*I9*IF(I$3&gt;=st_ca30_debut_mult,st_ca30_mult_C,1)*IF(I11=1,1-0.8,IF(I11=2,1-0.3,1))</f>
        <v>4165</v>
      </c>
      <c r="J27" s="17" t="n">
        <f aca="false">(S2_ech_tourn*mot_tourn_cn)*J24*J9*IF(J$3&gt;=st_ca30_debut_mult,st_ca30_mult_C,1)*IF(J11=1,1-0.8,IF(J11=2,1-0.3,1))</f>
        <v>4165</v>
      </c>
      <c r="K27" s="17" t="n">
        <f aca="false">(S2_ech_tourn*mot_tourn_cn)*K24*K9*IF(K$3&gt;=st_ca30_debut_mult,st_ca30_mult_C,1)*IF(K11=1,1-0.8,IF(K11=2,1-0.3,1))</f>
        <v>4165</v>
      </c>
      <c r="L27" s="17" t="n">
        <f aca="false">(S2_ech_tourn*mot_tourn_cn)*L24*L9*IF(L$3&gt;=st_ca30_debut_mult,st_ca30_mult_C,1)*IF(L11=1,1-0.8,IF(L11=2,1-0.3,1))</f>
        <v>4165</v>
      </c>
      <c r="M27" s="17" t="n">
        <f aca="false">(S2_ech_tourn*mot_tourn_cn)*M24*M9*IF(M$3&gt;=st_ca30_debut_mult,st_ca30_mult_C,1)*IF(M11=1,1-0.8,IF(M11=2,1-0.3,1))</f>
        <v>4165</v>
      </c>
      <c r="N27" s="17" t="n">
        <f aca="false">(S2_ech_tourn*mot_tourn_cn)*N24*N9*IF(N$3&gt;=st_ca30_debut_mult,st_ca30_mult_C,1)*IF(N11=1,1-0.8,IF(N11=2,1-0.3,1))</f>
        <v>4165</v>
      </c>
      <c r="O27" s="17" t="n">
        <f aca="false">(S2_ech_tourn*mot_tourn_cn)*O24*O9*IF(O$3&gt;=st_ca30_debut_mult,st_ca30_mult_C,1)*IF(O11=1,1-0.8,IF(O11=2,1-0.3,1))</f>
        <v>4165</v>
      </c>
      <c r="P27" s="17" t="n">
        <f aca="false">(S2_ech_tourn*mot_tourn_cn)*P24*P9*IF(P$3&gt;=st_ca30_debut_mult,st_ca30_mult_C,1)*IF(P11=1,1-0.8,IF(P11=2,1-0.3,1))</f>
        <v>4165</v>
      </c>
      <c r="Q27" s="17" t="n">
        <f aca="false">(S2_ech_tourn*mot_tourn_cn)*Q24*Q9*IF(Q$3&gt;=st_ca30_debut_mult,st_ca30_mult_C,1)*IF(Q11=1,1-0.8,IF(Q11=2,1-0.3,1))</f>
        <v>4165</v>
      </c>
      <c r="R27" s="17" t="n">
        <f aca="false">(S2_ech_tourn*mot_tourn_cn)*R24*R9*IF(R$3&gt;=st_ca30_debut_mult,st_ca30_mult_C,1)*IF(R11=1,1-0.8,IF(R11=2,1-0.3,1))</f>
        <v>4165</v>
      </c>
      <c r="S27" s="17" t="n">
        <f aca="false">(S2_ech_tourn*mot_tourn_cn)*S24*S9*IF(S$3&gt;=st_ca30_debut_mult,st_ca30_mult_C,1)*IF(S11=1,1-0.8,IF(S11=2,1-0.3,1))</f>
        <v>4165</v>
      </c>
      <c r="T27" s="17" t="n">
        <f aca="false">(S2_ech_tourn*mot_tourn_cn)*T24*T9*IF(T$3&gt;=st_ca30_debut_mult,st_ca30_mult_C,1)*IF(T11=1,1-0.8,IF(T11=2,1-0.3,1))</f>
        <v>4165</v>
      </c>
      <c r="U27" s="17" t="n">
        <f aca="false">(S2_ech_tourn*mot_tourn_cn)*U24*U9*IF(U$3&gt;=st_ca30_debut_mult,st_ca30_mult_C,1)*IF(U11=1,1-0.8,IF(U11=2,1-0.3,1))</f>
        <v>4165</v>
      </c>
      <c r="V27" s="17" t="n">
        <f aca="false">(S2_ech_tourn*mot_tourn_cn)*V24*V9*IF(V$3&gt;=st_ca30_debut_mult,st_ca30_mult_C,1)*IF(V11=1,1-0.8,IF(V11=2,1-0.3,1))</f>
        <v>4165</v>
      </c>
      <c r="W27" s="17" t="n">
        <f aca="false">(S2_ech_tourn*mot_tourn_cn)*W24*W9*IF(W$3&gt;=st_ca30_debut_mult,st_ca30_mult_C,1)*IF(W11=1,1-0.8,IF(W11=2,1-0.3,1))</f>
        <v>4165</v>
      </c>
      <c r="X27" s="17" t="n">
        <f aca="false">(S2_ech_tourn*mot_tourn_cn)*X24*X9*IF(X$3&gt;=st_ca30_debut_mult,st_ca30_mult_C,1)*IF(X11=1,1-0.8,IF(X11=2,1-0.3,1))</f>
        <v>4165</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49611.8</v>
      </c>
      <c r="H28" s="17" t="n">
        <f aca="false">H25+H26+H27</f>
        <v>49611.8</v>
      </c>
      <c r="I28" s="17" t="n">
        <f aca="false">I25+I26+I27</f>
        <v>49611.8</v>
      </c>
      <c r="J28" s="17" t="n">
        <f aca="false">J25+J26+J27</f>
        <v>49611.8</v>
      </c>
      <c r="K28" s="17" t="n">
        <f aca="false">K25+K26+K27</f>
        <v>49611.8</v>
      </c>
      <c r="L28" s="17" t="n">
        <f aca="false">L25+L26+L27</f>
        <v>49611.8</v>
      </c>
      <c r="M28" s="17" t="n">
        <f aca="false">M25+M26+M27</f>
        <v>49611.8</v>
      </c>
      <c r="N28" s="17" t="n">
        <f aca="false">N25+N26+N27</f>
        <v>49611.8</v>
      </c>
      <c r="O28" s="17" t="n">
        <f aca="false">O25+O26+O27</f>
        <v>49611.8</v>
      </c>
      <c r="P28" s="17" t="n">
        <f aca="false">P25+P26+P27</f>
        <v>49611.8</v>
      </c>
      <c r="Q28" s="17" t="n">
        <f aca="false">Q25+Q26+Q27</f>
        <v>49611.8</v>
      </c>
      <c r="R28" s="17" t="n">
        <f aca="false">R25+R26+R27</f>
        <v>49611.8</v>
      </c>
      <c r="S28" s="17" t="n">
        <f aca="false">S25+S26+S27</f>
        <v>49611.8</v>
      </c>
      <c r="T28" s="17" t="n">
        <f aca="false">T25+T26+T27</f>
        <v>49611.8</v>
      </c>
      <c r="U28" s="17" t="n">
        <f aca="false">U25+U26+U27</f>
        <v>49611.8</v>
      </c>
      <c r="V28" s="17" t="n">
        <f aca="false">V25+V26+V27</f>
        <v>49611.8</v>
      </c>
      <c r="W28" s="17" t="n">
        <f aca="false">W25+W26+W27</f>
        <v>49611.8</v>
      </c>
      <c r="X28" s="17" t="n">
        <f aca="false">X25+X26+X27</f>
        <v>49611.8</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29767.08</v>
      </c>
      <c r="H29" s="17" t="n">
        <f aca="false">IF(H28&gt;0,H28*(1-fuite_fiscale),H28)</f>
        <v>29767.08</v>
      </c>
      <c r="I29" s="17" t="n">
        <f aca="false">IF(I28&gt;0,I28*(1-fuite_fiscale),I28)</f>
        <v>29767.08</v>
      </c>
      <c r="J29" s="17" t="n">
        <f aca="false">IF(J28&gt;0,J28*(1-fuite_fiscale),J28)</f>
        <v>29767.08</v>
      </c>
      <c r="K29" s="17" t="n">
        <f aca="false">IF(K28&gt;0,K28*(1-fuite_fiscale),K28)</f>
        <v>29767.08</v>
      </c>
      <c r="L29" s="17" t="n">
        <f aca="false">IF(L28&gt;0,L28*(1-fuite_fiscale),L28)</f>
        <v>29767.08</v>
      </c>
      <c r="M29" s="17" t="n">
        <f aca="false">IF(M28&gt;0,M28*(1-fuite_fiscale),M28)</f>
        <v>29767.08</v>
      </c>
      <c r="N29" s="17" t="n">
        <f aca="false">IF(N28&gt;0,N28*(1-fuite_fiscale),N28)</f>
        <v>29767.08</v>
      </c>
      <c r="O29" s="17" t="n">
        <f aca="false">IF(O28&gt;0,O28*(1-fuite_fiscale),O28)</f>
        <v>29767.08</v>
      </c>
      <c r="P29" s="17" t="n">
        <f aca="false">IF(P28&gt;0,P28*(1-fuite_fiscale),P28)</f>
        <v>29767.08</v>
      </c>
      <c r="Q29" s="17" t="n">
        <f aca="false">IF(Q28&gt;0,Q28*(1-fuite_fiscale),Q28)</f>
        <v>29767.08</v>
      </c>
      <c r="R29" s="17" t="n">
        <f aca="false">IF(R28&gt;0,R28*(1-fuite_fiscale),R28)</f>
        <v>29767.08</v>
      </c>
      <c r="S29" s="17" t="n">
        <f aca="false">IF(S28&gt;0,S28*(1-fuite_fiscale),S28)</f>
        <v>29767.08</v>
      </c>
      <c r="T29" s="17" t="n">
        <f aca="false">IF(T28&gt;0,T28*(1-fuite_fiscale),T28)</f>
        <v>29767.08</v>
      </c>
      <c r="U29" s="17" t="n">
        <f aca="false">IF(U28&gt;0,U28*(1-fuite_fiscale),U28)</f>
        <v>29767.08</v>
      </c>
      <c r="V29" s="17" t="n">
        <f aca="false">IF(V28&gt;0,V28*(1-fuite_fiscale),V28)</f>
        <v>29767.08</v>
      </c>
      <c r="W29" s="17" t="n">
        <f aca="false">IF(W28&gt;0,W28*(1-fuite_fiscale),W28)</f>
        <v>29767.08</v>
      </c>
      <c r="X29" s="17" t="n">
        <f aca="false">IF(X28&gt;0,X28*(1-fuite_fiscale),X28)</f>
        <v>29767.08</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1262954.41883834</v>
      </c>
      <c r="H35" s="17" t="n">
        <f aca="false">H13+H14+H15+H16+H17+H21+H32-H29-H23-H33-H34</f>
        <v>1269621.16719378</v>
      </c>
      <c r="I35" s="17" t="n">
        <f aca="false">I13+I14+I15+I16+I17+I21+I32-I29-I23-I33-I34</f>
        <v>1276356.21681921</v>
      </c>
      <c r="J35" s="17" t="n">
        <f aca="false">J13+J14+J15+J16+J17+J21+J32-J29-J23-J33-J34</f>
        <v>1283160.50837041</v>
      </c>
      <c r="K35" s="17" t="n">
        <f aca="false">K13+K14+K15+K16+K17+K21+K32-K29-K23-K33-K34</f>
        <v>1290034.99824168</v>
      </c>
      <c r="L35" s="17" t="n">
        <f aca="false">L13+L14+L15+L16+L17+L21+L32-L29-L23-L33-L34</f>
        <v>1296980.65885451</v>
      </c>
      <c r="M35" s="17" t="n">
        <f aca="false">M13+M14+M15+M16+M17+M21+M32-M29-M23-M33-M34</f>
        <v>1303998.47895166</v>
      </c>
      <c r="N35" s="17" t="n">
        <f aca="false">N13+N14+N15+N16+N17+N21+N32-N29-N23-N33-N34</f>
        <v>1311089.46389702</v>
      </c>
      <c r="O35" s="17" t="n">
        <f aca="false">O13+O14+O15+O16+O17+O21+O32-O29-O23-O33-O34</f>
        <v>1318254.63598098</v>
      </c>
      <c r="P35" s="17" t="n">
        <f aca="false">P13+P14+P15+P16+P17+P21+P32-P29-P23-P33-P34</f>
        <v>1325495.03473177</v>
      </c>
      <c r="Q35" s="17" t="n">
        <f aca="false">Q13+Q14+Q15+Q16+Q17+Q21+Q32-Q29-Q23-Q33-Q34</f>
        <v>1332811.71723266</v>
      </c>
      <c r="R35" s="17" t="n">
        <f aca="false">R13+R14+R15+R16+R17+R21+R32-R29-R23-R33-R34</f>
        <v>1340205.75844522</v>
      </c>
      <c r="S35" s="17" t="n">
        <f aca="false">S13+S14+S15+S16+S17+S21+S32-S29-S23-S33-S34</f>
        <v>1347678.25153873</v>
      </c>
      <c r="T35" s="17" t="n">
        <f aca="false">T13+T14+T15+T16+T17+T21+T32-T29-T23-T33-T34</f>
        <v>1355230.30822592</v>
      </c>
      <c r="U35" s="17" t="n">
        <f aca="false">U13+U14+U15+U16+U17+U21+U32-U29-U23-U33-U34</f>
        <v>1362863.05910507</v>
      </c>
      <c r="V35" s="17" t="n">
        <f aca="false">V13+V14+V15+V16+V17+V21+V32-V29-V23-V33-V34</f>
        <v>1370577.65400863</v>
      </c>
      <c r="W35" s="17" t="n">
        <f aca="false">W13+W14+W15+W16+W17+W21+W32-W29-W23-W33-W34</f>
        <v>1378375.26235855</v>
      </c>
      <c r="X35" s="17" t="n">
        <f aca="false">X13+X14+X15+X16+X17+X21+X32-X29-X23-X33-X34</f>
        <v>1386257.07352832</v>
      </c>
    </row>
    <row r="36" customFormat="false" ht="15" hidden="false" customHeight="false" outlineLevel="0" collapsed="false">
      <c r="A36" s="2" t="s">
        <v>1884</v>
      </c>
      <c r="B36" s="2" t="s">
        <v>1885</v>
      </c>
      <c r="C36" s="2" t="s">
        <v>1839</v>
      </c>
      <c r="E36" s="17" t="n">
        <f aca="false">IF(AND(E$3&lt;=S2_sol_div_annees,E$3&lt;=st_ca30_div_fin),S2_sol_div*IF(E11=1,0.5,1),0)</f>
        <v>1000000</v>
      </c>
      <c r="F36" s="17" t="n">
        <f aca="false">IF(AND(F$3&lt;=S2_sol_div_annees,F$3&lt;=st_ca30_div_fin),S2_sol_div*IF(F11=1,0.5,1),0)</f>
        <v>1000000</v>
      </c>
      <c r="G36" s="17" t="n">
        <f aca="false">IF(AND(G$3&lt;=S2_sol_div_annees,G$3&lt;=st_ca30_div_fin),S2_sol_div*IF(G11=1,0.5,1),0)</f>
        <v>1000000</v>
      </c>
      <c r="H36" s="17" t="n">
        <f aca="false">IF(AND(H$3&lt;=S2_sol_div_annees,H$3&lt;=st_ca30_div_fin),S2_sol_div*IF(H11=1,0.5,1),0)</f>
        <v>1000000</v>
      </c>
      <c r="I36" s="17" t="n">
        <f aca="false">IF(AND(I$3&lt;=S2_sol_div_annees,I$3&lt;=st_ca30_div_fin),S2_sol_div*IF(I11=1,0.5,1),0)</f>
        <v>1000000</v>
      </c>
      <c r="J36" s="17" t="n">
        <f aca="false">IF(AND(J$3&lt;=S2_sol_div_annees,J$3&lt;=st_ca30_div_fin),S2_sol_div*IF(J11=1,0.5,1),0)</f>
        <v>1000000</v>
      </c>
      <c r="K36" s="17" t="n">
        <f aca="false">IF(AND(K$3&lt;=S2_sol_div_annees,K$3&lt;=st_ca30_div_fin),S2_sol_div*IF(K11=1,0.5,1),0)</f>
        <v>1000000</v>
      </c>
      <c r="L36" s="17" t="n">
        <f aca="false">IF(AND(L$3&lt;=S2_sol_div_annees,L$3&lt;=st_ca30_div_fin),S2_sol_div*IF(L11=1,0.5,1),0)</f>
        <v>1000000</v>
      </c>
      <c r="M36" s="17" t="n">
        <f aca="false">IF(AND(M$3&lt;=S2_sol_div_annees,M$3&lt;=st_ca30_div_fin),S2_sol_div*IF(M11=1,0.5,1),0)</f>
        <v>1000000</v>
      </c>
      <c r="N36" s="17" t="n">
        <f aca="false">IF(AND(N$3&lt;=S2_sol_div_annees,N$3&lt;=st_ca30_div_fin),S2_sol_div*IF(N11=1,0.5,1),0)</f>
        <v>1000000</v>
      </c>
      <c r="O36" s="17" t="n">
        <f aca="false">IF(AND(O$3&lt;=S2_sol_div_annees,O$3&lt;=st_ca30_div_fin),S2_sol_div*IF(O11=1,0.5,1),0)</f>
        <v>0</v>
      </c>
      <c r="P36" s="17" t="n">
        <f aca="false">IF(AND(P$3&lt;=S2_sol_div_annees,P$3&lt;=st_ca30_div_fin),S2_sol_div*IF(P11=1,0.5,1),0)</f>
        <v>0</v>
      </c>
      <c r="Q36" s="17" t="n">
        <f aca="false">IF(AND(Q$3&lt;=S2_sol_div_annees,Q$3&lt;=st_ca30_div_fin),S2_sol_div*IF(Q11=1,0.5,1),0)</f>
        <v>0</v>
      </c>
      <c r="R36" s="17" t="n">
        <f aca="false">IF(AND(R$3&lt;=S2_sol_div_annees,R$3&lt;=st_ca30_div_fin),S2_sol_div*IF(R11=1,0.5,1),0)</f>
        <v>0</v>
      </c>
      <c r="S36" s="17" t="n">
        <f aca="false">IF(AND(S$3&lt;=S2_sol_div_annees,S$3&lt;=st_ca30_div_fin),S2_sol_div*IF(S11=1,0.5,1),0)</f>
        <v>0</v>
      </c>
      <c r="T36" s="17" t="n">
        <f aca="false">IF(AND(T$3&lt;=S2_sol_div_annees,T$3&lt;=st_ca30_div_fin),S2_sol_div*IF(T11=1,0.5,1),0)</f>
        <v>0</v>
      </c>
      <c r="U36" s="17" t="n">
        <f aca="false">IF(AND(U$3&lt;=S2_sol_div_annees,U$3&lt;=st_ca30_div_fin),S2_sol_div*IF(U11=1,0.5,1),0)</f>
        <v>0</v>
      </c>
      <c r="V36" s="17" t="n">
        <f aca="false">IF(AND(V$3&lt;=S2_sol_div_annees,V$3&lt;=st_ca30_div_fin),S2_sol_div*IF(V11=1,0.5,1),0)</f>
        <v>0</v>
      </c>
      <c r="W36" s="17" t="n">
        <f aca="false">IF(AND(W$3&lt;=S2_sol_div_annees,W$3&lt;=st_ca30_div_fin),S2_sol_div*IF(W11=1,0.5,1),0)</f>
        <v>0</v>
      </c>
      <c r="X36" s="17" t="n">
        <f aca="false">IF(AND(X$3&lt;=S2_sol_div_annees,X$3&lt;=st_ca30_div_fin),S2_sol_div*IF(X11=1,0.5,1),0)</f>
        <v>0</v>
      </c>
    </row>
    <row r="37" customFormat="false" ht="15" hidden="false" customHeight="false" outlineLevel="0" collapsed="false">
      <c r="A37" s="2" t="s">
        <v>1886</v>
      </c>
      <c r="B37" s="2" t="s">
        <v>1887</v>
      </c>
      <c r="C37" s="2" t="s">
        <v>46</v>
      </c>
      <c r="E37" s="20" t="n">
        <f aca="false">dot_rendement+st_ca30_dot_rdt_delta+IF(E11=1,-0.25,0)</f>
        <v>0.02</v>
      </c>
      <c r="F37" s="20" t="n">
        <f aca="false">dot_rendement+st_ca30_dot_rdt_delta+IF(F11=1,-0.25,0)</f>
        <v>0.02</v>
      </c>
      <c r="G37" s="20" t="n">
        <f aca="false">dot_rendement+st_ca30_dot_rdt_delta+IF(G11=1,-0.25,0)</f>
        <v>0.02</v>
      </c>
      <c r="H37" s="20" t="n">
        <f aca="false">dot_rendement+st_ca30_dot_rdt_delta+IF(H11=1,-0.25,0)</f>
        <v>0.02</v>
      </c>
      <c r="I37" s="20" t="n">
        <f aca="false">dot_rendement+st_ca30_dot_rdt_delta+IF(I11=1,-0.25,0)</f>
        <v>0.02</v>
      </c>
      <c r="J37" s="20" t="n">
        <f aca="false">dot_rendement+st_ca30_dot_rdt_delta+IF(J11=1,-0.25,0)</f>
        <v>0.02</v>
      </c>
      <c r="K37" s="20" t="n">
        <f aca="false">dot_rendement+st_ca30_dot_rdt_delta+IF(K11=1,-0.25,0)</f>
        <v>0.02</v>
      </c>
      <c r="L37" s="20" t="n">
        <f aca="false">dot_rendement+st_ca30_dot_rdt_delta+IF(L11=1,-0.25,0)</f>
        <v>0.02</v>
      </c>
      <c r="M37" s="20" t="n">
        <f aca="false">dot_rendement+st_ca30_dot_rdt_delta+IF(M11=1,-0.25,0)</f>
        <v>0.02</v>
      </c>
      <c r="N37" s="20" t="n">
        <f aca="false">dot_rendement+st_ca30_dot_rdt_delta+IF(N11=1,-0.25,0)</f>
        <v>0.02</v>
      </c>
      <c r="O37" s="20" t="n">
        <f aca="false">dot_rendement+st_ca30_dot_rdt_delta+IF(O11=1,-0.25,0)</f>
        <v>0.02</v>
      </c>
      <c r="P37" s="20" t="n">
        <f aca="false">dot_rendement+st_ca30_dot_rdt_delta+IF(P11=1,-0.25,0)</f>
        <v>0.02</v>
      </c>
      <c r="Q37" s="20" t="n">
        <f aca="false">dot_rendement+st_ca30_dot_rdt_delta+IF(Q11=1,-0.25,0)</f>
        <v>0.02</v>
      </c>
      <c r="R37" s="20" t="n">
        <f aca="false">dot_rendement+st_ca30_dot_rdt_delta+IF(R11=1,-0.25,0)</f>
        <v>0.02</v>
      </c>
      <c r="S37" s="20" t="n">
        <f aca="false">dot_rendement+st_ca30_dot_rdt_delta+IF(S11=1,-0.25,0)</f>
        <v>0.02</v>
      </c>
      <c r="T37" s="20" t="n">
        <f aca="false">dot_rendement+st_ca30_dot_rdt_delta+IF(T11=1,-0.25,0)</f>
        <v>0.02</v>
      </c>
      <c r="U37" s="20" t="n">
        <f aca="false">dot_rendement+st_ca30_dot_rdt_delta+IF(U11=1,-0.25,0)</f>
        <v>0.02</v>
      </c>
      <c r="V37" s="20" t="n">
        <f aca="false">dot_rendement+st_ca30_dot_rdt_delta+IF(V11=1,-0.25,0)</f>
        <v>0.02</v>
      </c>
      <c r="W37" s="20" t="n">
        <f aca="false">dot_rendement+st_ca30_dot_rdt_delta+IF(W11=1,-0.25,0)</f>
        <v>0.02</v>
      </c>
      <c r="X37" s="20" t="n">
        <f aca="false">dot_rendement+st_ca30_dot_rdt_delta+IF(X11=1,-0.25,0)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2129997.4129291</v>
      </c>
      <c r="I38" s="17" t="n">
        <f aca="false">lissage_depense*H38+(1-lissage_depense)*dot_taux_net*MAX(0,H44)</f>
        <v>2150559.30068618</v>
      </c>
      <c r="J38" s="17" t="n">
        <f aca="false">lissage_depense*I38+(1-lissage_depense)*dot_taux_net*MAX(0,I44)</f>
        <v>2174918.64561004</v>
      </c>
      <c r="K38" s="17" t="n">
        <f aca="false">lissage_depense*J38+(1-lissage_depense)*dot_taux_net*MAX(0,J44)</f>
        <v>2202449.91882677</v>
      </c>
      <c r="L38" s="17" t="n">
        <f aca="false">lissage_depense*K38+(1-lissage_depense)*dot_taux_net*MAX(0,K44)</f>
        <v>2232655.12550706</v>
      </c>
      <c r="M38" s="17" t="n">
        <f aca="false">lissage_depense*L38+(1-lissage_depense)*dot_taux_net*MAX(0,L44)</f>
        <v>2265138.34313485</v>
      </c>
      <c r="N38" s="17" t="n">
        <f aca="false">lissage_depense*M38+(1-lissage_depense)*dot_taux_net*MAX(0,M44)</f>
        <v>2299585.35296525</v>
      </c>
      <c r="O38" s="17" t="n">
        <f aca="false">lissage_depense*N38+(1-lissage_depense)*dot_taux_net*MAX(0,N44)</f>
        <v>2335747.34604954</v>
      </c>
      <c r="P38" s="17" t="n">
        <f aca="false">lissage_depense*O38+(1-lissage_depense)*dot_taux_net*MAX(0,O44)</f>
        <v>2369927.88892992</v>
      </c>
      <c r="Q38" s="17" t="n">
        <f aca="false">lissage_depense*P38+(1-lissage_depense)*dot_taux_net*MAX(0,P44)</f>
        <v>2402602.49708648</v>
      </c>
      <c r="R38" s="17" t="n">
        <f aca="false">lissage_depense*Q38+(1-lissage_depense)*dot_taux_net*MAX(0,Q44)</f>
        <v>2434152.89460258</v>
      </c>
      <c r="S38" s="17" t="n">
        <f aca="false">lissage_depense*R38+(1-lissage_depense)*dot_taux_net*MAX(0,R44)</f>
        <v>2464885.79482202</v>
      </c>
      <c r="T38" s="17" t="n">
        <f aca="false">lissage_depense*S38+(1-lissage_depense)*dot_taux_net*MAX(0,S44)</f>
        <v>2495047.92525685</v>
      </c>
      <c r="U38" s="17" t="n">
        <f aca="false">lissage_depense*T38+(1-lissage_depense)*dot_taux_net*MAX(0,T44)</f>
        <v>2524838.04790224</v>
      </c>
      <c r="V38" s="17" t="n">
        <f aca="false">lissage_depense*U38+(1-lissage_depense)*dot_taux_net*MAX(0,U44)</f>
        <v>2554416.57588347</v>
      </c>
      <c r="W38" s="17" t="n">
        <f aca="false">lissage_depense*V38+(1-lissage_depense)*dot_taux_net*MAX(0,V44)</f>
        <v>2583913.26717523</v>
      </c>
      <c r="X38" s="17" t="n">
        <f aca="false">lissage_depense*W38+(1-lissage_depense)*dot_taux_net*MAX(0,W44)</f>
        <v>2613433.37998568</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278189.628240237</v>
      </c>
      <c r="H41" s="17" t="n">
        <f aca="false">MIN(MAX(0,H35-H36+H40),IF(H12=1,MAX(H38,retrait_urgence*MAX(0,G44)),H38))</f>
        <v>284973.172848872</v>
      </c>
      <c r="I41" s="17" t="n">
        <f aca="false">MIN(MAX(0,I35-I36+I40),IF(I12=1,MAX(I38,retrait_urgence*MAX(0,H44)),I38))</f>
        <v>291826.482476012</v>
      </c>
      <c r="J41" s="17" t="n">
        <f aca="false">MIN(MAX(0,J35-J36+J40),IF(J12=1,MAX(J38,retrait_urgence*MAX(0,I44)),J38))</f>
        <v>298750.521020366</v>
      </c>
      <c r="K41" s="17" t="n">
        <f aca="false">MIN(MAX(0,K35-K36+K40),IF(K12=1,MAX(K38,retrait_urgence*MAX(0,J44)),K38))</f>
        <v>305746.26853608</v>
      </c>
      <c r="L41" s="17" t="n">
        <f aca="false">MIN(MAX(0,L35-L36+L40),IF(L12=1,MAX(L38,retrait_urgence*MAX(0,K44)),L38))</f>
        <v>312814.721529262</v>
      </c>
      <c r="M41" s="17" t="n">
        <f aca="false">MIN(MAX(0,M35-M36+M40),IF(M12=1,MAX(M38,retrait_urgence*MAX(0,L44)),M38))</f>
        <v>319956.893260159</v>
      </c>
      <c r="N41" s="17" t="n">
        <f aca="false">MIN(MAX(0,N35-N36+N40),IF(N12=1,MAX(N38,retrait_urgence*MAX(0,M44)),N38))</f>
        <v>327173.814051081</v>
      </c>
      <c r="O41" s="17" t="n">
        <f aca="false">MIN(MAX(0,O35-O36+O40),IF(O12=1,MAX(O38,retrait_urgence*MAX(0,N44)),O38))</f>
        <v>1334466.5316002</v>
      </c>
      <c r="P41" s="17" t="n">
        <f aca="false">MIN(MAX(0,P35-P36+P40),IF(P12=1,MAX(P38,retrait_urgence*MAX(0,O44)),P38))</f>
        <v>1341836.11130133</v>
      </c>
      <c r="Q41" s="17" t="n">
        <f aca="false">MIN(MAX(0,Q35-Q36+Q40),IF(Q12=1,MAX(Q38,retrait_urgence*MAX(0,P44)),Q38))</f>
        <v>1349283.63656979</v>
      </c>
      <c r="R41" s="17" t="n">
        <f aca="false">MIN(MAX(0,R35-R36+R40),IF(R12=1,MAX(R38,retrait_urgence*MAX(0,Q44)),R38))</f>
        <v>1356810.20917448</v>
      </c>
      <c r="S41" s="17" t="n">
        <f aca="false">MIN(MAX(0,S35-S36+S40),IF(S12=1,MAX(S38,retrait_urgence*MAX(0,R44)),S38))</f>
        <v>1364416.94957633</v>
      </c>
      <c r="T41" s="17" t="n">
        <f aca="false">MIN(MAX(0,T35-T36+T40),IF(T12=1,MAX(T38,retrait_urgence*MAX(0,S44)),T38))</f>
        <v>1372104.99727316</v>
      </c>
      <c r="U41" s="17" t="n">
        <f aca="false">MIN(MAX(0,U35-U36+U40),IF(U12=1,MAX(U38,retrait_urgence*MAX(0,T44)),U38))</f>
        <v>1379875.51115111</v>
      </c>
      <c r="V41" s="17" t="n">
        <f aca="false">MIN(MAX(0,V35-V36+V40),IF(V12=1,MAX(V38,retrait_urgence*MAX(0,U44)),V38))</f>
        <v>1387729.66984285</v>
      </c>
      <c r="W41" s="17" t="n">
        <f aca="false">MIN(MAX(0,W35-W36+W40),IF(W12=1,MAX(W38,retrait_urgence*MAX(0,V44)),W38))</f>
        <v>1395668.67209255</v>
      </c>
      <c r="X41" s="17" t="n">
        <f aca="false">MIN(MAX(0,X35-X36+X40),IF(X12=1,MAX(X38,retrait_urgence*MAX(0,W44)),X38))</f>
        <v>1403693.73712785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125366604.047022</v>
      </c>
      <c r="H44" s="23" t="n">
        <f aca="false">MAX(0,G44)*(1+H37)-H41+H43-H31</f>
        <v>127588962.955114</v>
      </c>
      <c r="I44" s="23" t="n">
        <f aca="false">MAX(0,H44)*(1+I37)-I41+I43-I31</f>
        <v>129848915.73174</v>
      </c>
      <c r="J44" s="23" t="n">
        <f aca="false">MAX(0,I44)*(1+J37)-J41+J43-J31</f>
        <v>132147143.525355</v>
      </c>
      <c r="K44" s="23" t="n">
        <f aca="false">MAX(0,J44)*(1+K37)-K41+K43-K31</f>
        <v>134484340.127326</v>
      </c>
      <c r="L44" s="23" t="n">
        <f aca="false">MAX(0,K44)*(1+L37)-L41+L43-L31</f>
        <v>136861212.208343</v>
      </c>
      <c r="M44" s="23" t="n">
        <f aca="false">MAX(0,L44)*(1+M37)-M41+M43-M31</f>
        <v>139278479.55925</v>
      </c>
      <c r="N44" s="23" t="n">
        <f aca="false">MAX(0,M44)*(1+N37)-N41+N43-N31</f>
        <v>141736875.336384</v>
      </c>
      <c r="O44" s="23" t="n">
        <f aca="false">MAX(0,N44)*(1+O37)-O41+O43-O31</f>
        <v>143237146.311511</v>
      </c>
      <c r="P44" s="23" t="n">
        <f aca="false">MAX(0,O44)*(1+P37)-P41+P43-P31</f>
        <v>144760053.12644</v>
      </c>
      <c r="Q44" s="23" t="n">
        <f aca="false">MAX(0,P44)*(1+Q37)-Q41+Q43-Q31</f>
        <v>146305970.552399</v>
      </c>
      <c r="R44" s="23" t="n">
        <f aca="false">MAX(0,Q44)*(1+R37)-R41+R43-R31</f>
        <v>147875279.754273</v>
      </c>
      <c r="S44" s="23" t="n">
        <f aca="false">MAX(0,R44)*(1+S37)-S41+S43-S31</f>
        <v>149468368.399782</v>
      </c>
      <c r="T44" s="23" t="n">
        <f aca="false">MAX(0,S44)*(1+T37)-T41+T43-T31</f>
        <v>151085630.770504</v>
      </c>
      <c r="U44" s="23" t="n">
        <f aca="false">MAX(0,T44)*(1+U37)-U41+U43-U31</f>
        <v>152727467.874763</v>
      </c>
      <c r="V44" s="23" t="n">
        <f aca="false">MAX(0,U44)*(1+V37)-V41+V43-V31</f>
        <v>154394287.562416</v>
      </c>
      <c r="W44" s="23" t="n">
        <f aca="false">MAX(0,V44)*(1+W37)-W41+W43-W31</f>
        <v>156086504.641571</v>
      </c>
      <c r="X44" s="23" t="n">
        <f aca="false">MAX(0,W44)*(1+X37)-X41+X43-X31</f>
        <v>157804540.997275</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1.65835019792128</v>
      </c>
      <c r="H47" s="24" t="n">
        <f aca="false">(H29+H38)/H18</f>
        <v>1.66213947031877</v>
      </c>
      <c r="I47" s="24" t="n">
        <f aca="false">(I29+I38)/I18</f>
        <v>1.66931130161748</v>
      </c>
      <c r="J47" s="24" t="n">
        <f aca="false">(J29+J38)/J18</f>
        <v>1.67921349596018</v>
      </c>
      <c r="K47" s="24" t="n">
        <f aca="false">(K29+K38)/K18</f>
        <v>1.69132708277036</v>
      </c>
      <c r="L47" s="24" t="n">
        <f aca="false">(L29+L38)/L18</f>
        <v>1.70523916434966</v>
      </c>
      <c r="M47" s="24" t="n">
        <f aca="false">(M29+M38)/M18</f>
        <v>1.72062129489881</v>
      </c>
      <c r="N47" s="24" t="n">
        <f aca="false">(N29+N38)/N18</f>
        <v>1.73721226447932</v>
      </c>
      <c r="O47" s="24" t="n">
        <f aca="false">(O29+O38)/O18</f>
        <v>1.75480439076467</v>
      </c>
      <c r="P47" s="24" t="n">
        <f aca="false">(P29+P38)/P18</f>
        <v>1.77065007783005</v>
      </c>
      <c r="Q47" s="24" t="n">
        <f aca="false">(Q29+Q38)/Q18</f>
        <v>1.78512213901061</v>
      </c>
      <c r="R47" s="24" t="n">
        <f aca="false">(R29+R38)/R18</f>
        <v>1.79851739060672</v>
      </c>
      <c r="S47" s="24" t="n">
        <f aca="false">(S29+S38)/S18</f>
        <v>1.8110721476222</v>
      </c>
      <c r="T47" s="24" t="n">
        <f aca="false">(T29+T38)/T18</f>
        <v>1.822974560617</v>
      </c>
      <c r="U47" s="24" t="n">
        <f aca="false">(U29+U38)/U18</f>
        <v>1.83437443738212</v>
      </c>
      <c r="V47" s="24" t="n">
        <f aca="false">(V29+V38)/V18</f>
        <v>1.84539106201798</v>
      </c>
      <c r="W47" s="24" t="n">
        <f aca="false">(W29+W38)/W18</f>
        <v>1.85611941957337</v>
      </c>
      <c r="X47" s="24" t="n">
        <f aca="false">(X29+X38)/X18</f>
        <v>1.86663515124343</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1914</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D5*(1+g_salaires+st_crise_g_sal_extra)</f>
        <v>1.005</v>
      </c>
      <c r="F5" s="22" t="n">
        <f aca="false">E5*(1+g_salaires+st_crise_g_sal_extra)</f>
        <v>1.010025</v>
      </c>
      <c r="G5" s="22" t="n">
        <f aca="false">F5*(1+g_salaires+st_crise_g_sal_extra)</f>
        <v>1.015075125</v>
      </c>
      <c r="H5" s="22" t="n">
        <f aca="false">G5*(1+g_salaires+st_crise_g_sal_extra)</f>
        <v>1.020150500625</v>
      </c>
      <c r="I5" s="22" t="n">
        <f aca="false">H5*(1+g_salaires+st_crise_g_sal_extra)</f>
        <v>1.02525125312812</v>
      </c>
      <c r="J5" s="22" t="n">
        <f aca="false">I5*(1+g_salaires+st_crise_g_sal_extra)</f>
        <v>1.03037750939376</v>
      </c>
      <c r="K5" s="22" t="n">
        <f aca="false">J5*(1+g_salaires+st_crise_g_sal_extra)</f>
        <v>1.03552939694073</v>
      </c>
      <c r="L5" s="22" t="n">
        <f aca="false">K5*(1+g_salaires+st_crise_g_sal_extra)</f>
        <v>1.04070704392544</v>
      </c>
      <c r="M5" s="22" t="n">
        <f aca="false">L5*(1+g_salaires+st_crise_g_sal_extra)</f>
        <v>1.04591057914506</v>
      </c>
      <c r="N5" s="22" t="n">
        <f aca="false">M5*(1+g_salaires+st_crise_g_sal_extra)</f>
        <v>1.05114013204079</v>
      </c>
      <c r="O5" s="22" t="n">
        <f aca="false">N5*(1+g_salaires+st_crise_g_sal_extra)</f>
        <v>1.05639583270099</v>
      </c>
      <c r="P5" s="22" t="n">
        <f aca="false">O5*(1+g_salaires+st_crise_g_sal_extra)</f>
        <v>1.0616778118645</v>
      </c>
      <c r="Q5" s="22" t="n">
        <f aca="false">P5*(1+g_salaires+st_crise_g_sal_extra)</f>
        <v>1.06698620092382</v>
      </c>
      <c r="R5" s="22" t="n">
        <f aca="false">Q5*(1+g_salaires+st_crise_g_sal_extra)</f>
        <v>1.07232113192844</v>
      </c>
      <c r="S5" s="22" t="n">
        <f aca="false">R5*(1+g_salaires+st_crise_g_sal_extra)</f>
        <v>1.07768273758808</v>
      </c>
      <c r="T5" s="22" t="n">
        <f aca="false">S5*(1+g_salaires+st_crise_g_sal_extra)</f>
        <v>1.08307115127602</v>
      </c>
      <c r="U5" s="22" t="n">
        <f aca="false">T5*(1+g_salaires+st_crise_g_sal_extra)</f>
        <v>1.0884865070324</v>
      </c>
      <c r="V5" s="22" t="n">
        <f aca="false">U5*(1+g_salaires+st_crise_g_sal_extra)</f>
        <v>1.09392893956756</v>
      </c>
      <c r="W5" s="22" t="n">
        <f aca="false">V5*(1+g_salaires+st_crise_g_sal_extra)</f>
        <v>1.0993985842654</v>
      </c>
      <c r="X5" s="22" t="n">
        <f aca="false">W5*(1+g_salaires+st_crise_g_sal_extra)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IF(st_crise_crise_an&gt;0,IF(E$3=st_crise_crise_an,1,IF(E$3=st_crise_crise_an+1,2,0)),0)</f>
        <v>0</v>
      </c>
      <c r="F11" s="22" t="n">
        <f aca="false">IF(st_crise_crise_an&gt;0,IF(F$3=st_crise_crise_an,1,IF(F$3=st_crise_crise_an+1,2,0)),0)</f>
        <v>0</v>
      </c>
      <c r="G11" s="22" t="n">
        <f aca="false">IF(st_crise_crise_an&gt;0,IF(G$3=st_crise_crise_an,1,IF(G$3=st_crise_crise_an+1,2,0)),0)</f>
        <v>0</v>
      </c>
      <c r="H11" s="22" t="n">
        <f aca="false">IF(st_crise_crise_an&gt;0,IF(H$3=st_crise_crise_an,1,IF(H$3=st_crise_crise_an+1,2,0)),0)</f>
        <v>0</v>
      </c>
      <c r="I11" s="22" t="n">
        <f aca="false">IF(st_crise_crise_an&gt;0,IF(I$3=st_crise_crise_an,1,IF(I$3=st_crise_crise_an+1,2,0)),0)</f>
        <v>1</v>
      </c>
      <c r="J11" s="22" t="n">
        <f aca="false">IF(st_crise_crise_an&gt;0,IF(J$3=st_crise_crise_an,1,IF(J$3=st_crise_crise_an+1,2,0)),0)</f>
        <v>2</v>
      </c>
      <c r="K11" s="22" t="n">
        <f aca="false">IF(st_crise_crise_an&gt;0,IF(K$3=st_crise_crise_an,1,IF(K$3=st_crise_crise_an+1,2,0)),0)</f>
        <v>0</v>
      </c>
      <c r="L11" s="22" t="n">
        <f aca="false">IF(st_crise_crise_an&gt;0,IF(L$3=st_crise_crise_an,1,IF(L$3=st_crise_crise_an+1,2,0)),0)</f>
        <v>0</v>
      </c>
      <c r="M11" s="22" t="n">
        <f aca="false">IF(st_crise_crise_an&gt;0,IF(M$3=st_crise_crise_an,1,IF(M$3=st_crise_crise_an+1,2,0)),0)</f>
        <v>0</v>
      </c>
      <c r="N11" s="22" t="n">
        <f aca="false">IF(st_crise_crise_an&gt;0,IF(N$3=st_crise_crise_an,1,IF(N$3=st_crise_crise_an+1,2,0)),0)</f>
        <v>0</v>
      </c>
      <c r="O11" s="22" t="n">
        <f aca="false">IF(st_crise_crise_an&gt;0,IF(O$3=st_crise_crise_an,1,IF(O$3=st_crise_crise_an+1,2,0)),0)</f>
        <v>0</v>
      </c>
      <c r="P11" s="22" t="n">
        <f aca="false">IF(st_crise_crise_an&gt;0,IF(P$3=st_crise_crise_an,1,IF(P$3=st_crise_crise_an+1,2,0)),0)</f>
        <v>0</v>
      </c>
      <c r="Q11" s="22" t="n">
        <f aca="false">IF(st_crise_crise_an&gt;0,IF(Q$3=st_crise_crise_an,1,IF(Q$3=st_crise_crise_an+1,2,0)),0)</f>
        <v>0</v>
      </c>
      <c r="R11" s="22" t="n">
        <f aca="false">IF(st_crise_crise_an&gt;0,IF(R$3=st_crise_crise_an,1,IF(R$3=st_crise_crise_an+1,2,0)),0)</f>
        <v>0</v>
      </c>
      <c r="S11" s="22" t="n">
        <f aca="false">IF(st_crise_crise_an&gt;0,IF(S$3=st_crise_crise_an,1,IF(S$3=st_crise_crise_an+1,2,0)),0)</f>
        <v>0</v>
      </c>
      <c r="T11" s="22" t="n">
        <f aca="false">IF(st_crise_crise_an&gt;0,IF(T$3=st_crise_crise_an,1,IF(T$3=st_crise_crise_an+1,2,0)),0)</f>
        <v>0</v>
      </c>
      <c r="U11" s="22" t="n">
        <f aca="false">IF(st_crise_crise_an&gt;0,IF(U$3=st_crise_crise_an,1,IF(U$3=st_crise_crise_an+1,2,0)),0)</f>
        <v>0</v>
      </c>
      <c r="V11" s="22" t="n">
        <f aca="false">IF(st_crise_crise_an&gt;0,IF(V$3=st_crise_crise_an,1,IF(V$3=st_crise_crise_an+1,2,0)),0)</f>
        <v>0</v>
      </c>
      <c r="W11" s="22" t="n">
        <f aca="false">IF(st_crise_crise_an&gt;0,IF(W$3=st_crise_crise_an,1,IF(W$3=st_crise_crise_an+1,2,0)),0)</f>
        <v>0</v>
      </c>
      <c r="X11" s="22" t="n">
        <f aca="false">IF(st_crise_crise_an&gt;0,IF(X$3=st_crise_crise_an,1,IF(X$3=st_crise_crise_an+1,2,0)),0)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(bud_chauffage_S2+bud_hors_gel_S2+bud_electricite_S2)*E7*IF(AND(E$3&gt;=st_crise_energie_debut,E$3&lt;=st_crise_energie_fin),st_crise_energie_mult,1)</f>
        <v>52815.6</v>
      </c>
      <c r="F14" s="17" t="n">
        <f aca="false">(bud_chauffage_S2+bud_hors_gel_S2+bud_electricite_S2)*F7*IF(AND(F$3&gt;=st_crise_energie_debut,F$3&lt;=st_crise_energie_fin),st_crise_energie_mult,1)</f>
        <v>53871.912</v>
      </c>
      <c r="G14" s="17" t="n">
        <f aca="false">(bud_chauffage_S2+bud_hors_gel_S2+bud_electricite_S2)*G7*IF(AND(G$3&gt;=st_crise_energie_debut,G$3&lt;=st_crise_energie_fin),st_crise_energie_mult,1)</f>
        <v>54949.35024</v>
      </c>
      <c r="H14" s="17" t="n">
        <f aca="false">(bud_chauffage_S2+bud_hors_gel_S2+bud_electricite_S2)*H7*IF(AND(H$3&gt;=st_crise_energie_debut,H$3&lt;=st_crise_energie_fin),st_crise_energie_mult,1)</f>
        <v>56048.3372448</v>
      </c>
      <c r="I14" s="17" t="n">
        <f aca="false">(bud_chauffage_S2+bud_hors_gel_S2+bud_electricite_S2)*I7*IF(AND(I$3&gt;=st_crise_energie_debut,I$3&lt;=st_crise_energie_fin),st_crise_energie_mult,1)</f>
        <v>57169.303989696</v>
      </c>
      <c r="J14" s="17" t="n">
        <f aca="false">(bud_chauffage_S2+bud_hors_gel_S2+bud_electricite_S2)*J7*IF(AND(J$3&gt;=st_crise_energie_debut,J$3&lt;=st_crise_energie_fin),st_crise_energie_mult,1)</f>
        <v>58312.6900694899</v>
      </c>
      <c r="K14" s="17" t="n">
        <f aca="false">(bud_chauffage_S2+bud_hors_gel_S2+bud_electricite_S2)*K7*IF(AND(K$3&gt;=st_crise_energie_debut,K$3&lt;=st_crise_energie_fin),st_crise_energie_mult,1)</f>
        <v>59478.9438708797</v>
      </c>
      <c r="L14" s="17" t="n">
        <f aca="false">(bud_chauffage_S2+bud_hors_gel_S2+bud_electricite_S2)*L7*IF(AND(L$3&gt;=st_crise_energie_debut,L$3&lt;=st_crise_energie_fin),st_crise_energie_mult,1)</f>
        <v>60668.5227482973</v>
      </c>
      <c r="M14" s="17" t="n">
        <f aca="false">(bud_chauffage_S2+bud_hors_gel_S2+bud_electricite_S2)*M7*IF(AND(M$3&gt;=st_crise_energie_debut,M$3&lt;=st_crise_energie_fin),st_crise_energie_mult,1)</f>
        <v>61881.8932032633</v>
      </c>
      <c r="N14" s="17" t="n">
        <f aca="false">(bud_chauffage_S2+bud_hors_gel_S2+bud_electricite_S2)*N7*IF(AND(N$3&gt;=st_crise_energie_debut,N$3&lt;=st_crise_energie_fin),st_crise_energie_mult,1)</f>
        <v>63119.5310673285</v>
      </c>
      <c r="O14" s="17" t="n">
        <f aca="false">(bud_chauffage_S2+bud_hors_gel_S2+bud_electricite_S2)*O7*IF(AND(O$3&gt;=st_crise_energie_debut,O$3&lt;=st_crise_energie_fin),st_crise_energie_mult,1)</f>
        <v>64381.9216886751</v>
      </c>
      <c r="P14" s="17" t="n">
        <f aca="false">(bud_chauffage_S2+bud_hors_gel_S2+bud_electricite_S2)*P7*IF(AND(P$3&gt;=st_crise_energie_debut,P$3&lt;=st_crise_energie_fin),st_crise_energie_mult,1)</f>
        <v>65669.5601224486</v>
      </c>
      <c r="Q14" s="17" t="n">
        <f aca="false">(bud_chauffage_S2+bud_hors_gel_S2+bud_electricite_S2)*Q7*IF(AND(Q$3&gt;=st_crise_energie_debut,Q$3&lt;=st_crise_energie_fin),st_crise_energie_mult,1)</f>
        <v>66982.9513248976</v>
      </c>
      <c r="R14" s="17" t="n">
        <f aca="false">(bud_chauffage_S2+bud_hors_gel_S2+bud_electricite_S2)*R7*IF(AND(R$3&gt;=st_crise_energie_debut,R$3&lt;=st_crise_energie_fin),st_crise_energie_mult,1)</f>
        <v>68322.6103513955</v>
      </c>
      <c r="S14" s="17" t="n">
        <f aca="false">(bud_chauffage_S2+bud_hors_gel_S2+bud_electricite_S2)*S7*IF(AND(S$3&gt;=st_crise_energie_debut,S$3&lt;=st_crise_energie_fin),st_crise_energie_mult,1)</f>
        <v>69689.0625584235</v>
      </c>
      <c r="T14" s="17" t="n">
        <f aca="false">(bud_chauffage_S2+bud_hors_gel_S2+bud_electricite_S2)*T7*IF(AND(T$3&gt;=st_crise_energie_debut,T$3&lt;=st_crise_energie_fin),st_crise_energie_mult,1)</f>
        <v>71082.8438095919</v>
      </c>
      <c r="U14" s="17" t="n">
        <f aca="false">(bud_chauffage_S2+bud_hors_gel_S2+bud_electricite_S2)*U7*IF(AND(U$3&gt;=st_crise_energie_debut,U$3&lt;=st_crise_energie_fin),st_crise_energie_mult,1)</f>
        <v>72504.5006857838</v>
      </c>
      <c r="V14" s="17" t="n">
        <f aca="false">(bud_chauffage_S2+bud_hors_gel_S2+bud_electricite_S2)*V7*IF(AND(V$3&gt;=st_crise_energie_debut,V$3&lt;=st_crise_energie_fin),st_crise_energie_mult,1)</f>
        <v>73954.5906994994</v>
      </c>
      <c r="W14" s="17" t="n">
        <f aca="false">(bud_chauffage_S2+bud_hors_gel_S2+bud_electricite_S2)*W7*IF(AND(W$3&gt;=st_crise_energie_debut,W$3&lt;=st_crise_energie_fin),st_crise_energie_mult,1)</f>
        <v>75433.6825134894</v>
      </c>
      <c r="X14" s="17" t="n">
        <f aca="false">(bud_chauffage_S2+bud_hors_gel_S2+bud_electricite_S2)*X7*IF(AND(X$3&gt;=st_crise_energie_debut,X$3&lt;=st_crise_energie_fin),st_crise_energie_mult,1)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IF(MOD(E$3,campagne_periode)=0,(D22+E17)*st_crise_mult_campagne*(1-E12*flex_report),0)</f>
        <v>0</v>
      </c>
      <c r="F19" s="17" t="n">
        <f aca="false">IF(MOD(F$3,campagne_periode)=0,(E22+F17)*st_crise_mult_campagne*(1-F12*flex_report),0)</f>
        <v>0</v>
      </c>
      <c r="G19" s="17" t="n">
        <f aca="false">IF(MOD(G$3,campagne_periode)=0,(F22+G17)*st_crise_mult_campagne*(1-G12*flex_report),0)</f>
        <v>0</v>
      </c>
      <c r="H19" s="17" t="n">
        <f aca="false">IF(MOD(H$3,campagne_periode)=0,(G22+H17)*st_crise_mult_campagne*(1-H12*flex_report),0)</f>
        <v>1400422.58710973</v>
      </c>
      <c r="I19" s="17" t="n">
        <f aca="false">IF(MOD(I$3,campagne_periode)=0,(H22+I17)*st_crise_mult_campagne*(1-I12*flex_report),0)</f>
        <v>0</v>
      </c>
      <c r="J19" s="17" t="n">
        <f aca="false">IF(MOD(J$3,campagne_periode)=0,(I22+J17)*st_crise_mult_campagne*(1-J12*flex_report),0)</f>
        <v>0</v>
      </c>
      <c r="K19" s="17" t="n">
        <f aca="false">IF(MOD(K$3,campagne_periode)=0,(J22+K17)*st_crise_mult_campagne*(1-K12*flex_report),0)</f>
        <v>0</v>
      </c>
      <c r="L19" s="17" t="n">
        <f aca="false">IF(MOD(L$3,campagne_periode)=0,(K22+L17)*st_crise_mult_campagne*(1-L12*flex_report),0)</f>
        <v>1442910.27499031</v>
      </c>
      <c r="M19" s="17" t="n">
        <f aca="false">IF(MOD(M$3,campagne_periode)=0,(L22+M17)*st_crise_mult_campagne*(1-M12*flex_report),0)</f>
        <v>0</v>
      </c>
      <c r="N19" s="17" t="n">
        <f aca="false">IF(MOD(N$3,campagne_periode)=0,(M22+N17)*st_crise_mult_campagne*(1-N12*flex_report),0)</f>
        <v>0</v>
      </c>
      <c r="O19" s="17" t="n">
        <f aca="false">IF(MOD(O$3,campagne_periode)=0,(N22+O17)*st_crise_mult_campagne*(1-O12*flex_report),0)</f>
        <v>0</v>
      </c>
      <c r="P19" s="17" t="n">
        <f aca="false">IF(MOD(P$3,campagne_periode)=0,(O22+P17)*st_crise_mult_campagne*(1-P12*flex_report),0)</f>
        <v>1486687.00493438</v>
      </c>
      <c r="Q19" s="17" t="n">
        <f aca="false">IF(MOD(Q$3,campagne_periode)=0,(P22+Q17)*st_crise_mult_campagne*(1-Q12*flex_report),0)</f>
        <v>0</v>
      </c>
      <c r="R19" s="17" t="n">
        <f aca="false">IF(MOD(R$3,campagne_periode)=0,(Q22+R17)*st_crise_mult_campagne*(1-R12*flex_report),0)</f>
        <v>0</v>
      </c>
      <c r="S19" s="17" t="n">
        <f aca="false">IF(MOD(S$3,campagne_periode)=0,(R22+S17)*st_crise_mult_campagne*(1-S12*flex_report),0)</f>
        <v>0</v>
      </c>
      <c r="T19" s="17" t="n">
        <f aca="false">IF(MOD(T$3,campagne_periode)=0,(S22+T17)*st_crise_mult_campagne*(1-T12*flex_report),0)</f>
        <v>1531791.88543486</v>
      </c>
      <c r="U19" s="17" t="n">
        <f aca="false">IF(MOD(U$3,campagne_periode)=0,(T22+U17)*st_crise_mult_campagne*(1-U12*flex_report),0)</f>
        <v>0</v>
      </c>
      <c r="V19" s="17" t="n">
        <f aca="false">IF(MOD(V$3,campagne_periode)=0,(U22+V17)*st_crise_mult_campagne*(1-V12*flex_report),0)</f>
        <v>0</v>
      </c>
      <c r="W19" s="17" t="n">
        <f aca="false">IF(MOD(W$3,campagne_periode)=0,(V22+W17)*st_crise_mult_campagne*(1-W12*flex_report),0)</f>
        <v>0</v>
      </c>
      <c r="X19" s="17" t="n">
        <f aca="false">IF(MOD(X$3,campagne_periode)=0,(W22+X17)*st_crise_mult_campagne*(1-X12*flex_report),0)</f>
        <v>1578265.21150474</v>
      </c>
    </row>
    <row r="20" customFormat="false" ht="15" hidden="false" customHeight="false" outlineLevel="0" collapsed="false">
      <c r="A20" s="2" t="s">
        <v>1852</v>
      </c>
      <c r="B20" s="2" t="s">
        <v>1853</v>
      </c>
      <c r="C20" s="2" t="s">
        <v>1839</v>
      </c>
      <c r="E20" s="17" t="n">
        <f aca="false">IF(E$3=st_crise_choc_trav_an,st_crise_choc_trav_montant,0)</f>
        <v>0</v>
      </c>
      <c r="F20" s="17" t="n">
        <f aca="false">IF(F$3=st_crise_choc_trav_an,st_crise_choc_trav_montant,0)</f>
        <v>0</v>
      </c>
      <c r="G20" s="17" t="n">
        <f aca="false">IF(G$3=st_crise_choc_trav_an,st_crise_choc_trav_montant,0)</f>
        <v>0</v>
      </c>
      <c r="H20" s="17" t="n">
        <f aca="false">IF(H$3=st_crise_choc_trav_an,st_crise_choc_trav_montant,0)</f>
        <v>0</v>
      </c>
      <c r="I20" s="17" t="n">
        <f aca="false">IF(I$3=st_crise_choc_trav_an,st_crise_choc_trav_montant,0)</f>
        <v>0</v>
      </c>
      <c r="J20" s="17" t="n">
        <f aca="false">IF(J$3=st_crise_choc_trav_an,st_crise_choc_trav_montant,0)</f>
        <v>0</v>
      </c>
      <c r="K20" s="17" t="n">
        <f aca="false">IF(K$3=st_crise_choc_trav_an,st_crise_choc_trav_montant,0)</f>
        <v>0</v>
      </c>
      <c r="L20" s="17" t="n">
        <f aca="false">IF(L$3=st_crise_choc_trav_an,st_crise_choc_trav_montant,0)</f>
        <v>0</v>
      </c>
      <c r="M20" s="17" t="n">
        <f aca="false">IF(M$3=st_crise_choc_trav_an,st_crise_choc_trav_montant,0)</f>
        <v>0</v>
      </c>
      <c r="N20" s="17" t="n">
        <f aca="false">IF(N$3=st_crise_choc_trav_an,st_crise_choc_trav_montant,0)</f>
        <v>0</v>
      </c>
      <c r="O20" s="17" t="n">
        <f aca="false">IF(O$3=st_crise_choc_trav_an,st_crise_choc_trav_montant,0)</f>
        <v>0</v>
      </c>
      <c r="P20" s="17" t="n">
        <f aca="false">IF(P$3=st_crise_choc_trav_an,st_crise_choc_trav_montant,0)</f>
        <v>0</v>
      </c>
      <c r="Q20" s="17" t="n">
        <f aca="false">IF(Q$3=st_crise_choc_trav_an,st_crise_choc_trav_montant,0)</f>
        <v>0</v>
      </c>
      <c r="R20" s="17" t="n">
        <f aca="false">IF(R$3=st_crise_choc_trav_an,st_crise_choc_trav_montant,0)</f>
        <v>0</v>
      </c>
      <c r="S20" s="17" t="n">
        <f aca="false">IF(S$3=st_crise_choc_trav_an,st_crise_choc_trav_montant,0)</f>
        <v>0</v>
      </c>
      <c r="T20" s="17" t="n">
        <f aca="false">IF(T$3=st_crise_choc_trav_an,st_crise_choc_trav_montant,0)</f>
        <v>0</v>
      </c>
      <c r="U20" s="17" t="n">
        <f aca="false">IF(U$3=st_crise_choc_trav_an,st_crise_choc_trav_montant,0)</f>
        <v>0</v>
      </c>
      <c r="V20" s="17" t="n">
        <f aca="false">IF(V$3=st_crise_choc_trav_an,st_crise_choc_trav_montant,0)</f>
        <v>0</v>
      </c>
      <c r="W20" s="17" t="n">
        <f aca="false">IF(W$3=st_crise_choc_trav_an,st_crise_choc_trav_montant,0)</f>
        <v>0</v>
      </c>
      <c r="X20" s="17" t="n">
        <f aca="false">IF(X$3=st_crise_choc_trav_an,st_crise_choc_trav_montant,0)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(S2_ech_log*mot_log_cn+S2_ech_stock*mot_stock_cn+S2_ech_pv*mot_pv_cn+S2_ech_bois*mot_bois_cn)*E24*E9*IF(E$3&gt;=st_crise_debut_mult,st_crise_mult_A,1)*IF(E11=1,1-0.05,IF(E11=2,1-0.02,1))</f>
        <v>21930.4</v>
      </c>
      <c r="F25" s="17" t="n">
        <f aca="false">(S2_ech_log*mot_log_cn+S2_ech_stock*mot_stock_cn+S2_ech_pv*mot_pv_cn+S2_ech_bois*mot_bois_cn)*F24*F9*IF(F$3&gt;=st_crise_debut_mult,st_crise_mult_A,1)*IF(F11=1,1-0.05,IF(F11=2,1-0.02,1))</f>
        <v>41119.5</v>
      </c>
      <c r="G25" s="17" t="n">
        <f aca="false">(S2_ech_log*mot_log_cn+S2_ech_stock*mot_stock_cn+S2_ech_pv*mot_pv_cn+S2_ech_bois*mot_bois_cn)*G24*G9*IF(G$3&gt;=st_crise_debut_mult,st_crise_mult_A,1)*IF(G11=1,1-0.05,IF(G11=2,1-0.02,1))</f>
        <v>54826</v>
      </c>
      <c r="H25" s="17" t="n">
        <f aca="false">(S2_ech_log*mot_log_cn+S2_ech_stock*mot_stock_cn+S2_ech_pv*mot_pv_cn+S2_ech_bois*mot_bois_cn)*H24*H9*IF(H$3&gt;=st_crise_debut_mult,st_crise_mult_A,1)*IF(H11=1,1-0.05,IF(H11=2,1-0.02,1))</f>
        <v>54826</v>
      </c>
      <c r="I25" s="17" t="n">
        <f aca="false">(S2_ech_log*mot_log_cn+S2_ech_stock*mot_stock_cn+S2_ech_pv*mot_pv_cn+S2_ech_bois*mot_bois_cn)*I24*I9*IF(I$3&gt;=st_crise_debut_mult,st_crise_mult_A,1)*IF(I11=1,1-0.05,IF(I11=2,1-0.02,1))</f>
        <v>52084.7</v>
      </c>
      <c r="J25" s="17" t="n">
        <f aca="false">(S2_ech_log*mot_log_cn+S2_ech_stock*mot_stock_cn+S2_ech_pv*mot_pv_cn+S2_ech_bois*mot_bois_cn)*J24*J9*IF(J$3&gt;=st_crise_debut_mult,st_crise_mult_A,1)*IF(J11=1,1-0.05,IF(J11=2,1-0.02,1))</f>
        <v>53729.48</v>
      </c>
      <c r="K25" s="17" t="n">
        <f aca="false">(S2_ech_log*mot_log_cn+S2_ech_stock*mot_stock_cn+S2_ech_pv*mot_pv_cn+S2_ech_bois*mot_bois_cn)*K24*K9*IF(K$3&gt;=st_crise_debut_mult,st_crise_mult_A,1)*IF(K11=1,1-0.05,IF(K11=2,1-0.02,1))</f>
        <v>54826</v>
      </c>
      <c r="L25" s="17" t="n">
        <f aca="false">(S2_ech_log*mot_log_cn+S2_ech_stock*mot_stock_cn+S2_ech_pv*mot_pv_cn+S2_ech_bois*mot_bois_cn)*L24*L9*IF(L$3&gt;=st_crise_debut_mult,st_crise_mult_A,1)*IF(L11=1,1-0.05,IF(L11=2,1-0.02,1))</f>
        <v>54826</v>
      </c>
      <c r="M25" s="17" t="n">
        <f aca="false">(S2_ech_log*mot_log_cn+S2_ech_stock*mot_stock_cn+S2_ech_pv*mot_pv_cn+S2_ech_bois*mot_bois_cn)*M24*M9*IF(M$3&gt;=st_crise_debut_mult,st_crise_mult_A,1)*IF(M11=1,1-0.05,IF(M11=2,1-0.02,1))</f>
        <v>54826</v>
      </c>
      <c r="N25" s="17" t="n">
        <f aca="false">(S2_ech_log*mot_log_cn+S2_ech_stock*mot_stock_cn+S2_ech_pv*mot_pv_cn+S2_ech_bois*mot_bois_cn)*N24*N9*IF(N$3&gt;=st_crise_debut_mult,st_crise_mult_A,1)*IF(N11=1,1-0.05,IF(N11=2,1-0.02,1))</f>
        <v>54826</v>
      </c>
      <c r="O25" s="17" t="n">
        <f aca="false">(S2_ech_log*mot_log_cn+S2_ech_stock*mot_stock_cn+S2_ech_pv*mot_pv_cn+S2_ech_bois*mot_bois_cn)*O24*O9*IF(O$3&gt;=st_crise_debut_mult,st_crise_mult_A,1)*IF(O11=1,1-0.05,IF(O11=2,1-0.02,1))</f>
        <v>54826</v>
      </c>
      <c r="P25" s="17" t="n">
        <f aca="false">(S2_ech_log*mot_log_cn+S2_ech_stock*mot_stock_cn+S2_ech_pv*mot_pv_cn+S2_ech_bois*mot_bois_cn)*P24*P9*IF(P$3&gt;=st_crise_debut_mult,st_crise_mult_A,1)*IF(P11=1,1-0.05,IF(P11=2,1-0.02,1))</f>
        <v>54826</v>
      </c>
      <c r="Q25" s="17" t="n">
        <f aca="false">(S2_ech_log*mot_log_cn+S2_ech_stock*mot_stock_cn+S2_ech_pv*mot_pv_cn+S2_ech_bois*mot_bois_cn)*Q24*Q9*IF(Q$3&gt;=st_crise_debut_mult,st_crise_mult_A,1)*IF(Q11=1,1-0.05,IF(Q11=2,1-0.02,1))</f>
        <v>54826</v>
      </c>
      <c r="R25" s="17" t="n">
        <f aca="false">(S2_ech_log*mot_log_cn+S2_ech_stock*mot_stock_cn+S2_ech_pv*mot_pv_cn+S2_ech_bois*mot_bois_cn)*R24*R9*IF(R$3&gt;=st_crise_debut_mult,st_crise_mult_A,1)*IF(R11=1,1-0.05,IF(R11=2,1-0.02,1))</f>
        <v>54826</v>
      </c>
      <c r="S25" s="17" t="n">
        <f aca="false">(S2_ech_log*mot_log_cn+S2_ech_stock*mot_stock_cn+S2_ech_pv*mot_pv_cn+S2_ech_bois*mot_bois_cn)*S24*S9*IF(S$3&gt;=st_crise_debut_mult,st_crise_mult_A,1)*IF(S11=1,1-0.05,IF(S11=2,1-0.02,1))</f>
        <v>54826</v>
      </c>
      <c r="T25" s="17" t="n">
        <f aca="false">(S2_ech_log*mot_log_cn+S2_ech_stock*mot_stock_cn+S2_ech_pv*mot_pv_cn+S2_ech_bois*mot_bois_cn)*T24*T9*IF(T$3&gt;=st_crise_debut_mult,st_crise_mult_A,1)*IF(T11=1,1-0.05,IF(T11=2,1-0.02,1))</f>
        <v>54826</v>
      </c>
      <c r="U25" s="17" t="n">
        <f aca="false">(S2_ech_log*mot_log_cn+S2_ech_stock*mot_stock_cn+S2_ech_pv*mot_pv_cn+S2_ech_bois*mot_bois_cn)*U24*U9*IF(U$3&gt;=st_crise_debut_mult,st_crise_mult_A,1)*IF(U11=1,1-0.05,IF(U11=2,1-0.02,1))</f>
        <v>54826</v>
      </c>
      <c r="V25" s="17" t="n">
        <f aca="false">(S2_ech_log*mot_log_cn+S2_ech_stock*mot_stock_cn+S2_ech_pv*mot_pv_cn+S2_ech_bois*mot_bois_cn)*V24*V9*IF(V$3&gt;=st_crise_debut_mult,st_crise_mult_A,1)*IF(V11=1,1-0.05,IF(V11=2,1-0.02,1))</f>
        <v>54826</v>
      </c>
      <c r="W25" s="17" t="n">
        <f aca="false">(S2_ech_log*mot_log_cn+S2_ech_stock*mot_stock_cn+S2_ech_pv*mot_pv_cn+S2_ech_bois*mot_bois_cn)*W24*W9*IF(W$3&gt;=st_crise_debut_mult,st_crise_mult_A,1)*IF(W11=1,1-0.05,IF(W11=2,1-0.02,1))</f>
        <v>54826</v>
      </c>
      <c r="X25" s="17" t="n">
        <f aca="false">(S2_ech_log*mot_log_cn+S2_ech_stock*mot_stock_cn+S2_ech_pv*mot_pv_cn+S2_ech_bois*mot_bois_cn)*X24*X9*IF(X$3&gt;=st_crise_debut_mult,st_crise_mult_A,1)*IF(X11=1,1-0.05,IF(X11=2,1-0.02,1))</f>
        <v>54826</v>
      </c>
    </row>
    <row r="26" customFormat="false" ht="15" hidden="false" customHeight="false" outlineLevel="0" collapsed="false">
      <c r="A26" s="2" t="s">
        <v>1864</v>
      </c>
      <c r="B26" s="2" t="s">
        <v>1865</v>
      </c>
      <c r="C26" s="2" t="s">
        <v>1839</v>
      </c>
      <c r="E26" s="17" t="n">
        <f aca="false">(S2_ech_eq_ret*mot_eq_ret_cn)*E24*E9*IF(E$3&gt;=st_crise_debut_mult,st_crise_mult_B,1)*IF(E11=1,1-0.15,IF(E11=2,1-0.05,1))</f>
        <v>4039.2</v>
      </c>
      <c r="F26" s="17" t="n">
        <f aca="false">(S2_ech_eq_ret*mot_eq_ret_cn)*F24*F9*IF(F$3&gt;=st_crise_debut_mult,st_crise_mult_B,1)*IF(F11=1,1-0.15,IF(F11=2,1-0.05,1))</f>
        <v>7573.5</v>
      </c>
      <c r="G26" s="17" t="n">
        <f aca="false">(S2_ech_eq_ret*mot_eq_ret_cn)*G24*G9*IF(G$3&gt;=st_crise_debut_mult,st_crise_mult_B,1)*IF(G11=1,1-0.15,IF(G11=2,1-0.05,1))</f>
        <v>10098</v>
      </c>
      <c r="H26" s="17" t="n">
        <f aca="false">(S2_ech_eq_ret*mot_eq_ret_cn)*H24*H9*IF(H$3&gt;=st_crise_debut_mult,st_crise_mult_B,1)*IF(H11=1,1-0.15,IF(H11=2,1-0.05,1))</f>
        <v>10098</v>
      </c>
      <c r="I26" s="17" t="n">
        <f aca="false">(S2_ech_eq_ret*mot_eq_ret_cn)*I24*I9*IF(I$3&gt;=st_crise_debut_mult,st_crise_mult_B,1)*IF(I11=1,1-0.15,IF(I11=2,1-0.05,1))</f>
        <v>8583.3</v>
      </c>
      <c r="J26" s="17" t="n">
        <f aca="false">(S2_ech_eq_ret*mot_eq_ret_cn)*J24*J9*IF(J$3&gt;=st_crise_debut_mult,st_crise_mult_B,1)*IF(J11=1,1-0.15,IF(J11=2,1-0.05,1))</f>
        <v>9593.1</v>
      </c>
      <c r="K26" s="17" t="n">
        <f aca="false">(S2_ech_eq_ret*mot_eq_ret_cn)*K24*K9*IF(K$3&gt;=st_crise_debut_mult,st_crise_mult_B,1)*IF(K11=1,1-0.15,IF(K11=2,1-0.05,1))</f>
        <v>10098</v>
      </c>
      <c r="L26" s="17" t="n">
        <f aca="false">(S2_ech_eq_ret*mot_eq_ret_cn)*L24*L9*IF(L$3&gt;=st_crise_debut_mult,st_crise_mult_B,1)*IF(L11=1,1-0.15,IF(L11=2,1-0.05,1))</f>
        <v>10098</v>
      </c>
      <c r="M26" s="17" t="n">
        <f aca="false">(S2_ech_eq_ret*mot_eq_ret_cn)*M24*M9*IF(M$3&gt;=st_crise_debut_mult,st_crise_mult_B,1)*IF(M11=1,1-0.15,IF(M11=2,1-0.05,1))</f>
        <v>10098</v>
      </c>
      <c r="N26" s="17" t="n">
        <f aca="false">(S2_ech_eq_ret*mot_eq_ret_cn)*N24*N9*IF(N$3&gt;=st_crise_debut_mult,st_crise_mult_B,1)*IF(N11=1,1-0.15,IF(N11=2,1-0.05,1))</f>
        <v>10098</v>
      </c>
      <c r="O26" s="17" t="n">
        <f aca="false">(S2_ech_eq_ret*mot_eq_ret_cn)*O24*O9*IF(O$3&gt;=st_crise_debut_mult,st_crise_mult_B,1)*IF(O11=1,1-0.15,IF(O11=2,1-0.05,1))</f>
        <v>10098</v>
      </c>
      <c r="P26" s="17" t="n">
        <f aca="false">(S2_ech_eq_ret*mot_eq_ret_cn)*P24*P9*IF(P$3&gt;=st_crise_debut_mult,st_crise_mult_B,1)*IF(P11=1,1-0.15,IF(P11=2,1-0.05,1))</f>
        <v>10098</v>
      </c>
      <c r="Q26" s="17" t="n">
        <f aca="false">(S2_ech_eq_ret*mot_eq_ret_cn)*Q24*Q9*IF(Q$3&gt;=st_crise_debut_mult,st_crise_mult_B,1)*IF(Q11=1,1-0.15,IF(Q11=2,1-0.05,1))</f>
        <v>10098</v>
      </c>
      <c r="R26" s="17" t="n">
        <f aca="false">(S2_ech_eq_ret*mot_eq_ret_cn)*R24*R9*IF(R$3&gt;=st_crise_debut_mult,st_crise_mult_B,1)*IF(R11=1,1-0.15,IF(R11=2,1-0.05,1))</f>
        <v>10098</v>
      </c>
      <c r="S26" s="17" t="n">
        <f aca="false">(S2_ech_eq_ret*mot_eq_ret_cn)*S24*S9*IF(S$3&gt;=st_crise_debut_mult,st_crise_mult_B,1)*IF(S11=1,1-0.15,IF(S11=2,1-0.05,1))</f>
        <v>10098</v>
      </c>
      <c r="T26" s="17" t="n">
        <f aca="false">(S2_ech_eq_ret*mot_eq_ret_cn)*T24*T9*IF(T$3&gt;=st_crise_debut_mult,st_crise_mult_B,1)*IF(T11=1,1-0.15,IF(T11=2,1-0.05,1))</f>
        <v>10098</v>
      </c>
      <c r="U26" s="17" t="n">
        <f aca="false">(S2_ech_eq_ret*mot_eq_ret_cn)*U24*U9*IF(U$3&gt;=st_crise_debut_mult,st_crise_mult_B,1)*IF(U11=1,1-0.15,IF(U11=2,1-0.05,1))</f>
        <v>10098</v>
      </c>
      <c r="V26" s="17" t="n">
        <f aca="false">(S2_ech_eq_ret*mot_eq_ret_cn)*V24*V9*IF(V$3&gt;=st_crise_debut_mult,st_crise_mult_B,1)*IF(V11=1,1-0.15,IF(V11=2,1-0.05,1))</f>
        <v>10098</v>
      </c>
      <c r="W26" s="17" t="n">
        <f aca="false">(S2_ech_eq_ret*mot_eq_ret_cn)*W24*W9*IF(W$3&gt;=st_crise_debut_mult,st_crise_mult_B,1)*IF(W11=1,1-0.15,IF(W11=2,1-0.05,1))</f>
        <v>10098</v>
      </c>
      <c r="X26" s="17" t="n">
        <f aca="false">(S2_ech_eq_ret*mot_eq_ret_cn)*X24*X9*IF(X$3&gt;=st_crise_debut_mult,st_crise_mult_B,1)*IF(X11=1,1-0.15,IF(X11=2,1-0.05,1))</f>
        <v>10098</v>
      </c>
    </row>
    <row r="27" customFormat="false" ht="15" hidden="false" customHeight="false" outlineLevel="0" collapsed="false">
      <c r="A27" s="2" t="s">
        <v>1866</v>
      </c>
      <c r="B27" s="2" t="s">
        <v>1867</v>
      </c>
      <c r="C27" s="2" t="s">
        <v>1839</v>
      </c>
      <c r="E27" s="17" t="n">
        <f aca="false">(S2_ech_tourn*mot_tourn_cn)*E24*E9*IF(E$3&gt;=st_crise_debut_mult,st_crise_mult_C,1)*IF(E11=1,1-0.8,IF(E11=2,1-0.3,1))</f>
        <v>2380</v>
      </c>
      <c r="F27" s="17" t="n">
        <f aca="false">(S2_ech_tourn*mot_tourn_cn)*F24*F9*IF(F$3&gt;=st_crise_debut_mult,st_crise_mult_C,1)*IF(F11=1,1-0.8,IF(F11=2,1-0.3,1))</f>
        <v>4462.5</v>
      </c>
      <c r="G27" s="17" t="n">
        <f aca="false">(S2_ech_tourn*mot_tourn_cn)*G24*G9*IF(G$3&gt;=st_crise_debut_mult,st_crise_mult_C,1)*IF(G11=1,1-0.8,IF(G11=2,1-0.3,1))</f>
        <v>5950</v>
      </c>
      <c r="H27" s="17" t="n">
        <f aca="false">(S2_ech_tourn*mot_tourn_cn)*H24*H9*IF(H$3&gt;=st_crise_debut_mult,st_crise_mult_C,1)*IF(H11=1,1-0.8,IF(H11=2,1-0.3,1))</f>
        <v>5950</v>
      </c>
      <c r="I27" s="17" t="n">
        <f aca="false">(S2_ech_tourn*mot_tourn_cn)*I24*I9*IF(I$3&gt;=st_crise_debut_mult,st_crise_mult_C,1)*IF(I11=1,1-0.8,IF(I11=2,1-0.3,1))</f>
        <v>1190</v>
      </c>
      <c r="J27" s="17" t="n">
        <f aca="false">(S2_ech_tourn*mot_tourn_cn)*J24*J9*IF(J$3&gt;=st_crise_debut_mult,st_crise_mult_C,1)*IF(J11=1,1-0.8,IF(J11=2,1-0.3,1))</f>
        <v>4165</v>
      </c>
      <c r="K27" s="17" t="n">
        <f aca="false">(S2_ech_tourn*mot_tourn_cn)*K24*K9*IF(K$3&gt;=st_crise_debut_mult,st_crise_mult_C,1)*IF(K11=1,1-0.8,IF(K11=2,1-0.3,1))</f>
        <v>5950</v>
      </c>
      <c r="L27" s="17" t="n">
        <f aca="false">(S2_ech_tourn*mot_tourn_cn)*L24*L9*IF(L$3&gt;=st_crise_debut_mult,st_crise_mult_C,1)*IF(L11=1,1-0.8,IF(L11=2,1-0.3,1))</f>
        <v>5950</v>
      </c>
      <c r="M27" s="17" t="n">
        <f aca="false">(S2_ech_tourn*mot_tourn_cn)*M24*M9*IF(M$3&gt;=st_crise_debut_mult,st_crise_mult_C,1)*IF(M11=1,1-0.8,IF(M11=2,1-0.3,1))</f>
        <v>5950</v>
      </c>
      <c r="N27" s="17" t="n">
        <f aca="false">(S2_ech_tourn*mot_tourn_cn)*N24*N9*IF(N$3&gt;=st_crise_debut_mult,st_crise_mult_C,1)*IF(N11=1,1-0.8,IF(N11=2,1-0.3,1))</f>
        <v>5950</v>
      </c>
      <c r="O27" s="17" t="n">
        <f aca="false">(S2_ech_tourn*mot_tourn_cn)*O24*O9*IF(O$3&gt;=st_crise_debut_mult,st_crise_mult_C,1)*IF(O11=1,1-0.8,IF(O11=2,1-0.3,1))</f>
        <v>5950</v>
      </c>
      <c r="P27" s="17" t="n">
        <f aca="false">(S2_ech_tourn*mot_tourn_cn)*P24*P9*IF(P$3&gt;=st_crise_debut_mult,st_crise_mult_C,1)*IF(P11=1,1-0.8,IF(P11=2,1-0.3,1))</f>
        <v>5950</v>
      </c>
      <c r="Q27" s="17" t="n">
        <f aca="false">(S2_ech_tourn*mot_tourn_cn)*Q24*Q9*IF(Q$3&gt;=st_crise_debut_mult,st_crise_mult_C,1)*IF(Q11=1,1-0.8,IF(Q11=2,1-0.3,1))</f>
        <v>5950</v>
      </c>
      <c r="R27" s="17" t="n">
        <f aca="false">(S2_ech_tourn*mot_tourn_cn)*R24*R9*IF(R$3&gt;=st_crise_debut_mult,st_crise_mult_C,1)*IF(R11=1,1-0.8,IF(R11=2,1-0.3,1))</f>
        <v>5950</v>
      </c>
      <c r="S27" s="17" t="n">
        <f aca="false">(S2_ech_tourn*mot_tourn_cn)*S24*S9*IF(S$3&gt;=st_crise_debut_mult,st_crise_mult_C,1)*IF(S11=1,1-0.8,IF(S11=2,1-0.3,1))</f>
        <v>5950</v>
      </c>
      <c r="T27" s="17" t="n">
        <f aca="false">(S2_ech_tourn*mot_tourn_cn)*T24*T9*IF(T$3&gt;=st_crise_debut_mult,st_crise_mult_C,1)*IF(T11=1,1-0.8,IF(T11=2,1-0.3,1))</f>
        <v>5950</v>
      </c>
      <c r="U27" s="17" t="n">
        <f aca="false">(S2_ech_tourn*mot_tourn_cn)*U24*U9*IF(U$3&gt;=st_crise_debut_mult,st_crise_mult_C,1)*IF(U11=1,1-0.8,IF(U11=2,1-0.3,1))</f>
        <v>5950</v>
      </c>
      <c r="V27" s="17" t="n">
        <f aca="false">(S2_ech_tourn*mot_tourn_cn)*V24*V9*IF(V$3&gt;=st_crise_debut_mult,st_crise_mult_C,1)*IF(V11=1,1-0.8,IF(V11=2,1-0.3,1))</f>
        <v>5950</v>
      </c>
      <c r="W27" s="17" t="n">
        <f aca="false">(S2_ech_tourn*mot_tourn_cn)*W24*W9*IF(W$3&gt;=st_crise_debut_mult,st_crise_mult_C,1)*IF(W11=1,1-0.8,IF(W11=2,1-0.3,1))</f>
        <v>5950</v>
      </c>
      <c r="X27" s="17" t="n">
        <f aca="false">(S2_ech_tourn*mot_tourn_cn)*X24*X9*IF(X$3&gt;=st_crise_debut_mult,st_crise_mult_C,1)*IF(X11=1,1-0.8,IF(X11=2,1-0.3,1))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61858</v>
      </c>
      <c r="J28" s="17" t="n">
        <f aca="false">J25+J26+J27</f>
        <v>67487.58</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37114.8</v>
      </c>
      <c r="J29" s="17" t="n">
        <f aca="false">IF(J28&gt;0,J28*(1-fuite_fiscale),J28)</f>
        <v>40492.548</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1269008.49681921</v>
      </c>
      <c r="J35" s="17" t="n">
        <f aca="false">J13+J14+J15+J16+J17+J21+J32-J29-J23-J33-J34</f>
        <v>1272435.04037041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IF(AND(E$3&lt;=S2_sol_div_annees,E$3&lt;=st_crise_div_fin),S2_sol_div*IF(E11=1,0.5,1),0)</f>
        <v>1000000</v>
      </c>
      <c r="F36" s="17" t="n">
        <f aca="false">IF(AND(F$3&lt;=S2_sol_div_annees,F$3&lt;=st_crise_div_fin),S2_sol_div*IF(F11=1,0.5,1),0)</f>
        <v>1000000</v>
      </c>
      <c r="G36" s="17" t="n">
        <f aca="false">IF(AND(G$3&lt;=S2_sol_div_annees,G$3&lt;=st_crise_div_fin),S2_sol_div*IF(G11=1,0.5,1),0)</f>
        <v>1000000</v>
      </c>
      <c r="H36" s="17" t="n">
        <f aca="false">IF(AND(H$3&lt;=S2_sol_div_annees,H$3&lt;=st_crise_div_fin),S2_sol_div*IF(H11=1,0.5,1),0)</f>
        <v>1000000</v>
      </c>
      <c r="I36" s="17" t="n">
        <f aca="false">IF(AND(I$3&lt;=S2_sol_div_annees,I$3&lt;=st_crise_div_fin),S2_sol_div*IF(I11=1,0.5,1),0)</f>
        <v>500000</v>
      </c>
      <c r="J36" s="17" t="n">
        <f aca="false">IF(AND(J$3&lt;=S2_sol_div_annees,J$3&lt;=st_crise_div_fin),S2_sol_div*IF(J11=1,0.5,1),0)</f>
        <v>1000000</v>
      </c>
      <c r="K36" s="17" t="n">
        <f aca="false">IF(AND(K$3&lt;=S2_sol_div_annees,K$3&lt;=st_crise_div_fin),S2_sol_div*IF(K11=1,0.5,1),0)</f>
        <v>1000000</v>
      </c>
      <c r="L36" s="17" t="n">
        <f aca="false">IF(AND(L$3&lt;=S2_sol_div_annees,L$3&lt;=st_crise_div_fin),S2_sol_div*IF(L11=1,0.5,1),0)</f>
        <v>1000000</v>
      </c>
      <c r="M36" s="17" t="n">
        <f aca="false">IF(AND(M$3&lt;=S2_sol_div_annees,M$3&lt;=st_crise_div_fin),S2_sol_div*IF(M11=1,0.5,1),0)</f>
        <v>1000000</v>
      </c>
      <c r="N36" s="17" t="n">
        <f aca="false">IF(AND(N$3&lt;=S2_sol_div_annees,N$3&lt;=st_crise_div_fin),S2_sol_div*IF(N11=1,0.5,1),0)</f>
        <v>1000000</v>
      </c>
      <c r="O36" s="17" t="n">
        <f aca="false">IF(AND(O$3&lt;=S2_sol_div_annees,O$3&lt;=st_crise_div_fin),S2_sol_div*IF(O11=1,0.5,1),0)</f>
        <v>0</v>
      </c>
      <c r="P36" s="17" t="n">
        <f aca="false">IF(AND(P$3&lt;=S2_sol_div_annees,P$3&lt;=st_crise_div_fin),S2_sol_div*IF(P11=1,0.5,1),0)</f>
        <v>0</v>
      </c>
      <c r="Q36" s="17" t="n">
        <f aca="false">IF(AND(Q$3&lt;=S2_sol_div_annees,Q$3&lt;=st_crise_div_fin),S2_sol_div*IF(Q11=1,0.5,1),0)</f>
        <v>0</v>
      </c>
      <c r="R36" s="17" t="n">
        <f aca="false">IF(AND(R$3&lt;=S2_sol_div_annees,R$3&lt;=st_crise_div_fin),S2_sol_div*IF(R11=1,0.5,1),0)</f>
        <v>0</v>
      </c>
      <c r="S36" s="17" t="n">
        <f aca="false">IF(AND(S$3&lt;=S2_sol_div_annees,S$3&lt;=st_crise_div_fin),S2_sol_div*IF(S11=1,0.5,1),0)</f>
        <v>0</v>
      </c>
      <c r="T36" s="17" t="n">
        <f aca="false">IF(AND(T$3&lt;=S2_sol_div_annees,T$3&lt;=st_crise_div_fin),S2_sol_div*IF(T11=1,0.5,1),0)</f>
        <v>0</v>
      </c>
      <c r="U36" s="17" t="n">
        <f aca="false">IF(AND(U$3&lt;=S2_sol_div_annees,U$3&lt;=st_crise_div_fin),S2_sol_div*IF(U11=1,0.5,1),0)</f>
        <v>0</v>
      </c>
      <c r="V36" s="17" t="n">
        <f aca="false">IF(AND(V$3&lt;=S2_sol_div_annees,V$3&lt;=st_crise_div_fin),S2_sol_div*IF(V11=1,0.5,1),0)</f>
        <v>0</v>
      </c>
      <c r="W36" s="17" t="n">
        <f aca="false">IF(AND(W$3&lt;=S2_sol_div_annees,W$3&lt;=st_crise_div_fin),S2_sol_div*IF(W11=1,0.5,1),0)</f>
        <v>0</v>
      </c>
      <c r="X36" s="17" t="n">
        <f aca="false">IF(AND(X$3&lt;=S2_sol_div_annees,X$3&lt;=st_crise_div_fin),S2_sol_div*IF(X11=1,0.5,1),0)</f>
        <v>0</v>
      </c>
    </row>
    <row r="37" customFormat="false" ht="15" hidden="false" customHeight="false" outlineLevel="0" collapsed="false">
      <c r="A37" s="2" t="s">
        <v>1886</v>
      </c>
      <c r="B37" s="2" t="s">
        <v>1887</v>
      </c>
      <c r="C37" s="2" t="s">
        <v>46</v>
      </c>
      <c r="E37" s="20" t="n">
        <f aca="false">dot_rendement+st_crise_dot_rdt_delta+IF(E11=1,-0.25,0)</f>
        <v>0.02</v>
      </c>
      <c r="F37" s="20" t="n">
        <f aca="false">dot_rendement+st_crise_dot_rdt_delta+IF(F11=1,-0.25,0)</f>
        <v>0.02</v>
      </c>
      <c r="G37" s="20" t="n">
        <f aca="false">dot_rendement+st_crise_dot_rdt_delta+IF(G11=1,-0.25,0)</f>
        <v>0.02</v>
      </c>
      <c r="H37" s="20" t="n">
        <f aca="false">dot_rendement+st_crise_dot_rdt_delta+IF(H11=1,-0.25,0)</f>
        <v>0.02</v>
      </c>
      <c r="I37" s="20" t="n">
        <f aca="false">dot_rendement+st_crise_dot_rdt_delta+IF(I11=1,-0.25,0)</f>
        <v>-0.23</v>
      </c>
      <c r="J37" s="20" t="n">
        <f aca="false">dot_rendement+st_crise_dot_rdt_delta+IF(J11=1,-0.25,0)</f>
        <v>0.02</v>
      </c>
      <c r="K37" s="20" t="n">
        <f aca="false">dot_rendement+st_crise_dot_rdt_delta+IF(K11=1,-0.25,0)</f>
        <v>0.02</v>
      </c>
      <c r="L37" s="20" t="n">
        <f aca="false">dot_rendement+st_crise_dot_rdt_delta+IF(L11=1,-0.25,0)</f>
        <v>0.02</v>
      </c>
      <c r="M37" s="20" t="n">
        <f aca="false">dot_rendement+st_crise_dot_rdt_delta+IF(M11=1,-0.25,0)</f>
        <v>0.02</v>
      </c>
      <c r="N37" s="20" t="n">
        <f aca="false">dot_rendement+st_crise_dot_rdt_delta+IF(N11=1,-0.25,0)</f>
        <v>0.02</v>
      </c>
      <c r="O37" s="20" t="n">
        <f aca="false">dot_rendement+st_crise_dot_rdt_delta+IF(O11=1,-0.25,0)</f>
        <v>0.02</v>
      </c>
      <c r="P37" s="20" t="n">
        <f aca="false">dot_rendement+st_crise_dot_rdt_delta+IF(P11=1,-0.25,0)</f>
        <v>0.02</v>
      </c>
      <c r="Q37" s="20" t="n">
        <f aca="false">dot_rendement+st_crise_dot_rdt_delta+IF(Q11=1,-0.25,0)</f>
        <v>0.02</v>
      </c>
      <c r="R37" s="20" t="n">
        <f aca="false">dot_rendement+st_crise_dot_rdt_delta+IF(R11=1,-0.25,0)</f>
        <v>0.02</v>
      </c>
      <c r="S37" s="20" t="n">
        <f aca="false">dot_rendement+st_crise_dot_rdt_delta+IF(S11=1,-0.25,0)</f>
        <v>0.02</v>
      </c>
      <c r="T37" s="20" t="n">
        <f aca="false">dot_rendement+st_crise_dot_rdt_delta+IF(T11=1,-0.25,0)</f>
        <v>0.02</v>
      </c>
      <c r="U37" s="20" t="n">
        <f aca="false">dot_rendement+st_crise_dot_rdt_delta+IF(U11=1,-0.25,0)</f>
        <v>0.02</v>
      </c>
      <c r="V37" s="20" t="n">
        <f aca="false">dot_rendement+st_crise_dot_rdt_delta+IF(V11=1,-0.25,0)</f>
        <v>0.02</v>
      </c>
      <c r="W37" s="20" t="n">
        <f aca="false">dot_rendement+st_crise_dot_rdt_delta+IF(W11=1,-0.25,0)</f>
        <v>0.02</v>
      </c>
      <c r="X37" s="20" t="n">
        <f aca="false">dot_rendement+st_crise_dot_rdt_delta+IF(X11=1,-0.25,0)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2150685.21543458</v>
      </c>
      <c r="J38" s="17" t="n">
        <f aca="false">lissage_depense*I38+(1-lissage_depense)*dot_taux_net*MAX(0,I44)</f>
        <v>2061724.20141738</v>
      </c>
      <c r="K38" s="17" t="n">
        <f aca="false">lissage_depense*J38+(1-lissage_depense)*dot_taux_net*MAX(0,J44)</f>
        <v>1996370.82309944</v>
      </c>
      <c r="L38" s="17" t="n">
        <f aca="false">lissage_depense*K38+(1-lissage_depense)*dot_taux_net*MAX(0,K44)</f>
        <v>1950002.48836452</v>
      </c>
      <c r="M38" s="17" t="n">
        <f aca="false">lissage_depense*L38+(1-lissage_depense)*dot_taux_net*MAX(0,L44)</f>
        <v>1918915.73626894</v>
      </c>
      <c r="N38" s="17" t="n">
        <f aca="false">lissage_depense*M38+(1-lissage_depense)*dot_taux_net*MAX(0,M44)</f>
        <v>1900149.41099761</v>
      </c>
      <c r="O38" s="17" t="n">
        <f aca="false">lissage_depense*N38+(1-lissage_depense)*dot_taux_net*MAX(0,N44)</f>
        <v>1891336.22949101</v>
      </c>
      <c r="P38" s="17" t="n">
        <f aca="false">lissage_depense*O38+(1-lissage_depense)*dot_taux_net*MAX(0,O44)</f>
        <v>1887084.03605899</v>
      </c>
      <c r="Q38" s="17" t="n">
        <f aca="false">lissage_depense*P38+(1-lissage_depense)*dot_taux_net*MAX(0,P44)</f>
        <v>1886510.80659314</v>
      </c>
      <c r="R38" s="17" t="n">
        <f aca="false">lissage_depense*Q38+(1-lissage_depense)*dot_taux_net*MAX(0,Q44)</f>
        <v>1888911.25246739</v>
      </c>
      <c r="S38" s="17" t="n">
        <f aca="false">lissage_depense*R38+(1-lissage_depense)*dot_taux_net*MAX(0,R44)</f>
        <v>1893721.47619854</v>
      </c>
      <c r="T38" s="17" t="n">
        <f aca="false">lissage_depense*S38+(1-lissage_depense)*dot_taux_net*MAX(0,S44)</f>
        <v>1900490.69596443</v>
      </c>
      <c r="U38" s="17" t="n">
        <f aca="false">lissage_depense*T38+(1-lissage_depense)*dot_taux_net*MAX(0,T44)</f>
        <v>1908858.6252068</v>
      </c>
      <c r="V38" s="17" t="n">
        <f aca="false">lissage_depense*U38+(1-lissage_depense)*dot_taux_net*MAX(0,U44)</f>
        <v>1918537.37630037</v>
      </c>
      <c r="W38" s="17" t="n">
        <f aca="false">lissage_depense*V38+(1-lissage_depense)*dot_taux_net*MAX(0,V44)</f>
        <v>1929296.98347347</v>
      </c>
      <c r="X38" s="17" t="n">
        <f aca="false">lissage_depense*W38+(1-lissage_depense)*dot_taux_net*MAX(0,W44)</f>
        <v>1940953.8211283</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272215.852848872</v>
      </c>
      <c r="I41" s="17" t="n">
        <f aca="false">MIN(MAX(0,I35-I36+I40),IF(I12=1,MAX(I38,retrait_urgence*MAX(0,H44)),I38))</f>
        <v>784478.762476012</v>
      </c>
      <c r="J41" s="17" t="n">
        <f aca="false">MIN(MAX(0,J35-J36+J40),IF(J12=1,MAX(J38,retrait_urgence*MAX(0,I44)),J38))</f>
        <v>288025.053020366</v>
      </c>
      <c r="K41" s="17" t="n">
        <f aca="false">MIN(MAX(0,K35-K36+K40),IF(K12=1,MAX(K38,retrait_urgence*MAX(0,J44)),K38))</f>
        <v>292988.94853608</v>
      </c>
      <c r="L41" s="17" t="n">
        <f aca="false">MIN(MAX(0,L35-L36+L40),IF(L12=1,MAX(L38,retrait_urgence*MAX(0,K44)),L38))</f>
        <v>300057.401529262</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127614732.741514</v>
      </c>
      <c r="I44" s="23" t="n">
        <f aca="false">MAX(0,H44)*(1+I37)-I41+I43-I31</f>
        <v>97478865.4484898</v>
      </c>
      <c r="J44" s="23" t="n">
        <f aca="false">MAX(0,I44)*(1+J37)-J41+J43-J31</f>
        <v>99140417.7044392</v>
      </c>
      <c r="K44" s="23" t="n">
        <f aca="false">MAX(0,J44)*(1+K37)-K41+K43-K31</f>
        <v>100830237.109992</v>
      </c>
      <c r="L44" s="23" t="n">
        <f aca="false">MAX(0,K44)*(1+L37)-L41+L43-L31</f>
        <v>102546784.450663</v>
      </c>
      <c r="M44" s="23" t="n">
        <f aca="false">MAX(0,L44)*(1+M37)-M41+M43-M31</f>
        <v>104290520.566416</v>
      </c>
      <c r="N44" s="23" t="n">
        <f aca="false">MAX(0,M44)*(1+N37)-N41+N43-N31</f>
        <v>106061914.483693</v>
      </c>
      <c r="O44" s="23" t="n">
        <f aca="false">MAX(0,N44)*(1+O37)-O41+O43-O31</f>
        <v>106861443.561767</v>
      </c>
      <c r="P44" s="23" t="n">
        <f aca="false">MAX(0,O44)*(1+P37)-P41+P43-P31</f>
        <v>107669593.641701</v>
      </c>
      <c r="Q44" s="23" t="n">
        <f aca="false">MAX(0,P44)*(1+Q37)-Q41+Q43-Q31</f>
        <v>108486459.197965</v>
      </c>
      <c r="R44" s="23" t="n">
        <f aca="false">MAX(0,Q44)*(1+R37)-R41+R43-R31</f>
        <v>109312135.49275</v>
      </c>
      <c r="S44" s="23" t="n">
        <f aca="false">MAX(0,R44)*(1+S37)-S41+S43-S31</f>
        <v>110146718.573028</v>
      </c>
      <c r="T44" s="23" t="n">
        <f aca="false">MAX(0,S44)*(1+T37)-T41+T43-T31</f>
        <v>110990305.267216</v>
      </c>
      <c r="U44" s="23" t="n">
        <f aca="false">MAX(0,T44)*(1+U37)-U41+U43-U31</f>
        <v>111842993.181409</v>
      </c>
      <c r="V44" s="23" t="n">
        <f aca="false">MAX(0,U44)*(1+V37)-V41+V43-V31</f>
        <v>112704880.695194</v>
      </c>
      <c r="W44" s="23" t="n">
        <f aca="false">MAX(0,V44)*(1+W37)-W41+W43-W31</f>
        <v>113576066.957005</v>
      </c>
      <c r="X44" s="23" t="n">
        <f aca="false">MAX(0,W44)*(1+X37)-X41+X43-X31</f>
        <v>114456651.879018</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1.67503329950742</v>
      </c>
      <c r="J47" s="24" t="n">
        <f aca="false">(J29+J38)/J18</f>
        <v>1.60116732106043</v>
      </c>
      <c r="K47" s="24" t="n">
        <f aca="false">(K29+K38)/K18</f>
        <v>1.54484922907211</v>
      </c>
      <c r="L47" s="24" t="n">
        <f aca="false">(L29+L38)/L18</f>
        <v>1.50181291440138</v>
      </c>
      <c r="M47" s="24" t="n">
        <f aca="false">(M29+M38)/M18</f>
        <v>1.47060337786097</v>
      </c>
      <c r="N47" s="24" t="n">
        <f aca="false">(N29+N38)/N18</f>
        <v>1.44883046574952</v>
      </c>
      <c r="O47" s="24" t="n">
        <f aca="false">(O29+O38)/O18</f>
        <v>1.43459159935247</v>
      </c>
      <c r="P47" s="24" t="n">
        <f aca="false">(P29+P38)/P18</f>
        <v>1.42378984484554</v>
      </c>
      <c r="Q47" s="24" t="n">
        <f aca="false">(Q29+Q38)/Q18</f>
        <v>1.41572378090055</v>
      </c>
      <c r="R47" s="24" t="n">
        <f aca="false">(R29+R38)/R18</f>
        <v>1.40983499691817</v>
      </c>
      <c r="S47" s="24" t="n">
        <f aca="false">(S29+S38)/S18</f>
        <v>1.40567892740656</v>
      </c>
      <c r="T47" s="24" t="n">
        <f aca="false">(T29+T38)/T18</f>
        <v>1.40290163178812</v>
      </c>
      <c r="U47" s="24" t="n">
        <f aca="false">(U29+U38)/U18</f>
        <v>1.40122130809318</v>
      </c>
      <c r="V47" s="24" t="n">
        <f aca="false">(V29+V38)/V18</f>
        <v>1.40041357579617</v>
      </c>
      <c r="W47" s="24" t="n">
        <f aca="false">(W29+W38)/W18</f>
        <v>1.40029975959022</v>
      </c>
      <c r="X47" s="24" t="n">
        <f aca="false">(X29+X38)/X18</f>
        <v>1.40073756241096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1915</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D5*(1+g_salaires+st_travaux_g_sal_extra)</f>
        <v>1.005</v>
      </c>
      <c r="F5" s="22" t="n">
        <f aca="false">E5*(1+g_salaires+st_travaux_g_sal_extra)</f>
        <v>1.010025</v>
      </c>
      <c r="G5" s="22" t="n">
        <f aca="false">F5*(1+g_salaires+st_travaux_g_sal_extra)</f>
        <v>1.015075125</v>
      </c>
      <c r="H5" s="22" t="n">
        <f aca="false">G5*(1+g_salaires+st_travaux_g_sal_extra)</f>
        <v>1.020150500625</v>
      </c>
      <c r="I5" s="22" t="n">
        <f aca="false">H5*(1+g_salaires+st_travaux_g_sal_extra)</f>
        <v>1.02525125312812</v>
      </c>
      <c r="J5" s="22" t="n">
        <f aca="false">I5*(1+g_salaires+st_travaux_g_sal_extra)</f>
        <v>1.03037750939376</v>
      </c>
      <c r="K5" s="22" t="n">
        <f aca="false">J5*(1+g_salaires+st_travaux_g_sal_extra)</f>
        <v>1.03552939694073</v>
      </c>
      <c r="L5" s="22" t="n">
        <f aca="false">K5*(1+g_salaires+st_travaux_g_sal_extra)</f>
        <v>1.04070704392544</v>
      </c>
      <c r="M5" s="22" t="n">
        <f aca="false">L5*(1+g_salaires+st_travaux_g_sal_extra)</f>
        <v>1.04591057914506</v>
      </c>
      <c r="N5" s="22" t="n">
        <f aca="false">M5*(1+g_salaires+st_travaux_g_sal_extra)</f>
        <v>1.05114013204079</v>
      </c>
      <c r="O5" s="22" t="n">
        <f aca="false">N5*(1+g_salaires+st_travaux_g_sal_extra)</f>
        <v>1.05639583270099</v>
      </c>
      <c r="P5" s="22" t="n">
        <f aca="false">O5*(1+g_salaires+st_travaux_g_sal_extra)</f>
        <v>1.0616778118645</v>
      </c>
      <c r="Q5" s="22" t="n">
        <f aca="false">P5*(1+g_salaires+st_travaux_g_sal_extra)</f>
        <v>1.06698620092382</v>
      </c>
      <c r="R5" s="22" t="n">
        <f aca="false">Q5*(1+g_salaires+st_travaux_g_sal_extra)</f>
        <v>1.07232113192844</v>
      </c>
      <c r="S5" s="22" t="n">
        <f aca="false">R5*(1+g_salaires+st_travaux_g_sal_extra)</f>
        <v>1.07768273758808</v>
      </c>
      <c r="T5" s="22" t="n">
        <f aca="false">S5*(1+g_salaires+st_travaux_g_sal_extra)</f>
        <v>1.08307115127602</v>
      </c>
      <c r="U5" s="22" t="n">
        <f aca="false">T5*(1+g_salaires+st_travaux_g_sal_extra)</f>
        <v>1.0884865070324</v>
      </c>
      <c r="V5" s="22" t="n">
        <f aca="false">U5*(1+g_salaires+st_travaux_g_sal_extra)</f>
        <v>1.09392893956756</v>
      </c>
      <c r="W5" s="22" t="n">
        <f aca="false">V5*(1+g_salaires+st_travaux_g_sal_extra)</f>
        <v>1.0993985842654</v>
      </c>
      <c r="X5" s="22" t="n">
        <f aca="false">W5*(1+g_salaires+st_travaux_g_sal_extra)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IF(st_travaux_crise_an&gt;0,IF(E$3=st_travaux_crise_an,1,IF(E$3=st_travaux_crise_an+1,2,0)),0)</f>
        <v>0</v>
      </c>
      <c r="F11" s="22" t="n">
        <f aca="false">IF(st_travaux_crise_an&gt;0,IF(F$3=st_travaux_crise_an,1,IF(F$3=st_travaux_crise_an+1,2,0)),0)</f>
        <v>0</v>
      </c>
      <c r="G11" s="22" t="n">
        <f aca="false">IF(st_travaux_crise_an&gt;0,IF(G$3=st_travaux_crise_an,1,IF(G$3=st_travaux_crise_an+1,2,0)),0)</f>
        <v>0</v>
      </c>
      <c r="H11" s="22" t="n">
        <f aca="false">IF(st_travaux_crise_an&gt;0,IF(H$3=st_travaux_crise_an,1,IF(H$3=st_travaux_crise_an+1,2,0)),0)</f>
        <v>0</v>
      </c>
      <c r="I11" s="22" t="n">
        <f aca="false">IF(st_travaux_crise_an&gt;0,IF(I$3=st_travaux_crise_an,1,IF(I$3=st_travaux_crise_an+1,2,0)),0)</f>
        <v>0</v>
      </c>
      <c r="J11" s="22" t="n">
        <f aca="false">IF(st_travaux_crise_an&gt;0,IF(J$3=st_travaux_crise_an,1,IF(J$3=st_travaux_crise_an+1,2,0)),0)</f>
        <v>0</v>
      </c>
      <c r="K11" s="22" t="n">
        <f aca="false">IF(st_travaux_crise_an&gt;0,IF(K$3=st_travaux_crise_an,1,IF(K$3=st_travaux_crise_an+1,2,0)),0)</f>
        <v>0</v>
      </c>
      <c r="L11" s="22" t="n">
        <f aca="false">IF(st_travaux_crise_an&gt;0,IF(L$3=st_travaux_crise_an,1,IF(L$3=st_travaux_crise_an+1,2,0)),0)</f>
        <v>0</v>
      </c>
      <c r="M11" s="22" t="n">
        <f aca="false">IF(st_travaux_crise_an&gt;0,IF(M$3=st_travaux_crise_an,1,IF(M$3=st_travaux_crise_an+1,2,0)),0)</f>
        <v>0</v>
      </c>
      <c r="N11" s="22" t="n">
        <f aca="false">IF(st_travaux_crise_an&gt;0,IF(N$3=st_travaux_crise_an,1,IF(N$3=st_travaux_crise_an+1,2,0)),0)</f>
        <v>0</v>
      </c>
      <c r="O11" s="22" t="n">
        <f aca="false">IF(st_travaux_crise_an&gt;0,IF(O$3=st_travaux_crise_an,1,IF(O$3=st_travaux_crise_an+1,2,0)),0)</f>
        <v>0</v>
      </c>
      <c r="P11" s="22" t="n">
        <f aca="false">IF(st_travaux_crise_an&gt;0,IF(P$3=st_travaux_crise_an,1,IF(P$3=st_travaux_crise_an+1,2,0)),0)</f>
        <v>0</v>
      </c>
      <c r="Q11" s="22" t="n">
        <f aca="false">IF(st_travaux_crise_an&gt;0,IF(Q$3=st_travaux_crise_an,1,IF(Q$3=st_travaux_crise_an+1,2,0)),0)</f>
        <v>0</v>
      </c>
      <c r="R11" s="22" t="n">
        <f aca="false">IF(st_travaux_crise_an&gt;0,IF(R$3=st_travaux_crise_an,1,IF(R$3=st_travaux_crise_an+1,2,0)),0)</f>
        <v>0</v>
      </c>
      <c r="S11" s="22" t="n">
        <f aca="false">IF(st_travaux_crise_an&gt;0,IF(S$3=st_travaux_crise_an,1,IF(S$3=st_travaux_crise_an+1,2,0)),0)</f>
        <v>0</v>
      </c>
      <c r="T11" s="22" t="n">
        <f aca="false">IF(st_travaux_crise_an&gt;0,IF(T$3=st_travaux_crise_an,1,IF(T$3=st_travaux_crise_an+1,2,0)),0)</f>
        <v>0</v>
      </c>
      <c r="U11" s="22" t="n">
        <f aca="false">IF(st_travaux_crise_an&gt;0,IF(U$3=st_travaux_crise_an,1,IF(U$3=st_travaux_crise_an+1,2,0)),0)</f>
        <v>0</v>
      </c>
      <c r="V11" s="22" t="n">
        <f aca="false">IF(st_travaux_crise_an&gt;0,IF(V$3=st_travaux_crise_an,1,IF(V$3=st_travaux_crise_an+1,2,0)),0)</f>
        <v>0</v>
      </c>
      <c r="W11" s="22" t="n">
        <f aca="false">IF(st_travaux_crise_an&gt;0,IF(W$3=st_travaux_crise_an,1,IF(W$3=st_travaux_crise_an+1,2,0)),0)</f>
        <v>0</v>
      </c>
      <c r="X11" s="22" t="n">
        <f aca="false">IF(st_travaux_crise_an&gt;0,IF(X$3=st_travaux_crise_an,1,IF(X$3=st_travaux_crise_an+1,2,0)),0)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(bud_chauffage_S2+bud_hors_gel_S2+bud_electricite_S2)*E7*IF(AND(E$3&gt;=st_travaux_energie_debut,E$3&lt;=st_travaux_energie_fin),st_travaux_energie_mult,1)</f>
        <v>52815.6</v>
      </c>
      <c r="F14" s="17" t="n">
        <f aca="false">(bud_chauffage_S2+bud_hors_gel_S2+bud_electricite_S2)*F7*IF(AND(F$3&gt;=st_travaux_energie_debut,F$3&lt;=st_travaux_energie_fin),st_travaux_energie_mult,1)</f>
        <v>53871.912</v>
      </c>
      <c r="G14" s="17" t="n">
        <f aca="false">(bud_chauffage_S2+bud_hors_gel_S2+bud_electricite_S2)*G7*IF(AND(G$3&gt;=st_travaux_energie_debut,G$3&lt;=st_travaux_energie_fin),st_travaux_energie_mult,1)</f>
        <v>54949.35024</v>
      </c>
      <c r="H14" s="17" t="n">
        <f aca="false">(bud_chauffage_S2+bud_hors_gel_S2+bud_electricite_S2)*H7*IF(AND(H$3&gt;=st_travaux_energie_debut,H$3&lt;=st_travaux_energie_fin),st_travaux_energie_mult,1)</f>
        <v>56048.3372448</v>
      </c>
      <c r="I14" s="17" t="n">
        <f aca="false">(bud_chauffage_S2+bud_hors_gel_S2+bud_electricite_S2)*I7*IF(AND(I$3&gt;=st_travaux_energie_debut,I$3&lt;=st_travaux_energie_fin),st_travaux_energie_mult,1)</f>
        <v>57169.303989696</v>
      </c>
      <c r="J14" s="17" t="n">
        <f aca="false">(bud_chauffage_S2+bud_hors_gel_S2+bud_electricite_S2)*J7*IF(AND(J$3&gt;=st_travaux_energie_debut,J$3&lt;=st_travaux_energie_fin),st_travaux_energie_mult,1)</f>
        <v>58312.6900694899</v>
      </c>
      <c r="K14" s="17" t="n">
        <f aca="false">(bud_chauffage_S2+bud_hors_gel_S2+bud_electricite_S2)*K7*IF(AND(K$3&gt;=st_travaux_energie_debut,K$3&lt;=st_travaux_energie_fin),st_travaux_energie_mult,1)</f>
        <v>59478.9438708797</v>
      </c>
      <c r="L14" s="17" t="n">
        <f aca="false">(bud_chauffage_S2+bud_hors_gel_S2+bud_electricite_S2)*L7*IF(AND(L$3&gt;=st_travaux_energie_debut,L$3&lt;=st_travaux_energie_fin),st_travaux_energie_mult,1)</f>
        <v>60668.5227482973</v>
      </c>
      <c r="M14" s="17" t="n">
        <f aca="false">(bud_chauffage_S2+bud_hors_gel_S2+bud_electricite_S2)*M7*IF(AND(M$3&gt;=st_travaux_energie_debut,M$3&lt;=st_travaux_energie_fin),st_travaux_energie_mult,1)</f>
        <v>61881.8932032633</v>
      </c>
      <c r="N14" s="17" t="n">
        <f aca="false">(bud_chauffage_S2+bud_hors_gel_S2+bud_electricite_S2)*N7*IF(AND(N$3&gt;=st_travaux_energie_debut,N$3&lt;=st_travaux_energie_fin),st_travaux_energie_mult,1)</f>
        <v>63119.5310673285</v>
      </c>
      <c r="O14" s="17" t="n">
        <f aca="false">(bud_chauffage_S2+bud_hors_gel_S2+bud_electricite_S2)*O7*IF(AND(O$3&gt;=st_travaux_energie_debut,O$3&lt;=st_travaux_energie_fin),st_travaux_energie_mult,1)</f>
        <v>64381.9216886751</v>
      </c>
      <c r="P14" s="17" t="n">
        <f aca="false">(bud_chauffage_S2+bud_hors_gel_S2+bud_electricite_S2)*P7*IF(AND(P$3&gt;=st_travaux_energie_debut,P$3&lt;=st_travaux_energie_fin),st_travaux_energie_mult,1)</f>
        <v>65669.5601224486</v>
      </c>
      <c r="Q14" s="17" t="n">
        <f aca="false">(bud_chauffage_S2+bud_hors_gel_S2+bud_electricite_S2)*Q7*IF(AND(Q$3&gt;=st_travaux_energie_debut,Q$3&lt;=st_travaux_energie_fin),st_travaux_energie_mult,1)</f>
        <v>66982.9513248976</v>
      </c>
      <c r="R14" s="17" t="n">
        <f aca="false">(bud_chauffage_S2+bud_hors_gel_S2+bud_electricite_S2)*R7*IF(AND(R$3&gt;=st_travaux_energie_debut,R$3&lt;=st_travaux_energie_fin),st_travaux_energie_mult,1)</f>
        <v>68322.6103513955</v>
      </c>
      <c r="S14" s="17" t="n">
        <f aca="false">(bud_chauffage_S2+bud_hors_gel_S2+bud_electricite_S2)*S7*IF(AND(S$3&gt;=st_travaux_energie_debut,S$3&lt;=st_travaux_energie_fin),st_travaux_energie_mult,1)</f>
        <v>69689.0625584235</v>
      </c>
      <c r="T14" s="17" t="n">
        <f aca="false">(bud_chauffage_S2+bud_hors_gel_S2+bud_electricite_S2)*T7*IF(AND(T$3&gt;=st_travaux_energie_debut,T$3&lt;=st_travaux_energie_fin),st_travaux_energie_mult,1)</f>
        <v>71082.8438095919</v>
      </c>
      <c r="U14" s="17" t="n">
        <f aca="false">(bud_chauffage_S2+bud_hors_gel_S2+bud_electricite_S2)*U7*IF(AND(U$3&gt;=st_travaux_energie_debut,U$3&lt;=st_travaux_energie_fin),st_travaux_energie_mult,1)</f>
        <v>72504.5006857838</v>
      </c>
      <c r="V14" s="17" t="n">
        <f aca="false">(bud_chauffage_S2+bud_hors_gel_S2+bud_electricite_S2)*V7*IF(AND(V$3&gt;=st_travaux_energie_debut,V$3&lt;=st_travaux_energie_fin),st_travaux_energie_mult,1)</f>
        <v>73954.5906994994</v>
      </c>
      <c r="W14" s="17" t="n">
        <f aca="false">(bud_chauffage_S2+bud_hors_gel_S2+bud_electricite_S2)*W7*IF(AND(W$3&gt;=st_travaux_energie_debut,W$3&lt;=st_travaux_energie_fin),st_travaux_energie_mult,1)</f>
        <v>75433.6825134894</v>
      </c>
      <c r="X14" s="17" t="n">
        <f aca="false">(bud_chauffage_S2+bud_hors_gel_S2+bud_electricite_S2)*X7*IF(AND(X$3&gt;=st_travaux_energie_debut,X$3&lt;=st_travaux_energie_fin),st_travaux_energie_mult,1)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IF(MOD(E$3,campagne_periode)=0,(D22+E17)*st_travaux_mult_campagne*(1-E12*flex_report),0)</f>
        <v>0</v>
      </c>
      <c r="F19" s="17" t="n">
        <f aca="false">IF(MOD(F$3,campagne_periode)=0,(E22+F17)*st_travaux_mult_campagne*(1-F12*flex_report),0)</f>
        <v>0</v>
      </c>
      <c r="G19" s="17" t="n">
        <f aca="false">IF(MOD(G$3,campagne_periode)=0,(F22+G17)*st_travaux_mult_campagne*(1-G12*flex_report),0)</f>
        <v>0</v>
      </c>
      <c r="H19" s="17" t="n">
        <f aca="false">IF(MOD(H$3,campagne_periode)=0,(G22+H17)*st_travaux_mult_campagne*(1-H12*flex_report),0)</f>
        <v>1820549.36324265</v>
      </c>
      <c r="I19" s="17" t="n">
        <f aca="false">IF(MOD(I$3,campagne_periode)=0,(H22+I17)*st_travaux_mult_campagne*(1-I12*flex_report),0)</f>
        <v>0</v>
      </c>
      <c r="J19" s="17" t="n">
        <f aca="false">IF(MOD(J$3,campagne_periode)=0,(I22+J17)*st_travaux_mult_campagne*(1-J12*flex_report),0)</f>
        <v>0</v>
      </c>
      <c r="K19" s="17" t="n">
        <f aca="false">IF(MOD(K$3,campagne_periode)=0,(J22+K17)*st_travaux_mult_campagne*(1-K12*flex_report),0)</f>
        <v>0</v>
      </c>
      <c r="L19" s="17" t="n">
        <f aca="false">IF(MOD(L$3,campagne_periode)=0,(K22+L17)*st_travaux_mult_campagne*(1-L12*flex_report),0)</f>
        <v>1875783.3574874</v>
      </c>
      <c r="M19" s="17" t="n">
        <f aca="false">IF(MOD(M$3,campagne_periode)=0,(L22+M17)*st_travaux_mult_campagne*(1-M12*flex_report),0)</f>
        <v>0</v>
      </c>
      <c r="N19" s="17" t="n">
        <f aca="false">IF(MOD(N$3,campagne_periode)=0,(M22+N17)*st_travaux_mult_campagne*(1-N12*flex_report),0)</f>
        <v>0</v>
      </c>
      <c r="O19" s="17" t="n">
        <f aca="false">IF(MOD(O$3,campagne_periode)=0,(N22+O17)*st_travaux_mult_campagne*(1-O12*flex_report),0)</f>
        <v>0</v>
      </c>
      <c r="P19" s="17" t="n">
        <f aca="false">IF(MOD(P$3,campagne_periode)=0,(O22+P17)*st_travaux_mult_campagne*(1-P12*flex_report),0)</f>
        <v>1932693.10641469</v>
      </c>
      <c r="Q19" s="17" t="n">
        <f aca="false">IF(MOD(Q$3,campagne_periode)=0,(P22+Q17)*st_travaux_mult_campagne*(1-Q12*flex_report),0)</f>
        <v>0</v>
      </c>
      <c r="R19" s="17" t="n">
        <f aca="false">IF(MOD(R$3,campagne_periode)=0,(Q22+R17)*st_travaux_mult_campagne*(1-R12*flex_report),0)</f>
        <v>0</v>
      </c>
      <c r="S19" s="17" t="n">
        <f aca="false">IF(MOD(S$3,campagne_periode)=0,(R22+S17)*st_travaux_mult_campagne*(1-S12*flex_report),0)</f>
        <v>0</v>
      </c>
      <c r="T19" s="17" t="n">
        <f aca="false">IF(MOD(T$3,campagne_periode)=0,(S22+T17)*st_travaux_mult_campagne*(1-T12*flex_report),0)</f>
        <v>1991329.45106532</v>
      </c>
      <c r="U19" s="17" t="n">
        <f aca="false">IF(MOD(U$3,campagne_periode)=0,(T22+U17)*st_travaux_mult_campagne*(1-U12*flex_report),0)</f>
        <v>0</v>
      </c>
      <c r="V19" s="17" t="n">
        <f aca="false">IF(MOD(V$3,campagne_periode)=0,(U22+V17)*st_travaux_mult_campagne*(1-V12*flex_report),0)</f>
        <v>0</v>
      </c>
      <c r="W19" s="17" t="n">
        <f aca="false">IF(MOD(W$3,campagne_periode)=0,(V22+W17)*st_travaux_mult_campagne*(1-W12*flex_report),0)</f>
        <v>0</v>
      </c>
      <c r="X19" s="17" t="n">
        <f aca="false">IF(MOD(X$3,campagne_periode)=0,(W22+X17)*st_travaux_mult_campagne*(1-X12*flex_report),0)</f>
        <v>2051744.77495616</v>
      </c>
    </row>
    <row r="20" customFormat="false" ht="15" hidden="false" customHeight="false" outlineLevel="0" collapsed="false">
      <c r="A20" s="2" t="s">
        <v>1852</v>
      </c>
      <c r="B20" s="2" t="s">
        <v>1853</v>
      </c>
      <c r="C20" s="2" t="s">
        <v>1839</v>
      </c>
      <c r="E20" s="17" t="n">
        <f aca="false">IF(E$3=st_travaux_choc_trav_an,st_travaux_choc_trav_montant,0)</f>
        <v>0</v>
      </c>
      <c r="F20" s="17" t="n">
        <f aca="false">IF(F$3=st_travaux_choc_trav_an,st_travaux_choc_trav_montant,0)</f>
        <v>0</v>
      </c>
      <c r="G20" s="17" t="n">
        <f aca="false">IF(G$3=st_travaux_choc_trav_an,st_travaux_choc_trav_montant,0)</f>
        <v>0</v>
      </c>
      <c r="H20" s="17" t="n">
        <f aca="false">IF(H$3=st_travaux_choc_trav_an,st_travaux_choc_trav_montant,0)</f>
        <v>0</v>
      </c>
      <c r="I20" s="17" t="n">
        <f aca="false">IF(I$3=st_travaux_choc_trav_an,st_travaux_choc_trav_montant,0)</f>
        <v>0</v>
      </c>
      <c r="J20" s="17" t="n">
        <f aca="false">IF(J$3=st_travaux_choc_trav_an,st_travaux_choc_trav_montant,0)</f>
        <v>600000</v>
      </c>
      <c r="K20" s="17" t="n">
        <f aca="false">IF(K$3=st_travaux_choc_trav_an,st_travaux_choc_trav_montant,0)</f>
        <v>0</v>
      </c>
      <c r="L20" s="17" t="n">
        <f aca="false">IF(L$3=st_travaux_choc_trav_an,st_travaux_choc_trav_montant,0)</f>
        <v>0</v>
      </c>
      <c r="M20" s="17" t="n">
        <f aca="false">IF(M$3=st_travaux_choc_trav_an,st_travaux_choc_trav_montant,0)</f>
        <v>0</v>
      </c>
      <c r="N20" s="17" t="n">
        <f aca="false">IF(N$3=st_travaux_choc_trav_an,st_travaux_choc_trav_montant,0)</f>
        <v>0</v>
      </c>
      <c r="O20" s="17" t="n">
        <f aca="false">IF(O$3=st_travaux_choc_trav_an,st_travaux_choc_trav_montant,0)</f>
        <v>0</v>
      </c>
      <c r="P20" s="17" t="n">
        <f aca="false">IF(P$3=st_travaux_choc_trav_an,st_travaux_choc_trav_montant,0)</f>
        <v>0</v>
      </c>
      <c r="Q20" s="17" t="n">
        <f aca="false">IF(Q$3=st_travaux_choc_trav_an,st_travaux_choc_trav_montant,0)</f>
        <v>0</v>
      </c>
      <c r="R20" s="17" t="n">
        <f aca="false">IF(R$3=st_travaux_choc_trav_an,st_travaux_choc_trav_montant,0)</f>
        <v>0</v>
      </c>
      <c r="S20" s="17" t="n">
        <f aca="false">IF(S$3=st_travaux_choc_trav_an,st_travaux_choc_trav_montant,0)</f>
        <v>0</v>
      </c>
      <c r="T20" s="17" t="n">
        <f aca="false">IF(T$3=st_travaux_choc_trav_an,st_travaux_choc_trav_montant,0)</f>
        <v>0</v>
      </c>
      <c r="U20" s="17" t="n">
        <f aca="false">IF(U$3=st_travaux_choc_trav_an,st_travaux_choc_trav_montant,0)</f>
        <v>0</v>
      </c>
      <c r="V20" s="17" t="n">
        <f aca="false">IF(V$3=st_travaux_choc_trav_an,st_travaux_choc_trav_montant,0)</f>
        <v>0</v>
      </c>
      <c r="W20" s="17" t="n">
        <f aca="false">IF(W$3=st_travaux_choc_trav_an,st_travaux_choc_trav_montant,0)</f>
        <v>0</v>
      </c>
      <c r="X20" s="17" t="n">
        <f aca="false">IF(X$3=st_travaux_choc_trav_an,st_travaux_choc_trav_montant,0)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420126.776132919</v>
      </c>
      <c r="I21" s="17" t="n">
        <f aca="false">MAX(0,I19-H22-I17)+I20</f>
        <v>0</v>
      </c>
      <c r="J21" s="17" t="n">
        <f aca="false">MAX(0,J19-I22-J17)+J20</f>
        <v>600000</v>
      </c>
      <c r="K21" s="17" t="n">
        <f aca="false">MAX(0,K19-J22-K17)+K20</f>
        <v>0</v>
      </c>
      <c r="L21" s="17" t="n">
        <f aca="false">MAX(0,L19-K22-L17)+L20</f>
        <v>432873.082497093</v>
      </c>
      <c r="M21" s="17" t="n">
        <f aca="false">MAX(0,M19-L22-M17)+M20</f>
        <v>0</v>
      </c>
      <c r="N21" s="17" t="n">
        <f aca="false">MAX(0,N19-M22-N17)+N20</f>
        <v>0</v>
      </c>
      <c r="O21" s="17" t="n">
        <f aca="false">MAX(0,O19-N22-O17)+O20</f>
        <v>0</v>
      </c>
      <c r="P21" s="17" t="n">
        <f aca="false">MAX(0,P19-O22-P17)+P20</f>
        <v>446006.101480313</v>
      </c>
      <c r="Q21" s="17" t="n">
        <f aca="false">MAX(0,Q19-P22-Q17)+Q20</f>
        <v>0</v>
      </c>
      <c r="R21" s="17" t="n">
        <f aca="false">MAX(0,R19-Q22-R17)+R20</f>
        <v>0</v>
      </c>
      <c r="S21" s="17" t="n">
        <f aca="false">MAX(0,S19-R22-S17)+S20</f>
        <v>0</v>
      </c>
      <c r="T21" s="17" t="n">
        <f aca="false">MAX(0,T19-S22-T17)+T20</f>
        <v>459537.565630459</v>
      </c>
      <c r="U21" s="17" t="n">
        <f aca="false">MAX(0,U19-T22-U17)+U20</f>
        <v>0</v>
      </c>
      <c r="V21" s="17" t="n">
        <f aca="false">MAX(0,V19-U22-V17)+V20</f>
        <v>0</v>
      </c>
      <c r="W21" s="17" t="n">
        <f aca="false">MAX(0,W19-V22-W17)+W20</f>
        <v>0</v>
      </c>
      <c r="X21" s="17" t="n">
        <f aca="false">MAX(0,X19-W22-X17)+X20</f>
        <v>473479.563451421</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(S2_ech_log*mot_log_cn+S2_ech_stock*mot_stock_cn+S2_ech_pv*mot_pv_cn+S2_ech_bois*mot_bois_cn)*E24*E9*IF(E$3&gt;=st_travaux_debut_mult,st_travaux_mult_A,1)*IF(E11=1,1-0.05,IF(E11=2,1-0.02,1))</f>
        <v>21930.4</v>
      </c>
      <c r="F25" s="17" t="n">
        <f aca="false">(S2_ech_log*mot_log_cn+S2_ech_stock*mot_stock_cn+S2_ech_pv*mot_pv_cn+S2_ech_bois*mot_bois_cn)*F24*F9*IF(F$3&gt;=st_travaux_debut_mult,st_travaux_mult_A,1)*IF(F11=1,1-0.05,IF(F11=2,1-0.02,1))</f>
        <v>41119.5</v>
      </c>
      <c r="G25" s="17" t="n">
        <f aca="false">(S2_ech_log*mot_log_cn+S2_ech_stock*mot_stock_cn+S2_ech_pv*mot_pv_cn+S2_ech_bois*mot_bois_cn)*G24*G9*IF(G$3&gt;=st_travaux_debut_mult,st_travaux_mult_A,1)*IF(G11=1,1-0.05,IF(G11=2,1-0.02,1))</f>
        <v>54826</v>
      </c>
      <c r="H25" s="17" t="n">
        <f aca="false">(S2_ech_log*mot_log_cn+S2_ech_stock*mot_stock_cn+S2_ech_pv*mot_pv_cn+S2_ech_bois*mot_bois_cn)*H24*H9*IF(H$3&gt;=st_travaux_debut_mult,st_travaux_mult_A,1)*IF(H11=1,1-0.05,IF(H11=2,1-0.02,1))</f>
        <v>54826</v>
      </c>
      <c r="I25" s="17" t="n">
        <f aca="false">(S2_ech_log*mot_log_cn+S2_ech_stock*mot_stock_cn+S2_ech_pv*mot_pv_cn+S2_ech_bois*mot_bois_cn)*I24*I9*IF(I$3&gt;=st_travaux_debut_mult,st_travaux_mult_A,1)*IF(I11=1,1-0.05,IF(I11=2,1-0.02,1))</f>
        <v>54826</v>
      </c>
      <c r="J25" s="17" t="n">
        <f aca="false">(S2_ech_log*mot_log_cn+S2_ech_stock*mot_stock_cn+S2_ech_pv*mot_pv_cn+S2_ech_bois*mot_bois_cn)*J24*J9*IF(J$3&gt;=st_travaux_debut_mult,st_travaux_mult_A,1)*IF(J11=1,1-0.05,IF(J11=2,1-0.02,1))</f>
        <v>54826</v>
      </c>
      <c r="K25" s="17" t="n">
        <f aca="false">(S2_ech_log*mot_log_cn+S2_ech_stock*mot_stock_cn+S2_ech_pv*mot_pv_cn+S2_ech_bois*mot_bois_cn)*K24*K9*IF(K$3&gt;=st_travaux_debut_mult,st_travaux_mult_A,1)*IF(K11=1,1-0.05,IF(K11=2,1-0.02,1))</f>
        <v>54826</v>
      </c>
      <c r="L25" s="17" t="n">
        <f aca="false">(S2_ech_log*mot_log_cn+S2_ech_stock*mot_stock_cn+S2_ech_pv*mot_pv_cn+S2_ech_bois*mot_bois_cn)*L24*L9*IF(L$3&gt;=st_travaux_debut_mult,st_travaux_mult_A,1)*IF(L11=1,1-0.05,IF(L11=2,1-0.02,1))</f>
        <v>54826</v>
      </c>
      <c r="M25" s="17" t="n">
        <f aca="false">(S2_ech_log*mot_log_cn+S2_ech_stock*mot_stock_cn+S2_ech_pv*mot_pv_cn+S2_ech_bois*mot_bois_cn)*M24*M9*IF(M$3&gt;=st_travaux_debut_mult,st_travaux_mult_A,1)*IF(M11=1,1-0.05,IF(M11=2,1-0.02,1))</f>
        <v>54826</v>
      </c>
      <c r="N25" s="17" t="n">
        <f aca="false">(S2_ech_log*mot_log_cn+S2_ech_stock*mot_stock_cn+S2_ech_pv*mot_pv_cn+S2_ech_bois*mot_bois_cn)*N24*N9*IF(N$3&gt;=st_travaux_debut_mult,st_travaux_mult_A,1)*IF(N11=1,1-0.05,IF(N11=2,1-0.02,1))</f>
        <v>54826</v>
      </c>
      <c r="O25" s="17" t="n">
        <f aca="false">(S2_ech_log*mot_log_cn+S2_ech_stock*mot_stock_cn+S2_ech_pv*mot_pv_cn+S2_ech_bois*mot_bois_cn)*O24*O9*IF(O$3&gt;=st_travaux_debut_mult,st_travaux_mult_A,1)*IF(O11=1,1-0.05,IF(O11=2,1-0.02,1))</f>
        <v>54826</v>
      </c>
      <c r="P25" s="17" t="n">
        <f aca="false">(S2_ech_log*mot_log_cn+S2_ech_stock*mot_stock_cn+S2_ech_pv*mot_pv_cn+S2_ech_bois*mot_bois_cn)*P24*P9*IF(P$3&gt;=st_travaux_debut_mult,st_travaux_mult_A,1)*IF(P11=1,1-0.05,IF(P11=2,1-0.02,1))</f>
        <v>54826</v>
      </c>
      <c r="Q25" s="17" t="n">
        <f aca="false">(S2_ech_log*mot_log_cn+S2_ech_stock*mot_stock_cn+S2_ech_pv*mot_pv_cn+S2_ech_bois*mot_bois_cn)*Q24*Q9*IF(Q$3&gt;=st_travaux_debut_mult,st_travaux_mult_A,1)*IF(Q11=1,1-0.05,IF(Q11=2,1-0.02,1))</f>
        <v>54826</v>
      </c>
      <c r="R25" s="17" t="n">
        <f aca="false">(S2_ech_log*mot_log_cn+S2_ech_stock*mot_stock_cn+S2_ech_pv*mot_pv_cn+S2_ech_bois*mot_bois_cn)*R24*R9*IF(R$3&gt;=st_travaux_debut_mult,st_travaux_mult_A,1)*IF(R11=1,1-0.05,IF(R11=2,1-0.02,1))</f>
        <v>54826</v>
      </c>
      <c r="S25" s="17" t="n">
        <f aca="false">(S2_ech_log*mot_log_cn+S2_ech_stock*mot_stock_cn+S2_ech_pv*mot_pv_cn+S2_ech_bois*mot_bois_cn)*S24*S9*IF(S$3&gt;=st_travaux_debut_mult,st_travaux_mult_A,1)*IF(S11=1,1-0.05,IF(S11=2,1-0.02,1))</f>
        <v>54826</v>
      </c>
      <c r="T25" s="17" t="n">
        <f aca="false">(S2_ech_log*mot_log_cn+S2_ech_stock*mot_stock_cn+S2_ech_pv*mot_pv_cn+S2_ech_bois*mot_bois_cn)*T24*T9*IF(T$3&gt;=st_travaux_debut_mult,st_travaux_mult_A,1)*IF(T11=1,1-0.05,IF(T11=2,1-0.02,1))</f>
        <v>54826</v>
      </c>
      <c r="U25" s="17" t="n">
        <f aca="false">(S2_ech_log*mot_log_cn+S2_ech_stock*mot_stock_cn+S2_ech_pv*mot_pv_cn+S2_ech_bois*mot_bois_cn)*U24*U9*IF(U$3&gt;=st_travaux_debut_mult,st_travaux_mult_A,1)*IF(U11=1,1-0.05,IF(U11=2,1-0.02,1))</f>
        <v>54826</v>
      </c>
      <c r="V25" s="17" t="n">
        <f aca="false">(S2_ech_log*mot_log_cn+S2_ech_stock*mot_stock_cn+S2_ech_pv*mot_pv_cn+S2_ech_bois*mot_bois_cn)*V24*V9*IF(V$3&gt;=st_travaux_debut_mult,st_travaux_mult_A,1)*IF(V11=1,1-0.05,IF(V11=2,1-0.02,1))</f>
        <v>54826</v>
      </c>
      <c r="W25" s="17" t="n">
        <f aca="false">(S2_ech_log*mot_log_cn+S2_ech_stock*mot_stock_cn+S2_ech_pv*mot_pv_cn+S2_ech_bois*mot_bois_cn)*W24*W9*IF(W$3&gt;=st_travaux_debut_mult,st_travaux_mult_A,1)*IF(W11=1,1-0.05,IF(W11=2,1-0.02,1))</f>
        <v>54826</v>
      </c>
      <c r="X25" s="17" t="n">
        <f aca="false">(S2_ech_log*mot_log_cn+S2_ech_stock*mot_stock_cn+S2_ech_pv*mot_pv_cn+S2_ech_bois*mot_bois_cn)*X24*X9*IF(X$3&gt;=st_travaux_debut_mult,st_travaux_mult_A,1)*IF(X11=1,1-0.05,IF(X11=2,1-0.02,1))</f>
        <v>54826</v>
      </c>
    </row>
    <row r="26" customFormat="false" ht="15" hidden="false" customHeight="false" outlineLevel="0" collapsed="false">
      <c r="A26" s="2" t="s">
        <v>1864</v>
      </c>
      <c r="B26" s="2" t="s">
        <v>1865</v>
      </c>
      <c r="C26" s="2" t="s">
        <v>1839</v>
      </c>
      <c r="E26" s="17" t="n">
        <f aca="false">(S2_ech_eq_ret*mot_eq_ret_cn)*E24*E9*IF(E$3&gt;=st_travaux_debut_mult,st_travaux_mult_B,1)*IF(E11=1,1-0.15,IF(E11=2,1-0.05,1))</f>
        <v>4039.2</v>
      </c>
      <c r="F26" s="17" t="n">
        <f aca="false">(S2_ech_eq_ret*mot_eq_ret_cn)*F24*F9*IF(F$3&gt;=st_travaux_debut_mult,st_travaux_mult_B,1)*IF(F11=1,1-0.15,IF(F11=2,1-0.05,1))</f>
        <v>7573.5</v>
      </c>
      <c r="G26" s="17" t="n">
        <f aca="false">(S2_ech_eq_ret*mot_eq_ret_cn)*G24*G9*IF(G$3&gt;=st_travaux_debut_mult,st_travaux_mult_B,1)*IF(G11=1,1-0.15,IF(G11=2,1-0.05,1))</f>
        <v>10098</v>
      </c>
      <c r="H26" s="17" t="n">
        <f aca="false">(S2_ech_eq_ret*mot_eq_ret_cn)*H24*H9*IF(H$3&gt;=st_travaux_debut_mult,st_travaux_mult_B,1)*IF(H11=1,1-0.15,IF(H11=2,1-0.05,1))</f>
        <v>10098</v>
      </c>
      <c r="I26" s="17" t="n">
        <f aca="false">(S2_ech_eq_ret*mot_eq_ret_cn)*I24*I9*IF(I$3&gt;=st_travaux_debut_mult,st_travaux_mult_B,1)*IF(I11=1,1-0.15,IF(I11=2,1-0.05,1))</f>
        <v>10098</v>
      </c>
      <c r="J26" s="17" t="n">
        <f aca="false">(S2_ech_eq_ret*mot_eq_ret_cn)*J24*J9*IF(J$3&gt;=st_travaux_debut_mult,st_travaux_mult_B,1)*IF(J11=1,1-0.15,IF(J11=2,1-0.05,1))</f>
        <v>10098</v>
      </c>
      <c r="K26" s="17" t="n">
        <f aca="false">(S2_ech_eq_ret*mot_eq_ret_cn)*K24*K9*IF(K$3&gt;=st_travaux_debut_mult,st_travaux_mult_B,1)*IF(K11=1,1-0.15,IF(K11=2,1-0.05,1))</f>
        <v>10098</v>
      </c>
      <c r="L26" s="17" t="n">
        <f aca="false">(S2_ech_eq_ret*mot_eq_ret_cn)*L24*L9*IF(L$3&gt;=st_travaux_debut_mult,st_travaux_mult_B,1)*IF(L11=1,1-0.15,IF(L11=2,1-0.05,1))</f>
        <v>10098</v>
      </c>
      <c r="M26" s="17" t="n">
        <f aca="false">(S2_ech_eq_ret*mot_eq_ret_cn)*M24*M9*IF(M$3&gt;=st_travaux_debut_mult,st_travaux_mult_B,1)*IF(M11=1,1-0.15,IF(M11=2,1-0.05,1))</f>
        <v>10098</v>
      </c>
      <c r="N26" s="17" t="n">
        <f aca="false">(S2_ech_eq_ret*mot_eq_ret_cn)*N24*N9*IF(N$3&gt;=st_travaux_debut_mult,st_travaux_mult_B,1)*IF(N11=1,1-0.15,IF(N11=2,1-0.05,1))</f>
        <v>10098</v>
      </c>
      <c r="O26" s="17" t="n">
        <f aca="false">(S2_ech_eq_ret*mot_eq_ret_cn)*O24*O9*IF(O$3&gt;=st_travaux_debut_mult,st_travaux_mult_B,1)*IF(O11=1,1-0.15,IF(O11=2,1-0.05,1))</f>
        <v>10098</v>
      </c>
      <c r="P26" s="17" t="n">
        <f aca="false">(S2_ech_eq_ret*mot_eq_ret_cn)*P24*P9*IF(P$3&gt;=st_travaux_debut_mult,st_travaux_mult_B,1)*IF(P11=1,1-0.15,IF(P11=2,1-0.05,1))</f>
        <v>10098</v>
      </c>
      <c r="Q26" s="17" t="n">
        <f aca="false">(S2_ech_eq_ret*mot_eq_ret_cn)*Q24*Q9*IF(Q$3&gt;=st_travaux_debut_mult,st_travaux_mult_B,1)*IF(Q11=1,1-0.15,IF(Q11=2,1-0.05,1))</f>
        <v>10098</v>
      </c>
      <c r="R26" s="17" t="n">
        <f aca="false">(S2_ech_eq_ret*mot_eq_ret_cn)*R24*R9*IF(R$3&gt;=st_travaux_debut_mult,st_travaux_mult_B,1)*IF(R11=1,1-0.15,IF(R11=2,1-0.05,1))</f>
        <v>10098</v>
      </c>
      <c r="S26" s="17" t="n">
        <f aca="false">(S2_ech_eq_ret*mot_eq_ret_cn)*S24*S9*IF(S$3&gt;=st_travaux_debut_mult,st_travaux_mult_B,1)*IF(S11=1,1-0.15,IF(S11=2,1-0.05,1))</f>
        <v>10098</v>
      </c>
      <c r="T26" s="17" t="n">
        <f aca="false">(S2_ech_eq_ret*mot_eq_ret_cn)*T24*T9*IF(T$3&gt;=st_travaux_debut_mult,st_travaux_mult_B,1)*IF(T11=1,1-0.15,IF(T11=2,1-0.05,1))</f>
        <v>10098</v>
      </c>
      <c r="U26" s="17" t="n">
        <f aca="false">(S2_ech_eq_ret*mot_eq_ret_cn)*U24*U9*IF(U$3&gt;=st_travaux_debut_mult,st_travaux_mult_B,1)*IF(U11=1,1-0.15,IF(U11=2,1-0.05,1))</f>
        <v>10098</v>
      </c>
      <c r="V26" s="17" t="n">
        <f aca="false">(S2_ech_eq_ret*mot_eq_ret_cn)*V24*V9*IF(V$3&gt;=st_travaux_debut_mult,st_travaux_mult_B,1)*IF(V11=1,1-0.15,IF(V11=2,1-0.05,1))</f>
        <v>10098</v>
      </c>
      <c r="W26" s="17" t="n">
        <f aca="false">(S2_ech_eq_ret*mot_eq_ret_cn)*W24*W9*IF(W$3&gt;=st_travaux_debut_mult,st_travaux_mult_B,1)*IF(W11=1,1-0.15,IF(W11=2,1-0.05,1))</f>
        <v>10098</v>
      </c>
      <c r="X26" s="17" t="n">
        <f aca="false">(S2_ech_eq_ret*mot_eq_ret_cn)*X24*X9*IF(X$3&gt;=st_travaux_debut_mult,st_travaux_mult_B,1)*IF(X11=1,1-0.15,IF(X11=2,1-0.05,1))</f>
        <v>10098</v>
      </c>
    </row>
    <row r="27" customFormat="false" ht="15" hidden="false" customHeight="false" outlineLevel="0" collapsed="false">
      <c r="A27" s="2" t="s">
        <v>1866</v>
      </c>
      <c r="B27" s="2" t="s">
        <v>1867</v>
      </c>
      <c r="C27" s="2" t="s">
        <v>1839</v>
      </c>
      <c r="E27" s="17" t="n">
        <f aca="false">(S2_ech_tourn*mot_tourn_cn)*E24*E9*IF(E$3&gt;=st_travaux_debut_mult,st_travaux_mult_C,1)*IF(E11=1,1-0.8,IF(E11=2,1-0.3,1))</f>
        <v>2380</v>
      </c>
      <c r="F27" s="17" t="n">
        <f aca="false">(S2_ech_tourn*mot_tourn_cn)*F24*F9*IF(F$3&gt;=st_travaux_debut_mult,st_travaux_mult_C,1)*IF(F11=1,1-0.8,IF(F11=2,1-0.3,1))</f>
        <v>4462.5</v>
      </c>
      <c r="G27" s="17" t="n">
        <f aca="false">(S2_ech_tourn*mot_tourn_cn)*G24*G9*IF(G$3&gt;=st_travaux_debut_mult,st_travaux_mult_C,1)*IF(G11=1,1-0.8,IF(G11=2,1-0.3,1))</f>
        <v>5950</v>
      </c>
      <c r="H27" s="17" t="n">
        <f aca="false">(S2_ech_tourn*mot_tourn_cn)*H24*H9*IF(H$3&gt;=st_travaux_debut_mult,st_travaux_mult_C,1)*IF(H11=1,1-0.8,IF(H11=2,1-0.3,1))</f>
        <v>5950</v>
      </c>
      <c r="I27" s="17" t="n">
        <f aca="false">(S2_ech_tourn*mot_tourn_cn)*I24*I9*IF(I$3&gt;=st_travaux_debut_mult,st_travaux_mult_C,1)*IF(I11=1,1-0.8,IF(I11=2,1-0.3,1))</f>
        <v>5950</v>
      </c>
      <c r="J27" s="17" t="n">
        <f aca="false">(S2_ech_tourn*mot_tourn_cn)*J24*J9*IF(J$3&gt;=st_travaux_debut_mult,st_travaux_mult_C,1)*IF(J11=1,1-0.8,IF(J11=2,1-0.3,1))</f>
        <v>5950</v>
      </c>
      <c r="K27" s="17" t="n">
        <f aca="false">(S2_ech_tourn*mot_tourn_cn)*K24*K9*IF(K$3&gt;=st_travaux_debut_mult,st_travaux_mult_C,1)*IF(K11=1,1-0.8,IF(K11=2,1-0.3,1))</f>
        <v>5950</v>
      </c>
      <c r="L27" s="17" t="n">
        <f aca="false">(S2_ech_tourn*mot_tourn_cn)*L24*L9*IF(L$3&gt;=st_travaux_debut_mult,st_travaux_mult_C,1)*IF(L11=1,1-0.8,IF(L11=2,1-0.3,1))</f>
        <v>5950</v>
      </c>
      <c r="M27" s="17" t="n">
        <f aca="false">(S2_ech_tourn*mot_tourn_cn)*M24*M9*IF(M$3&gt;=st_travaux_debut_mult,st_travaux_mult_C,1)*IF(M11=1,1-0.8,IF(M11=2,1-0.3,1))</f>
        <v>5950</v>
      </c>
      <c r="N27" s="17" t="n">
        <f aca="false">(S2_ech_tourn*mot_tourn_cn)*N24*N9*IF(N$3&gt;=st_travaux_debut_mult,st_travaux_mult_C,1)*IF(N11=1,1-0.8,IF(N11=2,1-0.3,1))</f>
        <v>5950</v>
      </c>
      <c r="O27" s="17" t="n">
        <f aca="false">(S2_ech_tourn*mot_tourn_cn)*O24*O9*IF(O$3&gt;=st_travaux_debut_mult,st_travaux_mult_C,1)*IF(O11=1,1-0.8,IF(O11=2,1-0.3,1))</f>
        <v>5950</v>
      </c>
      <c r="P27" s="17" t="n">
        <f aca="false">(S2_ech_tourn*mot_tourn_cn)*P24*P9*IF(P$3&gt;=st_travaux_debut_mult,st_travaux_mult_C,1)*IF(P11=1,1-0.8,IF(P11=2,1-0.3,1))</f>
        <v>5950</v>
      </c>
      <c r="Q27" s="17" t="n">
        <f aca="false">(S2_ech_tourn*mot_tourn_cn)*Q24*Q9*IF(Q$3&gt;=st_travaux_debut_mult,st_travaux_mult_C,1)*IF(Q11=1,1-0.8,IF(Q11=2,1-0.3,1))</f>
        <v>5950</v>
      </c>
      <c r="R27" s="17" t="n">
        <f aca="false">(S2_ech_tourn*mot_tourn_cn)*R24*R9*IF(R$3&gt;=st_travaux_debut_mult,st_travaux_mult_C,1)*IF(R11=1,1-0.8,IF(R11=2,1-0.3,1))</f>
        <v>5950</v>
      </c>
      <c r="S27" s="17" t="n">
        <f aca="false">(S2_ech_tourn*mot_tourn_cn)*S24*S9*IF(S$3&gt;=st_travaux_debut_mult,st_travaux_mult_C,1)*IF(S11=1,1-0.8,IF(S11=2,1-0.3,1))</f>
        <v>5950</v>
      </c>
      <c r="T27" s="17" t="n">
        <f aca="false">(S2_ech_tourn*mot_tourn_cn)*T24*T9*IF(T$3&gt;=st_travaux_debut_mult,st_travaux_mult_C,1)*IF(T11=1,1-0.8,IF(T11=2,1-0.3,1))</f>
        <v>5950</v>
      </c>
      <c r="U27" s="17" t="n">
        <f aca="false">(S2_ech_tourn*mot_tourn_cn)*U24*U9*IF(U$3&gt;=st_travaux_debut_mult,st_travaux_mult_C,1)*IF(U11=1,1-0.8,IF(U11=2,1-0.3,1))</f>
        <v>5950</v>
      </c>
      <c r="V27" s="17" t="n">
        <f aca="false">(S2_ech_tourn*mot_tourn_cn)*V24*V9*IF(V$3&gt;=st_travaux_debut_mult,st_travaux_mult_C,1)*IF(V11=1,1-0.8,IF(V11=2,1-0.3,1))</f>
        <v>5950</v>
      </c>
      <c r="W27" s="17" t="n">
        <f aca="false">(S2_ech_tourn*mot_tourn_cn)*W24*W9*IF(W$3&gt;=st_travaux_debut_mult,st_travaux_mult_C,1)*IF(W11=1,1-0.8,IF(W11=2,1-0.3,1))</f>
        <v>5950</v>
      </c>
      <c r="X27" s="17" t="n">
        <f aca="false">(S2_ech_tourn*mot_tourn_cn)*X24*X9*IF(X$3&gt;=st_travaux_debut_mult,st_travaux_mult_C,1)*IF(X11=1,1-0.8,IF(X11=2,1-0.3,1))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1676990.6233267</v>
      </c>
      <c r="I35" s="17" t="n">
        <f aca="false">I13+I14+I15+I16+I17+I21+I32-I29-I23-I33-I34</f>
        <v>1263598.89681921</v>
      </c>
      <c r="J35" s="17" t="n">
        <f aca="false">J13+J14+J15+J16+J17+J21+J32-J29-J23-J33-J34</f>
        <v>1870403.18837041</v>
      </c>
      <c r="K35" s="17" t="n">
        <f aca="false">K13+K14+K15+K16+K17+K21+K32-K29-K23-K33-K34</f>
        <v>1277277.67824168</v>
      </c>
      <c r="L35" s="17" t="n">
        <f aca="false">L13+L14+L15+L16+L17+L21+L32-L29-L23-L33-L34</f>
        <v>1717096.4213516</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1758743.81621208</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1802010.55385638</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1846979.31697974</v>
      </c>
    </row>
    <row r="36" customFormat="false" ht="15" hidden="false" customHeight="false" outlineLevel="0" collapsed="false">
      <c r="A36" s="2" t="s">
        <v>1884</v>
      </c>
      <c r="B36" s="2" t="s">
        <v>1885</v>
      </c>
      <c r="C36" s="2" t="s">
        <v>1839</v>
      </c>
      <c r="E36" s="17" t="n">
        <f aca="false">IF(AND(E$3&lt;=S2_sol_div_annees,E$3&lt;=st_travaux_div_fin),S2_sol_div*IF(E11=1,0.5,1),0)</f>
        <v>1000000</v>
      </c>
      <c r="F36" s="17" t="n">
        <f aca="false">IF(AND(F$3&lt;=S2_sol_div_annees,F$3&lt;=st_travaux_div_fin),S2_sol_div*IF(F11=1,0.5,1),0)</f>
        <v>1000000</v>
      </c>
      <c r="G36" s="17" t="n">
        <f aca="false">IF(AND(G$3&lt;=S2_sol_div_annees,G$3&lt;=st_travaux_div_fin),S2_sol_div*IF(G11=1,0.5,1),0)</f>
        <v>1000000</v>
      </c>
      <c r="H36" s="17" t="n">
        <f aca="false">IF(AND(H$3&lt;=S2_sol_div_annees,H$3&lt;=st_travaux_div_fin),S2_sol_div*IF(H11=1,0.5,1),0)</f>
        <v>1000000</v>
      </c>
      <c r="I36" s="17" t="n">
        <f aca="false">IF(AND(I$3&lt;=S2_sol_div_annees,I$3&lt;=st_travaux_div_fin),S2_sol_div*IF(I11=1,0.5,1),0)</f>
        <v>1000000</v>
      </c>
      <c r="J36" s="17" t="n">
        <f aca="false">IF(AND(J$3&lt;=S2_sol_div_annees,J$3&lt;=st_travaux_div_fin),S2_sol_div*IF(J11=1,0.5,1),0)</f>
        <v>1000000</v>
      </c>
      <c r="K36" s="17" t="n">
        <f aca="false">IF(AND(K$3&lt;=S2_sol_div_annees,K$3&lt;=st_travaux_div_fin),S2_sol_div*IF(K11=1,0.5,1),0)</f>
        <v>1000000</v>
      </c>
      <c r="L36" s="17" t="n">
        <f aca="false">IF(AND(L$3&lt;=S2_sol_div_annees,L$3&lt;=st_travaux_div_fin),S2_sol_div*IF(L11=1,0.5,1),0)</f>
        <v>1000000</v>
      </c>
      <c r="M36" s="17" t="n">
        <f aca="false">IF(AND(M$3&lt;=S2_sol_div_annees,M$3&lt;=st_travaux_div_fin),S2_sol_div*IF(M11=1,0.5,1),0)</f>
        <v>1000000</v>
      </c>
      <c r="N36" s="17" t="n">
        <f aca="false">IF(AND(N$3&lt;=S2_sol_div_annees,N$3&lt;=st_travaux_div_fin),S2_sol_div*IF(N11=1,0.5,1),0)</f>
        <v>1000000</v>
      </c>
      <c r="O36" s="17" t="n">
        <f aca="false">IF(AND(O$3&lt;=S2_sol_div_annees,O$3&lt;=st_travaux_div_fin),S2_sol_div*IF(O11=1,0.5,1),0)</f>
        <v>0</v>
      </c>
      <c r="P36" s="17" t="n">
        <f aca="false">IF(AND(P$3&lt;=S2_sol_div_annees,P$3&lt;=st_travaux_div_fin),S2_sol_div*IF(P11=1,0.5,1),0)</f>
        <v>0</v>
      </c>
      <c r="Q36" s="17" t="n">
        <f aca="false">IF(AND(Q$3&lt;=S2_sol_div_annees,Q$3&lt;=st_travaux_div_fin),S2_sol_div*IF(Q11=1,0.5,1),0)</f>
        <v>0</v>
      </c>
      <c r="R36" s="17" t="n">
        <f aca="false">IF(AND(R$3&lt;=S2_sol_div_annees,R$3&lt;=st_travaux_div_fin),S2_sol_div*IF(R11=1,0.5,1),0)</f>
        <v>0</v>
      </c>
      <c r="S36" s="17" t="n">
        <f aca="false">IF(AND(S$3&lt;=S2_sol_div_annees,S$3&lt;=st_travaux_div_fin),S2_sol_div*IF(S11=1,0.5,1),0)</f>
        <v>0</v>
      </c>
      <c r="T36" s="17" t="n">
        <f aca="false">IF(AND(T$3&lt;=S2_sol_div_annees,T$3&lt;=st_travaux_div_fin),S2_sol_div*IF(T11=1,0.5,1),0)</f>
        <v>0</v>
      </c>
      <c r="U36" s="17" t="n">
        <f aca="false">IF(AND(U$3&lt;=S2_sol_div_annees,U$3&lt;=st_travaux_div_fin),S2_sol_div*IF(U11=1,0.5,1),0)</f>
        <v>0</v>
      </c>
      <c r="V36" s="17" t="n">
        <f aca="false">IF(AND(V$3&lt;=S2_sol_div_annees,V$3&lt;=st_travaux_div_fin),S2_sol_div*IF(V11=1,0.5,1),0)</f>
        <v>0</v>
      </c>
      <c r="W36" s="17" t="n">
        <f aca="false">IF(AND(W$3&lt;=S2_sol_div_annees,W$3&lt;=st_travaux_div_fin),S2_sol_div*IF(W11=1,0.5,1),0)</f>
        <v>0</v>
      </c>
      <c r="X36" s="17" t="n">
        <f aca="false">IF(AND(X$3&lt;=S2_sol_div_annees,X$3&lt;=st_travaux_div_fin),S2_sol_div*IF(X11=1,0.5,1),0)</f>
        <v>0</v>
      </c>
    </row>
    <row r="37" customFormat="false" ht="15" hidden="false" customHeight="false" outlineLevel="0" collapsed="false">
      <c r="A37" s="2" t="s">
        <v>1886</v>
      </c>
      <c r="B37" s="2" t="s">
        <v>1887</v>
      </c>
      <c r="C37" s="2" t="s">
        <v>46</v>
      </c>
      <c r="E37" s="20" t="n">
        <f aca="false">dot_rendement+st_travaux_dot_rdt_delta+IF(E11=1,-0.25,0)</f>
        <v>0.02</v>
      </c>
      <c r="F37" s="20" t="n">
        <f aca="false">dot_rendement+st_travaux_dot_rdt_delta+IF(F11=1,-0.25,0)</f>
        <v>0.02</v>
      </c>
      <c r="G37" s="20" t="n">
        <f aca="false">dot_rendement+st_travaux_dot_rdt_delta+IF(G11=1,-0.25,0)</f>
        <v>0.02</v>
      </c>
      <c r="H37" s="20" t="n">
        <f aca="false">dot_rendement+st_travaux_dot_rdt_delta+IF(H11=1,-0.25,0)</f>
        <v>0.02</v>
      </c>
      <c r="I37" s="20" t="n">
        <f aca="false">dot_rendement+st_travaux_dot_rdt_delta+IF(I11=1,-0.25,0)</f>
        <v>0.02</v>
      </c>
      <c r="J37" s="20" t="n">
        <f aca="false">dot_rendement+st_travaux_dot_rdt_delta+IF(J11=1,-0.25,0)</f>
        <v>0.02</v>
      </c>
      <c r="K37" s="20" t="n">
        <f aca="false">dot_rendement+st_travaux_dot_rdt_delta+IF(K11=1,-0.25,0)</f>
        <v>0.02</v>
      </c>
      <c r="L37" s="20" t="n">
        <f aca="false">dot_rendement+st_travaux_dot_rdt_delta+IF(L11=1,-0.25,0)</f>
        <v>0.02</v>
      </c>
      <c r="M37" s="20" t="n">
        <f aca="false">dot_rendement+st_travaux_dot_rdt_delta+IF(M11=1,-0.25,0)</f>
        <v>0.02</v>
      </c>
      <c r="N37" s="20" t="n">
        <f aca="false">dot_rendement+st_travaux_dot_rdt_delta+IF(N11=1,-0.25,0)</f>
        <v>0.02</v>
      </c>
      <c r="O37" s="20" t="n">
        <f aca="false">dot_rendement+st_travaux_dot_rdt_delta+IF(O11=1,-0.25,0)</f>
        <v>0.02</v>
      </c>
      <c r="P37" s="20" t="n">
        <f aca="false">dot_rendement+st_travaux_dot_rdt_delta+IF(P11=1,-0.25,0)</f>
        <v>0.02</v>
      </c>
      <c r="Q37" s="20" t="n">
        <f aca="false">dot_rendement+st_travaux_dot_rdt_delta+IF(Q11=1,-0.25,0)</f>
        <v>0.02</v>
      </c>
      <c r="R37" s="20" t="n">
        <f aca="false">dot_rendement+st_travaux_dot_rdt_delta+IF(R11=1,-0.25,0)</f>
        <v>0.02</v>
      </c>
      <c r="S37" s="20" t="n">
        <f aca="false">dot_rendement+st_travaux_dot_rdt_delta+IF(S11=1,-0.25,0)</f>
        <v>0.02</v>
      </c>
      <c r="T37" s="20" t="n">
        <f aca="false">dot_rendement+st_travaux_dot_rdt_delta+IF(T11=1,-0.25,0)</f>
        <v>0.02</v>
      </c>
      <c r="U37" s="20" t="n">
        <f aca="false">dot_rendement+st_travaux_dot_rdt_delta+IF(U11=1,-0.25,0)</f>
        <v>0.02</v>
      </c>
      <c r="V37" s="20" t="n">
        <f aca="false">dot_rendement+st_travaux_dot_rdt_delta+IF(V11=1,-0.25,0)</f>
        <v>0.02</v>
      </c>
      <c r="W37" s="20" t="n">
        <f aca="false">dot_rendement+st_travaux_dot_rdt_delta+IF(W11=1,-0.25,0)</f>
        <v>0.02</v>
      </c>
      <c r="X37" s="20" t="n">
        <f aca="false">dot_rendement+st_travaux_dot_rdt_delta+IF(X11=1,-0.25,0)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2149214.77171812</v>
      </c>
      <c r="J38" s="17" t="n">
        <f aca="false">lissage_depense*I38+(1-lissage_depense)*dot_taux_net*MAX(0,I44)</f>
        <v>2172479.81860224</v>
      </c>
      <c r="K38" s="17" t="n">
        <f aca="false">lissage_depense*J38+(1-lissage_depense)*dot_taux_net*MAX(0,J44)</f>
        <v>2197053.03993052</v>
      </c>
      <c r="L38" s="17" t="n">
        <f aca="false">lissage_depense*K38+(1-lissage_depense)*dot_taux_net*MAX(0,K44)</f>
        <v>2224867.53937424</v>
      </c>
      <c r="M38" s="17" t="n">
        <f aca="false">lissage_depense*L38+(1-lissage_depense)*dot_taux_net*MAX(0,L44)</f>
        <v>2253898.38438372</v>
      </c>
      <c r="N38" s="17" t="n">
        <f aca="false">lissage_depense*M38+(1-lissage_depense)*dot_taux_net*MAX(0,M44)</f>
        <v>2285527.94894259</v>
      </c>
      <c r="O38" s="17" t="n">
        <f aca="false">lissage_depense*N38+(1-lissage_depense)*dot_taux_net*MAX(0,N44)</f>
        <v>2319379.32768921</v>
      </c>
      <c r="P38" s="17" t="n">
        <f aca="false">lissage_depense*O38+(1-lissage_depense)*dot_taux_net*MAX(0,O44)</f>
        <v>2351653.58781661</v>
      </c>
      <c r="Q38" s="17" t="n">
        <f aca="false">lissage_depense*P38+(1-lissage_depense)*dot_taux_net*MAX(0,P44)</f>
        <v>2381183.2013071</v>
      </c>
      <c r="R38" s="17" t="n">
        <f aca="false">lissage_depense*Q38+(1-lissage_depense)*dot_taux_net*MAX(0,Q44)</f>
        <v>2410126.25661257</v>
      </c>
      <c r="S38" s="17" t="n">
        <f aca="false">lissage_depense*R38+(1-lissage_depense)*dot_taux_net*MAX(0,R44)</f>
        <v>2438680.10965618</v>
      </c>
      <c r="T38" s="17" t="n">
        <f aca="false">lissage_depense*S38+(1-lissage_depense)*dot_taux_net*MAX(0,S44)</f>
        <v>2467003.96547487</v>
      </c>
      <c r="U38" s="17" t="n">
        <f aca="false">lissage_depense*T38+(1-lissage_depense)*dot_taux_net*MAX(0,T44)</f>
        <v>2493618.14933466</v>
      </c>
      <c r="V38" s="17" t="n">
        <f aca="false">lissage_depense*U38+(1-lissage_depense)*dot_taux_net*MAX(0,U44)</f>
        <v>2520524.88229255</v>
      </c>
      <c r="W38" s="17" t="n">
        <f aca="false">lissage_depense*V38+(1-lissage_depense)*dot_taux_net*MAX(0,V44)</f>
        <v>2547750.47269092</v>
      </c>
      <c r="X38" s="17" t="n">
        <f aca="false">lissage_depense*W38+(1-lissage_depense)*dot_taux_net*MAX(0,W44)</f>
        <v>2575317.36661442</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692342.628981791</v>
      </c>
      <c r="I41" s="17" t="n">
        <f aca="false">MIN(MAX(0,I35-I36+I40),IF(I12=1,MAX(I38,retrait_urgence*MAX(0,H44)),I38))</f>
        <v>279069.162476012</v>
      </c>
      <c r="J41" s="17" t="n">
        <f aca="false">MIN(MAX(0,J35-J36+J40),IF(J12=1,MAX(J38,retrait_urgence*MAX(0,I44)),J38))</f>
        <v>885993.201020366</v>
      </c>
      <c r="K41" s="17" t="n">
        <f aca="false">MIN(MAX(0,K35-K36+K40),IF(K12=1,MAX(K38,retrait_urgence*MAX(0,J44)),K38))</f>
        <v>292988.94853608</v>
      </c>
      <c r="L41" s="17" t="n">
        <f aca="false">MIN(MAX(0,L35-L36+L40),IF(L12=1,MAX(L38,retrait_urgence*MAX(0,K44)),L38))</f>
        <v>732930.484026355</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1775084.89278164</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1818885.24290362</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1864415.98057927</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127194605.965381</v>
      </c>
      <c r="I44" s="23" t="n">
        <f aca="false">MAX(0,H44)*(1+I37)-I41+I43-I31</f>
        <v>129459428.922213</v>
      </c>
      <c r="J44" s="23" t="n">
        <f aca="false">MAX(0,I44)*(1+J37)-J41+J43-J31</f>
        <v>131162624.299637</v>
      </c>
      <c r="K44" s="23" t="n">
        <f aca="false">MAX(0,J44)*(1+K37)-K41+K43-K31</f>
        <v>133492887.837093</v>
      </c>
      <c r="L44" s="23" t="n">
        <f aca="false">MAX(0,K44)*(1+L37)-L41+L43-L31</f>
        <v>135429815.109809</v>
      </c>
      <c r="M44" s="23" t="n">
        <f aca="false">MAX(0,L44)*(1+M37)-M41+M43-M31</f>
        <v>137831211.838745</v>
      </c>
      <c r="N44" s="23" t="n">
        <f aca="false">MAX(0,M44)*(1+N37)-N41+N43-N31</f>
        <v>140273419.581469</v>
      </c>
      <c r="O44" s="23" t="n">
        <f aca="false">MAX(0,N44)*(1+O37)-O41+O43-O31</f>
        <v>141757178.761498</v>
      </c>
      <c r="P44" s="23" t="n">
        <f aca="false">MAX(0,O44)*(1+P37)-P41+P43-P31</f>
        <v>142817237.443946</v>
      </c>
      <c r="Q44" s="23" t="n">
        <f aca="false">MAX(0,P44)*(1+Q37)-Q41+Q43-Q31</f>
        <v>144337055.876255</v>
      </c>
      <c r="R44" s="23" t="n">
        <f aca="false">MAX(0,Q44)*(1+R37)-R41+R43-R31</f>
        <v>145879744.104606</v>
      </c>
      <c r="S44" s="23" t="n">
        <f aca="false">MAX(0,R44)*(1+S37)-S41+S43-S31</f>
        <v>147445679.357122</v>
      </c>
      <c r="T44" s="23" t="n">
        <f aca="false">MAX(0,S44)*(1+T37)-T41+T43-T31</f>
        <v>148575707.701361</v>
      </c>
      <c r="U44" s="23" t="n">
        <f aca="false">MAX(0,T44)*(1+U37)-U41+U43-U31</f>
        <v>150180103.664237</v>
      </c>
      <c r="V44" s="23" t="n">
        <f aca="false">MAX(0,U44)*(1+V37)-V41+V43-V31</f>
        <v>151808733.387679</v>
      </c>
      <c r="W44" s="23" t="n">
        <f aca="false">MAX(0,V44)*(1+W37)-W41+W43-W31</f>
        <v>153461996.70334</v>
      </c>
      <c r="X44" s="23" t="n">
        <f aca="false">MAX(0,W44)*(1+X37)-X41+X43-X31</f>
        <v>154666820.656827</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1.67804921407929</v>
      </c>
      <c r="J47" s="24" t="n">
        <f aca="false">(J29+J38)/J18</f>
        <v>1.6870726445405</v>
      </c>
      <c r="K47" s="24" t="n">
        <f aca="false">(K29+K38)/K18</f>
        <v>1.69690401072425</v>
      </c>
      <c r="L47" s="24" t="n">
        <f aca="false">(L29+L38)/L18</f>
        <v>1.70898496599804</v>
      </c>
      <c r="M47" s="24" t="n">
        <f aca="false">(M29+M38)/M18</f>
        <v>1.72175894704367</v>
      </c>
      <c r="N47" s="24" t="n">
        <f aca="false">(N29+N38)/N18</f>
        <v>1.73624267229693</v>
      </c>
      <c r="O47" s="24" t="n">
        <f aca="false">(O29+O38)/O18</f>
        <v>1.75212587430048</v>
      </c>
      <c r="P47" s="24" t="n">
        <f aca="false">(P29+P38)/P18</f>
        <v>1.76657929251602</v>
      </c>
      <c r="Q47" s="24" t="n">
        <f aca="false">(Q29+Q38)/Q18</f>
        <v>1.77876509324051</v>
      </c>
      <c r="R47" s="24" t="n">
        <f aca="false">(R29+R38)/R18</f>
        <v>1.79029144796483</v>
      </c>
      <c r="S47" s="24" t="n">
        <f aca="false">(S29+S38)/S18</f>
        <v>1.80130888162687</v>
      </c>
      <c r="T47" s="24" t="n">
        <f aca="false">(T29+T38)/T18</f>
        <v>1.81193725476218</v>
      </c>
      <c r="U47" s="24" t="n">
        <f aca="false">(U29+U38)/U18</f>
        <v>1.82111709212644</v>
      </c>
      <c r="V47" s="24" t="n">
        <f aca="false">(V29+V38)/V18</f>
        <v>1.83029879717944</v>
      </c>
      <c r="W47" s="24" t="n">
        <f aca="false">(W29+W38)/W18</f>
        <v>1.83949789362372</v>
      </c>
      <c r="X47" s="24" t="n">
        <f aca="false">(X29+X38)/X18</f>
        <v>1.84872677495756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1916</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D5*(1+g_salaires+st_energie_g_sal_extra)</f>
        <v>1.005</v>
      </c>
      <c r="F5" s="22" t="n">
        <f aca="false">E5*(1+g_salaires+st_energie_g_sal_extra)</f>
        <v>1.010025</v>
      </c>
      <c r="G5" s="22" t="n">
        <f aca="false">F5*(1+g_salaires+st_energie_g_sal_extra)</f>
        <v>1.015075125</v>
      </c>
      <c r="H5" s="22" t="n">
        <f aca="false">G5*(1+g_salaires+st_energie_g_sal_extra)</f>
        <v>1.020150500625</v>
      </c>
      <c r="I5" s="22" t="n">
        <f aca="false">H5*(1+g_salaires+st_energie_g_sal_extra)</f>
        <v>1.02525125312812</v>
      </c>
      <c r="J5" s="22" t="n">
        <f aca="false">I5*(1+g_salaires+st_energie_g_sal_extra)</f>
        <v>1.03037750939376</v>
      </c>
      <c r="K5" s="22" t="n">
        <f aca="false">J5*(1+g_salaires+st_energie_g_sal_extra)</f>
        <v>1.03552939694073</v>
      </c>
      <c r="L5" s="22" t="n">
        <f aca="false">K5*(1+g_salaires+st_energie_g_sal_extra)</f>
        <v>1.04070704392544</v>
      </c>
      <c r="M5" s="22" t="n">
        <f aca="false">L5*(1+g_salaires+st_energie_g_sal_extra)</f>
        <v>1.04591057914506</v>
      </c>
      <c r="N5" s="22" t="n">
        <f aca="false">M5*(1+g_salaires+st_energie_g_sal_extra)</f>
        <v>1.05114013204079</v>
      </c>
      <c r="O5" s="22" t="n">
        <f aca="false">N5*(1+g_salaires+st_energie_g_sal_extra)</f>
        <v>1.05639583270099</v>
      </c>
      <c r="P5" s="22" t="n">
        <f aca="false">O5*(1+g_salaires+st_energie_g_sal_extra)</f>
        <v>1.0616778118645</v>
      </c>
      <c r="Q5" s="22" t="n">
        <f aca="false">P5*(1+g_salaires+st_energie_g_sal_extra)</f>
        <v>1.06698620092382</v>
      </c>
      <c r="R5" s="22" t="n">
        <f aca="false">Q5*(1+g_salaires+st_energie_g_sal_extra)</f>
        <v>1.07232113192844</v>
      </c>
      <c r="S5" s="22" t="n">
        <f aca="false">R5*(1+g_salaires+st_energie_g_sal_extra)</f>
        <v>1.07768273758808</v>
      </c>
      <c r="T5" s="22" t="n">
        <f aca="false">S5*(1+g_salaires+st_energie_g_sal_extra)</f>
        <v>1.08307115127602</v>
      </c>
      <c r="U5" s="22" t="n">
        <f aca="false">T5*(1+g_salaires+st_energie_g_sal_extra)</f>
        <v>1.0884865070324</v>
      </c>
      <c r="V5" s="22" t="n">
        <f aca="false">U5*(1+g_salaires+st_energie_g_sal_extra)</f>
        <v>1.09392893956756</v>
      </c>
      <c r="W5" s="22" t="n">
        <f aca="false">V5*(1+g_salaires+st_energie_g_sal_extra)</f>
        <v>1.0993985842654</v>
      </c>
      <c r="X5" s="22" t="n">
        <f aca="false">W5*(1+g_salaires+st_energie_g_sal_extra)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IF(st_energie_crise_an&gt;0,IF(E$3=st_energie_crise_an,1,IF(E$3=st_energie_crise_an+1,2,0)),0)</f>
        <v>0</v>
      </c>
      <c r="F11" s="22" t="n">
        <f aca="false">IF(st_energie_crise_an&gt;0,IF(F$3=st_energie_crise_an,1,IF(F$3=st_energie_crise_an+1,2,0)),0)</f>
        <v>0</v>
      </c>
      <c r="G11" s="22" t="n">
        <f aca="false">IF(st_energie_crise_an&gt;0,IF(G$3=st_energie_crise_an,1,IF(G$3=st_energie_crise_an+1,2,0)),0)</f>
        <v>0</v>
      </c>
      <c r="H11" s="22" t="n">
        <f aca="false">IF(st_energie_crise_an&gt;0,IF(H$3=st_energie_crise_an,1,IF(H$3=st_energie_crise_an+1,2,0)),0)</f>
        <v>0</v>
      </c>
      <c r="I11" s="22" t="n">
        <f aca="false">IF(st_energie_crise_an&gt;0,IF(I$3=st_energie_crise_an,1,IF(I$3=st_energie_crise_an+1,2,0)),0)</f>
        <v>0</v>
      </c>
      <c r="J11" s="22" t="n">
        <f aca="false">IF(st_energie_crise_an&gt;0,IF(J$3=st_energie_crise_an,1,IF(J$3=st_energie_crise_an+1,2,0)),0)</f>
        <v>0</v>
      </c>
      <c r="K11" s="22" t="n">
        <f aca="false">IF(st_energie_crise_an&gt;0,IF(K$3=st_energie_crise_an,1,IF(K$3=st_energie_crise_an+1,2,0)),0)</f>
        <v>0</v>
      </c>
      <c r="L11" s="22" t="n">
        <f aca="false">IF(st_energie_crise_an&gt;0,IF(L$3=st_energie_crise_an,1,IF(L$3=st_energie_crise_an+1,2,0)),0)</f>
        <v>0</v>
      </c>
      <c r="M11" s="22" t="n">
        <f aca="false">IF(st_energie_crise_an&gt;0,IF(M$3=st_energie_crise_an,1,IF(M$3=st_energie_crise_an+1,2,0)),0)</f>
        <v>0</v>
      </c>
      <c r="N11" s="22" t="n">
        <f aca="false">IF(st_energie_crise_an&gt;0,IF(N$3=st_energie_crise_an,1,IF(N$3=st_energie_crise_an+1,2,0)),0)</f>
        <v>0</v>
      </c>
      <c r="O11" s="22" t="n">
        <f aca="false">IF(st_energie_crise_an&gt;0,IF(O$3=st_energie_crise_an,1,IF(O$3=st_energie_crise_an+1,2,0)),0)</f>
        <v>0</v>
      </c>
      <c r="P11" s="22" t="n">
        <f aca="false">IF(st_energie_crise_an&gt;0,IF(P$3=st_energie_crise_an,1,IF(P$3=st_energie_crise_an+1,2,0)),0)</f>
        <v>0</v>
      </c>
      <c r="Q11" s="22" t="n">
        <f aca="false">IF(st_energie_crise_an&gt;0,IF(Q$3=st_energie_crise_an,1,IF(Q$3=st_energie_crise_an+1,2,0)),0)</f>
        <v>0</v>
      </c>
      <c r="R11" s="22" t="n">
        <f aca="false">IF(st_energie_crise_an&gt;0,IF(R$3=st_energie_crise_an,1,IF(R$3=st_energie_crise_an+1,2,0)),0)</f>
        <v>0</v>
      </c>
      <c r="S11" s="22" t="n">
        <f aca="false">IF(st_energie_crise_an&gt;0,IF(S$3=st_energie_crise_an,1,IF(S$3=st_energie_crise_an+1,2,0)),0)</f>
        <v>0</v>
      </c>
      <c r="T11" s="22" t="n">
        <f aca="false">IF(st_energie_crise_an&gt;0,IF(T$3=st_energie_crise_an,1,IF(T$3=st_energie_crise_an+1,2,0)),0)</f>
        <v>0</v>
      </c>
      <c r="U11" s="22" t="n">
        <f aca="false">IF(st_energie_crise_an&gt;0,IF(U$3=st_energie_crise_an,1,IF(U$3=st_energie_crise_an+1,2,0)),0)</f>
        <v>0</v>
      </c>
      <c r="V11" s="22" t="n">
        <f aca="false">IF(st_energie_crise_an&gt;0,IF(V$3=st_energie_crise_an,1,IF(V$3=st_energie_crise_an+1,2,0)),0)</f>
        <v>0</v>
      </c>
      <c r="W11" s="22" t="n">
        <f aca="false">IF(st_energie_crise_an&gt;0,IF(W$3=st_energie_crise_an,1,IF(W$3=st_energie_crise_an+1,2,0)),0)</f>
        <v>0</v>
      </c>
      <c r="X11" s="22" t="n">
        <f aca="false">IF(st_energie_crise_an&gt;0,IF(X$3=st_energie_crise_an,1,IF(X$3=st_energie_crise_an+1,2,0)),0)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(bud_chauffage_S2+bud_hors_gel_S2+bud_electricite_S2)*E7*IF(AND(E$3&gt;=st_energie_energie_debut,E$3&lt;=st_energie_energie_fin),st_energie_energie_mult,1)</f>
        <v>52815.6</v>
      </c>
      <c r="F14" s="17" t="n">
        <f aca="false">(bud_chauffage_S2+bud_hors_gel_S2+bud_electricite_S2)*F7*IF(AND(F$3&gt;=st_energie_energie_debut,F$3&lt;=st_energie_energie_fin),st_energie_energie_mult,1)</f>
        <v>53871.912</v>
      </c>
      <c r="G14" s="17" t="n">
        <f aca="false">(bud_chauffage_S2+bud_hors_gel_S2+bud_electricite_S2)*G7*IF(AND(G$3&gt;=st_energie_energie_debut,G$3&lt;=st_energie_energie_fin),st_energie_energie_mult,1)</f>
        <v>54949.35024</v>
      </c>
      <c r="H14" s="17" t="n">
        <f aca="false">(bud_chauffage_S2+bud_hors_gel_S2+bud_electricite_S2)*H7*IF(AND(H$3&gt;=st_energie_energie_debut,H$3&lt;=st_energie_energie_fin),st_energie_energie_mult,1)</f>
        <v>112096.6744896</v>
      </c>
      <c r="I14" s="17" t="n">
        <f aca="false">(bud_chauffage_S2+bud_hors_gel_S2+bud_electricite_S2)*I7*IF(AND(I$3&gt;=st_energie_energie_debut,I$3&lt;=st_energie_energie_fin),st_energie_energie_mult,1)</f>
        <v>114338.607979392</v>
      </c>
      <c r="J14" s="17" t="n">
        <f aca="false">(bud_chauffage_S2+bud_hors_gel_S2+bud_electricite_S2)*J7*IF(AND(J$3&gt;=st_energie_energie_debut,J$3&lt;=st_energie_energie_fin),st_energie_energie_mult,1)</f>
        <v>116625.38013898</v>
      </c>
      <c r="K14" s="17" t="n">
        <f aca="false">(bud_chauffage_S2+bud_hors_gel_S2+bud_electricite_S2)*K7*IF(AND(K$3&gt;=st_energie_energie_debut,K$3&lt;=st_energie_energie_fin),st_energie_energie_mult,1)</f>
        <v>59478.9438708797</v>
      </c>
      <c r="L14" s="17" t="n">
        <f aca="false">(bud_chauffage_S2+bud_hors_gel_S2+bud_electricite_S2)*L7*IF(AND(L$3&gt;=st_energie_energie_debut,L$3&lt;=st_energie_energie_fin),st_energie_energie_mult,1)</f>
        <v>60668.5227482973</v>
      </c>
      <c r="M14" s="17" t="n">
        <f aca="false">(bud_chauffage_S2+bud_hors_gel_S2+bud_electricite_S2)*M7*IF(AND(M$3&gt;=st_energie_energie_debut,M$3&lt;=st_energie_energie_fin),st_energie_energie_mult,1)</f>
        <v>61881.8932032633</v>
      </c>
      <c r="N14" s="17" t="n">
        <f aca="false">(bud_chauffage_S2+bud_hors_gel_S2+bud_electricite_S2)*N7*IF(AND(N$3&gt;=st_energie_energie_debut,N$3&lt;=st_energie_energie_fin),st_energie_energie_mult,1)</f>
        <v>63119.5310673285</v>
      </c>
      <c r="O14" s="17" t="n">
        <f aca="false">(bud_chauffage_S2+bud_hors_gel_S2+bud_electricite_S2)*O7*IF(AND(O$3&gt;=st_energie_energie_debut,O$3&lt;=st_energie_energie_fin),st_energie_energie_mult,1)</f>
        <v>64381.9216886751</v>
      </c>
      <c r="P14" s="17" t="n">
        <f aca="false">(bud_chauffage_S2+bud_hors_gel_S2+bud_electricite_S2)*P7*IF(AND(P$3&gt;=st_energie_energie_debut,P$3&lt;=st_energie_energie_fin),st_energie_energie_mult,1)</f>
        <v>65669.5601224486</v>
      </c>
      <c r="Q14" s="17" t="n">
        <f aca="false">(bud_chauffage_S2+bud_hors_gel_S2+bud_electricite_S2)*Q7*IF(AND(Q$3&gt;=st_energie_energie_debut,Q$3&lt;=st_energie_energie_fin),st_energie_energie_mult,1)</f>
        <v>66982.9513248976</v>
      </c>
      <c r="R14" s="17" t="n">
        <f aca="false">(bud_chauffage_S2+bud_hors_gel_S2+bud_electricite_S2)*R7*IF(AND(R$3&gt;=st_energie_energie_debut,R$3&lt;=st_energie_energie_fin),st_energie_energie_mult,1)</f>
        <v>68322.6103513955</v>
      </c>
      <c r="S14" s="17" t="n">
        <f aca="false">(bud_chauffage_S2+bud_hors_gel_S2+bud_electricite_S2)*S7*IF(AND(S$3&gt;=st_energie_energie_debut,S$3&lt;=st_energie_energie_fin),st_energie_energie_mult,1)</f>
        <v>69689.0625584235</v>
      </c>
      <c r="T14" s="17" t="n">
        <f aca="false">(bud_chauffage_S2+bud_hors_gel_S2+bud_electricite_S2)*T7*IF(AND(T$3&gt;=st_energie_energie_debut,T$3&lt;=st_energie_energie_fin),st_energie_energie_mult,1)</f>
        <v>71082.8438095919</v>
      </c>
      <c r="U14" s="17" t="n">
        <f aca="false">(bud_chauffage_S2+bud_hors_gel_S2+bud_electricite_S2)*U7*IF(AND(U$3&gt;=st_energie_energie_debut,U$3&lt;=st_energie_energie_fin),st_energie_energie_mult,1)</f>
        <v>72504.5006857838</v>
      </c>
      <c r="V14" s="17" t="n">
        <f aca="false">(bud_chauffage_S2+bud_hors_gel_S2+bud_electricite_S2)*V7*IF(AND(V$3&gt;=st_energie_energie_debut,V$3&lt;=st_energie_energie_fin),st_energie_energie_mult,1)</f>
        <v>73954.5906994994</v>
      </c>
      <c r="W14" s="17" t="n">
        <f aca="false">(bud_chauffage_S2+bud_hors_gel_S2+bud_electricite_S2)*W7*IF(AND(W$3&gt;=st_energie_energie_debut,W$3&lt;=st_energie_energie_fin),st_energie_energie_mult,1)</f>
        <v>75433.6825134894</v>
      </c>
      <c r="X14" s="17" t="n">
        <f aca="false">(bud_chauffage_S2+bud_hors_gel_S2+bud_electricite_S2)*X7*IF(AND(X$3&gt;=st_energie_energie_debut,X$3&lt;=st_energie_energie_fin),st_energie_energie_mult,1)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1355436.58443858</v>
      </c>
      <c r="I18" s="23" t="n">
        <f aca="false">I13+I14+I15+I16+I17</f>
        <v>1363292.6008089</v>
      </c>
      <c r="J18" s="23" t="n">
        <f aca="false">J13+J14+J15+J16+J17</f>
        <v>1371240.2784399</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IF(MOD(E$3,campagne_periode)=0,(D22+E17)*st_energie_mult_campagne*(1-E12*flex_report),0)</f>
        <v>0</v>
      </c>
      <c r="F19" s="17" t="n">
        <f aca="false">IF(MOD(F$3,campagne_periode)=0,(E22+F17)*st_energie_mult_campagne*(1-F12*flex_report),0)</f>
        <v>0</v>
      </c>
      <c r="G19" s="17" t="n">
        <f aca="false">IF(MOD(G$3,campagne_periode)=0,(F22+G17)*st_energie_mult_campagne*(1-G12*flex_report),0)</f>
        <v>0</v>
      </c>
      <c r="H19" s="17" t="n">
        <f aca="false">IF(MOD(H$3,campagne_periode)=0,(G22+H17)*st_energie_mult_campagne*(1-H12*flex_report),0)</f>
        <v>1400422.58710973</v>
      </c>
      <c r="I19" s="17" t="n">
        <f aca="false">IF(MOD(I$3,campagne_periode)=0,(H22+I17)*st_energie_mult_campagne*(1-I12*flex_report),0)</f>
        <v>0</v>
      </c>
      <c r="J19" s="17" t="n">
        <f aca="false">IF(MOD(J$3,campagne_periode)=0,(I22+J17)*st_energie_mult_campagne*(1-J12*flex_report),0)</f>
        <v>0</v>
      </c>
      <c r="K19" s="17" t="n">
        <f aca="false">IF(MOD(K$3,campagne_periode)=0,(J22+K17)*st_energie_mult_campagne*(1-K12*flex_report),0)</f>
        <v>0</v>
      </c>
      <c r="L19" s="17" t="n">
        <f aca="false">IF(MOD(L$3,campagne_periode)=0,(K22+L17)*st_energie_mult_campagne*(1-L12*flex_report),0)</f>
        <v>1442910.27499031</v>
      </c>
      <c r="M19" s="17" t="n">
        <f aca="false">IF(MOD(M$3,campagne_periode)=0,(L22+M17)*st_energie_mult_campagne*(1-M12*flex_report),0)</f>
        <v>0</v>
      </c>
      <c r="N19" s="17" t="n">
        <f aca="false">IF(MOD(N$3,campagne_periode)=0,(M22+N17)*st_energie_mult_campagne*(1-N12*flex_report),0)</f>
        <v>0</v>
      </c>
      <c r="O19" s="17" t="n">
        <f aca="false">IF(MOD(O$3,campagne_periode)=0,(N22+O17)*st_energie_mult_campagne*(1-O12*flex_report),0)</f>
        <v>0</v>
      </c>
      <c r="P19" s="17" t="n">
        <f aca="false">IF(MOD(P$3,campagne_periode)=0,(O22+P17)*st_energie_mult_campagne*(1-P12*flex_report),0)</f>
        <v>1486687.00493438</v>
      </c>
      <c r="Q19" s="17" t="n">
        <f aca="false">IF(MOD(Q$3,campagne_periode)=0,(P22+Q17)*st_energie_mult_campagne*(1-Q12*flex_report),0)</f>
        <v>0</v>
      </c>
      <c r="R19" s="17" t="n">
        <f aca="false">IF(MOD(R$3,campagne_periode)=0,(Q22+R17)*st_energie_mult_campagne*(1-R12*flex_report),0)</f>
        <v>0</v>
      </c>
      <c r="S19" s="17" t="n">
        <f aca="false">IF(MOD(S$3,campagne_periode)=0,(R22+S17)*st_energie_mult_campagne*(1-S12*flex_report),0)</f>
        <v>0</v>
      </c>
      <c r="T19" s="17" t="n">
        <f aca="false">IF(MOD(T$3,campagne_periode)=0,(S22+T17)*st_energie_mult_campagne*(1-T12*flex_report),0)</f>
        <v>1531791.88543486</v>
      </c>
      <c r="U19" s="17" t="n">
        <f aca="false">IF(MOD(U$3,campagne_periode)=0,(T22+U17)*st_energie_mult_campagne*(1-U12*flex_report),0)</f>
        <v>0</v>
      </c>
      <c r="V19" s="17" t="n">
        <f aca="false">IF(MOD(V$3,campagne_periode)=0,(U22+V17)*st_energie_mult_campagne*(1-V12*flex_report),0)</f>
        <v>0</v>
      </c>
      <c r="W19" s="17" t="n">
        <f aca="false">IF(MOD(W$3,campagne_periode)=0,(V22+W17)*st_energie_mult_campagne*(1-W12*flex_report),0)</f>
        <v>0</v>
      </c>
      <c r="X19" s="17" t="n">
        <f aca="false">IF(MOD(X$3,campagne_periode)=0,(W22+X17)*st_energie_mult_campagne*(1-X12*flex_report),0)</f>
        <v>1578265.21150474</v>
      </c>
    </row>
    <row r="20" customFormat="false" ht="15" hidden="false" customHeight="false" outlineLevel="0" collapsed="false">
      <c r="A20" s="2" t="s">
        <v>1852</v>
      </c>
      <c r="B20" s="2" t="s">
        <v>1853</v>
      </c>
      <c r="C20" s="2" t="s">
        <v>1839</v>
      </c>
      <c r="E20" s="17" t="n">
        <f aca="false">IF(E$3=st_energie_choc_trav_an,st_energie_choc_trav_montant,0)</f>
        <v>0</v>
      </c>
      <c r="F20" s="17" t="n">
        <f aca="false">IF(F$3=st_energie_choc_trav_an,st_energie_choc_trav_montant,0)</f>
        <v>0</v>
      </c>
      <c r="G20" s="17" t="n">
        <f aca="false">IF(G$3=st_energie_choc_trav_an,st_energie_choc_trav_montant,0)</f>
        <v>0</v>
      </c>
      <c r="H20" s="17" t="n">
        <f aca="false">IF(H$3=st_energie_choc_trav_an,st_energie_choc_trav_montant,0)</f>
        <v>0</v>
      </c>
      <c r="I20" s="17" t="n">
        <f aca="false">IF(I$3=st_energie_choc_trav_an,st_energie_choc_trav_montant,0)</f>
        <v>0</v>
      </c>
      <c r="J20" s="17" t="n">
        <f aca="false">IF(J$3=st_energie_choc_trav_an,st_energie_choc_trav_montant,0)</f>
        <v>0</v>
      </c>
      <c r="K20" s="17" t="n">
        <f aca="false">IF(K$3=st_energie_choc_trav_an,st_energie_choc_trav_montant,0)</f>
        <v>0</v>
      </c>
      <c r="L20" s="17" t="n">
        <f aca="false">IF(L$3=st_energie_choc_trav_an,st_energie_choc_trav_montant,0)</f>
        <v>0</v>
      </c>
      <c r="M20" s="17" t="n">
        <f aca="false">IF(M$3=st_energie_choc_trav_an,st_energie_choc_trav_montant,0)</f>
        <v>0</v>
      </c>
      <c r="N20" s="17" t="n">
        <f aca="false">IF(N$3=st_energie_choc_trav_an,st_energie_choc_trav_montant,0)</f>
        <v>0</v>
      </c>
      <c r="O20" s="17" t="n">
        <f aca="false">IF(O$3=st_energie_choc_trav_an,st_energie_choc_trav_montant,0)</f>
        <v>0</v>
      </c>
      <c r="P20" s="17" t="n">
        <f aca="false">IF(P$3=st_energie_choc_trav_an,st_energie_choc_trav_montant,0)</f>
        <v>0</v>
      </c>
      <c r="Q20" s="17" t="n">
        <f aca="false">IF(Q$3=st_energie_choc_trav_an,st_energie_choc_trav_montant,0)</f>
        <v>0</v>
      </c>
      <c r="R20" s="17" t="n">
        <f aca="false">IF(R$3=st_energie_choc_trav_an,st_energie_choc_trav_montant,0)</f>
        <v>0</v>
      </c>
      <c r="S20" s="17" t="n">
        <f aca="false">IF(S$3=st_energie_choc_trav_an,st_energie_choc_trav_montant,0)</f>
        <v>0</v>
      </c>
      <c r="T20" s="17" t="n">
        <f aca="false">IF(T$3=st_energie_choc_trav_an,st_energie_choc_trav_montant,0)</f>
        <v>0</v>
      </c>
      <c r="U20" s="17" t="n">
        <f aca="false">IF(U$3=st_energie_choc_trav_an,st_energie_choc_trav_montant,0)</f>
        <v>0</v>
      </c>
      <c r="V20" s="17" t="n">
        <f aca="false">IF(V$3=st_energie_choc_trav_an,st_energie_choc_trav_montant,0)</f>
        <v>0</v>
      </c>
      <c r="W20" s="17" t="n">
        <f aca="false">IF(W$3=st_energie_choc_trav_an,st_energie_choc_trav_montant,0)</f>
        <v>0</v>
      </c>
      <c r="X20" s="17" t="n">
        <f aca="false">IF(X$3=st_energie_choc_trav_an,st_energie_choc_trav_montant,0)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(S2_ech_log*mot_log_cn+S2_ech_stock*mot_stock_cn+S2_ech_pv*mot_pv_cn+S2_ech_bois*mot_bois_cn)*E24*E9*IF(E$3&gt;=st_energie_debut_mult,st_energie_mult_A,1)*IF(E11=1,1-0.05,IF(E11=2,1-0.02,1))</f>
        <v>21930.4</v>
      </c>
      <c r="F25" s="17" t="n">
        <f aca="false">(S2_ech_log*mot_log_cn+S2_ech_stock*mot_stock_cn+S2_ech_pv*mot_pv_cn+S2_ech_bois*mot_bois_cn)*F24*F9*IF(F$3&gt;=st_energie_debut_mult,st_energie_mult_A,1)*IF(F11=1,1-0.05,IF(F11=2,1-0.02,1))</f>
        <v>41119.5</v>
      </c>
      <c r="G25" s="17" t="n">
        <f aca="false">(S2_ech_log*mot_log_cn+S2_ech_stock*mot_stock_cn+S2_ech_pv*mot_pv_cn+S2_ech_bois*mot_bois_cn)*G24*G9*IF(G$3&gt;=st_energie_debut_mult,st_energie_mult_A,1)*IF(G11=1,1-0.05,IF(G11=2,1-0.02,1))</f>
        <v>54826</v>
      </c>
      <c r="H25" s="17" t="n">
        <f aca="false">(S2_ech_log*mot_log_cn+S2_ech_stock*mot_stock_cn+S2_ech_pv*mot_pv_cn+S2_ech_bois*mot_bois_cn)*H24*H9*IF(H$3&gt;=st_energie_debut_mult,st_energie_mult_A,1)*IF(H11=1,1-0.05,IF(H11=2,1-0.02,1))</f>
        <v>54826</v>
      </c>
      <c r="I25" s="17" t="n">
        <f aca="false">(S2_ech_log*mot_log_cn+S2_ech_stock*mot_stock_cn+S2_ech_pv*mot_pv_cn+S2_ech_bois*mot_bois_cn)*I24*I9*IF(I$3&gt;=st_energie_debut_mult,st_energie_mult_A,1)*IF(I11=1,1-0.05,IF(I11=2,1-0.02,1))</f>
        <v>54826</v>
      </c>
      <c r="J25" s="17" t="n">
        <f aca="false">(S2_ech_log*mot_log_cn+S2_ech_stock*mot_stock_cn+S2_ech_pv*mot_pv_cn+S2_ech_bois*mot_bois_cn)*J24*J9*IF(J$3&gt;=st_energie_debut_mult,st_energie_mult_A,1)*IF(J11=1,1-0.05,IF(J11=2,1-0.02,1))</f>
        <v>54826</v>
      </c>
      <c r="K25" s="17" t="n">
        <f aca="false">(S2_ech_log*mot_log_cn+S2_ech_stock*mot_stock_cn+S2_ech_pv*mot_pv_cn+S2_ech_bois*mot_bois_cn)*K24*K9*IF(K$3&gt;=st_energie_debut_mult,st_energie_mult_A,1)*IF(K11=1,1-0.05,IF(K11=2,1-0.02,1))</f>
        <v>54826</v>
      </c>
      <c r="L25" s="17" t="n">
        <f aca="false">(S2_ech_log*mot_log_cn+S2_ech_stock*mot_stock_cn+S2_ech_pv*mot_pv_cn+S2_ech_bois*mot_bois_cn)*L24*L9*IF(L$3&gt;=st_energie_debut_mult,st_energie_mult_A,1)*IF(L11=1,1-0.05,IF(L11=2,1-0.02,1))</f>
        <v>54826</v>
      </c>
      <c r="M25" s="17" t="n">
        <f aca="false">(S2_ech_log*mot_log_cn+S2_ech_stock*mot_stock_cn+S2_ech_pv*mot_pv_cn+S2_ech_bois*mot_bois_cn)*M24*M9*IF(M$3&gt;=st_energie_debut_mult,st_energie_mult_A,1)*IF(M11=1,1-0.05,IF(M11=2,1-0.02,1))</f>
        <v>54826</v>
      </c>
      <c r="N25" s="17" t="n">
        <f aca="false">(S2_ech_log*mot_log_cn+S2_ech_stock*mot_stock_cn+S2_ech_pv*mot_pv_cn+S2_ech_bois*mot_bois_cn)*N24*N9*IF(N$3&gt;=st_energie_debut_mult,st_energie_mult_A,1)*IF(N11=1,1-0.05,IF(N11=2,1-0.02,1))</f>
        <v>54826</v>
      </c>
      <c r="O25" s="17" t="n">
        <f aca="false">(S2_ech_log*mot_log_cn+S2_ech_stock*mot_stock_cn+S2_ech_pv*mot_pv_cn+S2_ech_bois*mot_bois_cn)*O24*O9*IF(O$3&gt;=st_energie_debut_mult,st_energie_mult_A,1)*IF(O11=1,1-0.05,IF(O11=2,1-0.02,1))</f>
        <v>54826</v>
      </c>
      <c r="P25" s="17" t="n">
        <f aca="false">(S2_ech_log*mot_log_cn+S2_ech_stock*mot_stock_cn+S2_ech_pv*mot_pv_cn+S2_ech_bois*mot_bois_cn)*P24*P9*IF(P$3&gt;=st_energie_debut_mult,st_energie_mult_A,1)*IF(P11=1,1-0.05,IF(P11=2,1-0.02,1))</f>
        <v>54826</v>
      </c>
      <c r="Q25" s="17" t="n">
        <f aca="false">(S2_ech_log*mot_log_cn+S2_ech_stock*mot_stock_cn+S2_ech_pv*mot_pv_cn+S2_ech_bois*mot_bois_cn)*Q24*Q9*IF(Q$3&gt;=st_energie_debut_mult,st_energie_mult_A,1)*IF(Q11=1,1-0.05,IF(Q11=2,1-0.02,1))</f>
        <v>54826</v>
      </c>
      <c r="R25" s="17" t="n">
        <f aca="false">(S2_ech_log*mot_log_cn+S2_ech_stock*mot_stock_cn+S2_ech_pv*mot_pv_cn+S2_ech_bois*mot_bois_cn)*R24*R9*IF(R$3&gt;=st_energie_debut_mult,st_energie_mult_A,1)*IF(R11=1,1-0.05,IF(R11=2,1-0.02,1))</f>
        <v>54826</v>
      </c>
      <c r="S25" s="17" t="n">
        <f aca="false">(S2_ech_log*mot_log_cn+S2_ech_stock*mot_stock_cn+S2_ech_pv*mot_pv_cn+S2_ech_bois*mot_bois_cn)*S24*S9*IF(S$3&gt;=st_energie_debut_mult,st_energie_mult_A,1)*IF(S11=1,1-0.05,IF(S11=2,1-0.02,1))</f>
        <v>54826</v>
      </c>
      <c r="T25" s="17" t="n">
        <f aca="false">(S2_ech_log*mot_log_cn+S2_ech_stock*mot_stock_cn+S2_ech_pv*mot_pv_cn+S2_ech_bois*mot_bois_cn)*T24*T9*IF(T$3&gt;=st_energie_debut_mult,st_energie_mult_A,1)*IF(T11=1,1-0.05,IF(T11=2,1-0.02,1))</f>
        <v>54826</v>
      </c>
      <c r="U25" s="17" t="n">
        <f aca="false">(S2_ech_log*mot_log_cn+S2_ech_stock*mot_stock_cn+S2_ech_pv*mot_pv_cn+S2_ech_bois*mot_bois_cn)*U24*U9*IF(U$3&gt;=st_energie_debut_mult,st_energie_mult_A,1)*IF(U11=1,1-0.05,IF(U11=2,1-0.02,1))</f>
        <v>54826</v>
      </c>
      <c r="V25" s="17" t="n">
        <f aca="false">(S2_ech_log*mot_log_cn+S2_ech_stock*mot_stock_cn+S2_ech_pv*mot_pv_cn+S2_ech_bois*mot_bois_cn)*V24*V9*IF(V$3&gt;=st_energie_debut_mult,st_energie_mult_A,1)*IF(V11=1,1-0.05,IF(V11=2,1-0.02,1))</f>
        <v>54826</v>
      </c>
      <c r="W25" s="17" t="n">
        <f aca="false">(S2_ech_log*mot_log_cn+S2_ech_stock*mot_stock_cn+S2_ech_pv*mot_pv_cn+S2_ech_bois*mot_bois_cn)*W24*W9*IF(W$3&gt;=st_energie_debut_mult,st_energie_mult_A,1)*IF(W11=1,1-0.05,IF(W11=2,1-0.02,1))</f>
        <v>54826</v>
      </c>
      <c r="X25" s="17" t="n">
        <f aca="false">(S2_ech_log*mot_log_cn+S2_ech_stock*mot_stock_cn+S2_ech_pv*mot_pv_cn+S2_ech_bois*mot_bois_cn)*X24*X9*IF(X$3&gt;=st_energie_debut_mult,st_energie_mult_A,1)*IF(X11=1,1-0.05,IF(X11=2,1-0.02,1))</f>
        <v>54826</v>
      </c>
    </row>
    <row r="26" customFormat="false" ht="15" hidden="false" customHeight="false" outlineLevel="0" collapsed="false">
      <c r="A26" s="2" t="s">
        <v>1864</v>
      </c>
      <c r="B26" s="2" t="s">
        <v>1865</v>
      </c>
      <c r="C26" s="2" t="s">
        <v>1839</v>
      </c>
      <c r="E26" s="17" t="n">
        <f aca="false">(S2_ech_eq_ret*mot_eq_ret_cn)*E24*E9*IF(E$3&gt;=st_energie_debut_mult,st_energie_mult_B,1)*IF(E11=1,1-0.15,IF(E11=2,1-0.05,1))</f>
        <v>4039.2</v>
      </c>
      <c r="F26" s="17" t="n">
        <f aca="false">(S2_ech_eq_ret*mot_eq_ret_cn)*F24*F9*IF(F$3&gt;=st_energie_debut_mult,st_energie_mult_B,1)*IF(F11=1,1-0.15,IF(F11=2,1-0.05,1))</f>
        <v>7573.5</v>
      </c>
      <c r="G26" s="17" t="n">
        <f aca="false">(S2_ech_eq_ret*mot_eq_ret_cn)*G24*G9*IF(G$3&gt;=st_energie_debut_mult,st_energie_mult_B,1)*IF(G11=1,1-0.15,IF(G11=2,1-0.05,1))</f>
        <v>10098</v>
      </c>
      <c r="H26" s="17" t="n">
        <f aca="false">(S2_ech_eq_ret*mot_eq_ret_cn)*H24*H9*IF(H$3&gt;=st_energie_debut_mult,st_energie_mult_B,1)*IF(H11=1,1-0.15,IF(H11=2,1-0.05,1))</f>
        <v>10098</v>
      </c>
      <c r="I26" s="17" t="n">
        <f aca="false">(S2_ech_eq_ret*mot_eq_ret_cn)*I24*I9*IF(I$3&gt;=st_energie_debut_mult,st_energie_mult_B,1)*IF(I11=1,1-0.15,IF(I11=2,1-0.05,1))</f>
        <v>10098</v>
      </c>
      <c r="J26" s="17" t="n">
        <f aca="false">(S2_ech_eq_ret*mot_eq_ret_cn)*J24*J9*IF(J$3&gt;=st_energie_debut_mult,st_energie_mult_B,1)*IF(J11=1,1-0.15,IF(J11=2,1-0.05,1))</f>
        <v>10098</v>
      </c>
      <c r="K26" s="17" t="n">
        <f aca="false">(S2_ech_eq_ret*mot_eq_ret_cn)*K24*K9*IF(K$3&gt;=st_energie_debut_mult,st_energie_mult_B,1)*IF(K11=1,1-0.15,IF(K11=2,1-0.05,1))</f>
        <v>10098</v>
      </c>
      <c r="L26" s="17" t="n">
        <f aca="false">(S2_ech_eq_ret*mot_eq_ret_cn)*L24*L9*IF(L$3&gt;=st_energie_debut_mult,st_energie_mult_B,1)*IF(L11=1,1-0.15,IF(L11=2,1-0.05,1))</f>
        <v>10098</v>
      </c>
      <c r="M26" s="17" t="n">
        <f aca="false">(S2_ech_eq_ret*mot_eq_ret_cn)*M24*M9*IF(M$3&gt;=st_energie_debut_mult,st_energie_mult_B,1)*IF(M11=1,1-0.15,IF(M11=2,1-0.05,1))</f>
        <v>10098</v>
      </c>
      <c r="N26" s="17" t="n">
        <f aca="false">(S2_ech_eq_ret*mot_eq_ret_cn)*N24*N9*IF(N$3&gt;=st_energie_debut_mult,st_energie_mult_B,1)*IF(N11=1,1-0.15,IF(N11=2,1-0.05,1))</f>
        <v>10098</v>
      </c>
      <c r="O26" s="17" t="n">
        <f aca="false">(S2_ech_eq_ret*mot_eq_ret_cn)*O24*O9*IF(O$3&gt;=st_energie_debut_mult,st_energie_mult_B,1)*IF(O11=1,1-0.15,IF(O11=2,1-0.05,1))</f>
        <v>10098</v>
      </c>
      <c r="P26" s="17" t="n">
        <f aca="false">(S2_ech_eq_ret*mot_eq_ret_cn)*P24*P9*IF(P$3&gt;=st_energie_debut_mult,st_energie_mult_B,1)*IF(P11=1,1-0.15,IF(P11=2,1-0.05,1))</f>
        <v>10098</v>
      </c>
      <c r="Q26" s="17" t="n">
        <f aca="false">(S2_ech_eq_ret*mot_eq_ret_cn)*Q24*Q9*IF(Q$3&gt;=st_energie_debut_mult,st_energie_mult_B,1)*IF(Q11=1,1-0.15,IF(Q11=2,1-0.05,1))</f>
        <v>10098</v>
      </c>
      <c r="R26" s="17" t="n">
        <f aca="false">(S2_ech_eq_ret*mot_eq_ret_cn)*R24*R9*IF(R$3&gt;=st_energie_debut_mult,st_energie_mult_B,1)*IF(R11=1,1-0.15,IF(R11=2,1-0.05,1))</f>
        <v>10098</v>
      </c>
      <c r="S26" s="17" t="n">
        <f aca="false">(S2_ech_eq_ret*mot_eq_ret_cn)*S24*S9*IF(S$3&gt;=st_energie_debut_mult,st_energie_mult_B,1)*IF(S11=1,1-0.15,IF(S11=2,1-0.05,1))</f>
        <v>10098</v>
      </c>
      <c r="T26" s="17" t="n">
        <f aca="false">(S2_ech_eq_ret*mot_eq_ret_cn)*T24*T9*IF(T$3&gt;=st_energie_debut_mult,st_energie_mult_B,1)*IF(T11=1,1-0.15,IF(T11=2,1-0.05,1))</f>
        <v>10098</v>
      </c>
      <c r="U26" s="17" t="n">
        <f aca="false">(S2_ech_eq_ret*mot_eq_ret_cn)*U24*U9*IF(U$3&gt;=st_energie_debut_mult,st_energie_mult_B,1)*IF(U11=1,1-0.15,IF(U11=2,1-0.05,1))</f>
        <v>10098</v>
      </c>
      <c r="V26" s="17" t="n">
        <f aca="false">(S2_ech_eq_ret*mot_eq_ret_cn)*V24*V9*IF(V$3&gt;=st_energie_debut_mult,st_energie_mult_B,1)*IF(V11=1,1-0.15,IF(V11=2,1-0.05,1))</f>
        <v>10098</v>
      </c>
      <c r="W26" s="17" t="n">
        <f aca="false">(S2_ech_eq_ret*mot_eq_ret_cn)*W24*W9*IF(W$3&gt;=st_energie_debut_mult,st_energie_mult_B,1)*IF(W11=1,1-0.15,IF(W11=2,1-0.05,1))</f>
        <v>10098</v>
      </c>
      <c r="X26" s="17" t="n">
        <f aca="false">(S2_ech_eq_ret*mot_eq_ret_cn)*X24*X9*IF(X$3&gt;=st_energie_debut_mult,st_energie_mult_B,1)*IF(X11=1,1-0.15,IF(X11=2,1-0.05,1))</f>
        <v>10098</v>
      </c>
    </row>
    <row r="27" customFormat="false" ht="15" hidden="false" customHeight="false" outlineLevel="0" collapsed="false">
      <c r="A27" s="2" t="s">
        <v>1866</v>
      </c>
      <c r="B27" s="2" t="s">
        <v>1867</v>
      </c>
      <c r="C27" s="2" t="s">
        <v>1839</v>
      </c>
      <c r="E27" s="17" t="n">
        <f aca="false">(S2_ech_tourn*mot_tourn_cn)*E24*E9*IF(E$3&gt;=st_energie_debut_mult,st_energie_mult_C,1)*IF(E11=1,1-0.8,IF(E11=2,1-0.3,1))</f>
        <v>2380</v>
      </c>
      <c r="F27" s="17" t="n">
        <f aca="false">(S2_ech_tourn*mot_tourn_cn)*F24*F9*IF(F$3&gt;=st_energie_debut_mult,st_energie_mult_C,1)*IF(F11=1,1-0.8,IF(F11=2,1-0.3,1))</f>
        <v>4462.5</v>
      </c>
      <c r="G27" s="17" t="n">
        <f aca="false">(S2_ech_tourn*mot_tourn_cn)*G24*G9*IF(G$3&gt;=st_energie_debut_mult,st_energie_mult_C,1)*IF(G11=1,1-0.8,IF(G11=2,1-0.3,1))</f>
        <v>5950</v>
      </c>
      <c r="H27" s="17" t="n">
        <f aca="false">(S2_ech_tourn*mot_tourn_cn)*H24*H9*IF(H$3&gt;=st_energie_debut_mult,st_energie_mult_C,1)*IF(H11=1,1-0.8,IF(H11=2,1-0.3,1))</f>
        <v>5950</v>
      </c>
      <c r="I27" s="17" t="n">
        <f aca="false">(S2_ech_tourn*mot_tourn_cn)*I24*I9*IF(I$3&gt;=st_energie_debut_mult,st_energie_mult_C,1)*IF(I11=1,1-0.8,IF(I11=2,1-0.3,1))</f>
        <v>5950</v>
      </c>
      <c r="J27" s="17" t="n">
        <f aca="false">(S2_ech_tourn*mot_tourn_cn)*J24*J9*IF(J$3&gt;=st_energie_debut_mult,st_energie_mult_C,1)*IF(J11=1,1-0.8,IF(J11=2,1-0.3,1))</f>
        <v>5950</v>
      </c>
      <c r="K27" s="17" t="n">
        <f aca="false">(S2_ech_tourn*mot_tourn_cn)*K24*K9*IF(K$3&gt;=st_energie_debut_mult,st_energie_mult_C,1)*IF(K11=1,1-0.8,IF(K11=2,1-0.3,1))</f>
        <v>5950</v>
      </c>
      <c r="L27" s="17" t="n">
        <f aca="false">(S2_ech_tourn*mot_tourn_cn)*L24*L9*IF(L$3&gt;=st_energie_debut_mult,st_energie_mult_C,1)*IF(L11=1,1-0.8,IF(L11=2,1-0.3,1))</f>
        <v>5950</v>
      </c>
      <c r="M27" s="17" t="n">
        <f aca="false">(S2_ech_tourn*mot_tourn_cn)*M24*M9*IF(M$3&gt;=st_energie_debut_mult,st_energie_mult_C,1)*IF(M11=1,1-0.8,IF(M11=2,1-0.3,1))</f>
        <v>5950</v>
      </c>
      <c r="N27" s="17" t="n">
        <f aca="false">(S2_ech_tourn*mot_tourn_cn)*N24*N9*IF(N$3&gt;=st_energie_debut_mult,st_energie_mult_C,1)*IF(N11=1,1-0.8,IF(N11=2,1-0.3,1))</f>
        <v>5950</v>
      </c>
      <c r="O27" s="17" t="n">
        <f aca="false">(S2_ech_tourn*mot_tourn_cn)*O24*O9*IF(O$3&gt;=st_energie_debut_mult,st_energie_mult_C,1)*IF(O11=1,1-0.8,IF(O11=2,1-0.3,1))</f>
        <v>5950</v>
      </c>
      <c r="P27" s="17" t="n">
        <f aca="false">(S2_ech_tourn*mot_tourn_cn)*P24*P9*IF(P$3&gt;=st_energie_debut_mult,st_energie_mult_C,1)*IF(P11=1,1-0.8,IF(P11=2,1-0.3,1))</f>
        <v>5950</v>
      </c>
      <c r="Q27" s="17" t="n">
        <f aca="false">(S2_ech_tourn*mot_tourn_cn)*Q24*Q9*IF(Q$3&gt;=st_energie_debut_mult,st_energie_mult_C,1)*IF(Q11=1,1-0.8,IF(Q11=2,1-0.3,1))</f>
        <v>5950</v>
      </c>
      <c r="R27" s="17" t="n">
        <f aca="false">(S2_ech_tourn*mot_tourn_cn)*R24*R9*IF(R$3&gt;=st_energie_debut_mult,st_energie_mult_C,1)*IF(R11=1,1-0.8,IF(R11=2,1-0.3,1))</f>
        <v>5950</v>
      </c>
      <c r="S27" s="17" t="n">
        <f aca="false">(S2_ech_tourn*mot_tourn_cn)*S24*S9*IF(S$3&gt;=st_energie_debut_mult,st_energie_mult_C,1)*IF(S11=1,1-0.8,IF(S11=2,1-0.3,1))</f>
        <v>5950</v>
      </c>
      <c r="T27" s="17" t="n">
        <f aca="false">(S2_ech_tourn*mot_tourn_cn)*T24*T9*IF(T$3&gt;=st_energie_debut_mult,st_energie_mult_C,1)*IF(T11=1,1-0.8,IF(T11=2,1-0.3,1))</f>
        <v>5950</v>
      </c>
      <c r="U27" s="17" t="n">
        <f aca="false">(S2_ech_tourn*mot_tourn_cn)*U24*U9*IF(U$3&gt;=st_energie_debut_mult,st_energie_mult_C,1)*IF(U11=1,1-0.8,IF(U11=2,1-0.3,1))</f>
        <v>5950</v>
      </c>
      <c r="V27" s="17" t="n">
        <f aca="false">(S2_ech_tourn*mot_tourn_cn)*V24*V9*IF(V$3&gt;=st_energie_debut_mult,st_energie_mult_C,1)*IF(V11=1,1-0.8,IF(V11=2,1-0.3,1))</f>
        <v>5950</v>
      </c>
      <c r="W27" s="17" t="n">
        <f aca="false">(S2_ech_tourn*mot_tourn_cn)*W24*W9*IF(W$3&gt;=st_energie_debut_mult,st_energie_mult_C,1)*IF(W11=1,1-0.8,IF(W11=2,1-0.3,1))</f>
        <v>5950</v>
      </c>
      <c r="X27" s="17" t="n">
        <f aca="false">(S2_ech_tourn*mot_tourn_cn)*X24*X9*IF(X$3&gt;=st_energie_debut_mult,st_energie_mult_C,1)*IF(X11=1,1-0.8,IF(X11=2,1-0.3,1))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1312912.18443858</v>
      </c>
      <c r="I35" s="17" t="n">
        <f aca="false">I13+I14+I15+I16+I17+I21+I32-I29-I23-I33-I34</f>
        <v>1320768.2008089</v>
      </c>
      <c r="J35" s="17" t="n">
        <f aca="false">J13+J14+J15+J16+J17+J21+J32-J29-J23-J33-J34</f>
        <v>1328715.8784399</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IF(AND(E$3&lt;=S2_sol_div_annees,E$3&lt;=st_energie_div_fin),S2_sol_div*IF(E11=1,0.5,1),0)</f>
        <v>1000000</v>
      </c>
      <c r="F36" s="17" t="n">
        <f aca="false">IF(AND(F$3&lt;=S2_sol_div_annees,F$3&lt;=st_energie_div_fin),S2_sol_div*IF(F11=1,0.5,1),0)</f>
        <v>1000000</v>
      </c>
      <c r="G36" s="17" t="n">
        <f aca="false">IF(AND(G$3&lt;=S2_sol_div_annees,G$3&lt;=st_energie_div_fin),S2_sol_div*IF(G11=1,0.5,1),0)</f>
        <v>1000000</v>
      </c>
      <c r="H36" s="17" t="n">
        <f aca="false">IF(AND(H$3&lt;=S2_sol_div_annees,H$3&lt;=st_energie_div_fin),S2_sol_div*IF(H11=1,0.5,1),0)</f>
        <v>1000000</v>
      </c>
      <c r="I36" s="17" t="n">
        <f aca="false">IF(AND(I$3&lt;=S2_sol_div_annees,I$3&lt;=st_energie_div_fin),S2_sol_div*IF(I11=1,0.5,1),0)</f>
        <v>1000000</v>
      </c>
      <c r="J36" s="17" t="n">
        <f aca="false">IF(AND(J$3&lt;=S2_sol_div_annees,J$3&lt;=st_energie_div_fin),S2_sol_div*IF(J11=1,0.5,1),0)</f>
        <v>1000000</v>
      </c>
      <c r="K36" s="17" t="n">
        <f aca="false">IF(AND(K$3&lt;=S2_sol_div_annees,K$3&lt;=st_energie_div_fin),S2_sol_div*IF(K11=1,0.5,1),0)</f>
        <v>1000000</v>
      </c>
      <c r="L36" s="17" t="n">
        <f aca="false">IF(AND(L$3&lt;=S2_sol_div_annees,L$3&lt;=st_energie_div_fin),S2_sol_div*IF(L11=1,0.5,1),0)</f>
        <v>1000000</v>
      </c>
      <c r="M36" s="17" t="n">
        <f aca="false">IF(AND(M$3&lt;=S2_sol_div_annees,M$3&lt;=st_energie_div_fin),S2_sol_div*IF(M11=1,0.5,1),0)</f>
        <v>1000000</v>
      </c>
      <c r="N36" s="17" t="n">
        <f aca="false">IF(AND(N$3&lt;=S2_sol_div_annees,N$3&lt;=st_energie_div_fin),S2_sol_div*IF(N11=1,0.5,1),0)</f>
        <v>1000000</v>
      </c>
      <c r="O36" s="17" t="n">
        <f aca="false">IF(AND(O$3&lt;=S2_sol_div_annees,O$3&lt;=st_energie_div_fin),S2_sol_div*IF(O11=1,0.5,1),0)</f>
        <v>0</v>
      </c>
      <c r="P36" s="17" t="n">
        <f aca="false">IF(AND(P$3&lt;=S2_sol_div_annees,P$3&lt;=st_energie_div_fin),S2_sol_div*IF(P11=1,0.5,1),0)</f>
        <v>0</v>
      </c>
      <c r="Q36" s="17" t="n">
        <f aca="false">IF(AND(Q$3&lt;=S2_sol_div_annees,Q$3&lt;=st_energie_div_fin),S2_sol_div*IF(Q11=1,0.5,1),0)</f>
        <v>0</v>
      </c>
      <c r="R36" s="17" t="n">
        <f aca="false">IF(AND(R$3&lt;=S2_sol_div_annees,R$3&lt;=st_energie_div_fin),S2_sol_div*IF(R11=1,0.5,1),0)</f>
        <v>0</v>
      </c>
      <c r="S36" s="17" t="n">
        <f aca="false">IF(AND(S$3&lt;=S2_sol_div_annees,S$3&lt;=st_energie_div_fin),S2_sol_div*IF(S11=1,0.5,1),0)</f>
        <v>0</v>
      </c>
      <c r="T36" s="17" t="n">
        <f aca="false">IF(AND(T$3&lt;=S2_sol_div_annees,T$3&lt;=st_energie_div_fin),S2_sol_div*IF(T11=1,0.5,1),0)</f>
        <v>0</v>
      </c>
      <c r="U36" s="17" t="n">
        <f aca="false">IF(AND(U$3&lt;=S2_sol_div_annees,U$3&lt;=st_energie_div_fin),S2_sol_div*IF(U11=1,0.5,1),0)</f>
        <v>0</v>
      </c>
      <c r="V36" s="17" t="n">
        <f aca="false">IF(AND(V$3&lt;=S2_sol_div_annees,V$3&lt;=st_energie_div_fin),S2_sol_div*IF(V11=1,0.5,1),0)</f>
        <v>0</v>
      </c>
      <c r="W36" s="17" t="n">
        <f aca="false">IF(AND(W$3&lt;=S2_sol_div_annees,W$3&lt;=st_energie_div_fin),S2_sol_div*IF(W11=1,0.5,1),0)</f>
        <v>0</v>
      </c>
      <c r="X36" s="17" t="n">
        <f aca="false">IF(AND(X$3&lt;=S2_sol_div_annees,X$3&lt;=st_energie_div_fin),S2_sol_div*IF(X11=1,0.5,1),0)</f>
        <v>0</v>
      </c>
    </row>
    <row r="37" customFormat="false" ht="15" hidden="false" customHeight="false" outlineLevel="0" collapsed="false">
      <c r="A37" s="2" t="s">
        <v>1886</v>
      </c>
      <c r="B37" s="2" t="s">
        <v>1887</v>
      </c>
      <c r="C37" s="2" t="s">
        <v>46</v>
      </c>
      <c r="E37" s="20" t="n">
        <f aca="false">dot_rendement+st_energie_dot_rdt_delta+IF(E11=1,-0.25,0)</f>
        <v>0.02</v>
      </c>
      <c r="F37" s="20" t="n">
        <f aca="false">dot_rendement+st_energie_dot_rdt_delta+IF(F11=1,-0.25,0)</f>
        <v>0.02</v>
      </c>
      <c r="G37" s="20" t="n">
        <f aca="false">dot_rendement+st_energie_dot_rdt_delta+IF(G11=1,-0.25,0)</f>
        <v>0.02</v>
      </c>
      <c r="H37" s="20" t="n">
        <f aca="false">dot_rendement+st_energie_dot_rdt_delta+IF(H11=1,-0.25,0)</f>
        <v>0.02</v>
      </c>
      <c r="I37" s="20" t="n">
        <f aca="false">dot_rendement+st_energie_dot_rdt_delta+IF(I11=1,-0.25,0)</f>
        <v>0.02</v>
      </c>
      <c r="J37" s="20" t="n">
        <f aca="false">dot_rendement+st_energie_dot_rdt_delta+IF(J11=1,-0.25,0)</f>
        <v>0.02</v>
      </c>
      <c r="K37" s="20" t="n">
        <f aca="false">dot_rendement+st_energie_dot_rdt_delta+IF(K11=1,-0.25,0)</f>
        <v>0.02</v>
      </c>
      <c r="L37" s="20" t="n">
        <f aca="false">dot_rendement+st_energie_dot_rdt_delta+IF(L11=1,-0.25,0)</f>
        <v>0.02</v>
      </c>
      <c r="M37" s="20" t="n">
        <f aca="false">dot_rendement+st_energie_dot_rdt_delta+IF(M11=1,-0.25,0)</f>
        <v>0.02</v>
      </c>
      <c r="N37" s="20" t="n">
        <f aca="false">dot_rendement+st_energie_dot_rdt_delta+IF(N11=1,-0.25,0)</f>
        <v>0.02</v>
      </c>
      <c r="O37" s="20" t="n">
        <f aca="false">dot_rendement+st_energie_dot_rdt_delta+IF(O11=1,-0.25,0)</f>
        <v>0.02</v>
      </c>
      <c r="P37" s="20" t="n">
        <f aca="false">dot_rendement+st_energie_dot_rdt_delta+IF(P11=1,-0.25,0)</f>
        <v>0.02</v>
      </c>
      <c r="Q37" s="20" t="n">
        <f aca="false">dot_rendement+st_energie_dot_rdt_delta+IF(Q11=1,-0.25,0)</f>
        <v>0.02</v>
      </c>
      <c r="R37" s="20" t="n">
        <f aca="false">dot_rendement+st_energie_dot_rdt_delta+IF(R11=1,-0.25,0)</f>
        <v>0.02</v>
      </c>
      <c r="S37" s="20" t="n">
        <f aca="false">dot_rendement+st_energie_dot_rdt_delta+IF(S11=1,-0.25,0)</f>
        <v>0.02</v>
      </c>
      <c r="T37" s="20" t="n">
        <f aca="false">dot_rendement+st_energie_dot_rdt_delta+IF(T11=1,-0.25,0)</f>
        <v>0.02</v>
      </c>
      <c r="U37" s="20" t="n">
        <f aca="false">dot_rendement+st_energie_dot_rdt_delta+IF(U11=1,-0.25,0)</f>
        <v>0.02</v>
      </c>
      <c r="V37" s="20" t="n">
        <f aca="false">dot_rendement+st_energie_dot_rdt_delta+IF(V11=1,-0.25,0)</f>
        <v>0.02</v>
      </c>
      <c r="W37" s="20" t="n">
        <f aca="false">dot_rendement+st_energie_dot_rdt_delta+IF(W11=1,-0.25,0)</f>
        <v>0.02</v>
      </c>
      <c r="X37" s="20" t="n">
        <f aca="false">dot_rendement+st_energie_dot_rdt_delta+IF(X11=1,-0.25,0)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2150489.04625422</v>
      </c>
      <c r="J38" s="17" t="n">
        <f aca="false">lissage_depense*I38+(1-lissage_depense)*dot_taux_net*MAX(0,I44)</f>
        <v>2174367.77796459</v>
      </c>
      <c r="K38" s="17" t="n">
        <f aca="false">lissage_depense*J38+(1-lissage_depense)*dot_taux_net*MAX(0,J44)</f>
        <v>2201339.44534005</v>
      </c>
      <c r="L38" s="17" t="n">
        <f aca="false">lissage_depense*K38+(1-lissage_depense)*dot_taux_net*MAX(0,K44)</f>
        <v>2231122.32862281</v>
      </c>
      <c r="M38" s="17" t="n">
        <f aca="false">lissage_depense*L38+(1-lissage_depense)*dot_taux_net*MAX(0,L44)</f>
        <v>2263354.86901005</v>
      </c>
      <c r="N38" s="17" t="n">
        <f aca="false">lissage_depense*M38+(1-lissage_depense)*dot_taux_net*MAX(0,M44)</f>
        <v>2297690.69738574</v>
      </c>
      <c r="O38" s="17" t="n">
        <f aca="false">lissage_depense*N38+(1-lissage_depense)*dot_taux_net*MAX(0,N44)</f>
        <v>2333855.33362621</v>
      </c>
      <c r="P38" s="17" t="n">
        <f aca="false">lissage_depense*O38+(1-lissage_depense)*dot_taux_net*MAX(0,O44)</f>
        <v>2368131.857527</v>
      </c>
      <c r="Q38" s="17" t="n">
        <f aca="false">lissage_depense*P38+(1-lissage_depense)*dot_taux_net*MAX(0,P44)</f>
        <v>2400935.23462176</v>
      </c>
      <c r="R38" s="17" t="n">
        <f aca="false">lissage_depense*Q38+(1-lissage_depense)*dot_taux_net*MAX(0,Q44)</f>
        <v>2432628.68916157</v>
      </c>
      <c r="S38" s="17" t="n">
        <f aca="false">lissage_depense*R38+(1-lissage_depense)*dot_taux_net*MAX(0,R44)</f>
        <v>2463516.87771059</v>
      </c>
      <c r="T38" s="17" t="n">
        <f aca="false">lissage_depense*S38+(1-lissage_depense)*dot_taux_net*MAX(0,S44)</f>
        <v>2493844.89837392</v>
      </c>
      <c r="U38" s="17" t="n">
        <f aca="false">lissage_depense*T38+(1-lissage_depense)*dot_taux_net*MAX(0,T44)</f>
        <v>2523810.22595823</v>
      </c>
      <c r="V38" s="17" t="n">
        <f aca="false">lissage_depense*U38+(1-lissage_depense)*dot_taux_net*MAX(0,U44)</f>
        <v>2553572.26050183</v>
      </c>
      <c r="W38" s="17" t="n">
        <f aca="false">lissage_depense*V38+(1-lissage_depense)*dot_taux_net*MAX(0,V44)</f>
        <v>2583259.96650697</v>
      </c>
      <c r="X38" s="17" t="n">
        <f aca="false">lissage_depense*W38+(1-lissage_depense)*dot_taux_net*MAX(0,W44)</f>
        <v>2612977.98474087</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1596983.68287642</v>
      </c>
      <c r="J39" s="23" t="n">
        <f aca="false">S2_sol_reserve0*MAX(I18,bud_total_besoin_S2)/bud_total_besoin_S2</f>
        <v>1606239.68946489</v>
      </c>
      <c r="K39" s="23" t="n">
        <f aca="false">S2_sol_reserve0*MAX(J18,bud_total_besoin_S2)/bud_total_besoin_S2</f>
        <v>1615603.69191191</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81506.759772372</v>
      </c>
      <c r="J40" s="17" t="n">
        <f aca="false">MAX(0,J39-I45*(1+taux_reserve))</f>
        <v>17240.9250028485</v>
      </c>
      <c r="K40" s="17" t="n">
        <f aca="false">MAX(0,K39-J45*(1+taux_reserve))</f>
        <v>17395.200894343</v>
      </c>
      <c r="L40" s="17" t="n">
        <f aca="false">MAX(0,L39-K45*(1+taux_reserve))</f>
        <v>0</v>
      </c>
      <c r="M40" s="17" t="n">
        <f aca="false">MAX(0,M39-L45*(1+taux_reserve))</f>
        <v>0</v>
      </c>
      <c r="N40" s="17" t="n">
        <f aca="false">MAX(0,N39-M45*(1+taux_reserve))</f>
        <v>0</v>
      </c>
      <c r="O40" s="17" t="n">
        <f aca="false">MAX(0,O39-N45*(1+taux_reserve))</f>
        <v>0</v>
      </c>
      <c r="P40" s="17" t="n">
        <f aca="false">MAX(0,P39-O45*(1+taux_reserve))</f>
        <v>12631.9533836022</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328264.190093672</v>
      </c>
      <c r="I41" s="17" t="n">
        <f aca="false">MIN(MAX(0,I35-I36+I40),IF(I12=1,MAX(I38,retrait_urgence*MAX(0,H44)),I38))</f>
        <v>402274.960581273</v>
      </c>
      <c r="J41" s="17" t="n">
        <f aca="false">MIN(MAX(0,J35-J36+J40),IF(J12=1,MAX(J38,retrait_urgence*MAX(0,I44)),J38))</f>
        <v>345956.803442745</v>
      </c>
      <c r="K41" s="17" t="n">
        <f aca="false">MIN(MAX(0,K35-K36+K40),IF(K12=1,MAX(K38,retrait_urgence*MAX(0,J44)),K38))</f>
        <v>294672.879136027</v>
      </c>
      <c r="L41" s="17" t="n">
        <f aca="false">MIN(MAX(0,L35-L36+L40),IF(L12=1,MAX(L38,retrait_urgence*MAX(0,K44)),L38))</f>
        <v>284223.338854506</v>
      </c>
      <c r="M41" s="17" t="n">
        <f aca="false">MIN(MAX(0,M35-M36+M40),IF(M12=1,MAX(M38,retrait_urgence*MAX(0,L44)),M38))</f>
        <v>291241.158951662</v>
      </c>
      <c r="N41" s="17" t="n">
        <f aca="false">MIN(MAX(0,N35-N36+N40),IF(N12=1,MAX(N38,retrait_urgence*MAX(0,M44)),N38))</f>
        <v>298332.143897017</v>
      </c>
      <c r="O41" s="17" t="n">
        <f aca="false">MIN(MAX(0,O35-O36+O40),IF(O12=1,MAX(O38,retrait_urgence*MAX(0,N44)),O38))</f>
        <v>1305497.31598098</v>
      </c>
      <c r="P41" s="17" t="n">
        <f aca="false">MIN(MAX(0,P35-P36+P40),IF(P12=1,MAX(P38,retrait_urgence*MAX(0,O44)),P38))</f>
        <v>1325369.66811537</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81506.759772372</v>
      </c>
      <c r="J42" s="23" t="n">
        <f aca="false">J36+J41-J35</f>
        <v>17240.9250028485</v>
      </c>
      <c r="K42" s="23" t="n">
        <f aca="false">K36+K41-K35</f>
        <v>17395.200894343</v>
      </c>
      <c r="L42" s="23" t="n">
        <f aca="false">L36+L41-L35</f>
        <v>0</v>
      </c>
      <c r="M42" s="23" t="n">
        <f aca="false">M36+M41-M35</f>
        <v>0</v>
      </c>
      <c r="N42" s="23" t="n">
        <f aca="false">N36+N41-N35</f>
        <v>0</v>
      </c>
      <c r="O42" s="23" t="n">
        <f aca="false">O36+O41-O35</f>
        <v>0</v>
      </c>
      <c r="P42" s="23" t="n">
        <f aca="false">P36+P41-P35</f>
        <v>12631.9533836022</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127558684.404269</v>
      </c>
      <c r="I44" s="23" t="n">
        <f aca="false">MAX(0,H44)*(1+I37)-I41+I43-I31</f>
        <v>129707583.131773</v>
      </c>
      <c r="J44" s="23" t="n">
        <f aca="false">MAX(0,I44)*(1+J37)-J41+J43-J31</f>
        <v>131955777.990966</v>
      </c>
      <c r="K44" s="23" t="n">
        <f aca="false">MAX(0,J44)*(1+K37)-K41+K43-K31</f>
        <v>134300220.671649</v>
      </c>
      <c r="L44" s="23" t="n">
        <f aca="false">MAX(0,K44)*(1+L37)-L41+L43-L31</f>
        <v>136702001.746228</v>
      </c>
      <c r="M44" s="23" t="n">
        <f aca="false">MAX(0,L44)*(1+M37)-M41+M43-M31</f>
        <v>139144800.622201</v>
      </c>
      <c r="N44" s="23" t="n">
        <f aca="false">MAX(0,M44)*(1+N37)-N41+N43-N31</f>
        <v>141629364.490748</v>
      </c>
      <c r="O44" s="23" t="n">
        <f aca="false">MAX(0,N44)*(1+O37)-O41+O43-O31</f>
        <v>143156454.464582</v>
      </c>
      <c r="P44" s="23" t="n">
        <f aca="false">MAX(0,O44)*(1+P37)-P41+P43-P31</f>
        <v>144694213.885758</v>
      </c>
      <c r="Q44" s="23" t="n">
        <f aca="false">MAX(0,P44)*(1+Q37)-Q41+Q43-Q31</f>
        <v>146251571.846903</v>
      </c>
      <c r="R44" s="23" t="n">
        <f aca="false">MAX(0,Q44)*(1+R37)-R41+R43-R31</f>
        <v>147832550.394667</v>
      </c>
      <c r="S44" s="23" t="n">
        <f aca="false">MAX(0,R44)*(1+S37)-S41+S43-S31</f>
        <v>149437541.772984</v>
      </c>
      <c r="T44" s="23" t="n">
        <f aca="false">MAX(0,S44)*(1+T37)-T41+T43-T31</f>
        <v>151066944.931171</v>
      </c>
      <c r="U44" s="23" t="n">
        <f aca="false">MAX(0,T44)*(1+U37)-U41+U43-U31</f>
        <v>152721165.638643</v>
      </c>
      <c r="V44" s="23" t="n">
        <f aca="false">MAX(0,U44)*(1+V37)-V41+V43-V31</f>
        <v>154400616.601573</v>
      </c>
      <c r="W44" s="23" t="n">
        <f aca="false">MAX(0,V44)*(1+W37)-W41+W43-W31</f>
        <v>156105717.581512</v>
      </c>
      <c r="X44" s="23" t="n">
        <f aca="false">MAX(0,W44)*(1+X37)-X41+X43-X31</f>
        <v>157836895.516014</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1596983.68287642</v>
      </c>
      <c r="J45" s="23" t="n">
        <f aca="false">I45*(1+taux_reserve)+J42-J43-(J30-J31)</f>
        <v>1606239.68946489</v>
      </c>
      <c r="K45" s="23" t="n">
        <f aca="false">J45*(1+taux_reserve)+K42-K43-(K30-K31)</f>
        <v>1615603.69191191</v>
      </c>
      <c r="L45" s="23" t="n">
        <f aca="false">K45*(1+taux_reserve)+L42-L43-(L30-L31)</f>
        <v>1607525.67345235</v>
      </c>
      <c r="M45" s="23" t="n">
        <f aca="false">L45*(1+taux_reserve)+M42-M43-(M30-M31)</f>
        <v>1599488.04508508</v>
      </c>
      <c r="N45" s="23" t="n">
        <f aca="false">M45*(1+taux_reserve)+N42-N43-(N30-N31)</f>
        <v>1591490.60485966</v>
      </c>
      <c r="O45" s="23" t="n">
        <f aca="false">N45*(1+taux_reserve)+O42-O43-(O30-O31)</f>
        <v>1583533.15183536</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1953678.33509224</v>
      </c>
      <c r="J46" s="23" t="n">
        <f aca="false">J45+J22</f>
        <v>2322304.20378815</v>
      </c>
      <c r="K46" s="23" t="n">
        <f aca="false">K45+K22</f>
        <v>2693733.34230842</v>
      </c>
      <c r="L46" s="23" t="n">
        <f aca="false">L45+L22</f>
        <v>1607525.67345235</v>
      </c>
      <c r="M46" s="23" t="n">
        <f aca="false">M45+M22</f>
        <v>1967004.52436333</v>
      </c>
      <c r="N46" s="23" t="n">
        <f aca="false">N45+N22</f>
        <v>2329279.93701075</v>
      </c>
      <c r="O46" s="23" t="n">
        <f aca="false">O45+O22</f>
        <v>2694372.38325583</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1.60285364028962</v>
      </c>
      <c r="I47" s="24" t="n">
        <f aca="false">(I29+I38)/I18</f>
        <v>1.60861538084562</v>
      </c>
      <c r="J47" s="24" t="n">
        <f aca="false">(J29+J38)/J18</f>
        <v>1.6167058485817</v>
      </c>
      <c r="K47" s="24" t="n">
        <f aca="false">(K29+K38)/K18</f>
        <v>1.70015177452172</v>
      </c>
      <c r="L47" s="24" t="n">
        <f aca="false">(L29+L38)/L18</f>
        <v>1.71369934316666</v>
      </c>
      <c r="M47" s="24" t="n">
        <f aca="false">(M29+M38)/M18</f>
        <v>1.72884901213259</v>
      </c>
      <c r="N47" s="24" t="n">
        <f aca="false">(N29+N38)/N18</f>
        <v>1.74531355202565</v>
      </c>
      <c r="O47" s="24" t="n">
        <f aca="false">(O29+O38)/O18</f>
        <v>1.76286457811021</v>
      </c>
      <c r="P47" s="24" t="n">
        <f aca="false">(P29+P38)/P18</f>
        <v>1.7787380251562</v>
      </c>
      <c r="Q47" s="24" t="n">
        <f aca="false">(Q29+Q38)/Q18</f>
        <v>1.79326116007699</v>
      </c>
      <c r="R47" s="24" t="n">
        <f aca="false">(R29+R38)/R18</f>
        <v>1.80671690686264</v>
      </c>
      <c r="S47" s="24" t="n">
        <f aca="false">(S29+S38)/S18</f>
        <v>1.81933991885625</v>
      </c>
      <c r="T47" s="24" t="n">
        <f aca="false">(T29+T38)/T18</f>
        <v>1.83131702625289</v>
      </c>
      <c r="U47" s="24" t="n">
        <f aca="false">(U29+U38)/U18</f>
        <v>1.8427969881561</v>
      </c>
      <c r="V47" s="24" t="n">
        <f aca="false">(V29+V38)/V18</f>
        <v>1.85389825623169</v>
      </c>
      <c r="W47" s="24" t="n">
        <f aca="false">(W29+W38)/W18</f>
        <v>1.86471515522284</v>
      </c>
      <c r="X47" s="24" t="n">
        <f aca="false">(X29+X38)/X18</f>
        <v>1.87532280302149</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1917</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D5*(1+g_salaires+st_salaires_g_sal_extra)</f>
        <v>1.015</v>
      </c>
      <c r="F5" s="22" t="n">
        <f aca="false">E5*(1+g_salaires+st_salaires_g_sal_extra)</f>
        <v>1.030225</v>
      </c>
      <c r="G5" s="22" t="n">
        <f aca="false">F5*(1+g_salaires+st_salaires_g_sal_extra)</f>
        <v>1.045678375</v>
      </c>
      <c r="H5" s="22" t="n">
        <f aca="false">G5*(1+g_salaires+st_salaires_g_sal_extra)</f>
        <v>1.061363550625</v>
      </c>
      <c r="I5" s="22" t="n">
        <f aca="false">H5*(1+g_salaires+st_salaires_g_sal_extra)</f>
        <v>1.07728400388437</v>
      </c>
      <c r="J5" s="22" t="n">
        <f aca="false">I5*(1+g_salaires+st_salaires_g_sal_extra)</f>
        <v>1.09344326394264</v>
      </c>
      <c r="K5" s="22" t="n">
        <f aca="false">J5*(1+g_salaires+st_salaires_g_sal_extra)</f>
        <v>1.10984491290178</v>
      </c>
      <c r="L5" s="22" t="n">
        <f aca="false">K5*(1+g_salaires+st_salaires_g_sal_extra)</f>
        <v>1.12649258659531</v>
      </c>
      <c r="M5" s="22" t="n">
        <f aca="false">L5*(1+g_salaires+st_salaires_g_sal_extra)</f>
        <v>1.14338997539424</v>
      </c>
      <c r="N5" s="22" t="n">
        <f aca="false">M5*(1+g_salaires+st_salaires_g_sal_extra)</f>
        <v>1.16054082502515</v>
      </c>
      <c r="O5" s="22" t="n">
        <f aca="false">N5*(1+g_salaires+st_salaires_g_sal_extra)</f>
        <v>1.17794893740053</v>
      </c>
      <c r="P5" s="22" t="n">
        <f aca="false">O5*(1+g_salaires+st_salaires_g_sal_extra)</f>
        <v>1.19561817146153</v>
      </c>
      <c r="Q5" s="22" t="n">
        <f aca="false">P5*(1+g_salaires+st_salaires_g_sal_extra)</f>
        <v>1.21355244403346</v>
      </c>
      <c r="R5" s="22" t="n">
        <f aca="false">Q5*(1+g_salaires+st_salaires_g_sal_extra)</f>
        <v>1.23175573069396</v>
      </c>
      <c r="S5" s="22" t="n">
        <f aca="false">R5*(1+g_salaires+st_salaires_g_sal_extra)</f>
        <v>1.25023206665437</v>
      </c>
      <c r="T5" s="22" t="n">
        <f aca="false">S5*(1+g_salaires+st_salaires_g_sal_extra)</f>
        <v>1.26898554765418</v>
      </c>
      <c r="U5" s="22" t="n">
        <f aca="false">T5*(1+g_salaires+st_salaires_g_sal_extra)</f>
        <v>1.288020330869</v>
      </c>
      <c r="V5" s="22" t="n">
        <f aca="false">U5*(1+g_salaires+st_salaires_g_sal_extra)</f>
        <v>1.30734063583203</v>
      </c>
      <c r="W5" s="22" t="n">
        <f aca="false">V5*(1+g_salaires+st_salaires_g_sal_extra)</f>
        <v>1.32695074536951</v>
      </c>
      <c r="X5" s="22" t="n">
        <f aca="false">W5*(1+g_salaires+st_salaires_g_sal_extra)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IF(st_salaires_crise_an&gt;0,IF(E$3=st_salaires_crise_an,1,IF(E$3=st_salaires_crise_an+1,2,0)),0)</f>
        <v>0</v>
      </c>
      <c r="F11" s="22" t="n">
        <f aca="false">IF(st_salaires_crise_an&gt;0,IF(F$3=st_salaires_crise_an,1,IF(F$3=st_salaires_crise_an+1,2,0)),0)</f>
        <v>0</v>
      </c>
      <c r="G11" s="22" t="n">
        <f aca="false">IF(st_salaires_crise_an&gt;0,IF(G$3=st_salaires_crise_an,1,IF(G$3=st_salaires_crise_an+1,2,0)),0)</f>
        <v>0</v>
      </c>
      <c r="H11" s="22" t="n">
        <f aca="false">IF(st_salaires_crise_an&gt;0,IF(H$3=st_salaires_crise_an,1,IF(H$3=st_salaires_crise_an+1,2,0)),0)</f>
        <v>0</v>
      </c>
      <c r="I11" s="22" t="n">
        <f aca="false">IF(st_salaires_crise_an&gt;0,IF(I$3=st_salaires_crise_an,1,IF(I$3=st_salaires_crise_an+1,2,0)),0)</f>
        <v>0</v>
      </c>
      <c r="J11" s="22" t="n">
        <f aca="false">IF(st_salaires_crise_an&gt;0,IF(J$3=st_salaires_crise_an,1,IF(J$3=st_salaires_crise_an+1,2,0)),0)</f>
        <v>0</v>
      </c>
      <c r="K11" s="22" t="n">
        <f aca="false">IF(st_salaires_crise_an&gt;0,IF(K$3=st_salaires_crise_an,1,IF(K$3=st_salaires_crise_an+1,2,0)),0)</f>
        <v>0</v>
      </c>
      <c r="L11" s="22" t="n">
        <f aca="false">IF(st_salaires_crise_an&gt;0,IF(L$3=st_salaires_crise_an,1,IF(L$3=st_salaires_crise_an+1,2,0)),0)</f>
        <v>0</v>
      </c>
      <c r="M11" s="22" t="n">
        <f aca="false">IF(st_salaires_crise_an&gt;0,IF(M$3=st_salaires_crise_an,1,IF(M$3=st_salaires_crise_an+1,2,0)),0)</f>
        <v>0</v>
      </c>
      <c r="N11" s="22" t="n">
        <f aca="false">IF(st_salaires_crise_an&gt;0,IF(N$3=st_salaires_crise_an,1,IF(N$3=st_salaires_crise_an+1,2,0)),0)</f>
        <v>0</v>
      </c>
      <c r="O11" s="22" t="n">
        <f aca="false">IF(st_salaires_crise_an&gt;0,IF(O$3=st_salaires_crise_an,1,IF(O$3=st_salaires_crise_an+1,2,0)),0)</f>
        <v>0</v>
      </c>
      <c r="P11" s="22" t="n">
        <f aca="false">IF(st_salaires_crise_an&gt;0,IF(P$3=st_salaires_crise_an,1,IF(P$3=st_salaires_crise_an+1,2,0)),0)</f>
        <v>0</v>
      </c>
      <c r="Q11" s="22" t="n">
        <f aca="false">IF(st_salaires_crise_an&gt;0,IF(Q$3=st_salaires_crise_an,1,IF(Q$3=st_salaires_crise_an+1,2,0)),0)</f>
        <v>0</v>
      </c>
      <c r="R11" s="22" t="n">
        <f aca="false">IF(st_salaires_crise_an&gt;0,IF(R$3=st_salaires_crise_an,1,IF(R$3=st_salaires_crise_an+1,2,0)),0)</f>
        <v>0</v>
      </c>
      <c r="S11" s="22" t="n">
        <f aca="false">IF(st_salaires_crise_an&gt;0,IF(S$3=st_salaires_crise_an,1,IF(S$3=st_salaires_crise_an+1,2,0)),0)</f>
        <v>0</v>
      </c>
      <c r="T11" s="22" t="n">
        <f aca="false">IF(st_salaires_crise_an&gt;0,IF(T$3=st_salaires_crise_an,1,IF(T$3=st_salaires_crise_an+1,2,0)),0)</f>
        <v>0</v>
      </c>
      <c r="U11" s="22" t="n">
        <f aca="false">IF(st_salaires_crise_an&gt;0,IF(U$3=st_salaires_crise_an,1,IF(U$3=st_salaires_crise_an+1,2,0)),0)</f>
        <v>0</v>
      </c>
      <c r="V11" s="22" t="n">
        <f aca="false">IF(st_salaires_crise_an&gt;0,IF(V$3=st_salaires_crise_an,1,IF(V$3=st_salaires_crise_an+1,2,0)),0)</f>
        <v>0</v>
      </c>
      <c r="W11" s="22" t="n">
        <f aca="false">IF(st_salaires_crise_an&gt;0,IF(W$3=st_salaires_crise_an,1,IF(W$3=st_salaires_crise_an+1,2,0)),0)</f>
        <v>0</v>
      </c>
      <c r="X11" s="22" t="n">
        <f aca="false">IF(st_salaires_crise_an&gt;0,IF(X$3=st_salaires_crise_an,1,IF(X$3=st_salaires_crise_an+1,2,0)),0)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1840</v>
      </c>
      <c r="B14" s="2" t="s">
        <v>1841</v>
      </c>
      <c r="C14" s="2" t="s">
        <v>1839</v>
      </c>
      <c r="E14" s="17" t="n">
        <f aca="false">(bud_chauffage_S2+bud_hors_gel_S2+bud_electricite_S2)*E7*IF(AND(E$3&gt;=st_salaires_energie_debut,E$3&lt;=st_salaires_energie_fin),st_salaires_energie_mult,1)</f>
        <v>52815.6</v>
      </c>
      <c r="F14" s="17" t="n">
        <f aca="false">(bud_chauffage_S2+bud_hors_gel_S2+bud_electricite_S2)*F7*IF(AND(F$3&gt;=st_salaires_energie_debut,F$3&lt;=st_salaires_energie_fin),st_salaires_energie_mult,1)</f>
        <v>53871.912</v>
      </c>
      <c r="G14" s="17" t="n">
        <f aca="false">(bud_chauffage_S2+bud_hors_gel_S2+bud_electricite_S2)*G7*IF(AND(G$3&gt;=st_salaires_energie_debut,G$3&lt;=st_salaires_energie_fin),st_salaires_energie_mult,1)</f>
        <v>54949.35024</v>
      </c>
      <c r="H14" s="17" t="n">
        <f aca="false">(bud_chauffage_S2+bud_hors_gel_S2+bud_electricite_S2)*H7*IF(AND(H$3&gt;=st_salaires_energie_debut,H$3&lt;=st_salaires_energie_fin),st_salaires_energie_mult,1)</f>
        <v>56048.3372448</v>
      </c>
      <c r="I14" s="17" t="n">
        <f aca="false">(bud_chauffage_S2+bud_hors_gel_S2+bud_electricite_S2)*I7*IF(AND(I$3&gt;=st_salaires_energie_debut,I$3&lt;=st_salaires_energie_fin),st_salaires_energie_mult,1)</f>
        <v>57169.303989696</v>
      </c>
      <c r="J14" s="17" t="n">
        <f aca="false">(bud_chauffage_S2+bud_hors_gel_S2+bud_electricite_S2)*J7*IF(AND(J$3&gt;=st_salaires_energie_debut,J$3&lt;=st_salaires_energie_fin),st_salaires_energie_mult,1)</f>
        <v>58312.6900694899</v>
      </c>
      <c r="K14" s="17" t="n">
        <f aca="false">(bud_chauffage_S2+bud_hors_gel_S2+bud_electricite_S2)*K7*IF(AND(K$3&gt;=st_salaires_energie_debut,K$3&lt;=st_salaires_energie_fin),st_salaires_energie_mult,1)</f>
        <v>59478.9438708797</v>
      </c>
      <c r="L14" s="17" t="n">
        <f aca="false">(bud_chauffage_S2+bud_hors_gel_S2+bud_electricite_S2)*L7*IF(AND(L$3&gt;=st_salaires_energie_debut,L$3&lt;=st_salaires_energie_fin),st_salaires_energie_mult,1)</f>
        <v>60668.5227482973</v>
      </c>
      <c r="M14" s="17" t="n">
        <f aca="false">(bud_chauffage_S2+bud_hors_gel_S2+bud_electricite_S2)*M7*IF(AND(M$3&gt;=st_salaires_energie_debut,M$3&lt;=st_salaires_energie_fin),st_salaires_energie_mult,1)</f>
        <v>61881.8932032633</v>
      </c>
      <c r="N14" s="17" t="n">
        <f aca="false">(bud_chauffage_S2+bud_hors_gel_S2+bud_electricite_S2)*N7*IF(AND(N$3&gt;=st_salaires_energie_debut,N$3&lt;=st_salaires_energie_fin),st_salaires_energie_mult,1)</f>
        <v>63119.5310673285</v>
      </c>
      <c r="O14" s="17" t="n">
        <f aca="false">(bud_chauffage_S2+bud_hors_gel_S2+bud_electricite_S2)*O7*IF(AND(O$3&gt;=st_salaires_energie_debut,O$3&lt;=st_salaires_energie_fin),st_salaires_energie_mult,1)</f>
        <v>64381.9216886751</v>
      </c>
      <c r="P14" s="17" t="n">
        <f aca="false">(bud_chauffage_S2+bud_hors_gel_S2+bud_electricite_S2)*P7*IF(AND(P$3&gt;=st_salaires_energie_debut,P$3&lt;=st_salaires_energie_fin),st_salaires_energie_mult,1)</f>
        <v>65669.5601224486</v>
      </c>
      <c r="Q14" s="17" t="n">
        <f aca="false">(bud_chauffage_S2+bud_hors_gel_S2+bud_electricite_S2)*Q7*IF(AND(Q$3&gt;=st_salaires_energie_debut,Q$3&lt;=st_salaires_energie_fin),st_salaires_energie_mult,1)</f>
        <v>66982.9513248976</v>
      </c>
      <c r="R14" s="17" t="n">
        <f aca="false">(bud_chauffage_S2+bud_hors_gel_S2+bud_electricite_S2)*R7*IF(AND(R$3&gt;=st_salaires_energie_debut,R$3&lt;=st_salaires_energie_fin),st_salaires_energie_mult,1)</f>
        <v>68322.6103513955</v>
      </c>
      <c r="S14" s="17" t="n">
        <f aca="false">(bud_chauffage_S2+bud_hors_gel_S2+bud_electricite_S2)*S7*IF(AND(S$3&gt;=st_salaires_energie_debut,S$3&lt;=st_salaires_energie_fin),st_salaires_energie_mult,1)</f>
        <v>69689.0625584235</v>
      </c>
      <c r="T14" s="17" t="n">
        <f aca="false">(bud_chauffage_S2+bud_hors_gel_S2+bud_electricite_S2)*T7*IF(AND(T$3&gt;=st_salaires_energie_debut,T$3&lt;=st_salaires_energie_fin),st_salaires_energie_mult,1)</f>
        <v>71082.8438095919</v>
      </c>
      <c r="U14" s="17" t="n">
        <f aca="false">(bud_chauffage_S2+bud_hors_gel_S2+bud_electricite_S2)*U7*IF(AND(U$3&gt;=st_salaires_energie_debut,U$3&lt;=st_salaires_energie_fin),st_salaires_energie_mult,1)</f>
        <v>72504.5006857838</v>
      </c>
      <c r="V14" s="17" t="n">
        <f aca="false">(bud_chauffage_S2+bud_hors_gel_S2+bud_electricite_S2)*V7*IF(AND(V$3&gt;=st_salaires_energie_debut,V$3&lt;=st_salaires_energie_fin),st_salaires_energie_mult,1)</f>
        <v>73954.5906994994</v>
      </c>
      <c r="W14" s="17" t="n">
        <f aca="false">(bud_chauffage_S2+bud_hors_gel_S2+bud_electricite_S2)*W7*IF(AND(W$3&gt;=st_salaires_energie_debut,W$3&lt;=st_salaires_energie_fin),st_salaires_energie_mult,1)</f>
        <v>75433.6825134894</v>
      </c>
      <c r="X14" s="17" t="n">
        <f aca="false">(bud_chauffage_S2+bud_hors_gel_S2+bud_electricite_S2)*X7*IF(AND(X$3&gt;=st_salaires_energie_debut,X$3&lt;=st_salaires_energie_fin),st_salaires_energie_mult,1)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1283630.7003125</v>
      </c>
      <c r="F18" s="23" t="n">
        <f aca="false">F13+F14+F15+F16+F17</f>
        <v>1294285.91615234</v>
      </c>
      <c r="G18" s="23" t="n">
        <f aca="false">G13+G14+G15+G16+G17</f>
        <v>1305089.74111934</v>
      </c>
      <c r="H18" s="23" t="n">
        <f aca="false">H13+H14+H15+H16+H17</f>
        <v>1316044.41892518</v>
      </c>
      <c r="I18" s="23" t="n">
        <f aca="false">I13+I14+I15+I16+I17</f>
        <v>1327152.22897184</v>
      </c>
      <c r="J18" s="23" t="n">
        <f aca="false">J13+J14+J15+J16+J17</f>
        <v>1338415.48693983</v>
      </c>
      <c r="K18" s="23" t="n">
        <f aca="false">K13+K14+K15+K16+K17</f>
        <v>1349836.54538631</v>
      </c>
      <c r="L18" s="23" t="n">
        <f aca="false">L13+L14+L15+L16+L17</f>
        <v>1361417.79435345</v>
      </c>
      <c r="M18" s="23" t="n">
        <f aca="false">M13+M14+M15+M16+M17</f>
        <v>1373161.66198697</v>
      </c>
      <c r="N18" s="23" t="n">
        <f aca="false">N13+N14+N15+N16+N17</f>
        <v>1385070.61516526</v>
      </c>
      <c r="O18" s="23" t="n">
        <f aca="false">O13+O14+O15+O16+O17</f>
        <v>1397147.16013908</v>
      </c>
      <c r="P18" s="23" t="n">
        <f aca="false">P13+P14+P15+P16+P17</f>
        <v>1409393.84318219</v>
      </c>
      <c r="Q18" s="23" t="n">
        <f aca="false">Q13+Q14+Q15+Q16+Q17</f>
        <v>1421813.25125294</v>
      </c>
      <c r="R18" s="23" t="n">
        <f aca="false">R13+R14+R15+R16+R17</f>
        <v>1434408.0126671</v>
      </c>
      <c r="S18" s="23" t="n">
        <f aca="false">S13+S14+S15+S16+S17</f>
        <v>1447180.79778221</v>
      </c>
      <c r="T18" s="23" t="n">
        <f aca="false">T13+T14+T15+T16+T17</f>
        <v>1460134.31969336</v>
      </c>
      <c r="U18" s="23" t="n">
        <f aca="false">U13+U14+U15+U16+U17</f>
        <v>1473271.33494098</v>
      </c>
      <c r="V18" s="23" t="n">
        <f aca="false">V13+V14+V15+V16+V17</f>
        <v>1486594.64423052</v>
      </c>
      <c r="W18" s="23" t="n">
        <f aca="false">W13+W14+W15+W16+W17</f>
        <v>1500107.09316445</v>
      </c>
      <c r="X18" s="23" t="n">
        <f aca="false">X13+X14+X15+X16+X17</f>
        <v>1513811.57298665</v>
      </c>
    </row>
    <row r="19" customFormat="false" ht="15" hidden="false" customHeight="false" outlineLevel="0" collapsed="false">
      <c r="A19" s="2" t="s">
        <v>1850</v>
      </c>
      <c r="B19" s="2" t="s">
        <v>1851</v>
      </c>
      <c r="C19" s="2" t="s">
        <v>1839</v>
      </c>
      <c r="E19" s="17" t="n">
        <f aca="false">IF(MOD(E$3,campagne_periode)=0,(D22+E17)*st_salaires_mult_campagne*(1-E12*flex_report),0)</f>
        <v>0</v>
      </c>
      <c r="F19" s="17" t="n">
        <f aca="false">IF(MOD(F$3,campagne_periode)=0,(E22+F17)*st_salaires_mult_campagne*(1-F12*flex_report),0)</f>
        <v>0</v>
      </c>
      <c r="G19" s="17" t="n">
        <f aca="false">IF(MOD(G$3,campagne_periode)=0,(F22+G17)*st_salaires_mult_campagne*(1-G12*flex_report),0)</f>
        <v>0</v>
      </c>
      <c r="H19" s="17" t="n">
        <f aca="false">IF(MOD(H$3,campagne_periode)=0,(G22+H17)*st_salaires_mult_campagne*(1-H12*flex_report),0)</f>
        <v>1400422.58710973</v>
      </c>
      <c r="I19" s="17" t="n">
        <f aca="false">IF(MOD(I$3,campagne_periode)=0,(H22+I17)*st_salaires_mult_campagne*(1-I12*flex_report),0)</f>
        <v>0</v>
      </c>
      <c r="J19" s="17" t="n">
        <f aca="false">IF(MOD(J$3,campagne_periode)=0,(I22+J17)*st_salaires_mult_campagne*(1-J12*flex_report),0)</f>
        <v>0</v>
      </c>
      <c r="K19" s="17" t="n">
        <f aca="false">IF(MOD(K$3,campagne_periode)=0,(J22+K17)*st_salaires_mult_campagne*(1-K12*flex_report),0)</f>
        <v>0</v>
      </c>
      <c r="L19" s="17" t="n">
        <f aca="false">IF(MOD(L$3,campagne_periode)=0,(K22+L17)*st_salaires_mult_campagne*(1-L12*flex_report),0)</f>
        <v>1442910.27499031</v>
      </c>
      <c r="M19" s="17" t="n">
        <f aca="false">IF(MOD(M$3,campagne_periode)=0,(L22+M17)*st_salaires_mult_campagne*(1-M12*flex_report),0)</f>
        <v>0</v>
      </c>
      <c r="N19" s="17" t="n">
        <f aca="false">IF(MOD(N$3,campagne_periode)=0,(M22+N17)*st_salaires_mult_campagne*(1-N12*flex_report),0)</f>
        <v>0</v>
      </c>
      <c r="O19" s="17" t="n">
        <f aca="false">IF(MOD(O$3,campagne_periode)=0,(N22+O17)*st_salaires_mult_campagne*(1-O12*flex_report),0)</f>
        <v>0</v>
      </c>
      <c r="P19" s="17" t="n">
        <f aca="false">IF(MOD(P$3,campagne_periode)=0,(O22+P17)*st_salaires_mult_campagne*(1-P12*flex_report),0)</f>
        <v>1486687.00493438</v>
      </c>
      <c r="Q19" s="17" t="n">
        <f aca="false">IF(MOD(Q$3,campagne_periode)=0,(P22+Q17)*st_salaires_mult_campagne*(1-Q12*flex_report),0)</f>
        <v>0</v>
      </c>
      <c r="R19" s="17" t="n">
        <f aca="false">IF(MOD(R$3,campagne_periode)=0,(Q22+R17)*st_salaires_mult_campagne*(1-R12*flex_report),0)</f>
        <v>0</v>
      </c>
      <c r="S19" s="17" t="n">
        <f aca="false">IF(MOD(S$3,campagne_periode)=0,(R22+S17)*st_salaires_mult_campagne*(1-S12*flex_report),0)</f>
        <v>0</v>
      </c>
      <c r="T19" s="17" t="n">
        <f aca="false">IF(MOD(T$3,campagne_periode)=0,(S22+T17)*st_salaires_mult_campagne*(1-T12*flex_report),0)</f>
        <v>1531791.88543486</v>
      </c>
      <c r="U19" s="17" t="n">
        <f aca="false">IF(MOD(U$3,campagne_periode)=0,(T22+U17)*st_salaires_mult_campagne*(1-U12*flex_report),0)</f>
        <v>0</v>
      </c>
      <c r="V19" s="17" t="n">
        <f aca="false">IF(MOD(V$3,campagne_periode)=0,(U22+V17)*st_salaires_mult_campagne*(1-V12*flex_report),0)</f>
        <v>0</v>
      </c>
      <c r="W19" s="17" t="n">
        <f aca="false">IF(MOD(W$3,campagne_periode)=0,(V22+W17)*st_salaires_mult_campagne*(1-W12*flex_report),0)</f>
        <v>0</v>
      </c>
      <c r="X19" s="17" t="n">
        <f aca="false">IF(MOD(X$3,campagne_periode)=0,(W22+X17)*st_salaires_mult_campagne*(1-X12*flex_report),0)</f>
        <v>1578265.21150474</v>
      </c>
    </row>
    <row r="20" customFormat="false" ht="15" hidden="false" customHeight="false" outlineLevel="0" collapsed="false">
      <c r="A20" s="2" t="s">
        <v>1852</v>
      </c>
      <c r="B20" s="2" t="s">
        <v>1853</v>
      </c>
      <c r="C20" s="2" t="s">
        <v>1839</v>
      </c>
      <c r="E20" s="17" t="n">
        <f aca="false">IF(E$3=st_salaires_choc_trav_an,st_salaires_choc_trav_montant,0)</f>
        <v>0</v>
      </c>
      <c r="F20" s="17" t="n">
        <f aca="false">IF(F$3=st_salaires_choc_trav_an,st_salaires_choc_trav_montant,0)</f>
        <v>0</v>
      </c>
      <c r="G20" s="17" t="n">
        <f aca="false">IF(G$3=st_salaires_choc_trav_an,st_salaires_choc_trav_montant,0)</f>
        <v>0</v>
      </c>
      <c r="H20" s="17" t="n">
        <f aca="false">IF(H$3=st_salaires_choc_trav_an,st_salaires_choc_trav_montant,0)</f>
        <v>0</v>
      </c>
      <c r="I20" s="17" t="n">
        <f aca="false">IF(I$3=st_salaires_choc_trav_an,st_salaires_choc_trav_montant,0)</f>
        <v>0</v>
      </c>
      <c r="J20" s="17" t="n">
        <f aca="false">IF(J$3=st_salaires_choc_trav_an,st_salaires_choc_trav_montant,0)</f>
        <v>0</v>
      </c>
      <c r="K20" s="17" t="n">
        <f aca="false">IF(K$3=st_salaires_choc_trav_an,st_salaires_choc_trav_montant,0)</f>
        <v>0</v>
      </c>
      <c r="L20" s="17" t="n">
        <f aca="false">IF(L$3=st_salaires_choc_trav_an,st_salaires_choc_trav_montant,0)</f>
        <v>0</v>
      </c>
      <c r="M20" s="17" t="n">
        <f aca="false">IF(M$3=st_salaires_choc_trav_an,st_salaires_choc_trav_montant,0)</f>
        <v>0</v>
      </c>
      <c r="N20" s="17" t="n">
        <f aca="false">IF(N$3=st_salaires_choc_trav_an,st_salaires_choc_trav_montant,0)</f>
        <v>0</v>
      </c>
      <c r="O20" s="17" t="n">
        <f aca="false">IF(O$3=st_salaires_choc_trav_an,st_salaires_choc_trav_montant,0)</f>
        <v>0</v>
      </c>
      <c r="P20" s="17" t="n">
        <f aca="false">IF(P$3=st_salaires_choc_trav_an,st_salaires_choc_trav_montant,0)</f>
        <v>0</v>
      </c>
      <c r="Q20" s="17" t="n">
        <f aca="false">IF(Q$3=st_salaires_choc_trav_an,st_salaires_choc_trav_montant,0)</f>
        <v>0</v>
      </c>
      <c r="R20" s="17" t="n">
        <f aca="false">IF(R$3=st_salaires_choc_trav_an,st_salaires_choc_trav_montant,0)</f>
        <v>0</v>
      </c>
      <c r="S20" s="17" t="n">
        <f aca="false">IF(S$3=st_salaires_choc_trav_an,st_salaires_choc_trav_montant,0)</f>
        <v>0</v>
      </c>
      <c r="T20" s="17" t="n">
        <f aca="false">IF(T$3=st_salaires_choc_trav_an,st_salaires_choc_trav_montant,0)</f>
        <v>0</v>
      </c>
      <c r="U20" s="17" t="n">
        <f aca="false">IF(U$3=st_salaires_choc_trav_an,st_salaires_choc_trav_montant,0)</f>
        <v>0</v>
      </c>
      <c r="V20" s="17" t="n">
        <f aca="false">IF(V$3=st_salaires_choc_trav_an,st_salaires_choc_trav_montant,0)</f>
        <v>0</v>
      </c>
      <c r="W20" s="17" t="n">
        <f aca="false">IF(W$3=st_salaires_choc_trav_an,st_salaires_choc_trav_montant,0)</f>
        <v>0</v>
      </c>
      <c r="X20" s="17" t="n">
        <f aca="false">IF(X$3=st_salaires_choc_trav_an,st_salaires_choc_trav_montant,0)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(S2_ech_log*mot_log_cn+S2_ech_stock*mot_stock_cn+S2_ech_pv*mot_pv_cn+S2_ech_bois*mot_bois_cn)*E24*E9*IF(E$3&gt;=st_salaires_debut_mult,st_salaires_mult_A,1)*IF(E11=1,1-0.05,IF(E11=2,1-0.02,1))</f>
        <v>21930.4</v>
      </c>
      <c r="F25" s="17" t="n">
        <f aca="false">(S2_ech_log*mot_log_cn+S2_ech_stock*mot_stock_cn+S2_ech_pv*mot_pv_cn+S2_ech_bois*mot_bois_cn)*F24*F9*IF(F$3&gt;=st_salaires_debut_mult,st_salaires_mult_A,1)*IF(F11=1,1-0.05,IF(F11=2,1-0.02,1))</f>
        <v>41119.5</v>
      </c>
      <c r="G25" s="17" t="n">
        <f aca="false">(S2_ech_log*mot_log_cn+S2_ech_stock*mot_stock_cn+S2_ech_pv*mot_pv_cn+S2_ech_bois*mot_bois_cn)*G24*G9*IF(G$3&gt;=st_salaires_debut_mult,st_salaires_mult_A,1)*IF(G11=1,1-0.05,IF(G11=2,1-0.02,1))</f>
        <v>54826</v>
      </c>
      <c r="H25" s="17" t="n">
        <f aca="false">(S2_ech_log*mot_log_cn+S2_ech_stock*mot_stock_cn+S2_ech_pv*mot_pv_cn+S2_ech_bois*mot_bois_cn)*H24*H9*IF(H$3&gt;=st_salaires_debut_mult,st_salaires_mult_A,1)*IF(H11=1,1-0.05,IF(H11=2,1-0.02,1))</f>
        <v>54826</v>
      </c>
      <c r="I25" s="17" t="n">
        <f aca="false">(S2_ech_log*mot_log_cn+S2_ech_stock*mot_stock_cn+S2_ech_pv*mot_pv_cn+S2_ech_bois*mot_bois_cn)*I24*I9*IF(I$3&gt;=st_salaires_debut_mult,st_salaires_mult_A,1)*IF(I11=1,1-0.05,IF(I11=2,1-0.02,1))</f>
        <v>54826</v>
      </c>
      <c r="J25" s="17" t="n">
        <f aca="false">(S2_ech_log*mot_log_cn+S2_ech_stock*mot_stock_cn+S2_ech_pv*mot_pv_cn+S2_ech_bois*mot_bois_cn)*J24*J9*IF(J$3&gt;=st_salaires_debut_mult,st_salaires_mult_A,1)*IF(J11=1,1-0.05,IF(J11=2,1-0.02,1))</f>
        <v>54826</v>
      </c>
      <c r="K25" s="17" t="n">
        <f aca="false">(S2_ech_log*mot_log_cn+S2_ech_stock*mot_stock_cn+S2_ech_pv*mot_pv_cn+S2_ech_bois*mot_bois_cn)*K24*K9*IF(K$3&gt;=st_salaires_debut_mult,st_salaires_mult_A,1)*IF(K11=1,1-0.05,IF(K11=2,1-0.02,1))</f>
        <v>54826</v>
      </c>
      <c r="L25" s="17" t="n">
        <f aca="false">(S2_ech_log*mot_log_cn+S2_ech_stock*mot_stock_cn+S2_ech_pv*mot_pv_cn+S2_ech_bois*mot_bois_cn)*L24*L9*IF(L$3&gt;=st_salaires_debut_mult,st_salaires_mult_A,1)*IF(L11=1,1-0.05,IF(L11=2,1-0.02,1))</f>
        <v>54826</v>
      </c>
      <c r="M25" s="17" t="n">
        <f aca="false">(S2_ech_log*mot_log_cn+S2_ech_stock*mot_stock_cn+S2_ech_pv*mot_pv_cn+S2_ech_bois*mot_bois_cn)*M24*M9*IF(M$3&gt;=st_salaires_debut_mult,st_salaires_mult_A,1)*IF(M11=1,1-0.05,IF(M11=2,1-0.02,1))</f>
        <v>54826</v>
      </c>
      <c r="N25" s="17" t="n">
        <f aca="false">(S2_ech_log*mot_log_cn+S2_ech_stock*mot_stock_cn+S2_ech_pv*mot_pv_cn+S2_ech_bois*mot_bois_cn)*N24*N9*IF(N$3&gt;=st_salaires_debut_mult,st_salaires_mult_A,1)*IF(N11=1,1-0.05,IF(N11=2,1-0.02,1))</f>
        <v>54826</v>
      </c>
      <c r="O25" s="17" t="n">
        <f aca="false">(S2_ech_log*mot_log_cn+S2_ech_stock*mot_stock_cn+S2_ech_pv*mot_pv_cn+S2_ech_bois*mot_bois_cn)*O24*O9*IF(O$3&gt;=st_salaires_debut_mult,st_salaires_mult_A,1)*IF(O11=1,1-0.05,IF(O11=2,1-0.02,1))</f>
        <v>54826</v>
      </c>
      <c r="P25" s="17" t="n">
        <f aca="false">(S2_ech_log*mot_log_cn+S2_ech_stock*mot_stock_cn+S2_ech_pv*mot_pv_cn+S2_ech_bois*mot_bois_cn)*P24*P9*IF(P$3&gt;=st_salaires_debut_mult,st_salaires_mult_A,1)*IF(P11=1,1-0.05,IF(P11=2,1-0.02,1))</f>
        <v>54826</v>
      </c>
      <c r="Q25" s="17" t="n">
        <f aca="false">(S2_ech_log*mot_log_cn+S2_ech_stock*mot_stock_cn+S2_ech_pv*mot_pv_cn+S2_ech_bois*mot_bois_cn)*Q24*Q9*IF(Q$3&gt;=st_salaires_debut_mult,st_salaires_mult_A,1)*IF(Q11=1,1-0.05,IF(Q11=2,1-0.02,1))</f>
        <v>54826</v>
      </c>
      <c r="R25" s="17" t="n">
        <f aca="false">(S2_ech_log*mot_log_cn+S2_ech_stock*mot_stock_cn+S2_ech_pv*mot_pv_cn+S2_ech_bois*mot_bois_cn)*R24*R9*IF(R$3&gt;=st_salaires_debut_mult,st_salaires_mult_A,1)*IF(R11=1,1-0.05,IF(R11=2,1-0.02,1))</f>
        <v>54826</v>
      </c>
      <c r="S25" s="17" t="n">
        <f aca="false">(S2_ech_log*mot_log_cn+S2_ech_stock*mot_stock_cn+S2_ech_pv*mot_pv_cn+S2_ech_bois*mot_bois_cn)*S24*S9*IF(S$3&gt;=st_salaires_debut_mult,st_salaires_mult_A,1)*IF(S11=1,1-0.05,IF(S11=2,1-0.02,1))</f>
        <v>54826</v>
      </c>
      <c r="T25" s="17" t="n">
        <f aca="false">(S2_ech_log*mot_log_cn+S2_ech_stock*mot_stock_cn+S2_ech_pv*mot_pv_cn+S2_ech_bois*mot_bois_cn)*T24*T9*IF(T$3&gt;=st_salaires_debut_mult,st_salaires_mult_A,1)*IF(T11=1,1-0.05,IF(T11=2,1-0.02,1))</f>
        <v>54826</v>
      </c>
      <c r="U25" s="17" t="n">
        <f aca="false">(S2_ech_log*mot_log_cn+S2_ech_stock*mot_stock_cn+S2_ech_pv*mot_pv_cn+S2_ech_bois*mot_bois_cn)*U24*U9*IF(U$3&gt;=st_salaires_debut_mult,st_salaires_mult_A,1)*IF(U11=1,1-0.05,IF(U11=2,1-0.02,1))</f>
        <v>54826</v>
      </c>
      <c r="V25" s="17" t="n">
        <f aca="false">(S2_ech_log*mot_log_cn+S2_ech_stock*mot_stock_cn+S2_ech_pv*mot_pv_cn+S2_ech_bois*mot_bois_cn)*V24*V9*IF(V$3&gt;=st_salaires_debut_mult,st_salaires_mult_A,1)*IF(V11=1,1-0.05,IF(V11=2,1-0.02,1))</f>
        <v>54826</v>
      </c>
      <c r="W25" s="17" t="n">
        <f aca="false">(S2_ech_log*mot_log_cn+S2_ech_stock*mot_stock_cn+S2_ech_pv*mot_pv_cn+S2_ech_bois*mot_bois_cn)*W24*W9*IF(W$3&gt;=st_salaires_debut_mult,st_salaires_mult_A,1)*IF(W11=1,1-0.05,IF(W11=2,1-0.02,1))</f>
        <v>54826</v>
      </c>
      <c r="X25" s="17" t="n">
        <f aca="false">(S2_ech_log*mot_log_cn+S2_ech_stock*mot_stock_cn+S2_ech_pv*mot_pv_cn+S2_ech_bois*mot_bois_cn)*X24*X9*IF(X$3&gt;=st_salaires_debut_mult,st_salaires_mult_A,1)*IF(X11=1,1-0.05,IF(X11=2,1-0.02,1))</f>
        <v>54826</v>
      </c>
    </row>
    <row r="26" customFormat="false" ht="15" hidden="false" customHeight="false" outlineLevel="0" collapsed="false">
      <c r="A26" s="2" t="s">
        <v>1864</v>
      </c>
      <c r="B26" s="2" t="s">
        <v>1865</v>
      </c>
      <c r="C26" s="2" t="s">
        <v>1839</v>
      </c>
      <c r="E26" s="17" t="n">
        <f aca="false">(S2_ech_eq_ret*mot_eq_ret_cn)*E24*E9*IF(E$3&gt;=st_salaires_debut_mult,st_salaires_mult_B,1)*IF(E11=1,1-0.15,IF(E11=2,1-0.05,1))</f>
        <v>4039.2</v>
      </c>
      <c r="F26" s="17" t="n">
        <f aca="false">(S2_ech_eq_ret*mot_eq_ret_cn)*F24*F9*IF(F$3&gt;=st_salaires_debut_mult,st_salaires_mult_B,1)*IF(F11=1,1-0.15,IF(F11=2,1-0.05,1))</f>
        <v>7573.5</v>
      </c>
      <c r="G26" s="17" t="n">
        <f aca="false">(S2_ech_eq_ret*mot_eq_ret_cn)*G24*G9*IF(G$3&gt;=st_salaires_debut_mult,st_salaires_mult_B,1)*IF(G11=1,1-0.15,IF(G11=2,1-0.05,1))</f>
        <v>10098</v>
      </c>
      <c r="H26" s="17" t="n">
        <f aca="false">(S2_ech_eq_ret*mot_eq_ret_cn)*H24*H9*IF(H$3&gt;=st_salaires_debut_mult,st_salaires_mult_B,1)*IF(H11=1,1-0.15,IF(H11=2,1-0.05,1))</f>
        <v>10098</v>
      </c>
      <c r="I26" s="17" t="n">
        <f aca="false">(S2_ech_eq_ret*mot_eq_ret_cn)*I24*I9*IF(I$3&gt;=st_salaires_debut_mult,st_salaires_mult_B,1)*IF(I11=1,1-0.15,IF(I11=2,1-0.05,1))</f>
        <v>10098</v>
      </c>
      <c r="J26" s="17" t="n">
        <f aca="false">(S2_ech_eq_ret*mot_eq_ret_cn)*J24*J9*IF(J$3&gt;=st_salaires_debut_mult,st_salaires_mult_B,1)*IF(J11=1,1-0.15,IF(J11=2,1-0.05,1))</f>
        <v>10098</v>
      </c>
      <c r="K26" s="17" t="n">
        <f aca="false">(S2_ech_eq_ret*mot_eq_ret_cn)*K24*K9*IF(K$3&gt;=st_salaires_debut_mult,st_salaires_mult_B,1)*IF(K11=1,1-0.15,IF(K11=2,1-0.05,1))</f>
        <v>10098</v>
      </c>
      <c r="L26" s="17" t="n">
        <f aca="false">(S2_ech_eq_ret*mot_eq_ret_cn)*L24*L9*IF(L$3&gt;=st_salaires_debut_mult,st_salaires_mult_B,1)*IF(L11=1,1-0.15,IF(L11=2,1-0.05,1))</f>
        <v>10098</v>
      </c>
      <c r="M26" s="17" t="n">
        <f aca="false">(S2_ech_eq_ret*mot_eq_ret_cn)*M24*M9*IF(M$3&gt;=st_salaires_debut_mult,st_salaires_mult_B,1)*IF(M11=1,1-0.15,IF(M11=2,1-0.05,1))</f>
        <v>10098</v>
      </c>
      <c r="N26" s="17" t="n">
        <f aca="false">(S2_ech_eq_ret*mot_eq_ret_cn)*N24*N9*IF(N$3&gt;=st_salaires_debut_mult,st_salaires_mult_B,1)*IF(N11=1,1-0.15,IF(N11=2,1-0.05,1))</f>
        <v>10098</v>
      </c>
      <c r="O26" s="17" t="n">
        <f aca="false">(S2_ech_eq_ret*mot_eq_ret_cn)*O24*O9*IF(O$3&gt;=st_salaires_debut_mult,st_salaires_mult_B,1)*IF(O11=1,1-0.15,IF(O11=2,1-0.05,1))</f>
        <v>10098</v>
      </c>
      <c r="P26" s="17" t="n">
        <f aca="false">(S2_ech_eq_ret*mot_eq_ret_cn)*P24*P9*IF(P$3&gt;=st_salaires_debut_mult,st_salaires_mult_B,1)*IF(P11=1,1-0.15,IF(P11=2,1-0.05,1))</f>
        <v>10098</v>
      </c>
      <c r="Q26" s="17" t="n">
        <f aca="false">(S2_ech_eq_ret*mot_eq_ret_cn)*Q24*Q9*IF(Q$3&gt;=st_salaires_debut_mult,st_salaires_mult_B,1)*IF(Q11=1,1-0.15,IF(Q11=2,1-0.05,1))</f>
        <v>10098</v>
      </c>
      <c r="R26" s="17" t="n">
        <f aca="false">(S2_ech_eq_ret*mot_eq_ret_cn)*R24*R9*IF(R$3&gt;=st_salaires_debut_mult,st_salaires_mult_B,1)*IF(R11=1,1-0.15,IF(R11=2,1-0.05,1))</f>
        <v>10098</v>
      </c>
      <c r="S26" s="17" t="n">
        <f aca="false">(S2_ech_eq_ret*mot_eq_ret_cn)*S24*S9*IF(S$3&gt;=st_salaires_debut_mult,st_salaires_mult_B,1)*IF(S11=1,1-0.15,IF(S11=2,1-0.05,1))</f>
        <v>10098</v>
      </c>
      <c r="T26" s="17" t="n">
        <f aca="false">(S2_ech_eq_ret*mot_eq_ret_cn)*T24*T9*IF(T$3&gt;=st_salaires_debut_mult,st_salaires_mult_B,1)*IF(T11=1,1-0.15,IF(T11=2,1-0.05,1))</f>
        <v>10098</v>
      </c>
      <c r="U26" s="17" t="n">
        <f aca="false">(S2_ech_eq_ret*mot_eq_ret_cn)*U24*U9*IF(U$3&gt;=st_salaires_debut_mult,st_salaires_mult_B,1)*IF(U11=1,1-0.15,IF(U11=2,1-0.05,1))</f>
        <v>10098</v>
      </c>
      <c r="V26" s="17" t="n">
        <f aca="false">(S2_ech_eq_ret*mot_eq_ret_cn)*V24*V9*IF(V$3&gt;=st_salaires_debut_mult,st_salaires_mult_B,1)*IF(V11=1,1-0.15,IF(V11=2,1-0.05,1))</f>
        <v>10098</v>
      </c>
      <c r="W26" s="17" t="n">
        <f aca="false">(S2_ech_eq_ret*mot_eq_ret_cn)*W24*W9*IF(W$3&gt;=st_salaires_debut_mult,st_salaires_mult_B,1)*IF(W11=1,1-0.15,IF(W11=2,1-0.05,1))</f>
        <v>10098</v>
      </c>
      <c r="X26" s="17" t="n">
        <f aca="false">(S2_ech_eq_ret*mot_eq_ret_cn)*X24*X9*IF(X$3&gt;=st_salaires_debut_mult,st_salaires_mult_B,1)*IF(X11=1,1-0.15,IF(X11=2,1-0.05,1))</f>
        <v>10098</v>
      </c>
    </row>
    <row r="27" customFormat="false" ht="15" hidden="false" customHeight="false" outlineLevel="0" collapsed="false">
      <c r="A27" s="2" t="s">
        <v>1866</v>
      </c>
      <c r="B27" s="2" t="s">
        <v>1867</v>
      </c>
      <c r="C27" s="2" t="s">
        <v>1839</v>
      </c>
      <c r="E27" s="17" t="n">
        <f aca="false">(S2_ech_tourn*mot_tourn_cn)*E24*E9*IF(E$3&gt;=st_salaires_debut_mult,st_salaires_mult_C,1)*IF(E11=1,1-0.8,IF(E11=2,1-0.3,1))</f>
        <v>2380</v>
      </c>
      <c r="F27" s="17" t="n">
        <f aca="false">(S2_ech_tourn*mot_tourn_cn)*F24*F9*IF(F$3&gt;=st_salaires_debut_mult,st_salaires_mult_C,1)*IF(F11=1,1-0.8,IF(F11=2,1-0.3,1))</f>
        <v>4462.5</v>
      </c>
      <c r="G27" s="17" t="n">
        <f aca="false">(S2_ech_tourn*mot_tourn_cn)*G24*G9*IF(G$3&gt;=st_salaires_debut_mult,st_salaires_mult_C,1)*IF(G11=1,1-0.8,IF(G11=2,1-0.3,1))</f>
        <v>5950</v>
      </c>
      <c r="H27" s="17" t="n">
        <f aca="false">(S2_ech_tourn*mot_tourn_cn)*H24*H9*IF(H$3&gt;=st_salaires_debut_mult,st_salaires_mult_C,1)*IF(H11=1,1-0.8,IF(H11=2,1-0.3,1))</f>
        <v>5950</v>
      </c>
      <c r="I27" s="17" t="n">
        <f aca="false">(S2_ech_tourn*mot_tourn_cn)*I24*I9*IF(I$3&gt;=st_salaires_debut_mult,st_salaires_mult_C,1)*IF(I11=1,1-0.8,IF(I11=2,1-0.3,1))</f>
        <v>5950</v>
      </c>
      <c r="J27" s="17" t="n">
        <f aca="false">(S2_ech_tourn*mot_tourn_cn)*J24*J9*IF(J$3&gt;=st_salaires_debut_mult,st_salaires_mult_C,1)*IF(J11=1,1-0.8,IF(J11=2,1-0.3,1))</f>
        <v>5950</v>
      </c>
      <c r="K27" s="17" t="n">
        <f aca="false">(S2_ech_tourn*mot_tourn_cn)*K24*K9*IF(K$3&gt;=st_salaires_debut_mult,st_salaires_mult_C,1)*IF(K11=1,1-0.8,IF(K11=2,1-0.3,1))</f>
        <v>5950</v>
      </c>
      <c r="L27" s="17" t="n">
        <f aca="false">(S2_ech_tourn*mot_tourn_cn)*L24*L9*IF(L$3&gt;=st_salaires_debut_mult,st_salaires_mult_C,1)*IF(L11=1,1-0.8,IF(L11=2,1-0.3,1))</f>
        <v>5950</v>
      </c>
      <c r="M27" s="17" t="n">
        <f aca="false">(S2_ech_tourn*mot_tourn_cn)*M24*M9*IF(M$3&gt;=st_salaires_debut_mult,st_salaires_mult_C,1)*IF(M11=1,1-0.8,IF(M11=2,1-0.3,1))</f>
        <v>5950</v>
      </c>
      <c r="N27" s="17" t="n">
        <f aca="false">(S2_ech_tourn*mot_tourn_cn)*N24*N9*IF(N$3&gt;=st_salaires_debut_mult,st_salaires_mult_C,1)*IF(N11=1,1-0.8,IF(N11=2,1-0.3,1))</f>
        <v>5950</v>
      </c>
      <c r="O27" s="17" t="n">
        <f aca="false">(S2_ech_tourn*mot_tourn_cn)*O24*O9*IF(O$3&gt;=st_salaires_debut_mult,st_salaires_mult_C,1)*IF(O11=1,1-0.8,IF(O11=2,1-0.3,1))</f>
        <v>5950</v>
      </c>
      <c r="P27" s="17" t="n">
        <f aca="false">(S2_ech_tourn*mot_tourn_cn)*P24*P9*IF(P$3&gt;=st_salaires_debut_mult,st_salaires_mult_C,1)*IF(P11=1,1-0.8,IF(P11=2,1-0.3,1))</f>
        <v>5950</v>
      </c>
      <c r="Q27" s="17" t="n">
        <f aca="false">(S2_ech_tourn*mot_tourn_cn)*Q24*Q9*IF(Q$3&gt;=st_salaires_debut_mult,st_salaires_mult_C,1)*IF(Q11=1,1-0.8,IF(Q11=2,1-0.3,1))</f>
        <v>5950</v>
      </c>
      <c r="R27" s="17" t="n">
        <f aca="false">(S2_ech_tourn*mot_tourn_cn)*R24*R9*IF(R$3&gt;=st_salaires_debut_mult,st_salaires_mult_C,1)*IF(R11=1,1-0.8,IF(R11=2,1-0.3,1))</f>
        <v>5950</v>
      </c>
      <c r="S27" s="17" t="n">
        <f aca="false">(S2_ech_tourn*mot_tourn_cn)*S24*S9*IF(S$3&gt;=st_salaires_debut_mult,st_salaires_mult_C,1)*IF(S11=1,1-0.8,IF(S11=2,1-0.3,1))</f>
        <v>5950</v>
      </c>
      <c r="T27" s="17" t="n">
        <f aca="false">(S2_ech_tourn*mot_tourn_cn)*T24*T9*IF(T$3&gt;=st_salaires_debut_mult,st_salaires_mult_C,1)*IF(T11=1,1-0.8,IF(T11=2,1-0.3,1))</f>
        <v>5950</v>
      </c>
      <c r="U27" s="17" t="n">
        <f aca="false">(S2_ech_tourn*mot_tourn_cn)*U24*U9*IF(U$3&gt;=st_salaires_debut_mult,st_salaires_mult_C,1)*IF(U11=1,1-0.8,IF(U11=2,1-0.3,1))</f>
        <v>5950</v>
      </c>
      <c r="V27" s="17" t="n">
        <f aca="false">(S2_ech_tourn*mot_tourn_cn)*V24*V9*IF(V$3&gt;=st_salaires_debut_mult,st_salaires_mult_C,1)*IF(V11=1,1-0.8,IF(V11=2,1-0.3,1))</f>
        <v>5950</v>
      </c>
      <c r="W27" s="17" t="n">
        <f aca="false">(S2_ech_tourn*mot_tourn_cn)*W24*W9*IF(W$3&gt;=st_salaires_debut_mult,st_salaires_mult_C,1)*IF(W11=1,1-0.8,IF(W11=2,1-0.3,1))</f>
        <v>5950</v>
      </c>
      <c r="X27" s="17" t="n">
        <f aca="false">(S2_ech_tourn*mot_tourn_cn)*X24*X9*IF(X$3&gt;=st_salaires_debut_mult,st_salaires_mult_C,1)*IF(X11=1,1-0.8,IF(X11=2,1-0.3,1))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1266620.9403125</v>
      </c>
      <c r="F35" s="17" t="n">
        <f aca="false">F13+F14+F15+F16+F17+F21+F32-F29-F23-F33-F34</f>
        <v>1262392.61615234</v>
      </c>
      <c r="G35" s="17" t="n">
        <f aca="false">G13+G14+G15+G16+G17+G21+G32-G29-G23-G33-G34</f>
        <v>1262565.34111934</v>
      </c>
      <c r="H35" s="17" t="n">
        <f aca="false">H13+H14+H15+H16+H17+H21+H32-H29-H23-H33-H34</f>
        <v>1273520.01892518</v>
      </c>
      <c r="I35" s="17" t="n">
        <f aca="false">I13+I14+I15+I16+I17+I21+I32-I29-I23-I33-I34</f>
        <v>1284627.82897184</v>
      </c>
      <c r="J35" s="17" t="n">
        <f aca="false">J13+J14+J15+J16+J17+J21+J32-J29-J23-J33-J34</f>
        <v>1295891.08693983</v>
      </c>
      <c r="K35" s="17" t="n">
        <f aca="false">K13+K14+K15+K16+K17+K21+K32-K29-K23-K33-K34</f>
        <v>1307312.14538631</v>
      </c>
      <c r="L35" s="17" t="n">
        <f aca="false">L13+L14+L15+L16+L17+L21+L32-L29-L23-L33-L34</f>
        <v>1318893.39435345</v>
      </c>
      <c r="M35" s="17" t="n">
        <f aca="false">M13+M14+M15+M16+M17+M21+M32-M29-M23-M33-M34</f>
        <v>1330637.26198697</v>
      </c>
      <c r="N35" s="17" t="n">
        <f aca="false">N13+N14+N15+N16+N17+N21+N32-N29-N23-N33-N34</f>
        <v>1342546.21516526</v>
      </c>
      <c r="O35" s="17" t="n">
        <f aca="false">O13+O14+O15+O16+O17+O21+O32-O29-O23-O33-O34</f>
        <v>1354622.76013908</v>
      </c>
      <c r="P35" s="17" t="n">
        <f aca="false">P13+P14+P15+P16+P17+P21+P32-P29-P23-P33-P34</f>
        <v>1366869.44318219</v>
      </c>
      <c r="Q35" s="17" t="n">
        <f aca="false">Q13+Q14+Q15+Q16+Q17+Q21+Q32-Q29-Q23-Q33-Q34</f>
        <v>1379288.85125294</v>
      </c>
      <c r="R35" s="17" t="n">
        <f aca="false">R13+R14+R15+R16+R17+R21+R32-R29-R23-R33-R34</f>
        <v>1391883.6126671</v>
      </c>
      <c r="S35" s="17" t="n">
        <f aca="false">S13+S14+S15+S16+S17+S21+S32-S29-S23-S33-S34</f>
        <v>1404656.39778221</v>
      </c>
      <c r="T35" s="17" t="n">
        <f aca="false">T13+T14+T15+T16+T17+T21+T32-T29-T23-T33-T34</f>
        <v>1417609.91969336</v>
      </c>
      <c r="U35" s="17" t="n">
        <f aca="false">U13+U14+U15+U16+U17+U21+U32-U29-U23-U33-U34</f>
        <v>1430746.93494098</v>
      </c>
      <c r="V35" s="17" t="n">
        <f aca="false">V13+V14+V15+V16+V17+V21+V32-V29-V23-V33-V34</f>
        <v>1444070.24423052</v>
      </c>
      <c r="W35" s="17" t="n">
        <f aca="false">W13+W14+W15+W16+W17+W21+W32-W29-W23-W33-W34</f>
        <v>1457582.69316445</v>
      </c>
      <c r="X35" s="17" t="n">
        <f aca="false">X13+X14+X15+X16+X17+X21+X32-X29-X23-X33-X34</f>
        <v>1471287.17298665</v>
      </c>
    </row>
    <row r="36" customFormat="false" ht="15" hidden="false" customHeight="false" outlineLevel="0" collapsed="false">
      <c r="A36" s="2" t="s">
        <v>1884</v>
      </c>
      <c r="B36" s="2" t="s">
        <v>1885</v>
      </c>
      <c r="C36" s="2" t="s">
        <v>1839</v>
      </c>
      <c r="E36" s="17" t="n">
        <f aca="false">IF(AND(E$3&lt;=S2_sol_div_annees,E$3&lt;=st_salaires_div_fin),S2_sol_div*IF(E11=1,0.5,1),0)</f>
        <v>1000000</v>
      </c>
      <c r="F36" s="17" t="n">
        <f aca="false">IF(AND(F$3&lt;=S2_sol_div_annees,F$3&lt;=st_salaires_div_fin),S2_sol_div*IF(F11=1,0.5,1),0)</f>
        <v>1000000</v>
      </c>
      <c r="G36" s="17" t="n">
        <f aca="false">IF(AND(G$3&lt;=S2_sol_div_annees,G$3&lt;=st_salaires_div_fin),S2_sol_div*IF(G11=1,0.5,1),0)</f>
        <v>1000000</v>
      </c>
      <c r="H36" s="17" t="n">
        <f aca="false">IF(AND(H$3&lt;=S2_sol_div_annees,H$3&lt;=st_salaires_div_fin),S2_sol_div*IF(H11=1,0.5,1),0)</f>
        <v>1000000</v>
      </c>
      <c r="I36" s="17" t="n">
        <f aca="false">IF(AND(I$3&lt;=S2_sol_div_annees,I$3&lt;=st_salaires_div_fin),S2_sol_div*IF(I11=1,0.5,1),0)</f>
        <v>1000000</v>
      </c>
      <c r="J36" s="17" t="n">
        <f aca="false">IF(AND(J$3&lt;=S2_sol_div_annees,J$3&lt;=st_salaires_div_fin),S2_sol_div*IF(J11=1,0.5,1),0)</f>
        <v>1000000</v>
      </c>
      <c r="K36" s="17" t="n">
        <f aca="false">IF(AND(K$3&lt;=S2_sol_div_annees,K$3&lt;=st_salaires_div_fin),S2_sol_div*IF(K11=1,0.5,1),0)</f>
        <v>1000000</v>
      </c>
      <c r="L36" s="17" t="n">
        <f aca="false">IF(AND(L$3&lt;=S2_sol_div_annees,L$3&lt;=st_salaires_div_fin),S2_sol_div*IF(L11=1,0.5,1),0)</f>
        <v>1000000</v>
      </c>
      <c r="M36" s="17" t="n">
        <f aca="false">IF(AND(M$3&lt;=S2_sol_div_annees,M$3&lt;=st_salaires_div_fin),S2_sol_div*IF(M11=1,0.5,1),0)</f>
        <v>1000000</v>
      </c>
      <c r="N36" s="17" t="n">
        <f aca="false">IF(AND(N$3&lt;=S2_sol_div_annees,N$3&lt;=st_salaires_div_fin),S2_sol_div*IF(N11=1,0.5,1),0)</f>
        <v>1000000</v>
      </c>
      <c r="O36" s="17" t="n">
        <f aca="false">IF(AND(O$3&lt;=S2_sol_div_annees,O$3&lt;=st_salaires_div_fin),S2_sol_div*IF(O11=1,0.5,1),0)</f>
        <v>0</v>
      </c>
      <c r="P36" s="17" t="n">
        <f aca="false">IF(AND(P$3&lt;=S2_sol_div_annees,P$3&lt;=st_salaires_div_fin),S2_sol_div*IF(P11=1,0.5,1),0)</f>
        <v>0</v>
      </c>
      <c r="Q36" s="17" t="n">
        <f aca="false">IF(AND(Q$3&lt;=S2_sol_div_annees,Q$3&lt;=st_salaires_div_fin),S2_sol_div*IF(Q11=1,0.5,1),0)</f>
        <v>0</v>
      </c>
      <c r="R36" s="17" t="n">
        <f aca="false">IF(AND(R$3&lt;=S2_sol_div_annees,R$3&lt;=st_salaires_div_fin),S2_sol_div*IF(R11=1,0.5,1),0)</f>
        <v>0</v>
      </c>
      <c r="S36" s="17" t="n">
        <f aca="false">IF(AND(S$3&lt;=S2_sol_div_annees,S$3&lt;=st_salaires_div_fin),S2_sol_div*IF(S11=1,0.5,1),0)</f>
        <v>0</v>
      </c>
      <c r="T36" s="17" t="n">
        <f aca="false">IF(AND(T$3&lt;=S2_sol_div_annees,T$3&lt;=st_salaires_div_fin),S2_sol_div*IF(T11=1,0.5,1),0)</f>
        <v>0</v>
      </c>
      <c r="U36" s="17" t="n">
        <f aca="false">IF(AND(U$3&lt;=S2_sol_div_annees,U$3&lt;=st_salaires_div_fin),S2_sol_div*IF(U11=1,0.5,1),0)</f>
        <v>0</v>
      </c>
      <c r="V36" s="17" t="n">
        <f aca="false">IF(AND(V$3&lt;=S2_sol_div_annees,V$3&lt;=st_salaires_div_fin),S2_sol_div*IF(V11=1,0.5,1),0)</f>
        <v>0</v>
      </c>
      <c r="W36" s="17" t="n">
        <f aca="false">IF(AND(W$3&lt;=S2_sol_div_annees,W$3&lt;=st_salaires_div_fin),S2_sol_div*IF(W11=1,0.5,1),0)</f>
        <v>0</v>
      </c>
      <c r="X36" s="17" t="n">
        <f aca="false">IF(AND(X$3&lt;=S2_sol_div_annees,X$3&lt;=st_salaires_div_fin),S2_sol_div*IF(X11=1,0.5,1),0)</f>
        <v>0</v>
      </c>
    </row>
    <row r="37" customFormat="false" ht="15" hidden="false" customHeight="false" outlineLevel="0" collapsed="false">
      <c r="A37" s="2" t="s">
        <v>1886</v>
      </c>
      <c r="B37" s="2" t="s">
        <v>1887</v>
      </c>
      <c r="C37" s="2" t="s">
        <v>46</v>
      </c>
      <c r="E37" s="20" t="n">
        <f aca="false">dot_rendement+st_salaires_dot_rdt_delta+IF(E11=1,-0.25,0)</f>
        <v>0.02</v>
      </c>
      <c r="F37" s="20" t="n">
        <f aca="false">dot_rendement+st_salaires_dot_rdt_delta+IF(F11=1,-0.25,0)</f>
        <v>0.02</v>
      </c>
      <c r="G37" s="20" t="n">
        <f aca="false">dot_rendement+st_salaires_dot_rdt_delta+IF(G11=1,-0.25,0)</f>
        <v>0.02</v>
      </c>
      <c r="H37" s="20" t="n">
        <f aca="false">dot_rendement+st_salaires_dot_rdt_delta+IF(H11=1,-0.25,0)</f>
        <v>0.02</v>
      </c>
      <c r="I37" s="20" t="n">
        <f aca="false">dot_rendement+st_salaires_dot_rdt_delta+IF(I11=1,-0.25,0)</f>
        <v>0.02</v>
      </c>
      <c r="J37" s="20" t="n">
        <f aca="false">dot_rendement+st_salaires_dot_rdt_delta+IF(J11=1,-0.25,0)</f>
        <v>0.02</v>
      </c>
      <c r="K37" s="20" t="n">
        <f aca="false">dot_rendement+st_salaires_dot_rdt_delta+IF(K11=1,-0.25,0)</f>
        <v>0.02</v>
      </c>
      <c r="L37" s="20" t="n">
        <f aca="false">dot_rendement+st_salaires_dot_rdt_delta+IF(L11=1,-0.25,0)</f>
        <v>0.02</v>
      </c>
      <c r="M37" s="20" t="n">
        <f aca="false">dot_rendement+st_salaires_dot_rdt_delta+IF(M11=1,-0.25,0)</f>
        <v>0.02</v>
      </c>
      <c r="N37" s="20" t="n">
        <f aca="false">dot_rendement+st_salaires_dot_rdt_delta+IF(N11=1,-0.25,0)</f>
        <v>0.02</v>
      </c>
      <c r="O37" s="20" t="n">
        <f aca="false">dot_rendement+st_salaires_dot_rdt_delta+IF(O11=1,-0.25,0)</f>
        <v>0.02</v>
      </c>
      <c r="P37" s="20" t="n">
        <f aca="false">dot_rendement+st_salaires_dot_rdt_delta+IF(P11=1,-0.25,0)</f>
        <v>0.02</v>
      </c>
      <c r="Q37" s="20" t="n">
        <f aca="false">dot_rendement+st_salaires_dot_rdt_delta+IF(Q11=1,-0.25,0)</f>
        <v>0.02</v>
      </c>
      <c r="R37" s="20" t="n">
        <f aca="false">dot_rendement+st_salaires_dot_rdt_delta+IF(R11=1,-0.25,0)</f>
        <v>0.02</v>
      </c>
      <c r="S37" s="20" t="n">
        <f aca="false">dot_rendement+st_salaires_dot_rdt_delta+IF(S11=1,-0.25,0)</f>
        <v>0.02</v>
      </c>
      <c r="T37" s="20" t="n">
        <f aca="false">dot_rendement+st_salaires_dot_rdt_delta+IF(T11=1,-0.25,0)</f>
        <v>0.02</v>
      </c>
      <c r="U37" s="20" t="n">
        <f aca="false">dot_rendement+st_salaires_dot_rdt_delta+IF(U11=1,-0.25,0)</f>
        <v>0.02</v>
      </c>
      <c r="V37" s="20" t="n">
        <f aca="false">dot_rendement+st_salaires_dot_rdt_delta+IF(V11=1,-0.25,0)</f>
        <v>0.02</v>
      </c>
      <c r="W37" s="20" t="n">
        <f aca="false">dot_rendement+st_salaires_dot_rdt_delta+IF(W11=1,-0.25,0)</f>
        <v>0.02</v>
      </c>
      <c r="X37" s="20" t="n">
        <f aca="false">dot_rendement+st_salaires_dot_rdt_delta+IF(X11=1,-0.25,0)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2103590.57670891</v>
      </c>
      <c r="G38" s="17" t="n">
        <f aca="false">lissage_depense*F38+(1-lissage_depense)*dot_taux_net*MAX(0,F44)</f>
        <v>2113946.89002677</v>
      </c>
      <c r="H38" s="17" t="n">
        <f aca="false">lissage_depense*G38+(1-lissage_depense)*dot_taux_net*MAX(0,G44)</f>
        <v>2129864.0447413</v>
      </c>
      <c r="I38" s="17" t="n">
        <f aca="false">lissage_depense*H38+(1-lissage_depense)*dot_taux_net*MAX(0,H44)</f>
        <v>2150343.3407637</v>
      </c>
      <c r="J38" s="17" t="n">
        <f aca="false">lissage_depense*I38+(1-lissage_depense)*dot_taux_net*MAX(0,I44)</f>
        <v>2174587.53910734</v>
      </c>
      <c r="K38" s="17" t="n">
        <f aca="false">lissage_depense*J38+(1-lissage_depense)*dot_taux_net*MAX(0,J44)</f>
        <v>2201960.5957907</v>
      </c>
      <c r="L38" s="17" t="n">
        <f aca="false">lissage_depense*K38+(1-lissage_depense)*dot_taux_net*MAX(0,K44)</f>
        <v>2231955.44934994</v>
      </c>
      <c r="M38" s="17" t="n">
        <f aca="false">lissage_depense*L38+(1-lissage_depense)*dot_taux_net*MAX(0,L44)</f>
        <v>2264168.25124485</v>
      </c>
      <c r="N38" s="17" t="n">
        <f aca="false">lissage_depense*M38+(1-lissage_depense)*dot_taux_net*MAX(0,M44)</f>
        <v>2298277.75058513</v>
      </c>
      <c r="O38" s="17" t="n">
        <f aca="false">lissage_depense*N38+(1-lissage_depense)*dot_taux_net*MAX(0,N44)</f>
        <v>2334028.80231876</v>
      </c>
      <c r="P38" s="17" t="n">
        <f aca="false">lissage_depense*O38+(1-lissage_depense)*dot_taux_net*MAX(0,O44)</f>
        <v>2367719.1741959</v>
      </c>
      <c r="Q38" s="17" t="n">
        <f aca="false">lissage_depense*P38+(1-lissage_depense)*dot_taux_net*MAX(0,P44)</f>
        <v>2399818.99275909</v>
      </c>
      <c r="R38" s="17" t="n">
        <f aca="false">lissage_depense*Q38+(1-lissage_depense)*dot_taux_net*MAX(0,Q44)</f>
        <v>2430704.90056058</v>
      </c>
      <c r="S38" s="17" t="n">
        <f aca="false">lissage_depense*R38+(1-lissage_depense)*dot_taux_net*MAX(0,R44)</f>
        <v>2460678.75436732</v>
      </c>
      <c r="T38" s="17" t="n">
        <f aca="false">lissage_depense*S38+(1-lissage_depense)*dot_taux_net*MAX(0,S44)</f>
        <v>2489982.58360243</v>
      </c>
      <c r="U38" s="17" t="n">
        <f aca="false">lissage_depense*T38+(1-lissage_depense)*dot_taux_net*MAX(0,T44)</f>
        <v>2518810.55697077</v>
      </c>
      <c r="V38" s="17" t="n">
        <f aca="false">lissage_depense*U38+(1-lissage_depense)*dot_taux_net*MAX(0,U44)</f>
        <v>2547318.55562668</v>
      </c>
      <c r="W38" s="17" t="n">
        <f aca="false">lissage_depense*V38+(1-lissage_depense)*dot_taux_net*MAX(0,V44)</f>
        <v>2575631.83157038</v>
      </c>
      <c r="X38" s="17" t="n">
        <f aca="false">lissage_depense*W38+(1-lissage_depense)*dot_taux_net*MAX(0,W44)</f>
        <v>2603851.13422173</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1512381.55054475</v>
      </c>
      <c r="G39" s="23" t="n">
        <f aca="false">S2_sol_reserve0*MAX(F18,bud_total_besoin_S2)/bud_total_besoin_S2</f>
        <v>1524935.59108719</v>
      </c>
      <c r="H39" s="23" t="n">
        <f aca="false">S2_sol_reserve0*MAX(G18,bud_total_besoin_S2)/bud_total_besoin_S2</f>
        <v>1537664.72381316</v>
      </c>
      <c r="I39" s="23" t="n">
        <f aca="false">S2_sol_reserve0*MAX(H18,bud_total_besoin_S2)/bud_total_besoin_S2</f>
        <v>1550571.59227749</v>
      </c>
      <c r="J39" s="23" t="n">
        <f aca="false">S2_sol_reserve0*MAX(I18,bud_total_besoin_S2)/bud_total_besoin_S2</f>
        <v>1563658.88208556</v>
      </c>
      <c r="K39" s="23" t="n">
        <f aca="false">S2_sol_reserve0*MAX(J18,bud_total_besoin_S2)/bud_total_besoin_S2</f>
        <v>1576929.32158631</v>
      </c>
      <c r="L39" s="23" t="n">
        <f aca="false">S2_sol_reserve0*MAX(K18,bud_total_besoin_S2)/bud_total_besoin_S2</f>
        <v>1590385.68257702</v>
      </c>
      <c r="M39" s="23" t="n">
        <f aca="false">S2_sol_reserve0*MAX(L18,bud_total_besoin_S2)/bud_total_besoin_S2</f>
        <v>1604030.78101997</v>
      </c>
      <c r="N39" s="23" t="n">
        <f aca="false">S2_sol_reserve0*MAX(M18,bud_total_besoin_S2)/bud_total_besoin_S2</f>
        <v>1617867.47777135</v>
      </c>
      <c r="O39" s="23" t="n">
        <f aca="false">S2_sol_reserve0*MAX(N18,bud_total_besoin_S2)/bud_total_besoin_S2</f>
        <v>1631898.67932236</v>
      </c>
      <c r="P39" s="23" t="n">
        <f aca="false">S2_sol_reserve0*MAX(O18,bud_total_besoin_S2)/bud_total_besoin_S2</f>
        <v>1646127.338553</v>
      </c>
      <c r="Q39" s="23" t="n">
        <f aca="false">S2_sol_reserve0*MAX(P18,bud_total_besoin_S2)/bud_total_besoin_S2</f>
        <v>1660556.4554986</v>
      </c>
      <c r="R39" s="23" t="n">
        <f aca="false">S2_sol_reserve0*MAX(Q18,bud_total_besoin_S2)/bud_total_besoin_S2</f>
        <v>1675189.07812931</v>
      </c>
      <c r="S39" s="23" t="n">
        <f aca="false">S2_sol_reserve0*MAX(R18,bud_total_besoin_S2)/bud_total_besoin_S2</f>
        <v>1690028.30314291</v>
      </c>
      <c r="T39" s="23" t="n">
        <f aca="false">S2_sol_reserve0*MAX(S18,bud_total_besoin_S2)/bud_total_besoin_S2</f>
        <v>1705077.27677096</v>
      </c>
      <c r="U39" s="23" t="n">
        <f aca="false">S2_sol_reserve0*MAX(T18,bud_total_besoin_S2)/bud_total_besoin_S2</f>
        <v>1720339.19559873</v>
      </c>
      <c r="V39" s="23" t="n">
        <f aca="false">S2_sol_reserve0*MAX(U18,bud_total_besoin_S2)/bud_total_besoin_S2</f>
        <v>1735817.30739903</v>
      </c>
      <c r="W39" s="23" t="n">
        <f aca="false">S2_sol_reserve0*MAX(V18,bud_total_besoin_S2)/bud_total_besoin_S2</f>
        <v>1751514.91198015</v>
      </c>
      <c r="X39" s="23" t="n">
        <f aca="false">S2_sol_reserve0*MAX(W18,bud_total_besoin_S2)/bud_total_besoin_S2</f>
        <v>1767435.36204837</v>
      </c>
    </row>
    <row r="40" customFormat="false" ht="15" hidden="false" customHeight="false" outlineLevel="0" collapsed="false">
      <c r="A40" s="2" t="s">
        <v>1892</v>
      </c>
      <c r="B40" s="2" t="s">
        <v>1893</v>
      </c>
      <c r="C40" s="2" t="s">
        <v>1839</v>
      </c>
      <c r="E40" s="17" t="n">
        <f aca="false">MAX(0,E39-D45*(1+taux_reserve))</f>
        <v>7500</v>
      </c>
      <c r="F40" s="17" t="n">
        <f aca="false">MAX(0,F39-E45*(1+taux_reserve))</f>
        <v>19881.5505447462</v>
      </c>
      <c r="G40" s="17" t="n">
        <f aca="false">MAX(0,G39-F45*(1+taux_reserve))</f>
        <v>20115.94829517</v>
      </c>
      <c r="H40" s="17" t="n">
        <f aca="false">MAX(0,H39-G45*(1+taux_reserve))</f>
        <v>20353.8106814027</v>
      </c>
      <c r="I40" s="17" t="n">
        <f aca="false">MAX(0,I39-H45*(1+taux_reserve))</f>
        <v>20595.1920833976</v>
      </c>
      <c r="J40" s="17" t="n">
        <f aca="false">MAX(0,J39-I45*(1+taux_reserve))</f>
        <v>20840.1477694584</v>
      </c>
      <c r="K40" s="17" t="n">
        <f aca="false">MAX(0,K39-J45*(1+taux_reserve))</f>
        <v>21088.7339111785</v>
      </c>
      <c r="L40" s="17" t="n">
        <f aca="false">MAX(0,L39-K45*(1+taux_reserve))</f>
        <v>21341.0075986353</v>
      </c>
      <c r="M40" s="17" t="n">
        <f aca="false">MAX(0,M39-L45*(1+taux_reserve))</f>
        <v>21597.0268558429</v>
      </c>
      <c r="N40" s="17" t="n">
        <f aca="false">MAX(0,N39-M45*(1+taux_reserve))</f>
        <v>21856.8506564763</v>
      </c>
      <c r="O40" s="17" t="n">
        <f aca="false">MAX(0,O39-N45*(1+taux_reserve))</f>
        <v>22120.5389398632</v>
      </c>
      <c r="P40" s="17" t="n">
        <f aca="false">MAX(0,P39-O45*(1+taux_reserve))</f>
        <v>22388.152627253</v>
      </c>
      <c r="Q40" s="17" t="n">
        <f aca="false">MAX(0,Q39-P45*(1+taux_reserve))</f>
        <v>22659.7536383618</v>
      </c>
      <c r="R40" s="17" t="n">
        <f aca="false">MAX(0,R39-Q45*(1+taux_reserve))</f>
        <v>22935.4049082105</v>
      </c>
      <c r="S40" s="17" t="n">
        <f aca="false">MAX(0,S39-R45*(1+taux_reserve))</f>
        <v>23215.1704042472</v>
      </c>
      <c r="T40" s="17" t="n">
        <f aca="false">MAX(0,T39-S45*(1+taux_reserve))</f>
        <v>23499.115143765</v>
      </c>
      <c r="U40" s="17" t="n">
        <f aca="false">MAX(0,U39-T45*(1+taux_reserve))</f>
        <v>23787.305211626</v>
      </c>
      <c r="V40" s="17" t="n">
        <f aca="false">MAX(0,V39-U45*(1+taux_reserve))</f>
        <v>24079.8077782844</v>
      </c>
      <c r="W40" s="17" t="n">
        <f aca="false">MAX(0,W39-V45*(1+taux_reserve))</f>
        <v>24376.6911181237</v>
      </c>
      <c r="X40" s="17" t="n">
        <f aca="false">MAX(0,X39-W45*(1+taux_reserve))</f>
        <v>24678.0246281135</v>
      </c>
    </row>
    <row r="41" customFormat="false" ht="15" hidden="false" customHeight="false" outlineLevel="0" collapsed="false">
      <c r="A41" s="2" t="s">
        <v>1894</v>
      </c>
      <c r="B41" s="2" t="s">
        <v>1895</v>
      </c>
      <c r="C41" s="2" t="s">
        <v>1839</v>
      </c>
      <c r="E41" s="17" t="n">
        <f aca="false">MIN(MAX(0,E35-E36+E40),IF(E12=1,MAX(E38,retrait_urgence*MAX(0,D44)),E38))</f>
        <v>274120.9403125</v>
      </c>
      <c r="F41" s="17" t="n">
        <f aca="false">MIN(MAX(0,F35-F36+F40),IF(F12=1,MAX(F38,retrait_urgence*MAX(0,E44)),F38))</f>
        <v>282274.16669709</v>
      </c>
      <c r="G41" s="17" t="n">
        <f aca="false">MIN(MAX(0,G35-G36+G40),IF(G12=1,MAX(G38,retrait_urgence*MAX(0,F44)),G38))</f>
        <v>282681.289414512</v>
      </c>
      <c r="H41" s="17" t="n">
        <f aca="false">MIN(MAX(0,H35-H36+H40),IF(H12=1,MAX(H38,retrait_urgence*MAX(0,G44)),H38))</f>
        <v>293873.829606583</v>
      </c>
      <c r="I41" s="17" t="n">
        <f aca="false">MIN(MAX(0,I35-I36+I40),IF(I12=1,MAX(I38,retrait_urgence*MAX(0,H44)),I38))</f>
        <v>305223.02105524</v>
      </c>
      <c r="J41" s="17" t="n">
        <f aca="false">MIN(MAX(0,J35-J36+J40),IF(J12=1,MAX(J38,retrait_urgence*MAX(0,I44)),J38))</f>
        <v>316731.234709284</v>
      </c>
      <c r="K41" s="17" t="n">
        <f aca="false">MIN(MAX(0,K35-K36+K40),IF(K12=1,MAX(K38,retrait_urgence*MAX(0,J44)),K38))</f>
        <v>328400.879297487</v>
      </c>
      <c r="L41" s="17" t="n">
        <f aca="false">MIN(MAX(0,L35-L36+L40),IF(L12=1,MAX(L38,retrait_urgence*MAX(0,K44)),L38))</f>
        <v>340234.401952083</v>
      </c>
      <c r="M41" s="17" t="n">
        <f aca="false">MIN(MAX(0,M35-M36+M40),IF(M12=1,MAX(M38,retrait_urgence*MAX(0,L44)),M38))</f>
        <v>352234.288842815</v>
      </c>
      <c r="N41" s="17" t="n">
        <f aca="false">MIN(MAX(0,N35-N36+N40),IF(N12=1,MAX(N38,retrait_urgence*MAX(0,M44)),N38))</f>
        <v>364403.065821736</v>
      </c>
      <c r="O41" s="17" t="n">
        <f aca="false">MIN(MAX(0,O35-O36+O40),IF(O12=1,MAX(O38,retrait_urgence*MAX(0,N44)),O38))</f>
        <v>1376743.29907895</v>
      </c>
      <c r="P41" s="17" t="n">
        <f aca="false">MIN(MAX(0,P35-P36+P40),IF(P12=1,MAX(P38,retrait_urgence*MAX(0,O44)),P38))</f>
        <v>1389257.59580945</v>
      </c>
      <c r="Q41" s="17" t="n">
        <f aca="false">MIN(MAX(0,Q35-Q36+Q40),IF(Q12=1,MAX(Q38,retrait_urgence*MAX(0,P44)),Q38))</f>
        <v>1401948.6048913</v>
      </c>
      <c r="R41" s="17" t="n">
        <f aca="false">MIN(MAX(0,R35-R36+R40),IF(R12=1,MAX(R38,retrait_urgence*MAX(0,Q44)),R38))</f>
        <v>1414819.01757532</v>
      </c>
      <c r="S41" s="17" t="n">
        <f aca="false">MIN(MAX(0,S35-S36+S40),IF(S12=1,MAX(S38,retrait_urgence*MAX(0,R44)),S38))</f>
        <v>1427871.56818646</v>
      </c>
      <c r="T41" s="17" t="n">
        <f aca="false">MIN(MAX(0,T35-T36+T40),IF(T12=1,MAX(T38,retrait_urgence*MAX(0,S44)),T38))</f>
        <v>1441109.03483713</v>
      </c>
      <c r="U41" s="17" t="n">
        <f aca="false">MIN(MAX(0,U35-U36+U40),IF(U12=1,MAX(U38,retrait_urgence*MAX(0,T44)),U38))</f>
        <v>1454534.24015261</v>
      </c>
      <c r="V41" s="17" t="n">
        <f aca="false">MIN(MAX(0,V35-V36+V40),IF(V12=1,MAX(V38,retrait_urgence*MAX(0,U44)),V38))</f>
        <v>1468150.05200881</v>
      </c>
      <c r="W41" s="17" t="n">
        <f aca="false">MIN(MAX(0,W35-W36+W40),IF(W12=1,MAX(W38,retrait_urgence*MAX(0,V44)),W38))</f>
        <v>1481959.38428257</v>
      </c>
      <c r="X41" s="17" t="n">
        <f aca="false">MIN(MAX(0,X35-X36+X40),IF(X12=1,MAX(X38,retrait_urgence*MAX(0,W44)),X38))</f>
        <v>1495965.19761476</v>
      </c>
    </row>
    <row r="42" customFormat="false" ht="15" hidden="false" customHeight="false" outlineLevel="0" collapsed="false">
      <c r="A42" s="2" t="s">
        <v>1896</v>
      </c>
      <c r="B42" s="18" t="s">
        <v>1897</v>
      </c>
      <c r="C42" s="2" t="s">
        <v>1839</v>
      </c>
      <c r="E42" s="23" t="n">
        <f aca="false">E36+E41-E35</f>
        <v>7500</v>
      </c>
      <c r="F42" s="23" t="n">
        <f aca="false">F36+F41-F35</f>
        <v>19881.5505447462</v>
      </c>
      <c r="G42" s="23" t="n">
        <f aca="false">G36+G41-G35</f>
        <v>20115.94829517</v>
      </c>
      <c r="H42" s="23" t="n">
        <f aca="false">H36+H41-H35</f>
        <v>20353.8106814027</v>
      </c>
      <c r="I42" s="23" t="n">
        <f aca="false">I36+I41-I35</f>
        <v>20595.1920833976</v>
      </c>
      <c r="J42" s="23" t="n">
        <f aca="false">J36+J41-J35</f>
        <v>20840.1477694584</v>
      </c>
      <c r="K42" s="23" t="n">
        <f aca="false">K36+K41-K35</f>
        <v>21088.7339111785</v>
      </c>
      <c r="L42" s="23" t="n">
        <f aca="false">L36+L41-L35</f>
        <v>21341.0075986353</v>
      </c>
      <c r="M42" s="23" t="n">
        <f aca="false">M36+M41-M35</f>
        <v>21597.0268558429</v>
      </c>
      <c r="N42" s="23" t="n">
        <f aca="false">N36+N41-N35</f>
        <v>21856.8506564763</v>
      </c>
      <c r="O42" s="23" t="n">
        <f aca="false">O36+O41-O35</f>
        <v>22120.5389398632</v>
      </c>
      <c r="P42" s="23" t="n">
        <f aca="false">P36+P41-P35</f>
        <v>22388.152627253</v>
      </c>
      <c r="Q42" s="23" t="n">
        <f aca="false">Q36+Q41-Q35</f>
        <v>22659.7536383618</v>
      </c>
      <c r="R42" s="23" t="n">
        <f aca="false">R36+R41-R35</f>
        <v>22935.4049082105</v>
      </c>
      <c r="S42" s="23" t="n">
        <f aca="false">S36+S41-S35</f>
        <v>23215.1704042472</v>
      </c>
      <c r="T42" s="23" t="n">
        <f aca="false">T36+T41-T35</f>
        <v>23499.115143765</v>
      </c>
      <c r="U42" s="23" t="n">
        <f aca="false">U36+U41-U35</f>
        <v>23787.305211626</v>
      </c>
      <c r="V42" s="23" t="n">
        <f aca="false">V36+V41-V35</f>
        <v>24079.8077782844</v>
      </c>
      <c r="W42" s="23" t="n">
        <f aca="false">W36+W41-W35</f>
        <v>24376.6911181237</v>
      </c>
      <c r="X42" s="23" t="n">
        <f aca="false">X36+X41-X35</f>
        <v>24678.0246281135</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121025879.059688</v>
      </c>
      <c r="F44" s="23" t="n">
        <f aca="false">MAX(0,E44)*(1+F37)-F41+F43-F31</f>
        <v>123164122.474184</v>
      </c>
      <c r="G44" s="23" t="n">
        <f aca="false">MAX(0,F44)*(1+G37)-G41+G43-G31</f>
        <v>125344723.634253</v>
      </c>
      <c r="H44" s="23" t="n">
        <f aca="false">MAX(0,G44)*(1+H37)-H41+H43-H31</f>
        <v>127557744.277332</v>
      </c>
      <c r="I44" s="23" t="n">
        <f aca="false">MAX(0,H44)*(1+I37)-I41+I43-I31</f>
        <v>129803676.141823</v>
      </c>
      <c r="J44" s="23" t="n">
        <f aca="false">MAX(0,I44)*(1+J37)-J41+J43-J31</f>
        <v>132083018.42995</v>
      </c>
      <c r="K44" s="23" t="n">
        <f aca="false">MAX(0,J44)*(1+K37)-K41+K43-K31</f>
        <v>134396277.919252</v>
      </c>
      <c r="L44" s="23" t="n">
        <f aca="false">MAX(0,K44)*(1+L37)-L41+L43-L31</f>
        <v>136743969.075685</v>
      </c>
      <c r="M44" s="23" t="n">
        <f aca="false">MAX(0,L44)*(1+M37)-M41+M43-M31</f>
        <v>139126614.168356</v>
      </c>
      <c r="N44" s="23" t="n">
        <f aca="false">MAX(0,M44)*(1+N37)-N41+N43-N31</f>
        <v>141544743.385901</v>
      </c>
      <c r="O44" s="23" t="n">
        <f aca="false">MAX(0,N44)*(1+O37)-O41+O43-O31</f>
        <v>142998894.95454</v>
      </c>
      <c r="P44" s="23" t="n">
        <f aca="false">MAX(0,O44)*(1+P37)-P41+P43-P31</f>
        <v>144469615.257822</v>
      </c>
      <c r="Q44" s="23" t="n">
        <f aca="false">MAX(0,P44)*(1+Q37)-Q41+Q43-Q31</f>
        <v>145957058.958087</v>
      </c>
      <c r="R44" s="23" t="n">
        <f aca="false">MAX(0,Q44)*(1+R37)-R41+R43-R31</f>
        <v>147461381.119673</v>
      </c>
      <c r="S44" s="23" t="n">
        <f aca="false">MAX(0,R44)*(1+S37)-S41+S43-S31</f>
        <v>148982737.17388</v>
      </c>
      <c r="T44" s="23" t="n">
        <f aca="false">MAX(0,S44)*(1+T37)-T41+T43-T31</f>
        <v>150521282.882521</v>
      </c>
      <c r="U44" s="23" t="n">
        <f aca="false">MAX(0,T44)*(1+U37)-U41+U43-U31</f>
        <v>152077174.300018</v>
      </c>
      <c r="V44" s="23" t="n">
        <f aca="false">MAX(0,U44)*(1+V37)-V41+V43-V31</f>
        <v>153650567.73401</v>
      </c>
      <c r="W44" s="23" t="n">
        <f aca="false">MAX(0,V44)*(1+W37)-W41+W43-W31</f>
        <v>155241619.704408</v>
      </c>
      <c r="X44" s="23" t="n">
        <f aca="false">MAX(0,W44)*(1+X37)-X41+X43-X31</f>
        <v>156850486.900881</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1512381.55054475</v>
      </c>
      <c r="G45" s="23" t="n">
        <f aca="false">F45*(1+taux_reserve)+G42-G43-(G30-G31)</f>
        <v>1524935.59108719</v>
      </c>
      <c r="H45" s="23" t="n">
        <f aca="false">G45*(1+taux_reserve)+H42-H43-(H30-H31)</f>
        <v>1537664.72381316</v>
      </c>
      <c r="I45" s="23" t="n">
        <f aca="false">H45*(1+taux_reserve)+I42-I43-(I30-I31)</f>
        <v>1550571.59227749</v>
      </c>
      <c r="J45" s="23" t="n">
        <f aca="false">I45*(1+taux_reserve)+J42-J43-(J30-J31)</f>
        <v>1563658.88208556</v>
      </c>
      <c r="K45" s="23" t="n">
        <f aca="false">J45*(1+taux_reserve)+K42-K43-(K30-K31)</f>
        <v>1576929.32158631</v>
      </c>
      <c r="L45" s="23" t="n">
        <f aca="false">K45*(1+taux_reserve)+L42-L43-(L30-L31)</f>
        <v>1590385.68257702</v>
      </c>
      <c r="M45" s="23" t="n">
        <f aca="false">L45*(1+taux_reserve)+M42-M43-(M30-M31)</f>
        <v>1604030.78101997</v>
      </c>
      <c r="N45" s="23" t="n">
        <f aca="false">M45*(1+taux_reserve)+N42-N43-(N30-N31)</f>
        <v>1617867.47777135</v>
      </c>
      <c r="O45" s="23" t="n">
        <f aca="false">N45*(1+taux_reserve)+O42-O43-(O30-O31)</f>
        <v>1631898.67932236</v>
      </c>
      <c r="P45" s="23" t="n">
        <f aca="false">O45*(1+taux_reserve)+P42-P43-(P30-P31)</f>
        <v>1646127.338553</v>
      </c>
      <c r="Q45" s="23" t="n">
        <f aca="false">P45*(1+taux_reserve)+Q42-Q43-(Q30-Q31)</f>
        <v>1660556.4554986</v>
      </c>
      <c r="R45" s="23" t="n">
        <f aca="false">Q45*(1+taux_reserve)+R42-R43-(R30-R31)</f>
        <v>1675189.07812931</v>
      </c>
      <c r="S45" s="23" t="n">
        <f aca="false">R45*(1+taux_reserve)+S42-S43-(S30-S31)</f>
        <v>1690028.30314291</v>
      </c>
      <c r="T45" s="23" t="n">
        <f aca="false">S45*(1+taux_reserve)+T42-T43-(T30-T31)</f>
        <v>1705077.27677096</v>
      </c>
      <c r="U45" s="23" t="n">
        <f aca="false">T45*(1+taux_reserve)+U42-U43-(U30-U31)</f>
        <v>1720339.19559873</v>
      </c>
      <c r="V45" s="23" t="n">
        <f aca="false">U45*(1+taux_reserve)+V42-V43-(V30-V31)</f>
        <v>1735817.30739903</v>
      </c>
      <c r="W45" s="23" t="n">
        <f aca="false">V45*(1+taux_reserve)+W42-W43-(W30-W31)</f>
        <v>1751514.91198015</v>
      </c>
      <c r="X45" s="23" t="n">
        <f aca="false">W45*(1+taux_reserve)+X42-X43-(X30-X31)</f>
        <v>1767435.36204837</v>
      </c>
    </row>
    <row r="46" customFormat="false" ht="15" hidden="false" customHeight="false" outlineLevel="0" collapsed="false">
      <c r="A46" s="2" t="s">
        <v>1904</v>
      </c>
      <c r="B46" s="18" t="s">
        <v>1905</v>
      </c>
      <c r="C46" s="2" t="s">
        <v>1839</v>
      </c>
      <c r="E46" s="23" t="n">
        <f aca="false">E45+E22</f>
        <v>1846191.4828125</v>
      </c>
      <c r="F46" s="23" t="n">
        <f aca="false">F45+F22</f>
        <v>2207360.95229084</v>
      </c>
      <c r="G46" s="23" t="n">
        <f aca="false">G45+G22</f>
        <v>2571318.82115888</v>
      </c>
      <c r="H46" s="23" t="n">
        <f aca="false">H45+H22</f>
        <v>1537664.72381316</v>
      </c>
      <c r="I46" s="23" t="n">
        <f aca="false">I45+I22</f>
        <v>1907266.24449331</v>
      </c>
      <c r="J46" s="23" t="n">
        <f aca="false">J45+J22</f>
        <v>2279723.39640883</v>
      </c>
      <c r="K46" s="23" t="n">
        <f aca="false">K45+K22</f>
        <v>2655058.97198283</v>
      </c>
      <c r="L46" s="23" t="n">
        <f aca="false">L45+L22</f>
        <v>1590385.68257702</v>
      </c>
      <c r="M46" s="23" t="n">
        <f aca="false">M45+M22</f>
        <v>1971547.26029822</v>
      </c>
      <c r="N46" s="23" t="n">
        <f aca="false">N45+N22</f>
        <v>2355656.80992244</v>
      </c>
      <c r="O46" s="23" t="n">
        <f aca="false">O45+O22</f>
        <v>2742737.91074283</v>
      </c>
      <c r="P46" s="23" t="n">
        <f aca="false">P45+P22</f>
        <v>1646127.338553</v>
      </c>
      <c r="Q46" s="23" t="n">
        <f aca="false">Q45+Q22</f>
        <v>2039223.08731385</v>
      </c>
      <c r="R46" s="23" t="n">
        <f aca="false">R45+R22</f>
        <v>2435362.34149844</v>
      </c>
      <c r="S46" s="23" t="n">
        <f aca="false">S45+S22</f>
        <v>2834569.49780257</v>
      </c>
      <c r="T46" s="23" t="n">
        <f aca="false">T45+T22</f>
        <v>1705077.27677096</v>
      </c>
      <c r="U46" s="23" t="n">
        <f aca="false">U45+U22</f>
        <v>2110494.26655475</v>
      </c>
      <c r="V46" s="23" t="n">
        <f aca="false">V45+V22</f>
        <v>2519053.61234324</v>
      </c>
      <c r="W46" s="23" t="n">
        <f aca="false">W45+W22</f>
        <v>2930780.56016747</v>
      </c>
      <c r="X46" s="23" t="n">
        <f aca="false">X45+X22</f>
        <v>1767435.36204837</v>
      </c>
    </row>
    <row r="47" customFormat="false" ht="15" hidden="false" customHeight="false" outlineLevel="0" collapsed="false">
      <c r="A47" s="2" t="s">
        <v>1906</v>
      </c>
      <c r="B47" s="18" t="s">
        <v>1907</v>
      </c>
      <c r="C47" s="2" t="s">
        <v>46</v>
      </c>
      <c r="E47" s="24" t="n">
        <f aca="false">(E29+E38)/E18</f>
        <v>1.64923584289828</v>
      </c>
      <c r="F47" s="24" t="n">
        <f aca="false">(F29+F38)/F18</f>
        <v>1.64993209773717</v>
      </c>
      <c r="G47" s="24" t="n">
        <f aca="false">(G29+G38)/G18</f>
        <v>1.65235479376094</v>
      </c>
      <c r="H47" s="24" t="n">
        <f aca="false">(H29+H38)/H18</f>
        <v>1.65069538193513</v>
      </c>
      <c r="I47" s="24" t="n">
        <f aca="false">(I29+I38)/I18</f>
        <v>1.65231063392218</v>
      </c>
      <c r="J47" s="24" t="n">
        <f aca="false">(J29+J38)/J18</f>
        <v>1.65651993774862</v>
      </c>
      <c r="K47" s="24" t="n">
        <f aca="false">(K29+K38)/K18</f>
        <v>1.6627828039345</v>
      </c>
      <c r="L47" s="24" t="n">
        <f aca="false">(L29+L38)/L18</f>
        <v>1.67066998740832</v>
      </c>
      <c r="M47" s="24" t="n">
        <f aca="false">(M29+M38)/M18</f>
        <v>1.67984055708856</v>
      </c>
      <c r="N47" s="24" t="n">
        <f aca="false">(N29+N38)/N18</f>
        <v>1.69002368901302</v>
      </c>
      <c r="O47" s="24" t="n">
        <f aca="false">(O29+O38)/O18</f>
        <v>1.70100421066752</v>
      </c>
      <c r="P47" s="24" t="n">
        <f aca="false">(P29+P38)/P18</f>
        <v>1.71012778710168</v>
      </c>
      <c r="Q47" s="24" t="n">
        <f aca="false">(Q29+Q38)/Q18</f>
        <v>1.71776665508416</v>
      </c>
      <c r="R47" s="24" t="n">
        <f aca="false">(R29+R38)/R18</f>
        <v>1.72421603805873</v>
      </c>
      <c r="S47" s="24" t="n">
        <f aca="false">(S29+S38)/S18</f>
        <v>1.72971003913502</v>
      </c>
      <c r="T47" s="24" t="n">
        <f aca="false">(T29+T38)/T18</f>
        <v>1.73443425679788</v>
      </c>
      <c r="U47" s="24" t="n">
        <f aca="false">(U29+U38)/U18</f>
        <v>1.73853579868462</v>
      </c>
      <c r="V47" s="24" t="n">
        <f aca="false">(V29+V38)/V18</f>
        <v>1.74213122970533</v>
      </c>
      <c r="W47" s="24" t="n">
        <f aca="false">(W29+W38)/W18</f>
        <v>1.74531288032738</v>
      </c>
      <c r="X47" s="24" t="n">
        <f aca="false">(X29+X38)/X18</f>
        <v>1.74815385312494</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1918</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D5*(1+g_salaires+st_moteur_g_sal_extra)</f>
        <v>1.005</v>
      </c>
      <c r="F5" s="22" t="n">
        <f aca="false">E5*(1+g_salaires+st_moteur_g_sal_extra)</f>
        <v>1.010025</v>
      </c>
      <c r="G5" s="22" t="n">
        <f aca="false">F5*(1+g_salaires+st_moteur_g_sal_extra)</f>
        <v>1.015075125</v>
      </c>
      <c r="H5" s="22" t="n">
        <f aca="false">G5*(1+g_salaires+st_moteur_g_sal_extra)</f>
        <v>1.020150500625</v>
      </c>
      <c r="I5" s="22" t="n">
        <f aca="false">H5*(1+g_salaires+st_moteur_g_sal_extra)</f>
        <v>1.02525125312812</v>
      </c>
      <c r="J5" s="22" t="n">
        <f aca="false">I5*(1+g_salaires+st_moteur_g_sal_extra)</f>
        <v>1.03037750939376</v>
      </c>
      <c r="K5" s="22" t="n">
        <f aca="false">J5*(1+g_salaires+st_moteur_g_sal_extra)</f>
        <v>1.03552939694073</v>
      </c>
      <c r="L5" s="22" t="n">
        <f aca="false">K5*(1+g_salaires+st_moteur_g_sal_extra)</f>
        <v>1.04070704392544</v>
      </c>
      <c r="M5" s="22" t="n">
        <f aca="false">L5*(1+g_salaires+st_moteur_g_sal_extra)</f>
        <v>1.04591057914506</v>
      </c>
      <c r="N5" s="22" t="n">
        <f aca="false">M5*(1+g_salaires+st_moteur_g_sal_extra)</f>
        <v>1.05114013204079</v>
      </c>
      <c r="O5" s="22" t="n">
        <f aca="false">N5*(1+g_salaires+st_moteur_g_sal_extra)</f>
        <v>1.05639583270099</v>
      </c>
      <c r="P5" s="22" t="n">
        <f aca="false">O5*(1+g_salaires+st_moteur_g_sal_extra)</f>
        <v>1.0616778118645</v>
      </c>
      <c r="Q5" s="22" t="n">
        <f aca="false">P5*(1+g_salaires+st_moteur_g_sal_extra)</f>
        <v>1.06698620092382</v>
      </c>
      <c r="R5" s="22" t="n">
        <f aca="false">Q5*(1+g_salaires+st_moteur_g_sal_extra)</f>
        <v>1.07232113192844</v>
      </c>
      <c r="S5" s="22" t="n">
        <f aca="false">R5*(1+g_salaires+st_moteur_g_sal_extra)</f>
        <v>1.07768273758808</v>
      </c>
      <c r="T5" s="22" t="n">
        <f aca="false">S5*(1+g_salaires+st_moteur_g_sal_extra)</f>
        <v>1.08307115127602</v>
      </c>
      <c r="U5" s="22" t="n">
        <f aca="false">T5*(1+g_salaires+st_moteur_g_sal_extra)</f>
        <v>1.0884865070324</v>
      </c>
      <c r="V5" s="22" t="n">
        <f aca="false">U5*(1+g_salaires+st_moteur_g_sal_extra)</f>
        <v>1.09392893956756</v>
      </c>
      <c r="W5" s="22" t="n">
        <f aca="false">V5*(1+g_salaires+st_moteur_g_sal_extra)</f>
        <v>1.0993985842654</v>
      </c>
      <c r="X5" s="22" t="n">
        <f aca="false">W5*(1+g_salaires+st_moteur_g_sal_extra)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IF(st_moteur_crise_an&gt;0,IF(E$3=st_moteur_crise_an,1,IF(E$3=st_moteur_crise_an+1,2,0)),0)</f>
        <v>0</v>
      </c>
      <c r="F11" s="22" t="n">
        <f aca="false">IF(st_moteur_crise_an&gt;0,IF(F$3=st_moteur_crise_an,1,IF(F$3=st_moteur_crise_an+1,2,0)),0)</f>
        <v>0</v>
      </c>
      <c r="G11" s="22" t="n">
        <f aca="false">IF(st_moteur_crise_an&gt;0,IF(G$3=st_moteur_crise_an,1,IF(G$3=st_moteur_crise_an+1,2,0)),0)</f>
        <v>0</v>
      </c>
      <c r="H11" s="22" t="n">
        <f aca="false">IF(st_moteur_crise_an&gt;0,IF(H$3=st_moteur_crise_an,1,IF(H$3=st_moteur_crise_an+1,2,0)),0)</f>
        <v>0</v>
      </c>
      <c r="I11" s="22" t="n">
        <f aca="false">IF(st_moteur_crise_an&gt;0,IF(I$3=st_moteur_crise_an,1,IF(I$3=st_moteur_crise_an+1,2,0)),0)</f>
        <v>0</v>
      </c>
      <c r="J11" s="22" t="n">
        <f aca="false">IF(st_moteur_crise_an&gt;0,IF(J$3=st_moteur_crise_an,1,IF(J$3=st_moteur_crise_an+1,2,0)),0)</f>
        <v>0</v>
      </c>
      <c r="K11" s="22" t="n">
        <f aca="false">IF(st_moteur_crise_an&gt;0,IF(K$3=st_moteur_crise_an,1,IF(K$3=st_moteur_crise_an+1,2,0)),0)</f>
        <v>0</v>
      </c>
      <c r="L11" s="22" t="n">
        <f aca="false">IF(st_moteur_crise_an&gt;0,IF(L$3=st_moteur_crise_an,1,IF(L$3=st_moteur_crise_an+1,2,0)),0)</f>
        <v>0</v>
      </c>
      <c r="M11" s="22" t="n">
        <f aca="false">IF(st_moteur_crise_an&gt;0,IF(M$3=st_moteur_crise_an,1,IF(M$3=st_moteur_crise_an+1,2,0)),0)</f>
        <v>0</v>
      </c>
      <c r="N11" s="22" t="n">
        <f aca="false">IF(st_moteur_crise_an&gt;0,IF(N$3=st_moteur_crise_an,1,IF(N$3=st_moteur_crise_an+1,2,0)),0)</f>
        <v>0</v>
      </c>
      <c r="O11" s="22" t="n">
        <f aca="false">IF(st_moteur_crise_an&gt;0,IF(O$3=st_moteur_crise_an,1,IF(O$3=st_moteur_crise_an+1,2,0)),0)</f>
        <v>0</v>
      </c>
      <c r="P11" s="22" t="n">
        <f aca="false">IF(st_moteur_crise_an&gt;0,IF(P$3=st_moteur_crise_an,1,IF(P$3=st_moteur_crise_an+1,2,0)),0)</f>
        <v>0</v>
      </c>
      <c r="Q11" s="22" t="n">
        <f aca="false">IF(st_moteur_crise_an&gt;0,IF(Q$3=st_moteur_crise_an,1,IF(Q$3=st_moteur_crise_an+1,2,0)),0)</f>
        <v>0</v>
      </c>
      <c r="R11" s="22" t="n">
        <f aca="false">IF(st_moteur_crise_an&gt;0,IF(R$3=st_moteur_crise_an,1,IF(R$3=st_moteur_crise_an+1,2,0)),0)</f>
        <v>0</v>
      </c>
      <c r="S11" s="22" t="n">
        <f aca="false">IF(st_moteur_crise_an&gt;0,IF(S$3=st_moteur_crise_an,1,IF(S$3=st_moteur_crise_an+1,2,0)),0)</f>
        <v>0</v>
      </c>
      <c r="T11" s="22" t="n">
        <f aca="false">IF(st_moteur_crise_an&gt;0,IF(T$3=st_moteur_crise_an,1,IF(T$3=st_moteur_crise_an+1,2,0)),0)</f>
        <v>0</v>
      </c>
      <c r="U11" s="22" t="n">
        <f aca="false">IF(st_moteur_crise_an&gt;0,IF(U$3=st_moteur_crise_an,1,IF(U$3=st_moteur_crise_an+1,2,0)),0)</f>
        <v>0</v>
      </c>
      <c r="V11" s="22" t="n">
        <f aca="false">IF(st_moteur_crise_an&gt;0,IF(V$3=st_moteur_crise_an,1,IF(V$3=st_moteur_crise_an+1,2,0)),0)</f>
        <v>0</v>
      </c>
      <c r="W11" s="22" t="n">
        <f aca="false">IF(st_moteur_crise_an&gt;0,IF(W$3=st_moteur_crise_an,1,IF(W$3=st_moteur_crise_an+1,2,0)),0)</f>
        <v>0</v>
      </c>
      <c r="X11" s="22" t="n">
        <f aca="false">IF(st_moteur_crise_an&gt;0,IF(X$3=st_moteur_crise_an,1,IF(X$3=st_moteur_crise_an+1,2,0)),0)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(bud_chauffage_S2+bud_hors_gel_S2+bud_electricite_S2)*E7*IF(AND(E$3&gt;=st_moteur_energie_debut,E$3&lt;=st_moteur_energie_fin),st_moteur_energie_mult,1)</f>
        <v>52815.6</v>
      </c>
      <c r="F14" s="17" t="n">
        <f aca="false">(bud_chauffage_S2+bud_hors_gel_S2+bud_electricite_S2)*F7*IF(AND(F$3&gt;=st_moteur_energie_debut,F$3&lt;=st_moteur_energie_fin),st_moteur_energie_mult,1)</f>
        <v>53871.912</v>
      </c>
      <c r="G14" s="17" t="n">
        <f aca="false">(bud_chauffage_S2+bud_hors_gel_S2+bud_electricite_S2)*G7*IF(AND(G$3&gt;=st_moteur_energie_debut,G$3&lt;=st_moteur_energie_fin),st_moteur_energie_mult,1)</f>
        <v>54949.35024</v>
      </c>
      <c r="H14" s="17" t="n">
        <f aca="false">(bud_chauffage_S2+bud_hors_gel_S2+bud_electricite_S2)*H7*IF(AND(H$3&gt;=st_moteur_energie_debut,H$3&lt;=st_moteur_energie_fin),st_moteur_energie_mult,1)</f>
        <v>56048.3372448</v>
      </c>
      <c r="I14" s="17" t="n">
        <f aca="false">(bud_chauffage_S2+bud_hors_gel_S2+bud_electricite_S2)*I7*IF(AND(I$3&gt;=st_moteur_energie_debut,I$3&lt;=st_moteur_energie_fin),st_moteur_energie_mult,1)</f>
        <v>57169.303989696</v>
      </c>
      <c r="J14" s="17" t="n">
        <f aca="false">(bud_chauffage_S2+bud_hors_gel_S2+bud_electricite_S2)*J7*IF(AND(J$3&gt;=st_moteur_energie_debut,J$3&lt;=st_moteur_energie_fin),st_moteur_energie_mult,1)</f>
        <v>58312.6900694899</v>
      </c>
      <c r="K14" s="17" t="n">
        <f aca="false">(bud_chauffage_S2+bud_hors_gel_S2+bud_electricite_S2)*K7*IF(AND(K$3&gt;=st_moteur_energie_debut,K$3&lt;=st_moteur_energie_fin),st_moteur_energie_mult,1)</f>
        <v>59478.9438708797</v>
      </c>
      <c r="L14" s="17" t="n">
        <f aca="false">(bud_chauffage_S2+bud_hors_gel_S2+bud_electricite_S2)*L7*IF(AND(L$3&gt;=st_moteur_energie_debut,L$3&lt;=st_moteur_energie_fin),st_moteur_energie_mult,1)</f>
        <v>60668.5227482973</v>
      </c>
      <c r="M14" s="17" t="n">
        <f aca="false">(bud_chauffage_S2+bud_hors_gel_S2+bud_electricite_S2)*M7*IF(AND(M$3&gt;=st_moteur_energie_debut,M$3&lt;=st_moteur_energie_fin),st_moteur_energie_mult,1)</f>
        <v>61881.8932032633</v>
      </c>
      <c r="N14" s="17" t="n">
        <f aca="false">(bud_chauffage_S2+bud_hors_gel_S2+bud_electricite_S2)*N7*IF(AND(N$3&gt;=st_moteur_energie_debut,N$3&lt;=st_moteur_energie_fin),st_moteur_energie_mult,1)</f>
        <v>63119.5310673285</v>
      </c>
      <c r="O14" s="17" t="n">
        <f aca="false">(bud_chauffage_S2+bud_hors_gel_S2+bud_electricite_S2)*O7*IF(AND(O$3&gt;=st_moteur_energie_debut,O$3&lt;=st_moteur_energie_fin),st_moteur_energie_mult,1)</f>
        <v>64381.9216886751</v>
      </c>
      <c r="P14" s="17" t="n">
        <f aca="false">(bud_chauffage_S2+bud_hors_gel_S2+bud_electricite_S2)*P7*IF(AND(P$3&gt;=st_moteur_energie_debut,P$3&lt;=st_moteur_energie_fin),st_moteur_energie_mult,1)</f>
        <v>65669.5601224486</v>
      </c>
      <c r="Q14" s="17" t="n">
        <f aca="false">(bud_chauffage_S2+bud_hors_gel_S2+bud_electricite_S2)*Q7*IF(AND(Q$3&gt;=st_moteur_energie_debut,Q$3&lt;=st_moteur_energie_fin),st_moteur_energie_mult,1)</f>
        <v>66982.9513248976</v>
      </c>
      <c r="R14" s="17" t="n">
        <f aca="false">(bud_chauffage_S2+bud_hors_gel_S2+bud_electricite_S2)*R7*IF(AND(R$3&gt;=st_moteur_energie_debut,R$3&lt;=st_moteur_energie_fin),st_moteur_energie_mult,1)</f>
        <v>68322.6103513955</v>
      </c>
      <c r="S14" s="17" t="n">
        <f aca="false">(bud_chauffage_S2+bud_hors_gel_S2+bud_electricite_S2)*S7*IF(AND(S$3&gt;=st_moteur_energie_debut,S$3&lt;=st_moteur_energie_fin),st_moteur_energie_mult,1)</f>
        <v>69689.0625584235</v>
      </c>
      <c r="T14" s="17" t="n">
        <f aca="false">(bud_chauffage_S2+bud_hors_gel_S2+bud_electricite_S2)*T7*IF(AND(T$3&gt;=st_moteur_energie_debut,T$3&lt;=st_moteur_energie_fin),st_moteur_energie_mult,1)</f>
        <v>71082.8438095919</v>
      </c>
      <c r="U14" s="17" t="n">
        <f aca="false">(bud_chauffage_S2+bud_hors_gel_S2+bud_electricite_S2)*U7*IF(AND(U$3&gt;=st_moteur_energie_debut,U$3&lt;=st_moteur_energie_fin),st_moteur_energie_mult,1)</f>
        <v>72504.5006857838</v>
      </c>
      <c r="V14" s="17" t="n">
        <f aca="false">(bud_chauffage_S2+bud_hors_gel_S2+bud_electricite_S2)*V7*IF(AND(V$3&gt;=st_moteur_energie_debut,V$3&lt;=st_moteur_energie_fin),st_moteur_energie_mult,1)</f>
        <v>73954.5906994994</v>
      </c>
      <c r="W14" s="17" t="n">
        <f aca="false">(bud_chauffage_S2+bud_hors_gel_S2+bud_electricite_S2)*W7*IF(AND(W$3&gt;=st_moteur_energie_debut,W$3&lt;=st_moteur_energie_fin),st_moteur_energie_mult,1)</f>
        <v>75433.6825134894</v>
      </c>
      <c r="X14" s="17" t="n">
        <f aca="false">(bud_chauffage_S2+bud_hors_gel_S2+bud_electricite_S2)*X7*IF(AND(X$3&gt;=st_moteur_energie_debut,X$3&lt;=st_moteur_energie_fin),st_moteur_energie_mult,1)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IF(MOD(E$3,campagne_periode)=0,(D22+E17)*st_moteur_mult_campagne*(1-E12*flex_report),0)</f>
        <v>0</v>
      </c>
      <c r="F19" s="17" t="n">
        <f aca="false">IF(MOD(F$3,campagne_periode)=0,(E22+F17)*st_moteur_mult_campagne*(1-F12*flex_report),0)</f>
        <v>0</v>
      </c>
      <c r="G19" s="17" t="n">
        <f aca="false">IF(MOD(G$3,campagne_periode)=0,(F22+G17)*st_moteur_mult_campagne*(1-G12*flex_report),0)</f>
        <v>0</v>
      </c>
      <c r="H19" s="17" t="n">
        <f aca="false">IF(MOD(H$3,campagne_periode)=0,(G22+H17)*st_moteur_mult_campagne*(1-H12*flex_report),0)</f>
        <v>1400422.58710973</v>
      </c>
      <c r="I19" s="17" t="n">
        <f aca="false">IF(MOD(I$3,campagne_periode)=0,(H22+I17)*st_moteur_mult_campagne*(1-I12*flex_report),0)</f>
        <v>0</v>
      </c>
      <c r="J19" s="17" t="n">
        <f aca="false">IF(MOD(J$3,campagne_periode)=0,(I22+J17)*st_moteur_mult_campagne*(1-J12*flex_report),0)</f>
        <v>0</v>
      </c>
      <c r="K19" s="17" t="n">
        <f aca="false">IF(MOD(K$3,campagne_periode)=0,(J22+K17)*st_moteur_mult_campagne*(1-K12*flex_report),0)</f>
        <v>0</v>
      </c>
      <c r="L19" s="17" t="n">
        <f aca="false">IF(MOD(L$3,campagne_periode)=0,(K22+L17)*st_moteur_mult_campagne*(1-L12*flex_report),0)</f>
        <v>1442910.27499031</v>
      </c>
      <c r="M19" s="17" t="n">
        <f aca="false">IF(MOD(M$3,campagne_periode)=0,(L22+M17)*st_moteur_mult_campagne*(1-M12*flex_report),0)</f>
        <v>0</v>
      </c>
      <c r="N19" s="17" t="n">
        <f aca="false">IF(MOD(N$3,campagne_periode)=0,(M22+N17)*st_moteur_mult_campagne*(1-N12*flex_report),0)</f>
        <v>0</v>
      </c>
      <c r="O19" s="17" t="n">
        <f aca="false">IF(MOD(O$3,campagne_periode)=0,(N22+O17)*st_moteur_mult_campagne*(1-O12*flex_report),0)</f>
        <v>0</v>
      </c>
      <c r="P19" s="17" t="n">
        <f aca="false">IF(MOD(P$3,campagne_periode)=0,(O22+P17)*st_moteur_mult_campagne*(1-P12*flex_report),0)</f>
        <v>1486687.00493438</v>
      </c>
      <c r="Q19" s="17" t="n">
        <f aca="false">IF(MOD(Q$3,campagne_periode)=0,(P22+Q17)*st_moteur_mult_campagne*(1-Q12*flex_report),0)</f>
        <v>0</v>
      </c>
      <c r="R19" s="17" t="n">
        <f aca="false">IF(MOD(R$3,campagne_periode)=0,(Q22+R17)*st_moteur_mult_campagne*(1-R12*flex_report),0)</f>
        <v>0</v>
      </c>
      <c r="S19" s="17" t="n">
        <f aca="false">IF(MOD(S$3,campagne_periode)=0,(R22+S17)*st_moteur_mult_campagne*(1-S12*flex_report),0)</f>
        <v>0</v>
      </c>
      <c r="T19" s="17" t="n">
        <f aca="false">IF(MOD(T$3,campagne_periode)=0,(S22+T17)*st_moteur_mult_campagne*(1-T12*flex_report),0)</f>
        <v>1531791.88543486</v>
      </c>
      <c r="U19" s="17" t="n">
        <f aca="false">IF(MOD(U$3,campagne_periode)=0,(T22+U17)*st_moteur_mult_campagne*(1-U12*flex_report),0)</f>
        <v>0</v>
      </c>
      <c r="V19" s="17" t="n">
        <f aca="false">IF(MOD(V$3,campagne_periode)=0,(U22+V17)*st_moteur_mult_campagne*(1-V12*flex_report),0)</f>
        <v>0</v>
      </c>
      <c r="W19" s="17" t="n">
        <f aca="false">IF(MOD(W$3,campagne_periode)=0,(V22+W17)*st_moteur_mult_campagne*(1-W12*flex_report),0)</f>
        <v>0</v>
      </c>
      <c r="X19" s="17" t="n">
        <f aca="false">IF(MOD(X$3,campagne_periode)=0,(W22+X17)*st_moteur_mult_campagne*(1-X12*flex_report),0)</f>
        <v>1578265.21150474</v>
      </c>
    </row>
    <row r="20" customFormat="false" ht="15" hidden="false" customHeight="false" outlineLevel="0" collapsed="false">
      <c r="A20" s="2" t="s">
        <v>1852</v>
      </c>
      <c r="B20" s="2" t="s">
        <v>1853</v>
      </c>
      <c r="C20" s="2" t="s">
        <v>1839</v>
      </c>
      <c r="E20" s="17" t="n">
        <f aca="false">IF(E$3=st_moteur_choc_trav_an,st_moteur_choc_trav_montant,0)</f>
        <v>0</v>
      </c>
      <c r="F20" s="17" t="n">
        <f aca="false">IF(F$3=st_moteur_choc_trav_an,st_moteur_choc_trav_montant,0)</f>
        <v>0</v>
      </c>
      <c r="G20" s="17" t="n">
        <f aca="false">IF(G$3=st_moteur_choc_trav_an,st_moteur_choc_trav_montant,0)</f>
        <v>0</v>
      </c>
      <c r="H20" s="17" t="n">
        <f aca="false">IF(H$3=st_moteur_choc_trav_an,st_moteur_choc_trav_montant,0)</f>
        <v>0</v>
      </c>
      <c r="I20" s="17" t="n">
        <f aca="false">IF(I$3=st_moteur_choc_trav_an,st_moteur_choc_trav_montant,0)</f>
        <v>0</v>
      </c>
      <c r="J20" s="17" t="n">
        <f aca="false">IF(J$3=st_moteur_choc_trav_an,st_moteur_choc_trav_montant,0)</f>
        <v>0</v>
      </c>
      <c r="K20" s="17" t="n">
        <f aca="false">IF(K$3=st_moteur_choc_trav_an,st_moteur_choc_trav_montant,0)</f>
        <v>0</v>
      </c>
      <c r="L20" s="17" t="n">
        <f aca="false">IF(L$3=st_moteur_choc_trav_an,st_moteur_choc_trav_montant,0)</f>
        <v>0</v>
      </c>
      <c r="M20" s="17" t="n">
        <f aca="false">IF(M$3=st_moteur_choc_trav_an,st_moteur_choc_trav_montant,0)</f>
        <v>0</v>
      </c>
      <c r="N20" s="17" t="n">
        <f aca="false">IF(N$3=st_moteur_choc_trav_an,st_moteur_choc_trav_montant,0)</f>
        <v>0</v>
      </c>
      <c r="O20" s="17" t="n">
        <f aca="false">IF(O$3=st_moteur_choc_trav_an,st_moteur_choc_trav_montant,0)</f>
        <v>0</v>
      </c>
      <c r="P20" s="17" t="n">
        <f aca="false">IF(P$3=st_moteur_choc_trav_an,st_moteur_choc_trav_montant,0)</f>
        <v>0</v>
      </c>
      <c r="Q20" s="17" t="n">
        <f aca="false">IF(Q$3=st_moteur_choc_trav_an,st_moteur_choc_trav_montant,0)</f>
        <v>0</v>
      </c>
      <c r="R20" s="17" t="n">
        <f aca="false">IF(R$3=st_moteur_choc_trav_an,st_moteur_choc_trav_montant,0)</f>
        <v>0</v>
      </c>
      <c r="S20" s="17" t="n">
        <f aca="false">IF(S$3=st_moteur_choc_trav_an,st_moteur_choc_trav_montant,0)</f>
        <v>0</v>
      </c>
      <c r="T20" s="17" t="n">
        <f aca="false">IF(T$3=st_moteur_choc_trav_an,st_moteur_choc_trav_montant,0)</f>
        <v>0</v>
      </c>
      <c r="U20" s="17" t="n">
        <f aca="false">IF(U$3=st_moteur_choc_trav_an,st_moteur_choc_trav_montant,0)</f>
        <v>0</v>
      </c>
      <c r="V20" s="17" t="n">
        <f aca="false">IF(V$3=st_moteur_choc_trav_an,st_moteur_choc_trav_montant,0)</f>
        <v>0</v>
      </c>
      <c r="W20" s="17" t="n">
        <f aca="false">IF(W$3=st_moteur_choc_trav_an,st_moteur_choc_trav_montant,0)</f>
        <v>0</v>
      </c>
      <c r="X20" s="17" t="n">
        <f aca="false">IF(X$3=st_moteur_choc_trav_an,st_moteur_choc_trav_montant,0)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(S2_ech_log*mot_log_cn+S2_ech_stock*mot_stock_cn+S2_ech_pv*mot_pv_cn+S2_ech_bois*mot_bois_cn)*E24*E9*IF(E$3&gt;=st_moteur_debut_mult,st_moteur_mult_A,1)*IF(E11=1,1-0.05,IF(E11=2,1-0.02,1))</f>
        <v>21930.4</v>
      </c>
      <c r="F25" s="17" t="n">
        <f aca="false">(S2_ech_log*mot_log_cn+S2_ech_stock*mot_stock_cn+S2_ech_pv*mot_pv_cn+S2_ech_bois*mot_bois_cn)*F24*F9*IF(F$3&gt;=st_moteur_debut_mult,st_moteur_mult_A,1)*IF(F11=1,1-0.05,IF(F11=2,1-0.02,1))</f>
        <v>41119.5</v>
      </c>
      <c r="G25" s="17" t="n">
        <f aca="false">(S2_ech_log*mot_log_cn+S2_ech_stock*mot_stock_cn+S2_ech_pv*mot_pv_cn+S2_ech_bois*mot_bois_cn)*G24*G9*IF(G$3&gt;=st_moteur_debut_mult,st_moteur_mult_A,1)*IF(G11=1,1-0.05,IF(G11=2,1-0.02,1))</f>
        <v>54826</v>
      </c>
      <c r="H25" s="17" t="n">
        <f aca="false">(S2_ech_log*mot_log_cn+S2_ech_stock*mot_stock_cn+S2_ech_pv*mot_pv_cn+S2_ech_bois*mot_bois_cn)*H24*H9*IF(H$3&gt;=st_moteur_debut_mult,st_moteur_mult_A,1)*IF(H11=1,1-0.05,IF(H11=2,1-0.02,1))</f>
        <v>54826</v>
      </c>
      <c r="I25" s="17" t="n">
        <f aca="false">(S2_ech_log*mot_log_cn+S2_ech_stock*mot_stock_cn+S2_ech_pv*mot_pv_cn+S2_ech_bois*mot_bois_cn)*I24*I9*IF(I$3&gt;=st_moteur_debut_mult,st_moteur_mult_A,1)*IF(I11=1,1-0.05,IF(I11=2,1-0.02,1))</f>
        <v>54826</v>
      </c>
      <c r="J25" s="17" t="n">
        <f aca="false">(S2_ech_log*mot_log_cn+S2_ech_stock*mot_stock_cn+S2_ech_pv*mot_pv_cn+S2_ech_bois*mot_bois_cn)*J24*J9*IF(J$3&gt;=st_moteur_debut_mult,st_moteur_mult_A,1)*IF(J11=1,1-0.05,IF(J11=2,1-0.02,1))</f>
        <v>54826</v>
      </c>
      <c r="K25" s="17" t="n">
        <f aca="false">(S2_ech_log*mot_log_cn+S2_ech_stock*mot_stock_cn+S2_ech_pv*mot_pv_cn+S2_ech_bois*mot_bois_cn)*K24*K9*IF(K$3&gt;=st_moteur_debut_mult,st_moteur_mult_A,1)*IF(K11=1,1-0.05,IF(K11=2,1-0.02,1))</f>
        <v>54826</v>
      </c>
      <c r="L25" s="17" t="n">
        <f aca="false">(S2_ech_log*mot_log_cn+S2_ech_stock*mot_stock_cn+S2_ech_pv*mot_pv_cn+S2_ech_bois*mot_bois_cn)*L24*L9*IF(L$3&gt;=st_moteur_debut_mult,st_moteur_mult_A,1)*IF(L11=1,1-0.05,IF(L11=2,1-0.02,1))</f>
        <v>54826</v>
      </c>
      <c r="M25" s="17" t="n">
        <f aca="false">(S2_ech_log*mot_log_cn+S2_ech_stock*mot_stock_cn+S2_ech_pv*mot_pv_cn+S2_ech_bois*mot_bois_cn)*M24*M9*IF(M$3&gt;=st_moteur_debut_mult,st_moteur_mult_A,1)*IF(M11=1,1-0.05,IF(M11=2,1-0.02,1))</f>
        <v>54826</v>
      </c>
      <c r="N25" s="17" t="n">
        <f aca="false">(S2_ech_log*mot_log_cn+S2_ech_stock*mot_stock_cn+S2_ech_pv*mot_pv_cn+S2_ech_bois*mot_bois_cn)*N24*N9*IF(N$3&gt;=st_moteur_debut_mult,st_moteur_mult_A,1)*IF(N11=1,1-0.05,IF(N11=2,1-0.02,1))</f>
        <v>54826</v>
      </c>
      <c r="O25" s="17" t="n">
        <f aca="false">(S2_ech_log*mot_log_cn+S2_ech_stock*mot_stock_cn+S2_ech_pv*mot_pv_cn+S2_ech_bois*mot_bois_cn)*O24*O9*IF(O$3&gt;=st_moteur_debut_mult,st_moteur_mult_A,1)*IF(O11=1,1-0.05,IF(O11=2,1-0.02,1))</f>
        <v>54826</v>
      </c>
      <c r="P25" s="17" t="n">
        <f aca="false">(S2_ech_log*mot_log_cn+S2_ech_stock*mot_stock_cn+S2_ech_pv*mot_pv_cn+S2_ech_bois*mot_bois_cn)*P24*P9*IF(P$3&gt;=st_moteur_debut_mult,st_moteur_mult_A,1)*IF(P11=1,1-0.05,IF(P11=2,1-0.02,1))</f>
        <v>54826</v>
      </c>
      <c r="Q25" s="17" t="n">
        <f aca="false">(S2_ech_log*mot_log_cn+S2_ech_stock*mot_stock_cn+S2_ech_pv*mot_pv_cn+S2_ech_bois*mot_bois_cn)*Q24*Q9*IF(Q$3&gt;=st_moteur_debut_mult,st_moteur_mult_A,1)*IF(Q11=1,1-0.05,IF(Q11=2,1-0.02,1))</f>
        <v>54826</v>
      </c>
      <c r="R25" s="17" t="n">
        <f aca="false">(S2_ech_log*mot_log_cn+S2_ech_stock*mot_stock_cn+S2_ech_pv*mot_pv_cn+S2_ech_bois*mot_bois_cn)*R24*R9*IF(R$3&gt;=st_moteur_debut_mult,st_moteur_mult_A,1)*IF(R11=1,1-0.05,IF(R11=2,1-0.02,1))</f>
        <v>54826</v>
      </c>
      <c r="S25" s="17" t="n">
        <f aca="false">(S2_ech_log*mot_log_cn+S2_ech_stock*mot_stock_cn+S2_ech_pv*mot_pv_cn+S2_ech_bois*mot_bois_cn)*S24*S9*IF(S$3&gt;=st_moteur_debut_mult,st_moteur_mult_A,1)*IF(S11=1,1-0.05,IF(S11=2,1-0.02,1))</f>
        <v>54826</v>
      </c>
      <c r="T25" s="17" t="n">
        <f aca="false">(S2_ech_log*mot_log_cn+S2_ech_stock*mot_stock_cn+S2_ech_pv*mot_pv_cn+S2_ech_bois*mot_bois_cn)*T24*T9*IF(T$3&gt;=st_moteur_debut_mult,st_moteur_mult_A,1)*IF(T11=1,1-0.05,IF(T11=2,1-0.02,1))</f>
        <v>54826</v>
      </c>
      <c r="U25" s="17" t="n">
        <f aca="false">(S2_ech_log*mot_log_cn+S2_ech_stock*mot_stock_cn+S2_ech_pv*mot_pv_cn+S2_ech_bois*mot_bois_cn)*U24*U9*IF(U$3&gt;=st_moteur_debut_mult,st_moteur_mult_A,1)*IF(U11=1,1-0.05,IF(U11=2,1-0.02,1))</f>
        <v>54826</v>
      </c>
      <c r="V25" s="17" t="n">
        <f aca="false">(S2_ech_log*mot_log_cn+S2_ech_stock*mot_stock_cn+S2_ech_pv*mot_pv_cn+S2_ech_bois*mot_bois_cn)*V24*V9*IF(V$3&gt;=st_moteur_debut_mult,st_moteur_mult_A,1)*IF(V11=1,1-0.05,IF(V11=2,1-0.02,1))</f>
        <v>54826</v>
      </c>
      <c r="W25" s="17" t="n">
        <f aca="false">(S2_ech_log*mot_log_cn+S2_ech_stock*mot_stock_cn+S2_ech_pv*mot_pv_cn+S2_ech_bois*mot_bois_cn)*W24*W9*IF(W$3&gt;=st_moteur_debut_mult,st_moteur_mult_A,1)*IF(W11=1,1-0.05,IF(W11=2,1-0.02,1))</f>
        <v>54826</v>
      </c>
      <c r="X25" s="17" t="n">
        <f aca="false">(S2_ech_log*mot_log_cn+S2_ech_stock*mot_stock_cn+S2_ech_pv*mot_pv_cn+S2_ech_bois*mot_bois_cn)*X24*X9*IF(X$3&gt;=st_moteur_debut_mult,st_moteur_mult_A,1)*IF(X11=1,1-0.05,IF(X11=2,1-0.02,1))</f>
        <v>54826</v>
      </c>
    </row>
    <row r="26" customFormat="false" ht="15" hidden="false" customHeight="false" outlineLevel="0" collapsed="false">
      <c r="A26" s="2" t="s">
        <v>1864</v>
      </c>
      <c r="B26" s="2" t="s">
        <v>1865</v>
      </c>
      <c r="C26" s="2" t="s">
        <v>1839</v>
      </c>
      <c r="E26" s="17" t="n">
        <f aca="false">(S2_ech_eq_ret*mot_eq_ret_cn)*E24*E9*IF(E$3&gt;=st_moteur_debut_mult,st_moteur_mult_B,1)*IF(E11=1,1-0.15,IF(E11=2,1-0.05,1))</f>
        <v>4039.2</v>
      </c>
      <c r="F26" s="17" t="n">
        <f aca="false">(S2_ech_eq_ret*mot_eq_ret_cn)*F24*F9*IF(F$3&gt;=st_moteur_debut_mult,st_moteur_mult_B,1)*IF(F11=1,1-0.15,IF(F11=2,1-0.05,1))</f>
        <v>7573.5</v>
      </c>
      <c r="G26" s="17" t="n">
        <f aca="false">(S2_ech_eq_ret*mot_eq_ret_cn)*G24*G9*IF(G$3&gt;=st_moteur_debut_mult,st_moteur_mult_B,1)*IF(G11=1,1-0.15,IF(G11=2,1-0.05,1))</f>
        <v>10098</v>
      </c>
      <c r="H26" s="17" t="n">
        <f aca="false">(S2_ech_eq_ret*mot_eq_ret_cn)*H24*H9*IF(H$3&gt;=st_moteur_debut_mult,st_moteur_mult_B,1)*IF(H11=1,1-0.15,IF(H11=2,1-0.05,1))</f>
        <v>10098</v>
      </c>
      <c r="I26" s="17" t="n">
        <f aca="false">(S2_ech_eq_ret*mot_eq_ret_cn)*I24*I9*IF(I$3&gt;=st_moteur_debut_mult,st_moteur_mult_B,1)*IF(I11=1,1-0.15,IF(I11=2,1-0.05,1))</f>
        <v>10098</v>
      </c>
      <c r="J26" s="17" t="n">
        <f aca="false">(S2_ech_eq_ret*mot_eq_ret_cn)*J24*J9*IF(J$3&gt;=st_moteur_debut_mult,st_moteur_mult_B,1)*IF(J11=1,1-0.15,IF(J11=2,1-0.05,1))</f>
        <v>10098</v>
      </c>
      <c r="K26" s="17" t="n">
        <f aca="false">(S2_ech_eq_ret*mot_eq_ret_cn)*K24*K9*IF(K$3&gt;=st_moteur_debut_mult,st_moteur_mult_B,1)*IF(K11=1,1-0.15,IF(K11=2,1-0.05,1))</f>
        <v>10098</v>
      </c>
      <c r="L26" s="17" t="n">
        <f aca="false">(S2_ech_eq_ret*mot_eq_ret_cn)*L24*L9*IF(L$3&gt;=st_moteur_debut_mult,st_moteur_mult_B,1)*IF(L11=1,1-0.15,IF(L11=2,1-0.05,1))</f>
        <v>10098</v>
      </c>
      <c r="M26" s="17" t="n">
        <f aca="false">(S2_ech_eq_ret*mot_eq_ret_cn)*M24*M9*IF(M$3&gt;=st_moteur_debut_mult,st_moteur_mult_B,1)*IF(M11=1,1-0.15,IF(M11=2,1-0.05,1))</f>
        <v>10098</v>
      </c>
      <c r="N26" s="17" t="n">
        <f aca="false">(S2_ech_eq_ret*mot_eq_ret_cn)*N24*N9*IF(N$3&gt;=st_moteur_debut_mult,st_moteur_mult_B,1)*IF(N11=1,1-0.15,IF(N11=2,1-0.05,1))</f>
        <v>10098</v>
      </c>
      <c r="O26" s="17" t="n">
        <f aca="false">(S2_ech_eq_ret*mot_eq_ret_cn)*O24*O9*IF(O$3&gt;=st_moteur_debut_mult,st_moteur_mult_B,1)*IF(O11=1,1-0.15,IF(O11=2,1-0.05,1))</f>
        <v>10098</v>
      </c>
      <c r="P26" s="17" t="n">
        <f aca="false">(S2_ech_eq_ret*mot_eq_ret_cn)*P24*P9*IF(P$3&gt;=st_moteur_debut_mult,st_moteur_mult_B,1)*IF(P11=1,1-0.15,IF(P11=2,1-0.05,1))</f>
        <v>10098</v>
      </c>
      <c r="Q26" s="17" t="n">
        <f aca="false">(S2_ech_eq_ret*mot_eq_ret_cn)*Q24*Q9*IF(Q$3&gt;=st_moteur_debut_mult,st_moteur_mult_B,1)*IF(Q11=1,1-0.15,IF(Q11=2,1-0.05,1))</f>
        <v>10098</v>
      </c>
      <c r="R26" s="17" t="n">
        <f aca="false">(S2_ech_eq_ret*mot_eq_ret_cn)*R24*R9*IF(R$3&gt;=st_moteur_debut_mult,st_moteur_mult_B,1)*IF(R11=1,1-0.15,IF(R11=2,1-0.05,1))</f>
        <v>10098</v>
      </c>
      <c r="S26" s="17" t="n">
        <f aca="false">(S2_ech_eq_ret*mot_eq_ret_cn)*S24*S9*IF(S$3&gt;=st_moteur_debut_mult,st_moteur_mult_B,1)*IF(S11=1,1-0.15,IF(S11=2,1-0.05,1))</f>
        <v>10098</v>
      </c>
      <c r="T26" s="17" t="n">
        <f aca="false">(S2_ech_eq_ret*mot_eq_ret_cn)*T24*T9*IF(T$3&gt;=st_moteur_debut_mult,st_moteur_mult_B,1)*IF(T11=1,1-0.15,IF(T11=2,1-0.05,1))</f>
        <v>10098</v>
      </c>
      <c r="U26" s="17" t="n">
        <f aca="false">(S2_ech_eq_ret*mot_eq_ret_cn)*U24*U9*IF(U$3&gt;=st_moteur_debut_mult,st_moteur_mult_B,1)*IF(U11=1,1-0.15,IF(U11=2,1-0.05,1))</f>
        <v>10098</v>
      </c>
      <c r="V26" s="17" t="n">
        <f aca="false">(S2_ech_eq_ret*mot_eq_ret_cn)*V24*V9*IF(V$3&gt;=st_moteur_debut_mult,st_moteur_mult_B,1)*IF(V11=1,1-0.15,IF(V11=2,1-0.05,1))</f>
        <v>10098</v>
      </c>
      <c r="W26" s="17" t="n">
        <f aca="false">(S2_ech_eq_ret*mot_eq_ret_cn)*W24*W9*IF(W$3&gt;=st_moteur_debut_mult,st_moteur_mult_B,1)*IF(W11=1,1-0.15,IF(W11=2,1-0.05,1))</f>
        <v>10098</v>
      </c>
      <c r="X26" s="17" t="n">
        <f aca="false">(S2_ech_eq_ret*mot_eq_ret_cn)*X24*X9*IF(X$3&gt;=st_moteur_debut_mult,st_moteur_mult_B,1)*IF(X11=1,1-0.15,IF(X11=2,1-0.05,1))</f>
        <v>10098</v>
      </c>
    </row>
    <row r="27" customFormat="false" ht="15" hidden="false" customHeight="false" outlineLevel="0" collapsed="false">
      <c r="A27" s="2" t="s">
        <v>1866</v>
      </c>
      <c r="B27" s="2" t="s">
        <v>1867</v>
      </c>
      <c r="C27" s="2" t="s">
        <v>1839</v>
      </c>
      <c r="E27" s="17" t="n">
        <f aca="false">(S2_ech_tourn*mot_tourn_cn)*E24*E9*IF(E$3&gt;=st_moteur_debut_mult,st_moteur_mult_C,1)*IF(E11=1,1-0.8,IF(E11=2,1-0.3,1))</f>
        <v>2380</v>
      </c>
      <c r="F27" s="17" t="n">
        <f aca="false">(S2_ech_tourn*mot_tourn_cn)*F24*F9*IF(F$3&gt;=st_moteur_debut_mult,st_moteur_mult_C,1)*IF(F11=1,1-0.8,IF(F11=2,1-0.3,1))</f>
        <v>4462.5</v>
      </c>
      <c r="G27" s="17" t="n">
        <f aca="false">(S2_ech_tourn*mot_tourn_cn)*G24*G9*IF(G$3&gt;=st_moteur_debut_mult,st_moteur_mult_C,1)*IF(G11=1,1-0.8,IF(G11=2,1-0.3,1))</f>
        <v>5950</v>
      </c>
      <c r="H27" s="17" t="n">
        <f aca="false">(S2_ech_tourn*mot_tourn_cn)*H24*H9*IF(H$3&gt;=st_moteur_debut_mult,st_moteur_mult_C,1)*IF(H11=1,1-0.8,IF(H11=2,1-0.3,1))</f>
        <v>5950</v>
      </c>
      <c r="I27" s="17" t="n">
        <f aca="false">(S2_ech_tourn*mot_tourn_cn)*I24*I9*IF(I$3&gt;=st_moteur_debut_mult,st_moteur_mult_C,1)*IF(I11=1,1-0.8,IF(I11=2,1-0.3,1))</f>
        <v>5950</v>
      </c>
      <c r="J27" s="17" t="n">
        <f aca="false">(S2_ech_tourn*mot_tourn_cn)*J24*J9*IF(J$3&gt;=st_moteur_debut_mult,st_moteur_mult_C,1)*IF(J11=1,1-0.8,IF(J11=2,1-0.3,1))</f>
        <v>5950</v>
      </c>
      <c r="K27" s="17" t="n">
        <f aca="false">(S2_ech_tourn*mot_tourn_cn)*K24*K9*IF(K$3&gt;=st_moteur_debut_mult,st_moteur_mult_C,1)*IF(K11=1,1-0.8,IF(K11=2,1-0.3,1))</f>
        <v>5950</v>
      </c>
      <c r="L27" s="17" t="n">
        <f aca="false">(S2_ech_tourn*mot_tourn_cn)*L24*L9*IF(L$3&gt;=st_moteur_debut_mult,st_moteur_mult_C,1)*IF(L11=1,1-0.8,IF(L11=2,1-0.3,1))</f>
        <v>5950</v>
      </c>
      <c r="M27" s="17" t="n">
        <f aca="false">(S2_ech_tourn*mot_tourn_cn)*M24*M9*IF(M$3&gt;=st_moteur_debut_mult,st_moteur_mult_C,1)*IF(M11=1,1-0.8,IF(M11=2,1-0.3,1))</f>
        <v>5950</v>
      </c>
      <c r="N27" s="17" t="n">
        <f aca="false">(S2_ech_tourn*mot_tourn_cn)*N24*N9*IF(N$3&gt;=st_moteur_debut_mult,st_moteur_mult_C,1)*IF(N11=1,1-0.8,IF(N11=2,1-0.3,1))</f>
        <v>5950</v>
      </c>
      <c r="O27" s="17" t="n">
        <f aca="false">(S2_ech_tourn*mot_tourn_cn)*O24*O9*IF(O$3&gt;=st_moteur_debut_mult,st_moteur_mult_C,1)*IF(O11=1,1-0.8,IF(O11=2,1-0.3,1))</f>
        <v>5950</v>
      </c>
      <c r="P27" s="17" t="n">
        <f aca="false">(S2_ech_tourn*mot_tourn_cn)*P24*P9*IF(P$3&gt;=st_moteur_debut_mult,st_moteur_mult_C,1)*IF(P11=1,1-0.8,IF(P11=2,1-0.3,1))</f>
        <v>5950</v>
      </c>
      <c r="Q27" s="17" t="n">
        <f aca="false">(S2_ech_tourn*mot_tourn_cn)*Q24*Q9*IF(Q$3&gt;=st_moteur_debut_mult,st_moteur_mult_C,1)*IF(Q11=1,1-0.8,IF(Q11=2,1-0.3,1))</f>
        <v>5950</v>
      </c>
      <c r="R27" s="17" t="n">
        <f aca="false">(S2_ech_tourn*mot_tourn_cn)*R24*R9*IF(R$3&gt;=st_moteur_debut_mult,st_moteur_mult_C,1)*IF(R11=1,1-0.8,IF(R11=2,1-0.3,1))</f>
        <v>5950</v>
      </c>
      <c r="S27" s="17" t="n">
        <f aca="false">(S2_ech_tourn*mot_tourn_cn)*S24*S9*IF(S$3&gt;=st_moteur_debut_mult,st_moteur_mult_C,1)*IF(S11=1,1-0.8,IF(S11=2,1-0.3,1))</f>
        <v>5950</v>
      </c>
      <c r="T27" s="17" t="n">
        <f aca="false">(S2_ech_tourn*mot_tourn_cn)*T24*T9*IF(T$3&gt;=st_moteur_debut_mult,st_moteur_mult_C,1)*IF(T11=1,1-0.8,IF(T11=2,1-0.3,1))</f>
        <v>5950</v>
      </c>
      <c r="U27" s="17" t="n">
        <f aca="false">(S2_ech_tourn*mot_tourn_cn)*U24*U9*IF(U$3&gt;=st_moteur_debut_mult,st_moteur_mult_C,1)*IF(U11=1,1-0.8,IF(U11=2,1-0.3,1))</f>
        <v>5950</v>
      </c>
      <c r="V27" s="17" t="n">
        <f aca="false">(S2_ech_tourn*mot_tourn_cn)*V24*V9*IF(V$3&gt;=st_moteur_debut_mult,st_moteur_mult_C,1)*IF(V11=1,1-0.8,IF(V11=2,1-0.3,1))</f>
        <v>5950</v>
      </c>
      <c r="W27" s="17" t="n">
        <f aca="false">(S2_ech_tourn*mot_tourn_cn)*W24*W9*IF(W$3&gt;=st_moteur_debut_mult,st_moteur_mult_C,1)*IF(W11=1,1-0.8,IF(W11=2,1-0.3,1))</f>
        <v>5950</v>
      </c>
      <c r="X27" s="17" t="n">
        <f aca="false">(S2_ech_tourn*mot_tourn_cn)*X24*X9*IF(X$3&gt;=st_moteur_debut_mult,st_moteur_mult_C,1)*IF(X11=1,1-0.8,IF(X11=2,1-0.3,1))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1263598.89681921</v>
      </c>
      <c r="J35" s="17" t="n">
        <f aca="false">J13+J14+J15+J16+J17+J21+J32-J29-J23-J33-J34</f>
        <v>1270403.18837041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IF(AND(E$3&lt;=S2_sol_div_annees,E$3&lt;=st_moteur_div_fin),S2_sol_div*IF(E11=1,0.5,1),0)</f>
        <v>1000000</v>
      </c>
      <c r="F36" s="17" t="n">
        <f aca="false">IF(AND(F$3&lt;=S2_sol_div_annees,F$3&lt;=st_moteur_div_fin),S2_sol_div*IF(F11=1,0.5,1),0)</f>
        <v>1000000</v>
      </c>
      <c r="G36" s="17" t="n">
        <f aca="false">IF(AND(G$3&lt;=S2_sol_div_annees,G$3&lt;=st_moteur_div_fin),S2_sol_div*IF(G11=1,0.5,1),0)</f>
        <v>0</v>
      </c>
      <c r="H36" s="17" t="n">
        <f aca="false">IF(AND(H$3&lt;=S2_sol_div_annees,H$3&lt;=st_moteur_div_fin),S2_sol_div*IF(H11=1,0.5,1),0)</f>
        <v>0</v>
      </c>
      <c r="I36" s="17" t="n">
        <f aca="false">IF(AND(I$3&lt;=S2_sol_div_annees,I$3&lt;=st_moteur_div_fin),S2_sol_div*IF(I11=1,0.5,1),0)</f>
        <v>0</v>
      </c>
      <c r="J36" s="17" t="n">
        <f aca="false">IF(AND(J$3&lt;=S2_sol_div_annees,J$3&lt;=st_moteur_div_fin),S2_sol_div*IF(J11=1,0.5,1),0)</f>
        <v>0</v>
      </c>
      <c r="K36" s="17" t="n">
        <f aca="false">IF(AND(K$3&lt;=S2_sol_div_annees,K$3&lt;=st_moteur_div_fin),S2_sol_div*IF(K11=1,0.5,1),0)</f>
        <v>0</v>
      </c>
      <c r="L36" s="17" t="n">
        <f aca="false">IF(AND(L$3&lt;=S2_sol_div_annees,L$3&lt;=st_moteur_div_fin),S2_sol_div*IF(L11=1,0.5,1),0)</f>
        <v>0</v>
      </c>
      <c r="M36" s="17" t="n">
        <f aca="false">IF(AND(M$3&lt;=S2_sol_div_annees,M$3&lt;=st_moteur_div_fin),S2_sol_div*IF(M11=1,0.5,1),0)</f>
        <v>0</v>
      </c>
      <c r="N36" s="17" t="n">
        <f aca="false">IF(AND(N$3&lt;=S2_sol_div_annees,N$3&lt;=st_moteur_div_fin),S2_sol_div*IF(N11=1,0.5,1),0)</f>
        <v>0</v>
      </c>
      <c r="O36" s="17" t="n">
        <f aca="false">IF(AND(O$3&lt;=S2_sol_div_annees,O$3&lt;=st_moteur_div_fin),S2_sol_div*IF(O11=1,0.5,1),0)</f>
        <v>0</v>
      </c>
      <c r="P36" s="17" t="n">
        <f aca="false">IF(AND(P$3&lt;=S2_sol_div_annees,P$3&lt;=st_moteur_div_fin),S2_sol_div*IF(P11=1,0.5,1),0)</f>
        <v>0</v>
      </c>
      <c r="Q36" s="17" t="n">
        <f aca="false">IF(AND(Q$3&lt;=S2_sol_div_annees,Q$3&lt;=st_moteur_div_fin),S2_sol_div*IF(Q11=1,0.5,1),0)</f>
        <v>0</v>
      </c>
      <c r="R36" s="17" t="n">
        <f aca="false">IF(AND(R$3&lt;=S2_sol_div_annees,R$3&lt;=st_moteur_div_fin),S2_sol_div*IF(R11=1,0.5,1),0)</f>
        <v>0</v>
      </c>
      <c r="S36" s="17" t="n">
        <f aca="false">IF(AND(S$3&lt;=S2_sol_div_annees,S$3&lt;=st_moteur_div_fin),S2_sol_div*IF(S11=1,0.5,1),0)</f>
        <v>0</v>
      </c>
      <c r="T36" s="17" t="n">
        <f aca="false">IF(AND(T$3&lt;=S2_sol_div_annees,T$3&lt;=st_moteur_div_fin),S2_sol_div*IF(T11=1,0.5,1),0)</f>
        <v>0</v>
      </c>
      <c r="U36" s="17" t="n">
        <f aca="false">IF(AND(U$3&lt;=S2_sol_div_annees,U$3&lt;=st_moteur_div_fin),S2_sol_div*IF(U11=1,0.5,1),0)</f>
        <v>0</v>
      </c>
      <c r="V36" s="17" t="n">
        <f aca="false">IF(AND(V$3&lt;=S2_sol_div_annees,V$3&lt;=st_moteur_div_fin),S2_sol_div*IF(V11=1,0.5,1),0)</f>
        <v>0</v>
      </c>
      <c r="W36" s="17" t="n">
        <f aca="false">IF(AND(W$3&lt;=S2_sol_div_annees,W$3&lt;=st_moteur_div_fin),S2_sol_div*IF(W11=1,0.5,1),0)</f>
        <v>0</v>
      </c>
      <c r="X36" s="17" t="n">
        <f aca="false">IF(AND(X$3&lt;=S2_sol_div_annees,X$3&lt;=st_moteur_div_fin),S2_sol_div*IF(X11=1,0.5,1),0)</f>
        <v>0</v>
      </c>
    </row>
    <row r="37" customFormat="false" ht="15" hidden="false" customHeight="false" outlineLevel="0" collapsed="false">
      <c r="A37" s="2" t="s">
        <v>1886</v>
      </c>
      <c r="B37" s="2" t="s">
        <v>1887</v>
      </c>
      <c r="C37" s="2" t="s">
        <v>46</v>
      </c>
      <c r="E37" s="20" t="n">
        <f aca="false">dot_rendement+st_moteur_dot_rdt_delta+IF(E11=1,-0.25,0)</f>
        <v>0.01</v>
      </c>
      <c r="F37" s="20" t="n">
        <f aca="false">dot_rendement+st_moteur_dot_rdt_delta+IF(F11=1,-0.25,0)</f>
        <v>0.01</v>
      </c>
      <c r="G37" s="20" t="n">
        <f aca="false">dot_rendement+st_moteur_dot_rdt_delta+IF(G11=1,-0.25,0)</f>
        <v>0.01</v>
      </c>
      <c r="H37" s="20" t="n">
        <f aca="false">dot_rendement+st_moteur_dot_rdt_delta+IF(H11=1,-0.25,0)</f>
        <v>0.01</v>
      </c>
      <c r="I37" s="20" t="n">
        <f aca="false">dot_rendement+st_moteur_dot_rdt_delta+IF(I11=1,-0.25,0)</f>
        <v>0.01</v>
      </c>
      <c r="J37" s="20" t="n">
        <f aca="false">dot_rendement+st_moteur_dot_rdt_delta+IF(J11=1,-0.25,0)</f>
        <v>0.01</v>
      </c>
      <c r="K37" s="20" t="n">
        <f aca="false">dot_rendement+st_moteur_dot_rdt_delta+IF(K11=1,-0.25,0)</f>
        <v>0.01</v>
      </c>
      <c r="L37" s="20" t="n">
        <f aca="false">dot_rendement+st_moteur_dot_rdt_delta+IF(L11=1,-0.25,0)</f>
        <v>0.01</v>
      </c>
      <c r="M37" s="20" t="n">
        <f aca="false">dot_rendement+st_moteur_dot_rdt_delta+IF(M11=1,-0.25,0)</f>
        <v>0.01</v>
      </c>
      <c r="N37" s="20" t="n">
        <f aca="false">dot_rendement+st_moteur_dot_rdt_delta+IF(N11=1,-0.25,0)</f>
        <v>0.01</v>
      </c>
      <c r="O37" s="20" t="n">
        <f aca="false">dot_rendement+st_moteur_dot_rdt_delta+IF(O11=1,-0.25,0)</f>
        <v>0.01</v>
      </c>
      <c r="P37" s="20" t="n">
        <f aca="false">dot_rendement+st_moteur_dot_rdt_delta+IF(P11=1,-0.25,0)</f>
        <v>0.01</v>
      </c>
      <c r="Q37" s="20" t="n">
        <f aca="false">dot_rendement+st_moteur_dot_rdt_delta+IF(Q11=1,-0.25,0)</f>
        <v>0.01</v>
      </c>
      <c r="R37" s="20" t="n">
        <f aca="false">dot_rendement+st_moteur_dot_rdt_delta+IF(R11=1,-0.25,0)</f>
        <v>0.01</v>
      </c>
      <c r="S37" s="20" t="n">
        <f aca="false">dot_rendement+st_moteur_dot_rdt_delta+IF(S11=1,-0.25,0)</f>
        <v>0.01</v>
      </c>
      <c r="T37" s="20" t="n">
        <f aca="false">dot_rendement+st_moteur_dot_rdt_delta+IF(T11=1,-0.25,0)</f>
        <v>0.01</v>
      </c>
      <c r="U37" s="20" t="n">
        <f aca="false">dot_rendement+st_moteur_dot_rdt_delta+IF(U11=1,-0.25,0)</f>
        <v>0.01</v>
      </c>
      <c r="V37" s="20" t="n">
        <f aca="false">dot_rendement+st_moteur_dot_rdt_delta+IF(V11=1,-0.25,0)</f>
        <v>0.01</v>
      </c>
      <c r="W37" s="20" t="n">
        <f aca="false">dot_rendement+st_moteur_dot_rdt_delta+IF(W11=1,-0.25,0)</f>
        <v>0.01</v>
      </c>
      <c r="X37" s="20" t="n">
        <f aca="false">dot_rendement+st_moteur_dot_rdt_delta+IF(X11=1,-0.25,0)</f>
        <v>0.01</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2099404.72188891</v>
      </c>
      <c r="G38" s="17" t="n">
        <f aca="false">lissage_depense*F38+(1-lissage_depense)*dot_taux_net*MAX(0,F44)</f>
        <v>2102179.82623677</v>
      </c>
      <c r="H38" s="17" t="n">
        <f aca="false">lissage_depense*G38+(1-lissage_depense)*dot_taux_net*MAX(0,G44)</f>
        <v>2104197.45712347</v>
      </c>
      <c r="I38" s="17" t="n">
        <f aca="false">lissage_depense*H38+(1-lissage_depense)*dot_taux_net*MAX(0,H44)</f>
        <v>2105583.3423092</v>
      </c>
      <c r="J38" s="17" t="n">
        <f aca="false">lissage_depense*I38+(1-lissage_depense)*dot_taux_net*MAX(0,I44)</f>
        <v>2106437.56215522</v>
      </c>
      <c r="K38" s="17" t="n">
        <f aca="false">lissage_depense*J38+(1-lissage_depense)*dot_taux_net*MAX(0,J44)</f>
        <v>2106839.67071155</v>
      </c>
      <c r="L38" s="17" t="n">
        <f aca="false">lissage_depense*K38+(1-lissage_depense)*dot_taux_net*MAX(0,K44)</f>
        <v>2106852.79244661</v>
      </c>
      <c r="M38" s="17" t="n">
        <f aca="false">lissage_depense*L38+(1-lissage_depense)*dot_taux_net*MAX(0,L44)</f>
        <v>2106526.89948807</v>
      </c>
      <c r="N38" s="17" t="n">
        <f aca="false">lissage_depense*M38+(1-lissage_depense)*dot_taux_net*MAX(0,M44)</f>
        <v>2105901.43327015</v>
      </c>
      <c r="O38" s="17" t="n">
        <f aca="false">lissage_depense*N38+(1-lissage_depense)*dot_taux_net*MAX(0,N44)</f>
        <v>2105007.40170342</v>
      </c>
      <c r="P38" s="17" t="n">
        <f aca="false">lissage_depense*O38+(1-lissage_depense)*dot_taux_net*MAX(0,O44)</f>
        <v>2103869.05676031</v>
      </c>
      <c r="Q38" s="17" t="n">
        <f aca="false">lissage_depense*P38+(1-lissage_depense)*dot_taux_net*MAX(0,P44)</f>
        <v>2102505.23639025</v>
      </c>
      <c r="R38" s="17" t="n">
        <f aca="false">lissage_depense*Q38+(1-lissage_depense)*dot_taux_net*MAX(0,Q44)</f>
        <v>2100930.43789602</v>
      </c>
      <c r="S38" s="17" t="n">
        <f aca="false">lissage_depense*R38+(1-lissage_depense)*dot_taux_net*MAX(0,R44)</f>
        <v>2099155.67647637</v>
      </c>
      <c r="T38" s="17" t="n">
        <f aca="false">lissage_depense*S38+(1-lissage_depense)*dot_taux_net*MAX(0,S44)</f>
        <v>2097189.17189873</v>
      </c>
      <c r="U38" s="17" t="n">
        <f aca="false">lissage_depense*T38+(1-lissage_depense)*dot_taux_net*MAX(0,T44)</f>
        <v>2095036.89767333</v>
      </c>
      <c r="V38" s="17" t="n">
        <f aca="false">lissage_depense*U38+(1-lissage_depense)*dot_taux_net*MAX(0,U44)</f>
        <v>2092703.02022553</v>
      </c>
      <c r="W38" s="17" t="n">
        <f aca="false">lissage_depense*V38+(1-lissage_depense)*dot_taux_net*MAX(0,V44)</f>
        <v>2090190.25006371</v>
      </c>
      <c r="X38" s="17" t="n">
        <f aca="false">lissage_depense*W38+(1-lissage_depense)*dot_taux_net*MAX(0,W44)</f>
        <v>2087500.12254076</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1265432.30824024</v>
      </c>
      <c r="H41" s="17" t="n">
        <f aca="false">MIN(MAX(0,H35-H36+H40),IF(H12=1,MAX(H38,retrait_urgence*MAX(0,G44)),H38))</f>
        <v>1272215.85284887</v>
      </c>
      <c r="I41" s="17" t="n">
        <f aca="false">MIN(MAX(0,I35-I36+I40),IF(I12=1,MAX(I38,retrait_urgence*MAX(0,H44)),I38))</f>
        <v>1279069.16247601</v>
      </c>
      <c r="J41" s="17" t="n">
        <f aca="false">MIN(MAX(0,J35-J36+J40),IF(J12=1,MAX(J38,retrait_urgence*MAX(0,I44)),J38))</f>
        <v>1285993.20102037</v>
      </c>
      <c r="K41" s="17" t="n">
        <f aca="false">MIN(MAX(0,K35-K36+K40),IF(K12=1,MAX(K38,retrait_urgence*MAX(0,J44)),K38))</f>
        <v>1292988.94853608</v>
      </c>
      <c r="L41" s="17" t="n">
        <f aca="false">MIN(MAX(0,L35-L36+L40),IF(L12=1,MAX(L38,retrait_urgence*MAX(0,K44)),L38))</f>
        <v>1300057.40152926</v>
      </c>
      <c r="M41" s="17" t="n">
        <f aca="false">MIN(MAX(0,M35-M36+M40),IF(M12=1,MAX(M38,retrait_urgence*MAX(0,L44)),M38))</f>
        <v>1307199.57326016</v>
      </c>
      <c r="N41" s="17" t="n">
        <f aca="false">MIN(MAX(0,N35-N36+N40),IF(N12=1,MAX(N38,retrait_urgence*MAX(0,M44)),N38))</f>
        <v>1314416.49405108</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119829920.539688</v>
      </c>
      <c r="F44" s="23" t="n">
        <f aca="false">MAX(0,E44)*(1+F37)-F41+F43-F31</f>
        <v>120758871.064469</v>
      </c>
      <c r="G44" s="23" t="n">
        <f aca="false">MAX(0,F44)*(1+G37)-G41+G43-G31</f>
        <v>120701027.466873</v>
      </c>
      <c r="H44" s="23" t="n">
        <f aca="false">MAX(0,G44)*(1+H37)-H41+H43-H31</f>
        <v>120635821.888693</v>
      </c>
      <c r="I44" s="23" t="n">
        <f aca="false">MAX(0,H44)*(1+I37)-I41+I43-I31</f>
        <v>120563110.945104</v>
      </c>
      <c r="J44" s="23" t="n">
        <f aca="false">MAX(0,I44)*(1+J37)-J41+J43-J31</f>
        <v>120482748.853534</v>
      </c>
      <c r="K44" s="23" t="n">
        <f aca="false">MAX(0,J44)*(1+K37)-K41+K43-K31</f>
        <v>120394587.393534</v>
      </c>
      <c r="L44" s="23" t="n">
        <f aca="false">MAX(0,K44)*(1+L37)-L41+L43-L31</f>
        <v>120298475.86594</v>
      </c>
      <c r="M44" s="23" t="n">
        <f aca="false">MAX(0,L44)*(1+M37)-M41+M43-M31</f>
        <v>120194261.051339</v>
      </c>
      <c r="N44" s="23" t="n">
        <f aca="false">MAX(0,M44)*(1+N37)-N41+N43-N31</f>
        <v>120081787.167801</v>
      </c>
      <c r="O44" s="23" t="n">
        <f aca="false">MAX(0,N44)*(1+O37)-O41+O43-O31</f>
        <v>119960895.827879</v>
      </c>
      <c r="P44" s="23" t="n">
        <f aca="false">MAX(0,O44)*(1+P37)-P41+P43-P31</f>
        <v>119831425.994857</v>
      </c>
      <c r="Q44" s="23" t="n">
        <f aca="false">MAX(0,P44)*(1+Q37)-Q41+Q43-Q31</f>
        <v>119693213.938235</v>
      </c>
      <c r="R44" s="23" t="n">
        <f aca="false">MAX(0,Q44)*(1+R37)-R41+R43-R31</f>
        <v>119546093.188443</v>
      </c>
      <c r="S44" s="23" t="n">
        <f aca="false">MAX(0,R44)*(1+S37)-S41+S43-S31</f>
        <v>119389894.490751</v>
      </c>
      <c r="T44" s="23" t="n">
        <f aca="false">MAX(0,S44)*(1+T37)-T41+T43-T31</f>
        <v>119224445.758386</v>
      </c>
      <c r="U44" s="23" t="n">
        <f aca="false">MAX(0,T44)*(1+U37)-U41+U43-U31</f>
        <v>119049572.024818</v>
      </c>
      <c r="V44" s="23" t="n">
        <f aca="false">MAX(0,U44)*(1+V37)-V41+V43-V31</f>
        <v>118865095.395224</v>
      </c>
      <c r="W44" s="23" t="n">
        <f aca="false">MAX(0,V44)*(1+W37)-W41+W43-W31</f>
        <v>118670834.997084</v>
      </c>
      <c r="X44" s="23" t="n">
        <f aca="false">MAX(0,W44)*(1+X37)-X41+X43-X31</f>
        <v>118466606.929926</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1.65715057527405</v>
      </c>
      <c r="G47" s="24" t="n">
        <f aca="false">(G29+G38)/G18</f>
        <v>1.65906131225018</v>
      </c>
      <c r="H47" s="24" t="n">
        <f aca="false">(H29+H38)/H18</f>
        <v>1.65210195009815</v>
      </c>
      <c r="I47" s="24" t="n">
        <f aca="false">(I29+I38)/I18</f>
        <v>1.64464392262237</v>
      </c>
      <c r="J47" s="24" t="n">
        <f aca="false">(J29+J38)/J18</f>
        <v>1.6367711221778</v>
      </c>
      <c r="K47" s="24" t="n">
        <f aca="false">(K29+K38)/K18</f>
        <v>1.62855030018975</v>
      </c>
      <c r="L47" s="24" t="n">
        <f aca="false">(L29+L38)/L18</f>
        <v>1.62003456233688</v>
      </c>
      <c r="M47" s="24" t="n">
        <f aca="false">(M29+M38)/M18</f>
        <v>1.61126615173451</v>
      </c>
      <c r="N47" s="24" t="n">
        <f aca="false">(N29+N38)/N18</f>
        <v>1.60227866511807</v>
      </c>
      <c r="O47" s="24" t="n">
        <f aca="false">(O29+O38)/O18</f>
        <v>1.59309881750727</v>
      </c>
      <c r="P47" s="24" t="n">
        <f aca="false">(P29+P38)/P18</f>
        <v>1.58374784731965</v>
      </c>
      <c r="Q47" s="24" t="n">
        <f aca="false">(Q29+Q38)/Q18</f>
        <v>1.57424263517582</v>
      </c>
      <c r="R47" s="24" t="n">
        <f aca="false">(R29+R38)/R18</f>
        <v>1.56459659472419</v>
      </c>
      <c r="S47" s="24" t="n">
        <f aca="false">(S29+S38)/S18</f>
        <v>1.55482038193409</v>
      </c>
      <c r="T47" s="24" t="n">
        <f aca="false">(T29+T38)/T18</f>
        <v>1.54492245984632</v>
      </c>
      <c r="U47" s="24" t="n">
        <f aca="false">(U29+U38)/U18</f>
        <v>1.53490954823581</v>
      </c>
      <c r="V47" s="24" t="n">
        <f aca="false">(V29+V38)/V18</f>
        <v>1.52478698164074</v>
      </c>
      <c r="W47" s="24" t="n">
        <f aca="false">(W29+W38)/W18</f>
        <v>1.51455899443486</v>
      </c>
      <c r="X47" s="24" t="n">
        <f aca="false">(X29+X38)/X18</f>
        <v>1.50422894781375</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1919</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1840</v>
      </c>
      <c r="B14" s="2" t="s">
        <v>1841</v>
      </c>
      <c r="C14" s="2" t="s">
        <v>1839</v>
      </c>
      <c r="E14" s="17" t="n">
        <f aca="false">(bud_chauffage_S2+bud_hors_gel_S2+bud_electricite_S2)*E7*IF(AND(E$3&gt;=st_cumul_energie_debut,E$3&lt;=st_cumul_energie_fin),st_cumul_energie_mult,1)</f>
        <v>52815.6</v>
      </c>
      <c r="F14" s="17" t="n">
        <f aca="false">(bud_chauffage_S2+bud_hors_gel_S2+bud_electricite_S2)*F7*IF(AND(F$3&gt;=st_cumul_energie_debut,F$3&lt;=st_cumul_energie_fin),st_cumul_energie_mult,1)</f>
        <v>53871.912</v>
      </c>
      <c r="G14" s="17" t="n">
        <f aca="false">(bud_chauffage_S2+bud_hors_gel_S2+bud_electricite_S2)*G7*IF(AND(G$3&gt;=st_cumul_energie_debut,G$3&lt;=st_cumul_energie_fin),st_cumul_energie_mult,1)</f>
        <v>54949.35024</v>
      </c>
      <c r="H14" s="17" t="n">
        <f aca="false">(bud_chauffage_S2+bud_hors_gel_S2+bud_electricite_S2)*H7*IF(AND(H$3&gt;=st_cumul_energie_debut,H$3&lt;=st_cumul_energie_fin),st_cumul_energie_mult,1)</f>
        <v>56048.3372448</v>
      </c>
      <c r="I14" s="17" t="n">
        <f aca="false">(bud_chauffage_S2+bud_hors_gel_S2+bud_electricite_S2)*I7*IF(AND(I$3&gt;=st_cumul_energie_debut,I$3&lt;=st_cumul_energie_fin),st_cumul_energie_mult,1)</f>
        <v>57169.303989696</v>
      </c>
      <c r="J14" s="17" t="n">
        <f aca="false">(bud_chauffage_S2+bud_hors_gel_S2+bud_electricite_S2)*J7*IF(AND(J$3&gt;=st_cumul_energie_debut,J$3&lt;=st_cumul_energie_fin),st_cumul_energie_mult,1)</f>
        <v>58312.6900694899</v>
      </c>
      <c r="K14" s="17" t="n">
        <f aca="false">(bud_chauffage_S2+bud_hors_gel_S2+bud_electricite_S2)*K7*IF(AND(K$3&gt;=st_cumul_energie_debut,K$3&lt;=st_cumul_energie_fin),st_cumul_energie_mult,1)</f>
        <v>59478.9438708797</v>
      </c>
      <c r="L14" s="17" t="n">
        <f aca="false">(bud_chauffage_S2+bud_hors_gel_S2+bud_electricite_S2)*L7*IF(AND(L$3&gt;=st_cumul_energie_debut,L$3&lt;=st_cumul_energie_fin),st_cumul_energie_mult,1)</f>
        <v>60668.5227482973</v>
      </c>
      <c r="M14" s="17" t="n">
        <f aca="false">(bud_chauffage_S2+bud_hors_gel_S2+bud_electricite_S2)*M7*IF(AND(M$3&gt;=st_cumul_energie_debut,M$3&lt;=st_cumul_energie_fin),st_cumul_energie_mult,1)</f>
        <v>61881.8932032633</v>
      </c>
      <c r="N14" s="17" t="n">
        <f aca="false">(bud_chauffage_S2+bud_hors_gel_S2+bud_electricite_S2)*N7*IF(AND(N$3&gt;=st_cumul_energie_debut,N$3&lt;=st_cumul_energie_fin),st_cumul_energie_mult,1)</f>
        <v>63119.5310673285</v>
      </c>
      <c r="O14" s="17" t="n">
        <f aca="false">(bud_chauffage_S2+bud_hors_gel_S2+bud_electricite_S2)*O7*IF(AND(O$3&gt;=st_cumul_energie_debut,O$3&lt;=st_cumul_energie_fin),st_cumul_energie_mult,1)</f>
        <v>64381.9216886751</v>
      </c>
      <c r="P14" s="17" t="n">
        <f aca="false">(bud_chauffage_S2+bud_hors_gel_S2+bud_electricite_S2)*P7*IF(AND(P$3&gt;=st_cumul_energie_debut,P$3&lt;=st_cumul_energie_fin),st_cumul_energie_mult,1)</f>
        <v>65669.5601224486</v>
      </c>
      <c r="Q14" s="17" t="n">
        <f aca="false">(bud_chauffage_S2+bud_hors_gel_S2+bud_electricite_S2)*Q7*IF(AND(Q$3&gt;=st_cumul_energie_debut,Q$3&lt;=st_cumul_energie_fin),st_cumul_energie_mult,1)</f>
        <v>66982.9513248976</v>
      </c>
      <c r="R14" s="17" t="n">
        <f aca="false">(bud_chauffage_S2+bud_hors_gel_S2+bud_electricite_S2)*R7*IF(AND(R$3&gt;=st_cumul_energie_debut,R$3&lt;=st_cumul_energie_fin),st_cumul_energie_mult,1)</f>
        <v>68322.6103513955</v>
      </c>
      <c r="S14" s="17" t="n">
        <f aca="false">(bud_chauffage_S2+bud_hors_gel_S2+bud_electricite_S2)*S7*IF(AND(S$3&gt;=st_cumul_energie_debut,S$3&lt;=st_cumul_energie_fin),st_cumul_energie_mult,1)</f>
        <v>69689.0625584235</v>
      </c>
      <c r="T14" s="17" t="n">
        <f aca="false">(bud_chauffage_S2+bud_hors_gel_S2+bud_electricite_S2)*T7*IF(AND(T$3&gt;=st_cumul_energie_debut,T$3&lt;=st_cumul_energie_fin),st_cumul_energie_mult,1)</f>
        <v>71082.8438095919</v>
      </c>
      <c r="U14" s="17" t="n">
        <f aca="false">(bud_chauffage_S2+bud_hors_gel_S2+bud_electricite_S2)*U7*IF(AND(U$3&gt;=st_cumul_energie_debut,U$3&lt;=st_cumul_energie_fin),st_cumul_energie_mult,1)</f>
        <v>72504.5006857838</v>
      </c>
      <c r="V14" s="17" t="n">
        <f aca="false">(bud_chauffage_S2+bud_hors_gel_S2+bud_electricite_S2)*V7*IF(AND(V$3&gt;=st_cumul_energie_debut,V$3&lt;=st_cumul_energie_fin),st_cumul_energie_mult,1)</f>
        <v>73954.5906994994</v>
      </c>
      <c r="W14" s="17" t="n">
        <f aca="false">(bud_chauffage_S2+bud_hors_gel_S2+bud_electricite_S2)*W7*IF(AND(W$3&gt;=st_cumul_energie_debut,W$3&lt;=st_cumul_energie_fin),st_cumul_energie_mult,1)</f>
        <v>75433.6825134894</v>
      </c>
      <c r="X14" s="17" t="n">
        <f aca="false">(bud_chauffage_S2+bud_hors_gel_S2+bud_electricite_S2)*X7*IF(AND(X$3&gt;=st_cumul_energie_debut,X$3&lt;=st_cumul_energie_fin),st_cumul_energie_mult,1)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1283630.7003125</v>
      </c>
      <c r="F18" s="23" t="n">
        <f aca="false">F13+F14+F15+F16+F17</f>
        <v>1294285.91615234</v>
      </c>
      <c r="G18" s="23" t="n">
        <f aca="false">G13+G14+G15+G16+G17</f>
        <v>1305089.74111934</v>
      </c>
      <c r="H18" s="23" t="n">
        <f aca="false">H13+H14+H15+H16+H17</f>
        <v>1316044.41892518</v>
      </c>
      <c r="I18" s="23" t="n">
        <f aca="false">I13+I14+I15+I16+I17</f>
        <v>1327152.22897184</v>
      </c>
      <c r="J18" s="23" t="n">
        <f aca="false">J13+J14+J15+J16+J17</f>
        <v>1338415.48693983</v>
      </c>
      <c r="K18" s="23" t="n">
        <f aca="false">K13+K14+K15+K16+K17</f>
        <v>1349836.54538631</v>
      </c>
      <c r="L18" s="23" t="n">
        <f aca="false">L13+L14+L15+L16+L17</f>
        <v>1361417.79435345</v>
      </c>
      <c r="M18" s="23" t="n">
        <f aca="false">M13+M14+M15+M16+M17</f>
        <v>1373161.66198697</v>
      </c>
      <c r="N18" s="23" t="n">
        <f aca="false">N13+N14+N15+N16+N17</f>
        <v>1385070.61516526</v>
      </c>
      <c r="O18" s="23" t="n">
        <f aca="false">O13+O14+O15+O16+O17</f>
        <v>1397147.16013908</v>
      </c>
      <c r="P18" s="23" t="n">
        <f aca="false">P13+P14+P15+P16+P17</f>
        <v>1409393.84318219</v>
      </c>
      <c r="Q18" s="23" t="n">
        <f aca="false">Q13+Q14+Q15+Q16+Q17</f>
        <v>1421813.25125294</v>
      </c>
      <c r="R18" s="23" t="n">
        <f aca="false">R13+R14+R15+R16+R17</f>
        <v>1434408.0126671</v>
      </c>
      <c r="S18" s="23" t="n">
        <f aca="false">S13+S14+S15+S16+S17</f>
        <v>1447180.79778221</v>
      </c>
      <c r="T18" s="23" t="n">
        <f aca="false">T13+T14+T15+T16+T17</f>
        <v>1460134.31969336</v>
      </c>
      <c r="U18" s="23" t="n">
        <f aca="false">U13+U14+U15+U16+U17</f>
        <v>1473271.33494098</v>
      </c>
      <c r="V18" s="23" t="n">
        <f aca="false">V13+V14+V15+V16+V17</f>
        <v>1486594.64423052</v>
      </c>
      <c r="W18" s="23" t="n">
        <f aca="false">W13+W14+W15+W16+W17</f>
        <v>1500107.09316445</v>
      </c>
      <c r="X18" s="23" t="n">
        <f aca="false">X13+X14+X15+X16+X17</f>
        <v>1513811.57298665</v>
      </c>
    </row>
    <row r="19" customFormat="false" ht="15" hidden="false" customHeight="false" outlineLevel="0" collapsed="false">
      <c r="A19" s="2" t="s">
        <v>1850</v>
      </c>
      <c r="B19" s="2" t="s">
        <v>1851</v>
      </c>
      <c r="C19" s="2" t="s">
        <v>1839</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1400422.58710973</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1442910.27499031</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1486687.00493438</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1531791.88543486</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1578265.21150474</v>
      </c>
    </row>
    <row r="20" customFormat="false" ht="15" hidden="false" customHeight="false" outlineLevel="0" collapsed="false">
      <c r="A20" s="2" t="s">
        <v>1852</v>
      </c>
      <c r="B20" s="2" t="s">
        <v>1853</v>
      </c>
      <c r="C20" s="2" t="s">
        <v>1839</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600000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(S2_ech_log*mot_log_cn+S2_ech_stock*mot_stock_cn+S2_ech_pv*mot_pv_cn+S2_ech_bois*mot_bois_cn)*E24*E9*IF(E$3&gt;=st_cumul_debut_mult,st_cumul_mult_A,1)*IF(E11=1,1-0.05,IF(E11=2,1-0.02,1))</f>
        <v>21930.4</v>
      </c>
      <c r="F25" s="17" t="n">
        <f aca="false">(S2_ech_log*mot_log_cn+S2_ech_stock*mot_stock_cn+S2_ech_pv*mot_pv_cn+S2_ech_bois*mot_bois_cn)*F24*F9*IF(F$3&gt;=st_cumul_debut_mult,st_cumul_mult_A,1)*IF(F11=1,1-0.05,IF(F11=2,1-0.02,1))</f>
        <v>41119.5</v>
      </c>
      <c r="G25" s="17" t="n">
        <f aca="false">(S2_ech_log*mot_log_cn+S2_ech_stock*mot_stock_cn+S2_ech_pv*mot_pv_cn+S2_ech_bois*mot_bois_cn)*G24*G9*IF(G$3&gt;=st_cumul_debut_mult,st_cumul_mult_A,1)*IF(G11=1,1-0.05,IF(G11=2,1-0.02,1))</f>
        <v>38378.2</v>
      </c>
      <c r="H25" s="17" t="n">
        <f aca="false">(S2_ech_log*mot_log_cn+S2_ech_stock*mot_stock_cn+S2_ech_pv*mot_pv_cn+S2_ech_bois*mot_bois_cn)*H24*H9*IF(H$3&gt;=st_cumul_debut_mult,st_cumul_mult_A,1)*IF(H11=1,1-0.05,IF(H11=2,1-0.02,1))</f>
        <v>38378.2</v>
      </c>
      <c r="I25" s="17" t="n">
        <f aca="false">(S2_ech_log*mot_log_cn+S2_ech_stock*mot_stock_cn+S2_ech_pv*mot_pv_cn+S2_ech_bois*mot_bois_cn)*I24*I9*IF(I$3&gt;=st_cumul_debut_mult,st_cumul_mult_A,1)*IF(I11=1,1-0.05,IF(I11=2,1-0.02,1))</f>
        <v>36459.29</v>
      </c>
      <c r="J25" s="17" t="n">
        <f aca="false">(S2_ech_log*mot_log_cn+S2_ech_stock*mot_stock_cn+S2_ech_pv*mot_pv_cn+S2_ech_bois*mot_bois_cn)*J24*J9*IF(J$3&gt;=st_cumul_debut_mult,st_cumul_mult_A,1)*IF(J11=1,1-0.05,IF(J11=2,1-0.02,1))</f>
        <v>37610.636</v>
      </c>
      <c r="K25" s="17" t="n">
        <f aca="false">(S2_ech_log*mot_log_cn+S2_ech_stock*mot_stock_cn+S2_ech_pv*mot_pv_cn+S2_ech_bois*mot_bois_cn)*K24*K9*IF(K$3&gt;=st_cumul_debut_mult,st_cumul_mult_A,1)*IF(K11=1,1-0.05,IF(K11=2,1-0.02,1))</f>
        <v>38378.2</v>
      </c>
      <c r="L25" s="17" t="n">
        <f aca="false">(S2_ech_log*mot_log_cn+S2_ech_stock*mot_stock_cn+S2_ech_pv*mot_pv_cn+S2_ech_bois*mot_bois_cn)*L24*L9*IF(L$3&gt;=st_cumul_debut_mult,st_cumul_mult_A,1)*IF(L11=1,1-0.05,IF(L11=2,1-0.02,1))</f>
        <v>38378.2</v>
      </c>
      <c r="M25" s="17" t="n">
        <f aca="false">(S2_ech_log*mot_log_cn+S2_ech_stock*mot_stock_cn+S2_ech_pv*mot_pv_cn+S2_ech_bois*mot_bois_cn)*M24*M9*IF(M$3&gt;=st_cumul_debut_mult,st_cumul_mult_A,1)*IF(M11=1,1-0.05,IF(M11=2,1-0.02,1))</f>
        <v>38378.2</v>
      </c>
      <c r="N25" s="17" t="n">
        <f aca="false">(S2_ech_log*mot_log_cn+S2_ech_stock*mot_stock_cn+S2_ech_pv*mot_pv_cn+S2_ech_bois*mot_bois_cn)*N24*N9*IF(N$3&gt;=st_cumul_debut_mult,st_cumul_mult_A,1)*IF(N11=1,1-0.05,IF(N11=2,1-0.02,1))</f>
        <v>38378.2</v>
      </c>
      <c r="O25" s="17" t="n">
        <f aca="false">(S2_ech_log*mot_log_cn+S2_ech_stock*mot_stock_cn+S2_ech_pv*mot_pv_cn+S2_ech_bois*mot_bois_cn)*O24*O9*IF(O$3&gt;=st_cumul_debut_mult,st_cumul_mult_A,1)*IF(O11=1,1-0.05,IF(O11=2,1-0.02,1))</f>
        <v>38378.2</v>
      </c>
      <c r="P25" s="17" t="n">
        <f aca="false">(S2_ech_log*mot_log_cn+S2_ech_stock*mot_stock_cn+S2_ech_pv*mot_pv_cn+S2_ech_bois*mot_bois_cn)*P24*P9*IF(P$3&gt;=st_cumul_debut_mult,st_cumul_mult_A,1)*IF(P11=1,1-0.05,IF(P11=2,1-0.02,1))</f>
        <v>38378.2</v>
      </c>
      <c r="Q25" s="17" t="n">
        <f aca="false">(S2_ech_log*mot_log_cn+S2_ech_stock*mot_stock_cn+S2_ech_pv*mot_pv_cn+S2_ech_bois*mot_bois_cn)*Q24*Q9*IF(Q$3&gt;=st_cumul_debut_mult,st_cumul_mult_A,1)*IF(Q11=1,1-0.05,IF(Q11=2,1-0.02,1))</f>
        <v>38378.2</v>
      </c>
      <c r="R25" s="17" t="n">
        <f aca="false">(S2_ech_log*mot_log_cn+S2_ech_stock*mot_stock_cn+S2_ech_pv*mot_pv_cn+S2_ech_bois*mot_bois_cn)*R24*R9*IF(R$3&gt;=st_cumul_debut_mult,st_cumul_mult_A,1)*IF(R11=1,1-0.05,IF(R11=2,1-0.02,1))</f>
        <v>38378.2</v>
      </c>
      <c r="S25" s="17" t="n">
        <f aca="false">(S2_ech_log*mot_log_cn+S2_ech_stock*mot_stock_cn+S2_ech_pv*mot_pv_cn+S2_ech_bois*mot_bois_cn)*S24*S9*IF(S$3&gt;=st_cumul_debut_mult,st_cumul_mult_A,1)*IF(S11=1,1-0.05,IF(S11=2,1-0.02,1))</f>
        <v>38378.2</v>
      </c>
      <c r="T25" s="17" t="n">
        <f aca="false">(S2_ech_log*mot_log_cn+S2_ech_stock*mot_stock_cn+S2_ech_pv*mot_pv_cn+S2_ech_bois*mot_bois_cn)*T24*T9*IF(T$3&gt;=st_cumul_debut_mult,st_cumul_mult_A,1)*IF(T11=1,1-0.05,IF(T11=2,1-0.02,1))</f>
        <v>38378.2</v>
      </c>
      <c r="U25" s="17" t="n">
        <f aca="false">(S2_ech_log*mot_log_cn+S2_ech_stock*mot_stock_cn+S2_ech_pv*mot_pv_cn+S2_ech_bois*mot_bois_cn)*U24*U9*IF(U$3&gt;=st_cumul_debut_mult,st_cumul_mult_A,1)*IF(U11=1,1-0.05,IF(U11=2,1-0.02,1))</f>
        <v>38378.2</v>
      </c>
      <c r="V25" s="17" t="n">
        <f aca="false">(S2_ech_log*mot_log_cn+S2_ech_stock*mot_stock_cn+S2_ech_pv*mot_pv_cn+S2_ech_bois*mot_bois_cn)*V24*V9*IF(V$3&gt;=st_cumul_debut_mult,st_cumul_mult_A,1)*IF(V11=1,1-0.05,IF(V11=2,1-0.02,1))</f>
        <v>38378.2</v>
      </c>
      <c r="W25" s="17" t="n">
        <f aca="false">(S2_ech_log*mot_log_cn+S2_ech_stock*mot_stock_cn+S2_ech_pv*mot_pv_cn+S2_ech_bois*mot_bois_cn)*W24*W9*IF(W$3&gt;=st_cumul_debut_mult,st_cumul_mult_A,1)*IF(W11=1,1-0.05,IF(W11=2,1-0.02,1))</f>
        <v>38378.2</v>
      </c>
      <c r="X25" s="17" t="n">
        <f aca="false">(S2_ech_log*mot_log_cn+S2_ech_stock*mot_stock_cn+S2_ech_pv*mot_pv_cn+S2_ech_bois*mot_bois_cn)*X24*X9*IF(X$3&gt;=st_cumul_debut_mult,st_cumul_mult_A,1)*IF(X11=1,1-0.05,IF(X11=2,1-0.02,1))</f>
        <v>38378.2</v>
      </c>
    </row>
    <row r="26" customFormat="false" ht="15" hidden="false" customHeight="false" outlineLevel="0" collapsed="false">
      <c r="A26" s="2" t="s">
        <v>1864</v>
      </c>
      <c r="B26" s="2" t="s">
        <v>1865</v>
      </c>
      <c r="C26" s="2" t="s">
        <v>1839</v>
      </c>
      <c r="E26" s="17" t="n">
        <f aca="false">(S2_ech_eq_ret*mot_eq_ret_cn)*E24*E9*IF(E$3&gt;=st_cumul_debut_mult,st_cumul_mult_B,1)*IF(E11=1,1-0.15,IF(E11=2,1-0.05,1))</f>
        <v>4039.2</v>
      </c>
      <c r="F26" s="17" t="n">
        <f aca="false">(S2_ech_eq_ret*mot_eq_ret_cn)*F24*F9*IF(F$3&gt;=st_cumul_debut_mult,st_cumul_mult_B,1)*IF(F11=1,1-0.15,IF(F11=2,1-0.05,1))</f>
        <v>7573.5</v>
      </c>
      <c r="G26" s="17" t="n">
        <f aca="false">(S2_ech_eq_ret*mot_eq_ret_cn)*G24*G9*IF(G$3&gt;=st_cumul_debut_mult,st_cumul_mult_B,1)*IF(G11=1,1-0.15,IF(G11=2,1-0.05,1))</f>
        <v>7068.6</v>
      </c>
      <c r="H26" s="17" t="n">
        <f aca="false">(S2_ech_eq_ret*mot_eq_ret_cn)*H24*H9*IF(H$3&gt;=st_cumul_debut_mult,st_cumul_mult_B,1)*IF(H11=1,1-0.15,IF(H11=2,1-0.05,1))</f>
        <v>7068.6</v>
      </c>
      <c r="I26" s="17" t="n">
        <f aca="false">(S2_ech_eq_ret*mot_eq_ret_cn)*I24*I9*IF(I$3&gt;=st_cumul_debut_mult,st_cumul_mult_B,1)*IF(I11=1,1-0.15,IF(I11=2,1-0.05,1))</f>
        <v>6008.31</v>
      </c>
      <c r="J26" s="17" t="n">
        <f aca="false">(S2_ech_eq_ret*mot_eq_ret_cn)*J24*J9*IF(J$3&gt;=st_cumul_debut_mult,st_cumul_mult_B,1)*IF(J11=1,1-0.15,IF(J11=2,1-0.05,1))</f>
        <v>6715.17</v>
      </c>
      <c r="K26" s="17" t="n">
        <f aca="false">(S2_ech_eq_ret*mot_eq_ret_cn)*K24*K9*IF(K$3&gt;=st_cumul_debut_mult,st_cumul_mult_B,1)*IF(K11=1,1-0.15,IF(K11=2,1-0.05,1))</f>
        <v>7068.6</v>
      </c>
      <c r="L26" s="17" t="n">
        <f aca="false">(S2_ech_eq_ret*mot_eq_ret_cn)*L24*L9*IF(L$3&gt;=st_cumul_debut_mult,st_cumul_mult_B,1)*IF(L11=1,1-0.15,IF(L11=2,1-0.05,1))</f>
        <v>7068.6</v>
      </c>
      <c r="M26" s="17" t="n">
        <f aca="false">(S2_ech_eq_ret*mot_eq_ret_cn)*M24*M9*IF(M$3&gt;=st_cumul_debut_mult,st_cumul_mult_B,1)*IF(M11=1,1-0.15,IF(M11=2,1-0.05,1))</f>
        <v>7068.6</v>
      </c>
      <c r="N26" s="17" t="n">
        <f aca="false">(S2_ech_eq_ret*mot_eq_ret_cn)*N24*N9*IF(N$3&gt;=st_cumul_debut_mult,st_cumul_mult_B,1)*IF(N11=1,1-0.15,IF(N11=2,1-0.05,1))</f>
        <v>7068.6</v>
      </c>
      <c r="O26" s="17" t="n">
        <f aca="false">(S2_ech_eq_ret*mot_eq_ret_cn)*O24*O9*IF(O$3&gt;=st_cumul_debut_mult,st_cumul_mult_B,1)*IF(O11=1,1-0.15,IF(O11=2,1-0.05,1))</f>
        <v>7068.6</v>
      </c>
      <c r="P26" s="17" t="n">
        <f aca="false">(S2_ech_eq_ret*mot_eq_ret_cn)*P24*P9*IF(P$3&gt;=st_cumul_debut_mult,st_cumul_mult_B,1)*IF(P11=1,1-0.15,IF(P11=2,1-0.05,1))</f>
        <v>7068.6</v>
      </c>
      <c r="Q26" s="17" t="n">
        <f aca="false">(S2_ech_eq_ret*mot_eq_ret_cn)*Q24*Q9*IF(Q$3&gt;=st_cumul_debut_mult,st_cumul_mult_B,1)*IF(Q11=1,1-0.15,IF(Q11=2,1-0.05,1))</f>
        <v>7068.6</v>
      </c>
      <c r="R26" s="17" t="n">
        <f aca="false">(S2_ech_eq_ret*mot_eq_ret_cn)*R24*R9*IF(R$3&gt;=st_cumul_debut_mult,st_cumul_mult_B,1)*IF(R11=1,1-0.15,IF(R11=2,1-0.05,1))</f>
        <v>7068.6</v>
      </c>
      <c r="S26" s="17" t="n">
        <f aca="false">(S2_ech_eq_ret*mot_eq_ret_cn)*S24*S9*IF(S$3&gt;=st_cumul_debut_mult,st_cumul_mult_B,1)*IF(S11=1,1-0.15,IF(S11=2,1-0.05,1))</f>
        <v>7068.6</v>
      </c>
      <c r="T26" s="17" t="n">
        <f aca="false">(S2_ech_eq_ret*mot_eq_ret_cn)*T24*T9*IF(T$3&gt;=st_cumul_debut_mult,st_cumul_mult_B,1)*IF(T11=1,1-0.15,IF(T11=2,1-0.05,1))</f>
        <v>7068.6</v>
      </c>
      <c r="U26" s="17" t="n">
        <f aca="false">(S2_ech_eq_ret*mot_eq_ret_cn)*U24*U9*IF(U$3&gt;=st_cumul_debut_mult,st_cumul_mult_B,1)*IF(U11=1,1-0.15,IF(U11=2,1-0.05,1))</f>
        <v>7068.6</v>
      </c>
      <c r="V26" s="17" t="n">
        <f aca="false">(S2_ech_eq_ret*mot_eq_ret_cn)*V24*V9*IF(V$3&gt;=st_cumul_debut_mult,st_cumul_mult_B,1)*IF(V11=1,1-0.15,IF(V11=2,1-0.05,1))</f>
        <v>7068.6</v>
      </c>
      <c r="W26" s="17" t="n">
        <f aca="false">(S2_ech_eq_ret*mot_eq_ret_cn)*W24*W9*IF(W$3&gt;=st_cumul_debut_mult,st_cumul_mult_B,1)*IF(W11=1,1-0.15,IF(W11=2,1-0.05,1))</f>
        <v>7068.6</v>
      </c>
      <c r="X26" s="17" t="n">
        <f aca="false">(S2_ech_eq_ret*mot_eq_ret_cn)*X24*X9*IF(X$3&gt;=st_cumul_debut_mult,st_cumul_mult_B,1)*IF(X11=1,1-0.15,IF(X11=2,1-0.05,1))</f>
        <v>7068.6</v>
      </c>
    </row>
    <row r="27" customFormat="false" ht="15" hidden="false" customHeight="false" outlineLevel="0" collapsed="false">
      <c r="A27" s="2" t="s">
        <v>1866</v>
      </c>
      <c r="B27" s="2" t="s">
        <v>1867</v>
      </c>
      <c r="C27" s="2" t="s">
        <v>1839</v>
      </c>
      <c r="E27" s="17" t="n">
        <f aca="false">(S2_ech_tourn*mot_tourn_cn)*E24*E9*IF(E$3&gt;=st_cumul_debut_mult,st_cumul_mult_C,1)*IF(E11=1,1-0.8,IF(E11=2,1-0.3,1))</f>
        <v>2380</v>
      </c>
      <c r="F27" s="17" t="n">
        <f aca="false">(S2_ech_tourn*mot_tourn_cn)*F24*F9*IF(F$3&gt;=st_cumul_debut_mult,st_cumul_mult_C,1)*IF(F11=1,1-0.8,IF(F11=2,1-0.3,1))</f>
        <v>4462.5</v>
      </c>
      <c r="G27" s="17" t="n">
        <f aca="false">(S2_ech_tourn*mot_tourn_cn)*G24*G9*IF(G$3&gt;=st_cumul_debut_mult,st_cumul_mult_C,1)*IF(G11=1,1-0.8,IF(G11=2,1-0.3,1))</f>
        <v>4165</v>
      </c>
      <c r="H27" s="17" t="n">
        <f aca="false">(S2_ech_tourn*mot_tourn_cn)*H24*H9*IF(H$3&gt;=st_cumul_debut_mult,st_cumul_mult_C,1)*IF(H11=1,1-0.8,IF(H11=2,1-0.3,1))</f>
        <v>4165</v>
      </c>
      <c r="I27" s="17" t="n">
        <f aca="false">(S2_ech_tourn*mot_tourn_cn)*I24*I9*IF(I$3&gt;=st_cumul_debut_mult,st_cumul_mult_C,1)*IF(I11=1,1-0.8,IF(I11=2,1-0.3,1))</f>
        <v>833</v>
      </c>
      <c r="J27" s="17" t="n">
        <f aca="false">(S2_ech_tourn*mot_tourn_cn)*J24*J9*IF(J$3&gt;=st_cumul_debut_mult,st_cumul_mult_C,1)*IF(J11=1,1-0.8,IF(J11=2,1-0.3,1))</f>
        <v>2915.5</v>
      </c>
      <c r="K27" s="17" t="n">
        <f aca="false">(S2_ech_tourn*mot_tourn_cn)*K24*K9*IF(K$3&gt;=st_cumul_debut_mult,st_cumul_mult_C,1)*IF(K11=1,1-0.8,IF(K11=2,1-0.3,1))</f>
        <v>4165</v>
      </c>
      <c r="L27" s="17" t="n">
        <f aca="false">(S2_ech_tourn*mot_tourn_cn)*L24*L9*IF(L$3&gt;=st_cumul_debut_mult,st_cumul_mult_C,1)*IF(L11=1,1-0.8,IF(L11=2,1-0.3,1))</f>
        <v>4165</v>
      </c>
      <c r="M27" s="17" t="n">
        <f aca="false">(S2_ech_tourn*mot_tourn_cn)*M24*M9*IF(M$3&gt;=st_cumul_debut_mult,st_cumul_mult_C,1)*IF(M11=1,1-0.8,IF(M11=2,1-0.3,1))</f>
        <v>4165</v>
      </c>
      <c r="N27" s="17" t="n">
        <f aca="false">(S2_ech_tourn*mot_tourn_cn)*N24*N9*IF(N$3&gt;=st_cumul_debut_mult,st_cumul_mult_C,1)*IF(N11=1,1-0.8,IF(N11=2,1-0.3,1))</f>
        <v>4165</v>
      </c>
      <c r="O27" s="17" t="n">
        <f aca="false">(S2_ech_tourn*mot_tourn_cn)*O24*O9*IF(O$3&gt;=st_cumul_debut_mult,st_cumul_mult_C,1)*IF(O11=1,1-0.8,IF(O11=2,1-0.3,1))</f>
        <v>4165</v>
      </c>
      <c r="P27" s="17" t="n">
        <f aca="false">(S2_ech_tourn*mot_tourn_cn)*P24*P9*IF(P$3&gt;=st_cumul_debut_mult,st_cumul_mult_C,1)*IF(P11=1,1-0.8,IF(P11=2,1-0.3,1))</f>
        <v>4165</v>
      </c>
      <c r="Q27" s="17" t="n">
        <f aca="false">(S2_ech_tourn*mot_tourn_cn)*Q24*Q9*IF(Q$3&gt;=st_cumul_debut_mult,st_cumul_mult_C,1)*IF(Q11=1,1-0.8,IF(Q11=2,1-0.3,1))</f>
        <v>4165</v>
      </c>
      <c r="R27" s="17" t="n">
        <f aca="false">(S2_ech_tourn*mot_tourn_cn)*R24*R9*IF(R$3&gt;=st_cumul_debut_mult,st_cumul_mult_C,1)*IF(R11=1,1-0.8,IF(R11=2,1-0.3,1))</f>
        <v>4165</v>
      </c>
      <c r="S27" s="17" t="n">
        <f aca="false">(S2_ech_tourn*mot_tourn_cn)*S24*S9*IF(S$3&gt;=st_cumul_debut_mult,st_cumul_mult_C,1)*IF(S11=1,1-0.8,IF(S11=2,1-0.3,1))</f>
        <v>4165</v>
      </c>
      <c r="T27" s="17" t="n">
        <f aca="false">(S2_ech_tourn*mot_tourn_cn)*T24*T9*IF(T$3&gt;=st_cumul_debut_mult,st_cumul_mult_C,1)*IF(T11=1,1-0.8,IF(T11=2,1-0.3,1))</f>
        <v>4165</v>
      </c>
      <c r="U27" s="17" t="n">
        <f aca="false">(S2_ech_tourn*mot_tourn_cn)*U24*U9*IF(U$3&gt;=st_cumul_debut_mult,st_cumul_mult_C,1)*IF(U11=1,1-0.8,IF(U11=2,1-0.3,1))</f>
        <v>4165</v>
      </c>
      <c r="V27" s="17" t="n">
        <f aca="false">(S2_ech_tourn*mot_tourn_cn)*V24*V9*IF(V$3&gt;=st_cumul_debut_mult,st_cumul_mult_C,1)*IF(V11=1,1-0.8,IF(V11=2,1-0.3,1))</f>
        <v>4165</v>
      </c>
      <c r="W27" s="17" t="n">
        <f aca="false">(S2_ech_tourn*mot_tourn_cn)*W24*W9*IF(W$3&gt;=st_cumul_debut_mult,st_cumul_mult_C,1)*IF(W11=1,1-0.8,IF(W11=2,1-0.3,1))</f>
        <v>4165</v>
      </c>
      <c r="X27" s="17" t="n">
        <f aca="false">(S2_ech_tourn*mot_tourn_cn)*X24*X9*IF(X$3&gt;=st_cumul_debut_mult,st_cumul_mult_C,1)*IF(X11=1,1-0.8,IF(X11=2,1-0.3,1))</f>
        <v>4165</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49611.8</v>
      </c>
      <c r="H28" s="17" t="n">
        <f aca="false">H25+H26+H27</f>
        <v>49611.8</v>
      </c>
      <c r="I28" s="17" t="n">
        <f aca="false">I25+I26+I27</f>
        <v>43300.6</v>
      </c>
      <c r="J28" s="17" t="n">
        <f aca="false">J25+J26+J27</f>
        <v>47241.306</v>
      </c>
      <c r="K28" s="17" t="n">
        <f aca="false">K25+K26+K27</f>
        <v>49611.8</v>
      </c>
      <c r="L28" s="17" t="n">
        <f aca="false">L25+L26+L27</f>
        <v>49611.8</v>
      </c>
      <c r="M28" s="17" t="n">
        <f aca="false">M25+M26+M27</f>
        <v>49611.8</v>
      </c>
      <c r="N28" s="17" t="n">
        <f aca="false">N25+N26+N27</f>
        <v>49611.8</v>
      </c>
      <c r="O28" s="17" t="n">
        <f aca="false">O25+O26+O27</f>
        <v>49611.8</v>
      </c>
      <c r="P28" s="17" t="n">
        <f aca="false">P25+P26+P27</f>
        <v>49611.8</v>
      </c>
      <c r="Q28" s="17" t="n">
        <f aca="false">Q25+Q26+Q27</f>
        <v>49611.8</v>
      </c>
      <c r="R28" s="17" t="n">
        <f aca="false">R25+R26+R27</f>
        <v>49611.8</v>
      </c>
      <c r="S28" s="17" t="n">
        <f aca="false">S25+S26+S27</f>
        <v>49611.8</v>
      </c>
      <c r="T28" s="17" t="n">
        <f aca="false">T25+T26+T27</f>
        <v>49611.8</v>
      </c>
      <c r="U28" s="17" t="n">
        <f aca="false">U25+U26+U27</f>
        <v>49611.8</v>
      </c>
      <c r="V28" s="17" t="n">
        <f aca="false">V25+V26+V27</f>
        <v>49611.8</v>
      </c>
      <c r="W28" s="17" t="n">
        <f aca="false">W25+W26+W27</f>
        <v>49611.8</v>
      </c>
      <c r="X28" s="17" t="n">
        <f aca="false">X25+X26+X27</f>
        <v>49611.8</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29767.08</v>
      </c>
      <c r="H29" s="17" t="n">
        <f aca="false">IF(H28&gt;0,H28*(1-fuite_fiscale),H28)</f>
        <v>29767.08</v>
      </c>
      <c r="I29" s="17" t="n">
        <f aca="false">IF(I28&gt;0,I28*(1-fuite_fiscale),I28)</f>
        <v>25980.36</v>
      </c>
      <c r="J29" s="17" t="n">
        <f aca="false">IF(J28&gt;0,J28*(1-fuite_fiscale),J28)</f>
        <v>28344.7836</v>
      </c>
      <c r="K29" s="17" t="n">
        <f aca="false">IF(K28&gt;0,K28*(1-fuite_fiscale),K28)</f>
        <v>29767.08</v>
      </c>
      <c r="L29" s="17" t="n">
        <f aca="false">IF(L28&gt;0,L28*(1-fuite_fiscale),L28)</f>
        <v>29767.08</v>
      </c>
      <c r="M29" s="17" t="n">
        <f aca="false">IF(M28&gt;0,M28*(1-fuite_fiscale),M28)</f>
        <v>29767.08</v>
      </c>
      <c r="N29" s="17" t="n">
        <f aca="false">IF(N28&gt;0,N28*(1-fuite_fiscale),N28)</f>
        <v>29767.08</v>
      </c>
      <c r="O29" s="17" t="n">
        <f aca="false">IF(O28&gt;0,O28*(1-fuite_fiscale),O28)</f>
        <v>29767.08</v>
      </c>
      <c r="P29" s="17" t="n">
        <f aca="false">IF(P28&gt;0,P28*(1-fuite_fiscale),P28)</f>
        <v>29767.08</v>
      </c>
      <c r="Q29" s="17" t="n">
        <f aca="false">IF(Q28&gt;0,Q28*(1-fuite_fiscale),Q28)</f>
        <v>29767.08</v>
      </c>
      <c r="R29" s="17" t="n">
        <f aca="false">IF(R28&gt;0,R28*(1-fuite_fiscale),R28)</f>
        <v>29767.08</v>
      </c>
      <c r="S29" s="17" t="n">
        <f aca="false">IF(S28&gt;0,S28*(1-fuite_fiscale),S28)</f>
        <v>29767.08</v>
      </c>
      <c r="T29" s="17" t="n">
        <f aca="false">IF(T28&gt;0,T28*(1-fuite_fiscale),T28)</f>
        <v>29767.08</v>
      </c>
      <c r="U29" s="17" t="n">
        <f aca="false">IF(U28&gt;0,U28*(1-fuite_fiscale),U28)</f>
        <v>29767.08</v>
      </c>
      <c r="V29" s="17" t="n">
        <f aca="false">IF(V28&gt;0,V28*(1-fuite_fiscale),V28)</f>
        <v>29767.08</v>
      </c>
      <c r="W29" s="17" t="n">
        <f aca="false">IF(W28&gt;0,W28*(1-fuite_fiscale),W28)</f>
        <v>29767.08</v>
      </c>
      <c r="X29" s="17" t="n">
        <f aca="false">IF(X28&gt;0,X28*(1-fuite_fiscale),X28)</f>
        <v>29767.08</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1266620.9403125</v>
      </c>
      <c r="F35" s="17" t="n">
        <f aca="false">F13+F14+F15+F16+F17+F21+F32-F29-F23-F33-F34</f>
        <v>1262392.61615234</v>
      </c>
      <c r="G35" s="17" t="n">
        <f aca="false">G13+G14+G15+G16+G17+G21+G32-G29-G23-G33-G34</f>
        <v>1275322.66111934</v>
      </c>
      <c r="H35" s="17" t="n">
        <f aca="false">H13+H14+H15+H16+H17+H21+H32-H29-H23-H33-H34</f>
        <v>1286277.33892518</v>
      </c>
      <c r="I35" s="17" t="n">
        <f aca="false">I13+I14+I15+I16+I17+I21+I32-I29-I23-I33-I34</f>
        <v>1301171.86897184</v>
      </c>
      <c r="J35" s="17" t="n">
        <f aca="false">J13+J14+J15+J16+J17+J21+J32-J29-J23-J33-J34</f>
        <v>1910070.70333983</v>
      </c>
      <c r="K35" s="17" t="n">
        <f aca="false">K13+K14+K15+K16+K17+K21+K32-K29-K23-K33-K34</f>
        <v>1320069.46538631</v>
      </c>
      <c r="L35" s="17" t="n">
        <f aca="false">L13+L14+L15+L16+L17+L21+L32-L29-L23-L33-L34</f>
        <v>1331650.71435345</v>
      </c>
      <c r="M35" s="17" t="n">
        <f aca="false">M13+M14+M15+M16+M17+M21+M32-M29-M23-M33-M34</f>
        <v>1343394.58198697</v>
      </c>
      <c r="N35" s="17" t="n">
        <f aca="false">N13+N14+N15+N16+N17+N21+N32-N29-N23-N33-N34</f>
        <v>1355303.53516526</v>
      </c>
      <c r="O35" s="17" t="n">
        <f aca="false">O13+O14+O15+O16+O17+O21+O32-O29-O23-O33-O34</f>
        <v>1367380.08013908</v>
      </c>
      <c r="P35" s="17" t="n">
        <f aca="false">P13+P14+P15+P16+P17+P21+P32-P29-P23-P33-P34</f>
        <v>1379626.76318219</v>
      </c>
      <c r="Q35" s="17" t="n">
        <f aca="false">Q13+Q14+Q15+Q16+Q17+Q21+Q32-Q29-Q23-Q33-Q34</f>
        <v>1392046.17125294</v>
      </c>
      <c r="R35" s="17" t="n">
        <f aca="false">R13+R14+R15+R16+R17+R21+R32-R29-R23-R33-R34</f>
        <v>1404640.9326671</v>
      </c>
      <c r="S35" s="17" t="n">
        <f aca="false">S13+S14+S15+S16+S17+S21+S32-S29-S23-S33-S34</f>
        <v>1417413.71778221</v>
      </c>
      <c r="T35" s="17" t="n">
        <f aca="false">T13+T14+T15+T16+T17+T21+T32-T29-T23-T33-T34</f>
        <v>1430367.23969336</v>
      </c>
      <c r="U35" s="17" t="n">
        <f aca="false">U13+U14+U15+U16+U17+U21+U32-U29-U23-U33-U34</f>
        <v>1443504.25494098</v>
      </c>
      <c r="V35" s="17" t="n">
        <f aca="false">V13+V14+V15+V16+V17+V21+V32-V29-V23-V33-V34</f>
        <v>1456827.56423052</v>
      </c>
      <c r="W35" s="17" t="n">
        <f aca="false">W13+W14+W15+W16+W17+W21+W32-W29-W23-W33-W34</f>
        <v>1470340.01316445</v>
      </c>
      <c r="X35" s="17" t="n">
        <f aca="false">X13+X14+X15+X16+X17+X21+X32-X29-X23-X33-X34</f>
        <v>1484044.49298665</v>
      </c>
    </row>
    <row r="36" customFormat="false" ht="15" hidden="false" customHeight="false" outlineLevel="0" collapsed="false">
      <c r="A36" s="2" t="s">
        <v>1884</v>
      </c>
      <c r="B36" s="2" t="s">
        <v>1885</v>
      </c>
      <c r="C36" s="2" t="s">
        <v>1839</v>
      </c>
      <c r="E36" s="17" t="n">
        <f aca="false">IF(AND(E$3&lt;=S2_sol_div_annees,E$3&lt;=st_cumul_div_fin),S2_sol_div*IF(E11=1,0.5,1),0)</f>
        <v>1000000</v>
      </c>
      <c r="F36" s="17" t="n">
        <f aca="false">IF(AND(F$3&lt;=S2_sol_div_annees,F$3&lt;=st_cumul_div_fin),S2_sol_div*IF(F11=1,0.5,1),0)</f>
        <v>1000000</v>
      </c>
      <c r="G36" s="17" t="n">
        <f aca="false">IF(AND(G$3&lt;=S2_sol_div_annees,G$3&lt;=st_cumul_div_fin),S2_sol_div*IF(G11=1,0.5,1),0)</f>
        <v>1000000</v>
      </c>
      <c r="H36" s="17" t="n">
        <f aca="false">IF(AND(H$3&lt;=S2_sol_div_annees,H$3&lt;=st_cumul_div_fin),S2_sol_div*IF(H11=1,0.5,1),0)</f>
        <v>1000000</v>
      </c>
      <c r="I36" s="17" t="n">
        <f aca="false">IF(AND(I$3&lt;=S2_sol_div_annees,I$3&lt;=st_cumul_div_fin),S2_sol_div*IF(I11=1,0.5,1),0)</f>
        <v>500000</v>
      </c>
      <c r="J36" s="17" t="n">
        <f aca="false">IF(AND(J$3&lt;=S2_sol_div_annees,J$3&lt;=st_cumul_div_fin),S2_sol_div*IF(J11=1,0.5,1),0)</f>
        <v>1000000</v>
      </c>
      <c r="K36" s="17" t="n">
        <f aca="false">IF(AND(K$3&lt;=S2_sol_div_annees,K$3&lt;=st_cumul_div_fin),S2_sol_div*IF(K11=1,0.5,1),0)</f>
        <v>1000000</v>
      </c>
      <c r="L36" s="17" t="n">
        <f aca="false">IF(AND(L$3&lt;=S2_sol_div_annees,L$3&lt;=st_cumul_div_fin),S2_sol_div*IF(L11=1,0.5,1),0)</f>
        <v>1000000</v>
      </c>
      <c r="M36" s="17" t="n">
        <f aca="false">IF(AND(M$3&lt;=S2_sol_div_annees,M$3&lt;=st_cumul_div_fin),S2_sol_div*IF(M11=1,0.5,1),0)</f>
        <v>1000000</v>
      </c>
      <c r="N36" s="17" t="n">
        <f aca="false">IF(AND(N$3&lt;=S2_sol_div_annees,N$3&lt;=st_cumul_div_fin),S2_sol_div*IF(N11=1,0.5,1),0)</f>
        <v>1000000</v>
      </c>
      <c r="O36" s="17" t="n">
        <f aca="false">IF(AND(O$3&lt;=S2_sol_div_annees,O$3&lt;=st_cumul_div_fin),S2_sol_div*IF(O11=1,0.5,1),0)</f>
        <v>0</v>
      </c>
      <c r="P36" s="17" t="n">
        <f aca="false">IF(AND(P$3&lt;=S2_sol_div_annees,P$3&lt;=st_cumul_div_fin),S2_sol_div*IF(P11=1,0.5,1),0)</f>
        <v>0</v>
      </c>
      <c r="Q36" s="17" t="n">
        <f aca="false">IF(AND(Q$3&lt;=S2_sol_div_annees,Q$3&lt;=st_cumul_div_fin),S2_sol_div*IF(Q11=1,0.5,1),0)</f>
        <v>0</v>
      </c>
      <c r="R36" s="17" t="n">
        <f aca="false">IF(AND(R$3&lt;=S2_sol_div_annees,R$3&lt;=st_cumul_div_fin),S2_sol_div*IF(R11=1,0.5,1),0)</f>
        <v>0</v>
      </c>
      <c r="S36" s="17" t="n">
        <f aca="false">IF(AND(S$3&lt;=S2_sol_div_annees,S$3&lt;=st_cumul_div_fin),S2_sol_div*IF(S11=1,0.5,1),0)</f>
        <v>0</v>
      </c>
      <c r="T36" s="17" t="n">
        <f aca="false">IF(AND(T$3&lt;=S2_sol_div_annees,T$3&lt;=st_cumul_div_fin),S2_sol_div*IF(T11=1,0.5,1),0)</f>
        <v>0</v>
      </c>
      <c r="U36" s="17" t="n">
        <f aca="false">IF(AND(U$3&lt;=S2_sol_div_annees,U$3&lt;=st_cumul_div_fin),S2_sol_div*IF(U11=1,0.5,1),0)</f>
        <v>0</v>
      </c>
      <c r="V36" s="17" t="n">
        <f aca="false">IF(AND(V$3&lt;=S2_sol_div_annees,V$3&lt;=st_cumul_div_fin),S2_sol_div*IF(V11=1,0.5,1),0)</f>
        <v>0</v>
      </c>
      <c r="W36" s="17" t="n">
        <f aca="false">IF(AND(W$3&lt;=S2_sol_div_annees,W$3&lt;=st_cumul_div_fin),S2_sol_div*IF(W11=1,0.5,1),0)</f>
        <v>0</v>
      </c>
      <c r="X36" s="17" t="n">
        <f aca="false">IF(AND(X$3&lt;=S2_sol_div_annees,X$3&lt;=st_cumul_div_fin),S2_sol_div*IF(X11=1,0.5,1),0)</f>
        <v>0</v>
      </c>
    </row>
    <row r="37" customFormat="false" ht="15" hidden="false" customHeight="false" outlineLevel="0" collapsed="false">
      <c r="A37" s="2" t="s">
        <v>1886</v>
      </c>
      <c r="B37" s="2" t="s">
        <v>1887</v>
      </c>
      <c r="C37" s="2" t="s">
        <v>46</v>
      </c>
      <c r="E37" s="20" t="n">
        <f aca="false">dot_rendement+st_cumul_dot_rdt_delta+IF(E11=1,-0.25,0)</f>
        <v>0.02</v>
      </c>
      <c r="F37" s="20" t="n">
        <f aca="false">dot_rendement+st_cumul_dot_rdt_delta+IF(F11=1,-0.25,0)</f>
        <v>0.02</v>
      </c>
      <c r="G37" s="20" t="n">
        <f aca="false">dot_rendement+st_cumul_dot_rdt_delta+IF(G11=1,-0.25,0)</f>
        <v>0.02</v>
      </c>
      <c r="H37" s="20" t="n">
        <f aca="false">dot_rendement+st_cumul_dot_rdt_delta+IF(H11=1,-0.25,0)</f>
        <v>0.02</v>
      </c>
      <c r="I37" s="20" t="n">
        <f aca="false">dot_rendement+st_cumul_dot_rdt_delta+IF(I11=1,-0.25,0)</f>
        <v>-0.23</v>
      </c>
      <c r="J37" s="20" t="n">
        <f aca="false">dot_rendement+st_cumul_dot_rdt_delta+IF(J11=1,-0.25,0)</f>
        <v>0.02</v>
      </c>
      <c r="K37" s="20" t="n">
        <f aca="false">dot_rendement+st_cumul_dot_rdt_delta+IF(K11=1,-0.25,0)</f>
        <v>0.02</v>
      </c>
      <c r="L37" s="20" t="n">
        <f aca="false">dot_rendement+st_cumul_dot_rdt_delta+IF(L11=1,-0.25,0)</f>
        <v>0.02</v>
      </c>
      <c r="M37" s="20" t="n">
        <f aca="false">dot_rendement+st_cumul_dot_rdt_delta+IF(M11=1,-0.25,0)</f>
        <v>0.02</v>
      </c>
      <c r="N37" s="20" t="n">
        <f aca="false">dot_rendement+st_cumul_dot_rdt_delta+IF(N11=1,-0.25,0)</f>
        <v>0.02</v>
      </c>
      <c r="O37" s="20" t="n">
        <f aca="false">dot_rendement+st_cumul_dot_rdt_delta+IF(O11=1,-0.25,0)</f>
        <v>0.02</v>
      </c>
      <c r="P37" s="20" t="n">
        <f aca="false">dot_rendement+st_cumul_dot_rdt_delta+IF(P11=1,-0.25,0)</f>
        <v>0.02</v>
      </c>
      <c r="Q37" s="20" t="n">
        <f aca="false">dot_rendement+st_cumul_dot_rdt_delta+IF(Q11=1,-0.25,0)</f>
        <v>0.02</v>
      </c>
      <c r="R37" s="20" t="n">
        <f aca="false">dot_rendement+st_cumul_dot_rdt_delta+IF(R11=1,-0.25,0)</f>
        <v>0.02</v>
      </c>
      <c r="S37" s="20" t="n">
        <f aca="false">dot_rendement+st_cumul_dot_rdt_delta+IF(S11=1,-0.25,0)</f>
        <v>0.02</v>
      </c>
      <c r="T37" s="20" t="n">
        <f aca="false">dot_rendement+st_cumul_dot_rdt_delta+IF(T11=1,-0.25,0)</f>
        <v>0.02</v>
      </c>
      <c r="U37" s="20" t="n">
        <f aca="false">dot_rendement+st_cumul_dot_rdt_delta+IF(U11=1,-0.25,0)</f>
        <v>0.02</v>
      </c>
      <c r="V37" s="20" t="n">
        <f aca="false">dot_rendement+st_cumul_dot_rdt_delta+IF(V11=1,-0.25,0)</f>
        <v>0.02</v>
      </c>
      <c r="W37" s="20" t="n">
        <f aca="false">dot_rendement+st_cumul_dot_rdt_delta+IF(W11=1,-0.25,0)</f>
        <v>0.02</v>
      </c>
      <c r="X37" s="20" t="n">
        <f aca="false">dot_rendement+st_cumul_dot_rdt_delta+IF(X11=1,-0.25,0)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2103590.57670891</v>
      </c>
      <c r="G38" s="17" t="n">
        <f aca="false">lissage_depense*F38+(1-lissage_depense)*dot_taux_net*MAX(0,F44)</f>
        <v>2113946.89002677</v>
      </c>
      <c r="H38" s="17" t="n">
        <f aca="false">lissage_depense*G38+(1-lissage_depense)*dot_taux_net*MAX(0,G44)</f>
        <v>2129819.3941213</v>
      </c>
      <c r="I38" s="17" t="n">
        <f aca="false">lissage_depense*H38+(1-lissage_depense)*dot_taux_net*MAX(0,H44)</f>
        <v>2150217.4260153</v>
      </c>
      <c r="J38" s="17" t="n">
        <f aca="false">lissage_depense*I38+(1-lissage_depense)*dot_taux_net*MAX(0,I44)</f>
        <v>2060996.42735161</v>
      </c>
      <c r="K38" s="17" t="n">
        <f aca="false">lissage_depense*J38+(1-lissage_depense)*dot_taux_net*MAX(0,J44)</f>
        <v>1993177.89017256</v>
      </c>
      <c r="L38" s="17" t="n">
        <f aca="false">lissage_depense*K38+(1-lissage_depense)*dot_taux_net*MAX(0,K44)</f>
        <v>1944616.62169761</v>
      </c>
      <c r="M38" s="17" t="n">
        <f aca="false">lissage_depense*L38+(1-lissage_depense)*dot_taux_net*MAX(0,L44)</f>
        <v>1911533.622082</v>
      </c>
      <c r="N38" s="17" t="n">
        <f aca="false">lissage_depense*M38+(1-lissage_depense)*dot_taux_net*MAX(0,M44)</f>
        <v>1890906.55825305</v>
      </c>
      <c r="O38" s="17" t="n">
        <f aca="false">lissage_depense*N38+(1-lissage_depense)*dot_taux_net*MAX(0,N44)</f>
        <v>1880318.43905125</v>
      </c>
      <c r="P38" s="17" t="n">
        <f aca="false">lissage_depense*O38+(1-lissage_depense)*dot_taux_net*MAX(0,O44)</f>
        <v>1874336.55537202</v>
      </c>
      <c r="Q38" s="17" t="n">
        <f aca="false">lissage_depense*P38+(1-lissage_depense)*dot_taux_net*MAX(0,P44)</f>
        <v>1872045.63230592</v>
      </c>
      <c r="R38" s="17" t="n">
        <f aca="false">lissage_depense*Q38+(1-lissage_depense)*dot_taux_net*MAX(0,Q44)</f>
        <v>1872712.95087609</v>
      </c>
      <c r="S38" s="17" t="n">
        <f aca="false">lissage_depense*R38+(1-lissage_depense)*dot_taux_net*MAX(0,R44)</f>
        <v>1875751.81745133</v>
      </c>
      <c r="T38" s="17" t="n">
        <f aca="false">lissage_depense*S38+(1-lissage_depense)*dot_taux_net*MAX(0,S44)</f>
        <v>1880692.33873789</v>
      </c>
      <c r="U38" s="17" t="n">
        <f aca="false">lissage_depense*T38+(1-lissage_depense)*dot_taux_net*MAX(0,T44)</f>
        <v>1887158.04122074</v>
      </c>
      <c r="V38" s="17" t="n">
        <f aca="false">lissage_depense*U38+(1-lissage_depense)*dot_taux_net*MAX(0,U44)</f>
        <v>1894847.16615109</v>
      </c>
      <c r="W38" s="17" t="n">
        <f aca="false">lissage_depense*V38+(1-lissage_depense)*dot_taux_net*MAX(0,V44)</f>
        <v>1903517.70495684</v>
      </c>
      <c r="X38" s="17" t="n">
        <f aca="false">lissage_depense*W38+(1-lissage_depense)*dot_taux_net*MAX(0,W44)</f>
        <v>1912975.42697716</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1512381.55054475</v>
      </c>
      <c r="G39" s="23" t="n">
        <f aca="false">S2_sol_reserve0*MAX(F18,bud_total_besoin_S2)/bud_total_besoin_S2</f>
        <v>1524935.59108719</v>
      </c>
      <c r="H39" s="23" t="n">
        <f aca="false">S2_sol_reserve0*MAX(G18,bud_total_besoin_S2)/bud_total_besoin_S2</f>
        <v>1537664.72381316</v>
      </c>
      <c r="I39" s="23" t="n">
        <f aca="false">S2_sol_reserve0*MAX(H18,bud_total_besoin_S2)/bud_total_besoin_S2</f>
        <v>1550571.59227749</v>
      </c>
      <c r="J39" s="23" t="n">
        <f aca="false">S2_sol_reserve0*MAX(I18,bud_total_besoin_S2)/bud_total_besoin_S2</f>
        <v>1563658.88208556</v>
      </c>
      <c r="K39" s="23" t="n">
        <f aca="false">S2_sol_reserve0*MAX(J18,bud_total_besoin_S2)/bud_total_besoin_S2</f>
        <v>1576929.32158631</v>
      </c>
      <c r="L39" s="23" t="n">
        <f aca="false">S2_sol_reserve0*MAX(K18,bud_total_besoin_S2)/bud_total_besoin_S2</f>
        <v>1590385.68257702</v>
      </c>
      <c r="M39" s="23" t="n">
        <f aca="false">S2_sol_reserve0*MAX(L18,bud_total_besoin_S2)/bud_total_besoin_S2</f>
        <v>1604030.78101997</v>
      </c>
      <c r="N39" s="23" t="n">
        <f aca="false">S2_sol_reserve0*MAX(M18,bud_total_besoin_S2)/bud_total_besoin_S2</f>
        <v>1617867.47777135</v>
      </c>
      <c r="O39" s="23" t="n">
        <f aca="false">S2_sol_reserve0*MAX(N18,bud_total_besoin_S2)/bud_total_besoin_S2</f>
        <v>1631898.67932236</v>
      </c>
      <c r="P39" s="23" t="n">
        <f aca="false">S2_sol_reserve0*MAX(O18,bud_total_besoin_S2)/bud_total_besoin_S2</f>
        <v>1646127.338553</v>
      </c>
      <c r="Q39" s="23" t="n">
        <f aca="false">S2_sol_reserve0*MAX(P18,bud_total_besoin_S2)/bud_total_besoin_S2</f>
        <v>1660556.4554986</v>
      </c>
      <c r="R39" s="23" t="n">
        <f aca="false">S2_sol_reserve0*MAX(Q18,bud_total_besoin_S2)/bud_total_besoin_S2</f>
        <v>1675189.07812931</v>
      </c>
      <c r="S39" s="23" t="n">
        <f aca="false">S2_sol_reserve0*MAX(R18,bud_total_besoin_S2)/bud_total_besoin_S2</f>
        <v>1690028.30314291</v>
      </c>
      <c r="T39" s="23" t="n">
        <f aca="false">S2_sol_reserve0*MAX(S18,bud_total_besoin_S2)/bud_total_besoin_S2</f>
        <v>1705077.27677096</v>
      </c>
      <c r="U39" s="23" t="n">
        <f aca="false">S2_sol_reserve0*MAX(T18,bud_total_besoin_S2)/bud_total_besoin_S2</f>
        <v>1720339.19559873</v>
      </c>
      <c r="V39" s="23" t="n">
        <f aca="false">S2_sol_reserve0*MAX(U18,bud_total_besoin_S2)/bud_total_besoin_S2</f>
        <v>1735817.30739903</v>
      </c>
      <c r="W39" s="23" t="n">
        <f aca="false">S2_sol_reserve0*MAX(V18,bud_total_besoin_S2)/bud_total_besoin_S2</f>
        <v>1751514.91198015</v>
      </c>
      <c r="X39" s="23" t="n">
        <f aca="false">S2_sol_reserve0*MAX(W18,bud_total_besoin_S2)/bud_total_besoin_S2</f>
        <v>1767435.36204837</v>
      </c>
    </row>
    <row r="40" customFormat="false" ht="15" hidden="false" customHeight="false" outlineLevel="0" collapsed="false">
      <c r="A40" s="2" t="s">
        <v>1892</v>
      </c>
      <c r="B40" s="2" t="s">
        <v>1893</v>
      </c>
      <c r="C40" s="2" t="s">
        <v>1839</v>
      </c>
      <c r="E40" s="17" t="n">
        <f aca="false">MAX(0,E39-D45*(1+taux_reserve))</f>
        <v>7500</v>
      </c>
      <c r="F40" s="17" t="n">
        <f aca="false">MAX(0,F39-E45*(1+taux_reserve))</f>
        <v>19881.5505447462</v>
      </c>
      <c r="G40" s="17" t="n">
        <f aca="false">MAX(0,G39-F45*(1+taux_reserve))</f>
        <v>20115.94829517</v>
      </c>
      <c r="H40" s="17" t="n">
        <f aca="false">MAX(0,H39-G45*(1+taux_reserve))</f>
        <v>20353.8106814027</v>
      </c>
      <c r="I40" s="17" t="n">
        <f aca="false">MAX(0,I39-H45*(1+taux_reserve))</f>
        <v>20595.1920833976</v>
      </c>
      <c r="J40" s="17" t="n">
        <f aca="false">MAX(0,J39-I45*(1+taux_reserve))</f>
        <v>20840.1477694584</v>
      </c>
      <c r="K40" s="17" t="n">
        <f aca="false">MAX(0,K39-J45*(1+taux_reserve))</f>
        <v>21088.7339111785</v>
      </c>
      <c r="L40" s="17" t="n">
        <f aca="false">MAX(0,L39-K45*(1+taux_reserve))</f>
        <v>21341.0075986353</v>
      </c>
      <c r="M40" s="17" t="n">
        <f aca="false">MAX(0,M39-L45*(1+taux_reserve))</f>
        <v>21597.0268558429</v>
      </c>
      <c r="N40" s="17" t="n">
        <f aca="false">MAX(0,N39-M45*(1+taux_reserve))</f>
        <v>21856.8506564763</v>
      </c>
      <c r="O40" s="17" t="n">
        <f aca="false">MAX(0,O39-N45*(1+taux_reserve))</f>
        <v>22120.5389398632</v>
      </c>
      <c r="P40" s="17" t="n">
        <f aca="false">MAX(0,P39-O45*(1+taux_reserve))</f>
        <v>22388.152627253</v>
      </c>
      <c r="Q40" s="17" t="n">
        <f aca="false">MAX(0,Q39-P45*(1+taux_reserve))</f>
        <v>22659.7536383618</v>
      </c>
      <c r="R40" s="17" t="n">
        <f aca="false">MAX(0,R39-Q45*(1+taux_reserve))</f>
        <v>22935.4049082105</v>
      </c>
      <c r="S40" s="17" t="n">
        <f aca="false">MAX(0,S39-R45*(1+taux_reserve))</f>
        <v>23215.1704042472</v>
      </c>
      <c r="T40" s="17" t="n">
        <f aca="false">MAX(0,T39-S45*(1+taux_reserve))</f>
        <v>23499.115143765</v>
      </c>
      <c r="U40" s="17" t="n">
        <f aca="false">MAX(0,U39-T45*(1+taux_reserve))</f>
        <v>23787.305211626</v>
      </c>
      <c r="V40" s="17" t="n">
        <f aca="false">MAX(0,V39-U45*(1+taux_reserve))</f>
        <v>24079.8077782844</v>
      </c>
      <c r="W40" s="17" t="n">
        <f aca="false">MAX(0,W39-V45*(1+taux_reserve))</f>
        <v>24376.6911181237</v>
      </c>
      <c r="X40" s="17" t="n">
        <f aca="false">MAX(0,X39-W45*(1+taux_reserve))</f>
        <v>24678.0246281135</v>
      </c>
    </row>
    <row r="41" customFormat="false" ht="15" hidden="false" customHeight="false" outlineLevel="0" collapsed="false">
      <c r="A41" s="2" t="s">
        <v>1894</v>
      </c>
      <c r="B41" s="2" t="s">
        <v>1895</v>
      </c>
      <c r="C41" s="2" t="s">
        <v>1839</v>
      </c>
      <c r="E41" s="17" t="n">
        <f aca="false">MIN(MAX(0,E35-E36+E40),IF(E12=1,MAX(E38,retrait_urgence*MAX(0,D44)),E38))</f>
        <v>274120.9403125</v>
      </c>
      <c r="F41" s="17" t="n">
        <f aca="false">MIN(MAX(0,F35-F36+F40),IF(F12=1,MAX(F38,retrait_urgence*MAX(0,E44)),F38))</f>
        <v>282274.16669709</v>
      </c>
      <c r="G41" s="17" t="n">
        <f aca="false">MIN(MAX(0,G35-G36+G40),IF(G12=1,MAX(G38,retrait_urgence*MAX(0,F44)),G38))</f>
        <v>295438.609414512</v>
      </c>
      <c r="H41" s="17" t="n">
        <f aca="false">MIN(MAX(0,H35-H36+H40),IF(H12=1,MAX(H38,retrait_urgence*MAX(0,G44)),H38))</f>
        <v>306631.149606583</v>
      </c>
      <c r="I41" s="17" t="n">
        <f aca="false">MIN(MAX(0,I35-I36+I40),IF(I12=1,MAX(I38,retrait_urgence*MAX(0,H44)),I38))</f>
        <v>821767.06105524</v>
      </c>
      <c r="J41" s="17" t="n">
        <f aca="false">MIN(MAX(0,J35-J36+J40),IF(J12=1,MAX(J38,retrait_urgence*MAX(0,I44)),J38))</f>
        <v>930910.851109284</v>
      </c>
      <c r="K41" s="17" t="n">
        <f aca="false">MIN(MAX(0,K35-K36+K40),IF(K12=1,MAX(K38,retrait_urgence*MAX(0,J44)),K38))</f>
        <v>341158.199297487</v>
      </c>
      <c r="L41" s="17" t="n">
        <f aca="false">MIN(MAX(0,L35-L36+L40),IF(L12=1,MAX(L38,retrait_urgence*MAX(0,K44)),L38))</f>
        <v>352991.721952083</v>
      </c>
      <c r="M41" s="17" t="n">
        <f aca="false">MIN(MAX(0,M35-M36+M40),IF(M12=1,MAX(M38,retrait_urgence*MAX(0,L44)),M38))</f>
        <v>364991.608842815</v>
      </c>
      <c r="N41" s="17" t="n">
        <f aca="false">MIN(MAX(0,N35-N36+N40),IF(N12=1,MAX(N38,retrait_urgence*MAX(0,M44)),N38))</f>
        <v>377160.385821736</v>
      </c>
      <c r="O41" s="17" t="n">
        <f aca="false">MIN(MAX(0,O35-O36+O40),IF(O12=1,MAX(O38,retrait_urgence*MAX(0,N44)),O38))</f>
        <v>1389500.61907895</v>
      </c>
      <c r="P41" s="17" t="n">
        <f aca="false">MIN(MAX(0,P35-P36+P40),IF(P12=1,MAX(P38,retrait_urgence*MAX(0,O44)),P38))</f>
        <v>1402014.91580945</v>
      </c>
      <c r="Q41" s="17" t="n">
        <f aca="false">MIN(MAX(0,Q35-Q36+Q40),IF(Q12=1,MAX(Q38,retrait_urgence*MAX(0,P44)),Q38))</f>
        <v>1414705.9248913</v>
      </c>
      <c r="R41" s="17" t="n">
        <f aca="false">MIN(MAX(0,R35-R36+R40),IF(R12=1,MAX(R38,retrait_urgence*MAX(0,Q44)),R38))</f>
        <v>1427576.33757532</v>
      </c>
      <c r="S41" s="17" t="n">
        <f aca="false">MIN(MAX(0,S35-S36+S40),IF(S12=1,MAX(S38,retrait_urgence*MAX(0,R44)),S38))</f>
        <v>1440628.88818646</v>
      </c>
      <c r="T41" s="17" t="n">
        <f aca="false">MIN(MAX(0,T35-T36+T40),IF(T12=1,MAX(T38,retrait_urgence*MAX(0,S44)),T38))</f>
        <v>1453866.35483713</v>
      </c>
      <c r="U41" s="17" t="n">
        <f aca="false">MIN(MAX(0,U35-U36+U40),IF(U12=1,MAX(U38,retrait_urgence*MAX(0,T44)),U38))</f>
        <v>1467291.56015261</v>
      </c>
      <c r="V41" s="17" t="n">
        <f aca="false">MIN(MAX(0,V35-V36+V40),IF(V12=1,MAX(V38,retrait_urgence*MAX(0,U44)),V38))</f>
        <v>1480907.37200881</v>
      </c>
      <c r="W41" s="17" t="n">
        <f aca="false">MIN(MAX(0,W35-W36+W40),IF(W12=1,MAX(W38,retrait_urgence*MAX(0,V44)),W38))</f>
        <v>1494716.70428257</v>
      </c>
      <c r="X41" s="17" t="n">
        <f aca="false">MIN(MAX(0,X35-X36+X40),IF(X12=1,MAX(X38,retrait_urgence*MAX(0,W44)),X38))</f>
        <v>1508722.51761476</v>
      </c>
    </row>
    <row r="42" customFormat="false" ht="15" hidden="false" customHeight="false" outlineLevel="0" collapsed="false">
      <c r="A42" s="2" t="s">
        <v>1896</v>
      </c>
      <c r="B42" s="18" t="s">
        <v>1897</v>
      </c>
      <c r="C42" s="2" t="s">
        <v>1839</v>
      </c>
      <c r="E42" s="23" t="n">
        <f aca="false">E36+E41-E35</f>
        <v>7500</v>
      </c>
      <c r="F42" s="23" t="n">
        <f aca="false">F36+F41-F35</f>
        <v>19881.5505447462</v>
      </c>
      <c r="G42" s="23" t="n">
        <f aca="false">G36+G41-G35</f>
        <v>20115.94829517</v>
      </c>
      <c r="H42" s="23" t="n">
        <f aca="false">H36+H41-H35</f>
        <v>20353.8106814027</v>
      </c>
      <c r="I42" s="23" t="n">
        <f aca="false">I36+I41-I35</f>
        <v>20595.1920833976</v>
      </c>
      <c r="J42" s="23" t="n">
        <f aca="false">J36+J41-J35</f>
        <v>20840.1477694584</v>
      </c>
      <c r="K42" s="23" t="n">
        <f aca="false">K36+K41-K35</f>
        <v>21088.7339111785</v>
      </c>
      <c r="L42" s="23" t="n">
        <f aca="false">L36+L41-L35</f>
        <v>21341.0075986353</v>
      </c>
      <c r="M42" s="23" t="n">
        <f aca="false">M36+M41-M35</f>
        <v>21597.0268558429</v>
      </c>
      <c r="N42" s="23" t="n">
        <f aca="false">N36+N41-N35</f>
        <v>21856.8506564763</v>
      </c>
      <c r="O42" s="23" t="n">
        <f aca="false">O36+O41-O35</f>
        <v>22120.5389398632</v>
      </c>
      <c r="P42" s="23" t="n">
        <f aca="false">P36+P41-P35</f>
        <v>22388.152627253</v>
      </c>
      <c r="Q42" s="23" t="n">
        <f aca="false">Q36+Q41-Q35</f>
        <v>22659.7536383618</v>
      </c>
      <c r="R42" s="23" t="n">
        <f aca="false">R36+R41-R35</f>
        <v>22935.4049082105</v>
      </c>
      <c r="S42" s="23" t="n">
        <f aca="false">S36+S41-S35</f>
        <v>23215.1704042472</v>
      </c>
      <c r="T42" s="23" t="n">
        <f aca="false">T36+T41-T35</f>
        <v>23499.115143765</v>
      </c>
      <c r="U42" s="23" t="n">
        <f aca="false">U36+U41-U35</f>
        <v>23787.305211626</v>
      </c>
      <c r="V42" s="23" t="n">
        <f aca="false">V36+V41-V35</f>
        <v>24079.8077782844</v>
      </c>
      <c r="W42" s="23" t="n">
        <f aca="false">W36+W41-W35</f>
        <v>24376.6911181237</v>
      </c>
      <c r="X42" s="23" t="n">
        <f aca="false">X36+X41-X35</f>
        <v>24678.0246281135</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121025879.059688</v>
      </c>
      <c r="F44" s="23" t="n">
        <f aca="false">MAX(0,E44)*(1+F37)-F41+F43-F31</f>
        <v>123164122.474184</v>
      </c>
      <c r="G44" s="23" t="n">
        <f aca="false">MAX(0,F44)*(1+G37)-G41+G43-G31</f>
        <v>125331966.314253</v>
      </c>
      <c r="H44" s="23" t="n">
        <f aca="false">MAX(0,G44)*(1+H37)-H41+H43-H31</f>
        <v>127531974.490932</v>
      </c>
      <c r="I44" s="23" t="n">
        <f aca="false">MAX(0,H44)*(1+I37)-I41+I43-I31</f>
        <v>97377853.2969623</v>
      </c>
      <c r="J44" s="23" t="n">
        <f aca="false">MAX(0,I44)*(1+J37)-J41+J43-J31</f>
        <v>98394499.5117922</v>
      </c>
      <c r="K44" s="23" t="n">
        <f aca="false">MAX(0,J44)*(1+K37)-K41+K43-K31</f>
        <v>100021231.302731</v>
      </c>
      <c r="L44" s="23" t="n">
        <f aca="false">MAX(0,K44)*(1+L37)-L41+L43-L31</f>
        <v>101668664.206833</v>
      </c>
      <c r="M44" s="23" t="n">
        <f aca="false">MAX(0,L44)*(1+M37)-M41+M43-M31</f>
        <v>103337045.882127</v>
      </c>
      <c r="N44" s="23" t="n">
        <f aca="false">MAX(0,M44)*(1+N37)-N41+N43-N31</f>
        <v>105026626.413948</v>
      </c>
      <c r="O44" s="23" t="n">
        <f aca="false">MAX(0,N44)*(1+O37)-O41+O43-O31</f>
        <v>105737658.323148</v>
      </c>
      <c r="P44" s="23" t="n">
        <f aca="false">MAX(0,O44)*(1+P37)-P41+P43-P31</f>
        <v>106450396.573801</v>
      </c>
      <c r="Q44" s="23" t="n">
        <f aca="false">MAX(0,P44)*(1+Q37)-Q41+Q43-Q31</f>
        <v>107164698.580386</v>
      </c>
      <c r="R44" s="23" t="n">
        <f aca="false">MAX(0,Q44)*(1+R37)-R41+R43-R31</f>
        <v>107880416.214418</v>
      </c>
      <c r="S44" s="23" t="n">
        <f aca="false">MAX(0,R44)*(1+S37)-S41+S43-S31</f>
        <v>108597395.65052</v>
      </c>
      <c r="T44" s="23" t="n">
        <f aca="false">MAX(0,S44)*(1+T37)-T41+T43-T31</f>
        <v>109315477.208694</v>
      </c>
      <c r="U44" s="23" t="n">
        <f aca="false">MAX(0,T44)*(1+U37)-U41+U43-U31</f>
        <v>110034495.192715</v>
      </c>
      <c r="V44" s="23" t="n">
        <f aca="false">MAX(0,U44)*(1+V37)-V41+V43-V31</f>
        <v>110754277.72456</v>
      </c>
      <c r="W44" s="23" t="n">
        <f aca="false">MAX(0,V44)*(1+W37)-W41+W43-W31</f>
        <v>111474646.574769</v>
      </c>
      <c r="X44" s="23" t="n">
        <f aca="false">MAX(0,W44)*(1+X37)-X41+X43-X31</f>
        <v>112195416.98865</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1512381.55054475</v>
      </c>
      <c r="G45" s="23" t="n">
        <f aca="false">F45*(1+taux_reserve)+G42-G43-(G30-G31)</f>
        <v>1524935.59108719</v>
      </c>
      <c r="H45" s="23" t="n">
        <f aca="false">G45*(1+taux_reserve)+H42-H43-(H30-H31)</f>
        <v>1537664.72381316</v>
      </c>
      <c r="I45" s="23" t="n">
        <f aca="false">H45*(1+taux_reserve)+I42-I43-(I30-I31)</f>
        <v>1550571.59227749</v>
      </c>
      <c r="J45" s="23" t="n">
        <f aca="false">I45*(1+taux_reserve)+J42-J43-(J30-J31)</f>
        <v>1563658.88208556</v>
      </c>
      <c r="K45" s="23" t="n">
        <f aca="false">J45*(1+taux_reserve)+K42-K43-(K30-K31)</f>
        <v>1576929.32158631</v>
      </c>
      <c r="L45" s="23" t="n">
        <f aca="false">K45*(1+taux_reserve)+L42-L43-(L30-L31)</f>
        <v>1590385.68257702</v>
      </c>
      <c r="M45" s="23" t="n">
        <f aca="false">L45*(1+taux_reserve)+M42-M43-(M30-M31)</f>
        <v>1604030.78101997</v>
      </c>
      <c r="N45" s="23" t="n">
        <f aca="false">M45*(1+taux_reserve)+N42-N43-(N30-N31)</f>
        <v>1617867.47777135</v>
      </c>
      <c r="O45" s="23" t="n">
        <f aca="false">N45*(1+taux_reserve)+O42-O43-(O30-O31)</f>
        <v>1631898.67932236</v>
      </c>
      <c r="P45" s="23" t="n">
        <f aca="false">O45*(1+taux_reserve)+P42-P43-(P30-P31)</f>
        <v>1646127.338553</v>
      </c>
      <c r="Q45" s="23" t="n">
        <f aca="false">P45*(1+taux_reserve)+Q42-Q43-(Q30-Q31)</f>
        <v>1660556.4554986</v>
      </c>
      <c r="R45" s="23" t="n">
        <f aca="false">Q45*(1+taux_reserve)+R42-R43-(R30-R31)</f>
        <v>1675189.07812931</v>
      </c>
      <c r="S45" s="23" t="n">
        <f aca="false">R45*(1+taux_reserve)+S42-S43-(S30-S31)</f>
        <v>1690028.30314291</v>
      </c>
      <c r="T45" s="23" t="n">
        <f aca="false">S45*(1+taux_reserve)+T42-T43-(T30-T31)</f>
        <v>1705077.27677096</v>
      </c>
      <c r="U45" s="23" t="n">
        <f aca="false">T45*(1+taux_reserve)+U42-U43-(U30-U31)</f>
        <v>1720339.19559873</v>
      </c>
      <c r="V45" s="23" t="n">
        <f aca="false">U45*(1+taux_reserve)+V42-V43-(V30-V31)</f>
        <v>1735817.30739903</v>
      </c>
      <c r="W45" s="23" t="n">
        <f aca="false">V45*(1+taux_reserve)+W42-W43-(W30-W31)</f>
        <v>1751514.91198015</v>
      </c>
      <c r="X45" s="23" t="n">
        <f aca="false">W45*(1+taux_reserve)+X42-X43-(X30-X31)</f>
        <v>1767435.36204837</v>
      </c>
    </row>
    <row r="46" customFormat="false" ht="15" hidden="false" customHeight="false" outlineLevel="0" collapsed="false">
      <c r="A46" s="2" t="s">
        <v>1904</v>
      </c>
      <c r="B46" s="18" t="s">
        <v>1905</v>
      </c>
      <c r="C46" s="2" t="s">
        <v>1839</v>
      </c>
      <c r="E46" s="23" t="n">
        <f aca="false">E45+E22</f>
        <v>1846191.4828125</v>
      </c>
      <c r="F46" s="23" t="n">
        <f aca="false">F45+F22</f>
        <v>2207360.95229084</v>
      </c>
      <c r="G46" s="23" t="n">
        <f aca="false">G45+G22</f>
        <v>2571318.82115888</v>
      </c>
      <c r="H46" s="23" t="n">
        <f aca="false">H45+H22</f>
        <v>1537664.72381316</v>
      </c>
      <c r="I46" s="23" t="n">
        <f aca="false">I45+I22</f>
        <v>1907266.24449331</v>
      </c>
      <c r="J46" s="23" t="n">
        <f aca="false">J45+J22</f>
        <v>2279723.39640883</v>
      </c>
      <c r="K46" s="23" t="n">
        <f aca="false">K45+K22</f>
        <v>2655058.97198283</v>
      </c>
      <c r="L46" s="23" t="n">
        <f aca="false">L45+L22</f>
        <v>1590385.68257702</v>
      </c>
      <c r="M46" s="23" t="n">
        <f aca="false">M45+M22</f>
        <v>1971547.26029822</v>
      </c>
      <c r="N46" s="23" t="n">
        <f aca="false">N45+N22</f>
        <v>2355656.80992244</v>
      </c>
      <c r="O46" s="23" t="n">
        <f aca="false">O45+O22</f>
        <v>2742737.91074283</v>
      </c>
      <c r="P46" s="23" t="n">
        <f aca="false">P45+P22</f>
        <v>1646127.338553</v>
      </c>
      <c r="Q46" s="23" t="n">
        <f aca="false">Q45+Q22</f>
        <v>2039223.08731385</v>
      </c>
      <c r="R46" s="23" t="n">
        <f aca="false">R45+R22</f>
        <v>2435362.34149844</v>
      </c>
      <c r="S46" s="23" t="n">
        <f aca="false">S45+S22</f>
        <v>2834569.49780257</v>
      </c>
      <c r="T46" s="23" t="n">
        <f aca="false">T45+T22</f>
        <v>1705077.27677096</v>
      </c>
      <c r="U46" s="23" t="n">
        <f aca="false">U45+U22</f>
        <v>2110494.26655475</v>
      </c>
      <c r="V46" s="23" t="n">
        <f aca="false">V45+V22</f>
        <v>2519053.61234324</v>
      </c>
      <c r="W46" s="23" t="n">
        <f aca="false">W45+W22</f>
        <v>2930780.56016747</v>
      </c>
      <c r="X46" s="23" t="n">
        <f aca="false">X45+X22</f>
        <v>1767435.36204837</v>
      </c>
    </row>
    <row r="47" customFormat="false" ht="15" hidden="false" customHeight="false" outlineLevel="0" collapsed="false">
      <c r="A47" s="2" t="s">
        <v>1906</v>
      </c>
      <c r="B47" s="18" t="s">
        <v>1907</v>
      </c>
      <c r="C47" s="2" t="s">
        <v>46</v>
      </c>
      <c r="E47" s="24" t="n">
        <f aca="false">(E29+E38)/E18</f>
        <v>1.64923584289828</v>
      </c>
      <c r="F47" s="24" t="n">
        <f aca="false">(F29+F38)/F18</f>
        <v>1.64993209773717</v>
      </c>
      <c r="G47" s="24" t="n">
        <f aca="false">(G29+G38)/G18</f>
        <v>1.64257974182539</v>
      </c>
      <c r="H47" s="24" t="n">
        <f aca="false">(H29+H38)/H18</f>
        <v>1.64096776907047</v>
      </c>
      <c r="I47" s="24" t="n">
        <f aca="false">(I29+I38)/I18</f>
        <v>1.63974993863456</v>
      </c>
      <c r="J47" s="24" t="n">
        <f aca="false">(J29+J38)/J18</f>
        <v>1.56105576432675</v>
      </c>
      <c r="K47" s="24" t="n">
        <f aca="false">(K29+K38)/K18</f>
        <v>1.49865920958127</v>
      </c>
      <c r="L47" s="24" t="n">
        <f aca="false">(L29+L38)/L18</f>
        <v>1.45024085176973</v>
      </c>
      <c r="M47" s="24" t="n">
        <f aca="false">(M29+M38)/M18</f>
        <v>1.41374519535663</v>
      </c>
      <c r="N47" s="24" t="n">
        <f aca="false">(N29+N38)/N18</f>
        <v>1.38669726815617</v>
      </c>
      <c r="O47" s="24" t="n">
        <f aca="false">(O29+O38)/O18</f>
        <v>1.36713266400735</v>
      </c>
      <c r="P47" s="24" t="n">
        <f aca="false">(P29+P38)/P18</f>
        <v>1.35100890683107</v>
      </c>
      <c r="Q47" s="24" t="n">
        <f aca="false">(Q29+Q38)/Q18</f>
        <v>1.33759669958766</v>
      </c>
      <c r="R47" s="24" t="n">
        <f aca="false">(R29+R38)/R18</f>
        <v>1.32631720826675</v>
      </c>
      <c r="S47" s="24" t="n">
        <f aca="false">(S29+S38)/S18</f>
        <v>1.31671101521767</v>
      </c>
      <c r="T47" s="24" t="n">
        <f aca="false">(T29+T38)/T18</f>
        <v>1.30841347468574</v>
      </c>
      <c r="U47" s="24" t="n">
        <f aca="false">(U29+U38)/U18</f>
        <v>1.30113515125001</v>
      </c>
      <c r="V47" s="24" t="n">
        <f aca="false">(V29+V38)/V18</f>
        <v>1.2946462935411</v>
      </c>
      <c r="W47" s="24" t="n">
        <f aca="false">(W29+W38)/W18</f>
        <v>1.28876451139139</v>
      </c>
      <c r="X47" s="24" t="n">
        <f aca="false">(X29+X38)/X18</f>
        <v>1.28334499593252</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1920</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pilotage_actif*IF(D45&lt;flex_seuil*MAX(D18,bud_total_besoin_S1),1,0)</f>
        <v>0</v>
      </c>
      <c r="F12" s="22" t="n">
        <f aca="false">pilotage_actif*IF(E45&lt;flex_seuil*MAX(E18,bud_total_besoin_S1),1,0)</f>
        <v>0</v>
      </c>
      <c r="G12" s="22" t="n">
        <f aca="false">pilotage_actif*IF(F45&lt;flex_seuil*MAX(F18,bud_total_besoin_S1),1,0)</f>
        <v>0</v>
      </c>
      <c r="H12" s="22" t="n">
        <f aca="false">pilotage_actif*IF(G45&lt;flex_seuil*MAX(G18,bud_total_besoin_S1),1,0)</f>
        <v>0</v>
      </c>
      <c r="I12" s="22" t="n">
        <f aca="false">pilotage_actif*IF(H45&lt;flex_seuil*MAX(H18,bud_total_besoin_S1),1,0)</f>
        <v>0</v>
      </c>
      <c r="J12" s="22" t="n">
        <f aca="false">pilotage_actif*IF(I45&lt;flex_seuil*MAX(I18,bud_total_besoin_S1),1,0)</f>
        <v>0</v>
      </c>
      <c r="K12" s="22" t="n">
        <f aca="false">pilotage_actif*IF(J45&lt;flex_seuil*MAX(J18,bud_total_besoin_S1),1,0)</f>
        <v>0</v>
      </c>
      <c r="L12" s="22" t="n">
        <f aca="false">pilotage_actif*IF(K45&lt;flex_seuil*MAX(K18,bud_total_besoin_S1),1,0)</f>
        <v>0</v>
      </c>
      <c r="M12" s="22" t="n">
        <f aca="false">pilotage_actif*IF(L45&lt;flex_seuil*MAX(L18,bud_total_besoin_S1),1,0)</f>
        <v>0</v>
      </c>
      <c r="N12" s="22" t="n">
        <f aca="false">pilotage_actif*IF(M45&lt;flex_seuil*MAX(M18,bud_total_besoin_S1),1,0)</f>
        <v>0</v>
      </c>
      <c r="O12" s="22" t="n">
        <f aca="false">pilotage_actif*IF(N45&lt;flex_seuil*MAX(N18,bud_total_besoin_S1),1,0)</f>
        <v>0</v>
      </c>
      <c r="P12" s="22" t="n">
        <f aca="false">pilotage_actif*IF(O45&lt;flex_seuil*MAX(O18,bud_total_besoin_S1),1,0)</f>
        <v>0</v>
      </c>
      <c r="Q12" s="22" t="n">
        <f aca="false">pilotage_actif*IF(P45&lt;flex_seuil*MAX(P18,bud_total_besoin_S1),1,0)</f>
        <v>0</v>
      </c>
      <c r="R12" s="22" t="n">
        <f aca="false">pilotage_actif*IF(Q45&lt;flex_seuil*MAX(Q18,bud_total_besoin_S1),1,0)</f>
        <v>0</v>
      </c>
      <c r="S12" s="22" t="n">
        <f aca="false">pilotage_actif*IF(R45&lt;flex_seuil*MAX(R18,bud_total_besoin_S1),1,0)</f>
        <v>0</v>
      </c>
      <c r="T12" s="22" t="n">
        <f aca="false">pilotage_actif*IF(S45&lt;flex_seuil*MAX(S18,bud_total_besoin_S1),1,0)</f>
        <v>0</v>
      </c>
      <c r="U12" s="22" t="n">
        <f aca="false">pilotage_actif*IF(T45&lt;flex_seuil*MAX(T18,bud_total_besoin_S1),1,0)</f>
        <v>0</v>
      </c>
      <c r="V12" s="22" t="n">
        <f aca="false">pilotage_actif*IF(U45&lt;flex_seuil*MAX(U18,bud_total_besoin_S1),1,0)</f>
        <v>0</v>
      </c>
      <c r="W12" s="22" t="n">
        <f aca="false">pilotage_actif*IF(V45&lt;flex_seuil*MAX(V18,bud_total_besoin_S1),1,0)</f>
        <v>0</v>
      </c>
      <c r="X12" s="22" t="n">
        <f aca="false">pilotage_actif*IF(W45&lt;flex_seuil*MAX(W18,bud_total_besoin_S1),1,0)</f>
        <v>0</v>
      </c>
    </row>
    <row r="13" customFormat="false" ht="15" hidden="false" customHeight="false" outlineLevel="0" collapsed="false">
      <c r="A13" s="2" t="s">
        <v>1837</v>
      </c>
      <c r="B13" s="2" t="s">
        <v>1838</v>
      </c>
      <c r="C13" s="2" t="s">
        <v>1839</v>
      </c>
      <c r="E13" s="17" t="n">
        <f aca="false">bud_dont_personnel_S1*E5</f>
        <v>72885.615</v>
      </c>
      <c r="F13" s="17" t="n">
        <f aca="false">bud_dont_personnel_S1*F5</f>
        <v>73250.043075</v>
      </c>
      <c r="G13" s="17" t="n">
        <f aca="false">bud_dont_personnel_S1*G5</f>
        <v>73616.293290375</v>
      </c>
      <c r="H13" s="17" t="n">
        <f aca="false">bud_dont_personnel_S1*H5</f>
        <v>73984.3747568268</v>
      </c>
      <c r="I13" s="17" t="n">
        <f aca="false">bud_dont_personnel_S1*I5</f>
        <v>74354.296630611</v>
      </c>
      <c r="J13" s="17" t="n">
        <f aca="false">bud_dont_personnel_S1*J5</f>
        <v>74726.068113764</v>
      </c>
      <c r="K13" s="17" t="n">
        <f aca="false">bud_dont_personnel_S1*K5</f>
        <v>75099.6984543328</v>
      </c>
      <c r="L13" s="17" t="n">
        <f aca="false">bud_dont_personnel_S1*L5</f>
        <v>75475.1969466045</v>
      </c>
      <c r="M13" s="17" t="n">
        <f aca="false">bud_dont_personnel_S1*M5</f>
        <v>75852.5729313375</v>
      </c>
      <c r="N13" s="17" t="n">
        <f aca="false">bud_dont_personnel_S1*N5</f>
        <v>76231.8357959942</v>
      </c>
      <c r="O13" s="17" t="n">
        <f aca="false">bud_dont_personnel_S1*O5</f>
        <v>76612.9949749741</v>
      </c>
      <c r="P13" s="17" t="n">
        <f aca="false">bud_dont_personnel_S1*P5</f>
        <v>76996.059949849</v>
      </c>
      <c r="Q13" s="17" t="n">
        <f aca="false">bud_dont_personnel_S1*Q5</f>
        <v>77381.0402495982</v>
      </c>
      <c r="R13" s="17" t="n">
        <f aca="false">bud_dont_personnel_S1*R5</f>
        <v>77767.9454508462</v>
      </c>
      <c r="S13" s="17" t="n">
        <f aca="false">bud_dont_personnel_S1*S5</f>
        <v>78156.7851781004</v>
      </c>
      <c r="T13" s="17" t="n">
        <f aca="false">bud_dont_personnel_S1*T5</f>
        <v>78547.5691039909</v>
      </c>
      <c r="U13" s="17" t="n">
        <f aca="false">bud_dont_personnel_S1*U5</f>
        <v>78940.3069495109</v>
      </c>
      <c r="V13" s="17" t="n">
        <f aca="false">bud_dont_personnel_S1*V5</f>
        <v>79335.0084842584</v>
      </c>
      <c r="W13" s="17" t="n">
        <f aca="false">bud_dont_personnel_S1*W5</f>
        <v>79731.6835266797</v>
      </c>
      <c r="X13" s="17" t="n">
        <f aca="false">bud_dont_personnel_S1*X5</f>
        <v>80130.3419443131</v>
      </c>
    </row>
    <row r="14" customFormat="false" ht="15" hidden="false" customHeight="false" outlineLevel="0" collapsed="false">
      <c r="A14" s="2" t="s">
        <v>1840</v>
      </c>
      <c r="B14" s="2" t="s">
        <v>1841</v>
      </c>
      <c r="C14" s="2" t="s">
        <v>1839</v>
      </c>
      <c r="E14" s="17" t="n">
        <f aca="false">(bud_chauffage_S1+bud_hors_gel_S1+bud_electricite_S1)*E7*IF(AND(E$3&gt;=st_central_energie_debut,E$3&lt;=st_central_energie_fin),st_central_energie_mult,1)</f>
        <v>22067.7</v>
      </c>
      <c r="F14" s="17" t="n">
        <f aca="false">(bud_chauffage_S1+bud_hors_gel_S1+bud_electricite_S1)*F7*IF(AND(F$3&gt;=st_central_energie_debut,F$3&lt;=st_central_energie_fin),st_central_energie_mult,1)</f>
        <v>22509.054</v>
      </c>
      <c r="G14" s="17" t="n">
        <f aca="false">(bud_chauffage_S1+bud_hors_gel_S1+bud_electricite_S1)*G7*IF(AND(G$3&gt;=st_central_energie_debut,G$3&lt;=st_central_energie_fin),st_central_energie_mult,1)</f>
        <v>22959.23508</v>
      </c>
      <c r="H14" s="17" t="n">
        <f aca="false">(bud_chauffage_S1+bud_hors_gel_S1+bud_electricite_S1)*H7*IF(AND(H$3&gt;=st_central_energie_debut,H$3&lt;=st_central_energie_fin),st_central_energie_mult,1)</f>
        <v>23418.4197816</v>
      </c>
      <c r="I14" s="17" t="n">
        <f aca="false">(bud_chauffage_S1+bud_hors_gel_S1+bud_electricite_S1)*I7*IF(AND(I$3&gt;=st_central_energie_debut,I$3&lt;=st_central_energie_fin),st_central_energie_mult,1)</f>
        <v>23886.788177232</v>
      </c>
      <c r="J14" s="17" t="n">
        <f aca="false">(bud_chauffage_S1+bud_hors_gel_S1+bud_electricite_S1)*J7*IF(AND(J$3&gt;=st_central_energie_debut,J$3&lt;=st_central_energie_fin),st_central_energie_mult,1)</f>
        <v>24364.5239407766</v>
      </c>
      <c r="K14" s="17" t="n">
        <f aca="false">(bud_chauffage_S1+bud_hors_gel_S1+bud_electricite_S1)*K7*IF(AND(K$3&gt;=st_central_energie_debut,K$3&lt;=st_central_energie_fin),st_central_energie_mult,1)</f>
        <v>24851.8144195922</v>
      </c>
      <c r="L14" s="17" t="n">
        <f aca="false">(bud_chauffage_S1+bud_hors_gel_S1+bud_electricite_S1)*L7*IF(AND(L$3&gt;=st_central_energie_debut,L$3&lt;=st_central_energie_fin),st_central_energie_mult,1)</f>
        <v>25348.850707984</v>
      </c>
      <c r="M14" s="17" t="n">
        <f aca="false">(bud_chauffage_S1+bud_hors_gel_S1+bud_electricite_S1)*M7*IF(AND(M$3&gt;=st_central_energie_debut,M$3&lt;=st_central_energie_fin),st_central_energie_mult,1)</f>
        <v>25855.8277221437</v>
      </c>
      <c r="N14" s="17" t="n">
        <f aca="false">(bud_chauffage_S1+bud_hors_gel_S1+bud_electricite_S1)*N7*IF(AND(N$3&gt;=st_central_energie_debut,N$3&lt;=st_central_energie_fin),st_central_energie_mult,1)</f>
        <v>26372.9442765866</v>
      </c>
      <c r="O14" s="17" t="n">
        <f aca="false">(bud_chauffage_S1+bud_hors_gel_S1+bud_electricite_S1)*O7*IF(AND(O$3&gt;=st_central_energie_debut,O$3&lt;=st_central_energie_fin),st_central_energie_mult,1)</f>
        <v>26900.4031621183</v>
      </c>
      <c r="P14" s="17" t="n">
        <f aca="false">(bud_chauffage_S1+bud_hors_gel_S1+bud_electricite_S1)*P7*IF(AND(P$3&gt;=st_central_energie_debut,P$3&lt;=st_central_energie_fin),st_central_energie_mult,1)</f>
        <v>27438.4112253607</v>
      </c>
      <c r="Q14" s="17" t="n">
        <f aca="false">(bud_chauffage_S1+bud_hors_gel_S1+bud_electricite_S1)*Q7*IF(AND(Q$3&gt;=st_central_energie_debut,Q$3&lt;=st_central_energie_fin),st_central_energie_mult,1)</f>
        <v>27987.1794498679</v>
      </c>
      <c r="R14" s="17" t="n">
        <f aca="false">(bud_chauffage_S1+bud_hors_gel_S1+bud_electricite_S1)*R7*IF(AND(R$3&gt;=st_central_energie_debut,R$3&lt;=st_central_energie_fin),st_central_energie_mult,1)</f>
        <v>28546.9230388652</v>
      </c>
      <c r="S14" s="17" t="n">
        <f aca="false">(bud_chauffage_S1+bud_hors_gel_S1+bud_electricite_S1)*S7*IF(AND(S$3&gt;=st_central_energie_debut,S$3&lt;=st_central_energie_fin),st_central_energie_mult,1)</f>
        <v>29117.8614996426</v>
      </c>
      <c r="T14" s="17" t="n">
        <f aca="false">(bud_chauffage_S1+bud_hors_gel_S1+bud_electricite_S1)*T7*IF(AND(T$3&gt;=st_central_energie_debut,T$3&lt;=st_central_energie_fin),st_central_energie_mult,1)</f>
        <v>29700.2187296354</v>
      </c>
      <c r="U14" s="17" t="n">
        <f aca="false">(bud_chauffage_S1+bud_hors_gel_S1+bud_electricite_S1)*U7*IF(AND(U$3&gt;=st_central_energie_debut,U$3&lt;=st_central_energie_fin),st_central_energie_mult,1)</f>
        <v>30294.2231042281</v>
      </c>
      <c r="V14" s="17" t="n">
        <f aca="false">(bud_chauffage_S1+bud_hors_gel_S1+bud_electricite_S1)*V7*IF(AND(V$3&gt;=st_central_energie_debut,V$3&lt;=st_central_energie_fin),st_central_energie_mult,1)</f>
        <v>30900.1075663127</v>
      </c>
      <c r="W14" s="17" t="n">
        <f aca="false">(bud_chauffage_S1+bud_hors_gel_S1+bud_electricite_S1)*W7*IF(AND(W$3&gt;=st_central_energie_debut,W$3&lt;=st_central_energie_fin),st_central_energie_mult,1)</f>
        <v>31518.1097176389</v>
      </c>
      <c r="X14" s="17" t="n">
        <f aca="false">(bud_chauffage_S1+bud_hors_gel_S1+bud_electricite_S1)*X7*IF(AND(X$3&gt;=st_central_energie_debut,X$3&lt;=st_central_energie_fin),st_central_energie_mult,1)</f>
        <v>32148.4719119917</v>
      </c>
    </row>
    <row r="15" customFormat="false" ht="15" hidden="false" customHeight="false" outlineLevel="0" collapsed="false">
      <c r="A15" s="2" t="s">
        <v>1842</v>
      </c>
      <c r="B15" s="2" t="s">
        <v>1843</v>
      </c>
      <c r="C15" s="2" t="s">
        <v>1839</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1844</v>
      </c>
      <c r="B16" s="2" t="s">
        <v>1845</v>
      </c>
      <c r="C16" s="2" t="s">
        <v>1839</v>
      </c>
      <c r="E16" s="17" t="n">
        <f aca="false">bud_total_besoin_S1-bud_dont_personnel_S1-bud_bati_ge_S1-bud_imprevus_travaux_S1-bud_moe_do_S1-bud_chauffage_S1-bud_hors_gel_S1-bud_electricite_S1-bud_assurance_bati_S1-bud_assurance_autres_S1</f>
        <v>134347.46</v>
      </c>
      <c r="F16" s="17" t="n">
        <f aca="false">bud_total_besoin_S1-bud_dont_personnel_S1-bud_bati_ge_S1-bud_imprevus_travaux_S1-bud_moe_do_S1-bud_chauffage_S1-bud_hors_gel_S1-bud_electricite_S1-bud_assurance_bati_S1-bud_assurance_autres_S1</f>
        <v>134347.46</v>
      </c>
      <c r="G16" s="17" t="n">
        <f aca="false">bud_total_besoin_S1-bud_dont_personnel_S1-bud_bati_ge_S1-bud_imprevus_travaux_S1-bud_moe_do_S1-bud_chauffage_S1-bud_hors_gel_S1-bud_electricite_S1-bud_assurance_bati_S1-bud_assurance_autres_S1</f>
        <v>134347.46</v>
      </c>
      <c r="H16" s="17" t="n">
        <f aca="false">bud_total_besoin_S1-bud_dont_personnel_S1-bud_bati_ge_S1-bud_imprevus_travaux_S1-bud_moe_do_S1-bud_chauffage_S1-bud_hors_gel_S1-bud_electricite_S1-bud_assurance_bati_S1-bud_assurance_autres_S1</f>
        <v>134347.46</v>
      </c>
      <c r="I16" s="17" t="n">
        <f aca="false">bud_total_besoin_S1-bud_dont_personnel_S1-bud_bati_ge_S1-bud_imprevus_travaux_S1-bud_moe_do_S1-bud_chauffage_S1-bud_hors_gel_S1-bud_electricite_S1-bud_assurance_bati_S1-bud_assurance_autres_S1</f>
        <v>134347.46</v>
      </c>
      <c r="J16" s="17" t="n">
        <f aca="false">bud_total_besoin_S1-bud_dont_personnel_S1-bud_bati_ge_S1-bud_imprevus_travaux_S1-bud_moe_do_S1-bud_chauffage_S1-bud_hors_gel_S1-bud_electricite_S1-bud_assurance_bati_S1-bud_assurance_autres_S1</f>
        <v>134347.46</v>
      </c>
      <c r="K16" s="17" t="n">
        <f aca="false">bud_total_besoin_S1-bud_dont_personnel_S1-bud_bati_ge_S1-bud_imprevus_travaux_S1-bud_moe_do_S1-bud_chauffage_S1-bud_hors_gel_S1-bud_electricite_S1-bud_assurance_bati_S1-bud_assurance_autres_S1</f>
        <v>134347.46</v>
      </c>
      <c r="L16" s="17" t="n">
        <f aca="false">bud_total_besoin_S1-bud_dont_personnel_S1-bud_bati_ge_S1-bud_imprevus_travaux_S1-bud_moe_do_S1-bud_chauffage_S1-bud_hors_gel_S1-bud_electricite_S1-bud_assurance_bati_S1-bud_assurance_autres_S1</f>
        <v>134347.46</v>
      </c>
      <c r="M16" s="17" t="n">
        <f aca="false">bud_total_besoin_S1-bud_dont_personnel_S1-bud_bati_ge_S1-bud_imprevus_travaux_S1-bud_moe_do_S1-bud_chauffage_S1-bud_hors_gel_S1-bud_electricite_S1-bud_assurance_bati_S1-bud_assurance_autres_S1</f>
        <v>134347.46</v>
      </c>
      <c r="N16" s="17" t="n">
        <f aca="false">bud_total_besoin_S1-bud_dont_personnel_S1-bud_bati_ge_S1-bud_imprevus_travaux_S1-bud_moe_do_S1-bud_chauffage_S1-bud_hors_gel_S1-bud_electricite_S1-bud_assurance_bati_S1-bud_assurance_autres_S1</f>
        <v>134347.46</v>
      </c>
      <c r="O16" s="17" t="n">
        <f aca="false">bud_total_besoin_S1-bud_dont_personnel_S1-bud_bati_ge_S1-bud_imprevus_travaux_S1-bud_moe_do_S1-bud_chauffage_S1-bud_hors_gel_S1-bud_electricite_S1-bud_assurance_bati_S1-bud_assurance_autres_S1</f>
        <v>134347.46</v>
      </c>
      <c r="P16" s="17" t="n">
        <f aca="false">bud_total_besoin_S1-bud_dont_personnel_S1-bud_bati_ge_S1-bud_imprevus_travaux_S1-bud_moe_do_S1-bud_chauffage_S1-bud_hors_gel_S1-bud_electricite_S1-bud_assurance_bati_S1-bud_assurance_autres_S1</f>
        <v>134347.46</v>
      </c>
      <c r="Q16" s="17" t="n">
        <f aca="false">bud_total_besoin_S1-bud_dont_personnel_S1-bud_bati_ge_S1-bud_imprevus_travaux_S1-bud_moe_do_S1-bud_chauffage_S1-bud_hors_gel_S1-bud_electricite_S1-bud_assurance_bati_S1-bud_assurance_autres_S1</f>
        <v>134347.46</v>
      </c>
      <c r="R16" s="17" t="n">
        <f aca="false">bud_total_besoin_S1-bud_dont_personnel_S1-bud_bati_ge_S1-bud_imprevus_travaux_S1-bud_moe_do_S1-bud_chauffage_S1-bud_hors_gel_S1-bud_electricite_S1-bud_assurance_bati_S1-bud_assurance_autres_S1</f>
        <v>134347.46</v>
      </c>
      <c r="S16" s="17" t="n">
        <f aca="false">bud_total_besoin_S1-bud_dont_personnel_S1-bud_bati_ge_S1-bud_imprevus_travaux_S1-bud_moe_do_S1-bud_chauffage_S1-bud_hors_gel_S1-bud_electricite_S1-bud_assurance_bati_S1-bud_assurance_autres_S1</f>
        <v>134347.46</v>
      </c>
      <c r="T16" s="17" t="n">
        <f aca="false">bud_total_besoin_S1-bud_dont_personnel_S1-bud_bati_ge_S1-bud_imprevus_travaux_S1-bud_moe_do_S1-bud_chauffage_S1-bud_hors_gel_S1-bud_electricite_S1-bud_assurance_bati_S1-bud_assurance_autres_S1</f>
        <v>134347.46</v>
      </c>
      <c r="U16" s="17" t="n">
        <f aca="false">bud_total_besoin_S1-bud_dont_personnel_S1-bud_bati_ge_S1-bud_imprevus_travaux_S1-bud_moe_do_S1-bud_chauffage_S1-bud_hors_gel_S1-bud_electricite_S1-bud_assurance_bati_S1-bud_assurance_autres_S1</f>
        <v>134347.46</v>
      </c>
      <c r="V16" s="17" t="n">
        <f aca="false">bud_total_besoin_S1-bud_dont_personnel_S1-bud_bati_ge_S1-bud_imprevus_travaux_S1-bud_moe_do_S1-bud_chauffage_S1-bud_hors_gel_S1-bud_electricite_S1-bud_assurance_bati_S1-bud_assurance_autres_S1</f>
        <v>134347.46</v>
      </c>
      <c r="W16" s="17" t="n">
        <f aca="false">bud_total_besoin_S1-bud_dont_personnel_S1-bud_bati_ge_S1-bud_imprevus_travaux_S1-bud_moe_do_S1-bud_chauffage_S1-bud_hors_gel_S1-bud_electricite_S1-bud_assurance_bati_S1-bud_assurance_autres_S1</f>
        <v>134347.46</v>
      </c>
      <c r="X16" s="17" t="n">
        <f aca="false">bud_total_besoin_S1-bud_dont_personnel_S1-bud_bati_ge_S1-bud_imprevus_travaux_S1-bud_moe_do_S1-bud_chauffage_S1-bud_hors_gel_S1-bud_electricite_S1-bud_assurance_bati_S1-bud_assurance_autres_S1</f>
        <v>134347.46</v>
      </c>
    </row>
    <row r="17" customFormat="false" ht="15" hidden="false" customHeight="false" outlineLevel="0" collapsed="false">
      <c r="A17" s="2" t="s">
        <v>1846</v>
      </c>
      <c r="B17" s="2" t="s">
        <v>1847</v>
      </c>
      <c r="C17" s="2" t="s">
        <v>1839</v>
      </c>
      <c r="E17" s="17" t="n">
        <f aca="false">(bud_bati_ge_S1+bud_imprevus_travaux_S1+bud_moe_do_S1)*E6</f>
        <v>103641.525</v>
      </c>
      <c r="F17" s="17" t="n">
        <f aca="false">(bud_bati_ge_S1+bud_imprevus_travaux_S1+bud_moe_do_S1)*F6</f>
        <v>104418.8364375</v>
      </c>
      <c r="G17" s="17" t="n">
        <f aca="false">(bud_bati_ge_S1+bud_imprevus_travaux_S1+bud_moe_do_S1)*G6</f>
        <v>105201.977710781</v>
      </c>
      <c r="H17" s="17" t="n">
        <f aca="false">(bud_bati_ge_S1+bud_imprevus_travaux_S1+bud_moe_do_S1)*H6</f>
        <v>105990.992543612</v>
      </c>
      <c r="I17" s="17" t="n">
        <f aca="false">(bud_bati_ge_S1+bud_imprevus_travaux_S1+bud_moe_do_S1)*I6</f>
        <v>106785.924987689</v>
      </c>
      <c r="J17" s="17" t="n">
        <f aca="false">(bud_bati_ge_S1+bud_imprevus_travaux_S1+bud_moe_do_S1)*J6</f>
        <v>107586.819425097</v>
      </c>
      <c r="K17" s="17" t="n">
        <f aca="false">(bud_bati_ge_S1+bud_imprevus_travaux_S1+bud_moe_do_S1)*K6</f>
        <v>108393.720570785</v>
      </c>
      <c r="L17" s="17" t="n">
        <f aca="false">(bud_bati_ge_S1+bud_imprevus_travaux_S1+bud_moe_do_S1)*L6</f>
        <v>109206.673475066</v>
      </c>
      <c r="M17" s="17" t="n">
        <f aca="false">(bud_bati_ge_S1+bud_imprevus_travaux_S1+bud_moe_do_S1)*M6</f>
        <v>110025.723526129</v>
      </c>
      <c r="N17" s="17" t="n">
        <f aca="false">(bud_bati_ge_S1+bud_imprevus_travaux_S1+bud_moe_do_S1)*N6</f>
        <v>110850.916452575</v>
      </c>
      <c r="O17" s="17" t="n">
        <f aca="false">(bud_bati_ge_S1+bud_imprevus_travaux_S1+bud_moe_do_S1)*O6</f>
        <v>111682.298325969</v>
      </c>
      <c r="P17" s="17" t="n">
        <f aca="false">(bud_bati_ge_S1+bud_imprevus_travaux_S1+bud_moe_do_S1)*P6</f>
        <v>112519.915563414</v>
      </c>
      <c r="Q17" s="17" t="n">
        <f aca="false">(bud_bati_ge_S1+bud_imprevus_travaux_S1+bud_moe_do_S1)*Q6</f>
        <v>113363.81493014</v>
      </c>
      <c r="R17" s="17" t="n">
        <f aca="false">(bud_bati_ge_S1+bud_imprevus_travaux_S1+bud_moe_do_S1)*R6</f>
        <v>114214.043542116</v>
      </c>
      <c r="S17" s="17" t="n">
        <f aca="false">(bud_bati_ge_S1+bud_imprevus_travaux_S1+bud_moe_do_S1)*S6</f>
        <v>115070.648868682</v>
      </c>
      <c r="T17" s="17" t="n">
        <f aca="false">(bud_bati_ge_S1+bud_imprevus_travaux_S1+bud_moe_do_S1)*T6</f>
        <v>115933.678735197</v>
      </c>
      <c r="U17" s="17" t="n">
        <f aca="false">(bud_bati_ge_S1+bud_imprevus_travaux_S1+bud_moe_do_S1)*U6</f>
        <v>116803.181325711</v>
      </c>
      <c r="V17" s="17" t="n">
        <f aca="false">(bud_bati_ge_S1+bud_imprevus_travaux_S1+bud_moe_do_S1)*V6</f>
        <v>117679.205185654</v>
      </c>
      <c r="W17" s="17" t="n">
        <f aca="false">(bud_bati_ge_S1+bud_imprevus_travaux_S1+bud_moe_do_S1)*W6</f>
        <v>118561.799224546</v>
      </c>
      <c r="X17" s="17" t="n">
        <f aca="false">(bud_bati_ge_S1+bud_imprevus_travaux_S1+bud_moe_do_S1)*X6</f>
        <v>119451.01271873</v>
      </c>
    </row>
    <row r="18" customFormat="false" ht="15" hidden="false" customHeight="false" outlineLevel="0" collapsed="false">
      <c r="A18" s="2" t="s">
        <v>1848</v>
      </c>
      <c r="B18" s="18" t="s">
        <v>1849</v>
      </c>
      <c r="C18" s="2" t="s">
        <v>1839</v>
      </c>
      <c r="D18" s="23" t="n">
        <f aca="false">bud_total_besoin_S1</f>
        <v>345675.46</v>
      </c>
      <c r="E18" s="23" t="n">
        <f aca="false">E13+E14+E15+E16+E17</f>
        <v>347506.85</v>
      </c>
      <c r="F18" s="23" t="n">
        <f aca="false">F13+F14+F15+F16+F17</f>
        <v>349359.3876875</v>
      </c>
      <c r="G18" s="23" t="n">
        <f aca="false">G13+G14+G15+G16+G17</f>
        <v>351233.389148394</v>
      </c>
      <c r="H18" s="23" t="n">
        <f aca="false">H13+H14+H15+H16+H17</f>
        <v>353129.17597602</v>
      </c>
      <c r="I18" s="23" t="n">
        <f aca="false">I13+I14+I15+I16+I17</f>
        <v>355047.075374052</v>
      </c>
      <c r="J18" s="23" t="n">
        <f aca="false">J13+J14+J15+J16+J17</f>
        <v>356987.42026136</v>
      </c>
      <c r="K18" s="23" t="n">
        <f aca="false">K13+K14+K15+K16+K17</f>
        <v>358950.549378895</v>
      </c>
      <c r="L18" s="23" t="n">
        <f aca="false">L13+L14+L15+L16+L17</f>
        <v>360936.807398621</v>
      </c>
      <c r="M18" s="23" t="n">
        <f aca="false">M13+M14+M15+M16+M17</f>
        <v>362946.545034553</v>
      </c>
      <c r="N18" s="23" t="n">
        <f aca="false">N13+N14+N15+N16+N17</f>
        <v>364980.119155915</v>
      </c>
      <c r="O18" s="23" t="n">
        <f aca="false">O13+O14+O15+O16+O17</f>
        <v>367037.89290249</v>
      </c>
      <c r="P18" s="23" t="n">
        <f aca="false">P13+P14+P15+P16+P17</f>
        <v>369120.235802182</v>
      </c>
      <c r="Q18" s="23" t="n">
        <f aca="false">Q13+Q14+Q15+Q16+Q17</f>
        <v>371227.523890839</v>
      </c>
      <c r="R18" s="23" t="n">
        <f aca="false">R13+R14+R15+R16+R17</f>
        <v>373360.139834394</v>
      </c>
      <c r="S18" s="23" t="n">
        <f aca="false">S13+S14+S15+S16+S17</f>
        <v>375518.473053339</v>
      </c>
      <c r="T18" s="23" t="n">
        <f aca="false">T13+T14+T15+T16+T17</f>
        <v>377702.919849615</v>
      </c>
      <c r="U18" s="23" t="n">
        <f aca="false">U13+U14+U15+U16+U17</f>
        <v>379913.883535936</v>
      </c>
      <c r="V18" s="23" t="n">
        <f aca="false">V13+V14+V15+V16+V17</f>
        <v>382151.774567606</v>
      </c>
      <c r="W18" s="23" t="n">
        <f aca="false">W13+W14+W15+W16+W17</f>
        <v>384417.010676877</v>
      </c>
      <c r="X18" s="23" t="n">
        <f aca="false">X13+X14+X15+X16+X17</f>
        <v>386710.017009895</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419253.331691893</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431973.138458637</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445078.853868087</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458582.186076134</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472495.198454641</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103641.525</v>
      </c>
      <c r="F22" s="17" t="n">
        <f aca="false">MAX(0,E22+F17-F19)</f>
        <v>208060.3614375</v>
      </c>
      <c r="G22" s="17" t="n">
        <f aca="false">MAX(0,F22+G17-G19)</f>
        <v>313262.339148281</v>
      </c>
      <c r="H22" s="17" t="n">
        <f aca="false">MAX(0,G22+H17-H19)</f>
        <v>0</v>
      </c>
      <c r="I22" s="17" t="n">
        <f aca="false">MAX(0,H22+I17-I19)</f>
        <v>106785.924987689</v>
      </c>
      <c r="J22" s="17" t="n">
        <f aca="false">MAX(0,I22+J17-J19)</f>
        <v>214372.744412786</v>
      </c>
      <c r="K22" s="17" t="n">
        <f aca="false">MAX(0,J22+K17-K19)</f>
        <v>322766.464983571</v>
      </c>
      <c r="L22" s="17" t="n">
        <f aca="false">MAX(0,K22+L17-L19)</f>
        <v>0</v>
      </c>
      <c r="M22" s="17" t="n">
        <f aca="false">MAX(0,L22+M17-M19)</f>
        <v>110025.723526129</v>
      </c>
      <c r="N22" s="17" t="n">
        <f aca="false">MAX(0,M22+N17-N19)</f>
        <v>220876.639978704</v>
      </c>
      <c r="O22" s="17" t="n">
        <f aca="false">MAX(0,N22+O17-O19)</f>
        <v>332558.938304673</v>
      </c>
      <c r="P22" s="17" t="n">
        <f aca="false">MAX(0,O22+P17-P19)</f>
        <v>0</v>
      </c>
      <c r="Q22" s="17" t="n">
        <f aca="false">MAX(0,P22+Q17-Q19)</f>
        <v>113363.81493014</v>
      </c>
      <c r="R22" s="17" t="n">
        <f aca="false">MAX(0,Q22+R17-R19)</f>
        <v>227577.858472256</v>
      </c>
      <c r="S22" s="17" t="n">
        <f aca="false">MAX(0,R22+S17-S19)</f>
        <v>342648.507340937</v>
      </c>
      <c r="T22" s="17" t="n">
        <f aca="false">MAX(0,S22+T17-T19)</f>
        <v>0</v>
      </c>
      <c r="U22" s="17" t="n">
        <f aca="false">MAX(0,T22+U17-U19)</f>
        <v>116803.181325711</v>
      </c>
      <c r="V22" s="17" t="n">
        <f aca="false">MAX(0,U22+V17-V19)</f>
        <v>234482.386511364</v>
      </c>
      <c r="W22" s="17" t="n">
        <f aca="false">MAX(0,V22+W17-W19)</f>
        <v>353044.18573591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(S1_ech_log*mot_log_cn+S1_ech_stock*mot_stock_cn+S1_ech_pv*mot_pv_cn+S1_ech_bois*mot_bois_cn)*E24*E9*IF(E$3&gt;=st_central_debut_mult,st_central_mult_A,1)*IF(E11=1,1-0.05,IF(E11=2,1-0.02,1))</f>
        <v>6057.6</v>
      </c>
      <c r="F25" s="17" t="n">
        <f aca="false">(S1_ech_log*mot_log_cn+S1_ech_stock*mot_stock_cn+S1_ech_pv*mot_pv_cn+S1_ech_bois*mot_bois_cn)*F24*F9*IF(F$3&gt;=st_central_debut_mult,st_central_mult_A,1)*IF(F11=1,1-0.05,IF(F11=2,1-0.02,1))</f>
        <v>11358</v>
      </c>
      <c r="G25" s="17" t="n">
        <f aca="false">(S1_ech_log*mot_log_cn+S1_ech_stock*mot_stock_cn+S1_ech_pv*mot_pv_cn+S1_ech_bois*mot_bois_cn)*G24*G9*IF(G$3&gt;=st_central_debut_mult,st_central_mult_A,1)*IF(G11=1,1-0.05,IF(G11=2,1-0.02,1))</f>
        <v>15144</v>
      </c>
      <c r="H25" s="17" t="n">
        <f aca="false">(S1_ech_log*mot_log_cn+S1_ech_stock*mot_stock_cn+S1_ech_pv*mot_pv_cn+S1_ech_bois*mot_bois_cn)*H24*H9*IF(H$3&gt;=st_central_debut_mult,st_central_mult_A,1)*IF(H11=1,1-0.05,IF(H11=2,1-0.02,1))</f>
        <v>15144</v>
      </c>
      <c r="I25" s="17" t="n">
        <f aca="false">(S1_ech_log*mot_log_cn+S1_ech_stock*mot_stock_cn+S1_ech_pv*mot_pv_cn+S1_ech_bois*mot_bois_cn)*I24*I9*IF(I$3&gt;=st_central_debut_mult,st_central_mult_A,1)*IF(I11=1,1-0.05,IF(I11=2,1-0.02,1))</f>
        <v>15144</v>
      </c>
      <c r="J25" s="17" t="n">
        <f aca="false">(S1_ech_log*mot_log_cn+S1_ech_stock*mot_stock_cn+S1_ech_pv*mot_pv_cn+S1_ech_bois*mot_bois_cn)*J24*J9*IF(J$3&gt;=st_central_debut_mult,st_central_mult_A,1)*IF(J11=1,1-0.05,IF(J11=2,1-0.02,1))</f>
        <v>15144</v>
      </c>
      <c r="K25" s="17" t="n">
        <f aca="false">(S1_ech_log*mot_log_cn+S1_ech_stock*mot_stock_cn+S1_ech_pv*mot_pv_cn+S1_ech_bois*mot_bois_cn)*K24*K9*IF(K$3&gt;=st_central_debut_mult,st_central_mult_A,1)*IF(K11=1,1-0.05,IF(K11=2,1-0.02,1))</f>
        <v>15144</v>
      </c>
      <c r="L25" s="17" t="n">
        <f aca="false">(S1_ech_log*mot_log_cn+S1_ech_stock*mot_stock_cn+S1_ech_pv*mot_pv_cn+S1_ech_bois*mot_bois_cn)*L24*L9*IF(L$3&gt;=st_central_debut_mult,st_central_mult_A,1)*IF(L11=1,1-0.05,IF(L11=2,1-0.02,1))</f>
        <v>15144</v>
      </c>
      <c r="M25" s="17" t="n">
        <f aca="false">(S1_ech_log*mot_log_cn+S1_ech_stock*mot_stock_cn+S1_ech_pv*mot_pv_cn+S1_ech_bois*mot_bois_cn)*M24*M9*IF(M$3&gt;=st_central_debut_mult,st_central_mult_A,1)*IF(M11=1,1-0.05,IF(M11=2,1-0.02,1))</f>
        <v>15144</v>
      </c>
      <c r="N25" s="17" t="n">
        <f aca="false">(S1_ech_log*mot_log_cn+S1_ech_stock*mot_stock_cn+S1_ech_pv*mot_pv_cn+S1_ech_bois*mot_bois_cn)*N24*N9*IF(N$3&gt;=st_central_debut_mult,st_central_mult_A,1)*IF(N11=1,1-0.05,IF(N11=2,1-0.02,1))</f>
        <v>15144</v>
      </c>
      <c r="O25" s="17" t="n">
        <f aca="false">(S1_ech_log*mot_log_cn+S1_ech_stock*mot_stock_cn+S1_ech_pv*mot_pv_cn+S1_ech_bois*mot_bois_cn)*O24*O9*IF(O$3&gt;=st_central_debut_mult,st_central_mult_A,1)*IF(O11=1,1-0.05,IF(O11=2,1-0.02,1))</f>
        <v>15144</v>
      </c>
      <c r="P25" s="17" t="n">
        <f aca="false">(S1_ech_log*mot_log_cn+S1_ech_stock*mot_stock_cn+S1_ech_pv*mot_pv_cn+S1_ech_bois*mot_bois_cn)*P24*P9*IF(P$3&gt;=st_central_debut_mult,st_central_mult_A,1)*IF(P11=1,1-0.05,IF(P11=2,1-0.02,1))</f>
        <v>15144</v>
      </c>
      <c r="Q25" s="17" t="n">
        <f aca="false">(S1_ech_log*mot_log_cn+S1_ech_stock*mot_stock_cn+S1_ech_pv*mot_pv_cn+S1_ech_bois*mot_bois_cn)*Q24*Q9*IF(Q$3&gt;=st_central_debut_mult,st_central_mult_A,1)*IF(Q11=1,1-0.05,IF(Q11=2,1-0.02,1))</f>
        <v>15144</v>
      </c>
      <c r="R25" s="17" t="n">
        <f aca="false">(S1_ech_log*mot_log_cn+S1_ech_stock*mot_stock_cn+S1_ech_pv*mot_pv_cn+S1_ech_bois*mot_bois_cn)*R24*R9*IF(R$3&gt;=st_central_debut_mult,st_central_mult_A,1)*IF(R11=1,1-0.05,IF(R11=2,1-0.02,1))</f>
        <v>15144</v>
      </c>
      <c r="S25" s="17" t="n">
        <f aca="false">(S1_ech_log*mot_log_cn+S1_ech_stock*mot_stock_cn+S1_ech_pv*mot_pv_cn+S1_ech_bois*mot_bois_cn)*S24*S9*IF(S$3&gt;=st_central_debut_mult,st_central_mult_A,1)*IF(S11=1,1-0.05,IF(S11=2,1-0.02,1))</f>
        <v>15144</v>
      </c>
      <c r="T25" s="17" t="n">
        <f aca="false">(S1_ech_log*mot_log_cn+S1_ech_stock*mot_stock_cn+S1_ech_pv*mot_pv_cn+S1_ech_bois*mot_bois_cn)*T24*T9*IF(T$3&gt;=st_central_debut_mult,st_central_mult_A,1)*IF(T11=1,1-0.05,IF(T11=2,1-0.02,1))</f>
        <v>15144</v>
      </c>
      <c r="U25" s="17" t="n">
        <f aca="false">(S1_ech_log*mot_log_cn+S1_ech_stock*mot_stock_cn+S1_ech_pv*mot_pv_cn+S1_ech_bois*mot_bois_cn)*U24*U9*IF(U$3&gt;=st_central_debut_mult,st_central_mult_A,1)*IF(U11=1,1-0.05,IF(U11=2,1-0.02,1))</f>
        <v>15144</v>
      </c>
      <c r="V25" s="17" t="n">
        <f aca="false">(S1_ech_log*mot_log_cn+S1_ech_stock*mot_stock_cn+S1_ech_pv*mot_pv_cn+S1_ech_bois*mot_bois_cn)*V24*V9*IF(V$3&gt;=st_central_debut_mult,st_central_mult_A,1)*IF(V11=1,1-0.05,IF(V11=2,1-0.02,1))</f>
        <v>15144</v>
      </c>
      <c r="W25" s="17" t="n">
        <f aca="false">(S1_ech_log*mot_log_cn+S1_ech_stock*mot_stock_cn+S1_ech_pv*mot_pv_cn+S1_ech_bois*mot_bois_cn)*W24*W9*IF(W$3&gt;=st_central_debut_mult,st_central_mult_A,1)*IF(W11=1,1-0.05,IF(W11=2,1-0.02,1))</f>
        <v>15144</v>
      </c>
      <c r="X25" s="17" t="n">
        <f aca="false">(S1_ech_log*mot_log_cn+S1_ech_stock*mot_stock_cn+S1_ech_pv*mot_pv_cn+S1_ech_bois*mot_bois_cn)*X24*X9*IF(X$3&gt;=st_central_debut_mult,st_central_mult_A,1)*IF(X11=1,1-0.05,IF(X11=2,1-0.02,1))</f>
        <v>15144</v>
      </c>
    </row>
    <row r="26" customFormat="false" ht="15" hidden="false" customHeight="false" outlineLevel="0" collapsed="false">
      <c r="A26" s="2" t="s">
        <v>1864</v>
      </c>
      <c r="B26" s="2" t="s">
        <v>1865</v>
      </c>
      <c r="C26" s="2" t="s">
        <v>1839</v>
      </c>
      <c r="E26" s="17" t="n">
        <f aca="false">(S1_ech_eq_ret*mot_eq_ret_cn)*E24*E9*IF(E$3&gt;=st_central_debut_mult,st_central_mult_B,1)*IF(E11=1,1-0.15,IF(E11=2,1-0.05,1))</f>
        <v>1345.0536</v>
      </c>
      <c r="F26" s="17" t="n">
        <f aca="false">(S1_ech_eq_ret*mot_eq_ret_cn)*F24*F9*IF(F$3&gt;=st_central_debut_mult,st_central_mult_B,1)*IF(F11=1,1-0.15,IF(F11=2,1-0.05,1))</f>
        <v>2521.9755</v>
      </c>
      <c r="G26" s="17" t="n">
        <f aca="false">(S1_ech_eq_ret*mot_eq_ret_cn)*G24*G9*IF(G$3&gt;=st_central_debut_mult,st_central_mult_B,1)*IF(G11=1,1-0.15,IF(G11=2,1-0.05,1))</f>
        <v>3362.634</v>
      </c>
      <c r="H26" s="17" t="n">
        <f aca="false">(S1_ech_eq_ret*mot_eq_ret_cn)*H24*H9*IF(H$3&gt;=st_central_debut_mult,st_central_mult_B,1)*IF(H11=1,1-0.15,IF(H11=2,1-0.05,1))</f>
        <v>3362.634</v>
      </c>
      <c r="I26" s="17" t="n">
        <f aca="false">(S1_ech_eq_ret*mot_eq_ret_cn)*I24*I9*IF(I$3&gt;=st_central_debut_mult,st_central_mult_B,1)*IF(I11=1,1-0.15,IF(I11=2,1-0.05,1))</f>
        <v>3362.634</v>
      </c>
      <c r="J26" s="17" t="n">
        <f aca="false">(S1_ech_eq_ret*mot_eq_ret_cn)*J24*J9*IF(J$3&gt;=st_central_debut_mult,st_central_mult_B,1)*IF(J11=1,1-0.15,IF(J11=2,1-0.05,1))</f>
        <v>3362.634</v>
      </c>
      <c r="K26" s="17" t="n">
        <f aca="false">(S1_ech_eq_ret*mot_eq_ret_cn)*K24*K9*IF(K$3&gt;=st_central_debut_mult,st_central_mult_B,1)*IF(K11=1,1-0.15,IF(K11=2,1-0.05,1))</f>
        <v>3362.634</v>
      </c>
      <c r="L26" s="17" t="n">
        <f aca="false">(S1_ech_eq_ret*mot_eq_ret_cn)*L24*L9*IF(L$3&gt;=st_central_debut_mult,st_central_mult_B,1)*IF(L11=1,1-0.15,IF(L11=2,1-0.05,1))</f>
        <v>3362.634</v>
      </c>
      <c r="M26" s="17" t="n">
        <f aca="false">(S1_ech_eq_ret*mot_eq_ret_cn)*M24*M9*IF(M$3&gt;=st_central_debut_mult,st_central_mult_B,1)*IF(M11=1,1-0.15,IF(M11=2,1-0.05,1))</f>
        <v>3362.634</v>
      </c>
      <c r="N26" s="17" t="n">
        <f aca="false">(S1_ech_eq_ret*mot_eq_ret_cn)*N24*N9*IF(N$3&gt;=st_central_debut_mult,st_central_mult_B,1)*IF(N11=1,1-0.15,IF(N11=2,1-0.05,1))</f>
        <v>3362.634</v>
      </c>
      <c r="O26" s="17" t="n">
        <f aca="false">(S1_ech_eq_ret*mot_eq_ret_cn)*O24*O9*IF(O$3&gt;=st_central_debut_mult,st_central_mult_B,1)*IF(O11=1,1-0.15,IF(O11=2,1-0.05,1))</f>
        <v>3362.634</v>
      </c>
      <c r="P26" s="17" t="n">
        <f aca="false">(S1_ech_eq_ret*mot_eq_ret_cn)*P24*P9*IF(P$3&gt;=st_central_debut_mult,st_central_mult_B,1)*IF(P11=1,1-0.15,IF(P11=2,1-0.05,1))</f>
        <v>3362.634</v>
      </c>
      <c r="Q26" s="17" t="n">
        <f aca="false">(S1_ech_eq_ret*mot_eq_ret_cn)*Q24*Q9*IF(Q$3&gt;=st_central_debut_mult,st_central_mult_B,1)*IF(Q11=1,1-0.15,IF(Q11=2,1-0.05,1))</f>
        <v>3362.634</v>
      </c>
      <c r="R26" s="17" t="n">
        <f aca="false">(S1_ech_eq_ret*mot_eq_ret_cn)*R24*R9*IF(R$3&gt;=st_central_debut_mult,st_central_mult_B,1)*IF(R11=1,1-0.15,IF(R11=2,1-0.05,1))</f>
        <v>3362.634</v>
      </c>
      <c r="S26" s="17" t="n">
        <f aca="false">(S1_ech_eq_ret*mot_eq_ret_cn)*S24*S9*IF(S$3&gt;=st_central_debut_mult,st_central_mult_B,1)*IF(S11=1,1-0.15,IF(S11=2,1-0.05,1))</f>
        <v>3362.634</v>
      </c>
      <c r="T26" s="17" t="n">
        <f aca="false">(S1_ech_eq_ret*mot_eq_ret_cn)*T24*T9*IF(T$3&gt;=st_central_debut_mult,st_central_mult_B,1)*IF(T11=1,1-0.15,IF(T11=2,1-0.05,1))</f>
        <v>3362.634</v>
      </c>
      <c r="U26" s="17" t="n">
        <f aca="false">(S1_ech_eq_ret*mot_eq_ret_cn)*U24*U9*IF(U$3&gt;=st_central_debut_mult,st_central_mult_B,1)*IF(U11=1,1-0.15,IF(U11=2,1-0.05,1))</f>
        <v>3362.634</v>
      </c>
      <c r="V26" s="17" t="n">
        <f aca="false">(S1_ech_eq_ret*mot_eq_ret_cn)*V24*V9*IF(V$3&gt;=st_central_debut_mult,st_central_mult_B,1)*IF(V11=1,1-0.15,IF(V11=2,1-0.05,1))</f>
        <v>3362.634</v>
      </c>
      <c r="W26" s="17" t="n">
        <f aca="false">(S1_ech_eq_ret*mot_eq_ret_cn)*W24*W9*IF(W$3&gt;=st_central_debut_mult,st_central_mult_B,1)*IF(W11=1,1-0.15,IF(W11=2,1-0.05,1))</f>
        <v>3362.634</v>
      </c>
      <c r="X26" s="17" t="n">
        <f aca="false">(S1_ech_eq_ret*mot_eq_ret_cn)*X24*X9*IF(X$3&gt;=st_central_debut_mult,st_central_mult_B,1)*IF(X11=1,1-0.15,IF(X11=2,1-0.05,1))</f>
        <v>3362.634</v>
      </c>
    </row>
    <row r="27" customFormat="false" ht="15" hidden="false" customHeight="false" outlineLevel="0" collapsed="false">
      <c r="A27" s="2" t="s">
        <v>1866</v>
      </c>
      <c r="B27" s="2" t="s">
        <v>1867</v>
      </c>
      <c r="C27" s="2" t="s">
        <v>1839</v>
      </c>
      <c r="E27" s="17" t="n">
        <f aca="false">(S1_ech_tourn*mot_tourn_cn)*E24*E9*IF(E$3&gt;=st_central_debut_mult,st_central_mult_C,1)*IF(E11=1,1-0.8,IF(E11=2,1-0.3,1))</f>
        <v>1190</v>
      </c>
      <c r="F27" s="17" t="n">
        <f aca="false">(S1_ech_tourn*mot_tourn_cn)*F24*F9*IF(F$3&gt;=st_central_debut_mult,st_central_mult_C,1)*IF(F11=1,1-0.8,IF(F11=2,1-0.3,1))</f>
        <v>2231.25</v>
      </c>
      <c r="G27" s="17" t="n">
        <f aca="false">(S1_ech_tourn*mot_tourn_cn)*G24*G9*IF(G$3&gt;=st_central_debut_mult,st_central_mult_C,1)*IF(G11=1,1-0.8,IF(G11=2,1-0.3,1))</f>
        <v>2975</v>
      </c>
      <c r="H27" s="17" t="n">
        <f aca="false">(S1_ech_tourn*mot_tourn_cn)*H24*H9*IF(H$3&gt;=st_central_debut_mult,st_central_mult_C,1)*IF(H11=1,1-0.8,IF(H11=2,1-0.3,1))</f>
        <v>2975</v>
      </c>
      <c r="I27" s="17" t="n">
        <f aca="false">(S1_ech_tourn*mot_tourn_cn)*I24*I9*IF(I$3&gt;=st_central_debut_mult,st_central_mult_C,1)*IF(I11=1,1-0.8,IF(I11=2,1-0.3,1))</f>
        <v>2975</v>
      </c>
      <c r="J27" s="17" t="n">
        <f aca="false">(S1_ech_tourn*mot_tourn_cn)*J24*J9*IF(J$3&gt;=st_central_debut_mult,st_central_mult_C,1)*IF(J11=1,1-0.8,IF(J11=2,1-0.3,1))</f>
        <v>2975</v>
      </c>
      <c r="K27" s="17" t="n">
        <f aca="false">(S1_ech_tourn*mot_tourn_cn)*K24*K9*IF(K$3&gt;=st_central_debut_mult,st_central_mult_C,1)*IF(K11=1,1-0.8,IF(K11=2,1-0.3,1))</f>
        <v>2975</v>
      </c>
      <c r="L27" s="17" t="n">
        <f aca="false">(S1_ech_tourn*mot_tourn_cn)*L24*L9*IF(L$3&gt;=st_central_debut_mult,st_central_mult_C,1)*IF(L11=1,1-0.8,IF(L11=2,1-0.3,1))</f>
        <v>2975</v>
      </c>
      <c r="M27" s="17" t="n">
        <f aca="false">(S1_ech_tourn*mot_tourn_cn)*M24*M9*IF(M$3&gt;=st_central_debut_mult,st_central_mult_C,1)*IF(M11=1,1-0.8,IF(M11=2,1-0.3,1))</f>
        <v>2975</v>
      </c>
      <c r="N27" s="17" t="n">
        <f aca="false">(S1_ech_tourn*mot_tourn_cn)*N24*N9*IF(N$3&gt;=st_central_debut_mult,st_central_mult_C,1)*IF(N11=1,1-0.8,IF(N11=2,1-0.3,1))</f>
        <v>2975</v>
      </c>
      <c r="O27" s="17" t="n">
        <f aca="false">(S1_ech_tourn*mot_tourn_cn)*O24*O9*IF(O$3&gt;=st_central_debut_mult,st_central_mult_C,1)*IF(O11=1,1-0.8,IF(O11=2,1-0.3,1))</f>
        <v>2975</v>
      </c>
      <c r="P27" s="17" t="n">
        <f aca="false">(S1_ech_tourn*mot_tourn_cn)*P24*P9*IF(P$3&gt;=st_central_debut_mult,st_central_mult_C,1)*IF(P11=1,1-0.8,IF(P11=2,1-0.3,1))</f>
        <v>2975</v>
      </c>
      <c r="Q27" s="17" t="n">
        <f aca="false">(S1_ech_tourn*mot_tourn_cn)*Q24*Q9*IF(Q$3&gt;=st_central_debut_mult,st_central_mult_C,1)*IF(Q11=1,1-0.8,IF(Q11=2,1-0.3,1))</f>
        <v>2975</v>
      </c>
      <c r="R27" s="17" t="n">
        <f aca="false">(S1_ech_tourn*mot_tourn_cn)*R24*R9*IF(R$3&gt;=st_central_debut_mult,st_central_mult_C,1)*IF(R11=1,1-0.8,IF(R11=2,1-0.3,1))</f>
        <v>2975</v>
      </c>
      <c r="S27" s="17" t="n">
        <f aca="false">(S1_ech_tourn*mot_tourn_cn)*S24*S9*IF(S$3&gt;=st_central_debut_mult,st_central_mult_C,1)*IF(S11=1,1-0.8,IF(S11=2,1-0.3,1))</f>
        <v>2975</v>
      </c>
      <c r="T27" s="17" t="n">
        <f aca="false">(S1_ech_tourn*mot_tourn_cn)*T24*T9*IF(T$3&gt;=st_central_debut_mult,st_central_mult_C,1)*IF(T11=1,1-0.8,IF(T11=2,1-0.3,1))</f>
        <v>2975</v>
      </c>
      <c r="U27" s="17" t="n">
        <f aca="false">(S1_ech_tourn*mot_tourn_cn)*U24*U9*IF(U$3&gt;=st_central_debut_mult,st_central_mult_C,1)*IF(U11=1,1-0.8,IF(U11=2,1-0.3,1))</f>
        <v>2975</v>
      </c>
      <c r="V27" s="17" t="n">
        <f aca="false">(S1_ech_tourn*mot_tourn_cn)*V24*V9*IF(V$3&gt;=st_central_debut_mult,st_central_mult_C,1)*IF(V11=1,1-0.8,IF(V11=2,1-0.3,1))</f>
        <v>2975</v>
      </c>
      <c r="W27" s="17" t="n">
        <f aca="false">(S1_ech_tourn*mot_tourn_cn)*W24*W9*IF(W$3&gt;=st_central_debut_mult,st_central_mult_C,1)*IF(W11=1,1-0.8,IF(W11=2,1-0.3,1))</f>
        <v>2975</v>
      </c>
      <c r="X27" s="17" t="n">
        <f aca="false">(S1_ech_tourn*mot_tourn_cn)*X24*X9*IF(X$3&gt;=st_central_debut_mult,st_central_mult_C,1)*IF(X11=1,1-0.8,IF(X11=2,1-0.3,1))</f>
        <v>2975</v>
      </c>
    </row>
    <row r="28" customFormat="false" ht="15" hidden="false" customHeight="false" outlineLevel="0" collapsed="false">
      <c r="A28" s="2" t="s">
        <v>1868</v>
      </c>
      <c r="B28" s="2" t="s">
        <v>1869</v>
      </c>
      <c r="C28" s="2" t="s">
        <v>1839</v>
      </c>
      <c r="E28" s="17" t="n">
        <f aca="false">E25+E26+E27</f>
        <v>8592.6536</v>
      </c>
      <c r="F28" s="17" t="n">
        <f aca="false">F25+F26+F27</f>
        <v>16111.2255</v>
      </c>
      <c r="G28" s="17" t="n">
        <f aca="false">G25+G26+G27</f>
        <v>21481.634</v>
      </c>
      <c r="H28" s="17" t="n">
        <f aca="false">H25+H26+H27</f>
        <v>21481.634</v>
      </c>
      <c r="I28" s="17" t="n">
        <f aca="false">I25+I26+I27</f>
        <v>21481.634</v>
      </c>
      <c r="J28" s="17" t="n">
        <f aca="false">J25+J26+J27</f>
        <v>21481.634</v>
      </c>
      <c r="K28" s="17" t="n">
        <f aca="false">K25+K26+K27</f>
        <v>21481.634</v>
      </c>
      <c r="L28" s="17" t="n">
        <f aca="false">L25+L26+L27</f>
        <v>21481.634</v>
      </c>
      <c r="M28" s="17" t="n">
        <f aca="false">M25+M26+M27</f>
        <v>21481.634</v>
      </c>
      <c r="N28" s="17" t="n">
        <f aca="false">N25+N26+N27</f>
        <v>21481.634</v>
      </c>
      <c r="O28" s="17" t="n">
        <f aca="false">O25+O26+O27</f>
        <v>21481.634</v>
      </c>
      <c r="P28" s="17" t="n">
        <f aca="false">P25+P26+P27</f>
        <v>21481.634</v>
      </c>
      <c r="Q28" s="17" t="n">
        <f aca="false">Q25+Q26+Q27</f>
        <v>21481.634</v>
      </c>
      <c r="R28" s="17" t="n">
        <f aca="false">R25+R26+R27</f>
        <v>21481.634</v>
      </c>
      <c r="S28" s="17" t="n">
        <f aca="false">S25+S26+S27</f>
        <v>21481.634</v>
      </c>
      <c r="T28" s="17" t="n">
        <f aca="false">T25+T26+T27</f>
        <v>21481.634</v>
      </c>
      <c r="U28" s="17" t="n">
        <f aca="false">U25+U26+U27</f>
        <v>21481.634</v>
      </c>
      <c r="V28" s="17" t="n">
        <f aca="false">V25+V26+V27</f>
        <v>21481.634</v>
      </c>
      <c r="W28" s="17" t="n">
        <f aca="false">W25+W26+W27</f>
        <v>21481.634</v>
      </c>
      <c r="X28" s="17" t="n">
        <f aca="false">X25+X26+X27</f>
        <v>21481.634</v>
      </c>
    </row>
    <row r="29" customFormat="false" ht="15" hidden="false" customHeight="false" outlineLevel="0" collapsed="false">
      <c r="A29" s="2" t="s">
        <v>1870</v>
      </c>
      <c r="B29" s="2" t="s">
        <v>1871</v>
      </c>
      <c r="C29" s="2" t="s">
        <v>1839</v>
      </c>
      <c r="E29" s="17" t="n">
        <f aca="false">IF(E28&gt;0,E28*(1-fuite_fiscale),E28)</f>
        <v>5155.59216</v>
      </c>
      <c r="F29" s="17" t="n">
        <f aca="false">IF(F28&gt;0,F28*(1-fuite_fiscale),F28)</f>
        <v>9666.7353</v>
      </c>
      <c r="G29" s="17" t="n">
        <f aca="false">IF(G28&gt;0,G28*(1-fuite_fiscale),G28)</f>
        <v>12888.9804</v>
      </c>
      <c r="H29" s="17" t="n">
        <f aca="false">IF(H28&gt;0,H28*(1-fuite_fiscale),H28)</f>
        <v>12888.9804</v>
      </c>
      <c r="I29" s="17" t="n">
        <f aca="false">IF(I28&gt;0,I28*(1-fuite_fiscale),I28)</f>
        <v>12888.9804</v>
      </c>
      <c r="J29" s="17" t="n">
        <f aca="false">IF(J28&gt;0,J28*(1-fuite_fiscale),J28)</f>
        <v>12888.9804</v>
      </c>
      <c r="K29" s="17" t="n">
        <f aca="false">IF(K28&gt;0,K28*(1-fuite_fiscale),K28)</f>
        <v>12888.9804</v>
      </c>
      <c r="L29" s="17" t="n">
        <f aca="false">IF(L28&gt;0,L28*(1-fuite_fiscale),L28)</f>
        <v>12888.9804</v>
      </c>
      <c r="M29" s="17" t="n">
        <f aca="false">IF(M28&gt;0,M28*(1-fuite_fiscale),M28)</f>
        <v>12888.9804</v>
      </c>
      <c r="N29" s="17" t="n">
        <f aca="false">IF(N28&gt;0,N28*(1-fuite_fiscale),N28)</f>
        <v>12888.9804</v>
      </c>
      <c r="O29" s="17" t="n">
        <f aca="false">IF(O28&gt;0,O28*(1-fuite_fiscale),O28)</f>
        <v>12888.9804</v>
      </c>
      <c r="P29" s="17" t="n">
        <f aca="false">IF(P28&gt;0,P28*(1-fuite_fiscale),P28)</f>
        <v>12888.9804</v>
      </c>
      <c r="Q29" s="17" t="n">
        <f aca="false">IF(Q28&gt;0,Q28*(1-fuite_fiscale),Q28)</f>
        <v>12888.9804</v>
      </c>
      <c r="R29" s="17" t="n">
        <f aca="false">IF(R28&gt;0,R28*(1-fuite_fiscale),R28)</f>
        <v>12888.9804</v>
      </c>
      <c r="S29" s="17" t="n">
        <f aca="false">IF(S28&gt;0,S28*(1-fuite_fiscale),S28)</f>
        <v>12888.9804</v>
      </c>
      <c r="T29" s="17" t="n">
        <f aca="false">IF(T28&gt;0,T28*(1-fuite_fiscale),T28)</f>
        <v>12888.9804</v>
      </c>
      <c r="U29" s="17" t="n">
        <f aca="false">IF(U28&gt;0,U28*(1-fuite_fiscale),U28)</f>
        <v>12888.9804</v>
      </c>
      <c r="V29" s="17" t="n">
        <f aca="false">IF(V28&gt;0,V28*(1-fuite_fiscale),V28)</f>
        <v>12888.9804</v>
      </c>
      <c r="W29" s="17" t="n">
        <f aca="false">IF(W28&gt;0,W28*(1-fuite_fiscale),W28)</f>
        <v>12888.9804</v>
      </c>
      <c r="X29" s="17" t="n">
        <f aca="false">IF(X28&gt;0,X28*(1-fuite_fiscale),X28)</f>
        <v>12888.9804</v>
      </c>
    </row>
    <row r="30" customFormat="false" ht="15" hidden="false" customHeight="false" outlineLevel="0" collapsed="false">
      <c r="A30" s="2" t="s">
        <v>1872</v>
      </c>
      <c r="B30" s="2" t="s">
        <v>1873</v>
      </c>
      <c r="C30" s="2" t="s">
        <v>1839</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1874</v>
      </c>
      <c r="B31" s="2" t="s">
        <v>1875</v>
      </c>
      <c r="C31" s="2" t="s">
        <v>1839</v>
      </c>
      <c r="E31" s="17" t="n">
        <f aca="false">MIN(E30,MAX(0,D44))</f>
        <v>270000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1882</v>
      </c>
      <c r="B35" s="2" t="s">
        <v>1883</v>
      </c>
      <c r="C35" s="2" t="s">
        <v>1839</v>
      </c>
      <c r="E35" s="17" t="n">
        <f aca="false">E13+E14+E15+E16+E17+E21+E32-E29-E23-E33-E34</f>
        <v>342351.25784</v>
      </c>
      <c r="F35" s="17" t="n">
        <f aca="false">F13+F14+F15+F16+F17+F21+F32-F29-F23-F33-F34</f>
        <v>339692.6523875</v>
      </c>
      <c r="G35" s="17" t="n">
        <f aca="false">G13+G14+G15+G16+G17+G21+G32-G29-G23-G33-G34</f>
        <v>338344.408748394</v>
      </c>
      <c r="H35" s="17" t="n">
        <f aca="false">H13+H14+H15+H16+H17+H21+H32-H29-H23-H33-H34</f>
        <v>340240.19557602</v>
      </c>
      <c r="I35" s="17" t="n">
        <f aca="false">I13+I14+I15+I16+I17+I21+I32-I29-I23-I33-I34</f>
        <v>342158.094974052</v>
      </c>
      <c r="J35" s="17" t="n">
        <f aca="false">J13+J14+J15+J16+J17+J21+J32-J29-J23-J33-J34</f>
        <v>344098.43986136</v>
      </c>
      <c r="K35" s="17" t="n">
        <f aca="false">K13+K14+K15+K16+K17+K21+K32-K29-K23-K33-K34</f>
        <v>346061.568978895</v>
      </c>
      <c r="L35" s="17" t="n">
        <f aca="false">L13+L14+L15+L16+L17+L21+L32-L29-L23-L33-L34</f>
        <v>348047.826998621</v>
      </c>
      <c r="M35" s="17" t="n">
        <f aca="false">M13+M14+M15+M16+M17+M21+M32-M29-M23-M33-M34</f>
        <v>350057.564634553</v>
      </c>
      <c r="N35" s="17" t="n">
        <f aca="false">N13+N14+N15+N16+N17+N21+N32-N29-N23-N33-N34</f>
        <v>352091.138755915</v>
      </c>
      <c r="O35" s="17" t="n">
        <f aca="false">O13+O14+O15+O16+O17+O21+O32-O29-O23-O33-O34</f>
        <v>354148.91250249</v>
      </c>
      <c r="P35" s="17" t="n">
        <f aca="false">P13+P14+P15+P16+P17+P21+P32-P29-P23-P33-P34</f>
        <v>356231.255402182</v>
      </c>
      <c r="Q35" s="17" t="n">
        <f aca="false">Q13+Q14+Q15+Q16+Q17+Q21+Q32-Q29-Q23-Q33-Q34</f>
        <v>358338.543490839</v>
      </c>
      <c r="R35" s="17" t="n">
        <f aca="false">R13+R14+R15+R16+R17+R21+R32-R29-R23-R33-R34</f>
        <v>360471.159434394</v>
      </c>
      <c r="S35" s="17" t="n">
        <f aca="false">S13+S14+S15+S16+S17+S21+S32-S29-S23-S33-S34</f>
        <v>362629.492653339</v>
      </c>
      <c r="T35" s="17" t="n">
        <f aca="false">T13+T14+T15+T16+T17+T21+T32-T29-T23-T33-T34</f>
        <v>364813.939449615</v>
      </c>
      <c r="U35" s="17" t="n">
        <f aca="false">U13+U14+U15+U16+U17+U21+U32-U29-U23-U33-U34</f>
        <v>367024.903135936</v>
      </c>
      <c r="V35" s="17" t="n">
        <f aca="false">V13+V14+V15+V16+V17+V21+V32-V29-V23-V33-V34</f>
        <v>369262.794167606</v>
      </c>
      <c r="W35" s="17" t="n">
        <f aca="false">W13+W14+W15+W16+W17+W21+W32-W29-W23-W33-W34</f>
        <v>371528.030276877</v>
      </c>
      <c r="X35" s="17" t="n">
        <f aca="false">X13+X14+X15+X16+X17+X21+X32-X29-X23-X33-X34</f>
        <v>373821.036609895</v>
      </c>
    </row>
    <row r="36" customFormat="false" ht="15" hidden="false" customHeight="false" outlineLevel="0" collapsed="false">
      <c r="A36" s="2" t="s">
        <v>1884</v>
      </c>
      <c r="B36" s="2" t="s">
        <v>1885</v>
      </c>
      <c r="C36" s="2" t="s">
        <v>1839</v>
      </c>
      <c r="E36" s="17" t="n">
        <f aca="false">IF(AND(E$3&lt;=S1_sol_div_annees,E$3&lt;=st_central_div_fin),S1_sol_div*IF(E11=1,0.5,1),0)</f>
        <v>400000</v>
      </c>
      <c r="F36" s="17" t="n">
        <f aca="false">IF(AND(F$3&lt;=S1_sol_div_annees,F$3&lt;=st_central_div_fin),S1_sol_div*IF(F11=1,0.5,1),0)</f>
        <v>400000</v>
      </c>
      <c r="G36" s="17" t="n">
        <f aca="false">IF(AND(G$3&lt;=S1_sol_div_annees,G$3&lt;=st_central_div_fin),S1_sol_div*IF(G11=1,0.5,1),0)</f>
        <v>400000</v>
      </c>
      <c r="H36" s="17" t="n">
        <f aca="false">IF(AND(H$3&lt;=S1_sol_div_annees,H$3&lt;=st_central_div_fin),S1_sol_div*IF(H11=1,0.5,1),0)</f>
        <v>400000</v>
      </c>
      <c r="I36" s="17" t="n">
        <f aca="false">IF(AND(I$3&lt;=S1_sol_div_annees,I$3&lt;=st_central_div_fin),S1_sol_div*IF(I11=1,0.5,1),0)</f>
        <v>400000</v>
      </c>
      <c r="J36" s="17" t="n">
        <f aca="false">IF(AND(J$3&lt;=S1_sol_div_annees,J$3&lt;=st_central_div_fin),S1_sol_div*IF(J11=1,0.5,1),0)</f>
        <v>400000</v>
      </c>
      <c r="K36" s="17" t="n">
        <f aca="false">IF(AND(K$3&lt;=S1_sol_div_annees,K$3&lt;=st_central_div_fin),S1_sol_div*IF(K11=1,0.5,1),0)</f>
        <v>400000</v>
      </c>
      <c r="L36" s="17" t="n">
        <f aca="false">IF(AND(L$3&lt;=S1_sol_div_annees,L$3&lt;=st_central_div_fin),S1_sol_div*IF(L11=1,0.5,1),0)</f>
        <v>400000</v>
      </c>
      <c r="M36" s="17" t="n">
        <f aca="false">IF(AND(M$3&lt;=S1_sol_div_annees,M$3&lt;=st_central_div_fin),S1_sol_div*IF(M11=1,0.5,1),0)</f>
        <v>400000</v>
      </c>
      <c r="N36" s="17" t="n">
        <f aca="false">IF(AND(N$3&lt;=S1_sol_div_annees,N$3&lt;=st_central_div_fin),S1_sol_div*IF(N11=1,0.5,1),0)</f>
        <v>400000</v>
      </c>
      <c r="O36" s="17" t="n">
        <f aca="false">IF(AND(O$3&lt;=S1_sol_div_annees,O$3&lt;=st_central_div_fin),S1_sol_div*IF(O11=1,0.5,1),0)</f>
        <v>0</v>
      </c>
      <c r="P36" s="17" t="n">
        <f aca="false">IF(AND(P$3&lt;=S1_sol_div_annees,P$3&lt;=st_central_div_fin),S1_sol_div*IF(P11=1,0.5,1),0)</f>
        <v>0</v>
      </c>
      <c r="Q36" s="17" t="n">
        <f aca="false">IF(AND(Q$3&lt;=S1_sol_div_annees,Q$3&lt;=st_central_div_fin),S1_sol_div*IF(Q11=1,0.5,1),0)</f>
        <v>0</v>
      </c>
      <c r="R36" s="17" t="n">
        <f aca="false">IF(AND(R$3&lt;=S1_sol_div_annees,R$3&lt;=st_central_div_fin),S1_sol_div*IF(R11=1,0.5,1),0)</f>
        <v>0</v>
      </c>
      <c r="S36" s="17" t="n">
        <f aca="false">IF(AND(S$3&lt;=S1_sol_div_annees,S$3&lt;=st_central_div_fin),S1_sol_div*IF(S11=1,0.5,1),0)</f>
        <v>0</v>
      </c>
      <c r="T36" s="17" t="n">
        <f aca="false">IF(AND(T$3&lt;=S1_sol_div_annees,T$3&lt;=st_central_div_fin),S1_sol_div*IF(T11=1,0.5,1),0)</f>
        <v>0</v>
      </c>
      <c r="U36" s="17" t="n">
        <f aca="false">IF(AND(U$3&lt;=S1_sol_div_annees,U$3&lt;=st_central_div_fin),S1_sol_div*IF(U11=1,0.5,1),0)</f>
        <v>0</v>
      </c>
      <c r="V36" s="17" t="n">
        <f aca="false">IF(AND(V$3&lt;=S1_sol_div_annees,V$3&lt;=st_central_div_fin),S1_sol_div*IF(V11=1,0.5,1),0)</f>
        <v>0</v>
      </c>
      <c r="W36" s="17" t="n">
        <f aca="false">IF(AND(W$3&lt;=S1_sol_div_annees,W$3&lt;=st_central_div_fin),S1_sol_div*IF(W11=1,0.5,1),0)</f>
        <v>0</v>
      </c>
      <c r="X36" s="17" t="n">
        <f aca="false">IF(AND(X$3&lt;=S1_sol_div_annees,X$3&lt;=st_central_div_fin),S1_sol_div*IF(X11=1,0.5,1),0)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dot_taux_net*S1_sol_dotation0</f>
        <v>595000</v>
      </c>
      <c r="E38" s="17" t="n">
        <f aca="false">lissage_depense*D38+(1-lissage_depense)*dot_taux_net*MAX(0,D44)</f>
        <v>595000</v>
      </c>
      <c r="F38" s="17" t="n">
        <f aca="false">lissage_depense*E38+(1-lissage_depense)*dot_taux_net*MAX(0,E44)</f>
        <v>596629.77059756</v>
      </c>
      <c r="G38" s="17" t="n">
        <f aca="false">lissage_depense*F38+(1-lissage_depense)*dot_taux_net*MAX(0,F44)</f>
        <v>600542.840998481</v>
      </c>
      <c r="H38" s="17" t="n">
        <f aca="false">lissage_depense*G38+(1-lissage_depense)*dot_taux_net*MAX(0,G44)</f>
        <v>606339.332438241</v>
      </c>
      <c r="I38" s="17" t="n">
        <f aca="false">lissage_depense*H38+(1-lissage_depense)*dot_taux_net*MAX(0,H44)</f>
        <v>613689.121714107</v>
      </c>
      <c r="J38" s="17" t="n">
        <f aca="false">lissage_depense*I38+(1-lissage_depense)*dot_taux_net*MAX(0,I44)</f>
        <v>622328.962352885</v>
      </c>
      <c r="K38" s="17" t="n">
        <f aca="false">lissage_depense*J38+(1-lissage_depense)*dot_taux_net*MAX(0,J44)</f>
        <v>632049.12511234</v>
      </c>
      <c r="L38" s="17" t="n">
        <f aca="false">lissage_depense*K38+(1-lissage_depense)*dot_taux_net*MAX(0,K44)</f>
        <v>642682.710678367</v>
      </c>
      <c r="M38" s="17" t="n">
        <f aca="false">lissage_depense*L38+(1-lissage_depense)*dot_taux_net*MAX(0,L44)</f>
        <v>654097.100124282</v>
      </c>
      <c r="N38" s="17" t="n">
        <f aca="false">lissage_depense*M38+(1-lissage_depense)*dot_taux_net*MAX(0,M44)</f>
        <v>666187.115585454</v>
      </c>
      <c r="O38" s="17" t="n">
        <f aca="false">lissage_depense*N38+(1-lissage_depense)*dot_taux_net*MAX(0,N44)</f>
        <v>678869.549111935</v>
      </c>
      <c r="P38" s="17" t="n">
        <f aca="false">lissage_depense*O38+(1-lissage_depense)*dot_taux_net*MAX(0,O44)</f>
        <v>690678.786069339</v>
      </c>
      <c r="Q38" s="17" t="n">
        <f aca="false">lissage_depense*P38+(1-lissage_depense)*dot_taux_net*MAX(0,P44)</f>
        <v>701815.304184266</v>
      </c>
      <c r="R38" s="17" t="n">
        <f aca="false">lissage_depense*Q38+(1-lissage_depense)*dot_taux_net*MAX(0,Q44)</f>
        <v>712439.913111443</v>
      </c>
      <c r="S38" s="17" t="n">
        <f aca="false">lissage_depense*R38+(1-lissage_depense)*dot_taux_net*MAX(0,R44)</f>
        <v>722681.695224392</v>
      </c>
      <c r="T38" s="17" t="n">
        <f aca="false">lissage_depense*S38+(1-lissage_depense)*dot_taux_net*MAX(0,S44)</f>
        <v>732644.358367227</v>
      </c>
      <c r="U38" s="17" t="n">
        <f aca="false">lissage_depense*T38+(1-lissage_depense)*dot_taux_net*MAX(0,T44)</f>
        <v>742411.318177282</v>
      </c>
      <c r="V38" s="17" t="n">
        <f aca="false">lissage_depense*U38+(1-lissage_depense)*dot_taux_net*MAX(0,U44)</f>
        <v>752049.764066353</v>
      </c>
      <c r="W38" s="17" t="n">
        <f aca="false">lissage_depense*V38+(1-lissage_depense)*dot_taux_net*MAX(0,V44)</f>
        <v>761613.912130838</v>
      </c>
      <c r="X38" s="17" t="n">
        <f aca="false">lissage_depense*W38+(1-lissage_depense)*dot_taux_net*MAX(0,W44)</f>
        <v>771147.607606991</v>
      </c>
    </row>
    <row r="39" customFormat="false" ht="15" hidden="false" customHeight="false" outlineLevel="0" collapsed="false">
      <c r="A39" s="2" t="s">
        <v>1890</v>
      </c>
      <c r="B39" s="18" t="s">
        <v>1891</v>
      </c>
      <c r="C39" s="2" t="s">
        <v>1839</v>
      </c>
      <c r="E39" s="23" t="n">
        <f aca="false">S1_sol_reserve0*MAX(D18,bud_total_besoin_S1)/bud_total_besoin_S1</f>
        <v>400000</v>
      </c>
      <c r="F39" s="23" t="n">
        <f aca="false">S1_sol_reserve0*MAX(E18,bud_total_besoin_S1)/bud_total_besoin_S1</f>
        <v>402119.201634967</v>
      </c>
      <c r="G39" s="23" t="n">
        <f aca="false">S1_sol_reserve0*MAX(F18,bud_total_besoin_S1)/bud_total_besoin_S1</f>
        <v>404262.874416946</v>
      </c>
      <c r="H39" s="23" t="n">
        <f aca="false">S1_sol_reserve0*MAX(G18,bud_total_besoin_S1)/bud_total_besoin_S1</f>
        <v>406431.384106229</v>
      </c>
      <c r="I39" s="23" t="n">
        <f aca="false">S1_sol_reserve0*MAX(H18,bud_total_besoin_S1)/bud_total_besoin_S1</f>
        <v>408625.102836077</v>
      </c>
      <c r="J39" s="23" t="n">
        <f aca="false">S1_sol_reserve0*MAX(I18,bud_total_besoin_S1)/bud_total_besoin_S1</f>
        <v>410844.409231772</v>
      </c>
      <c r="K39" s="23" t="n">
        <f aca="false">S1_sol_reserve0*MAX(J18,bud_total_besoin_S1)/bud_total_besoin_S1</f>
        <v>413089.688531966</v>
      </c>
      <c r="L39" s="23" t="n">
        <f aca="false">S1_sol_reserve0*MAX(K18,bud_total_besoin_S1)/bud_total_besoin_S1</f>
        <v>415361.332712359</v>
      </c>
      <c r="M39" s="23" t="n">
        <f aca="false">S1_sol_reserve0*MAX(L18,bud_total_besoin_S1)/bud_total_besoin_S1</f>
        <v>417659.740611754</v>
      </c>
      <c r="N39" s="23" t="n">
        <f aca="false">S1_sol_reserve0*MAX(M18,bud_total_besoin_S1)/bud_total_besoin_S1</f>
        <v>419985.318060534</v>
      </c>
      <c r="O39" s="23" t="n">
        <f aca="false">S1_sol_reserve0*MAX(N18,bud_total_besoin_S1)/bud_total_besoin_S1</f>
        <v>422338.478011618</v>
      </c>
      <c r="P39" s="23" t="n">
        <f aca="false">S1_sol_reserve0*MAX(O18,bud_total_besoin_S1)/bud_total_besoin_S1</f>
        <v>424719.640673932</v>
      </c>
      <c r="Q39" s="23" t="n">
        <f aca="false">S1_sol_reserve0*MAX(P18,bud_total_besoin_S1)/bud_total_besoin_S1</f>
        <v>427129.233648442</v>
      </c>
      <c r="R39" s="23" t="n">
        <f aca="false">S1_sol_reserve0*MAX(Q18,bud_total_besoin_S1)/bud_total_besoin_S1</f>
        <v>429567.692066818</v>
      </c>
      <c r="S39" s="23" t="n">
        <f aca="false">S1_sol_reserve0*MAX(R18,bud_total_besoin_S1)/bud_total_besoin_S1</f>
        <v>432035.458732759</v>
      </c>
      <c r="T39" s="23" t="n">
        <f aca="false">S1_sol_reserve0*MAX(S18,bud_total_besoin_S1)/bud_total_besoin_S1</f>
        <v>434532.984266038</v>
      </c>
      <c r="U39" s="23" t="n">
        <f aca="false">S1_sol_reserve0*MAX(T18,bud_total_besoin_S1)/bud_total_besoin_S1</f>
        <v>437060.727249328</v>
      </c>
      <c r="V39" s="23" t="n">
        <f aca="false">S1_sol_reserve0*MAX(U18,bud_total_besoin_S1)/bud_total_besoin_S1</f>
        <v>439619.154377851</v>
      </c>
      <c r="W39" s="23" t="n">
        <f aca="false">S1_sol_reserve0*MAX(V18,bud_total_besoin_S1)/bud_total_besoin_S1</f>
        <v>442208.740611909</v>
      </c>
      <c r="X39" s="23" t="n">
        <f aca="false">S1_sol_reserve0*MAX(W18,bud_total_besoin_S1)/bud_total_besoin_S1</f>
        <v>444829.969332364</v>
      </c>
    </row>
    <row r="40" customFormat="false" ht="15" hidden="false" customHeight="false" outlineLevel="0" collapsed="false">
      <c r="A40" s="2" t="s">
        <v>1892</v>
      </c>
      <c r="B40" s="2" t="s">
        <v>1893</v>
      </c>
      <c r="C40" s="2" t="s">
        <v>1839</v>
      </c>
      <c r="E40" s="17" t="n">
        <f aca="false">MAX(0,E39-D45*(1+taux_reserve))</f>
        <v>2000.00000000006</v>
      </c>
      <c r="F40" s="17" t="n">
        <f aca="false">MAX(0,F39-E45*(1+taux_reserve))</f>
        <v>4119.20163496706</v>
      </c>
      <c r="G40" s="17" t="n">
        <f aca="false">MAX(0,G39-F45*(1+taux_reserve))</f>
        <v>4154.26879015361</v>
      </c>
      <c r="H40" s="17" t="n">
        <f aca="false">MAX(0,H39-G45*(1+taux_reserve))</f>
        <v>4189.82406136813</v>
      </c>
      <c r="I40" s="17" t="n">
        <f aca="false">MAX(0,I39-H45*(1+taux_reserve))</f>
        <v>4225.87565037864</v>
      </c>
      <c r="J40" s="17" t="n">
        <f aca="false">MAX(0,J39-I45*(1+taux_reserve))</f>
        <v>4262.43190987519</v>
      </c>
      <c r="K40" s="17" t="n">
        <f aca="false">MAX(0,K39-J45*(1+taux_reserve))</f>
        <v>4299.50134635327</v>
      </c>
      <c r="L40" s="17" t="n">
        <f aca="false">MAX(0,L39-K45*(1+taux_reserve))</f>
        <v>4337.09262305318</v>
      </c>
      <c r="M40" s="17" t="n">
        <f aca="false">MAX(0,M39-L45*(1+taux_reserve))</f>
        <v>4375.21456295595</v>
      </c>
      <c r="N40" s="17" t="n">
        <f aca="false">MAX(0,N39-M45*(1+taux_reserve))</f>
        <v>4413.87615183881</v>
      </c>
      <c r="O40" s="17" t="n">
        <f aca="false">MAX(0,O39-N45*(1+taux_reserve))</f>
        <v>4453.08654138731</v>
      </c>
      <c r="P40" s="17" t="n">
        <f aca="false">MAX(0,P39-O45*(1+taux_reserve))</f>
        <v>4492.85505237151</v>
      </c>
      <c r="Q40" s="17" t="n">
        <f aca="false">MAX(0,Q39-P45*(1+taux_reserve))</f>
        <v>4533.19117787987</v>
      </c>
      <c r="R40" s="17" t="n">
        <f aca="false">MAX(0,R39-Q45*(1+taux_reserve))</f>
        <v>4574.1045866186</v>
      </c>
      <c r="S40" s="17" t="n">
        <f aca="false">MAX(0,S39-R45*(1+taux_reserve))</f>
        <v>4615.60512627469</v>
      </c>
      <c r="T40" s="17" t="n">
        <f aca="false">MAX(0,T39-S45*(1+taux_reserve))</f>
        <v>4657.70282694284</v>
      </c>
      <c r="U40" s="17" t="n">
        <f aca="false">MAX(0,U39-T45*(1+taux_reserve))</f>
        <v>4700.40790462022</v>
      </c>
      <c r="V40" s="17" t="n">
        <f aca="false">MAX(0,V39-U45*(1+taux_reserve))</f>
        <v>4743.73076476925</v>
      </c>
      <c r="W40" s="17" t="n">
        <f aca="false">MAX(0,W39-V45*(1+taux_reserve))</f>
        <v>4787.68200594815</v>
      </c>
      <c r="X40" s="17" t="n">
        <f aca="false">MAX(0,X39-W45*(1+taux_reserve))</f>
        <v>4832.27242351376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0</v>
      </c>
      <c r="J41" s="17" t="n">
        <f aca="false">MIN(MAX(0,J35-J36+J40),IF(J12=1,MAX(J38,retrait_urgence*MAX(0,I44)),J38))</f>
        <v>0</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358601.999043877</v>
      </c>
      <c r="P41" s="17" t="n">
        <f aca="false">MIN(MAX(0,P35-P36+P40),IF(P12=1,MAX(P38,retrait_urgence*MAX(0,O44)),P38))</f>
        <v>360724.110454553</v>
      </c>
      <c r="Q41" s="17" t="n">
        <f aca="false">MIN(MAX(0,Q35-Q36+Q40),IF(Q12=1,MAX(Q38,retrait_urgence*MAX(0,P44)),Q38))</f>
        <v>362871.734668719</v>
      </c>
      <c r="R41" s="17" t="n">
        <f aca="false">MIN(MAX(0,R35-R36+R40),IF(R12=1,MAX(R38,retrait_urgence*MAX(0,Q44)),R38))</f>
        <v>365045.264021012</v>
      </c>
      <c r="S41" s="17" t="n">
        <f aca="false">MIN(MAX(0,S35-S36+S40),IF(S12=1,MAX(S38,retrait_urgence*MAX(0,R44)),S38))</f>
        <v>367245.097779613</v>
      </c>
      <c r="T41" s="17" t="n">
        <f aca="false">MIN(MAX(0,T35-T36+T40),IF(T12=1,MAX(T38,retrait_urgence*MAX(0,S44)),T38))</f>
        <v>369471.642276558</v>
      </c>
      <c r="U41" s="17" t="n">
        <f aca="false">MIN(MAX(0,U35-U36+U40),IF(U12=1,MAX(U38,retrait_urgence*MAX(0,T44)),U38))</f>
        <v>371725.311040556</v>
      </c>
      <c r="V41" s="17" t="n">
        <f aca="false">MIN(MAX(0,V35-V36+V40),IF(V12=1,MAX(V38,retrait_urgence*MAX(0,U44)),V38))</f>
        <v>374006.524932375</v>
      </c>
      <c r="W41" s="17" t="n">
        <f aca="false">MIN(MAX(0,W35-W36+W40),IF(W12=1,MAX(W38,retrait_urgence*MAX(0,V44)),W38))</f>
        <v>376315.712282825</v>
      </c>
      <c r="X41" s="17" t="n">
        <f aca="false">MIN(MAX(0,X35-X36+X40),IF(X12=1,MAX(X38,retrait_urgence*MAX(0,W44)),X38))</f>
        <v>378653.309033409</v>
      </c>
    </row>
    <row r="42" customFormat="false" ht="15" hidden="false" customHeight="false" outlineLevel="0" collapsed="false">
      <c r="A42" s="2" t="s">
        <v>1896</v>
      </c>
      <c r="B42" s="18" t="s">
        <v>1897</v>
      </c>
      <c r="C42" s="2" t="s">
        <v>1839</v>
      </c>
      <c r="E42" s="23" t="n">
        <f aca="false">E36+E41-E35</f>
        <v>57648.74216</v>
      </c>
      <c r="F42" s="23" t="n">
        <f aca="false">F36+F41-F35</f>
        <v>60307.3476125</v>
      </c>
      <c r="G42" s="23" t="n">
        <f aca="false">G36+G41-G35</f>
        <v>61655.5912516063</v>
      </c>
      <c r="H42" s="23" t="n">
        <f aca="false">H36+H41-H35</f>
        <v>59759.8044239797</v>
      </c>
      <c r="I42" s="23" t="n">
        <f aca="false">I36+I41-I35</f>
        <v>57841.9050259478</v>
      </c>
      <c r="J42" s="23" t="n">
        <f aca="false">J36+J41-J35</f>
        <v>55901.5601386398</v>
      </c>
      <c r="K42" s="23" t="n">
        <f aca="false">K36+K41-K35</f>
        <v>53938.4310211053</v>
      </c>
      <c r="L42" s="23" t="n">
        <f aca="false">L36+L41-L35</f>
        <v>51952.1730013785</v>
      </c>
      <c r="M42" s="23" t="n">
        <f aca="false">M36+M41-M35</f>
        <v>49942.435365447</v>
      </c>
      <c r="N42" s="23" t="n">
        <f aca="false">N36+N41-N35</f>
        <v>47908.861244085</v>
      </c>
      <c r="O42" s="23" t="n">
        <f aca="false">O36+O41-O35</f>
        <v>4453.08654138731</v>
      </c>
      <c r="P42" s="23" t="n">
        <f aca="false">P36+P41-P35</f>
        <v>4492.85505237151</v>
      </c>
      <c r="Q42" s="23" t="n">
        <f aca="false">Q36+Q41-Q35</f>
        <v>4533.19117787987</v>
      </c>
      <c r="R42" s="23" t="n">
        <f aca="false">R36+R41-R35</f>
        <v>4574.1045866186</v>
      </c>
      <c r="S42" s="23" t="n">
        <f aca="false">S36+S41-S35</f>
        <v>4615.60512627469</v>
      </c>
      <c r="T42" s="23" t="n">
        <f aca="false">T36+T41-T35</f>
        <v>4657.70282694284</v>
      </c>
      <c r="U42" s="23" t="n">
        <f aca="false">U36+U41-U35</f>
        <v>4700.40790462022</v>
      </c>
      <c r="V42" s="23" t="n">
        <f aca="false">V36+V41-V35</f>
        <v>4743.73076476925</v>
      </c>
      <c r="W42" s="23" t="n">
        <f aca="false">W36+W41-W35</f>
        <v>4787.68200594815</v>
      </c>
      <c r="X42" s="23" t="n">
        <f aca="false">X36+X41-X35</f>
        <v>4832.27242351376</v>
      </c>
    </row>
    <row r="43" customFormat="false" ht="15" hidden="false" customHeight="false" outlineLevel="0" collapsed="false">
      <c r="A43" s="2" t="s">
        <v>1898</v>
      </c>
      <c r="B43" s="2" t="s">
        <v>1899</v>
      </c>
      <c r="C43" s="2" t="s">
        <v>1839</v>
      </c>
      <c r="E43" s="17" t="n">
        <f aca="false">IF(E42&gt;0,part_surplus_dotation*MAX(0,D45*(1+taux_reserve)+E42-E39),0)</f>
        <v>55648.74216</v>
      </c>
      <c r="F43" s="17" t="n">
        <f aca="false">IF(F42&gt;0,part_surplus_dotation*MAX(0,E45*(1+taux_reserve)+F42-F39),0)</f>
        <v>56188.145977533</v>
      </c>
      <c r="G43" s="17" t="n">
        <f aca="false">IF(G42&gt;0,part_surplus_dotation*MAX(0,F45*(1+taux_reserve)+G42-G39),0)</f>
        <v>57501.3224614527</v>
      </c>
      <c r="H43" s="17" t="n">
        <f aca="false">IF(H42&gt;0,part_surplus_dotation*MAX(0,G45*(1+taux_reserve)+H42-H39),0)</f>
        <v>55569.9803626115</v>
      </c>
      <c r="I43" s="17" t="n">
        <f aca="false">IF(I42&gt;0,part_surplus_dotation*MAX(0,H45*(1+taux_reserve)+I42-I39),0)</f>
        <v>53616.0293755691</v>
      </c>
      <c r="J43" s="17" t="n">
        <f aca="false">IF(J42&gt;0,part_surplus_dotation*MAX(0,I45*(1+taux_reserve)+J42-J39),0)</f>
        <v>51639.1282287646</v>
      </c>
      <c r="K43" s="17" t="n">
        <f aca="false">IF(K42&gt;0,part_surplus_dotation*MAX(0,J45*(1+taux_reserve)+K42-K39),0)</f>
        <v>49638.9296747521</v>
      </c>
      <c r="L43" s="17" t="n">
        <f aca="false">IF(L42&gt;0,part_surplus_dotation*MAX(0,K45*(1+taux_reserve)+L42-L39),0)</f>
        <v>47615.0803783254</v>
      </c>
      <c r="M43" s="17" t="n">
        <f aca="false">IF(M42&gt;0,part_surplus_dotation*MAX(0,L45*(1+taux_reserve)+M42-M39),0)</f>
        <v>45567.220802491</v>
      </c>
      <c r="N43" s="17" t="n">
        <f aca="false">IF(N42&gt;0,part_surplus_dotation*MAX(0,M45*(1+taux_reserve)+N42-N39),0)</f>
        <v>43494.9850922462</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S1_sol_dotation0</f>
        <v>34000000</v>
      </c>
      <c r="E44" s="23" t="n">
        <f aca="false">MAX(0,D44)*(1+E37)-E41+E43-E31</f>
        <v>34465648.74216</v>
      </c>
      <c r="F44" s="23" t="n">
        <f aca="false">MAX(0,E44)*(1+F37)-F41+F43-F31</f>
        <v>35211149.8629807</v>
      </c>
      <c r="G44" s="23" t="n">
        <f aca="false">MAX(0,F44)*(1+G37)-G41+G43-G31</f>
        <v>35972874.1827018</v>
      </c>
      <c r="H44" s="23" t="n">
        <f aca="false">MAX(0,G44)*(1+H37)-H41+H43-H31</f>
        <v>36747901.6467185</v>
      </c>
      <c r="I44" s="23" t="n">
        <f aca="false">MAX(0,H44)*(1+I37)-I41+I43-I31</f>
        <v>37536475.7090284</v>
      </c>
      <c r="J44" s="23" t="n">
        <f aca="false">MAX(0,I44)*(1+J37)-J41+J43-J31</f>
        <v>38338844.3514377</v>
      </c>
      <c r="K44" s="23" t="n">
        <f aca="false">MAX(0,J44)*(1+K37)-K41+K43-K31</f>
        <v>39155260.1681412</v>
      </c>
      <c r="L44" s="23" t="n">
        <f aca="false">MAX(0,K44)*(1+L37)-L41+L43-L31</f>
        <v>39985980.4518824</v>
      </c>
      <c r="M44" s="23" t="n">
        <f aca="false">MAX(0,L44)*(1+M37)-M41+M43-M31</f>
        <v>40831267.2817225</v>
      </c>
      <c r="N44" s="23" t="n">
        <f aca="false">MAX(0,M44)*(1+N37)-N41+N43-N31</f>
        <v>41691387.6124492</v>
      </c>
      <c r="O44" s="23" t="n">
        <f aca="false">MAX(0,N44)*(1+O37)-O41+O43-O31</f>
        <v>42166613.3656543</v>
      </c>
      <c r="P44" s="23" t="n">
        <f aca="false">MAX(0,O44)*(1+P37)-P41+P43-P31</f>
        <v>42649221.5225129</v>
      </c>
      <c r="Q44" s="23" t="n">
        <f aca="false">MAX(0,P44)*(1+Q37)-Q41+Q43-Q31</f>
        <v>43139334.2182944</v>
      </c>
      <c r="R44" s="23" t="n">
        <f aca="false">MAX(0,Q44)*(1+R37)-R41+R43-R31</f>
        <v>43637075.6386393</v>
      </c>
      <c r="S44" s="23" t="n">
        <f aca="false">MAX(0,R44)*(1+S37)-S41+S43-S31</f>
        <v>44142572.0536325</v>
      </c>
      <c r="T44" s="23" t="n">
        <f aca="false">MAX(0,S44)*(1+T37)-T41+T43-T31</f>
        <v>44655951.8524286</v>
      </c>
      <c r="U44" s="23" t="n">
        <f aca="false">MAX(0,T44)*(1+U37)-U41+U43-U31</f>
        <v>45177345.5784366</v>
      </c>
      <c r="V44" s="23" t="n">
        <f aca="false">MAX(0,U44)*(1+V37)-V41+V43-V31</f>
        <v>45706885.9650729</v>
      </c>
      <c r="W44" s="23" t="n">
        <f aca="false">MAX(0,V44)*(1+W37)-W41+W43-W31</f>
        <v>46244707.9720916</v>
      </c>
      <c r="X44" s="23" t="n">
        <f aca="false">MAX(0,W44)*(1+X37)-X41+X43-X31</f>
        <v>46790948.8225</v>
      </c>
    </row>
    <row r="45" customFormat="false" ht="15" hidden="false" customHeight="false" outlineLevel="0" collapsed="false">
      <c r="A45" s="2" t="s">
        <v>1902</v>
      </c>
      <c r="B45" s="18" t="s">
        <v>1903</v>
      </c>
      <c r="C45" s="2" t="s">
        <v>1839</v>
      </c>
      <c r="D45" s="23" t="n">
        <f aca="false">S1_sol_reserve0</f>
        <v>400000</v>
      </c>
      <c r="E45" s="23" t="n">
        <f aca="false">D45*(1+taux_reserve)+E42-E43-(E30-E31)</f>
        <v>400000</v>
      </c>
      <c r="F45" s="23" t="n">
        <f aca="false">E45*(1+taux_reserve)+F42-F43-(F30-F31)</f>
        <v>402119.201634967</v>
      </c>
      <c r="G45" s="23" t="n">
        <f aca="false">F45*(1+taux_reserve)+G42-G43-(G30-G31)</f>
        <v>404262.874416946</v>
      </c>
      <c r="H45" s="23" t="n">
        <f aca="false">G45*(1+taux_reserve)+H42-H43-(H30-H31)</f>
        <v>406431.384106229</v>
      </c>
      <c r="I45" s="23" t="n">
        <f aca="false">H45*(1+taux_reserve)+I42-I43-(I30-I31)</f>
        <v>408625.102836077</v>
      </c>
      <c r="J45" s="23" t="n">
        <f aca="false">I45*(1+taux_reserve)+J42-J43-(J30-J31)</f>
        <v>410844.409231772</v>
      </c>
      <c r="K45" s="23" t="n">
        <f aca="false">J45*(1+taux_reserve)+K42-K43-(K30-K31)</f>
        <v>413089.688531966</v>
      </c>
      <c r="L45" s="23" t="n">
        <f aca="false">K45*(1+taux_reserve)+L42-L43-(L30-L31)</f>
        <v>415361.332712359</v>
      </c>
      <c r="M45" s="23" t="n">
        <f aca="false">L45*(1+taux_reserve)+M42-M43-(M30-M31)</f>
        <v>417659.740611754</v>
      </c>
      <c r="N45" s="23" t="n">
        <f aca="false">M45*(1+taux_reserve)+N42-N43-(N30-N31)</f>
        <v>419985.318060534</v>
      </c>
      <c r="O45" s="23" t="n">
        <f aca="false">N45*(1+taux_reserve)+O42-O43-(O30-O31)</f>
        <v>422338.478011618</v>
      </c>
      <c r="P45" s="23" t="n">
        <f aca="false">O45*(1+taux_reserve)+P42-P43-(P30-P31)</f>
        <v>424719.640673932</v>
      </c>
      <c r="Q45" s="23" t="n">
        <f aca="false">P45*(1+taux_reserve)+Q42-Q43-(Q30-Q31)</f>
        <v>427129.233648442</v>
      </c>
      <c r="R45" s="23" t="n">
        <f aca="false">Q45*(1+taux_reserve)+R42-R43-(R30-R31)</f>
        <v>429567.692066818</v>
      </c>
      <c r="S45" s="23" t="n">
        <f aca="false">R45*(1+taux_reserve)+S42-S43-(S30-S31)</f>
        <v>432035.458732759</v>
      </c>
      <c r="T45" s="23" t="n">
        <f aca="false">S45*(1+taux_reserve)+T42-T43-(T30-T31)</f>
        <v>434532.984266038</v>
      </c>
      <c r="U45" s="23" t="n">
        <f aca="false">T45*(1+taux_reserve)+U42-U43-(U30-U31)</f>
        <v>437060.727249328</v>
      </c>
      <c r="V45" s="23" t="n">
        <f aca="false">U45*(1+taux_reserve)+V42-V43-(V30-V31)</f>
        <v>439619.154377851</v>
      </c>
      <c r="W45" s="23" t="n">
        <f aca="false">V45*(1+taux_reserve)+W42-W43-(W30-W31)</f>
        <v>442208.740611909</v>
      </c>
      <c r="X45" s="23" t="n">
        <f aca="false">W45*(1+taux_reserve)+X42-X43-(X30-X31)</f>
        <v>444829.969332364</v>
      </c>
    </row>
    <row r="46" customFormat="false" ht="15" hidden="false" customHeight="false" outlineLevel="0" collapsed="false">
      <c r="A46" s="2" t="s">
        <v>1904</v>
      </c>
      <c r="B46" s="18" t="s">
        <v>1905</v>
      </c>
      <c r="C46" s="2" t="s">
        <v>1839</v>
      </c>
      <c r="E46" s="23" t="n">
        <f aca="false">E45+E22</f>
        <v>503641.525</v>
      </c>
      <c r="F46" s="23" t="n">
        <f aca="false">F45+F22</f>
        <v>610179.563072467</v>
      </c>
      <c r="G46" s="23" t="n">
        <f aca="false">G45+G22</f>
        <v>717525.213565227</v>
      </c>
      <c r="H46" s="23" t="n">
        <f aca="false">H45+H22</f>
        <v>406431.384106229</v>
      </c>
      <c r="I46" s="23" t="n">
        <f aca="false">I45+I22</f>
        <v>515411.027823766</v>
      </c>
      <c r="J46" s="23" t="n">
        <f aca="false">J45+J22</f>
        <v>625217.153644558</v>
      </c>
      <c r="K46" s="23" t="n">
        <f aca="false">K45+K22</f>
        <v>735856.153515537</v>
      </c>
      <c r="L46" s="23" t="n">
        <f aca="false">L45+L22</f>
        <v>415361.332712359</v>
      </c>
      <c r="M46" s="23" t="n">
        <f aca="false">M45+M22</f>
        <v>527685.464137883</v>
      </c>
      <c r="N46" s="23" t="n">
        <f aca="false">N45+N22</f>
        <v>640861.958039238</v>
      </c>
      <c r="O46" s="23" t="n">
        <f aca="false">O45+O22</f>
        <v>754897.416316292</v>
      </c>
      <c r="P46" s="23" t="n">
        <f aca="false">P45+P22</f>
        <v>424719.640673932</v>
      </c>
      <c r="Q46" s="23" t="n">
        <f aca="false">Q45+Q22</f>
        <v>540493.048578582</v>
      </c>
      <c r="R46" s="23" t="n">
        <f aca="false">R45+R22</f>
        <v>657145.550539074</v>
      </c>
      <c r="S46" s="23" t="n">
        <f aca="false">S45+S22</f>
        <v>774683.966073696</v>
      </c>
      <c r="T46" s="23" t="n">
        <f aca="false">T45+T22</f>
        <v>434532.984266038</v>
      </c>
      <c r="U46" s="23" t="n">
        <f aca="false">U45+U22</f>
        <v>553863.908575039</v>
      </c>
      <c r="V46" s="23" t="n">
        <f aca="false">V45+V22</f>
        <v>674101.540889215</v>
      </c>
      <c r="W46" s="23" t="n">
        <f aca="false">W45+W22</f>
        <v>795252.92634782</v>
      </c>
      <c r="X46" s="23" t="n">
        <f aca="false">X45+X22</f>
        <v>444829.969332364</v>
      </c>
    </row>
    <row r="47" customFormat="false" ht="15" hidden="false" customHeight="false" outlineLevel="0" collapsed="false">
      <c r="A47" s="2" t="s">
        <v>1906</v>
      </c>
      <c r="B47" s="18" t="s">
        <v>1907</v>
      </c>
      <c r="C47" s="2" t="s">
        <v>46</v>
      </c>
      <c r="E47" s="24" t="n">
        <f aca="false">(E29+E38)/E18</f>
        <v>1.72703240859856</v>
      </c>
      <c r="F47" s="24" t="n">
        <f aca="false">(F29+F38)/F18</f>
        <v>1.73545216549294</v>
      </c>
      <c r="G47" s="24" t="n">
        <f aca="false">(G29+G38)/G18</f>
        <v>1.74650770784013</v>
      </c>
      <c r="H47" s="24" t="n">
        <f aca="false">(H29+H38)/H18</f>
        <v>1.75354616657416</v>
      </c>
      <c r="I47" s="24" t="n">
        <f aca="false">(I29+I38)/I18</f>
        <v>1.76477471742019</v>
      </c>
      <c r="J47" s="24" t="n">
        <f aca="false">(J29+J38)/J18</f>
        <v>1.77938466931923</v>
      </c>
      <c r="K47" s="24" t="n">
        <f aca="false">(K29+K38)/K18</f>
        <v>1.79673246531674</v>
      </c>
      <c r="L47" s="24" t="n">
        <f aca="false">(L29+L38)/L18</f>
        <v>1.81630600603819</v>
      </c>
      <c r="M47" s="24" t="n">
        <f aca="false">(M29+M38)/M18</f>
        <v>1.83769783635985</v>
      </c>
      <c r="N47" s="24" t="n">
        <f aca="false">(N29+N38)/N18</f>
        <v>1.86058379715571</v>
      </c>
      <c r="O47" s="24" t="n">
        <f aca="false">(O29+O38)/O18</f>
        <v>1.88470602869256</v>
      </c>
      <c r="P47" s="24" t="n">
        <f aca="false">(P29+P38)/P18</f>
        <v>1.9060666369058</v>
      </c>
      <c r="Q47" s="24" t="n">
        <f aca="false">(Q29+Q38)/Q18</f>
        <v>1.92524594376366</v>
      </c>
      <c r="R47" s="24" t="n">
        <f aca="false">(R29+R38)/R18</f>
        <v>1.94270575812717</v>
      </c>
      <c r="S47" s="24" t="n">
        <f aca="false">(S29+S38)/S18</f>
        <v>1.95881355621062</v>
      </c>
      <c r="T47" s="24" t="n">
        <f aca="false">(T29+T38)/T18</f>
        <v>1.97386172991214</v>
      </c>
      <c r="U47" s="24" t="n">
        <f aca="false">(U29+U38)/U18</f>
        <v>1.9880829085464</v>
      </c>
      <c r="V47" s="24" t="n">
        <f aca="false">(V29+V38)/V18</f>
        <v>2.001662154603</v>
      </c>
      <c r="W47" s="24" t="n">
        <f aca="false">(W29+W38)/W18</f>
        <v>2.01474667098395</v>
      </c>
      <c r="X47" s="24" t="n">
        <f aca="false">(X29+X38)/X18</f>
        <v>2.0274535272432</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1921</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1835</v>
      </c>
      <c r="B12" s="2" t="s">
        <v>1836</v>
      </c>
      <c r="C12" s="2" t="s">
        <v>1822</v>
      </c>
      <c r="E12" s="22" t="n">
        <f aca="false">pilotage_actif*IF(D45&lt;flex_seuil*MAX(D18,bud_total_besoin_S1),1,0)</f>
        <v>0</v>
      </c>
      <c r="F12" s="22" t="n">
        <f aca="false">pilotage_actif*IF(E45&lt;flex_seuil*MAX(E18,bud_total_besoin_S1),1,0)</f>
        <v>0</v>
      </c>
      <c r="G12" s="22" t="n">
        <f aca="false">pilotage_actif*IF(F45&lt;flex_seuil*MAX(F18,bud_total_besoin_S1),1,0)</f>
        <v>0</v>
      </c>
      <c r="H12" s="22" t="n">
        <f aca="false">pilotage_actif*IF(G45&lt;flex_seuil*MAX(G18,bud_total_besoin_S1),1,0)</f>
        <v>0</v>
      </c>
      <c r="I12" s="22" t="n">
        <f aca="false">pilotage_actif*IF(H45&lt;flex_seuil*MAX(H18,bud_total_besoin_S1),1,0)</f>
        <v>0</v>
      </c>
      <c r="J12" s="22" t="n">
        <f aca="false">pilotage_actif*IF(I45&lt;flex_seuil*MAX(I18,bud_total_besoin_S1),1,0)</f>
        <v>0</v>
      </c>
      <c r="K12" s="22" t="n">
        <f aca="false">pilotage_actif*IF(J45&lt;flex_seuil*MAX(J18,bud_total_besoin_S1),1,0)</f>
        <v>0</v>
      </c>
      <c r="L12" s="22" t="n">
        <f aca="false">pilotage_actif*IF(K45&lt;flex_seuil*MAX(K18,bud_total_besoin_S1),1,0)</f>
        <v>0</v>
      </c>
      <c r="M12" s="22" t="n">
        <f aca="false">pilotage_actif*IF(L45&lt;flex_seuil*MAX(L18,bud_total_besoin_S1),1,0)</f>
        <v>0</v>
      </c>
      <c r="N12" s="22" t="n">
        <f aca="false">pilotage_actif*IF(M45&lt;flex_seuil*MAX(M18,bud_total_besoin_S1),1,0)</f>
        <v>0</v>
      </c>
      <c r="O12" s="22" t="n">
        <f aca="false">pilotage_actif*IF(N45&lt;flex_seuil*MAX(N18,bud_total_besoin_S1),1,0)</f>
        <v>0</v>
      </c>
      <c r="P12" s="22" t="n">
        <f aca="false">pilotage_actif*IF(O45&lt;flex_seuil*MAX(O18,bud_total_besoin_S1),1,0)</f>
        <v>0</v>
      </c>
      <c r="Q12" s="22" t="n">
        <f aca="false">pilotage_actif*IF(P45&lt;flex_seuil*MAX(P18,bud_total_besoin_S1),1,0)</f>
        <v>0</v>
      </c>
      <c r="R12" s="22" t="n">
        <f aca="false">pilotage_actif*IF(Q45&lt;flex_seuil*MAX(Q18,bud_total_besoin_S1),1,0)</f>
        <v>0</v>
      </c>
      <c r="S12" s="22" t="n">
        <f aca="false">pilotage_actif*IF(R45&lt;flex_seuil*MAX(R18,bud_total_besoin_S1),1,0)</f>
        <v>0</v>
      </c>
      <c r="T12" s="22" t="n">
        <f aca="false">pilotage_actif*IF(S45&lt;flex_seuil*MAX(S18,bud_total_besoin_S1),1,0)</f>
        <v>0</v>
      </c>
      <c r="U12" s="22" t="n">
        <f aca="false">pilotage_actif*IF(T45&lt;flex_seuil*MAX(T18,bud_total_besoin_S1),1,0)</f>
        <v>0</v>
      </c>
      <c r="V12" s="22" t="n">
        <f aca="false">pilotage_actif*IF(U45&lt;flex_seuil*MAX(U18,bud_total_besoin_S1),1,0)</f>
        <v>0</v>
      </c>
      <c r="W12" s="22" t="n">
        <f aca="false">pilotage_actif*IF(V45&lt;flex_seuil*MAX(V18,bud_total_besoin_S1),1,0)</f>
        <v>0</v>
      </c>
      <c r="X12" s="22" t="n">
        <f aca="false">pilotage_actif*IF(W45&lt;flex_seuil*MAX(W18,bud_total_besoin_S1),1,0)</f>
        <v>0</v>
      </c>
    </row>
    <row r="13" customFormat="false" ht="15" hidden="false" customHeight="false" outlineLevel="0" collapsed="false">
      <c r="A13" s="2" t="s">
        <v>1837</v>
      </c>
      <c r="B13" s="2" t="s">
        <v>1838</v>
      </c>
      <c r="C13" s="2" t="s">
        <v>1839</v>
      </c>
      <c r="E13" s="17" t="n">
        <f aca="false">bud_dont_personnel_S1*E5</f>
        <v>73610.845</v>
      </c>
      <c r="F13" s="17" t="n">
        <f aca="false">bud_dont_personnel_S1*F5</f>
        <v>74715.007675</v>
      </c>
      <c r="G13" s="17" t="n">
        <f aca="false">bud_dont_personnel_S1*G5</f>
        <v>75835.732790125</v>
      </c>
      <c r="H13" s="17" t="n">
        <f aca="false">bud_dont_personnel_S1*H5</f>
        <v>76973.2687819768</v>
      </c>
      <c r="I13" s="17" t="n">
        <f aca="false">bud_dont_personnel_S1*I5</f>
        <v>78127.8678137065</v>
      </c>
      <c r="J13" s="17" t="n">
        <f aca="false">bud_dont_personnel_S1*J5</f>
        <v>79299.7858309121</v>
      </c>
      <c r="K13" s="17" t="n">
        <f aca="false">bud_dont_personnel_S1*K5</f>
        <v>80489.2826183757</v>
      </c>
      <c r="L13" s="17" t="n">
        <f aca="false">bud_dont_personnel_S1*L5</f>
        <v>81696.6218576514</v>
      </c>
      <c r="M13" s="17" t="n">
        <f aca="false">bud_dont_personnel_S1*M5</f>
        <v>82922.0711855161</v>
      </c>
      <c r="N13" s="17" t="n">
        <f aca="false">bud_dont_personnel_S1*N5</f>
        <v>84165.9022532989</v>
      </c>
      <c r="O13" s="17" t="n">
        <f aca="false">bud_dont_personnel_S1*O5</f>
        <v>85428.3907870983</v>
      </c>
      <c r="P13" s="17" t="n">
        <f aca="false">bud_dont_personnel_S1*P5</f>
        <v>86709.8166489048</v>
      </c>
      <c r="Q13" s="17" t="n">
        <f aca="false">bud_dont_personnel_S1*Q5</f>
        <v>88010.4638986384</v>
      </c>
      <c r="R13" s="17" t="n">
        <f aca="false">bud_dont_personnel_S1*R5</f>
        <v>89330.6208571179</v>
      </c>
      <c r="S13" s="17" t="n">
        <f aca="false">bud_dont_personnel_S1*S5</f>
        <v>90670.5801699747</v>
      </c>
      <c r="T13" s="17" t="n">
        <f aca="false">bud_dont_personnel_S1*T5</f>
        <v>92030.6388725243</v>
      </c>
      <c r="U13" s="17" t="n">
        <f aca="false">bud_dont_personnel_S1*U5</f>
        <v>93411.0984556121</v>
      </c>
      <c r="V13" s="17" t="n">
        <f aca="false">bud_dont_personnel_S1*V5</f>
        <v>94812.2649324463</v>
      </c>
      <c r="W13" s="17" t="n">
        <f aca="false">bud_dont_personnel_S1*W5</f>
        <v>96234.448906433</v>
      </c>
      <c r="X13" s="17" t="n">
        <f aca="false">bud_dont_personnel_S1*X5</f>
        <v>97677.9656400295</v>
      </c>
    </row>
    <row r="14" customFormat="false" ht="15" hidden="false" customHeight="false" outlineLevel="0" collapsed="false">
      <c r="A14" s="2" t="s">
        <v>1840</v>
      </c>
      <c r="B14" s="2" t="s">
        <v>1841</v>
      </c>
      <c r="C14" s="2" t="s">
        <v>1839</v>
      </c>
      <c r="E14" s="17" t="n">
        <f aca="false">(bud_chauffage_S1+bud_hors_gel_S1+bud_electricite_S1)*E7*IF(AND(E$3&gt;=st_cumul_energie_debut,E$3&lt;=st_cumul_energie_fin),st_cumul_energie_mult,1)</f>
        <v>22067.7</v>
      </c>
      <c r="F14" s="17" t="n">
        <f aca="false">(bud_chauffage_S1+bud_hors_gel_S1+bud_electricite_S1)*F7*IF(AND(F$3&gt;=st_cumul_energie_debut,F$3&lt;=st_cumul_energie_fin),st_cumul_energie_mult,1)</f>
        <v>22509.054</v>
      </c>
      <c r="G14" s="17" t="n">
        <f aca="false">(bud_chauffage_S1+bud_hors_gel_S1+bud_electricite_S1)*G7*IF(AND(G$3&gt;=st_cumul_energie_debut,G$3&lt;=st_cumul_energie_fin),st_cumul_energie_mult,1)</f>
        <v>22959.23508</v>
      </c>
      <c r="H14" s="17" t="n">
        <f aca="false">(bud_chauffage_S1+bud_hors_gel_S1+bud_electricite_S1)*H7*IF(AND(H$3&gt;=st_cumul_energie_debut,H$3&lt;=st_cumul_energie_fin),st_cumul_energie_mult,1)</f>
        <v>23418.4197816</v>
      </c>
      <c r="I14" s="17" t="n">
        <f aca="false">(bud_chauffage_S1+bud_hors_gel_S1+bud_electricite_S1)*I7*IF(AND(I$3&gt;=st_cumul_energie_debut,I$3&lt;=st_cumul_energie_fin),st_cumul_energie_mult,1)</f>
        <v>23886.788177232</v>
      </c>
      <c r="J14" s="17" t="n">
        <f aca="false">(bud_chauffage_S1+bud_hors_gel_S1+bud_electricite_S1)*J7*IF(AND(J$3&gt;=st_cumul_energie_debut,J$3&lt;=st_cumul_energie_fin),st_cumul_energie_mult,1)</f>
        <v>24364.5239407766</v>
      </c>
      <c r="K14" s="17" t="n">
        <f aca="false">(bud_chauffage_S1+bud_hors_gel_S1+bud_electricite_S1)*K7*IF(AND(K$3&gt;=st_cumul_energie_debut,K$3&lt;=st_cumul_energie_fin),st_cumul_energie_mult,1)</f>
        <v>24851.8144195922</v>
      </c>
      <c r="L14" s="17" t="n">
        <f aca="false">(bud_chauffage_S1+bud_hors_gel_S1+bud_electricite_S1)*L7*IF(AND(L$3&gt;=st_cumul_energie_debut,L$3&lt;=st_cumul_energie_fin),st_cumul_energie_mult,1)</f>
        <v>25348.850707984</v>
      </c>
      <c r="M14" s="17" t="n">
        <f aca="false">(bud_chauffage_S1+bud_hors_gel_S1+bud_electricite_S1)*M7*IF(AND(M$3&gt;=st_cumul_energie_debut,M$3&lt;=st_cumul_energie_fin),st_cumul_energie_mult,1)</f>
        <v>25855.8277221437</v>
      </c>
      <c r="N14" s="17" t="n">
        <f aca="false">(bud_chauffage_S1+bud_hors_gel_S1+bud_electricite_S1)*N7*IF(AND(N$3&gt;=st_cumul_energie_debut,N$3&lt;=st_cumul_energie_fin),st_cumul_energie_mult,1)</f>
        <v>26372.9442765866</v>
      </c>
      <c r="O14" s="17" t="n">
        <f aca="false">(bud_chauffage_S1+bud_hors_gel_S1+bud_electricite_S1)*O7*IF(AND(O$3&gt;=st_cumul_energie_debut,O$3&lt;=st_cumul_energie_fin),st_cumul_energie_mult,1)</f>
        <v>26900.4031621183</v>
      </c>
      <c r="P14" s="17" t="n">
        <f aca="false">(bud_chauffage_S1+bud_hors_gel_S1+bud_electricite_S1)*P7*IF(AND(P$3&gt;=st_cumul_energie_debut,P$3&lt;=st_cumul_energie_fin),st_cumul_energie_mult,1)</f>
        <v>27438.4112253607</v>
      </c>
      <c r="Q14" s="17" t="n">
        <f aca="false">(bud_chauffage_S1+bud_hors_gel_S1+bud_electricite_S1)*Q7*IF(AND(Q$3&gt;=st_cumul_energie_debut,Q$3&lt;=st_cumul_energie_fin),st_cumul_energie_mult,1)</f>
        <v>27987.1794498679</v>
      </c>
      <c r="R14" s="17" t="n">
        <f aca="false">(bud_chauffage_S1+bud_hors_gel_S1+bud_electricite_S1)*R7*IF(AND(R$3&gt;=st_cumul_energie_debut,R$3&lt;=st_cumul_energie_fin),st_cumul_energie_mult,1)</f>
        <v>28546.9230388652</v>
      </c>
      <c r="S14" s="17" t="n">
        <f aca="false">(bud_chauffage_S1+bud_hors_gel_S1+bud_electricite_S1)*S7*IF(AND(S$3&gt;=st_cumul_energie_debut,S$3&lt;=st_cumul_energie_fin),st_cumul_energie_mult,1)</f>
        <v>29117.8614996426</v>
      </c>
      <c r="T14" s="17" t="n">
        <f aca="false">(bud_chauffage_S1+bud_hors_gel_S1+bud_electricite_S1)*T7*IF(AND(T$3&gt;=st_cumul_energie_debut,T$3&lt;=st_cumul_energie_fin),st_cumul_energie_mult,1)</f>
        <v>29700.2187296354</v>
      </c>
      <c r="U14" s="17" t="n">
        <f aca="false">(bud_chauffage_S1+bud_hors_gel_S1+bud_electricite_S1)*U7*IF(AND(U$3&gt;=st_cumul_energie_debut,U$3&lt;=st_cumul_energie_fin),st_cumul_energie_mult,1)</f>
        <v>30294.2231042281</v>
      </c>
      <c r="V14" s="17" t="n">
        <f aca="false">(bud_chauffage_S1+bud_hors_gel_S1+bud_electricite_S1)*V7*IF(AND(V$3&gt;=st_cumul_energie_debut,V$3&lt;=st_cumul_energie_fin),st_cumul_energie_mult,1)</f>
        <v>30900.1075663127</v>
      </c>
      <c r="W14" s="17" t="n">
        <f aca="false">(bud_chauffage_S1+bud_hors_gel_S1+bud_electricite_S1)*W7*IF(AND(W$3&gt;=st_cumul_energie_debut,W$3&lt;=st_cumul_energie_fin),st_cumul_energie_mult,1)</f>
        <v>31518.1097176389</v>
      </c>
      <c r="X14" s="17" t="n">
        <f aca="false">(bud_chauffage_S1+bud_hors_gel_S1+bud_electricite_S1)*X7*IF(AND(X$3&gt;=st_cumul_energie_debut,X$3&lt;=st_cumul_energie_fin),st_cumul_energie_mult,1)</f>
        <v>32148.4719119917</v>
      </c>
    </row>
    <row r="15" customFormat="false" ht="15" hidden="false" customHeight="false" outlineLevel="0" collapsed="false">
      <c r="A15" s="2" t="s">
        <v>1842</v>
      </c>
      <c r="B15" s="2" t="s">
        <v>1843</v>
      </c>
      <c r="C15" s="2" t="s">
        <v>1839</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1844</v>
      </c>
      <c r="B16" s="2" t="s">
        <v>1845</v>
      </c>
      <c r="C16" s="2" t="s">
        <v>1839</v>
      </c>
      <c r="E16" s="17" t="n">
        <f aca="false">bud_total_besoin_S1-bud_dont_personnel_S1-bud_bati_ge_S1-bud_imprevus_travaux_S1-bud_moe_do_S1-bud_chauffage_S1-bud_hors_gel_S1-bud_electricite_S1-bud_assurance_bati_S1-bud_assurance_autres_S1</f>
        <v>134347.46</v>
      </c>
      <c r="F16" s="17" t="n">
        <f aca="false">bud_total_besoin_S1-bud_dont_personnel_S1-bud_bati_ge_S1-bud_imprevus_travaux_S1-bud_moe_do_S1-bud_chauffage_S1-bud_hors_gel_S1-bud_electricite_S1-bud_assurance_bati_S1-bud_assurance_autres_S1</f>
        <v>134347.46</v>
      </c>
      <c r="G16" s="17" t="n">
        <f aca="false">bud_total_besoin_S1-bud_dont_personnel_S1-bud_bati_ge_S1-bud_imprevus_travaux_S1-bud_moe_do_S1-bud_chauffage_S1-bud_hors_gel_S1-bud_electricite_S1-bud_assurance_bati_S1-bud_assurance_autres_S1</f>
        <v>134347.46</v>
      </c>
      <c r="H16" s="17" t="n">
        <f aca="false">bud_total_besoin_S1-bud_dont_personnel_S1-bud_bati_ge_S1-bud_imprevus_travaux_S1-bud_moe_do_S1-bud_chauffage_S1-bud_hors_gel_S1-bud_electricite_S1-bud_assurance_bati_S1-bud_assurance_autres_S1</f>
        <v>134347.46</v>
      </c>
      <c r="I16" s="17" t="n">
        <f aca="false">bud_total_besoin_S1-bud_dont_personnel_S1-bud_bati_ge_S1-bud_imprevus_travaux_S1-bud_moe_do_S1-bud_chauffage_S1-bud_hors_gel_S1-bud_electricite_S1-bud_assurance_bati_S1-bud_assurance_autres_S1</f>
        <v>134347.46</v>
      </c>
      <c r="J16" s="17" t="n">
        <f aca="false">bud_total_besoin_S1-bud_dont_personnel_S1-bud_bati_ge_S1-bud_imprevus_travaux_S1-bud_moe_do_S1-bud_chauffage_S1-bud_hors_gel_S1-bud_electricite_S1-bud_assurance_bati_S1-bud_assurance_autres_S1</f>
        <v>134347.46</v>
      </c>
      <c r="K16" s="17" t="n">
        <f aca="false">bud_total_besoin_S1-bud_dont_personnel_S1-bud_bati_ge_S1-bud_imprevus_travaux_S1-bud_moe_do_S1-bud_chauffage_S1-bud_hors_gel_S1-bud_electricite_S1-bud_assurance_bati_S1-bud_assurance_autres_S1</f>
        <v>134347.46</v>
      </c>
      <c r="L16" s="17" t="n">
        <f aca="false">bud_total_besoin_S1-bud_dont_personnel_S1-bud_bati_ge_S1-bud_imprevus_travaux_S1-bud_moe_do_S1-bud_chauffage_S1-bud_hors_gel_S1-bud_electricite_S1-bud_assurance_bati_S1-bud_assurance_autres_S1</f>
        <v>134347.46</v>
      </c>
      <c r="M16" s="17" t="n">
        <f aca="false">bud_total_besoin_S1-bud_dont_personnel_S1-bud_bati_ge_S1-bud_imprevus_travaux_S1-bud_moe_do_S1-bud_chauffage_S1-bud_hors_gel_S1-bud_electricite_S1-bud_assurance_bati_S1-bud_assurance_autres_S1</f>
        <v>134347.46</v>
      </c>
      <c r="N16" s="17" t="n">
        <f aca="false">bud_total_besoin_S1-bud_dont_personnel_S1-bud_bati_ge_S1-bud_imprevus_travaux_S1-bud_moe_do_S1-bud_chauffage_S1-bud_hors_gel_S1-bud_electricite_S1-bud_assurance_bati_S1-bud_assurance_autres_S1</f>
        <v>134347.46</v>
      </c>
      <c r="O16" s="17" t="n">
        <f aca="false">bud_total_besoin_S1-bud_dont_personnel_S1-bud_bati_ge_S1-bud_imprevus_travaux_S1-bud_moe_do_S1-bud_chauffage_S1-bud_hors_gel_S1-bud_electricite_S1-bud_assurance_bati_S1-bud_assurance_autres_S1</f>
        <v>134347.46</v>
      </c>
      <c r="P16" s="17" t="n">
        <f aca="false">bud_total_besoin_S1-bud_dont_personnel_S1-bud_bati_ge_S1-bud_imprevus_travaux_S1-bud_moe_do_S1-bud_chauffage_S1-bud_hors_gel_S1-bud_electricite_S1-bud_assurance_bati_S1-bud_assurance_autres_S1</f>
        <v>134347.46</v>
      </c>
      <c r="Q16" s="17" t="n">
        <f aca="false">bud_total_besoin_S1-bud_dont_personnel_S1-bud_bati_ge_S1-bud_imprevus_travaux_S1-bud_moe_do_S1-bud_chauffage_S1-bud_hors_gel_S1-bud_electricite_S1-bud_assurance_bati_S1-bud_assurance_autres_S1</f>
        <v>134347.46</v>
      </c>
      <c r="R16" s="17" t="n">
        <f aca="false">bud_total_besoin_S1-bud_dont_personnel_S1-bud_bati_ge_S1-bud_imprevus_travaux_S1-bud_moe_do_S1-bud_chauffage_S1-bud_hors_gel_S1-bud_electricite_S1-bud_assurance_bati_S1-bud_assurance_autres_S1</f>
        <v>134347.46</v>
      </c>
      <c r="S16" s="17" t="n">
        <f aca="false">bud_total_besoin_S1-bud_dont_personnel_S1-bud_bati_ge_S1-bud_imprevus_travaux_S1-bud_moe_do_S1-bud_chauffage_S1-bud_hors_gel_S1-bud_electricite_S1-bud_assurance_bati_S1-bud_assurance_autres_S1</f>
        <v>134347.46</v>
      </c>
      <c r="T16" s="17" t="n">
        <f aca="false">bud_total_besoin_S1-bud_dont_personnel_S1-bud_bati_ge_S1-bud_imprevus_travaux_S1-bud_moe_do_S1-bud_chauffage_S1-bud_hors_gel_S1-bud_electricite_S1-bud_assurance_bati_S1-bud_assurance_autres_S1</f>
        <v>134347.46</v>
      </c>
      <c r="U16" s="17" t="n">
        <f aca="false">bud_total_besoin_S1-bud_dont_personnel_S1-bud_bati_ge_S1-bud_imprevus_travaux_S1-bud_moe_do_S1-bud_chauffage_S1-bud_hors_gel_S1-bud_electricite_S1-bud_assurance_bati_S1-bud_assurance_autres_S1</f>
        <v>134347.46</v>
      </c>
      <c r="V16" s="17" t="n">
        <f aca="false">bud_total_besoin_S1-bud_dont_personnel_S1-bud_bati_ge_S1-bud_imprevus_travaux_S1-bud_moe_do_S1-bud_chauffage_S1-bud_hors_gel_S1-bud_electricite_S1-bud_assurance_bati_S1-bud_assurance_autres_S1</f>
        <v>134347.46</v>
      </c>
      <c r="W16" s="17" t="n">
        <f aca="false">bud_total_besoin_S1-bud_dont_personnel_S1-bud_bati_ge_S1-bud_imprevus_travaux_S1-bud_moe_do_S1-bud_chauffage_S1-bud_hors_gel_S1-bud_electricite_S1-bud_assurance_bati_S1-bud_assurance_autres_S1</f>
        <v>134347.46</v>
      </c>
      <c r="X16" s="17" t="n">
        <f aca="false">bud_total_besoin_S1-bud_dont_personnel_S1-bud_bati_ge_S1-bud_imprevus_travaux_S1-bud_moe_do_S1-bud_chauffage_S1-bud_hors_gel_S1-bud_electricite_S1-bud_assurance_bati_S1-bud_assurance_autres_S1</f>
        <v>134347.46</v>
      </c>
    </row>
    <row r="17" customFormat="false" ht="15" hidden="false" customHeight="false" outlineLevel="0" collapsed="false">
      <c r="A17" s="2" t="s">
        <v>1846</v>
      </c>
      <c r="B17" s="2" t="s">
        <v>1847</v>
      </c>
      <c r="C17" s="2" t="s">
        <v>1839</v>
      </c>
      <c r="E17" s="17" t="n">
        <f aca="false">(bud_bati_ge_S1+bud_imprevus_travaux_S1+bud_moe_do_S1)*E6</f>
        <v>103641.525</v>
      </c>
      <c r="F17" s="17" t="n">
        <f aca="false">(bud_bati_ge_S1+bud_imprevus_travaux_S1+bud_moe_do_S1)*F6</f>
        <v>104418.8364375</v>
      </c>
      <c r="G17" s="17" t="n">
        <f aca="false">(bud_bati_ge_S1+bud_imprevus_travaux_S1+bud_moe_do_S1)*G6</f>
        <v>105201.977710781</v>
      </c>
      <c r="H17" s="17" t="n">
        <f aca="false">(bud_bati_ge_S1+bud_imprevus_travaux_S1+bud_moe_do_S1)*H6</f>
        <v>105990.992543612</v>
      </c>
      <c r="I17" s="17" t="n">
        <f aca="false">(bud_bati_ge_S1+bud_imprevus_travaux_S1+bud_moe_do_S1)*I6</f>
        <v>106785.924987689</v>
      </c>
      <c r="J17" s="17" t="n">
        <f aca="false">(bud_bati_ge_S1+bud_imprevus_travaux_S1+bud_moe_do_S1)*J6</f>
        <v>107586.819425097</v>
      </c>
      <c r="K17" s="17" t="n">
        <f aca="false">(bud_bati_ge_S1+bud_imprevus_travaux_S1+bud_moe_do_S1)*K6</f>
        <v>108393.720570785</v>
      </c>
      <c r="L17" s="17" t="n">
        <f aca="false">(bud_bati_ge_S1+bud_imprevus_travaux_S1+bud_moe_do_S1)*L6</f>
        <v>109206.673475066</v>
      </c>
      <c r="M17" s="17" t="n">
        <f aca="false">(bud_bati_ge_S1+bud_imprevus_travaux_S1+bud_moe_do_S1)*M6</f>
        <v>110025.723526129</v>
      </c>
      <c r="N17" s="17" t="n">
        <f aca="false">(bud_bati_ge_S1+bud_imprevus_travaux_S1+bud_moe_do_S1)*N6</f>
        <v>110850.916452575</v>
      </c>
      <c r="O17" s="17" t="n">
        <f aca="false">(bud_bati_ge_S1+bud_imprevus_travaux_S1+bud_moe_do_S1)*O6</f>
        <v>111682.298325969</v>
      </c>
      <c r="P17" s="17" t="n">
        <f aca="false">(bud_bati_ge_S1+bud_imprevus_travaux_S1+bud_moe_do_S1)*P6</f>
        <v>112519.915563414</v>
      </c>
      <c r="Q17" s="17" t="n">
        <f aca="false">(bud_bati_ge_S1+bud_imprevus_travaux_S1+bud_moe_do_S1)*Q6</f>
        <v>113363.81493014</v>
      </c>
      <c r="R17" s="17" t="n">
        <f aca="false">(bud_bati_ge_S1+bud_imprevus_travaux_S1+bud_moe_do_S1)*R6</f>
        <v>114214.043542116</v>
      </c>
      <c r="S17" s="17" t="n">
        <f aca="false">(bud_bati_ge_S1+bud_imprevus_travaux_S1+bud_moe_do_S1)*S6</f>
        <v>115070.648868682</v>
      </c>
      <c r="T17" s="17" t="n">
        <f aca="false">(bud_bati_ge_S1+bud_imprevus_travaux_S1+bud_moe_do_S1)*T6</f>
        <v>115933.678735197</v>
      </c>
      <c r="U17" s="17" t="n">
        <f aca="false">(bud_bati_ge_S1+bud_imprevus_travaux_S1+bud_moe_do_S1)*U6</f>
        <v>116803.181325711</v>
      </c>
      <c r="V17" s="17" t="n">
        <f aca="false">(bud_bati_ge_S1+bud_imprevus_travaux_S1+bud_moe_do_S1)*V6</f>
        <v>117679.205185654</v>
      </c>
      <c r="W17" s="17" t="n">
        <f aca="false">(bud_bati_ge_S1+bud_imprevus_travaux_S1+bud_moe_do_S1)*W6</f>
        <v>118561.799224546</v>
      </c>
      <c r="X17" s="17" t="n">
        <f aca="false">(bud_bati_ge_S1+bud_imprevus_travaux_S1+bud_moe_do_S1)*X6</f>
        <v>119451.01271873</v>
      </c>
    </row>
    <row r="18" customFormat="false" ht="15" hidden="false" customHeight="false" outlineLevel="0" collapsed="false">
      <c r="A18" s="2" t="s">
        <v>1848</v>
      </c>
      <c r="B18" s="18" t="s">
        <v>1849</v>
      </c>
      <c r="C18" s="2" t="s">
        <v>1839</v>
      </c>
      <c r="D18" s="23" t="n">
        <f aca="false">bud_total_besoin_S1</f>
        <v>345675.46</v>
      </c>
      <c r="E18" s="23" t="n">
        <f aca="false">E13+E14+E15+E16+E17</f>
        <v>348232.08</v>
      </c>
      <c r="F18" s="23" t="n">
        <f aca="false">F13+F14+F15+F16+F17</f>
        <v>350824.3522875</v>
      </c>
      <c r="G18" s="23" t="n">
        <f aca="false">G13+G14+G15+G16+G17</f>
        <v>353452.828648144</v>
      </c>
      <c r="H18" s="23" t="n">
        <f aca="false">H13+H14+H15+H16+H17</f>
        <v>356118.07000117</v>
      </c>
      <c r="I18" s="23" t="n">
        <f aca="false">I13+I14+I15+I16+I17</f>
        <v>358820.646557148</v>
      </c>
      <c r="J18" s="23" t="n">
        <f aca="false">J13+J14+J15+J16+J17</f>
        <v>361561.137978508</v>
      </c>
      <c r="K18" s="23" t="n">
        <f aca="false">K13+K14+K15+K16+K17</f>
        <v>364340.133542938</v>
      </c>
      <c r="L18" s="23" t="n">
        <f aca="false">L13+L14+L15+L16+L17</f>
        <v>367158.232309668</v>
      </c>
      <c r="M18" s="23" t="n">
        <f aca="false">M13+M14+M15+M16+M17</f>
        <v>370016.043288732</v>
      </c>
      <c r="N18" s="23" t="n">
        <f aca="false">N13+N14+N15+N16+N17</f>
        <v>372914.18561322</v>
      </c>
      <c r="O18" s="23" t="n">
        <f aca="false">O13+O14+O15+O16+O17</f>
        <v>375853.288714614</v>
      </c>
      <c r="P18" s="23" t="n">
        <f aca="false">P13+P14+P15+P16+P17</f>
        <v>378833.992501237</v>
      </c>
      <c r="Q18" s="23" t="n">
        <f aca="false">Q13+Q14+Q15+Q16+Q17</f>
        <v>381856.94753988</v>
      </c>
      <c r="R18" s="23" t="n">
        <f aca="false">R13+R14+R15+R16+R17</f>
        <v>384922.815240665</v>
      </c>
      <c r="S18" s="23" t="n">
        <f aca="false">S13+S14+S15+S16+S17</f>
        <v>388032.268045213</v>
      </c>
      <c r="T18" s="23" t="n">
        <f aca="false">T13+T14+T15+T16+T17</f>
        <v>391185.989618148</v>
      </c>
      <c r="U18" s="23" t="n">
        <f aca="false">U13+U14+U15+U16+U17</f>
        <v>394384.675042037</v>
      </c>
      <c r="V18" s="23" t="n">
        <f aca="false">V13+V14+V15+V16+V17</f>
        <v>397629.031015794</v>
      </c>
      <c r="W18" s="23" t="n">
        <f aca="false">W13+W14+W15+W16+W17</f>
        <v>400919.77605663</v>
      </c>
      <c r="X18" s="23" t="n">
        <f aca="false">X13+X14+X15+X16+X17</f>
        <v>404257.640705612</v>
      </c>
    </row>
    <row r="19" customFormat="false" ht="15" hidden="false" customHeight="false" outlineLevel="0" collapsed="false">
      <c r="A19" s="2" t="s">
        <v>1850</v>
      </c>
      <c r="B19" s="2" t="s">
        <v>1851</v>
      </c>
      <c r="C19" s="2" t="s">
        <v>1839</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419253.331691893</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431973.138458637</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445078.853868087</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458582.186076134</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472495.198454641</v>
      </c>
    </row>
    <row r="20" customFormat="false" ht="15" hidden="false" customHeight="false" outlineLevel="0" collapsed="false">
      <c r="A20" s="2" t="s">
        <v>1852</v>
      </c>
      <c r="B20" s="2" t="s">
        <v>1853</v>
      </c>
      <c r="C20" s="2" t="s">
        <v>1839</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600000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103641.525</v>
      </c>
      <c r="F22" s="17" t="n">
        <f aca="false">MAX(0,E22+F17-F19)</f>
        <v>208060.3614375</v>
      </c>
      <c r="G22" s="17" t="n">
        <f aca="false">MAX(0,F22+G17-G19)</f>
        <v>313262.339148281</v>
      </c>
      <c r="H22" s="17" t="n">
        <f aca="false">MAX(0,G22+H17-H19)</f>
        <v>0</v>
      </c>
      <c r="I22" s="17" t="n">
        <f aca="false">MAX(0,H22+I17-I19)</f>
        <v>106785.924987689</v>
      </c>
      <c r="J22" s="17" t="n">
        <f aca="false">MAX(0,I22+J17-J19)</f>
        <v>214372.744412786</v>
      </c>
      <c r="K22" s="17" t="n">
        <f aca="false">MAX(0,J22+K17-K19)</f>
        <v>322766.464983571</v>
      </c>
      <c r="L22" s="17" t="n">
        <f aca="false">MAX(0,K22+L17-L19)</f>
        <v>0</v>
      </c>
      <c r="M22" s="17" t="n">
        <f aca="false">MAX(0,L22+M17-M19)</f>
        <v>110025.723526129</v>
      </c>
      <c r="N22" s="17" t="n">
        <f aca="false">MAX(0,M22+N17-N19)</f>
        <v>220876.639978704</v>
      </c>
      <c r="O22" s="17" t="n">
        <f aca="false">MAX(0,N22+O17-O19)</f>
        <v>332558.938304673</v>
      </c>
      <c r="P22" s="17" t="n">
        <f aca="false">MAX(0,O22+P17-P19)</f>
        <v>0</v>
      </c>
      <c r="Q22" s="17" t="n">
        <f aca="false">MAX(0,P22+Q17-Q19)</f>
        <v>113363.81493014</v>
      </c>
      <c r="R22" s="17" t="n">
        <f aca="false">MAX(0,Q22+R17-R19)</f>
        <v>227577.858472256</v>
      </c>
      <c r="S22" s="17" t="n">
        <f aca="false">MAX(0,R22+S17-S19)</f>
        <v>342648.507340937</v>
      </c>
      <c r="T22" s="17" t="n">
        <f aca="false">MAX(0,S22+T17-T19)</f>
        <v>0</v>
      </c>
      <c r="U22" s="17" t="n">
        <f aca="false">MAX(0,T22+U17-U19)</f>
        <v>116803.181325711</v>
      </c>
      <c r="V22" s="17" t="n">
        <f aca="false">MAX(0,U22+V17-V19)</f>
        <v>234482.386511364</v>
      </c>
      <c r="W22" s="17" t="n">
        <f aca="false">MAX(0,V22+W17-W19)</f>
        <v>353044.18573591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(S1_ech_log*mot_log_cn+S1_ech_stock*mot_stock_cn+S1_ech_pv*mot_pv_cn+S1_ech_bois*mot_bois_cn)*E24*E9*IF(E$3&gt;=st_cumul_debut_mult,st_cumul_mult_A,1)*IF(E11=1,1-0.05,IF(E11=2,1-0.02,1))</f>
        <v>6057.6</v>
      </c>
      <c r="F25" s="17" t="n">
        <f aca="false">(S1_ech_log*mot_log_cn+S1_ech_stock*mot_stock_cn+S1_ech_pv*mot_pv_cn+S1_ech_bois*mot_bois_cn)*F24*F9*IF(F$3&gt;=st_cumul_debut_mult,st_cumul_mult_A,1)*IF(F11=1,1-0.05,IF(F11=2,1-0.02,1))</f>
        <v>11358</v>
      </c>
      <c r="G25" s="17" t="n">
        <f aca="false">(S1_ech_log*mot_log_cn+S1_ech_stock*mot_stock_cn+S1_ech_pv*mot_pv_cn+S1_ech_bois*mot_bois_cn)*G24*G9*IF(G$3&gt;=st_cumul_debut_mult,st_cumul_mult_A,1)*IF(G11=1,1-0.05,IF(G11=2,1-0.02,1))</f>
        <v>10600.8</v>
      </c>
      <c r="H25" s="17" t="n">
        <f aca="false">(S1_ech_log*mot_log_cn+S1_ech_stock*mot_stock_cn+S1_ech_pv*mot_pv_cn+S1_ech_bois*mot_bois_cn)*H24*H9*IF(H$3&gt;=st_cumul_debut_mult,st_cumul_mult_A,1)*IF(H11=1,1-0.05,IF(H11=2,1-0.02,1))</f>
        <v>10600.8</v>
      </c>
      <c r="I25" s="17" t="n">
        <f aca="false">(S1_ech_log*mot_log_cn+S1_ech_stock*mot_stock_cn+S1_ech_pv*mot_pv_cn+S1_ech_bois*mot_bois_cn)*I24*I9*IF(I$3&gt;=st_cumul_debut_mult,st_cumul_mult_A,1)*IF(I11=1,1-0.05,IF(I11=2,1-0.02,1))</f>
        <v>10070.76</v>
      </c>
      <c r="J25" s="17" t="n">
        <f aca="false">(S1_ech_log*mot_log_cn+S1_ech_stock*mot_stock_cn+S1_ech_pv*mot_pv_cn+S1_ech_bois*mot_bois_cn)*J24*J9*IF(J$3&gt;=st_cumul_debut_mult,st_cumul_mult_A,1)*IF(J11=1,1-0.05,IF(J11=2,1-0.02,1))</f>
        <v>10388.784</v>
      </c>
      <c r="K25" s="17" t="n">
        <f aca="false">(S1_ech_log*mot_log_cn+S1_ech_stock*mot_stock_cn+S1_ech_pv*mot_pv_cn+S1_ech_bois*mot_bois_cn)*K24*K9*IF(K$3&gt;=st_cumul_debut_mult,st_cumul_mult_A,1)*IF(K11=1,1-0.05,IF(K11=2,1-0.02,1))</f>
        <v>10600.8</v>
      </c>
      <c r="L25" s="17" t="n">
        <f aca="false">(S1_ech_log*mot_log_cn+S1_ech_stock*mot_stock_cn+S1_ech_pv*mot_pv_cn+S1_ech_bois*mot_bois_cn)*L24*L9*IF(L$3&gt;=st_cumul_debut_mult,st_cumul_mult_A,1)*IF(L11=1,1-0.05,IF(L11=2,1-0.02,1))</f>
        <v>10600.8</v>
      </c>
      <c r="M25" s="17" t="n">
        <f aca="false">(S1_ech_log*mot_log_cn+S1_ech_stock*mot_stock_cn+S1_ech_pv*mot_pv_cn+S1_ech_bois*mot_bois_cn)*M24*M9*IF(M$3&gt;=st_cumul_debut_mult,st_cumul_mult_A,1)*IF(M11=1,1-0.05,IF(M11=2,1-0.02,1))</f>
        <v>10600.8</v>
      </c>
      <c r="N25" s="17" t="n">
        <f aca="false">(S1_ech_log*mot_log_cn+S1_ech_stock*mot_stock_cn+S1_ech_pv*mot_pv_cn+S1_ech_bois*mot_bois_cn)*N24*N9*IF(N$3&gt;=st_cumul_debut_mult,st_cumul_mult_A,1)*IF(N11=1,1-0.05,IF(N11=2,1-0.02,1))</f>
        <v>10600.8</v>
      </c>
      <c r="O25" s="17" t="n">
        <f aca="false">(S1_ech_log*mot_log_cn+S1_ech_stock*mot_stock_cn+S1_ech_pv*mot_pv_cn+S1_ech_bois*mot_bois_cn)*O24*O9*IF(O$3&gt;=st_cumul_debut_mult,st_cumul_mult_A,1)*IF(O11=1,1-0.05,IF(O11=2,1-0.02,1))</f>
        <v>10600.8</v>
      </c>
      <c r="P25" s="17" t="n">
        <f aca="false">(S1_ech_log*mot_log_cn+S1_ech_stock*mot_stock_cn+S1_ech_pv*mot_pv_cn+S1_ech_bois*mot_bois_cn)*P24*P9*IF(P$3&gt;=st_cumul_debut_mult,st_cumul_mult_A,1)*IF(P11=1,1-0.05,IF(P11=2,1-0.02,1))</f>
        <v>10600.8</v>
      </c>
      <c r="Q25" s="17" t="n">
        <f aca="false">(S1_ech_log*mot_log_cn+S1_ech_stock*mot_stock_cn+S1_ech_pv*mot_pv_cn+S1_ech_bois*mot_bois_cn)*Q24*Q9*IF(Q$3&gt;=st_cumul_debut_mult,st_cumul_mult_A,1)*IF(Q11=1,1-0.05,IF(Q11=2,1-0.02,1))</f>
        <v>10600.8</v>
      </c>
      <c r="R25" s="17" t="n">
        <f aca="false">(S1_ech_log*mot_log_cn+S1_ech_stock*mot_stock_cn+S1_ech_pv*mot_pv_cn+S1_ech_bois*mot_bois_cn)*R24*R9*IF(R$3&gt;=st_cumul_debut_mult,st_cumul_mult_A,1)*IF(R11=1,1-0.05,IF(R11=2,1-0.02,1))</f>
        <v>10600.8</v>
      </c>
      <c r="S25" s="17" t="n">
        <f aca="false">(S1_ech_log*mot_log_cn+S1_ech_stock*mot_stock_cn+S1_ech_pv*mot_pv_cn+S1_ech_bois*mot_bois_cn)*S24*S9*IF(S$3&gt;=st_cumul_debut_mult,st_cumul_mult_A,1)*IF(S11=1,1-0.05,IF(S11=2,1-0.02,1))</f>
        <v>10600.8</v>
      </c>
      <c r="T25" s="17" t="n">
        <f aca="false">(S1_ech_log*mot_log_cn+S1_ech_stock*mot_stock_cn+S1_ech_pv*mot_pv_cn+S1_ech_bois*mot_bois_cn)*T24*T9*IF(T$3&gt;=st_cumul_debut_mult,st_cumul_mult_A,1)*IF(T11=1,1-0.05,IF(T11=2,1-0.02,1))</f>
        <v>10600.8</v>
      </c>
      <c r="U25" s="17" t="n">
        <f aca="false">(S1_ech_log*mot_log_cn+S1_ech_stock*mot_stock_cn+S1_ech_pv*mot_pv_cn+S1_ech_bois*mot_bois_cn)*U24*U9*IF(U$3&gt;=st_cumul_debut_mult,st_cumul_mult_A,1)*IF(U11=1,1-0.05,IF(U11=2,1-0.02,1))</f>
        <v>10600.8</v>
      </c>
      <c r="V25" s="17" t="n">
        <f aca="false">(S1_ech_log*mot_log_cn+S1_ech_stock*mot_stock_cn+S1_ech_pv*mot_pv_cn+S1_ech_bois*mot_bois_cn)*V24*V9*IF(V$3&gt;=st_cumul_debut_mult,st_cumul_mult_A,1)*IF(V11=1,1-0.05,IF(V11=2,1-0.02,1))</f>
        <v>10600.8</v>
      </c>
      <c r="W25" s="17" t="n">
        <f aca="false">(S1_ech_log*mot_log_cn+S1_ech_stock*mot_stock_cn+S1_ech_pv*mot_pv_cn+S1_ech_bois*mot_bois_cn)*W24*W9*IF(W$3&gt;=st_cumul_debut_mult,st_cumul_mult_A,1)*IF(W11=1,1-0.05,IF(W11=2,1-0.02,1))</f>
        <v>10600.8</v>
      </c>
      <c r="X25" s="17" t="n">
        <f aca="false">(S1_ech_log*mot_log_cn+S1_ech_stock*mot_stock_cn+S1_ech_pv*mot_pv_cn+S1_ech_bois*mot_bois_cn)*X24*X9*IF(X$3&gt;=st_cumul_debut_mult,st_cumul_mult_A,1)*IF(X11=1,1-0.05,IF(X11=2,1-0.02,1))</f>
        <v>10600.8</v>
      </c>
    </row>
    <row r="26" customFormat="false" ht="15" hidden="false" customHeight="false" outlineLevel="0" collapsed="false">
      <c r="A26" s="2" t="s">
        <v>1864</v>
      </c>
      <c r="B26" s="2" t="s">
        <v>1865</v>
      </c>
      <c r="C26" s="2" t="s">
        <v>1839</v>
      </c>
      <c r="E26" s="17" t="n">
        <f aca="false">(S1_ech_eq_ret*mot_eq_ret_cn)*E24*E9*IF(E$3&gt;=st_cumul_debut_mult,st_cumul_mult_B,1)*IF(E11=1,1-0.15,IF(E11=2,1-0.05,1))</f>
        <v>1345.0536</v>
      </c>
      <c r="F26" s="17" t="n">
        <f aca="false">(S1_ech_eq_ret*mot_eq_ret_cn)*F24*F9*IF(F$3&gt;=st_cumul_debut_mult,st_cumul_mult_B,1)*IF(F11=1,1-0.15,IF(F11=2,1-0.05,1))</f>
        <v>2521.9755</v>
      </c>
      <c r="G26" s="17" t="n">
        <f aca="false">(S1_ech_eq_ret*mot_eq_ret_cn)*G24*G9*IF(G$3&gt;=st_cumul_debut_mult,st_cumul_mult_B,1)*IF(G11=1,1-0.15,IF(G11=2,1-0.05,1))</f>
        <v>2353.8438</v>
      </c>
      <c r="H26" s="17" t="n">
        <f aca="false">(S1_ech_eq_ret*mot_eq_ret_cn)*H24*H9*IF(H$3&gt;=st_cumul_debut_mult,st_cumul_mult_B,1)*IF(H11=1,1-0.15,IF(H11=2,1-0.05,1))</f>
        <v>2353.8438</v>
      </c>
      <c r="I26" s="17" t="n">
        <f aca="false">(S1_ech_eq_ret*mot_eq_ret_cn)*I24*I9*IF(I$3&gt;=st_cumul_debut_mult,st_cumul_mult_B,1)*IF(I11=1,1-0.15,IF(I11=2,1-0.05,1))</f>
        <v>2000.76723</v>
      </c>
      <c r="J26" s="17" t="n">
        <f aca="false">(S1_ech_eq_ret*mot_eq_ret_cn)*J24*J9*IF(J$3&gt;=st_cumul_debut_mult,st_cumul_mult_B,1)*IF(J11=1,1-0.15,IF(J11=2,1-0.05,1))</f>
        <v>2236.15161</v>
      </c>
      <c r="K26" s="17" t="n">
        <f aca="false">(S1_ech_eq_ret*mot_eq_ret_cn)*K24*K9*IF(K$3&gt;=st_cumul_debut_mult,st_cumul_mult_B,1)*IF(K11=1,1-0.15,IF(K11=2,1-0.05,1))</f>
        <v>2353.8438</v>
      </c>
      <c r="L26" s="17" t="n">
        <f aca="false">(S1_ech_eq_ret*mot_eq_ret_cn)*L24*L9*IF(L$3&gt;=st_cumul_debut_mult,st_cumul_mult_B,1)*IF(L11=1,1-0.15,IF(L11=2,1-0.05,1))</f>
        <v>2353.8438</v>
      </c>
      <c r="M26" s="17" t="n">
        <f aca="false">(S1_ech_eq_ret*mot_eq_ret_cn)*M24*M9*IF(M$3&gt;=st_cumul_debut_mult,st_cumul_mult_B,1)*IF(M11=1,1-0.15,IF(M11=2,1-0.05,1))</f>
        <v>2353.8438</v>
      </c>
      <c r="N26" s="17" t="n">
        <f aca="false">(S1_ech_eq_ret*mot_eq_ret_cn)*N24*N9*IF(N$3&gt;=st_cumul_debut_mult,st_cumul_mult_B,1)*IF(N11=1,1-0.15,IF(N11=2,1-0.05,1))</f>
        <v>2353.8438</v>
      </c>
      <c r="O26" s="17" t="n">
        <f aca="false">(S1_ech_eq_ret*mot_eq_ret_cn)*O24*O9*IF(O$3&gt;=st_cumul_debut_mult,st_cumul_mult_B,1)*IF(O11=1,1-0.15,IF(O11=2,1-0.05,1))</f>
        <v>2353.8438</v>
      </c>
      <c r="P26" s="17" t="n">
        <f aca="false">(S1_ech_eq_ret*mot_eq_ret_cn)*P24*P9*IF(P$3&gt;=st_cumul_debut_mult,st_cumul_mult_B,1)*IF(P11=1,1-0.15,IF(P11=2,1-0.05,1))</f>
        <v>2353.8438</v>
      </c>
      <c r="Q26" s="17" t="n">
        <f aca="false">(S1_ech_eq_ret*mot_eq_ret_cn)*Q24*Q9*IF(Q$3&gt;=st_cumul_debut_mult,st_cumul_mult_B,1)*IF(Q11=1,1-0.15,IF(Q11=2,1-0.05,1))</f>
        <v>2353.8438</v>
      </c>
      <c r="R26" s="17" t="n">
        <f aca="false">(S1_ech_eq_ret*mot_eq_ret_cn)*R24*R9*IF(R$3&gt;=st_cumul_debut_mult,st_cumul_mult_B,1)*IF(R11=1,1-0.15,IF(R11=2,1-0.05,1))</f>
        <v>2353.8438</v>
      </c>
      <c r="S26" s="17" t="n">
        <f aca="false">(S1_ech_eq_ret*mot_eq_ret_cn)*S24*S9*IF(S$3&gt;=st_cumul_debut_mult,st_cumul_mult_B,1)*IF(S11=1,1-0.15,IF(S11=2,1-0.05,1))</f>
        <v>2353.8438</v>
      </c>
      <c r="T26" s="17" t="n">
        <f aca="false">(S1_ech_eq_ret*mot_eq_ret_cn)*T24*T9*IF(T$3&gt;=st_cumul_debut_mult,st_cumul_mult_B,1)*IF(T11=1,1-0.15,IF(T11=2,1-0.05,1))</f>
        <v>2353.8438</v>
      </c>
      <c r="U26" s="17" t="n">
        <f aca="false">(S1_ech_eq_ret*mot_eq_ret_cn)*U24*U9*IF(U$3&gt;=st_cumul_debut_mult,st_cumul_mult_B,1)*IF(U11=1,1-0.15,IF(U11=2,1-0.05,1))</f>
        <v>2353.8438</v>
      </c>
      <c r="V26" s="17" t="n">
        <f aca="false">(S1_ech_eq_ret*mot_eq_ret_cn)*V24*V9*IF(V$3&gt;=st_cumul_debut_mult,st_cumul_mult_B,1)*IF(V11=1,1-0.15,IF(V11=2,1-0.05,1))</f>
        <v>2353.8438</v>
      </c>
      <c r="W26" s="17" t="n">
        <f aca="false">(S1_ech_eq_ret*mot_eq_ret_cn)*W24*W9*IF(W$3&gt;=st_cumul_debut_mult,st_cumul_mult_B,1)*IF(W11=1,1-0.15,IF(W11=2,1-0.05,1))</f>
        <v>2353.8438</v>
      </c>
      <c r="X26" s="17" t="n">
        <f aca="false">(S1_ech_eq_ret*mot_eq_ret_cn)*X24*X9*IF(X$3&gt;=st_cumul_debut_mult,st_cumul_mult_B,1)*IF(X11=1,1-0.15,IF(X11=2,1-0.05,1))</f>
        <v>2353.8438</v>
      </c>
    </row>
    <row r="27" customFormat="false" ht="15" hidden="false" customHeight="false" outlineLevel="0" collapsed="false">
      <c r="A27" s="2" t="s">
        <v>1866</v>
      </c>
      <c r="B27" s="2" t="s">
        <v>1867</v>
      </c>
      <c r="C27" s="2" t="s">
        <v>1839</v>
      </c>
      <c r="E27" s="17" t="n">
        <f aca="false">(S1_ech_tourn*mot_tourn_cn)*E24*E9*IF(E$3&gt;=st_cumul_debut_mult,st_cumul_mult_C,1)*IF(E11=1,1-0.8,IF(E11=2,1-0.3,1))</f>
        <v>1190</v>
      </c>
      <c r="F27" s="17" t="n">
        <f aca="false">(S1_ech_tourn*mot_tourn_cn)*F24*F9*IF(F$3&gt;=st_cumul_debut_mult,st_cumul_mult_C,1)*IF(F11=1,1-0.8,IF(F11=2,1-0.3,1))</f>
        <v>2231.25</v>
      </c>
      <c r="G27" s="17" t="n">
        <f aca="false">(S1_ech_tourn*mot_tourn_cn)*G24*G9*IF(G$3&gt;=st_cumul_debut_mult,st_cumul_mult_C,1)*IF(G11=1,1-0.8,IF(G11=2,1-0.3,1))</f>
        <v>2082.5</v>
      </c>
      <c r="H27" s="17" t="n">
        <f aca="false">(S1_ech_tourn*mot_tourn_cn)*H24*H9*IF(H$3&gt;=st_cumul_debut_mult,st_cumul_mult_C,1)*IF(H11=1,1-0.8,IF(H11=2,1-0.3,1))</f>
        <v>2082.5</v>
      </c>
      <c r="I27" s="17" t="n">
        <f aca="false">(S1_ech_tourn*mot_tourn_cn)*I24*I9*IF(I$3&gt;=st_cumul_debut_mult,st_cumul_mult_C,1)*IF(I11=1,1-0.8,IF(I11=2,1-0.3,1))</f>
        <v>416.5</v>
      </c>
      <c r="J27" s="17" t="n">
        <f aca="false">(S1_ech_tourn*mot_tourn_cn)*J24*J9*IF(J$3&gt;=st_cumul_debut_mult,st_cumul_mult_C,1)*IF(J11=1,1-0.8,IF(J11=2,1-0.3,1))</f>
        <v>1457.75</v>
      </c>
      <c r="K27" s="17" t="n">
        <f aca="false">(S1_ech_tourn*mot_tourn_cn)*K24*K9*IF(K$3&gt;=st_cumul_debut_mult,st_cumul_mult_C,1)*IF(K11=1,1-0.8,IF(K11=2,1-0.3,1))</f>
        <v>2082.5</v>
      </c>
      <c r="L27" s="17" t="n">
        <f aca="false">(S1_ech_tourn*mot_tourn_cn)*L24*L9*IF(L$3&gt;=st_cumul_debut_mult,st_cumul_mult_C,1)*IF(L11=1,1-0.8,IF(L11=2,1-0.3,1))</f>
        <v>2082.5</v>
      </c>
      <c r="M27" s="17" t="n">
        <f aca="false">(S1_ech_tourn*mot_tourn_cn)*M24*M9*IF(M$3&gt;=st_cumul_debut_mult,st_cumul_mult_C,1)*IF(M11=1,1-0.8,IF(M11=2,1-0.3,1))</f>
        <v>2082.5</v>
      </c>
      <c r="N27" s="17" t="n">
        <f aca="false">(S1_ech_tourn*mot_tourn_cn)*N24*N9*IF(N$3&gt;=st_cumul_debut_mult,st_cumul_mult_C,1)*IF(N11=1,1-0.8,IF(N11=2,1-0.3,1))</f>
        <v>2082.5</v>
      </c>
      <c r="O27" s="17" t="n">
        <f aca="false">(S1_ech_tourn*mot_tourn_cn)*O24*O9*IF(O$3&gt;=st_cumul_debut_mult,st_cumul_mult_C,1)*IF(O11=1,1-0.8,IF(O11=2,1-0.3,1))</f>
        <v>2082.5</v>
      </c>
      <c r="P27" s="17" t="n">
        <f aca="false">(S1_ech_tourn*mot_tourn_cn)*P24*P9*IF(P$3&gt;=st_cumul_debut_mult,st_cumul_mult_C,1)*IF(P11=1,1-0.8,IF(P11=2,1-0.3,1))</f>
        <v>2082.5</v>
      </c>
      <c r="Q27" s="17" t="n">
        <f aca="false">(S1_ech_tourn*mot_tourn_cn)*Q24*Q9*IF(Q$3&gt;=st_cumul_debut_mult,st_cumul_mult_C,1)*IF(Q11=1,1-0.8,IF(Q11=2,1-0.3,1))</f>
        <v>2082.5</v>
      </c>
      <c r="R27" s="17" t="n">
        <f aca="false">(S1_ech_tourn*mot_tourn_cn)*R24*R9*IF(R$3&gt;=st_cumul_debut_mult,st_cumul_mult_C,1)*IF(R11=1,1-0.8,IF(R11=2,1-0.3,1))</f>
        <v>2082.5</v>
      </c>
      <c r="S27" s="17" t="n">
        <f aca="false">(S1_ech_tourn*mot_tourn_cn)*S24*S9*IF(S$3&gt;=st_cumul_debut_mult,st_cumul_mult_C,1)*IF(S11=1,1-0.8,IF(S11=2,1-0.3,1))</f>
        <v>2082.5</v>
      </c>
      <c r="T27" s="17" t="n">
        <f aca="false">(S1_ech_tourn*mot_tourn_cn)*T24*T9*IF(T$3&gt;=st_cumul_debut_mult,st_cumul_mult_C,1)*IF(T11=1,1-0.8,IF(T11=2,1-0.3,1))</f>
        <v>2082.5</v>
      </c>
      <c r="U27" s="17" t="n">
        <f aca="false">(S1_ech_tourn*mot_tourn_cn)*U24*U9*IF(U$3&gt;=st_cumul_debut_mult,st_cumul_mult_C,1)*IF(U11=1,1-0.8,IF(U11=2,1-0.3,1))</f>
        <v>2082.5</v>
      </c>
      <c r="V27" s="17" t="n">
        <f aca="false">(S1_ech_tourn*mot_tourn_cn)*V24*V9*IF(V$3&gt;=st_cumul_debut_mult,st_cumul_mult_C,1)*IF(V11=1,1-0.8,IF(V11=2,1-0.3,1))</f>
        <v>2082.5</v>
      </c>
      <c r="W27" s="17" t="n">
        <f aca="false">(S1_ech_tourn*mot_tourn_cn)*W24*W9*IF(W$3&gt;=st_cumul_debut_mult,st_cumul_mult_C,1)*IF(W11=1,1-0.8,IF(W11=2,1-0.3,1))</f>
        <v>2082.5</v>
      </c>
      <c r="X27" s="17" t="n">
        <f aca="false">(S1_ech_tourn*mot_tourn_cn)*X24*X9*IF(X$3&gt;=st_cumul_debut_mult,st_cumul_mult_C,1)*IF(X11=1,1-0.8,IF(X11=2,1-0.3,1))</f>
        <v>2082.5</v>
      </c>
    </row>
    <row r="28" customFormat="false" ht="15" hidden="false" customHeight="false" outlineLevel="0" collapsed="false">
      <c r="A28" s="2" t="s">
        <v>1868</v>
      </c>
      <c r="B28" s="2" t="s">
        <v>1869</v>
      </c>
      <c r="C28" s="2" t="s">
        <v>1839</v>
      </c>
      <c r="E28" s="17" t="n">
        <f aca="false">E25+E26+E27</f>
        <v>8592.6536</v>
      </c>
      <c r="F28" s="17" t="n">
        <f aca="false">F25+F26+F27</f>
        <v>16111.2255</v>
      </c>
      <c r="G28" s="17" t="n">
        <f aca="false">G25+G26+G27</f>
        <v>15037.1438</v>
      </c>
      <c r="H28" s="17" t="n">
        <f aca="false">H25+H26+H27</f>
        <v>15037.1438</v>
      </c>
      <c r="I28" s="17" t="n">
        <f aca="false">I25+I26+I27</f>
        <v>12488.02723</v>
      </c>
      <c r="J28" s="17" t="n">
        <f aca="false">J25+J26+J27</f>
        <v>14082.68561</v>
      </c>
      <c r="K28" s="17" t="n">
        <f aca="false">K25+K26+K27</f>
        <v>15037.1438</v>
      </c>
      <c r="L28" s="17" t="n">
        <f aca="false">L25+L26+L27</f>
        <v>15037.1438</v>
      </c>
      <c r="M28" s="17" t="n">
        <f aca="false">M25+M26+M27</f>
        <v>15037.1438</v>
      </c>
      <c r="N28" s="17" t="n">
        <f aca="false">N25+N26+N27</f>
        <v>15037.1438</v>
      </c>
      <c r="O28" s="17" t="n">
        <f aca="false">O25+O26+O27</f>
        <v>15037.1438</v>
      </c>
      <c r="P28" s="17" t="n">
        <f aca="false">P25+P26+P27</f>
        <v>15037.1438</v>
      </c>
      <c r="Q28" s="17" t="n">
        <f aca="false">Q25+Q26+Q27</f>
        <v>15037.1438</v>
      </c>
      <c r="R28" s="17" t="n">
        <f aca="false">R25+R26+R27</f>
        <v>15037.1438</v>
      </c>
      <c r="S28" s="17" t="n">
        <f aca="false">S25+S26+S27</f>
        <v>15037.1438</v>
      </c>
      <c r="T28" s="17" t="n">
        <f aca="false">T25+T26+T27</f>
        <v>15037.1438</v>
      </c>
      <c r="U28" s="17" t="n">
        <f aca="false">U25+U26+U27</f>
        <v>15037.1438</v>
      </c>
      <c r="V28" s="17" t="n">
        <f aca="false">V25+V26+V27</f>
        <v>15037.1438</v>
      </c>
      <c r="W28" s="17" t="n">
        <f aca="false">W25+W26+W27</f>
        <v>15037.1438</v>
      </c>
      <c r="X28" s="17" t="n">
        <f aca="false">X25+X26+X27</f>
        <v>15037.1438</v>
      </c>
    </row>
    <row r="29" customFormat="false" ht="15" hidden="false" customHeight="false" outlineLevel="0" collapsed="false">
      <c r="A29" s="2" t="s">
        <v>1870</v>
      </c>
      <c r="B29" s="2" t="s">
        <v>1871</v>
      </c>
      <c r="C29" s="2" t="s">
        <v>1839</v>
      </c>
      <c r="E29" s="17" t="n">
        <f aca="false">IF(E28&gt;0,E28*(1-fuite_fiscale),E28)</f>
        <v>5155.59216</v>
      </c>
      <c r="F29" s="17" t="n">
        <f aca="false">IF(F28&gt;0,F28*(1-fuite_fiscale),F28)</f>
        <v>9666.7353</v>
      </c>
      <c r="G29" s="17" t="n">
        <f aca="false">IF(G28&gt;0,G28*(1-fuite_fiscale),G28)</f>
        <v>9022.28628</v>
      </c>
      <c r="H29" s="17" t="n">
        <f aca="false">IF(H28&gt;0,H28*(1-fuite_fiscale),H28)</f>
        <v>9022.28628</v>
      </c>
      <c r="I29" s="17" t="n">
        <f aca="false">IF(I28&gt;0,I28*(1-fuite_fiscale),I28)</f>
        <v>7492.816338</v>
      </c>
      <c r="J29" s="17" t="n">
        <f aca="false">IF(J28&gt;0,J28*(1-fuite_fiscale),J28)</f>
        <v>8449.611366</v>
      </c>
      <c r="K29" s="17" t="n">
        <f aca="false">IF(K28&gt;0,K28*(1-fuite_fiscale),K28)</f>
        <v>9022.28628</v>
      </c>
      <c r="L29" s="17" t="n">
        <f aca="false">IF(L28&gt;0,L28*(1-fuite_fiscale),L28)</f>
        <v>9022.28628</v>
      </c>
      <c r="M29" s="17" t="n">
        <f aca="false">IF(M28&gt;0,M28*(1-fuite_fiscale),M28)</f>
        <v>9022.28628</v>
      </c>
      <c r="N29" s="17" t="n">
        <f aca="false">IF(N28&gt;0,N28*(1-fuite_fiscale),N28)</f>
        <v>9022.28628</v>
      </c>
      <c r="O29" s="17" t="n">
        <f aca="false">IF(O28&gt;0,O28*(1-fuite_fiscale),O28)</f>
        <v>9022.28628</v>
      </c>
      <c r="P29" s="17" t="n">
        <f aca="false">IF(P28&gt;0,P28*(1-fuite_fiscale),P28)</f>
        <v>9022.28628</v>
      </c>
      <c r="Q29" s="17" t="n">
        <f aca="false">IF(Q28&gt;0,Q28*(1-fuite_fiscale),Q28)</f>
        <v>9022.28628</v>
      </c>
      <c r="R29" s="17" t="n">
        <f aca="false">IF(R28&gt;0,R28*(1-fuite_fiscale),R28)</f>
        <v>9022.28628</v>
      </c>
      <c r="S29" s="17" t="n">
        <f aca="false">IF(S28&gt;0,S28*(1-fuite_fiscale),S28)</f>
        <v>9022.28628</v>
      </c>
      <c r="T29" s="17" t="n">
        <f aca="false">IF(T28&gt;0,T28*(1-fuite_fiscale),T28)</f>
        <v>9022.28628</v>
      </c>
      <c r="U29" s="17" t="n">
        <f aca="false">IF(U28&gt;0,U28*(1-fuite_fiscale),U28)</f>
        <v>9022.28628</v>
      </c>
      <c r="V29" s="17" t="n">
        <f aca="false">IF(V28&gt;0,V28*(1-fuite_fiscale),V28)</f>
        <v>9022.28628</v>
      </c>
      <c r="W29" s="17" t="n">
        <f aca="false">IF(W28&gt;0,W28*(1-fuite_fiscale),W28)</f>
        <v>9022.28628</v>
      </c>
      <c r="X29" s="17" t="n">
        <f aca="false">IF(X28&gt;0,X28*(1-fuite_fiscale),X28)</f>
        <v>9022.28628</v>
      </c>
    </row>
    <row r="30" customFormat="false" ht="15" hidden="false" customHeight="false" outlineLevel="0" collapsed="false">
      <c r="A30" s="2" t="s">
        <v>1872</v>
      </c>
      <c r="B30" s="2" t="s">
        <v>1873</v>
      </c>
      <c r="C30" s="2" t="s">
        <v>1839</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1874</v>
      </c>
      <c r="B31" s="2" t="s">
        <v>1875</v>
      </c>
      <c r="C31" s="2" t="s">
        <v>1839</v>
      </c>
      <c r="E31" s="17" t="n">
        <f aca="false">MIN(E30,MAX(0,D44))</f>
        <v>270000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1882</v>
      </c>
      <c r="B35" s="2" t="s">
        <v>1883</v>
      </c>
      <c r="C35" s="2" t="s">
        <v>1839</v>
      </c>
      <c r="E35" s="17" t="n">
        <f aca="false">E13+E14+E15+E16+E17+E21+E32-E29-E23-E33-E34</f>
        <v>343076.48784</v>
      </c>
      <c r="F35" s="17" t="n">
        <f aca="false">F13+F14+F15+F16+F17+F21+F32-F29-F23-F33-F34</f>
        <v>341157.6169875</v>
      </c>
      <c r="G35" s="17" t="n">
        <f aca="false">G13+G14+G15+G16+G17+G21+G32-G29-G23-G33-G34</f>
        <v>344430.542368144</v>
      </c>
      <c r="H35" s="17" t="n">
        <f aca="false">H13+H14+H15+H16+H17+H21+H32-H29-H23-H33-H34</f>
        <v>347095.78372117</v>
      </c>
      <c r="I35" s="17" t="n">
        <f aca="false">I13+I14+I15+I16+I17+I21+I32-I29-I23-I33-I34</f>
        <v>351327.830219148</v>
      </c>
      <c r="J35" s="17" t="n">
        <f aca="false">J13+J14+J15+J16+J17+J21+J32-J29-J23-J33-J34</f>
        <v>953111.526612508</v>
      </c>
      <c r="K35" s="17" t="n">
        <f aca="false">K13+K14+K15+K16+K17+K21+K32-K29-K23-K33-K34</f>
        <v>355317.847262938</v>
      </c>
      <c r="L35" s="17" t="n">
        <f aca="false">L13+L14+L15+L16+L17+L21+L32-L29-L23-L33-L34</f>
        <v>358135.946029668</v>
      </c>
      <c r="M35" s="17" t="n">
        <f aca="false">M13+M14+M15+M16+M17+M21+M32-M29-M23-M33-M34</f>
        <v>360993.757008732</v>
      </c>
      <c r="N35" s="17" t="n">
        <f aca="false">N13+N14+N15+N16+N17+N21+N32-N29-N23-N33-N34</f>
        <v>363891.89933322</v>
      </c>
      <c r="O35" s="17" t="n">
        <f aca="false">O13+O14+O15+O16+O17+O21+O32-O29-O23-O33-O34</f>
        <v>366831.002434614</v>
      </c>
      <c r="P35" s="17" t="n">
        <f aca="false">P13+P14+P15+P16+P17+P21+P32-P29-P23-P33-P34</f>
        <v>369811.706221237</v>
      </c>
      <c r="Q35" s="17" t="n">
        <f aca="false">Q13+Q14+Q15+Q16+Q17+Q21+Q32-Q29-Q23-Q33-Q34</f>
        <v>372834.66125988</v>
      </c>
      <c r="R35" s="17" t="n">
        <f aca="false">R13+R14+R15+R16+R17+R21+R32-R29-R23-R33-R34</f>
        <v>375900.528960665</v>
      </c>
      <c r="S35" s="17" t="n">
        <f aca="false">S13+S14+S15+S16+S17+S21+S32-S29-S23-S33-S34</f>
        <v>379009.981765213</v>
      </c>
      <c r="T35" s="17" t="n">
        <f aca="false">T13+T14+T15+T16+T17+T21+T32-T29-T23-T33-T34</f>
        <v>382163.703338148</v>
      </c>
      <c r="U35" s="17" t="n">
        <f aca="false">U13+U14+U15+U16+U17+U21+U32-U29-U23-U33-U34</f>
        <v>385362.388762037</v>
      </c>
      <c r="V35" s="17" t="n">
        <f aca="false">V13+V14+V15+V16+V17+V21+V32-V29-V23-V33-V34</f>
        <v>388606.744735794</v>
      </c>
      <c r="W35" s="17" t="n">
        <f aca="false">W13+W14+W15+W16+W17+W21+W32-W29-W23-W33-W34</f>
        <v>391897.48977663</v>
      </c>
      <c r="X35" s="17" t="n">
        <f aca="false">X13+X14+X15+X16+X17+X21+X32-X29-X23-X33-X34</f>
        <v>395235.354425612</v>
      </c>
    </row>
    <row r="36" customFormat="false" ht="15" hidden="false" customHeight="false" outlineLevel="0" collapsed="false">
      <c r="A36" s="2" t="s">
        <v>1884</v>
      </c>
      <c r="B36" s="2" t="s">
        <v>1885</v>
      </c>
      <c r="C36" s="2" t="s">
        <v>1839</v>
      </c>
      <c r="E36" s="17" t="n">
        <f aca="false">IF(AND(E$3&lt;=S1_sol_div_annees,E$3&lt;=st_cumul_div_fin),S1_sol_div*IF(E11=1,0.5,1),0)</f>
        <v>400000</v>
      </c>
      <c r="F36" s="17" t="n">
        <f aca="false">IF(AND(F$3&lt;=S1_sol_div_annees,F$3&lt;=st_cumul_div_fin),S1_sol_div*IF(F11=1,0.5,1),0)</f>
        <v>400000</v>
      </c>
      <c r="G36" s="17" t="n">
        <f aca="false">IF(AND(G$3&lt;=S1_sol_div_annees,G$3&lt;=st_cumul_div_fin),S1_sol_div*IF(G11=1,0.5,1),0)</f>
        <v>400000</v>
      </c>
      <c r="H36" s="17" t="n">
        <f aca="false">IF(AND(H$3&lt;=S1_sol_div_annees,H$3&lt;=st_cumul_div_fin),S1_sol_div*IF(H11=1,0.5,1),0)</f>
        <v>400000</v>
      </c>
      <c r="I36" s="17" t="n">
        <f aca="false">IF(AND(I$3&lt;=S1_sol_div_annees,I$3&lt;=st_cumul_div_fin),S1_sol_div*IF(I11=1,0.5,1),0)</f>
        <v>200000</v>
      </c>
      <c r="J36" s="17" t="n">
        <f aca="false">IF(AND(J$3&lt;=S1_sol_div_annees,J$3&lt;=st_cumul_div_fin),S1_sol_div*IF(J11=1,0.5,1),0)</f>
        <v>400000</v>
      </c>
      <c r="K36" s="17" t="n">
        <f aca="false">IF(AND(K$3&lt;=S1_sol_div_annees,K$3&lt;=st_cumul_div_fin),S1_sol_div*IF(K11=1,0.5,1),0)</f>
        <v>400000</v>
      </c>
      <c r="L36" s="17" t="n">
        <f aca="false">IF(AND(L$3&lt;=S1_sol_div_annees,L$3&lt;=st_cumul_div_fin),S1_sol_div*IF(L11=1,0.5,1),0)</f>
        <v>400000</v>
      </c>
      <c r="M36" s="17" t="n">
        <f aca="false">IF(AND(M$3&lt;=S1_sol_div_annees,M$3&lt;=st_cumul_div_fin),S1_sol_div*IF(M11=1,0.5,1),0)</f>
        <v>400000</v>
      </c>
      <c r="N36" s="17" t="n">
        <f aca="false">IF(AND(N$3&lt;=S1_sol_div_annees,N$3&lt;=st_cumul_div_fin),S1_sol_div*IF(N11=1,0.5,1),0)</f>
        <v>400000</v>
      </c>
      <c r="O36" s="17" t="n">
        <f aca="false">IF(AND(O$3&lt;=S1_sol_div_annees,O$3&lt;=st_cumul_div_fin),S1_sol_div*IF(O11=1,0.5,1),0)</f>
        <v>0</v>
      </c>
      <c r="P36" s="17" t="n">
        <f aca="false">IF(AND(P$3&lt;=S1_sol_div_annees,P$3&lt;=st_cumul_div_fin),S1_sol_div*IF(P11=1,0.5,1),0)</f>
        <v>0</v>
      </c>
      <c r="Q36" s="17" t="n">
        <f aca="false">IF(AND(Q$3&lt;=S1_sol_div_annees,Q$3&lt;=st_cumul_div_fin),S1_sol_div*IF(Q11=1,0.5,1),0)</f>
        <v>0</v>
      </c>
      <c r="R36" s="17" t="n">
        <f aca="false">IF(AND(R$3&lt;=S1_sol_div_annees,R$3&lt;=st_cumul_div_fin),S1_sol_div*IF(R11=1,0.5,1),0)</f>
        <v>0</v>
      </c>
      <c r="S36" s="17" t="n">
        <f aca="false">IF(AND(S$3&lt;=S1_sol_div_annees,S$3&lt;=st_cumul_div_fin),S1_sol_div*IF(S11=1,0.5,1),0)</f>
        <v>0</v>
      </c>
      <c r="T36" s="17" t="n">
        <f aca="false">IF(AND(T$3&lt;=S1_sol_div_annees,T$3&lt;=st_cumul_div_fin),S1_sol_div*IF(T11=1,0.5,1),0)</f>
        <v>0</v>
      </c>
      <c r="U36" s="17" t="n">
        <f aca="false">IF(AND(U$3&lt;=S1_sol_div_annees,U$3&lt;=st_cumul_div_fin),S1_sol_div*IF(U11=1,0.5,1),0)</f>
        <v>0</v>
      </c>
      <c r="V36" s="17" t="n">
        <f aca="false">IF(AND(V$3&lt;=S1_sol_div_annees,V$3&lt;=st_cumul_div_fin),S1_sol_div*IF(V11=1,0.5,1),0)</f>
        <v>0</v>
      </c>
      <c r="W36" s="17" t="n">
        <f aca="false">IF(AND(W$3&lt;=S1_sol_div_annees,W$3&lt;=st_cumul_div_fin),S1_sol_div*IF(W11=1,0.5,1),0)</f>
        <v>0</v>
      </c>
      <c r="X36" s="17" t="n">
        <f aca="false">IF(AND(X$3&lt;=S1_sol_div_annees,X$3&lt;=st_cumul_div_fin),S1_sol_div*IF(X11=1,0.5,1),0)</f>
        <v>0</v>
      </c>
    </row>
    <row r="37" customFormat="false" ht="15" hidden="false" customHeight="false" outlineLevel="0" collapsed="false">
      <c r="A37" s="2" t="s">
        <v>1886</v>
      </c>
      <c r="B37" s="2" t="s">
        <v>1887</v>
      </c>
      <c r="C37" s="2" t="s">
        <v>46</v>
      </c>
      <c r="E37" s="20" t="n">
        <f aca="false">dot_rendement+st_cumul_dot_rdt_delta+IF(E11=1,-0.25,0)</f>
        <v>0.02</v>
      </c>
      <c r="F37" s="20" t="n">
        <f aca="false">dot_rendement+st_cumul_dot_rdt_delta+IF(F11=1,-0.25,0)</f>
        <v>0.02</v>
      </c>
      <c r="G37" s="20" t="n">
        <f aca="false">dot_rendement+st_cumul_dot_rdt_delta+IF(G11=1,-0.25,0)</f>
        <v>0.02</v>
      </c>
      <c r="H37" s="20" t="n">
        <f aca="false">dot_rendement+st_cumul_dot_rdt_delta+IF(H11=1,-0.25,0)</f>
        <v>0.02</v>
      </c>
      <c r="I37" s="20" t="n">
        <f aca="false">dot_rendement+st_cumul_dot_rdt_delta+IF(I11=1,-0.25,0)</f>
        <v>-0.23</v>
      </c>
      <c r="J37" s="20" t="n">
        <f aca="false">dot_rendement+st_cumul_dot_rdt_delta+IF(J11=1,-0.25,0)</f>
        <v>0.02</v>
      </c>
      <c r="K37" s="20" t="n">
        <f aca="false">dot_rendement+st_cumul_dot_rdt_delta+IF(K11=1,-0.25,0)</f>
        <v>0.02</v>
      </c>
      <c r="L37" s="20" t="n">
        <f aca="false">dot_rendement+st_cumul_dot_rdt_delta+IF(L11=1,-0.25,0)</f>
        <v>0.02</v>
      </c>
      <c r="M37" s="20" t="n">
        <f aca="false">dot_rendement+st_cumul_dot_rdt_delta+IF(M11=1,-0.25,0)</f>
        <v>0.02</v>
      </c>
      <c r="N37" s="20" t="n">
        <f aca="false">dot_rendement+st_cumul_dot_rdt_delta+IF(N11=1,-0.25,0)</f>
        <v>0.02</v>
      </c>
      <c r="O37" s="20" t="n">
        <f aca="false">dot_rendement+st_cumul_dot_rdt_delta+IF(O11=1,-0.25,0)</f>
        <v>0.02</v>
      </c>
      <c r="P37" s="20" t="n">
        <f aca="false">dot_rendement+st_cumul_dot_rdt_delta+IF(P11=1,-0.25,0)</f>
        <v>0.02</v>
      </c>
      <c r="Q37" s="20" t="n">
        <f aca="false">dot_rendement+st_cumul_dot_rdt_delta+IF(Q11=1,-0.25,0)</f>
        <v>0.02</v>
      </c>
      <c r="R37" s="20" t="n">
        <f aca="false">dot_rendement+st_cumul_dot_rdt_delta+IF(R11=1,-0.25,0)</f>
        <v>0.02</v>
      </c>
      <c r="S37" s="20" t="n">
        <f aca="false">dot_rendement+st_cumul_dot_rdt_delta+IF(S11=1,-0.25,0)</f>
        <v>0.02</v>
      </c>
      <c r="T37" s="20" t="n">
        <f aca="false">dot_rendement+st_cumul_dot_rdt_delta+IF(T11=1,-0.25,0)</f>
        <v>0.02</v>
      </c>
      <c r="U37" s="20" t="n">
        <f aca="false">dot_rendement+st_cumul_dot_rdt_delta+IF(U11=1,-0.25,0)</f>
        <v>0.02</v>
      </c>
      <c r="V37" s="20" t="n">
        <f aca="false">dot_rendement+st_cumul_dot_rdt_delta+IF(V11=1,-0.25,0)</f>
        <v>0.02</v>
      </c>
      <c r="W37" s="20" t="n">
        <f aca="false">dot_rendement+st_cumul_dot_rdt_delta+IF(W11=1,-0.25,0)</f>
        <v>0.02</v>
      </c>
      <c r="X37" s="20" t="n">
        <f aca="false">dot_rendement+st_cumul_dot_rdt_delta+IF(X11=1,-0.25,0)</f>
        <v>0.02</v>
      </c>
    </row>
    <row r="38" customFormat="false" ht="15" hidden="false" customHeight="false" outlineLevel="0" collapsed="false">
      <c r="A38" s="2" t="s">
        <v>1888</v>
      </c>
      <c r="B38" s="2" t="s">
        <v>1889</v>
      </c>
      <c r="C38" s="2" t="s">
        <v>1839</v>
      </c>
      <c r="D38" s="17" t="n">
        <f aca="false">dot_taux_net*S1_sol_dotation0</f>
        <v>595000</v>
      </c>
      <c r="E38" s="17" t="n">
        <f aca="false">lissage_depense*D38+(1-lissage_depense)*dot_taux_net*MAX(0,D44)</f>
        <v>595000</v>
      </c>
      <c r="F38" s="17" t="n">
        <f aca="false">lissage_depense*E38+(1-lissage_depense)*dot_taux_net*MAX(0,E44)</f>
        <v>596627.23229256</v>
      </c>
      <c r="G38" s="17" t="n">
        <f aca="false">lissage_depense*F38+(1-lissage_depense)*dot_taux_net*MAX(0,F44)</f>
        <v>600530.156695597</v>
      </c>
      <c r="H38" s="17" t="n">
        <f aca="false">lissage_depense*G38+(1-lissage_depense)*dot_taux_net*MAX(0,G44)</f>
        <v>606294.006154227</v>
      </c>
      <c r="I38" s="17" t="n">
        <f aca="false">lissage_depense*H38+(1-lissage_depense)*dot_taux_net*MAX(0,H44)</f>
        <v>613589.898389264</v>
      </c>
      <c r="J38" s="17" t="n">
        <f aca="false">lissage_depense*I38+(1-lissage_depense)*dot_taux_net*MAX(0,I44)</f>
        <v>589311.433442633</v>
      </c>
      <c r="K38" s="17" t="n">
        <f aca="false">lissage_depense*J38+(1-lissage_depense)*dot_taux_net*MAX(0,J44)</f>
        <v>569903.40442425</v>
      </c>
      <c r="L38" s="17" t="n">
        <f aca="false">lissage_depense*K38+(1-lissage_depense)*dot_taux_net*MAX(0,K44)</f>
        <v>556484.088600447</v>
      </c>
      <c r="M38" s="17" t="n">
        <f aca="false">lissage_depense*L38+(1-lissage_depense)*dot_taux_net*MAX(0,L44)</f>
        <v>547887.81069554</v>
      </c>
      <c r="N38" s="17" t="n">
        <f aca="false">lissage_depense*M38+(1-lissage_depense)*dot_taux_net*MAX(0,M44)</f>
        <v>543182.529637569</v>
      </c>
      <c r="O38" s="17" t="n">
        <f aca="false">lissage_depense*N38+(1-lissage_depense)*dot_taux_net*MAX(0,N44)</f>
        <v>541623.119481133</v>
      </c>
      <c r="P38" s="17" t="n">
        <f aca="false">lissage_depense*O38+(1-lissage_depense)*dot_taux_net*MAX(0,O44)</f>
        <v>541213.994263972</v>
      </c>
      <c r="Q38" s="17" t="n">
        <f aca="false">lissage_depense*P38+(1-lissage_depense)*dot_taux_net*MAX(0,P44)</f>
        <v>541731.208012302</v>
      </c>
      <c r="R38" s="17" t="n">
        <f aca="false">lissage_depense*Q38+(1-lissage_depense)*dot_taux_net*MAX(0,Q44)</f>
        <v>542995.574866875</v>
      </c>
      <c r="S38" s="17" t="n">
        <f aca="false">lissage_depense*R38+(1-lissage_depense)*dot_taux_net*MAX(0,R44)</f>
        <v>544863.714107407</v>
      </c>
      <c r="T38" s="17" t="n">
        <f aca="false">lissage_depense*S38+(1-lissage_depense)*dot_taux_net*MAX(0,S44)</f>
        <v>547220.88607349</v>
      </c>
      <c r="U38" s="17" t="n">
        <f aca="false">lissage_depense*T38+(1-lissage_depense)*dot_taux_net*MAX(0,T44)</f>
        <v>549975.26080004</v>
      </c>
      <c r="V38" s="17" t="n">
        <f aca="false">lissage_depense*U38+(1-lissage_depense)*dot_taux_net*MAX(0,U44)</f>
        <v>553053.332821632</v>
      </c>
      <c r="W38" s="17" t="n">
        <f aca="false">lissage_depense*V38+(1-lissage_depense)*dot_taux_net*MAX(0,V44)</f>
        <v>556396.252909172</v>
      </c>
      <c r="X38" s="17" t="n">
        <f aca="false">lissage_depense*W38+(1-lissage_depense)*dot_taux_net*MAX(0,W44)</f>
        <v>559956.893349557</v>
      </c>
    </row>
    <row r="39" customFormat="false" ht="15" hidden="false" customHeight="false" outlineLevel="0" collapsed="false">
      <c r="A39" s="2" t="s">
        <v>1890</v>
      </c>
      <c r="B39" s="18" t="s">
        <v>1891</v>
      </c>
      <c r="C39" s="2" t="s">
        <v>1839</v>
      </c>
      <c r="E39" s="23" t="n">
        <f aca="false">S1_sol_reserve0*MAX(D18,bud_total_besoin_S1)/bud_total_besoin_S1</f>
        <v>400000</v>
      </c>
      <c r="F39" s="23" t="n">
        <f aca="false">S1_sol_reserve0*MAX(E18,bud_total_besoin_S1)/bud_total_besoin_S1</f>
        <v>402958.404973266</v>
      </c>
      <c r="G39" s="23" t="n">
        <f aca="false">S1_sol_reserve0*MAX(F18,bud_total_besoin_S1)/bud_total_besoin_S1</f>
        <v>405958.06516031</v>
      </c>
      <c r="H39" s="23" t="n">
        <f aca="false">S1_sol_reserve0*MAX(G18,bud_total_besoin_S1)/bud_total_besoin_S1</f>
        <v>408999.619062509</v>
      </c>
      <c r="I39" s="23" t="n">
        <f aca="false">S1_sol_reserve0*MAX(H18,bud_total_besoin_S1)/bud_total_besoin_S1</f>
        <v>412083.715750225</v>
      </c>
      <c r="J39" s="23" t="n">
        <f aca="false">S1_sol_reserve0*MAX(I18,bud_total_besoin_S1)/bud_total_besoin_S1</f>
        <v>415211.015045323</v>
      </c>
      <c r="K39" s="23" t="n">
        <f aca="false">S1_sol_reserve0*MAX(J18,bud_total_besoin_S1)/bud_total_besoin_S1</f>
        <v>418382.187706941</v>
      </c>
      <c r="L39" s="23" t="n">
        <f aca="false">S1_sol_reserve0*MAX(K18,bud_total_besoin_S1)/bud_total_besoin_S1</f>
        <v>421597.915620551</v>
      </c>
      <c r="M39" s="23" t="n">
        <f aca="false">S1_sol_reserve0*MAX(L18,bud_total_besoin_S1)/bud_total_besoin_S1</f>
        <v>424858.891990387</v>
      </c>
      <c r="N39" s="23" t="n">
        <f aca="false">S1_sol_reserve0*MAX(M18,bud_total_besoin_S1)/bud_total_besoin_S1</f>
        <v>428165.8215353</v>
      </c>
      <c r="O39" s="23" t="n">
        <f aca="false">S1_sol_reserve0*MAX(N18,bud_total_besoin_S1)/bud_total_besoin_S1</f>
        <v>431519.420688087</v>
      </c>
      <c r="P39" s="23" t="n">
        <f aca="false">S1_sol_reserve0*MAX(O18,bud_total_besoin_S1)/bud_total_besoin_S1</f>
        <v>434920.417798376</v>
      </c>
      <c r="Q39" s="23" t="n">
        <f aca="false">S1_sol_reserve0*MAX(P18,bud_total_besoin_S1)/bud_total_besoin_S1</f>
        <v>438369.55333912</v>
      </c>
      <c r="R39" s="23" t="n">
        <f aca="false">S1_sol_reserve0*MAX(Q18,bud_total_besoin_S1)/bud_total_besoin_S1</f>
        <v>441867.580116771</v>
      </c>
      <c r="S39" s="23" t="n">
        <f aca="false">S1_sol_reserve0*MAX(R18,bud_total_besoin_S1)/bud_total_besoin_S1</f>
        <v>445415.263485195</v>
      </c>
      <c r="T39" s="23" t="n">
        <f aca="false">S1_sol_reserve0*MAX(S18,bud_total_besoin_S1)/bud_total_besoin_S1</f>
        <v>449013.381563404</v>
      </c>
      <c r="U39" s="23" t="n">
        <f aca="false">S1_sol_reserve0*MAX(T18,bud_total_besoin_S1)/bud_total_besoin_S1</f>
        <v>452662.725457165</v>
      </c>
      <c r="V39" s="23" t="n">
        <f aca="false">S1_sol_reserve0*MAX(U18,bud_total_besoin_S1)/bud_total_besoin_S1</f>
        <v>456364.099484571</v>
      </c>
      <c r="W39" s="23" t="n">
        <f aca="false">S1_sol_reserve0*MAX(V18,bud_total_besoin_S1)/bud_total_besoin_S1</f>
        <v>460118.321405626</v>
      </c>
      <c r="X39" s="23" t="n">
        <f aca="false">S1_sol_reserve0*MAX(W18,bud_total_besoin_S1)/bud_total_besoin_S1</f>
        <v>463926.222655933</v>
      </c>
    </row>
    <row r="40" customFormat="false" ht="15" hidden="false" customHeight="false" outlineLevel="0" collapsed="false">
      <c r="A40" s="2" t="s">
        <v>1892</v>
      </c>
      <c r="B40" s="2" t="s">
        <v>1893</v>
      </c>
      <c r="C40" s="2" t="s">
        <v>1839</v>
      </c>
      <c r="E40" s="17" t="n">
        <f aca="false">MAX(0,E39-D45*(1+taux_reserve))</f>
        <v>2000.00000000006</v>
      </c>
      <c r="F40" s="17" t="n">
        <f aca="false">MAX(0,F39-E45*(1+taux_reserve))</f>
        <v>4958.40497326589</v>
      </c>
      <c r="G40" s="17" t="n">
        <f aca="false">MAX(0,G39-F45*(1+taux_reserve))</f>
        <v>5014.45221191004</v>
      </c>
      <c r="H40" s="17" t="n">
        <f aca="false">MAX(0,H39-G45*(1+taux_reserve))</f>
        <v>5071.34422800067</v>
      </c>
      <c r="I40" s="17" t="n">
        <f aca="false">MAX(0,I39-H45*(1+taux_reserve))</f>
        <v>5129.09478302841</v>
      </c>
      <c r="J40" s="17" t="n">
        <f aca="false">MAX(0,J39-I45*(1+taux_reserve))</f>
        <v>5187.71787384996</v>
      </c>
      <c r="K40" s="17" t="n">
        <f aca="false">MAX(0,K39-J45*(1+taux_reserve))</f>
        <v>5247.22773684451</v>
      </c>
      <c r="L40" s="17" t="n">
        <f aca="false">MAX(0,L39-K45*(1+taux_reserve))</f>
        <v>5307.63885214395</v>
      </c>
      <c r="M40" s="17" t="n">
        <f aca="false">MAX(0,M39-L45*(1+taux_reserve))</f>
        <v>5368.9659479392</v>
      </c>
      <c r="N40" s="17" t="n">
        <f aca="false">MAX(0,N39-M45*(1+taux_reserve))</f>
        <v>5431.22400486475</v>
      </c>
      <c r="O40" s="17" t="n">
        <f aca="false">MAX(0,O39-N45*(1+taux_reserve))</f>
        <v>5494.42826046335</v>
      </c>
      <c r="P40" s="17" t="n">
        <f aca="false">MAX(0,P39-O45*(1+taux_reserve))</f>
        <v>5558.59421372943</v>
      </c>
      <c r="Q40" s="17" t="n">
        <f aca="false">MAX(0,Q39-P45*(1+taux_reserve))</f>
        <v>5623.73762973648</v>
      </c>
      <c r="R40" s="17" t="n">
        <f aca="false">MAX(0,R39-Q45*(1+taux_reserve))</f>
        <v>5689.87454434671</v>
      </c>
      <c r="S40" s="17" t="n">
        <f aca="false">MAX(0,S39-R45*(1+taux_reserve))</f>
        <v>5757.02126900788</v>
      </c>
      <c r="T40" s="17" t="n">
        <f aca="false">MAX(0,T39-S45*(1+taux_reserve))</f>
        <v>5825.19439563429</v>
      </c>
      <c r="U40" s="17" t="n">
        <f aca="false">MAX(0,U39-T45*(1+taux_reserve))</f>
        <v>5894.41080157855</v>
      </c>
      <c r="V40" s="17" t="n">
        <f aca="false">MAX(0,V39-U45*(1+taux_reserve))</f>
        <v>5964.68765469204</v>
      </c>
      <c r="W40" s="17" t="n">
        <f aca="false">MAX(0,W39-V45*(1+taux_reserve))</f>
        <v>6036.04241847748</v>
      </c>
      <c r="X40" s="17" t="n">
        <f aca="false">MAX(0,X39-W45*(1+taux_reserve))</f>
        <v>6108.49285733496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156456.925002176</v>
      </c>
      <c r="J41" s="17" t="n">
        <f aca="false">MIN(MAX(0,J35-J36+J40),IF(J12=1,MAX(J38,retrait_urgence*MAX(0,I44)),J38))</f>
        <v>558299.244486358</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372325.430695078</v>
      </c>
      <c r="P41" s="17" t="n">
        <f aca="false">MIN(MAX(0,P35-P36+P40),IF(P12=1,MAX(P38,retrait_urgence*MAX(0,O44)),P38))</f>
        <v>375370.300434967</v>
      </c>
      <c r="Q41" s="17" t="n">
        <f aca="false">MIN(MAX(0,Q35-Q36+Q40),IF(Q12=1,MAX(Q38,retrait_urgence*MAX(0,P44)),Q38))</f>
        <v>378458.398889616</v>
      </c>
      <c r="R41" s="17" t="n">
        <f aca="false">MIN(MAX(0,R35-R36+R40),IF(R12=1,MAX(R38,retrait_urgence*MAX(0,Q44)),R38))</f>
        <v>381590.403505012</v>
      </c>
      <c r="S41" s="17" t="n">
        <f aca="false">MIN(MAX(0,S35-S36+S40),IF(S12=1,MAX(S38,retrait_urgence*MAX(0,R44)),S38))</f>
        <v>384767.003034221</v>
      </c>
      <c r="T41" s="17" t="n">
        <f aca="false">MIN(MAX(0,T35-T36+T40),IF(T12=1,MAX(T38,retrait_urgence*MAX(0,S44)),T38))</f>
        <v>387988.897733783</v>
      </c>
      <c r="U41" s="17" t="n">
        <f aca="false">MIN(MAX(0,U35-U36+U40),IF(U12=1,MAX(U38,retrait_urgence*MAX(0,T44)),U38))</f>
        <v>391256.799563616</v>
      </c>
      <c r="V41" s="17" t="n">
        <f aca="false">MIN(MAX(0,V35-V36+V40),IF(V12=1,MAX(V38,retrait_urgence*MAX(0,U44)),V38))</f>
        <v>394571.432390486</v>
      </c>
      <c r="W41" s="17" t="n">
        <f aca="false">MIN(MAX(0,W35-W36+W40),IF(W12=1,MAX(W38,retrait_urgence*MAX(0,V44)),W38))</f>
        <v>397933.532195107</v>
      </c>
      <c r="X41" s="17" t="n">
        <f aca="false">MIN(MAX(0,X35-X36+X40),IF(X12=1,MAX(X38,retrait_urgence*MAX(0,W44)),X38))</f>
        <v>401343.847282946</v>
      </c>
    </row>
    <row r="42" customFormat="false" ht="15" hidden="false" customHeight="false" outlineLevel="0" collapsed="false">
      <c r="A42" s="2" t="s">
        <v>1896</v>
      </c>
      <c r="B42" s="18" t="s">
        <v>1897</v>
      </c>
      <c r="C42" s="2" t="s">
        <v>1839</v>
      </c>
      <c r="E42" s="23" t="n">
        <f aca="false">E36+E41-E35</f>
        <v>56923.51216</v>
      </c>
      <c r="F42" s="23" t="n">
        <f aca="false">F36+F41-F35</f>
        <v>58842.3830125</v>
      </c>
      <c r="G42" s="23" t="n">
        <f aca="false">G36+G41-G35</f>
        <v>55569.4576318563</v>
      </c>
      <c r="H42" s="23" t="n">
        <f aca="false">H36+H41-H35</f>
        <v>52904.2162788297</v>
      </c>
      <c r="I42" s="23" t="n">
        <f aca="false">I36+I41-I35</f>
        <v>5129.09478302841</v>
      </c>
      <c r="J42" s="23" t="n">
        <f aca="false">J36+J41-J35</f>
        <v>5187.71787385002</v>
      </c>
      <c r="K42" s="23" t="n">
        <f aca="false">K36+K41-K35</f>
        <v>44682.1527370624</v>
      </c>
      <c r="L42" s="23" t="n">
        <f aca="false">L36+L41-L35</f>
        <v>41864.0539703317</v>
      </c>
      <c r="M42" s="23" t="n">
        <f aca="false">M36+M41-M35</f>
        <v>39006.2429912683</v>
      </c>
      <c r="N42" s="23" t="n">
        <f aca="false">N36+N41-N35</f>
        <v>36108.1006667803</v>
      </c>
      <c r="O42" s="23" t="n">
        <f aca="false">O36+O41-O35</f>
        <v>5494.42826046335</v>
      </c>
      <c r="P42" s="23" t="n">
        <f aca="false">P36+P41-P35</f>
        <v>5558.59421372943</v>
      </c>
      <c r="Q42" s="23" t="n">
        <f aca="false">Q36+Q41-Q35</f>
        <v>5623.73762973648</v>
      </c>
      <c r="R42" s="23" t="n">
        <f aca="false">R36+R41-R35</f>
        <v>5689.87454434671</v>
      </c>
      <c r="S42" s="23" t="n">
        <f aca="false">S36+S41-S35</f>
        <v>5757.02126900788</v>
      </c>
      <c r="T42" s="23" t="n">
        <f aca="false">T36+T41-T35</f>
        <v>5825.19439563429</v>
      </c>
      <c r="U42" s="23" t="n">
        <f aca="false">U36+U41-U35</f>
        <v>5894.41080157855</v>
      </c>
      <c r="V42" s="23" t="n">
        <f aca="false">V36+V41-V35</f>
        <v>5964.68765469204</v>
      </c>
      <c r="W42" s="23" t="n">
        <f aca="false">W36+W41-W35</f>
        <v>6036.04241847748</v>
      </c>
      <c r="X42" s="23" t="n">
        <f aca="false">X36+X41-X35</f>
        <v>6108.49285733496</v>
      </c>
    </row>
    <row r="43" customFormat="false" ht="15" hidden="false" customHeight="false" outlineLevel="0" collapsed="false">
      <c r="A43" s="2" t="s">
        <v>1898</v>
      </c>
      <c r="B43" s="2" t="s">
        <v>1899</v>
      </c>
      <c r="C43" s="2" t="s">
        <v>1839</v>
      </c>
      <c r="E43" s="17" t="n">
        <f aca="false">IF(E42&gt;0,part_surplus_dotation*MAX(0,D45*(1+taux_reserve)+E42-E39),0)</f>
        <v>54923.51216</v>
      </c>
      <c r="F43" s="17" t="n">
        <f aca="false">IF(F42&gt;0,part_surplus_dotation*MAX(0,E45*(1+taux_reserve)+F42-F39),0)</f>
        <v>53883.9780392341</v>
      </c>
      <c r="G43" s="17" t="n">
        <f aca="false">IF(G42&gt;0,part_surplus_dotation*MAX(0,F45*(1+taux_reserve)+G42-G39),0)</f>
        <v>50555.0054199463</v>
      </c>
      <c r="H43" s="17" t="n">
        <f aca="false">IF(H42&gt;0,part_surplus_dotation*MAX(0,G45*(1+taux_reserve)+H42-H39),0)</f>
        <v>47832.872050829</v>
      </c>
      <c r="I43" s="17" t="n">
        <f aca="false">IF(I42&gt;0,part_surplus_dotation*MAX(0,H45*(1+taux_reserve)+I42-I39),0)</f>
        <v>0</v>
      </c>
      <c r="J43" s="17" t="n">
        <f aca="false">IF(J42&gt;0,part_surplus_dotation*MAX(0,I45*(1+taux_reserve)+J42-J39),0)</f>
        <v>0</v>
      </c>
      <c r="K43" s="17" t="n">
        <f aca="false">IF(K42&gt;0,part_surplus_dotation*MAX(0,J45*(1+taux_reserve)+K42-K39),0)</f>
        <v>39434.9250002179</v>
      </c>
      <c r="L43" s="17" t="n">
        <f aca="false">IF(L42&gt;0,part_surplus_dotation*MAX(0,K45*(1+taux_reserve)+L42-L39),0)</f>
        <v>36556.4151181877</v>
      </c>
      <c r="M43" s="17" t="n">
        <f aca="false">IF(M42&gt;0,part_surplus_dotation*MAX(0,L45*(1+taux_reserve)+M42-M39),0)</f>
        <v>33637.2770433291</v>
      </c>
      <c r="N43" s="17" t="n">
        <f aca="false">IF(N42&gt;0,part_surplus_dotation*MAX(0,M45*(1+taux_reserve)+N42-N39),0)</f>
        <v>30676.8766619156</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S1_sol_dotation0</f>
        <v>34000000</v>
      </c>
      <c r="E44" s="23" t="n">
        <f aca="false">MAX(0,D44)*(1+E37)-E41+E43-E31</f>
        <v>34464923.51216</v>
      </c>
      <c r="F44" s="23" t="n">
        <f aca="false">MAX(0,E44)*(1+F37)-F41+F43-F31</f>
        <v>35208105.9604424</v>
      </c>
      <c r="G44" s="23" t="n">
        <f aca="false">MAX(0,F44)*(1+G37)-G41+G43-G31</f>
        <v>35962823.0850712</v>
      </c>
      <c r="H44" s="23" t="n">
        <f aca="false">MAX(0,G44)*(1+H37)-H41+H43-H31</f>
        <v>36729912.4188235</v>
      </c>
      <c r="I44" s="23" t="n">
        <f aca="false">MAX(0,H44)*(1+I37)-I41+I43-I31</f>
        <v>28125575.6374919</v>
      </c>
      <c r="J44" s="23" t="n">
        <f aca="false">MAX(0,I44)*(1+J37)-J41+J43-J31</f>
        <v>28129787.9057554</v>
      </c>
      <c r="K44" s="23" t="n">
        <f aca="false">MAX(0,J44)*(1+K37)-K41+K43-K31</f>
        <v>28731818.5888707</v>
      </c>
      <c r="L44" s="23" t="n">
        <f aca="false">MAX(0,K44)*(1+L37)-L41+L43-L31</f>
        <v>29343011.3757663</v>
      </c>
      <c r="M44" s="23" t="n">
        <f aca="false">MAX(0,L44)*(1+M37)-M41+M43-M31</f>
        <v>29963508.880325</v>
      </c>
      <c r="N44" s="23" t="n">
        <f aca="false">MAX(0,M44)*(1+N37)-N41+N43-N31</f>
        <v>30593455.9345934</v>
      </c>
      <c r="O44" s="23" t="n">
        <f aca="false">MAX(0,N44)*(1+O37)-O41+O43-O31</f>
        <v>30832999.6225902</v>
      </c>
      <c r="P44" s="23" t="n">
        <f aca="false">MAX(0,O44)*(1+P37)-P41+P43-P31</f>
        <v>31074289.314607</v>
      </c>
      <c r="Q44" s="23" t="n">
        <f aca="false">MAX(0,P44)*(1+Q37)-Q41+Q43-Q31</f>
        <v>31317316.7020095</v>
      </c>
      <c r="R44" s="23" t="n">
        <f aca="false">MAX(0,Q44)*(1+R37)-R41+R43-R31</f>
        <v>31562072.6325447</v>
      </c>
      <c r="S44" s="23" t="n">
        <f aca="false">MAX(0,R44)*(1+S37)-S41+S43-S31</f>
        <v>31808547.0821614</v>
      </c>
      <c r="T44" s="23" t="n">
        <f aca="false">MAX(0,S44)*(1+T37)-T41+T43-T31</f>
        <v>32056729.1260708</v>
      </c>
      <c r="U44" s="23" t="n">
        <f aca="false">MAX(0,T44)*(1+U37)-U41+U43-U31</f>
        <v>32306606.9090286</v>
      </c>
      <c r="V44" s="23" t="n">
        <f aca="false">MAX(0,U44)*(1+V37)-V41+V43-V31</f>
        <v>32558167.6148187</v>
      </c>
      <c r="W44" s="23" t="n">
        <f aca="false">MAX(0,V44)*(1+W37)-W41+W43-W31</f>
        <v>32811397.43492</v>
      </c>
      <c r="X44" s="23" t="n">
        <f aca="false">MAX(0,W44)*(1+X37)-X41+X43-X31</f>
        <v>33066281.5363355</v>
      </c>
    </row>
    <row r="45" customFormat="false" ht="15" hidden="false" customHeight="false" outlineLevel="0" collapsed="false">
      <c r="A45" s="2" t="s">
        <v>1902</v>
      </c>
      <c r="B45" s="18" t="s">
        <v>1903</v>
      </c>
      <c r="C45" s="2" t="s">
        <v>1839</v>
      </c>
      <c r="D45" s="23" t="n">
        <f aca="false">S1_sol_reserve0</f>
        <v>400000</v>
      </c>
      <c r="E45" s="23" t="n">
        <f aca="false">D45*(1+taux_reserve)+E42-E43-(E30-E31)</f>
        <v>400000</v>
      </c>
      <c r="F45" s="23" t="n">
        <f aca="false">E45*(1+taux_reserve)+F42-F43-(F30-F31)</f>
        <v>402958.404973266</v>
      </c>
      <c r="G45" s="23" t="n">
        <f aca="false">F45*(1+taux_reserve)+G42-G43-(G30-G31)</f>
        <v>405958.06516031</v>
      </c>
      <c r="H45" s="23" t="n">
        <f aca="false">G45*(1+taux_reserve)+H42-H43-(H30-H31)</f>
        <v>408999.619062509</v>
      </c>
      <c r="I45" s="23" t="n">
        <f aca="false">H45*(1+taux_reserve)+I42-I43-(I30-I31)</f>
        <v>412083.715750225</v>
      </c>
      <c r="J45" s="23" t="n">
        <f aca="false">I45*(1+taux_reserve)+J42-J43-(J30-J31)</f>
        <v>415211.015045324</v>
      </c>
      <c r="K45" s="23" t="n">
        <f aca="false">J45*(1+taux_reserve)+K42-K43-(K30-K31)</f>
        <v>418382.187706941</v>
      </c>
      <c r="L45" s="23" t="n">
        <f aca="false">K45*(1+taux_reserve)+L42-L43-(L30-L31)</f>
        <v>421597.915620551</v>
      </c>
      <c r="M45" s="23" t="n">
        <f aca="false">L45*(1+taux_reserve)+M42-M43-(M30-M31)</f>
        <v>424858.891990387</v>
      </c>
      <c r="N45" s="23" t="n">
        <f aca="false">M45*(1+taux_reserve)+N42-N43-(N30-N31)</f>
        <v>428165.8215353</v>
      </c>
      <c r="O45" s="23" t="n">
        <f aca="false">N45*(1+taux_reserve)+O42-O43-(O30-O31)</f>
        <v>431519.420688087</v>
      </c>
      <c r="P45" s="23" t="n">
        <f aca="false">O45*(1+taux_reserve)+P42-P43-(P30-P31)</f>
        <v>434920.417798376</v>
      </c>
      <c r="Q45" s="23" t="n">
        <f aca="false">P45*(1+taux_reserve)+Q42-Q43-(Q30-Q31)</f>
        <v>438369.55333912</v>
      </c>
      <c r="R45" s="23" t="n">
        <f aca="false">Q45*(1+taux_reserve)+R42-R43-(R30-R31)</f>
        <v>441867.580116771</v>
      </c>
      <c r="S45" s="23" t="n">
        <f aca="false">R45*(1+taux_reserve)+S42-S43-(S30-S31)</f>
        <v>445415.263485195</v>
      </c>
      <c r="T45" s="23" t="n">
        <f aca="false">S45*(1+taux_reserve)+T42-T43-(T30-T31)</f>
        <v>449013.381563404</v>
      </c>
      <c r="U45" s="23" t="n">
        <f aca="false">T45*(1+taux_reserve)+U42-U43-(U30-U31)</f>
        <v>452662.725457165</v>
      </c>
      <c r="V45" s="23" t="n">
        <f aca="false">U45*(1+taux_reserve)+V42-V43-(V30-V31)</f>
        <v>456364.099484571</v>
      </c>
      <c r="W45" s="23" t="n">
        <f aca="false">V45*(1+taux_reserve)+W42-W43-(W30-W31)</f>
        <v>460118.321405626</v>
      </c>
      <c r="X45" s="23" t="n">
        <f aca="false">W45*(1+taux_reserve)+X42-X43-(X30-X31)</f>
        <v>463926.222655933</v>
      </c>
    </row>
    <row r="46" customFormat="false" ht="15" hidden="false" customHeight="false" outlineLevel="0" collapsed="false">
      <c r="A46" s="2" t="s">
        <v>1904</v>
      </c>
      <c r="B46" s="18" t="s">
        <v>1905</v>
      </c>
      <c r="C46" s="2" t="s">
        <v>1839</v>
      </c>
      <c r="E46" s="23" t="n">
        <f aca="false">E45+E22</f>
        <v>503641.525</v>
      </c>
      <c r="F46" s="23" t="n">
        <f aca="false">F45+F22</f>
        <v>611018.766410766</v>
      </c>
      <c r="G46" s="23" t="n">
        <f aca="false">G45+G22</f>
        <v>719220.404308591</v>
      </c>
      <c r="H46" s="23" t="n">
        <f aca="false">H45+H22</f>
        <v>408999.619062509</v>
      </c>
      <c r="I46" s="23" t="n">
        <f aca="false">I45+I22</f>
        <v>518869.640737914</v>
      </c>
      <c r="J46" s="23" t="n">
        <f aca="false">J45+J22</f>
        <v>629583.75945811</v>
      </c>
      <c r="K46" s="23" t="n">
        <f aca="false">K45+K22</f>
        <v>741148.652690513</v>
      </c>
      <c r="L46" s="23" t="n">
        <f aca="false">L45+L22</f>
        <v>421597.915620551</v>
      </c>
      <c r="M46" s="23" t="n">
        <f aca="false">M45+M22</f>
        <v>534884.615516516</v>
      </c>
      <c r="N46" s="23" t="n">
        <f aca="false">N45+N22</f>
        <v>649042.461514004</v>
      </c>
      <c r="O46" s="23" t="n">
        <f aca="false">O45+O22</f>
        <v>764078.35899276</v>
      </c>
      <c r="P46" s="23" t="n">
        <f aca="false">P45+P22</f>
        <v>434920.417798376</v>
      </c>
      <c r="Q46" s="23" t="n">
        <f aca="false">Q45+Q22</f>
        <v>551733.36826926</v>
      </c>
      <c r="R46" s="23" t="n">
        <f aca="false">R45+R22</f>
        <v>669445.438589027</v>
      </c>
      <c r="S46" s="23" t="n">
        <f aca="false">S45+S22</f>
        <v>788063.770826133</v>
      </c>
      <c r="T46" s="23" t="n">
        <f aca="false">T45+T22</f>
        <v>449013.381563404</v>
      </c>
      <c r="U46" s="23" t="n">
        <f aca="false">U45+U22</f>
        <v>569465.906782876</v>
      </c>
      <c r="V46" s="23" t="n">
        <f aca="false">V45+V22</f>
        <v>690846.485995936</v>
      </c>
      <c r="W46" s="23" t="n">
        <f aca="false">W45+W22</f>
        <v>813162.507141537</v>
      </c>
      <c r="X46" s="23" t="n">
        <f aca="false">X45+X22</f>
        <v>463926.222655933</v>
      </c>
    </row>
    <row r="47" customFormat="false" ht="15" hidden="false" customHeight="false" outlineLevel="0" collapsed="false">
      <c r="A47" s="2" t="s">
        <v>1906</v>
      </c>
      <c r="B47" s="18" t="s">
        <v>1907</v>
      </c>
      <c r="C47" s="2" t="s">
        <v>46</v>
      </c>
      <c r="E47" s="24" t="n">
        <f aca="false">(E29+E38)/E18</f>
        <v>1.72343568162933</v>
      </c>
      <c r="F47" s="24" t="n">
        <f aca="false">(F29+F38)/F18</f>
        <v>1.72819806732146</v>
      </c>
      <c r="G47" s="24" t="n">
        <f aca="false">(G29+G38)/G18</f>
        <v>1.72456518542223</v>
      </c>
      <c r="H47" s="24" t="n">
        <f aca="false">(H29+H38)/H18</f>
        <v>1.72784349986005</v>
      </c>
      <c r="I47" s="24" t="n">
        <f aca="false">(I29+I38)/I18</f>
        <v>1.73090016053005</v>
      </c>
      <c r="J47" s="24" t="n">
        <f aca="false">(J29+J38)/J18</f>
        <v>1.65327791629023</v>
      </c>
      <c r="K47" s="24" t="n">
        <f aca="false">(K29+K38)/K18</f>
        <v>1.58897040815852</v>
      </c>
      <c r="L47" s="24" t="n">
        <f aca="false">(L29+L38)/L18</f>
        <v>1.54022523565123</v>
      </c>
      <c r="M47" s="24" t="n">
        <f aca="false">(M29+M38)/M18</f>
        <v>1.50509716288429</v>
      </c>
      <c r="N47" s="24" t="n">
        <f aca="false">(N29+N38)/N18</f>
        <v>1.48078254252925</v>
      </c>
      <c r="O47" s="24" t="n">
        <f aca="false">(O29+O38)/O18</f>
        <v>1.4650541109918</v>
      </c>
      <c r="P47" s="24" t="n">
        <f aca="false">(P29+P38)/P18</f>
        <v>1.45244695944801</v>
      </c>
      <c r="Q47" s="24" t="n">
        <f aca="false">(Q29+Q38)/Q18</f>
        <v>1.44230319191661</v>
      </c>
      <c r="R47" s="24" t="n">
        <f aca="false">(R29+R38)/R18</f>
        <v>1.43410013459903</v>
      </c>
      <c r="S47" s="24" t="n">
        <f aca="false">(S29+S38)/S18</f>
        <v>1.42742252642471</v>
      </c>
      <c r="T47" s="24" t="n">
        <f aca="false">(T29+T38)/T18</f>
        <v>1.42194042505577</v>
      </c>
      <c r="U47" s="24" t="n">
        <f aca="false">(U29+U38)/U18</f>
        <v>1.41739165453236</v>
      </c>
      <c r="V47" s="24" t="n">
        <f aca="false">(V29+V38)/V18</f>
        <v>1.41356786164667</v>
      </c>
      <c r="W47" s="24" t="n">
        <f aca="false">(W29+W38)/W18</f>
        <v>1.41030343963204</v>
      </c>
      <c r="X47" s="24" t="n">
        <f aca="false">(X29+X38)/X18</f>
        <v>1.4074667299706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0</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1922</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pilotage_actif*IF(D45&lt;flex_seuil*MAX(D18,bud_total_besoin_S3),1,0)</f>
        <v>0</v>
      </c>
      <c r="F12" s="22" t="n">
        <f aca="false">pilotage_actif*IF(E45&lt;flex_seuil*MAX(E18,bud_total_besoin_S3),1,0)</f>
        <v>0</v>
      </c>
      <c r="G12" s="22" t="n">
        <f aca="false">pilotage_actif*IF(F45&lt;flex_seuil*MAX(F18,bud_total_besoin_S3),1,0)</f>
        <v>0</v>
      </c>
      <c r="H12" s="22" t="n">
        <f aca="false">pilotage_actif*IF(G45&lt;flex_seuil*MAX(G18,bud_total_besoin_S3),1,0)</f>
        <v>0</v>
      </c>
      <c r="I12" s="22" t="n">
        <f aca="false">pilotage_actif*IF(H45&lt;flex_seuil*MAX(H18,bud_total_besoin_S3),1,0)</f>
        <v>0</v>
      </c>
      <c r="J12" s="22" t="n">
        <f aca="false">pilotage_actif*IF(I45&lt;flex_seuil*MAX(I18,bud_total_besoin_S3),1,0)</f>
        <v>0</v>
      </c>
      <c r="K12" s="22" t="n">
        <f aca="false">pilotage_actif*IF(J45&lt;flex_seuil*MAX(J18,bud_total_besoin_S3),1,0)</f>
        <v>0</v>
      </c>
      <c r="L12" s="22" t="n">
        <f aca="false">pilotage_actif*IF(K45&lt;flex_seuil*MAX(K18,bud_total_besoin_S3),1,0)</f>
        <v>0</v>
      </c>
      <c r="M12" s="22" t="n">
        <f aca="false">pilotage_actif*IF(L45&lt;flex_seuil*MAX(L18,bud_total_besoin_S3),1,0)</f>
        <v>0</v>
      </c>
      <c r="N12" s="22" t="n">
        <f aca="false">pilotage_actif*IF(M45&lt;flex_seuil*MAX(M18,bud_total_besoin_S3),1,0)</f>
        <v>0</v>
      </c>
      <c r="O12" s="22" t="n">
        <f aca="false">pilotage_actif*IF(N45&lt;flex_seuil*MAX(N18,bud_total_besoin_S3),1,0)</f>
        <v>0</v>
      </c>
      <c r="P12" s="22" t="n">
        <f aca="false">pilotage_actif*IF(O45&lt;flex_seuil*MAX(O18,bud_total_besoin_S3),1,0)</f>
        <v>0</v>
      </c>
      <c r="Q12" s="22" t="n">
        <f aca="false">pilotage_actif*IF(P45&lt;flex_seuil*MAX(P18,bud_total_besoin_S3),1,0)</f>
        <v>0</v>
      </c>
      <c r="R12" s="22" t="n">
        <f aca="false">pilotage_actif*IF(Q45&lt;flex_seuil*MAX(Q18,bud_total_besoin_S3),1,0)</f>
        <v>0</v>
      </c>
      <c r="S12" s="22" t="n">
        <f aca="false">pilotage_actif*IF(R45&lt;flex_seuil*MAX(R18,bud_total_besoin_S3),1,0)</f>
        <v>0</v>
      </c>
      <c r="T12" s="22" t="n">
        <f aca="false">pilotage_actif*IF(S45&lt;flex_seuil*MAX(S18,bud_total_besoin_S3),1,0)</f>
        <v>0</v>
      </c>
      <c r="U12" s="22" t="n">
        <f aca="false">pilotage_actif*IF(T45&lt;flex_seuil*MAX(T18,bud_total_besoin_S3),1,0)</f>
        <v>0</v>
      </c>
      <c r="V12" s="22" t="n">
        <f aca="false">pilotage_actif*IF(U45&lt;flex_seuil*MAX(U18,bud_total_besoin_S3),1,0)</f>
        <v>0</v>
      </c>
      <c r="W12" s="22" t="n">
        <f aca="false">pilotage_actif*IF(V45&lt;flex_seuil*MAX(V18,bud_total_besoin_S3),1,0)</f>
        <v>0</v>
      </c>
      <c r="X12" s="22" t="n">
        <f aca="false">pilotage_actif*IF(W45&lt;flex_seuil*MAX(W18,bud_total_besoin_S3),1,0)</f>
        <v>0</v>
      </c>
    </row>
    <row r="13" customFormat="false" ht="15" hidden="false" customHeight="false" outlineLevel="0" collapsed="false">
      <c r="A13" s="2" t="s">
        <v>1837</v>
      </c>
      <c r="B13" s="2" t="s">
        <v>1838</v>
      </c>
      <c r="C13" s="2" t="s">
        <v>1839</v>
      </c>
      <c r="E13" s="17" t="n">
        <f aca="false">bud_dont_personnel_S3*E5</f>
        <v>1115746.4775</v>
      </c>
      <c r="F13" s="17" t="n">
        <f aca="false">bud_dont_personnel_S3*F5</f>
        <v>1121325.2098875</v>
      </c>
      <c r="G13" s="17" t="n">
        <f aca="false">bud_dont_personnel_S3*G5</f>
        <v>1126931.83593694</v>
      </c>
      <c r="H13" s="17" t="n">
        <f aca="false">bud_dont_personnel_S3*H5</f>
        <v>1132566.49511662</v>
      </c>
      <c r="I13" s="17" t="n">
        <f aca="false">bud_dont_personnel_S3*I5</f>
        <v>1138229.3275922</v>
      </c>
      <c r="J13" s="17" t="n">
        <f aca="false">bud_dont_personnel_S3*J5</f>
        <v>1143920.47423017</v>
      </c>
      <c r="K13" s="17" t="n">
        <f aca="false">bud_dont_personnel_S3*K5</f>
        <v>1149640.07660132</v>
      </c>
      <c r="L13" s="17" t="n">
        <f aca="false">bud_dont_personnel_S3*L5</f>
        <v>1155388.27698432</v>
      </c>
      <c r="M13" s="17" t="n">
        <f aca="false">bud_dont_personnel_S3*M5</f>
        <v>1161165.21836924</v>
      </c>
      <c r="N13" s="17" t="n">
        <f aca="false">bud_dont_personnel_S3*N5</f>
        <v>1166971.04446109</v>
      </c>
      <c r="O13" s="17" t="n">
        <f aca="false">bud_dont_personnel_S3*O5</f>
        <v>1172805.8996834</v>
      </c>
      <c r="P13" s="17" t="n">
        <f aca="false">bud_dont_personnel_S3*P5</f>
        <v>1178669.92918181</v>
      </c>
      <c r="Q13" s="17" t="n">
        <f aca="false">bud_dont_personnel_S3*Q5</f>
        <v>1184563.27882772</v>
      </c>
      <c r="R13" s="17" t="n">
        <f aca="false">bud_dont_personnel_S3*R5</f>
        <v>1190486.09522186</v>
      </c>
      <c r="S13" s="17" t="n">
        <f aca="false">bud_dont_personnel_S3*S5</f>
        <v>1196438.52569797</v>
      </c>
      <c r="T13" s="17" t="n">
        <f aca="false">bud_dont_personnel_S3*T5</f>
        <v>1202420.71832646</v>
      </c>
      <c r="U13" s="17" t="n">
        <f aca="false">bud_dont_personnel_S3*U5</f>
        <v>1208432.82191809</v>
      </c>
      <c r="V13" s="17" t="n">
        <f aca="false">bud_dont_personnel_S3*V5</f>
        <v>1214474.98602768</v>
      </c>
      <c r="W13" s="17" t="n">
        <f aca="false">bud_dont_personnel_S3*W5</f>
        <v>1220547.36095782</v>
      </c>
      <c r="X13" s="17" t="n">
        <f aca="false">bud_dont_personnel_S3*X5</f>
        <v>1226650.09776261</v>
      </c>
    </row>
    <row r="14" customFormat="false" ht="15" hidden="false" customHeight="false" outlineLevel="0" collapsed="false">
      <c r="A14" s="2" t="s">
        <v>1840</v>
      </c>
      <c r="B14" s="2" t="s">
        <v>1841</v>
      </c>
      <c r="C14" s="2" t="s">
        <v>1839</v>
      </c>
      <c r="E14" s="17" t="n">
        <f aca="false">(bud_chauffage_S3+bud_hors_gel_S3+bud_electricite_S3)*E7*IF(AND(E$3&gt;=st_central_energie_debut,E$3&lt;=st_central_energie_fin),st_central_energie_mult,1)</f>
        <v>109395</v>
      </c>
      <c r="F14" s="17" t="n">
        <f aca="false">(bud_chauffage_S3+bud_hors_gel_S3+bud_electricite_S3)*F7*IF(AND(F$3&gt;=st_central_energie_debut,F$3&lt;=st_central_energie_fin),st_central_energie_mult,1)</f>
        <v>111582.9</v>
      </c>
      <c r="G14" s="17" t="n">
        <f aca="false">(bud_chauffage_S3+bud_hors_gel_S3+bud_electricite_S3)*G7*IF(AND(G$3&gt;=st_central_energie_debut,G$3&lt;=st_central_energie_fin),st_central_energie_mult,1)</f>
        <v>113814.558</v>
      </c>
      <c r="H14" s="17" t="n">
        <f aca="false">(bud_chauffage_S3+bud_hors_gel_S3+bud_electricite_S3)*H7*IF(AND(H$3&gt;=st_central_energie_debut,H$3&lt;=st_central_energie_fin),st_central_energie_mult,1)</f>
        <v>116090.84916</v>
      </c>
      <c r="I14" s="17" t="n">
        <f aca="false">(bud_chauffage_S3+bud_hors_gel_S3+bud_electricite_S3)*I7*IF(AND(I$3&gt;=st_central_energie_debut,I$3&lt;=st_central_energie_fin),st_central_energie_mult,1)</f>
        <v>118412.6661432</v>
      </c>
      <c r="J14" s="17" t="n">
        <f aca="false">(bud_chauffage_S3+bud_hors_gel_S3+bud_electricite_S3)*J7*IF(AND(J$3&gt;=st_central_energie_debut,J$3&lt;=st_central_energie_fin),st_central_energie_mult,1)</f>
        <v>120780.919466064</v>
      </c>
      <c r="K14" s="17" t="n">
        <f aca="false">(bud_chauffage_S3+bud_hors_gel_S3+bud_electricite_S3)*K7*IF(AND(K$3&gt;=st_central_energie_debut,K$3&lt;=st_central_energie_fin),st_central_energie_mult,1)</f>
        <v>123196.537855385</v>
      </c>
      <c r="L14" s="17" t="n">
        <f aca="false">(bud_chauffage_S3+bud_hors_gel_S3+bud_electricite_S3)*L7*IF(AND(L$3&gt;=st_central_energie_debut,L$3&lt;=st_central_energie_fin),st_central_energie_mult,1)</f>
        <v>125660.468612493</v>
      </c>
      <c r="M14" s="17" t="n">
        <f aca="false">(bud_chauffage_S3+bud_hors_gel_S3+bud_electricite_S3)*M7*IF(AND(M$3&gt;=st_central_energie_debut,M$3&lt;=st_central_energie_fin),st_central_energie_mult,1)</f>
        <v>128173.677984743</v>
      </c>
      <c r="N14" s="17" t="n">
        <f aca="false">(bud_chauffage_S3+bud_hors_gel_S3+bud_electricite_S3)*N7*IF(AND(N$3&gt;=st_central_energie_debut,N$3&lt;=st_central_energie_fin),st_central_energie_mult,1)</f>
        <v>130737.151544438</v>
      </c>
      <c r="O14" s="17" t="n">
        <f aca="false">(bud_chauffage_S3+bud_hors_gel_S3+bud_electricite_S3)*O7*IF(AND(O$3&gt;=st_central_energie_debut,O$3&lt;=st_central_energie_fin),st_central_energie_mult,1)</f>
        <v>133351.894575326</v>
      </c>
      <c r="P14" s="17" t="n">
        <f aca="false">(bud_chauffage_S3+bud_hors_gel_S3+bud_electricite_S3)*P7*IF(AND(P$3&gt;=st_central_energie_debut,P$3&lt;=st_central_energie_fin),st_central_energie_mult,1)</f>
        <v>136018.932466833</v>
      </c>
      <c r="Q14" s="17" t="n">
        <f aca="false">(bud_chauffage_S3+bud_hors_gel_S3+bud_electricite_S3)*Q7*IF(AND(Q$3&gt;=st_central_energie_debut,Q$3&lt;=st_central_energie_fin),st_central_energie_mult,1)</f>
        <v>138739.31111617</v>
      </c>
      <c r="R14" s="17" t="n">
        <f aca="false">(bud_chauffage_S3+bud_hors_gel_S3+bud_electricite_S3)*R7*IF(AND(R$3&gt;=st_central_energie_debut,R$3&lt;=st_central_energie_fin),st_central_energie_mult,1)</f>
        <v>141514.097338493</v>
      </c>
      <c r="S14" s="17" t="n">
        <f aca="false">(bud_chauffage_S3+bud_hors_gel_S3+bud_electricite_S3)*S7*IF(AND(S$3&gt;=st_central_energie_debut,S$3&lt;=st_central_energie_fin),st_central_energie_mult,1)</f>
        <v>144344.379285263</v>
      </c>
      <c r="T14" s="17" t="n">
        <f aca="false">(bud_chauffage_S3+bud_hors_gel_S3+bud_electricite_S3)*T7*IF(AND(T$3&gt;=st_central_energie_debut,T$3&lt;=st_central_energie_fin),st_central_energie_mult,1)</f>
        <v>147231.266870968</v>
      </c>
      <c r="U14" s="17" t="n">
        <f aca="false">(bud_chauffage_S3+bud_hors_gel_S3+bud_electricite_S3)*U7*IF(AND(U$3&gt;=st_central_energie_debut,U$3&lt;=st_central_energie_fin),st_central_energie_mult,1)</f>
        <v>150175.892208388</v>
      </c>
      <c r="V14" s="17" t="n">
        <f aca="false">(bud_chauffage_S3+bud_hors_gel_S3+bud_electricite_S3)*V7*IF(AND(V$3&gt;=st_central_energie_debut,V$3&lt;=st_central_energie_fin),st_central_energie_mult,1)</f>
        <v>153179.410052555</v>
      </c>
      <c r="W14" s="17" t="n">
        <f aca="false">(bud_chauffage_S3+bud_hors_gel_S3+bud_electricite_S3)*W7*IF(AND(W$3&gt;=st_central_energie_debut,W$3&lt;=st_central_energie_fin),st_central_energie_mult,1)</f>
        <v>156242.998253606</v>
      </c>
      <c r="X14" s="17" t="n">
        <f aca="false">(bud_chauffage_S3+bud_hors_gel_S3+bud_electricite_S3)*X7*IF(AND(X$3&gt;=st_central_energie_debut,X$3&lt;=st_central_energie_fin),st_central_energie_mult,1)</f>
        <v>159367.858218679</v>
      </c>
    </row>
    <row r="15" customFormat="false" ht="15" hidden="false" customHeight="false" outlineLevel="0" collapsed="false">
      <c r="A15" s="2" t="s">
        <v>1842</v>
      </c>
      <c r="B15" s="2" t="s">
        <v>1843</v>
      </c>
      <c r="C15" s="2" t="s">
        <v>1839</v>
      </c>
      <c r="E15" s="17" t="n">
        <f aca="false">(bud_assurance_bati_S3+bud_assurance_autres_S3)*E8</f>
        <v>159395.25</v>
      </c>
      <c r="F15" s="17" t="n">
        <f aca="false">(bud_assurance_bati_S3+bud_assurance_autres_S3)*F8</f>
        <v>162344.062125</v>
      </c>
      <c r="G15" s="17" t="n">
        <f aca="false">(bud_assurance_bati_S3+bud_assurance_autres_S3)*G8</f>
        <v>165347.427274313</v>
      </c>
      <c r="H15" s="17" t="n">
        <f aca="false">(bud_assurance_bati_S3+bud_assurance_autres_S3)*H8</f>
        <v>168406.354678887</v>
      </c>
      <c r="I15" s="17" t="n">
        <f aca="false">(bud_assurance_bati_S3+bud_assurance_autres_S3)*I8</f>
        <v>171521.872240447</v>
      </c>
      <c r="J15" s="17" t="n">
        <f aca="false">(bud_assurance_bati_S3+bud_assurance_autres_S3)*J8</f>
        <v>174695.026876895</v>
      </c>
      <c r="K15" s="17" t="n">
        <f aca="false">(bud_assurance_bati_S3+bud_assurance_autres_S3)*K8</f>
        <v>177926.884874117</v>
      </c>
      <c r="L15" s="17" t="n">
        <f aca="false">(bud_assurance_bati_S3+bud_assurance_autres_S3)*L8</f>
        <v>181218.532244289</v>
      </c>
      <c r="M15" s="17" t="n">
        <f aca="false">(bud_assurance_bati_S3+bud_assurance_autres_S3)*M8</f>
        <v>184571.075090808</v>
      </c>
      <c r="N15" s="17" t="n">
        <f aca="false">(bud_assurance_bati_S3+bud_assurance_autres_S3)*N8</f>
        <v>187985.639979988</v>
      </c>
      <c r="O15" s="17" t="n">
        <f aca="false">(bud_assurance_bati_S3+bud_assurance_autres_S3)*O8</f>
        <v>191463.374319618</v>
      </c>
      <c r="P15" s="17" t="n">
        <f aca="false">(bud_assurance_bati_S3+bud_assurance_autres_S3)*P8</f>
        <v>195005.446744531</v>
      </c>
      <c r="Q15" s="17" t="n">
        <f aca="false">(bud_assurance_bati_S3+bud_assurance_autres_S3)*Q8</f>
        <v>198613.047509304</v>
      </c>
      <c r="R15" s="17" t="n">
        <f aca="false">(bud_assurance_bati_S3+bud_assurance_autres_S3)*R8</f>
        <v>202287.388888227</v>
      </c>
      <c r="S15" s="17" t="n">
        <f aca="false">(bud_assurance_bati_S3+bud_assurance_autres_S3)*S8</f>
        <v>206029.705582659</v>
      </c>
      <c r="T15" s="17" t="n">
        <f aca="false">(bud_assurance_bati_S3+bud_assurance_autres_S3)*T8</f>
        <v>209841.255135938</v>
      </c>
      <c r="U15" s="17" t="n">
        <f aca="false">(bud_assurance_bati_S3+bud_assurance_autres_S3)*U8</f>
        <v>213723.318355953</v>
      </c>
      <c r="V15" s="17" t="n">
        <f aca="false">(bud_assurance_bati_S3+bud_assurance_autres_S3)*V8</f>
        <v>217677.199745538</v>
      </c>
      <c r="W15" s="17" t="n">
        <f aca="false">(bud_assurance_bati_S3+bud_assurance_autres_S3)*W8</f>
        <v>221704.22794083</v>
      </c>
      <c r="X15" s="17" t="n">
        <f aca="false">(bud_assurance_bati_S3+bud_assurance_autres_S3)*X8</f>
        <v>225805.756157736</v>
      </c>
    </row>
    <row r="16" customFormat="false" ht="15" hidden="false" customHeight="false" outlineLevel="0" collapsed="false">
      <c r="A16" s="2" t="s">
        <v>1844</v>
      </c>
      <c r="B16" s="2" t="s">
        <v>1845</v>
      </c>
      <c r="C16" s="2" t="s">
        <v>1839</v>
      </c>
      <c r="E16" s="17" t="n">
        <f aca="false">bud_total_besoin_S3-bud_dont_personnel_S3-bud_bati_ge_S3-bud_imprevus_travaux_S3-bud_moe_do_S3-bud_chauffage_S3-bud_hors_gel_S3-bud_electricite_S3-bud_assurance_bati_S3-bud_assurance_autres_S3</f>
        <v>1096554.985</v>
      </c>
      <c r="F16" s="17" t="n">
        <f aca="false">bud_total_besoin_S3-bud_dont_personnel_S3-bud_bati_ge_S3-bud_imprevus_travaux_S3-bud_moe_do_S3-bud_chauffage_S3-bud_hors_gel_S3-bud_electricite_S3-bud_assurance_bati_S3-bud_assurance_autres_S3</f>
        <v>1096554.985</v>
      </c>
      <c r="G16" s="17" t="n">
        <f aca="false">bud_total_besoin_S3-bud_dont_personnel_S3-bud_bati_ge_S3-bud_imprevus_travaux_S3-bud_moe_do_S3-bud_chauffage_S3-bud_hors_gel_S3-bud_electricite_S3-bud_assurance_bati_S3-bud_assurance_autres_S3</f>
        <v>1096554.985</v>
      </c>
      <c r="H16" s="17" t="n">
        <f aca="false">bud_total_besoin_S3-bud_dont_personnel_S3-bud_bati_ge_S3-bud_imprevus_travaux_S3-bud_moe_do_S3-bud_chauffage_S3-bud_hors_gel_S3-bud_electricite_S3-bud_assurance_bati_S3-bud_assurance_autres_S3</f>
        <v>1096554.985</v>
      </c>
      <c r="I16" s="17" t="n">
        <f aca="false">bud_total_besoin_S3-bud_dont_personnel_S3-bud_bati_ge_S3-bud_imprevus_travaux_S3-bud_moe_do_S3-bud_chauffage_S3-bud_hors_gel_S3-bud_electricite_S3-bud_assurance_bati_S3-bud_assurance_autres_S3</f>
        <v>1096554.985</v>
      </c>
      <c r="J16" s="17" t="n">
        <f aca="false">bud_total_besoin_S3-bud_dont_personnel_S3-bud_bati_ge_S3-bud_imprevus_travaux_S3-bud_moe_do_S3-bud_chauffage_S3-bud_hors_gel_S3-bud_electricite_S3-bud_assurance_bati_S3-bud_assurance_autres_S3</f>
        <v>1096554.985</v>
      </c>
      <c r="K16" s="17" t="n">
        <f aca="false">bud_total_besoin_S3-bud_dont_personnel_S3-bud_bati_ge_S3-bud_imprevus_travaux_S3-bud_moe_do_S3-bud_chauffage_S3-bud_hors_gel_S3-bud_electricite_S3-bud_assurance_bati_S3-bud_assurance_autres_S3</f>
        <v>1096554.985</v>
      </c>
      <c r="L16" s="17" t="n">
        <f aca="false">bud_total_besoin_S3-bud_dont_personnel_S3-bud_bati_ge_S3-bud_imprevus_travaux_S3-bud_moe_do_S3-bud_chauffage_S3-bud_hors_gel_S3-bud_electricite_S3-bud_assurance_bati_S3-bud_assurance_autres_S3</f>
        <v>1096554.985</v>
      </c>
      <c r="M16" s="17" t="n">
        <f aca="false">bud_total_besoin_S3-bud_dont_personnel_S3-bud_bati_ge_S3-bud_imprevus_travaux_S3-bud_moe_do_S3-bud_chauffage_S3-bud_hors_gel_S3-bud_electricite_S3-bud_assurance_bati_S3-bud_assurance_autres_S3</f>
        <v>1096554.985</v>
      </c>
      <c r="N16" s="17" t="n">
        <f aca="false">bud_total_besoin_S3-bud_dont_personnel_S3-bud_bati_ge_S3-bud_imprevus_travaux_S3-bud_moe_do_S3-bud_chauffage_S3-bud_hors_gel_S3-bud_electricite_S3-bud_assurance_bati_S3-bud_assurance_autres_S3</f>
        <v>1096554.985</v>
      </c>
      <c r="O16" s="17" t="n">
        <f aca="false">bud_total_besoin_S3-bud_dont_personnel_S3-bud_bati_ge_S3-bud_imprevus_travaux_S3-bud_moe_do_S3-bud_chauffage_S3-bud_hors_gel_S3-bud_electricite_S3-bud_assurance_bati_S3-bud_assurance_autres_S3</f>
        <v>1096554.985</v>
      </c>
      <c r="P16" s="17" t="n">
        <f aca="false">bud_total_besoin_S3-bud_dont_personnel_S3-bud_bati_ge_S3-bud_imprevus_travaux_S3-bud_moe_do_S3-bud_chauffage_S3-bud_hors_gel_S3-bud_electricite_S3-bud_assurance_bati_S3-bud_assurance_autres_S3</f>
        <v>1096554.985</v>
      </c>
      <c r="Q16" s="17" t="n">
        <f aca="false">bud_total_besoin_S3-bud_dont_personnel_S3-bud_bati_ge_S3-bud_imprevus_travaux_S3-bud_moe_do_S3-bud_chauffage_S3-bud_hors_gel_S3-bud_electricite_S3-bud_assurance_bati_S3-bud_assurance_autres_S3</f>
        <v>1096554.985</v>
      </c>
      <c r="R16" s="17" t="n">
        <f aca="false">bud_total_besoin_S3-bud_dont_personnel_S3-bud_bati_ge_S3-bud_imprevus_travaux_S3-bud_moe_do_S3-bud_chauffage_S3-bud_hors_gel_S3-bud_electricite_S3-bud_assurance_bati_S3-bud_assurance_autres_S3</f>
        <v>1096554.985</v>
      </c>
      <c r="S16" s="17" t="n">
        <f aca="false">bud_total_besoin_S3-bud_dont_personnel_S3-bud_bati_ge_S3-bud_imprevus_travaux_S3-bud_moe_do_S3-bud_chauffage_S3-bud_hors_gel_S3-bud_electricite_S3-bud_assurance_bati_S3-bud_assurance_autres_S3</f>
        <v>1096554.985</v>
      </c>
      <c r="T16" s="17" t="n">
        <f aca="false">bud_total_besoin_S3-bud_dont_personnel_S3-bud_bati_ge_S3-bud_imprevus_travaux_S3-bud_moe_do_S3-bud_chauffage_S3-bud_hors_gel_S3-bud_electricite_S3-bud_assurance_bati_S3-bud_assurance_autres_S3</f>
        <v>1096554.985</v>
      </c>
      <c r="U16" s="17" t="n">
        <f aca="false">bud_total_besoin_S3-bud_dont_personnel_S3-bud_bati_ge_S3-bud_imprevus_travaux_S3-bud_moe_do_S3-bud_chauffage_S3-bud_hors_gel_S3-bud_electricite_S3-bud_assurance_bati_S3-bud_assurance_autres_S3</f>
        <v>1096554.985</v>
      </c>
      <c r="V16" s="17" t="n">
        <f aca="false">bud_total_besoin_S3-bud_dont_personnel_S3-bud_bati_ge_S3-bud_imprevus_travaux_S3-bud_moe_do_S3-bud_chauffage_S3-bud_hors_gel_S3-bud_electricite_S3-bud_assurance_bati_S3-bud_assurance_autres_S3</f>
        <v>1096554.985</v>
      </c>
      <c r="W16" s="17" t="n">
        <f aca="false">bud_total_besoin_S3-bud_dont_personnel_S3-bud_bati_ge_S3-bud_imprevus_travaux_S3-bud_moe_do_S3-bud_chauffage_S3-bud_hors_gel_S3-bud_electricite_S3-bud_assurance_bati_S3-bud_assurance_autres_S3</f>
        <v>1096554.985</v>
      </c>
      <c r="X16" s="17" t="n">
        <f aca="false">bud_total_besoin_S3-bud_dont_personnel_S3-bud_bati_ge_S3-bud_imprevus_travaux_S3-bud_moe_do_S3-bud_chauffage_S3-bud_hors_gel_S3-bud_electricite_S3-bud_assurance_bati_S3-bud_assurance_autres_S3</f>
        <v>1096554.985</v>
      </c>
    </row>
    <row r="17" customFormat="false" ht="15" hidden="false" customHeight="false" outlineLevel="0" collapsed="false">
      <c r="A17" s="2" t="s">
        <v>1846</v>
      </c>
      <c r="B17" s="2" t="s">
        <v>1847</v>
      </c>
      <c r="C17" s="2" t="s">
        <v>1839</v>
      </c>
      <c r="E17" s="17" t="n">
        <f aca="false">(bud_bati_ge_S3+bud_imprevus_travaux_S3+bud_moe_do_S3)*E6</f>
        <v>1309913.71875</v>
      </c>
      <c r="F17" s="17" t="n">
        <f aca="false">(bud_bati_ge_S3+bud_imprevus_travaux_S3+bud_moe_do_S3)*F6</f>
        <v>1319738.07164063</v>
      </c>
      <c r="G17" s="17" t="n">
        <f aca="false">(bud_bati_ge_S3+bud_imprevus_travaux_S3+bud_moe_do_S3)*G6</f>
        <v>1329636.10717793</v>
      </c>
      <c r="H17" s="17" t="n">
        <f aca="false">(bud_bati_ge_S3+bud_imprevus_travaux_S3+bud_moe_do_S3)*H6</f>
        <v>1339608.37798176</v>
      </c>
      <c r="I17" s="17" t="n">
        <f aca="false">(bud_bati_ge_S3+bud_imprevus_travaux_S3+bud_moe_do_S3)*I6</f>
        <v>1349655.44081663</v>
      </c>
      <c r="J17" s="17" t="n">
        <f aca="false">(bud_bati_ge_S3+bud_imprevus_travaux_S3+bud_moe_do_S3)*J6</f>
        <v>1359777.85662275</v>
      </c>
      <c r="K17" s="17" t="n">
        <f aca="false">(bud_bati_ge_S3+bud_imprevus_travaux_S3+bud_moe_do_S3)*K6</f>
        <v>1369976.19054742</v>
      </c>
      <c r="L17" s="17" t="n">
        <f aca="false">(bud_bati_ge_S3+bud_imprevus_travaux_S3+bud_moe_do_S3)*L6</f>
        <v>1380251.01197653</v>
      </c>
      <c r="M17" s="17" t="n">
        <f aca="false">(bud_bati_ge_S3+bud_imprevus_travaux_S3+bud_moe_do_S3)*M6</f>
        <v>1390602.89456635</v>
      </c>
      <c r="N17" s="17" t="n">
        <f aca="false">(bud_bati_ge_S3+bud_imprevus_travaux_S3+bud_moe_do_S3)*N6</f>
        <v>1401032.4162756</v>
      </c>
      <c r="O17" s="17" t="n">
        <f aca="false">(bud_bati_ge_S3+bud_imprevus_travaux_S3+bud_moe_do_S3)*O6</f>
        <v>1411540.15939767</v>
      </c>
      <c r="P17" s="17" t="n">
        <f aca="false">(bud_bati_ge_S3+bud_imprevus_travaux_S3+bud_moe_do_S3)*P6</f>
        <v>1422126.71059315</v>
      </c>
      <c r="Q17" s="17" t="n">
        <f aca="false">(bud_bati_ge_S3+bud_imprevus_travaux_S3+bud_moe_do_S3)*Q6</f>
        <v>1432792.6609226</v>
      </c>
      <c r="R17" s="17" t="n">
        <f aca="false">(bud_bati_ge_S3+bud_imprevus_travaux_S3+bud_moe_do_S3)*R6</f>
        <v>1443538.60587952</v>
      </c>
      <c r="S17" s="17" t="n">
        <f aca="false">(bud_bati_ge_S3+bud_imprevus_travaux_S3+bud_moe_do_S3)*S6</f>
        <v>1454365.14542362</v>
      </c>
      <c r="T17" s="17" t="n">
        <f aca="false">(bud_bati_ge_S3+bud_imprevus_travaux_S3+bud_moe_do_S3)*T6</f>
        <v>1465272.88401429</v>
      </c>
      <c r="U17" s="17" t="n">
        <f aca="false">(bud_bati_ge_S3+bud_imprevus_travaux_S3+bud_moe_do_S3)*U6</f>
        <v>1476262.4306444</v>
      </c>
      <c r="V17" s="17" t="n">
        <f aca="false">(bud_bati_ge_S3+bud_imprevus_travaux_S3+bud_moe_do_S3)*V6</f>
        <v>1487334.39887423</v>
      </c>
      <c r="W17" s="17" t="n">
        <f aca="false">(bud_bati_ge_S3+bud_imprevus_travaux_S3+bud_moe_do_S3)*W6</f>
        <v>1498489.40686579</v>
      </c>
      <c r="X17" s="17" t="n">
        <f aca="false">(bud_bati_ge_S3+bud_imprevus_travaux_S3+bud_moe_do_S3)*X6</f>
        <v>1509728.07741728</v>
      </c>
    </row>
    <row r="18" customFormat="false" ht="15" hidden="false" customHeight="false" outlineLevel="0" collapsed="false">
      <c r="A18" s="2" t="s">
        <v>1848</v>
      </c>
      <c r="B18" s="18" t="s">
        <v>1849</v>
      </c>
      <c r="C18" s="2" t="s">
        <v>1839</v>
      </c>
      <c r="D18" s="23" t="n">
        <f aca="false">bud_total_besoin_S3</f>
        <v>3770662.985</v>
      </c>
      <c r="E18" s="23" t="n">
        <f aca="false">E13+E14+E15+E16+E17</f>
        <v>3791005.43125</v>
      </c>
      <c r="F18" s="23" t="n">
        <f aca="false">F13+F14+F15+F16+F17</f>
        <v>3811545.22865312</v>
      </c>
      <c r="G18" s="23" t="n">
        <f aca="false">G13+G14+G15+G16+G17</f>
        <v>3832284.91338918</v>
      </c>
      <c r="H18" s="23" t="n">
        <f aca="false">H13+H14+H15+H16+H17</f>
        <v>3853227.06193727</v>
      </c>
      <c r="I18" s="23" t="n">
        <f aca="false">I13+I14+I15+I16+I17</f>
        <v>3874374.29179248</v>
      </c>
      <c r="J18" s="23" t="n">
        <f aca="false">J13+J14+J15+J16+J17</f>
        <v>3895729.26219588</v>
      </c>
      <c r="K18" s="23" t="n">
        <f aca="false">K13+K14+K15+K16+K17</f>
        <v>3917294.67487824</v>
      </c>
      <c r="L18" s="23" t="n">
        <f aca="false">L13+L14+L15+L16+L17</f>
        <v>3939073.27481763</v>
      </c>
      <c r="M18" s="23" t="n">
        <f aca="false">M13+M14+M15+M16+M17</f>
        <v>3961067.85101115</v>
      </c>
      <c r="N18" s="23" t="n">
        <f aca="false">N13+N14+N15+N16+N17</f>
        <v>3983281.23726112</v>
      </c>
      <c r="O18" s="23" t="n">
        <f aca="false">O13+O14+O15+O16+O17</f>
        <v>4005716.31297601</v>
      </c>
      <c r="P18" s="23" t="n">
        <f aca="false">P13+P14+P15+P16+P17</f>
        <v>4028376.00398633</v>
      </c>
      <c r="Q18" s="23" t="n">
        <f aca="false">Q13+Q14+Q15+Q16+Q17</f>
        <v>4051263.28337579</v>
      </c>
      <c r="R18" s="23" t="n">
        <f aca="false">R13+R14+R15+R16+R17</f>
        <v>4074381.1723281</v>
      </c>
      <c r="S18" s="23" t="n">
        <f aca="false">S13+S14+S15+S16+S17</f>
        <v>4097732.74098951</v>
      </c>
      <c r="T18" s="23" t="n">
        <f aca="false">T13+T14+T15+T16+T17</f>
        <v>4121321.10934766</v>
      </c>
      <c r="U18" s="23" t="n">
        <f aca="false">U13+U14+U15+U16+U17</f>
        <v>4145149.44812683</v>
      </c>
      <c r="V18" s="23" t="n">
        <f aca="false">V13+V14+V15+V16+V17</f>
        <v>4169220.97970001</v>
      </c>
      <c r="W18" s="23" t="n">
        <f aca="false">W13+W14+W15+W16+W17</f>
        <v>4193538.97901805</v>
      </c>
      <c r="X18" s="23" t="n">
        <f aca="false">X13+X14+X15+X16+X17</f>
        <v>4218106.77455631</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5298896.27555032</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5459660.49996333</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5625302.18083277</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5795969.29624003</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5971814.31380171</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1309913.71875</v>
      </c>
      <c r="F22" s="17" t="n">
        <f aca="false">MAX(0,E22+F17-F19)</f>
        <v>2629651.79039063</v>
      </c>
      <c r="G22" s="17" t="n">
        <f aca="false">MAX(0,F22+G17-G19)</f>
        <v>3959287.89756856</v>
      </c>
      <c r="H22" s="17" t="n">
        <f aca="false">MAX(0,G22+H17-H19)</f>
        <v>0</v>
      </c>
      <c r="I22" s="17" t="n">
        <f aca="false">MAX(0,H22+I17-I19)</f>
        <v>1349655.44081663</v>
      </c>
      <c r="J22" s="17" t="n">
        <f aca="false">MAX(0,I22+J17-J19)</f>
        <v>2709433.29743938</v>
      </c>
      <c r="K22" s="17" t="n">
        <f aca="false">MAX(0,J22+K17-K19)</f>
        <v>4079409.4879868</v>
      </c>
      <c r="L22" s="17" t="n">
        <f aca="false">MAX(0,K22+L17-L19)</f>
        <v>0</v>
      </c>
      <c r="M22" s="17" t="n">
        <f aca="false">MAX(0,L22+M17-M19)</f>
        <v>1390602.89456635</v>
      </c>
      <c r="N22" s="17" t="n">
        <f aca="false">MAX(0,M22+N17-N19)</f>
        <v>2791635.31084195</v>
      </c>
      <c r="O22" s="17" t="n">
        <f aca="false">MAX(0,N22+O17-O19)</f>
        <v>4203175.47023962</v>
      </c>
      <c r="P22" s="17" t="n">
        <f aca="false">MAX(0,O22+P17-P19)</f>
        <v>0</v>
      </c>
      <c r="Q22" s="17" t="n">
        <f aca="false">MAX(0,P22+Q17-Q19)</f>
        <v>1432792.6609226</v>
      </c>
      <c r="R22" s="17" t="n">
        <f aca="false">MAX(0,Q22+R17-R19)</f>
        <v>2876331.26680212</v>
      </c>
      <c r="S22" s="17" t="n">
        <f aca="false">MAX(0,R22+S17-S19)</f>
        <v>4330696.41222573</v>
      </c>
      <c r="T22" s="17" t="n">
        <f aca="false">MAX(0,S22+T17-T19)</f>
        <v>0</v>
      </c>
      <c r="U22" s="17" t="n">
        <f aca="false">MAX(0,T22+U17-U19)</f>
        <v>1476262.4306444</v>
      </c>
      <c r="V22" s="17" t="n">
        <f aca="false">MAX(0,U22+V17-V19)</f>
        <v>2963596.82951863</v>
      </c>
      <c r="W22" s="17" t="n">
        <f aca="false">MAX(0,V22+W17-W19)</f>
        <v>4462086.23638442</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(S3_ech_log*mot_log_cn+S3_ech_stock*mot_stock_cn+S3_ech_pv*mot_pv_cn+S3_ech_bois*mot_bois_cn)*E24*E9*IF(E$3&gt;=st_central_debut_mult,st_central_mult_A,1)*IF(E11=1,1-0.05,IF(E11=2,1-0.02,1))</f>
        <v>43820.8</v>
      </c>
      <c r="F25" s="17" t="n">
        <f aca="false">(S3_ech_log*mot_log_cn+S3_ech_stock*mot_stock_cn+S3_ech_pv*mot_pv_cn+S3_ech_bois*mot_bois_cn)*F24*F9*IF(F$3&gt;=st_central_debut_mult,st_central_mult_A,1)*IF(F11=1,1-0.05,IF(F11=2,1-0.02,1))</f>
        <v>82164</v>
      </c>
      <c r="G25" s="17" t="n">
        <f aca="false">(S3_ech_log*mot_log_cn+S3_ech_stock*mot_stock_cn+S3_ech_pv*mot_pv_cn+S3_ech_bois*mot_bois_cn)*G24*G9*IF(G$3&gt;=st_central_debut_mult,st_central_mult_A,1)*IF(G11=1,1-0.05,IF(G11=2,1-0.02,1))</f>
        <v>109552</v>
      </c>
      <c r="H25" s="17" t="n">
        <f aca="false">(S3_ech_log*mot_log_cn+S3_ech_stock*mot_stock_cn+S3_ech_pv*mot_pv_cn+S3_ech_bois*mot_bois_cn)*H24*H9*IF(H$3&gt;=st_central_debut_mult,st_central_mult_A,1)*IF(H11=1,1-0.05,IF(H11=2,1-0.02,1))</f>
        <v>109552</v>
      </c>
      <c r="I25" s="17" t="n">
        <f aca="false">(S3_ech_log*mot_log_cn+S3_ech_stock*mot_stock_cn+S3_ech_pv*mot_pv_cn+S3_ech_bois*mot_bois_cn)*I24*I9*IF(I$3&gt;=st_central_debut_mult,st_central_mult_A,1)*IF(I11=1,1-0.05,IF(I11=2,1-0.02,1))</f>
        <v>109552</v>
      </c>
      <c r="J25" s="17" t="n">
        <f aca="false">(S3_ech_log*mot_log_cn+S3_ech_stock*mot_stock_cn+S3_ech_pv*mot_pv_cn+S3_ech_bois*mot_bois_cn)*J24*J9*IF(J$3&gt;=st_central_debut_mult,st_central_mult_A,1)*IF(J11=1,1-0.05,IF(J11=2,1-0.02,1))</f>
        <v>109552</v>
      </c>
      <c r="K25" s="17" t="n">
        <f aca="false">(S3_ech_log*mot_log_cn+S3_ech_stock*mot_stock_cn+S3_ech_pv*mot_pv_cn+S3_ech_bois*mot_bois_cn)*K24*K9*IF(K$3&gt;=st_central_debut_mult,st_central_mult_A,1)*IF(K11=1,1-0.05,IF(K11=2,1-0.02,1))</f>
        <v>109552</v>
      </c>
      <c r="L25" s="17" t="n">
        <f aca="false">(S3_ech_log*mot_log_cn+S3_ech_stock*mot_stock_cn+S3_ech_pv*mot_pv_cn+S3_ech_bois*mot_bois_cn)*L24*L9*IF(L$3&gt;=st_central_debut_mult,st_central_mult_A,1)*IF(L11=1,1-0.05,IF(L11=2,1-0.02,1))</f>
        <v>109552</v>
      </c>
      <c r="M25" s="17" t="n">
        <f aca="false">(S3_ech_log*mot_log_cn+S3_ech_stock*mot_stock_cn+S3_ech_pv*mot_pv_cn+S3_ech_bois*mot_bois_cn)*M24*M9*IF(M$3&gt;=st_central_debut_mult,st_central_mult_A,1)*IF(M11=1,1-0.05,IF(M11=2,1-0.02,1))</f>
        <v>109552</v>
      </c>
      <c r="N25" s="17" t="n">
        <f aca="false">(S3_ech_log*mot_log_cn+S3_ech_stock*mot_stock_cn+S3_ech_pv*mot_pv_cn+S3_ech_bois*mot_bois_cn)*N24*N9*IF(N$3&gt;=st_central_debut_mult,st_central_mult_A,1)*IF(N11=1,1-0.05,IF(N11=2,1-0.02,1))</f>
        <v>109552</v>
      </c>
      <c r="O25" s="17" t="n">
        <f aca="false">(S3_ech_log*mot_log_cn+S3_ech_stock*mot_stock_cn+S3_ech_pv*mot_pv_cn+S3_ech_bois*mot_bois_cn)*O24*O9*IF(O$3&gt;=st_central_debut_mult,st_central_mult_A,1)*IF(O11=1,1-0.05,IF(O11=2,1-0.02,1))</f>
        <v>109552</v>
      </c>
      <c r="P25" s="17" t="n">
        <f aca="false">(S3_ech_log*mot_log_cn+S3_ech_stock*mot_stock_cn+S3_ech_pv*mot_pv_cn+S3_ech_bois*mot_bois_cn)*P24*P9*IF(P$3&gt;=st_central_debut_mult,st_central_mult_A,1)*IF(P11=1,1-0.05,IF(P11=2,1-0.02,1))</f>
        <v>109552</v>
      </c>
      <c r="Q25" s="17" t="n">
        <f aca="false">(S3_ech_log*mot_log_cn+S3_ech_stock*mot_stock_cn+S3_ech_pv*mot_pv_cn+S3_ech_bois*mot_bois_cn)*Q24*Q9*IF(Q$3&gt;=st_central_debut_mult,st_central_mult_A,1)*IF(Q11=1,1-0.05,IF(Q11=2,1-0.02,1))</f>
        <v>109552</v>
      </c>
      <c r="R25" s="17" t="n">
        <f aca="false">(S3_ech_log*mot_log_cn+S3_ech_stock*mot_stock_cn+S3_ech_pv*mot_pv_cn+S3_ech_bois*mot_bois_cn)*R24*R9*IF(R$3&gt;=st_central_debut_mult,st_central_mult_A,1)*IF(R11=1,1-0.05,IF(R11=2,1-0.02,1))</f>
        <v>109552</v>
      </c>
      <c r="S25" s="17" t="n">
        <f aca="false">(S3_ech_log*mot_log_cn+S3_ech_stock*mot_stock_cn+S3_ech_pv*mot_pv_cn+S3_ech_bois*mot_bois_cn)*S24*S9*IF(S$3&gt;=st_central_debut_mult,st_central_mult_A,1)*IF(S11=1,1-0.05,IF(S11=2,1-0.02,1))</f>
        <v>109552</v>
      </c>
      <c r="T25" s="17" t="n">
        <f aca="false">(S3_ech_log*mot_log_cn+S3_ech_stock*mot_stock_cn+S3_ech_pv*mot_pv_cn+S3_ech_bois*mot_bois_cn)*T24*T9*IF(T$3&gt;=st_central_debut_mult,st_central_mult_A,1)*IF(T11=1,1-0.05,IF(T11=2,1-0.02,1))</f>
        <v>109552</v>
      </c>
      <c r="U25" s="17" t="n">
        <f aca="false">(S3_ech_log*mot_log_cn+S3_ech_stock*mot_stock_cn+S3_ech_pv*mot_pv_cn+S3_ech_bois*mot_bois_cn)*U24*U9*IF(U$3&gt;=st_central_debut_mult,st_central_mult_A,1)*IF(U11=1,1-0.05,IF(U11=2,1-0.02,1))</f>
        <v>109552</v>
      </c>
      <c r="V25" s="17" t="n">
        <f aca="false">(S3_ech_log*mot_log_cn+S3_ech_stock*mot_stock_cn+S3_ech_pv*mot_pv_cn+S3_ech_bois*mot_bois_cn)*V24*V9*IF(V$3&gt;=st_central_debut_mult,st_central_mult_A,1)*IF(V11=1,1-0.05,IF(V11=2,1-0.02,1))</f>
        <v>109552</v>
      </c>
      <c r="W25" s="17" t="n">
        <f aca="false">(S3_ech_log*mot_log_cn+S3_ech_stock*mot_stock_cn+S3_ech_pv*mot_pv_cn+S3_ech_bois*mot_bois_cn)*W24*W9*IF(W$3&gt;=st_central_debut_mult,st_central_mult_A,1)*IF(W11=1,1-0.05,IF(W11=2,1-0.02,1))</f>
        <v>109552</v>
      </c>
      <c r="X25" s="17" t="n">
        <f aca="false">(S3_ech_log*mot_log_cn+S3_ech_stock*mot_stock_cn+S3_ech_pv*mot_pv_cn+S3_ech_bois*mot_bois_cn)*X24*X9*IF(X$3&gt;=st_central_debut_mult,st_central_mult_A,1)*IF(X11=1,1-0.05,IF(X11=2,1-0.02,1))</f>
        <v>109552</v>
      </c>
    </row>
    <row r="26" customFormat="false" ht="15" hidden="false" customHeight="false" outlineLevel="0" collapsed="false">
      <c r="A26" s="2" t="s">
        <v>1864</v>
      </c>
      <c r="B26" s="2" t="s">
        <v>1865</v>
      </c>
      <c r="C26" s="2" t="s">
        <v>1839</v>
      </c>
      <c r="E26" s="17" t="n">
        <f aca="false">(S3_ech_eq_ret*mot_eq_ret_cn)*E24*E9*IF(E$3&gt;=st_central_debut_mult,st_central_mult_B,1)*IF(E11=1,1-0.15,IF(E11=2,1-0.05,1))</f>
        <v>5384.2536</v>
      </c>
      <c r="F26" s="17" t="n">
        <f aca="false">(S3_ech_eq_ret*mot_eq_ret_cn)*F24*F9*IF(F$3&gt;=st_central_debut_mult,st_central_mult_B,1)*IF(F11=1,1-0.15,IF(F11=2,1-0.05,1))</f>
        <v>10095.4755</v>
      </c>
      <c r="G26" s="17" t="n">
        <f aca="false">(S3_ech_eq_ret*mot_eq_ret_cn)*G24*G9*IF(G$3&gt;=st_central_debut_mult,st_central_mult_B,1)*IF(G11=1,1-0.15,IF(G11=2,1-0.05,1))</f>
        <v>13460.634</v>
      </c>
      <c r="H26" s="17" t="n">
        <f aca="false">(S3_ech_eq_ret*mot_eq_ret_cn)*H24*H9*IF(H$3&gt;=st_central_debut_mult,st_central_mult_B,1)*IF(H11=1,1-0.15,IF(H11=2,1-0.05,1))</f>
        <v>13460.634</v>
      </c>
      <c r="I26" s="17" t="n">
        <f aca="false">(S3_ech_eq_ret*mot_eq_ret_cn)*I24*I9*IF(I$3&gt;=st_central_debut_mult,st_central_mult_B,1)*IF(I11=1,1-0.15,IF(I11=2,1-0.05,1))</f>
        <v>13460.634</v>
      </c>
      <c r="J26" s="17" t="n">
        <f aca="false">(S3_ech_eq_ret*mot_eq_ret_cn)*J24*J9*IF(J$3&gt;=st_central_debut_mult,st_central_mult_B,1)*IF(J11=1,1-0.15,IF(J11=2,1-0.05,1))</f>
        <v>13460.634</v>
      </c>
      <c r="K26" s="17" t="n">
        <f aca="false">(S3_ech_eq_ret*mot_eq_ret_cn)*K24*K9*IF(K$3&gt;=st_central_debut_mult,st_central_mult_B,1)*IF(K11=1,1-0.15,IF(K11=2,1-0.05,1))</f>
        <v>13460.634</v>
      </c>
      <c r="L26" s="17" t="n">
        <f aca="false">(S3_ech_eq_ret*mot_eq_ret_cn)*L24*L9*IF(L$3&gt;=st_central_debut_mult,st_central_mult_B,1)*IF(L11=1,1-0.15,IF(L11=2,1-0.05,1))</f>
        <v>13460.634</v>
      </c>
      <c r="M26" s="17" t="n">
        <f aca="false">(S3_ech_eq_ret*mot_eq_ret_cn)*M24*M9*IF(M$3&gt;=st_central_debut_mult,st_central_mult_B,1)*IF(M11=1,1-0.15,IF(M11=2,1-0.05,1))</f>
        <v>13460.634</v>
      </c>
      <c r="N26" s="17" t="n">
        <f aca="false">(S3_ech_eq_ret*mot_eq_ret_cn)*N24*N9*IF(N$3&gt;=st_central_debut_mult,st_central_mult_B,1)*IF(N11=1,1-0.15,IF(N11=2,1-0.05,1))</f>
        <v>13460.634</v>
      </c>
      <c r="O26" s="17" t="n">
        <f aca="false">(S3_ech_eq_ret*mot_eq_ret_cn)*O24*O9*IF(O$3&gt;=st_central_debut_mult,st_central_mult_B,1)*IF(O11=1,1-0.15,IF(O11=2,1-0.05,1))</f>
        <v>13460.634</v>
      </c>
      <c r="P26" s="17" t="n">
        <f aca="false">(S3_ech_eq_ret*mot_eq_ret_cn)*P24*P9*IF(P$3&gt;=st_central_debut_mult,st_central_mult_B,1)*IF(P11=1,1-0.15,IF(P11=2,1-0.05,1))</f>
        <v>13460.634</v>
      </c>
      <c r="Q26" s="17" t="n">
        <f aca="false">(S3_ech_eq_ret*mot_eq_ret_cn)*Q24*Q9*IF(Q$3&gt;=st_central_debut_mult,st_central_mult_B,1)*IF(Q11=1,1-0.15,IF(Q11=2,1-0.05,1))</f>
        <v>13460.634</v>
      </c>
      <c r="R26" s="17" t="n">
        <f aca="false">(S3_ech_eq_ret*mot_eq_ret_cn)*R24*R9*IF(R$3&gt;=st_central_debut_mult,st_central_mult_B,1)*IF(R11=1,1-0.15,IF(R11=2,1-0.05,1))</f>
        <v>13460.634</v>
      </c>
      <c r="S26" s="17" t="n">
        <f aca="false">(S3_ech_eq_ret*mot_eq_ret_cn)*S24*S9*IF(S$3&gt;=st_central_debut_mult,st_central_mult_B,1)*IF(S11=1,1-0.15,IF(S11=2,1-0.05,1))</f>
        <v>13460.634</v>
      </c>
      <c r="T26" s="17" t="n">
        <f aca="false">(S3_ech_eq_ret*mot_eq_ret_cn)*T24*T9*IF(T$3&gt;=st_central_debut_mult,st_central_mult_B,1)*IF(T11=1,1-0.15,IF(T11=2,1-0.05,1))</f>
        <v>13460.634</v>
      </c>
      <c r="U26" s="17" t="n">
        <f aca="false">(S3_ech_eq_ret*mot_eq_ret_cn)*U24*U9*IF(U$3&gt;=st_central_debut_mult,st_central_mult_B,1)*IF(U11=1,1-0.15,IF(U11=2,1-0.05,1))</f>
        <v>13460.634</v>
      </c>
      <c r="V26" s="17" t="n">
        <f aca="false">(S3_ech_eq_ret*mot_eq_ret_cn)*V24*V9*IF(V$3&gt;=st_central_debut_mult,st_central_mult_B,1)*IF(V11=1,1-0.15,IF(V11=2,1-0.05,1))</f>
        <v>13460.634</v>
      </c>
      <c r="W26" s="17" t="n">
        <f aca="false">(S3_ech_eq_ret*mot_eq_ret_cn)*W24*W9*IF(W$3&gt;=st_central_debut_mult,st_central_mult_B,1)*IF(W11=1,1-0.15,IF(W11=2,1-0.05,1))</f>
        <v>13460.634</v>
      </c>
      <c r="X26" s="17" t="n">
        <f aca="false">(S3_ech_eq_ret*mot_eq_ret_cn)*X24*X9*IF(X$3&gt;=st_central_debut_mult,st_central_mult_B,1)*IF(X11=1,1-0.15,IF(X11=2,1-0.05,1))</f>
        <v>13460.634</v>
      </c>
    </row>
    <row r="27" customFormat="false" ht="15" hidden="false" customHeight="false" outlineLevel="0" collapsed="false">
      <c r="A27" s="2" t="s">
        <v>1866</v>
      </c>
      <c r="B27" s="2" t="s">
        <v>1867</v>
      </c>
      <c r="C27" s="2" t="s">
        <v>1839</v>
      </c>
      <c r="E27" s="17" t="n">
        <f aca="false">(S3_ech_tourn*mot_tourn_cn)*E24*E9*IF(E$3&gt;=st_central_debut_mult,st_central_mult_C,1)*IF(E11=1,1-0.8,IF(E11=2,1-0.3,1))</f>
        <v>3570</v>
      </c>
      <c r="F27" s="17" t="n">
        <f aca="false">(S3_ech_tourn*mot_tourn_cn)*F24*F9*IF(F$3&gt;=st_central_debut_mult,st_central_mult_C,1)*IF(F11=1,1-0.8,IF(F11=2,1-0.3,1))</f>
        <v>6693.75</v>
      </c>
      <c r="G27" s="17" t="n">
        <f aca="false">(S3_ech_tourn*mot_tourn_cn)*G24*G9*IF(G$3&gt;=st_central_debut_mult,st_central_mult_C,1)*IF(G11=1,1-0.8,IF(G11=2,1-0.3,1))</f>
        <v>8925</v>
      </c>
      <c r="H27" s="17" t="n">
        <f aca="false">(S3_ech_tourn*mot_tourn_cn)*H24*H9*IF(H$3&gt;=st_central_debut_mult,st_central_mult_C,1)*IF(H11=1,1-0.8,IF(H11=2,1-0.3,1))</f>
        <v>8925</v>
      </c>
      <c r="I27" s="17" t="n">
        <f aca="false">(S3_ech_tourn*mot_tourn_cn)*I24*I9*IF(I$3&gt;=st_central_debut_mult,st_central_mult_C,1)*IF(I11=1,1-0.8,IF(I11=2,1-0.3,1))</f>
        <v>8925</v>
      </c>
      <c r="J27" s="17" t="n">
        <f aca="false">(S3_ech_tourn*mot_tourn_cn)*J24*J9*IF(J$3&gt;=st_central_debut_mult,st_central_mult_C,1)*IF(J11=1,1-0.8,IF(J11=2,1-0.3,1))</f>
        <v>8925</v>
      </c>
      <c r="K27" s="17" t="n">
        <f aca="false">(S3_ech_tourn*mot_tourn_cn)*K24*K9*IF(K$3&gt;=st_central_debut_mult,st_central_mult_C,1)*IF(K11=1,1-0.8,IF(K11=2,1-0.3,1))</f>
        <v>8925</v>
      </c>
      <c r="L27" s="17" t="n">
        <f aca="false">(S3_ech_tourn*mot_tourn_cn)*L24*L9*IF(L$3&gt;=st_central_debut_mult,st_central_mult_C,1)*IF(L11=1,1-0.8,IF(L11=2,1-0.3,1))</f>
        <v>8925</v>
      </c>
      <c r="M27" s="17" t="n">
        <f aca="false">(S3_ech_tourn*mot_tourn_cn)*M24*M9*IF(M$3&gt;=st_central_debut_mult,st_central_mult_C,1)*IF(M11=1,1-0.8,IF(M11=2,1-0.3,1))</f>
        <v>8925</v>
      </c>
      <c r="N27" s="17" t="n">
        <f aca="false">(S3_ech_tourn*mot_tourn_cn)*N24*N9*IF(N$3&gt;=st_central_debut_mult,st_central_mult_C,1)*IF(N11=1,1-0.8,IF(N11=2,1-0.3,1))</f>
        <v>8925</v>
      </c>
      <c r="O27" s="17" t="n">
        <f aca="false">(S3_ech_tourn*mot_tourn_cn)*O24*O9*IF(O$3&gt;=st_central_debut_mult,st_central_mult_C,1)*IF(O11=1,1-0.8,IF(O11=2,1-0.3,1))</f>
        <v>8925</v>
      </c>
      <c r="P27" s="17" t="n">
        <f aca="false">(S3_ech_tourn*mot_tourn_cn)*P24*P9*IF(P$3&gt;=st_central_debut_mult,st_central_mult_C,1)*IF(P11=1,1-0.8,IF(P11=2,1-0.3,1))</f>
        <v>8925</v>
      </c>
      <c r="Q27" s="17" t="n">
        <f aca="false">(S3_ech_tourn*mot_tourn_cn)*Q24*Q9*IF(Q$3&gt;=st_central_debut_mult,st_central_mult_C,1)*IF(Q11=1,1-0.8,IF(Q11=2,1-0.3,1))</f>
        <v>8925</v>
      </c>
      <c r="R27" s="17" t="n">
        <f aca="false">(S3_ech_tourn*mot_tourn_cn)*R24*R9*IF(R$3&gt;=st_central_debut_mult,st_central_mult_C,1)*IF(R11=1,1-0.8,IF(R11=2,1-0.3,1))</f>
        <v>8925</v>
      </c>
      <c r="S27" s="17" t="n">
        <f aca="false">(S3_ech_tourn*mot_tourn_cn)*S24*S9*IF(S$3&gt;=st_central_debut_mult,st_central_mult_C,1)*IF(S11=1,1-0.8,IF(S11=2,1-0.3,1))</f>
        <v>8925</v>
      </c>
      <c r="T27" s="17" t="n">
        <f aca="false">(S3_ech_tourn*mot_tourn_cn)*T24*T9*IF(T$3&gt;=st_central_debut_mult,st_central_mult_C,1)*IF(T11=1,1-0.8,IF(T11=2,1-0.3,1))</f>
        <v>8925</v>
      </c>
      <c r="U27" s="17" t="n">
        <f aca="false">(S3_ech_tourn*mot_tourn_cn)*U24*U9*IF(U$3&gt;=st_central_debut_mult,st_central_mult_C,1)*IF(U11=1,1-0.8,IF(U11=2,1-0.3,1))</f>
        <v>8925</v>
      </c>
      <c r="V27" s="17" t="n">
        <f aca="false">(S3_ech_tourn*mot_tourn_cn)*V24*V9*IF(V$3&gt;=st_central_debut_mult,st_central_mult_C,1)*IF(V11=1,1-0.8,IF(V11=2,1-0.3,1))</f>
        <v>8925</v>
      </c>
      <c r="W27" s="17" t="n">
        <f aca="false">(S3_ech_tourn*mot_tourn_cn)*W24*W9*IF(W$3&gt;=st_central_debut_mult,st_central_mult_C,1)*IF(W11=1,1-0.8,IF(W11=2,1-0.3,1))</f>
        <v>8925</v>
      </c>
      <c r="X27" s="17" t="n">
        <f aca="false">(S3_ech_tourn*mot_tourn_cn)*X24*X9*IF(X$3&gt;=st_central_debut_mult,st_central_mult_C,1)*IF(X11=1,1-0.8,IF(X11=2,1-0.3,1))</f>
        <v>8925</v>
      </c>
    </row>
    <row r="28" customFormat="false" ht="15" hidden="false" customHeight="false" outlineLevel="0" collapsed="false">
      <c r="A28" s="2" t="s">
        <v>1868</v>
      </c>
      <c r="B28" s="2" t="s">
        <v>1869</v>
      </c>
      <c r="C28" s="2" t="s">
        <v>1839</v>
      </c>
      <c r="E28" s="17" t="n">
        <f aca="false">E25+E26+E27</f>
        <v>52775.0536</v>
      </c>
      <c r="F28" s="17" t="n">
        <f aca="false">F25+F26+F27</f>
        <v>98953.2255</v>
      </c>
      <c r="G28" s="17" t="n">
        <f aca="false">G25+G26+G27</f>
        <v>131937.634</v>
      </c>
      <c r="H28" s="17" t="n">
        <f aca="false">H25+H26+H27</f>
        <v>131937.634</v>
      </c>
      <c r="I28" s="17" t="n">
        <f aca="false">I25+I26+I27</f>
        <v>131937.634</v>
      </c>
      <c r="J28" s="17" t="n">
        <f aca="false">J25+J26+J27</f>
        <v>131937.634</v>
      </c>
      <c r="K28" s="17" t="n">
        <f aca="false">K25+K26+K27</f>
        <v>131937.634</v>
      </c>
      <c r="L28" s="17" t="n">
        <f aca="false">L25+L26+L27</f>
        <v>131937.634</v>
      </c>
      <c r="M28" s="17" t="n">
        <f aca="false">M25+M26+M27</f>
        <v>131937.634</v>
      </c>
      <c r="N28" s="17" t="n">
        <f aca="false">N25+N26+N27</f>
        <v>131937.634</v>
      </c>
      <c r="O28" s="17" t="n">
        <f aca="false">O25+O26+O27</f>
        <v>131937.634</v>
      </c>
      <c r="P28" s="17" t="n">
        <f aca="false">P25+P26+P27</f>
        <v>131937.634</v>
      </c>
      <c r="Q28" s="17" t="n">
        <f aca="false">Q25+Q26+Q27</f>
        <v>131937.634</v>
      </c>
      <c r="R28" s="17" t="n">
        <f aca="false">R25+R26+R27</f>
        <v>131937.634</v>
      </c>
      <c r="S28" s="17" t="n">
        <f aca="false">S25+S26+S27</f>
        <v>131937.634</v>
      </c>
      <c r="T28" s="17" t="n">
        <f aca="false">T25+T26+T27</f>
        <v>131937.634</v>
      </c>
      <c r="U28" s="17" t="n">
        <f aca="false">U25+U26+U27</f>
        <v>131937.634</v>
      </c>
      <c r="V28" s="17" t="n">
        <f aca="false">V25+V26+V27</f>
        <v>131937.634</v>
      </c>
      <c r="W28" s="17" t="n">
        <f aca="false">W25+W26+W27</f>
        <v>131937.634</v>
      </c>
      <c r="X28" s="17" t="n">
        <f aca="false">X25+X26+X27</f>
        <v>131937.634</v>
      </c>
    </row>
    <row r="29" customFormat="false" ht="15" hidden="false" customHeight="false" outlineLevel="0" collapsed="false">
      <c r="A29" s="2" t="s">
        <v>1870</v>
      </c>
      <c r="B29" s="2" t="s">
        <v>1871</v>
      </c>
      <c r="C29" s="2" t="s">
        <v>1839</v>
      </c>
      <c r="E29" s="17" t="n">
        <f aca="false">IF(E28&gt;0,E28*(1-fuite_fiscale),E28)</f>
        <v>31665.03216</v>
      </c>
      <c r="F29" s="17" t="n">
        <f aca="false">IF(F28&gt;0,F28*(1-fuite_fiscale),F28)</f>
        <v>59371.9353</v>
      </c>
      <c r="G29" s="17" t="n">
        <f aca="false">IF(G28&gt;0,G28*(1-fuite_fiscale),G28)</f>
        <v>79162.5804</v>
      </c>
      <c r="H29" s="17" t="n">
        <f aca="false">IF(H28&gt;0,H28*(1-fuite_fiscale),H28)</f>
        <v>79162.5804</v>
      </c>
      <c r="I29" s="17" t="n">
        <f aca="false">IF(I28&gt;0,I28*(1-fuite_fiscale),I28)</f>
        <v>79162.5804</v>
      </c>
      <c r="J29" s="17" t="n">
        <f aca="false">IF(J28&gt;0,J28*(1-fuite_fiscale),J28)</f>
        <v>79162.5804</v>
      </c>
      <c r="K29" s="17" t="n">
        <f aca="false">IF(K28&gt;0,K28*(1-fuite_fiscale),K28)</f>
        <v>79162.5804</v>
      </c>
      <c r="L29" s="17" t="n">
        <f aca="false">IF(L28&gt;0,L28*(1-fuite_fiscale),L28)</f>
        <v>79162.5804</v>
      </c>
      <c r="M29" s="17" t="n">
        <f aca="false">IF(M28&gt;0,M28*(1-fuite_fiscale),M28)</f>
        <v>79162.5804</v>
      </c>
      <c r="N29" s="17" t="n">
        <f aca="false">IF(N28&gt;0,N28*(1-fuite_fiscale),N28)</f>
        <v>79162.5804</v>
      </c>
      <c r="O29" s="17" t="n">
        <f aca="false">IF(O28&gt;0,O28*(1-fuite_fiscale),O28)</f>
        <v>79162.5804</v>
      </c>
      <c r="P29" s="17" t="n">
        <f aca="false">IF(P28&gt;0,P28*(1-fuite_fiscale),P28)</f>
        <v>79162.5804</v>
      </c>
      <c r="Q29" s="17" t="n">
        <f aca="false">IF(Q28&gt;0,Q28*(1-fuite_fiscale),Q28)</f>
        <v>79162.5804</v>
      </c>
      <c r="R29" s="17" t="n">
        <f aca="false">IF(R28&gt;0,R28*(1-fuite_fiscale),R28)</f>
        <v>79162.5804</v>
      </c>
      <c r="S29" s="17" t="n">
        <f aca="false">IF(S28&gt;0,S28*(1-fuite_fiscale),S28)</f>
        <v>79162.5804</v>
      </c>
      <c r="T29" s="17" t="n">
        <f aca="false">IF(T28&gt;0,T28*(1-fuite_fiscale),T28)</f>
        <v>79162.5804</v>
      </c>
      <c r="U29" s="17" t="n">
        <f aca="false">IF(U28&gt;0,U28*(1-fuite_fiscale),U28)</f>
        <v>79162.5804</v>
      </c>
      <c r="V29" s="17" t="n">
        <f aca="false">IF(V28&gt;0,V28*(1-fuite_fiscale),V28)</f>
        <v>79162.5804</v>
      </c>
      <c r="W29" s="17" t="n">
        <f aca="false">IF(W28&gt;0,W28*(1-fuite_fiscale),W28)</f>
        <v>79162.5804</v>
      </c>
      <c r="X29" s="17" t="n">
        <f aca="false">IF(X28&gt;0,X28*(1-fuite_fiscale),X28)</f>
        <v>79162.5804</v>
      </c>
    </row>
    <row r="30" customFormat="false" ht="15" hidden="false" customHeight="false" outlineLevel="0" collapsed="false">
      <c r="A30" s="2" t="s">
        <v>1872</v>
      </c>
      <c r="B30" s="2" t="s">
        <v>1873</v>
      </c>
      <c r="C30" s="2" t="s">
        <v>1839</v>
      </c>
      <c r="E30" s="17" t="n">
        <f aca="false">IF(E$3=1,S3_ech_log*mot_log_inv+S3_ech_stock*stock_capex,0)</f>
        <v>2180000</v>
      </c>
      <c r="F30" s="17" t="n">
        <f aca="false">IF(F$3=1,S3_ech_log*mot_log_inv+S3_ech_stock*stock_capex,0)</f>
        <v>0</v>
      </c>
      <c r="G30" s="17" t="n">
        <f aca="false">IF(G$3=1,S3_ech_log*mot_log_inv+S3_ech_stock*stock_capex,0)</f>
        <v>0</v>
      </c>
      <c r="H30" s="17" t="n">
        <f aca="false">IF(H$3=1,S3_ech_log*mot_log_inv+S3_ech_stock*stock_capex,0)</f>
        <v>0</v>
      </c>
      <c r="I30" s="17" t="n">
        <f aca="false">IF(I$3=1,S3_ech_log*mot_log_inv+S3_ech_stock*stock_capex,0)</f>
        <v>0</v>
      </c>
      <c r="J30" s="17" t="n">
        <f aca="false">IF(J$3=1,S3_ech_log*mot_log_inv+S3_ech_stock*stock_capex,0)</f>
        <v>0</v>
      </c>
      <c r="K30" s="17" t="n">
        <f aca="false">IF(K$3=1,S3_ech_log*mot_log_inv+S3_ech_stock*stock_capex,0)</f>
        <v>0</v>
      </c>
      <c r="L30" s="17" t="n">
        <f aca="false">IF(L$3=1,S3_ech_log*mot_log_inv+S3_ech_stock*stock_capex,0)</f>
        <v>0</v>
      </c>
      <c r="M30" s="17" t="n">
        <f aca="false">IF(M$3=1,S3_ech_log*mot_log_inv+S3_ech_stock*stock_capex,0)</f>
        <v>0</v>
      </c>
      <c r="N30" s="17" t="n">
        <f aca="false">IF(N$3=1,S3_ech_log*mot_log_inv+S3_ech_stock*stock_capex,0)</f>
        <v>0</v>
      </c>
      <c r="O30" s="17" t="n">
        <f aca="false">IF(O$3=1,S3_ech_log*mot_log_inv+S3_ech_stock*stock_capex,0)</f>
        <v>0</v>
      </c>
      <c r="P30" s="17" t="n">
        <f aca="false">IF(P$3=1,S3_ech_log*mot_log_inv+S3_ech_stock*stock_capex,0)</f>
        <v>0</v>
      </c>
      <c r="Q30" s="17" t="n">
        <f aca="false">IF(Q$3=1,S3_ech_log*mot_log_inv+S3_ech_stock*stock_capex,0)</f>
        <v>0</v>
      </c>
      <c r="R30" s="17" t="n">
        <f aca="false">IF(R$3=1,S3_ech_log*mot_log_inv+S3_ech_stock*stock_capex,0)</f>
        <v>0</v>
      </c>
      <c r="S30" s="17" t="n">
        <f aca="false">IF(S$3=1,S3_ech_log*mot_log_inv+S3_ech_stock*stock_capex,0)</f>
        <v>0</v>
      </c>
      <c r="T30" s="17" t="n">
        <f aca="false">IF(T$3=1,S3_ech_log*mot_log_inv+S3_ech_stock*stock_capex,0)</f>
        <v>0</v>
      </c>
      <c r="U30" s="17" t="n">
        <f aca="false">IF(U$3=1,S3_ech_log*mot_log_inv+S3_ech_stock*stock_capex,0)</f>
        <v>0</v>
      </c>
      <c r="V30" s="17" t="n">
        <f aca="false">IF(V$3=1,S3_ech_log*mot_log_inv+S3_ech_stock*stock_capex,0)</f>
        <v>0</v>
      </c>
      <c r="W30" s="17" t="n">
        <f aca="false">IF(W$3=1,S3_ech_log*mot_log_inv+S3_ech_stock*stock_capex,0)</f>
        <v>0</v>
      </c>
      <c r="X30" s="17" t="n">
        <f aca="false">IF(X$3=1,S3_ech_log*mot_log_inv+S3_ech_stock*stock_capex,0)</f>
        <v>0</v>
      </c>
    </row>
    <row r="31" customFormat="false" ht="15" hidden="false" customHeight="false" outlineLevel="0" collapsed="false">
      <c r="A31" s="2" t="s">
        <v>1874</v>
      </c>
      <c r="B31" s="2" t="s">
        <v>1875</v>
      </c>
      <c r="C31" s="2" t="s">
        <v>1839</v>
      </c>
      <c r="E31" s="17" t="n">
        <f aca="false">MIN(E30,MAX(0,D44))</f>
        <v>2180000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dette_active*IF(E$3&lt;=dette_duree,-PMT(dette_taux,dette_duree,S3_prix_achat*dette_quotite)/E10,0)</f>
        <v>0</v>
      </c>
      <c r="F32" s="17" t="n">
        <f aca="false">dette_active*IF(F$3&lt;=dette_duree,-PMT(dette_taux,dette_duree,S3_prix_achat*dette_quotite)/F10,0)</f>
        <v>0</v>
      </c>
      <c r="G32" s="17" t="n">
        <f aca="false">dette_active*IF(G$3&lt;=dette_duree,-PMT(dette_taux,dette_duree,S3_prix_achat*dette_quotite)/G10,0)</f>
        <v>0</v>
      </c>
      <c r="H32" s="17" t="n">
        <f aca="false">dette_active*IF(H$3&lt;=dette_duree,-PMT(dette_taux,dette_duree,S3_prix_achat*dette_quotite)/H10,0)</f>
        <v>0</v>
      </c>
      <c r="I32" s="17" t="n">
        <f aca="false">dette_active*IF(I$3&lt;=dette_duree,-PMT(dette_taux,dette_duree,S3_prix_achat*dette_quotite)/I10,0)</f>
        <v>0</v>
      </c>
      <c r="J32" s="17" t="n">
        <f aca="false">dette_active*IF(J$3&lt;=dette_duree,-PMT(dette_taux,dette_duree,S3_prix_achat*dette_quotite)/J10,0)</f>
        <v>0</v>
      </c>
      <c r="K32" s="17" t="n">
        <f aca="false">dette_active*IF(K$3&lt;=dette_duree,-PMT(dette_taux,dette_duree,S3_prix_achat*dette_quotite)/K10,0)</f>
        <v>0</v>
      </c>
      <c r="L32" s="17" t="n">
        <f aca="false">dette_active*IF(L$3&lt;=dette_duree,-PMT(dette_taux,dette_duree,S3_prix_achat*dette_quotite)/L10,0)</f>
        <v>0</v>
      </c>
      <c r="M32" s="17" t="n">
        <f aca="false">dette_active*IF(M$3&lt;=dette_duree,-PMT(dette_taux,dette_duree,S3_prix_achat*dette_quotite)/M10,0)</f>
        <v>0</v>
      </c>
      <c r="N32" s="17" t="n">
        <f aca="false">dette_active*IF(N$3&lt;=dette_duree,-PMT(dette_taux,dette_duree,S3_prix_achat*dette_quotite)/N10,0)</f>
        <v>0</v>
      </c>
      <c r="O32" s="17" t="n">
        <f aca="false">dette_active*IF(O$3&lt;=dette_duree,-PMT(dette_taux,dette_duree,S3_prix_achat*dette_quotite)/O10,0)</f>
        <v>0</v>
      </c>
      <c r="P32" s="17" t="n">
        <f aca="false">dette_active*IF(P$3&lt;=dette_duree,-PMT(dette_taux,dette_duree,S3_prix_achat*dette_quotite)/P10,0)</f>
        <v>0</v>
      </c>
      <c r="Q32" s="17" t="n">
        <f aca="false">dette_active*IF(Q$3&lt;=dette_duree,-PMT(dette_taux,dette_duree,S3_prix_achat*dette_quotite)/Q10,0)</f>
        <v>0</v>
      </c>
      <c r="R32" s="17" t="n">
        <f aca="false">dette_active*IF(R$3&lt;=dette_duree,-PMT(dette_taux,dette_duree,S3_prix_achat*dette_quotite)/R10,0)</f>
        <v>0</v>
      </c>
      <c r="S32" s="17" t="n">
        <f aca="false">dette_active*IF(S$3&lt;=dette_duree,-PMT(dette_taux,dette_duree,S3_prix_achat*dette_quotite)/S10,0)</f>
        <v>0</v>
      </c>
      <c r="T32" s="17" t="n">
        <f aca="false">dette_active*IF(T$3&lt;=dette_duree,-PMT(dette_taux,dette_duree,S3_prix_achat*dette_quotite)/T10,0)</f>
        <v>0</v>
      </c>
      <c r="U32" s="17" t="n">
        <f aca="false">dette_active*IF(U$3&lt;=dette_duree,-PMT(dette_taux,dette_duree,S3_prix_achat*dette_quotite)/U10,0)</f>
        <v>0</v>
      </c>
      <c r="V32" s="17" t="n">
        <f aca="false">dette_active*IF(V$3&lt;=dette_duree,-PMT(dette_taux,dette_duree,S3_prix_achat*dette_quotite)/V10,0)</f>
        <v>0</v>
      </c>
      <c r="W32" s="17" t="n">
        <f aca="false">dette_active*IF(W$3&lt;=dette_duree,-PMT(dette_taux,dette_duree,S3_prix_achat*dette_quotite)/W10,0)</f>
        <v>0</v>
      </c>
      <c r="X32" s="17" t="n">
        <f aca="false">dette_active*IF(X$3&lt;=dette_duree,-PMT(dette_taux,dette_duree,S3_prix_achat*dette_quotite)/X10,0)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E12*flex_taux*bud_total_besoin_S3</f>
        <v>0</v>
      </c>
      <c r="F34" s="17" t="n">
        <f aca="false">F12*flex_taux*bud_total_besoin_S3</f>
        <v>0</v>
      </c>
      <c r="G34" s="17" t="n">
        <f aca="false">G12*flex_taux*bud_total_besoin_S3</f>
        <v>0</v>
      </c>
      <c r="H34" s="17" t="n">
        <f aca="false">H12*flex_taux*bud_total_besoin_S3</f>
        <v>0</v>
      </c>
      <c r="I34" s="17" t="n">
        <f aca="false">I12*flex_taux*bud_total_besoin_S3</f>
        <v>0</v>
      </c>
      <c r="J34" s="17" t="n">
        <f aca="false">J12*flex_taux*bud_total_besoin_S3</f>
        <v>0</v>
      </c>
      <c r="K34" s="17" t="n">
        <f aca="false">K12*flex_taux*bud_total_besoin_S3</f>
        <v>0</v>
      </c>
      <c r="L34" s="17" t="n">
        <f aca="false">L12*flex_taux*bud_total_besoin_S3</f>
        <v>0</v>
      </c>
      <c r="M34" s="17" t="n">
        <f aca="false">M12*flex_taux*bud_total_besoin_S3</f>
        <v>0</v>
      </c>
      <c r="N34" s="17" t="n">
        <f aca="false">N12*flex_taux*bud_total_besoin_S3</f>
        <v>0</v>
      </c>
      <c r="O34" s="17" t="n">
        <f aca="false">O12*flex_taux*bud_total_besoin_S3</f>
        <v>0</v>
      </c>
      <c r="P34" s="17" t="n">
        <f aca="false">P12*flex_taux*bud_total_besoin_S3</f>
        <v>0</v>
      </c>
      <c r="Q34" s="17" t="n">
        <f aca="false">Q12*flex_taux*bud_total_besoin_S3</f>
        <v>0</v>
      </c>
      <c r="R34" s="17" t="n">
        <f aca="false">R12*flex_taux*bud_total_besoin_S3</f>
        <v>0</v>
      </c>
      <c r="S34" s="17" t="n">
        <f aca="false">S12*flex_taux*bud_total_besoin_S3</f>
        <v>0</v>
      </c>
      <c r="T34" s="17" t="n">
        <f aca="false">T12*flex_taux*bud_total_besoin_S3</f>
        <v>0</v>
      </c>
      <c r="U34" s="17" t="n">
        <f aca="false">U12*flex_taux*bud_total_besoin_S3</f>
        <v>0</v>
      </c>
      <c r="V34" s="17" t="n">
        <f aca="false">V12*flex_taux*bud_total_besoin_S3</f>
        <v>0</v>
      </c>
      <c r="W34" s="17" t="n">
        <f aca="false">W12*flex_taux*bud_total_besoin_S3</f>
        <v>0</v>
      </c>
      <c r="X34" s="17" t="n">
        <f aca="false">X12*flex_taux*bud_total_besoin_S3</f>
        <v>0</v>
      </c>
    </row>
    <row r="35" customFormat="false" ht="15" hidden="false" customHeight="false" outlineLevel="0" collapsed="false">
      <c r="A35" s="2" t="s">
        <v>1882</v>
      </c>
      <c r="B35" s="2" t="s">
        <v>1883</v>
      </c>
      <c r="C35" s="2" t="s">
        <v>1839</v>
      </c>
      <c r="E35" s="17" t="n">
        <f aca="false">E13+E14+E15+E16+E17+E21+E32-E29-E23-E33-E34</f>
        <v>3759340.39909</v>
      </c>
      <c r="F35" s="17" t="n">
        <f aca="false">F13+F14+F15+F16+F17+F21+F32-F29-F23-F33-F34</f>
        <v>3752173.29335312</v>
      </c>
      <c r="G35" s="17" t="n">
        <f aca="false">G13+G14+G15+G16+G17+G21+G32-G29-G23-G33-G34</f>
        <v>3753122.33298918</v>
      </c>
      <c r="H35" s="17" t="n">
        <f aca="false">H13+H14+H15+H16+H17+H21+H32-H29-H23-H33-H34</f>
        <v>3774064.48153727</v>
      </c>
      <c r="I35" s="17" t="n">
        <f aca="false">I13+I14+I15+I16+I17+I21+I32-I29-I23-I33-I34</f>
        <v>3795211.71139248</v>
      </c>
      <c r="J35" s="17" t="n">
        <f aca="false">J13+J14+J15+J16+J17+J21+J32-J29-J23-J33-J34</f>
        <v>3816566.68179588</v>
      </c>
      <c r="K35" s="17" t="n">
        <f aca="false">K13+K14+K15+K16+K17+K21+K32-K29-K23-K33-K34</f>
        <v>3838132.09447824</v>
      </c>
      <c r="L35" s="17" t="n">
        <f aca="false">L13+L14+L15+L16+L17+L21+L32-L29-L23-L33-L34</f>
        <v>3859910.69441763</v>
      </c>
      <c r="M35" s="17" t="n">
        <f aca="false">M13+M14+M15+M16+M17+M21+M32-M29-M23-M33-M34</f>
        <v>3881905.27061115</v>
      </c>
      <c r="N35" s="17" t="n">
        <f aca="false">N13+N14+N15+N16+N17+N21+N32-N29-N23-N33-N34</f>
        <v>3904118.65686112</v>
      </c>
      <c r="O35" s="17" t="n">
        <f aca="false">O13+O14+O15+O16+O17+O21+O32-O29-O23-O33-O34</f>
        <v>3926553.73257601</v>
      </c>
      <c r="P35" s="17" t="n">
        <f aca="false">P13+P14+P15+P16+P17+P21+P32-P29-P23-P33-P34</f>
        <v>3949213.42358633</v>
      </c>
      <c r="Q35" s="17" t="n">
        <f aca="false">Q13+Q14+Q15+Q16+Q17+Q21+Q32-Q29-Q23-Q33-Q34</f>
        <v>3972100.70297579</v>
      </c>
      <c r="R35" s="17" t="n">
        <f aca="false">R13+R14+R15+R16+R17+R21+R32-R29-R23-R33-R34</f>
        <v>3995218.5919281</v>
      </c>
      <c r="S35" s="17" t="n">
        <f aca="false">S13+S14+S15+S16+S17+S21+S32-S29-S23-S33-S34</f>
        <v>4018570.16058951</v>
      </c>
      <c r="T35" s="17" t="n">
        <f aca="false">T13+T14+T15+T16+T17+T21+T32-T29-T23-T33-T34</f>
        <v>4042158.52894766</v>
      </c>
      <c r="U35" s="17" t="n">
        <f aca="false">U13+U14+U15+U16+U17+U21+U32-U29-U23-U33-U34</f>
        <v>4065986.86772683</v>
      </c>
      <c r="V35" s="17" t="n">
        <f aca="false">V13+V14+V15+V16+V17+V21+V32-V29-V23-V33-V34</f>
        <v>4090058.39930001</v>
      </c>
      <c r="W35" s="17" t="n">
        <f aca="false">W13+W14+W15+W16+W17+W21+W32-W29-W23-W33-W34</f>
        <v>4114376.39861805</v>
      </c>
      <c r="X35" s="17" t="n">
        <f aca="false">X13+X14+X15+X16+X17+X21+X32-X29-X23-X33-X34</f>
        <v>4138944.19415631</v>
      </c>
    </row>
    <row r="36" customFormat="false" ht="15" hidden="false" customHeight="false" outlineLevel="0" collapsed="false">
      <c r="A36" s="2" t="s">
        <v>1884</v>
      </c>
      <c r="B36" s="2" t="s">
        <v>1885</v>
      </c>
      <c r="C36" s="2" t="s">
        <v>1839</v>
      </c>
      <c r="E36" s="17" t="n">
        <f aca="false">IF(AND(E$3&lt;=S3_sol_div_annees,E$3&lt;=st_central_div_fin),S3_sol_div*IF(E11=1,0.5,1),0)</f>
        <v>0</v>
      </c>
      <c r="F36" s="17" t="n">
        <f aca="false">IF(AND(F$3&lt;=S3_sol_div_annees,F$3&lt;=st_central_div_fin),S3_sol_div*IF(F11=1,0.5,1),0)</f>
        <v>0</v>
      </c>
      <c r="G36" s="17" t="n">
        <f aca="false">IF(AND(G$3&lt;=S3_sol_div_annees,G$3&lt;=st_central_div_fin),S3_sol_div*IF(G11=1,0.5,1),0)</f>
        <v>0</v>
      </c>
      <c r="H36" s="17" t="n">
        <f aca="false">IF(AND(H$3&lt;=S3_sol_div_annees,H$3&lt;=st_central_div_fin),S3_sol_div*IF(H11=1,0.5,1),0)</f>
        <v>0</v>
      </c>
      <c r="I36" s="17" t="n">
        <f aca="false">IF(AND(I$3&lt;=S3_sol_div_annees,I$3&lt;=st_central_div_fin),S3_sol_div*IF(I11=1,0.5,1),0)</f>
        <v>0</v>
      </c>
      <c r="J36" s="17" t="n">
        <f aca="false">IF(AND(J$3&lt;=S3_sol_div_annees,J$3&lt;=st_central_div_fin),S3_sol_div*IF(J11=1,0.5,1),0)</f>
        <v>0</v>
      </c>
      <c r="K36" s="17" t="n">
        <f aca="false">IF(AND(K$3&lt;=S3_sol_div_annees,K$3&lt;=st_central_div_fin),S3_sol_div*IF(K11=1,0.5,1),0)</f>
        <v>0</v>
      </c>
      <c r="L36" s="17" t="n">
        <f aca="false">IF(AND(L$3&lt;=S3_sol_div_annees,L$3&lt;=st_central_div_fin),S3_sol_div*IF(L11=1,0.5,1),0)</f>
        <v>0</v>
      </c>
      <c r="M36" s="17" t="n">
        <f aca="false">IF(AND(M$3&lt;=S3_sol_div_annees,M$3&lt;=st_central_div_fin),S3_sol_div*IF(M11=1,0.5,1),0)</f>
        <v>0</v>
      </c>
      <c r="N36" s="17" t="n">
        <f aca="false">IF(AND(N$3&lt;=S3_sol_div_annees,N$3&lt;=st_central_div_fin),S3_sol_div*IF(N11=1,0.5,1),0)</f>
        <v>0</v>
      </c>
      <c r="O36" s="17" t="n">
        <f aca="false">IF(AND(O$3&lt;=S3_sol_div_annees,O$3&lt;=st_central_div_fin),S3_sol_div*IF(O11=1,0.5,1),0)</f>
        <v>0</v>
      </c>
      <c r="P36" s="17" t="n">
        <f aca="false">IF(AND(P$3&lt;=S3_sol_div_annees,P$3&lt;=st_central_div_fin),S3_sol_div*IF(P11=1,0.5,1),0)</f>
        <v>0</v>
      </c>
      <c r="Q36" s="17" t="n">
        <f aca="false">IF(AND(Q$3&lt;=S3_sol_div_annees,Q$3&lt;=st_central_div_fin),S3_sol_div*IF(Q11=1,0.5,1),0)</f>
        <v>0</v>
      </c>
      <c r="R36" s="17" t="n">
        <f aca="false">IF(AND(R$3&lt;=S3_sol_div_annees,R$3&lt;=st_central_div_fin),S3_sol_div*IF(R11=1,0.5,1),0)</f>
        <v>0</v>
      </c>
      <c r="S36" s="17" t="n">
        <f aca="false">IF(AND(S$3&lt;=S3_sol_div_annees,S$3&lt;=st_central_div_fin),S3_sol_div*IF(S11=1,0.5,1),0)</f>
        <v>0</v>
      </c>
      <c r="T36" s="17" t="n">
        <f aca="false">IF(AND(T$3&lt;=S3_sol_div_annees,T$3&lt;=st_central_div_fin),S3_sol_div*IF(T11=1,0.5,1),0)</f>
        <v>0</v>
      </c>
      <c r="U36" s="17" t="n">
        <f aca="false">IF(AND(U$3&lt;=S3_sol_div_annees,U$3&lt;=st_central_div_fin),S3_sol_div*IF(U11=1,0.5,1),0)</f>
        <v>0</v>
      </c>
      <c r="V36" s="17" t="n">
        <f aca="false">IF(AND(V$3&lt;=S3_sol_div_annees,V$3&lt;=st_central_div_fin),S3_sol_div*IF(V11=1,0.5,1),0)</f>
        <v>0</v>
      </c>
      <c r="W36" s="17" t="n">
        <f aca="false">IF(AND(W$3&lt;=S3_sol_div_annees,W$3&lt;=st_central_div_fin),S3_sol_div*IF(W11=1,0.5,1),0)</f>
        <v>0</v>
      </c>
      <c r="X36" s="17" t="n">
        <f aca="false">IF(AND(X$3&lt;=S3_sol_div_annees,X$3&lt;=st_central_div_fin),S3_sol_div*IF(X11=1,0.5,1),0)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dot_taux_net*S3_sol_dotation0</f>
        <v>8400000</v>
      </c>
      <c r="E38" s="17" t="n">
        <f aca="false">lissage_depense*D38+(1-lissage_depense)*dot_taux_net*MAX(0,D44)</f>
        <v>8400000</v>
      </c>
      <c r="F38" s="17" t="n">
        <f aca="false">lissage_depense*E38+(1-lissage_depense)*dot_taux_net*MAX(0,E44)</f>
        <v>8412742.30860318</v>
      </c>
      <c r="G38" s="17" t="n">
        <f aca="false">lissage_depense*F38+(1-lissage_depense)*dot_taux_net*MAX(0,F44)</f>
        <v>8443512.86617272</v>
      </c>
      <c r="H38" s="17" t="n">
        <f aca="false">lissage_depense*G38+(1-lissage_depense)*dot_taux_net*MAX(0,G44)</f>
        <v>8489113.12510542</v>
      </c>
      <c r="I38" s="17" t="n">
        <f aca="false">lissage_depense*H38+(1-lissage_depense)*dot_taux_net*MAX(0,H44)</f>
        <v>8546922.40040111</v>
      </c>
      <c r="J38" s="17" t="n">
        <f aca="false">lissage_depense*I38+(1-lissage_depense)*dot_taux_net*MAX(0,I44)</f>
        <v>8614850.31810361</v>
      </c>
      <c r="K38" s="17" t="n">
        <f aca="false">lissage_depense*J38+(1-lissage_depense)*dot_taux_net*MAX(0,J44)</f>
        <v>8691230.86706534</v>
      </c>
      <c r="L38" s="17" t="n">
        <f aca="false">lissage_depense*K38+(1-lissage_depense)*dot_taux_net*MAX(0,K44)</f>
        <v>8774737.64248628</v>
      </c>
      <c r="M38" s="17" t="n">
        <f aca="false">lissage_depense*L38+(1-lissage_depense)*dot_taux_net*MAX(0,L44)</f>
        <v>8864316.04291231</v>
      </c>
      <c r="N38" s="17" t="n">
        <f aca="false">lissage_depense*M38+(1-lissage_depense)*dot_taux_net*MAX(0,M44)</f>
        <v>8959129.03004151</v>
      </c>
      <c r="O38" s="17" t="n">
        <f aca="false">lissage_depense*N38+(1-lissage_depense)*dot_taux_net*MAX(0,N44)</f>
        <v>9058513.73881823</v>
      </c>
      <c r="P38" s="17" t="n">
        <f aca="false">lissage_depense*O38+(1-lissage_depense)*dot_taux_net*MAX(0,O44)</f>
        <v>9161946.76779952</v>
      </c>
      <c r="Q38" s="17" t="n">
        <f aca="false">lissage_depense*P38+(1-lissage_depense)*dot_taux_net*MAX(0,P44)</f>
        <v>9269016.41378224</v>
      </c>
      <c r="R38" s="17" t="n">
        <f aca="false">lissage_depense*Q38+(1-lissage_depense)*dot_taux_net*MAX(0,Q44)</f>
        <v>9379400.46188256</v>
      </c>
      <c r="S38" s="17" t="n">
        <f aca="false">lissage_depense*R38+(1-lissage_depense)*dot_taux_net*MAX(0,R44)</f>
        <v>9492848.42002173</v>
      </c>
      <c r="T38" s="17" t="n">
        <f aca="false">lissage_depense*S38+(1-lissage_depense)*dot_taux_net*MAX(0,S44)</f>
        <v>9609167.30898236</v>
      </c>
      <c r="U38" s="17" t="n">
        <f aca="false">lissage_depense*T38+(1-lissage_depense)*dot_taux_net*MAX(0,T44)</f>
        <v>9728210.2969672</v>
      </c>
      <c r="V38" s="17" t="n">
        <f aca="false">lissage_depense*U38+(1-lissage_depense)*dot_taux_net*MAX(0,U44)</f>
        <v>9849867.6098071</v>
      </c>
      <c r="W38" s="17" t="n">
        <f aca="false">lissage_depense*V38+(1-lissage_depense)*dot_taux_net*MAX(0,V44)</f>
        <v>9974059.26173612</v>
      </c>
      <c r="X38" s="17" t="n">
        <f aca="false">lissage_depense*W38+(1-lissage_depense)*dot_taux_net*MAX(0,W44)</f>
        <v>10100729.2426693</v>
      </c>
    </row>
    <row r="39" customFormat="false" ht="15" hidden="false" customHeight="false" outlineLevel="0" collapsed="false">
      <c r="A39" s="2" t="s">
        <v>1890</v>
      </c>
      <c r="B39" s="18" t="s">
        <v>1891</v>
      </c>
      <c r="C39" s="2" t="s">
        <v>1839</v>
      </c>
      <c r="E39" s="23" t="n">
        <f aca="false">S3_sol_reserve0*MAX(D18,bud_total_besoin_S3)/bud_total_besoin_S3</f>
        <v>4000000</v>
      </c>
      <c r="F39" s="23" t="n">
        <f aca="false">S3_sol_reserve0*MAX(E18,bud_total_besoin_S3)/bud_total_besoin_S3</f>
        <v>4021579.70238223</v>
      </c>
      <c r="G39" s="23" t="n">
        <f aca="false">S3_sol_reserve0*MAX(F18,bud_total_besoin_S3)/bud_total_besoin_S3</f>
        <v>4043368.75909171</v>
      </c>
      <c r="H39" s="23" t="n">
        <f aca="false">S3_sol_reserve0*MAX(G18,bud_total_besoin_S3)/bud_total_besoin_S3</f>
        <v>4065369.86056226</v>
      </c>
      <c r="I39" s="23" t="n">
        <f aca="false">S3_sol_reserve0*MAX(H18,bud_total_besoin_S3)/bud_total_besoin_S3</f>
        <v>4087585.73997806</v>
      </c>
      <c r="J39" s="23" t="n">
        <f aca="false">S3_sol_reserve0*MAX(I18,bud_total_besoin_S3)/bud_total_besoin_S3</f>
        <v>4110019.1740339</v>
      </c>
      <c r="K39" s="23" t="n">
        <f aca="false">S3_sol_reserve0*MAX(J18,bud_total_besoin_S3)/bud_total_besoin_S3</f>
        <v>4132672.98370966</v>
      </c>
      <c r="L39" s="23" t="n">
        <f aca="false">S3_sol_reserve0*MAX(K18,bud_total_besoin_S3)/bud_total_besoin_S3</f>
        <v>4155550.03505914</v>
      </c>
      <c r="M39" s="23" t="n">
        <f aca="false">S3_sol_reserve0*MAX(L18,bud_total_besoin_S3)/bud_total_besoin_S3</f>
        <v>4178653.24001385</v>
      </c>
      <c r="N39" s="23" t="n">
        <f aca="false">S3_sol_reserve0*MAX(M18,bud_total_besoin_S3)/bud_total_besoin_S3</f>
        <v>4201985.55720158</v>
      </c>
      <c r="O39" s="23" t="n">
        <f aca="false">S3_sol_reserve0*MAX(N18,bud_total_besoin_S3)/bud_total_besoin_S3</f>
        <v>4225549.99278051</v>
      </c>
      <c r="P39" s="23" t="n">
        <f aca="false">S3_sol_reserve0*MAX(O18,bud_total_besoin_S3)/bud_total_besoin_S3</f>
        <v>4249349.60128876</v>
      </c>
      <c r="Q39" s="23" t="n">
        <f aca="false">S3_sol_reserve0*MAX(P18,bud_total_besoin_S3)/bud_total_besoin_S3</f>
        <v>4273387.48650996</v>
      </c>
      <c r="R39" s="23" t="n">
        <f aca="false">S3_sol_reserve0*MAX(Q18,bud_total_besoin_S3)/bud_total_besoin_S3</f>
        <v>4297666.80235496</v>
      </c>
      <c r="S39" s="23" t="n">
        <f aca="false">S3_sol_reserve0*MAX(R18,bud_total_besoin_S3)/bud_total_besoin_S3</f>
        <v>4322190.75376008</v>
      </c>
      <c r="T39" s="23" t="n">
        <f aca="false">S3_sol_reserve0*MAX(S18,bud_total_besoin_S3)/bud_total_besoin_S3</f>
        <v>4346962.59760219</v>
      </c>
      <c r="U39" s="23" t="n">
        <f aca="false">S3_sol_reserve0*MAX(T18,bud_total_besoin_S3)/bud_total_besoin_S3</f>
        <v>4371985.64363095</v>
      </c>
      <c r="V39" s="23" t="n">
        <f aca="false">S3_sol_reserve0*MAX(U18,bud_total_besoin_S3)/bud_total_besoin_S3</f>
        <v>4397263.25541855</v>
      </c>
      <c r="W39" s="23" t="n">
        <f aca="false">S3_sol_reserve0*MAX(V18,bud_total_besoin_S3)/bud_total_besoin_S3</f>
        <v>4422798.85132721</v>
      </c>
      <c r="X39" s="23" t="n">
        <f aca="false">S3_sol_reserve0*MAX(W18,bud_total_besoin_S3)/bud_total_besoin_S3</f>
        <v>4448595.9054949</v>
      </c>
    </row>
    <row r="40" customFormat="false" ht="15" hidden="false" customHeight="false" outlineLevel="0" collapsed="false">
      <c r="A40" s="2" t="s">
        <v>1892</v>
      </c>
      <c r="B40" s="2" t="s">
        <v>1893</v>
      </c>
      <c r="C40" s="2" t="s">
        <v>1839</v>
      </c>
      <c r="E40" s="17" t="n">
        <f aca="false">MAX(0,E39-D45*(1+taux_reserve))</f>
        <v>20000</v>
      </c>
      <c r="F40" s="17" t="n">
        <f aca="false">MAX(0,F39-E45*(1+taux_reserve))</f>
        <v>41579.7023822321</v>
      </c>
      <c r="G40" s="17" t="n">
        <f aca="false">MAX(0,G39-F45*(1+taux_reserve))</f>
        <v>41896.9552213908</v>
      </c>
      <c r="H40" s="17" t="n">
        <f aca="false">MAX(0,H39-G45*(1+taux_reserve))</f>
        <v>42217.9452660051</v>
      </c>
      <c r="I40" s="17" t="n">
        <f aca="false">MAX(0,I39-H45*(1+taux_reserve))</f>
        <v>42542.72871861</v>
      </c>
      <c r="J40" s="17" t="n">
        <f aca="false">MAX(0,J39-I45*(1+taux_reserve))</f>
        <v>42871.3627557377</v>
      </c>
      <c r="K40" s="17" t="n">
        <f aca="false">MAX(0,K39-J45*(1+taux_reserve))</f>
        <v>43203.9055459211</v>
      </c>
      <c r="L40" s="17" t="n">
        <f aca="false">MAX(0,L39-K45*(1+taux_reserve))</f>
        <v>43540.4162680367</v>
      </c>
      <c r="M40" s="17" t="n">
        <f aca="false">MAX(0,M39-L45*(1+taux_reserve))</f>
        <v>43880.9551299983</v>
      </c>
      <c r="N40" s="17" t="n">
        <f aca="false">MAX(0,N39-M45*(1+taux_reserve))</f>
        <v>44225.5833878005</v>
      </c>
      <c r="O40" s="17" t="n">
        <f aca="false">MAX(0,O39-N45*(1+taux_reserve))</f>
        <v>44574.3633649345</v>
      </c>
      <c r="P40" s="17" t="n">
        <f aca="false">MAX(0,P39-O45*(1+taux_reserve))</f>
        <v>44927.3584721563</v>
      </c>
      <c r="Q40" s="17" t="n">
        <f aca="false">MAX(0,Q39-P45*(1+taux_reserve))</f>
        <v>45284.6332276482</v>
      </c>
      <c r="R40" s="17" t="n">
        <f aca="false">MAX(0,R39-Q45*(1+taux_reserve))</f>
        <v>45646.2532775514</v>
      </c>
      <c r="S40" s="17" t="n">
        <f aca="false">MAX(0,S39-R45*(1+taux_reserve))</f>
        <v>46012.2854168918</v>
      </c>
      <c r="T40" s="17" t="n">
        <f aca="false">MAX(0,T39-S45*(1+taux_reserve))</f>
        <v>46382.7976109078</v>
      </c>
      <c r="U40" s="17" t="n">
        <f aca="false">MAX(0,U39-T45*(1+taux_reserve))</f>
        <v>46757.8590167733</v>
      </c>
      <c r="V40" s="17" t="n">
        <f aca="false">MAX(0,V39-U45*(1+taux_reserve))</f>
        <v>47137.5400057528</v>
      </c>
      <c r="W40" s="17" t="n">
        <f aca="false">MAX(0,W39-V45*(1+taux_reserve))</f>
        <v>47521.9121857537</v>
      </c>
      <c r="X40" s="17" t="n">
        <f aca="false">MAX(0,X39-W45*(1+taux_reserve))</f>
        <v>47911.0484243268</v>
      </c>
    </row>
    <row r="41" customFormat="false" ht="15" hidden="false" customHeight="false" outlineLevel="0" collapsed="false">
      <c r="A41" s="2" t="s">
        <v>1894</v>
      </c>
      <c r="B41" s="2" t="s">
        <v>1895</v>
      </c>
      <c r="C41" s="2" t="s">
        <v>1839</v>
      </c>
      <c r="E41" s="17" t="n">
        <f aca="false">MIN(MAX(0,E35-E36+E40),IF(E12=1,MAX(E38,retrait_urgence*MAX(0,D44)),E38))</f>
        <v>3779340.39909</v>
      </c>
      <c r="F41" s="17" t="n">
        <f aca="false">MIN(MAX(0,F35-F36+F40),IF(F12=1,MAX(F38,retrait_urgence*MAX(0,E44)),F38))</f>
        <v>3793752.99573536</v>
      </c>
      <c r="G41" s="17" t="n">
        <f aca="false">MIN(MAX(0,G35-G36+G40),IF(G12=1,MAX(G38,retrait_urgence*MAX(0,F44)),G38))</f>
        <v>3795019.28821057</v>
      </c>
      <c r="H41" s="17" t="n">
        <f aca="false">MIN(MAX(0,H35-H36+H40),IF(H12=1,MAX(H38,retrait_urgence*MAX(0,G44)),H38))</f>
        <v>3816282.42680328</v>
      </c>
      <c r="I41" s="17" t="n">
        <f aca="false">MIN(MAX(0,I35-I36+I40),IF(I12=1,MAX(I38,retrait_urgence*MAX(0,H44)),I38))</f>
        <v>3837754.44011109</v>
      </c>
      <c r="J41" s="17" t="n">
        <f aca="false">MIN(MAX(0,J35-J36+J40),IF(J12=1,MAX(J38,retrait_urgence*MAX(0,I44)),J38))</f>
        <v>3859438.04455161</v>
      </c>
      <c r="K41" s="17" t="n">
        <f aca="false">MIN(MAX(0,K35-K36+K40),IF(K12=1,MAX(K38,retrait_urgence*MAX(0,J44)),K38))</f>
        <v>3881336.00002416</v>
      </c>
      <c r="L41" s="17" t="n">
        <f aca="false">MIN(MAX(0,L35-L36+L40),IF(L12=1,MAX(L38,retrait_urgence*MAX(0,K44)),L38))</f>
        <v>3903451.11068567</v>
      </c>
      <c r="M41" s="17" t="n">
        <f aca="false">MIN(MAX(0,M35-M36+M40),IF(M12=1,MAX(M38,retrait_urgence*MAX(0,L44)),M38))</f>
        <v>3925786.22574115</v>
      </c>
      <c r="N41" s="17" t="n">
        <f aca="false">MIN(MAX(0,N35-N36+N40),IF(N12=1,MAX(N38,retrait_urgence*MAX(0,M44)),N38))</f>
        <v>3948344.24024892</v>
      </c>
      <c r="O41" s="17" t="n">
        <f aca="false">MIN(MAX(0,O35-O36+O40),IF(O12=1,MAX(O38,retrait_urgence*MAX(0,N44)),O38))</f>
        <v>3971128.09594094</v>
      </c>
      <c r="P41" s="17" t="n">
        <f aca="false">MIN(MAX(0,P35-P36+P40),IF(P12=1,MAX(P38,retrait_urgence*MAX(0,O44)),P38))</f>
        <v>3994140.78205848</v>
      </c>
      <c r="Q41" s="17" t="n">
        <f aca="false">MIN(MAX(0,Q35-Q36+Q40),IF(Q12=1,MAX(Q38,retrait_urgence*MAX(0,P44)),Q38))</f>
        <v>4017385.33620344</v>
      </c>
      <c r="R41" s="17" t="n">
        <f aca="false">MIN(MAX(0,R35-R36+R40),IF(R12=1,MAX(R38,retrait_urgence*MAX(0,Q44)),R38))</f>
        <v>4040864.84520565</v>
      </c>
      <c r="S41" s="17" t="n">
        <f aca="false">MIN(MAX(0,S35-S36+S40),IF(S12=1,MAX(S38,retrait_urgence*MAX(0,R44)),S38))</f>
        <v>4064582.4460064</v>
      </c>
      <c r="T41" s="17" t="n">
        <f aca="false">MIN(MAX(0,T35-T36+T40),IF(T12=1,MAX(T38,retrait_urgence*MAX(0,S44)),T38))</f>
        <v>4088541.32655857</v>
      </c>
      <c r="U41" s="17" t="n">
        <f aca="false">MIN(MAX(0,U35-U36+U40),IF(U12=1,MAX(U38,retrait_urgence*MAX(0,T44)),U38))</f>
        <v>4112744.7267436</v>
      </c>
      <c r="V41" s="17" t="n">
        <f aca="false">MIN(MAX(0,V35-V36+V40),IF(V12=1,MAX(V38,retrait_urgence*MAX(0,U44)),V38))</f>
        <v>4137195.93930576</v>
      </c>
      <c r="W41" s="17" t="n">
        <f aca="false">MIN(MAX(0,W35-W36+W40),IF(W12=1,MAX(W38,retrait_urgence*MAX(0,V44)),W38))</f>
        <v>4161898.3108038</v>
      </c>
      <c r="X41" s="17" t="n">
        <f aca="false">MIN(MAX(0,X35-X36+X40),IF(X12=1,MAX(X38,retrait_urgence*MAX(0,W44)),X38))</f>
        <v>4186855.24258063</v>
      </c>
    </row>
    <row r="42" customFormat="false" ht="15" hidden="false" customHeight="false" outlineLevel="0" collapsed="false">
      <c r="A42" s="2" t="s">
        <v>1896</v>
      </c>
      <c r="B42" s="18" t="s">
        <v>1897</v>
      </c>
      <c r="C42" s="2" t="s">
        <v>1839</v>
      </c>
      <c r="E42" s="23" t="n">
        <f aca="false">E36+E41-E35</f>
        <v>20000</v>
      </c>
      <c r="F42" s="23" t="n">
        <f aca="false">F36+F41-F35</f>
        <v>41579.7023822321</v>
      </c>
      <c r="G42" s="23" t="n">
        <f aca="false">G36+G41-G35</f>
        <v>41896.9552213908</v>
      </c>
      <c r="H42" s="23" t="n">
        <f aca="false">H36+H41-H35</f>
        <v>42217.9452660051</v>
      </c>
      <c r="I42" s="23" t="n">
        <f aca="false">I36+I41-I35</f>
        <v>42542.72871861</v>
      </c>
      <c r="J42" s="23" t="n">
        <f aca="false">J36+J41-J35</f>
        <v>42871.3627557377</v>
      </c>
      <c r="K42" s="23" t="n">
        <f aca="false">K36+K41-K35</f>
        <v>43203.9055459211</v>
      </c>
      <c r="L42" s="23" t="n">
        <f aca="false">L36+L41-L35</f>
        <v>43540.4162680367</v>
      </c>
      <c r="M42" s="23" t="n">
        <f aca="false">M36+M41-M35</f>
        <v>43880.9551299983</v>
      </c>
      <c r="N42" s="23" t="n">
        <f aca="false">N36+N41-N35</f>
        <v>44225.5833878005</v>
      </c>
      <c r="O42" s="23" t="n">
        <f aca="false">O36+O41-O35</f>
        <v>44574.3633649345</v>
      </c>
      <c r="P42" s="23" t="n">
        <f aca="false">P36+P41-P35</f>
        <v>44927.3584721563</v>
      </c>
      <c r="Q42" s="23" t="n">
        <f aca="false">Q36+Q41-Q35</f>
        <v>45284.6332276482</v>
      </c>
      <c r="R42" s="23" t="n">
        <f aca="false">R36+R41-R35</f>
        <v>45646.2532775514</v>
      </c>
      <c r="S42" s="23" t="n">
        <f aca="false">S36+S41-S35</f>
        <v>46012.2854168918</v>
      </c>
      <c r="T42" s="23" t="n">
        <f aca="false">T36+T41-T35</f>
        <v>46382.7976109078</v>
      </c>
      <c r="U42" s="23" t="n">
        <f aca="false">U36+U41-U35</f>
        <v>46757.8590167733</v>
      </c>
      <c r="V42" s="23" t="n">
        <f aca="false">V36+V41-V35</f>
        <v>47137.5400057528</v>
      </c>
      <c r="W42" s="23" t="n">
        <f aca="false">W36+W41-W35</f>
        <v>47521.9121857537</v>
      </c>
      <c r="X42" s="23" t="n">
        <f aca="false">X36+X41-X35</f>
        <v>47911.0484243268</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S3_sol_dotation0</f>
        <v>480000000</v>
      </c>
      <c r="E44" s="23" t="n">
        <f aca="false">MAX(0,D44)*(1+E37)-E41+E43-E31</f>
        <v>483640659.60091</v>
      </c>
      <c r="F44" s="23" t="n">
        <f aca="false">MAX(0,E44)*(1+F37)-F41+F43-F31</f>
        <v>489519719.797193</v>
      </c>
      <c r="G44" s="23" t="n">
        <f aca="false">MAX(0,F44)*(1+G37)-G41+G43-G31</f>
        <v>495515094.904926</v>
      </c>
      <c r="H44" s="23" t="n">
        <f aca="false">MAX(0,G44)*(1+H37)-H41+H43-H31</f>
        <v>501609114.376221</v>
      </c>
      <c r="I44" s="23" t="n">
        <f aca="false">MAX(0,H44)*(1+I37)-I41+I43-I31</f>
        <v>507803542.223635</v>
      </c>
      <c r="J44" s="23" t="n">
        <f aca="false">MAX(0,I44)*(1+J37)-J41+J43-J31</f>
        <v>514100175.023556</v>
      </c>
      <c r="K44" s="23" t="n">
        <f aca="false">MAX(0,J44)*(1+K37)-K41+K43-K31</f>
        <v>520500842.524003</v>
      </c>
      <c r="L44" s="23" t="n">
        <f aca="false">MAX(0,K44)*(1+L37)-L41+L43-L31</f>
        <v>527007408.263797</v>
      </c>
      <c r="M44" s="23" t="n">
        <f aca="false">MAX(0,L44)*(1+M37)-M41+M43-M31</f>
        <v>533621770.203332</v>
      </c>
      <c r="N44" s="23" t="n">
        <f aca="false">MAX(0,M44)*(1+N37)-N41+N43-N31</f>
        <v>540345861.36715</v>
      </c>
      <c r="O44" s="23" t="n">
        <f aca="false">MAX(0,N44)*(1+O37)-O41+O43-O31</f>
        <v>547181650.498552</v>
      </c>
      <c r="P44" s="23" t="n">
        <f aca="false">MAX(0,O44)*(1+P37)-P41+P43-P31</f>
        <v>554131142.726464</v>
      </c>
      <c r="Q44" s="23" t="n">
        <f aca="false">MAX(0,P44)*(1+Q37)-Q41+Q43-Q31</f>
        <v>561196380.24479</v>
      </c>
      <c r="R44" s="23" t="n">
        <f aca="false">MAX(0,Q44)*(1+R37)-R41+R43-R31</f>
        <v>568379443.00448</v>
      </c>
      <c r="S44" s="23" t="n">
        <f aca="false">MAX(0,R44)*(1+S37)-S41+S43-S31</f>
        <v>575682449.418564</v>
      </c>
      <c r="T44" s="23" t="n">
        <f aca="false">MAX(0,S44)*(1+T37)-T41+T43-T31</f>
        <v>583107557.080376</v>
      </c>
      <c r="U44" s="23" t="n">
        <f aca="false">MAX(0,T44)*(1+U37)-U41+U43-U31</f>
        <v>590656963.49524</v>
      </c>
      <c r="V44" s="23" t="n">
        <f aca="false">MAX(0,U44)*(1+V37)-V41+V43-V31</f>
        <v>598332906.825839</v>
      </c>
      <c r="W44" s="23" t="n">
        <f aca="false">MAX(0,V44)*(1+W37)-W41+W43-W31</f>
        <v>606137666.651552</v>
      </c>
      <c r="X44" s="23" t="n">
        <f aca="false">MAX(0,W44)*(1+X37)-X41+X43-X31</f>
        <v>614073564.742003</v>
      </c>
    </row>
    <row r="45" customFormat="false" ht="15" hidden="false" customHeight="false" outlineLevel="0" collapsed="false">
      <c r="A45" s="2" t="s">
        <v>1902</v>
      </c>
      <c r="B45" s="18" t="s">
        <v>1903</v>
      </c>
      <c r="C45" s="2" t="s">
        <v>1839</v>
      </c>
      <c r="D45" s="23" t="n">
        <f aca="false">S3_sol_reserve0</f>
        <v>4000000</v>
      </c>
      <c r="E45" s="23" t="n">
        <f aca="false">D45*(1+taux_reserve)+E42-E43-(E30-E31)</f>
        <v>4000000</v>
      </c>
      <c r="F45" s="23" t="n">
        <f aca="false">E45*(1+taux_reserve)+F42-F43-(F30-F31)</f>
        <v>4021579.70238223</v>
      </c>
      <c r="G45" s="23" t="n">
        <f aca="false">F45*(1+taux_reserve)+G42-G43-(G30-G31)</f>
        <v>4043368.75909171</v>
      </c>
      <c r="H45" s="23" t="n">
        <f aca="false">G45*(1+taux_reserve)+H42-H43-(H30-H31)</f>
        <v>4065369.86056226</v>
      </c>
      <c r="I45" s="23" t="n">
        <f aca="false">H45*(1+taux_reserve)+I42-I43-(I30-I31)</f>
        <v>4087585.73997806</v>
      </c>
      <c r="J45" s="23" t="n">
        <f aca="false">I45*(1+taux_reserve)+J42-J43-(J30-J31)</f>
        <v>4110019.1740339</v>
      </c>
      <c r="K45" s="23" t="n">
        <f aca="false">J45*(1+taux_reserve)+K42-K43-(K30-K31)</f>
        <v>4132672.98370966</v>
      </c>
      <c r="L45" s="23" t="n">
        <f aca="false">K45*(1+taux_reserve)+L42-L43-(L30-L31)</f>
        <v>4155550.03505914</v>
      </c>
      <c r="M45" s="23" t="n">
        <f aca="false">L45*(1+taux_reserve)+M42-M43-(M30-M31)</f>
        <v>4178653.24001385</v>
      </c>
      <c r="N45" s="23" t="n">
        <f aca="false">M45*(1+taux_reserve)+N42-N43-(N30-N31)</f>
        <v>4201985.55720158</v>
      </c>
      <c r="O45" s="23" t="n">
        <f aca="false">N45*(1+taux_reserve)+O42-O43-(O30-O31)</f>
        <v>4225549.99278051</v>
      </c>
      <c r="P45" s="23" t="n">
        <f aca="false">O45*(1+taux_reserve)+P42-P43-(P30-P31)</f>
        <v>4249349.60128876</v>
      </c>
      <c r="Q45" s="23" t="n">
        <f aca="false">P45*(1+taux_reserve)+Q42-Q43-(Q30-Q31)</f>
        <v>4273387.48650996</v>
      </c>
      <c r="R45" s="23" t="n">
        <f aca="false">Q45*(1+taux_reserve)+R42-R43-(R30-R31)</f>
        <v>4297666.80235496</v>
      </c>
      <c r="S45" s="23" t="n">
        <f aca="false">R45*(1+taux_reserve)+S42-S43-(S30-S31)</f>
        <v>4322190.75376008</v>
      </c>
      <c r="T45" s="23" t="n">
        <f aca="false">S45*(1+taux_reserve)+T42-T43-(T30-T31)</f>
        <v>4346962.59760219</v>
      </c>
      <c r="U45" s="23" t="n">
        <f aca="false">T45*(1+taux_reserve)+U42-U43-(U30-U31)</f>
        <v>4371985.64363095</v>
      </c>
      <c r="V45" s="23" t="n">
        <f aca="false">U45*(1+taux_reserve)+V42-V43-(V30-V31)</f>
        <v>4397263.25541855</v>
      </c>
      <c r="W45" s="23" t="n">
        <f aca="false">V45*(1+taux_reserve)+W42-W43-(W30-W31)</f>
        <v>4422798.85132721</v>
      </c>
      <c r="X45" s="23" t="n">
        <f aca="false">W45*(1+taux_reserve)+X42-X43-(X30-X31)</f>
        <v>4448595.9054949</v>
      </c>
    </row>
    <row r="46" customFormat="false" ht="15" hidden="false" customHeight="false" outlineLevel="0" collapsed="false">
      <c r="A46" s="2" t="s">
        <v>1904</v>
      </c>
      <c r="B46" s="18" t="s">
        <v>1905</v>
      </c>
      <c r="C46" s="2" t="s">
        <v>1839</v>
      </c>
      <c r="E46" s="23" t="n">
        <f aca="false">E45+E22</f>
        <v>5309913.71875</v>
      </c>
      <c r="F46" s="23" t="n">
        <f aca="false">F45+F22</f>
        <v>6651231.49277286</v>
      </c>
      <c r="G46" s="23" t="n">
        <f aca="false">G45+G22</f>
        <v>8002656.65666027</v>
      </c>
      <c r="H46" s="23" t="n">
        <f aca="false">H45+H22</f>
        <v>4065369.86056226</v>
      </c>
      <c r="I46" s="23" t="n">
        <f aca="false">I45+I22</f>
        <v>5437241.18079468</v>
      </c>
      <c r="J46" s="23" t="n">
        <f aca="false">J45+J22</f>
        <v>6819452.47147329</v>
      </c>
      <c r="K46" s="23" t="n">
        <f aca="false">K45+K22</f>
        <v>8212082.47169646</v>
      </c>
      <c r="L46" s="23" t="n">
        <f aca="false">L45+L22</f>
        <v>4155550.03505914</v>
      </c>
      <c r="M46" s="23" t="n">
        <f aca="false">M45+M22</f>
        <v>5569256.1345802</v>
      </c>
      <c r="N46" s="23" t="n">
        <f aca="false">N45+N22</f>
        <v>6993620.86804353</v>
      </c>
      <c r="O46" s="23" t="n">
        <f aca="false">O45+O22</f>
        <v>8428725.46302013</v>
      </c>
      <c r="P46" s="23" t="n">
        <f aca="false">P45+P22</f>
        <v>4249349.60128876</v>
      </c>
      <c r="Q46" s="23" t="n">
        <f aca="false">Q45+Q22</f>
        <v>5706180.14743256</v>
      </c>
      <c r="R46" s="23" t="n">
        <f aca="false">R45+R22</f>
        <v>7173998.06915708</v>
      </c>
      <c r="S46" s="23" t="n">
        <f aca="false">S45+S22</f>
        <v>8652887.16598582</v>
      </c>
      <c r="T46" s="23" t="n">
        <f aca="false">T45+T22</f>
        <v>4346962.59760219</v>
      </c>
      <c r="U46" s="23" t="n">
        <f aca="false">U45+U22</f>
        <v>5848248.07427535</v>
      </c>
      <c r="V46" s="23" t="n">
        <f aca="false">V45+V22</f>
        <v>7360860.08493718</v>
      </c>
      <c r="W46" s="23" t="n">
        <f aca="false">W45+W22</f>
        <v>8884885.08771163</v>
      </c>
      <c r="X46" s="23" t="n">
        <f aca="false">X45+X22</f>
        <v>4448595.9054949</v>
      </c>
    </row>
    <row r="47" customFormat="false" ht="15" hidden="false" customHeight="false" outlineLevel="0" collapsed="false">
      <c r="A47" s="2" t="s">
        <v>1906</v>
      </c>
      <c r="B47" s="18" t="s">
        <v>1907</v>
      </c>
      <c r="C47" s="2" t="s">
        <v>46</v>
      </c>
      <c r="E47" s="24" t="n">
        <f aca="false">(E29+E38)/E18</f>
        <v>2.22412370150043</v>
      </c>
      <c r="F47" s="24" t="n">
        <f aca="false">(F29+F38)/F18</f>
        <v>2.22275054752451</v>
      </c>
      <c r="G47" s="24" t="n">
        <f aca="false">(G29+G38)/G18</f>
        <v>2.22391488085772</v>
      </c>
      <c r="H47" s="24" t="n">
        <f aca="false">(H29+H38)/H18</f>
        <v>2.22366228820099</v>
      </c>
      <c r="I47" s="24" t="n">
        <f aca="false">(I29+I38)/I18</f>
        <v>2.22644595775754</v>
      </c>
      <c r="J47" s="24" t="n">
        <f aca="false">(J29+J38)/J18</f>
        <v>2.23167789991729</v>
      </c>
      <c r="K47" s="24" t="n">
        <f aca="false">(K29+K38)/K18</f>
        <v>2.23889040150852</v>
      </c>
      <c r="L47" s="24" t="n">
        <f aca="false">(L29+L38)/L18</f>
        <v>2.24771148063911</v>
      </c>
      <c r="M47" s="24" t="n">
        <f aca="false">(M29+M38)/M18</f>
        <v>2.25784534870548</v>
      </c>
      <c r="N47" s="24" t="n">
        <f aca="false">(N29+N38)/N18</f>
        <v>2.26905685842464</v>
      </c>
      <c r="O47" s="24" t="n">
        <f aca="false">(O29+O38)/O18</f>
        <v>2.28115912492802</v>
      </c>
      <c r="P47" s="24" t="n">
        <f aca="false">(P29+P38)/P18</f>
        <v>2.29400367270952</v>
      </c>
      <c r="Q47" s="24" t="n">
        <f aca="false">(Q29+Q38)/Q18</f>
        <v>2.30747259318893</v>
      </c>
      <c r="R47" s="24" t="n">
        <f aca="false">(R29+R38)/R18</f>
        <v>2.32147230271976</v>
      </c>
      <c r="S47" s="24" t="n">
        <f aca="false">(S29+S38)/S18</f>
        <v>2.33592857451956</v>
      </c>
      <c r="T47" s="24" t="n">
        <f aca="false">(T29+T38)/T18</f>
        <v>2.350782584596</v>
      </c>
      <c r="U47" s="24" t="n">
        <f aca="false">(U29+U38)/U18</f>
        <v>2.36598776475939</v>
      </c>
      <c r="V47" s="24" t="n">
        <f aca="false">(V29+V38)/V18</f>
        <v>2.38150729801843</v>
      </c>
      <c r="W47" s="24" t="n">
        <f aca="false">(W29+W38)/W18</f>
        <v>2.39731212525659</v>
      </c>
      <c r="X47" s="24" t="n">
        <f aca="false">(X29+X38)/X18</f>
        <v>2.41337935883336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5" min="5" style="0" width="15"/>
  </cols>
  <sheetData>
    <row r="1" customFormat="false" ht="16.15" hidden="false" customHeight="false" outlineLevel="0" collapsed="false">
      <c r="A1" s="1" t="s">
        <v>1923</v>
      </c>
    </row>
    <row r="2" customFormat="false" ht="54" hidden="false" customHeight="true" outlineLevel="0" collapsed="false">
      <c r="A2" s="3" t="s">
        <v>1924</v>
      </c>
      <c r="B2" s="3"/>
      <c r="C2" s="3"/>
      <c r="D2" s="3"/>
      <c r="E2" s="3"/>
    </row>
    <row r="4" customFormat="false" ht="23.85" hidden="false" customHeight="false" outlineLevel="0" collapsed="false">
      <c r="A4" s="4" t="s">
        <v>1408</v>
      </c>
      <c r="B4" s="4" t="s">
        <v>12</v>
      </c>
      <c r="C4" s="4" t="s">
        <v>1409</v>
      </c>
      <c r="D4" s="4" t="s">
        <v>1410</v>
      </c>
      <c r="E4" s="4" t="s">
        <v>1925</v>
      </c>
    </row>
    <row r="5" customFormat="false" ht="15" hidden="false" customHeight="false" outlineLevel="0" collapsed="false">
      <c r="A5" s="2" t="s">
        <v>1926</v>
      </c>
      <c r="B5" s="2" t="s">
        <v>1927</v>
      </c>
      <c r="C5" s="2" t="s">
        <v>1928</v>
      </c>
      <c r="D5" s="16" t="n">
        <v>0</v>
      </c>
      <c r="E5" s="17" t="n">
        <f aca="false">MIN(prj_Proj_S2_sans_moteur_reserve)</f>
        <v>-22247130.5331535</v>
      </c>
    </row>
    <row r="6" customFormat="false" ht="15" hidden="false" customHeight="false" outlineLevel="0" collapsed="false">
      <c r="A6" s="2" t="s">
        <v>1929</v>
      </c>
      <c r="B6" s="2" t="s">
        <v>1930</v>
      </c>
      <c r="C6" s="2" t="s">
        <v>1928</v>
      </c>
      <c r="D6" s="16" t="n">
        <v>0</v>
      </c>
      <c r="E6" s="17" t="n">
        <f aca="false">INDEX(prj_Proj_S2_sans_moteur_reserve,1,20)</f>
        <v>-22247130.5331535</v>
      </c>
    </row>
    <row r="7" customFormat="false" ht="15" hidden="false" customHeight="false" outlineLevel="0" collapsed="false">
      <c r="A7" s="2" t="s">
        <v>1931</v>
      </c>
      <c r="B7" s="2" t="s">
        <v>1932</v>
      </c>
      <c r="C7" s="2" t="s">
        <v>1928</v>
      </c>
      <c r="D7" s="16" t="n">
        <v>0</v>
      </c>
      <c r="E7" s="17" t="n">
        <f aca="false">INDEX(prj_Proj_S2_sans_moteur_dotation_fin,1,20)</f>
        <v>0</v>
      </c>
    </row>
    <row r="8" customFormat="false" ht="15" hidden="false" customHeight="false" outlineLevel="0" collapsed="false">
      <c r="A8" s="2" t="s">
        <v>1933</v>
      </c>
      <c r="B8" s="2" t="s">
        <v>1934</v>
      </c>
      <c r="C8" s="2" t="s">
        <v>1928</v>
      </c>
      <c r="D8" s="16" t="n">
        <v>0</v>
      </c>
      <c r="E8" s="17" t="n">
        <f aca="false">SUM(prj_Proj_S2_sans_moteur_kpi_deficit)</f>
        <v>20</v>
      </c>
    </row>
    <row r="9" customFormat="false" ht="15" hidden="false" customHeight="false" outlineLevel="0" collapsed="false">
      <c r="A9" s="2" t="s">
        <v>1935</v>
      </c>
      <c r="B9" s="2" t="s">
        <v>1936</v>
      </c>
      <c r="C9" s="2" t="s">
        <v>1928</v>
      </c>
      <c r="D9" s="16" t="n">
        <v>0</v>
      </c>
      <c r="E9" s="17" t="n">
        <f aca="false">AVERAGE(prj_Proj_S2_sans_moteur_act_nette)</f>
        <v>40717.113</v>
      </c>
    </row>
    <row r="10" customFormat="false" ht="15" hidden="false" customHeight="false" outlineLevel="0" collapsed="false">
      <c r="A10" s="2" t="s">
        <v>1937</v>
      </c>
      <c r="B10" s="2" t="s">
        <v>1938</v>
      </c>
      <c r="C10" s="2" t="s">
        <v>1928</v>
      </c>
      <c r="D10" s="16" t="n">
        <v>0</v>
      </c>
      <c r="E10" s="17" t="n">
        <f aca="false">SUM(prj_Proj_S2_sans_moteur_tension)</f>
        <v>19</v>
      </c>
    </row>
    <row r="11" customFormat="false" ht="15" hidden="false" customHeight="false" outlineLevel="0" collapsed="false">
      <c r="A11" s="2" t="s">
        <v>1939</v>
      </c>
      <c r="B11" s="2" t="s">
        <v>1940</v>
      </c>
      <c r="C11" s="2" t="s">
        <v>1941</v>
      </c>
      <c r="D11" s="16" t="n">
        <v>0</v>
      </c>
      <c r="E11" s="17" t="n">
        <f aca="false">MIN(prj_Proj_S2_solution_reserve)</f>
        <v>1500000</v>
      </c>
    </row>
    <row r="12" customFormat="false" ht="15" hidden="false" customHeight="false" outlineLevel="0" collapsed="false">
      <c r="A12" s="2" t="s">
        <v>1942</v>
      </c>
      <c r="B12" s="2" t="s">
        <v>1943</v>
      </c>
      <c r="C12" s="2" t="s">
        <v>1941</v>
      </c>
      <c r="D12" s="16" t="n">
        <v>0</v>
      </c>
      <c r="E12" s="17" t="n">
        <f aca="false">INDEX(prj_Proj_S2_solution_reserve,1,20)</f>
        <v>1659081.92956546</v>
      </c>
    </row>
    <row r="13" customFormat="false" ht="15" hidden="false" customHeight="false" outlineLevel="0" collapsed="false">
      <c r="A13" s="2" t="s">
        <v>1944</v>
      </c>
      <c r="B13" s="2" t="s">
        <v>1945</v>
      </c>
      <c r="C13" s="2" t="s">
        <v>1941</v>
      </c>
      <c r="D13" s="16" t="n">
        <v>0</v>
      </c>
      <c r="E13" s="17" t="n">
        <f aca="false">INDEX(prj_Proj_S2_solution_dotation_fin,1,20)</f>
        <v>158077704.718231</v>
      </c>
    </row>
    <row r="14" customFormat="false" ht="15" hidden="false" customHeight="false" outlineLevel="0" collapsed="false">
      <c r="A14" s="2" t="s">
        <v>1946</v>
      </c>
      <c r="B14" s="2" t="s">
        <v>1947</v>
      </c>
      <c r="C14" s="2" t="s">
        <v>1941</v>
      </c>
      <c r="D14" s="16" t="n">
        <v>0</v>
      </c>
      <c r="E14" s="17" t="n">
        <f aca="false">SUM(prj_Proj_S2_solution_kpi_deficit)</f>
        <v>0</v>
      </c>
    </row>
    <row r="15" customFormat="false" ht="15" hidden="false" customHeight="false" outlineLevel="0" collapsed="false">
      <c r="A15" s="2" t="s">
        <v>1948</v>
      </c>
      <c r="B15" s="2" t="s">
        <v>1949</v>
      </c>
      <c r="C15" s="2" t="s">
        <v>1941</v>
      </c>
      <c r="D15" s="16" t="n">
        <v>0</v>
      </c>
      <c r="E15" s="17" t="n">
        <f aca="false">AVERAGE(prj_Proj_S2_solution_act_nette)</f>
        <v>40717.113</v>
      </c>
    </row>
    <row r="16" customFormat="false" ht="15" hidden="false" customHeight="false" outlineLevel="0" collapsed="false">
      <c r="A16" s="2" t="s">
        <v>1950</v>
      </c>
      <c r="B16" s="2" t="s">
        <v>1951</v>
      </c>
      <c r="C16" s="2" t="s">
        <v>1941</v>
      </c>
      <c r="D16" s="16" t="n">
        <v>0</v>
      </c>
      <c r="E16" s="17" t="n">
        <f aca="false">SUM(prj_Proj_S2_solution_tension)</f>
        <v>0</v>
      </c>
    </row>
    <row r="17" customFormat="false" ht="15" hidden="false" customHeight="false" outlineLevel="0" collapsed="false">
      <c r="A17" s="2" t="s">
        <v>1952</v>
      </c>
      <c r="B17" s="2" t="s">
        <v>1953</v>
      </c>
      <c r="C17" s="2" t="s">
        <v>1954</v>
      </c>
      <c r="D17" s="16" t="n">
        <v>0</v>
      </c>
      <c r="E17" s="17" t="n">
        <f aca="false">MIN(prj_ST_S2_ca30_reserve)</f>
        <v>1500000</v>
      </c>
    </row>
    <row r="18" customFormat="false" ht="15" hidden="false" customHeight="false" outlineLevel="0" collapsed="false">
      <c r="A18" s="2" t="s">
        <v>1955</v>
      </c>
      <c r="B18" s="2" t="s">
        <v>1956</v>
      </c>
      <c r="C18" s="2" t="s">
        <v>1954</v>
      </c>
      <c r="D18" s="16" t="n">
        <v>0</v>
      </c>
      <c r="E18" s="17" t="n">
        <f aca="false">INDEX(prj_ST_S2_ca30_reserve,1,20)</f>
        <v>1659081.92956546</v>
      </c>
    </row>
    <row r="19" customFormat="false" ht="15" hidden="false" customHeight="false" outlineLevel="0" collapsed="false">
      <c r="A19" s="2" t="s">
        <v>1957</v>
      </c>
      <c r="B19" s="2" t="s">
        <v>1958</v>
      </c>
      <c r="C19" s="2" t="s">
        <v>1954</v>
      </c>
      <c r="D19" s="16" t="n">
        <v>0</v>
      </c>
      <c r="E19" s="17" t="n">
        <f aca="false">INDEX(prj_ST_S2_ca30_dotation_fin,1,20)</f>
        <v>157804540.997275</v>
      </c>
    </row>
    <row r="20" customFormat="false" ht="15" hidden="false" customHeight="false" outlineLevel="0" collapsed="false">
      <c r="A20" s="2" t="s">
        <v>1959</v>
      </c>
      <c r="B20" s="2" t="s">
        <v>1960</v>
      </c>
      <c r="C20" s="2" t="s">
        <v>1954</v>
      </c>
      <c r="D20" s="16" t="n">
        <v>0</v>
      </c>
      <c r="E20" s="17" t="n">
        <f aca="false">SUM(prj_ST_S2_ca30_kpi_deficit)</f>
        <v>0</v>
      </c>
    </row>
    <row r="21" customFormat="false" ht="15" hidden="false" customHeight="false" outlineLevel="0" collapsed="false">
      <c r="A21" s="2" t="s">
        <v>1961</v>
      </c>
      <c r="B21" s="2" t="s">
        <v>1962</v>
      </c>
      <c r="C21" s="2" t="s">
        <v>1954</v>
      </c>
      <c r="D21" s="16" t="n">
        <v>0</v>
      </c>
      <c r="E21" s="17" t="n">
        <f aca="false">AVERAGE(prj_ST_S2_ca30_act_nette)</f>
        <v>29235.525</v>
      </c>
    </row>
    <row r="22" customFormat="false" ht="15" hidden="false" customHeight="false" outlineLevel="0" collapsed="false">
      <c r="A22" s="2" t="s">
        <v>1963</v>
      </c>
      <c r="B22" s="2" t="s">
        <v>1964</v>
      </c>
      <c r="C22" s="2" t="s">
        <v>1954</v>
      </c>
      <c r="D22" s="16" t="n">
        <v>0</v>
      </c>
      <c r="E22" s="17" t="n">
        <f aca="false">SUM(prj_ST_S2_ca30_tension)</f>
        <v>0</v>
      </c>
    </row>
    <row r="23" customFormat="false" ht="15" hidden="false" customHeight="false" outlineLevel="0" collapsed="false">
      <c r="A23" s="2" t="s">
        <v>1965</v>
      </c>
      <c r="B23" s="2" t="s">
        <v>1966</v>
      </c>
      <c r="C23" s="2" t="s">
        <v>1967</v>
      </c>
      <c r="D23" s="16" t="n">
        <v>0</v>
      </c>
      <c r="E23" s="17" t="n">
        <f aca="false">MIN(prj_ST_S2_crise_reserve)</f>
        <v>1500000</v>
      </c>
    </row>
    <row r="24" customFormat="false" ht="15" hidden="false" customHeight="false" outlineLevel="0" collapsed="false">
      <c r="A24" s="2" t="s">
        <v>1968</v>
      </c>
      <c r="B24" s="2" t="s">
        <v>1969</v>
      </c>
      <c r="C24" s="2" t="s">
        <v>1967</v>
      </c>
      <c r="D24" s="16" t="n">
        <v>0</v>
      </c>
      <c r="E24" s="17" t="n">
        <f aca="false">INDEX(prj_ST_S2_crise_reserve,1,20)</f>
        <v>1659081.92956546</v>
      </c>
    </row>
    <row r="25" customFormat="false" ht="15" hidden="false" customHeight="false" outlineLevel="0" collapsed="false">
      <c r="A25" s="2" t="s">
        <v>1970</v>
      </c>
      <c r="B25" s="2" t="s">
        <v>1971</v>
      </c>
      <c r="C25" s="2" t="s">
        <v>1967</v>
      </c>
      <c r="D25" s="16" t="n">
        <v>0</v>
      </c>
      <c r="E25" s="17" t="n">
        <f aca="false">INDEX(prj_ST_S2_crise_dotation_fin,1,20)</f>
        <v>114456651.879018</v>
      </c>
    </row>
    <row r="26" customFormat="false" ht="15" hidden="false" customHeight="false" outlineLevel="0" collapsed="false">
      <c r="A26" s="2" t="s">
        <v>1972</v>
      </c>
      <c r="B26" s="2" t="s">
        <v>1973</v>
      </c>
      <c r="C26" s="2" t="s">
        <v>1967</v>
      </c>
      <c r="D26" s="16" t="n">
        <v>0</v>
      </c>
      <c r="E26" s="17" t="n">
        <f aca="false">SUM(prj_ST_S2_crise_kpi_deficit)</f>
        <v>0</v>
      </c>
    </row>
    <row r="27" customFormat="false" ht="15" hidden="false" customHeight="false" outlineLevel="0" collapsed="false">
      <c r="A27" s="2" t="s">
        <v>1974</v>
      </c>
      <c r="B27" s="2" t="s">
        <v>1975</v>
      </c>
      <c r="C27" s="2" t="s">
        <v>1967</v>
      </c>
      <c r="D27" s="16" t="n">
        <v>0</v>
      </c>
      <c r="E27" s="17" t="n">
        <f aca="false">AVERAGE(prj_ST_S2_crise_act_nette)</f>
        <v>40345.0404</v>
      </c>
    </row>
    <row r="28" customFormat="false" ht="15" hidden="false" customHeight="false" outlineLevel="0" collapsed="false">
      <c r="A28" s="2" t="s">
        <v>1976</v>
      </c>
      <c r="B28" s="2" t="s">
        <v>1977</v>
      </c>
      <c r="C28" s="2" t="s">
        <v>1967</v>
      </c>
      <c r="D28" s="16" t="n">
        <v>0</v>
      </c>
      <c r="E28" s="17" t="n">
        <f aca="false">SUM(prj_ST_S2_crise_tension)</f>
        <v>0</v>
      </c>
    </row>
    <row r="29" customFormat="false" ht="15" hidden="false" customHeight="false" outlineLevel="0" collapsed="false">
      <c r="A29" s="2" t="s">
        <v>1978</v>
      </c>
      <c r="B29" s="2" t="s">
        <v>1979</v>
      </c>
      <c r="C29" s="2" t="s">
        <v>1980</v>
      </c>
      <c r="D29" s="16" t="n">
        <v>0</v>
      </c>
      <c r="E29" s="17" t="n">
        <f aca="false">MIN(prj_ST_S2_travaux_reserve)</f>
        <v>1500000</v>
      </c>
    </row>
    <row r="30" customFormat="false" ht="15" hidden="false" customHeight="false" outlineLevel="0" collapsed="false">
      <c r="A30" s="2" t="s">
        <v>1981</v>
      </c>
      <c r="B30" s="2" t="s">
        <v>1982</v>
      </c>
      <c r="C30" s="2" t="s">
        <v>1980</v>
      </c>
      <c r="D30" s="16" t="n">
        <v>0</v>
      </c>
      <c r="E30" s="17" t="n">
        <f aca="false">INDEX(prj_ST_S2_travaux_reserve,1,20)</f>
        <v>1659081.92956546</v>
      </c>
    </row>
    <row r="31" customFormat="false" ht="15" hidden="false" customHeight="false" outlineLevel="0" collapsed="false">
      <c r="A31" s="2" t="s">
        <v>1983</v>
      </c>
      <c r="B31" s="2" t="s">
        <v>1984</v>
      </c>
      <c r="C31" s="2" t="s">
        <v>1980</v>
      </c>
      <c r="D31" s="16" t="n">
        <v>0</v>
      </c>
      <c r="E31" s="17" t="n">
        <f aca="false">INDEX(prj_ST_S2_travaux_dotation_fin,1,20)</f>
        <v>154666820.656827</v>
      </c>
    </row>
    <row r="32" customFormat="false" ht="15" hidden="false" customHeight="false" outlineLevel="0" collapsed="false">
      <c r="A32" s="2" t="s">
        <v>1985</v>
      </c>
      <c r="B32" s="2" t="s">
        <v>1986</v>
      </c>
      <c r="C32" s="2" t="s">
        <v>1980</v>
      </c>
      <c r="D32" s="16" t="n">
        <v>0</v>
      </c>
      <c r="E32" s="17" t="n">
        <f aca="false">SUM(prj_ST_S2_travaux_kpi_deficit)</f>
        <v>0</v>
      </c>
    </row>
    <row r="33" customFormat="false" ht="15" hidden="false" customHeight="false" outlineLevel="0" collapsed="false">
      <c r="A33" s="2" t="s">
        <v>1987</v>
      </c>
      <c r="B33" s="2" t="s">
        <v>1988</v>
      </c>
      <c r="C33" s="2" t="s">
        <v>1980</v>
      </c>
      <c r="D33" s="16" t="n">
        <v>0</v>
      </c>
      <c r="E33" s="17" t="n">
        <f aca="false">AVERAGE(prj_ST_S2_travaux_act_nette)</f>
        <v>40717.113</v>
      </c>
    </row>
    <row r="34" customFormat="false" ht="15" hidden="false" customHeight="false" outlineLevel="0" collapsed="false">
      <c r="A34" s="2" t="s">
        <v>1989</v>
      </c>
      <c r="B34" s="2" t="s">
        <v>1990</v>
      </c>
      <c r="C34" s="2" t="s">
        <v>1980</v>
      </c>
      <c r="D34" s="16" t="n">
        <v>0</v>
      </c>
      <c r="E34" s="17" t="n">
        <f aca="false">SUM(prj_ST_S2_travaux_tension)</f>
        <v>0</v>
      </c>
    </row>
    <row r="35" customFormat="false" ht="15" hidden="false" customHeight="false" outlineLevel="0" collapsed="false">
      <c r="A35" s="2" t="s">
        <v>1991</v>
      </c>
      <c r="B35" s="2" t="s">
        <v>1992</v>
      </c>
      <c r="C35" s="2" t="s">
        <v>1993</v>
      </c>
      <c r="D35" s="16" t="n">
        <v>0</v>
      </c>
      <c r="E35" s="17" t="n">
        <f aca="false">MIN(prj_ST_S2_energie_reserve)</f>
        <v>1500000</v>
      </c>
    </row>
    <row r="36" customFormat="false" ht="15" hidden="false" customHeight="false" outlineLevel="0" collapsed="false">
      <c r="A36" s="2" t="s">
        <v>1994</v>
      </c>
      <c r="B36" s="2" t="s">
        <v>1995</v>
      </c>
      <c r="C36" s="2" t="s">
        <v>1993</v>
      </c>
      <c r="D36" s="16" t="n">
        <v>0</v>
      </c>
      <c r="E36" s="17" t="n">
        <f aca="false">INDEX(prj_ST_S2_energie_reserve,1,20)</f>
        <v>1659081.92956546</v>
      </c>
    </row>
    <row r="37" customFormat="false" ht="15" hidden="false" customHeight="false" outlineLevel="0" collapsed="false">
      <c r="A37" s="2" t="s">
        <v>1996</v>
      </c>
      <c r="B37" s="2" t="s">
        <v>1997</v>
      </c>
      <c r="C37" s="2" t="s">
        <v>1993</v>
      </c>
      <c r="D37" s="16" t="n">
        <v>0</v>
      </c>
      <c r="E37" s="17" t="n">
        <f aca="false">INDEX(prj_ST_S2_energie_dotation_fin,1,20)</f>
        <v>157836895.516014</v>
      </c>
    </row>
    <row r="38" customFormat="false" ht="15" hidden="false" customHeight="false" outlineLevel="0" collapsed="false">
      <c r="A38" s="2" t="s">
        <v>1998</v>
      </c>
      <c r="B38" s="2" t="s">
        <v>1999</v>
      </c>
      <c r="C38" s="2" t="s">
        <v>1993</v>
      </c>
      <c r="D38" s="16" t="n">
        <v>0</v>
      </c>
      <c r="E38" s="17" t="n">
        <f aca="false">SUM(prj_ST_S2_energie_kpi_deficit)</f>
        <v>0</v>
      </c>
    </row>
    <row r="39" customFormat="false" ht="15" hidden="false" customHeight="false" outlineLevel="0" collapsed="false">
      <c r="A39" s="2" t="s">
        <v>2000</v>
      </c>
      <c r="B39" s="2" t="s">
        <v>2001</v>
      </c>
      <c r="C39" s="2" t="s">
        <v>1993</v>
      </c>
      <c r="D39" s="16" t="n">
        <v>0</v>
      </c>
      <c r="E39" s="17" t="n">
        <f aca="false">AVERAGE(prj_ST_S2_energie_act_nette)</f>
        <v>40717.113</v>
      </c>
    </row>
    <row r="40" customFormat="false" ht="15" hidden="false" customHeight="false" outlineLevel="0" collapsed="false">
      <c r="A40" s="2" t="s">
        <v>2002</v>
      </c>
      <c r="B40" s="2" t="s">
        <v>2003</v>
      </c>
      <c r="C40" s="2" t="s">
        <v>1993</v>
      </c>
      <c r="D40" s="16" t="n">
        <v>0</v>
      </c>
      <c r="E40" s="17" t="n">
        <f aca="false">SUM(prj_ST_S2_energie_tension)</f>
        <v>0</v>
      </c>
    </row>
    <row r="41" customFormat="false" ht="15" hidden="false" customHeight="false" outlineLevel="0" collapsed="false">
      <c r="A41" s="2" t="s">
        <v>2004</v>
      </c>
      <c r="B41" s="2" t="s">
        <v>2005</v>
      </c>
      <c r="C41" s="2" t="s">
        <v>2006</v>
      </c>
      <c r="D41" s="16" t="n">
        <v>0</v>
      </c>
      <c r="E41" s="17" t="n">
        <f aca="false">MIN(prj_ST_S2_salaires_reserve)</f>
        <v>1500000</v>
      </c>
    </row>
    <row r="42" customFormat="false" ht="15" hidden="false" customHeight="false" outlineLevel="0" collapsed="false">
      <c r="A42" s="2" t="s">
        <v>2007</v>
      </c>
      <c r="B42" s="2" t="s">
        <v>2008</v>
      </c>
      <c r="C42" s="2" t="s">
        <v>2006</v>
      </c>
      <c r="D42" s="16" t="n">
        <v>0</v>
      </c>
      <c r="E42" s="17" t="n">
        <f aca="false">INDEX(prj_ST_S2_salaires_reserve,1,20)</f>
        <v>1767435.36204837</v>
      </c>
    </row>
    <row r="43" customFormat="false" ht="15" hidden="false" customHeight="false" outlineLevel="0" collapsed="false">
      <c r="A43" s="2" t="s">
        <v>2009</v>
      </c>
      <c r="B43" s="2" t="s">
        <v>2010</v>
      </c>
      <c r="C43" s="2" t="s">
        <v>2006</v>
      </c>
      <c r="D43" s="16" t="n">
        <v>0</v>
      </c>
      <c r="E43" s="17" t="n">
        <f aca="false">INDEX(prj_ST_S2_salaires_dotation_fin,1,20)</f>
        <v>156850486.900881</v>
      </c>
    </row>
    <row r="44" customFormat="false" ht="15" hidden="false" customHeight="false" outlineLevel="0" collapsed="false">
      <c r="A44" s="2" t="s">
        <v>2011</v>
      </c>
      <c r="B44" s="2" t="s">
        <v>2012</v>
      </c>
      <c r="C44" s="2" t="s">
        <v>2006</v>
      </c>
      <c r="D44" s="16" t="n">
        <v>0</v>
      </c>
      <c r="E44" s="17" t="n">
        <f aca="false">SUM(prj_ST_S2_salaires_kpi_deficit)</f>
        <v>0</v>
      </c>
    </row>
    <row r="45" customFormat="false" ht="15" hidden="false" customHeight="false" outlineLevel="0" collapsed="false">
      <c r="A45" s="2" t="s">
        <v>2013</v>
      </c>
      <c r="B45" s="2" t="s">
        <v>2014</v>
      </c>
      <c r="C45" s="2" t="s">
        <v>2006</v>
      </c>
      <c r="D45" s="16" t="n">
        <v>0</v>
      </c>
      <c r="E45" s="17" t="n">
        <f aca="false">AVERAGE(prj_ST_S2_salaires_act_nette)</f>
        <v>40717.113</v>
      </c>
    </row>
    <row r="46" customFormat="false" ht="15" hidden="false" customHeight="false" outlineLevel="0" collapsed="false">
      <c r="A46" s="2" t="s">
        <v>2015</v>
      </c>
      <c r="B46" s="2" t="s">
        <v>2016</v>
      </c>
      <c r="C46" s="2" t="s">
        <v>2006</v>
      </c>
      <c r="D46" s="16" t="n">
        <v>0</v>
      </c>
      <c r="E46" s="17" t="n">
        <f aca="false">SUM(prj_ST_S2_salaires_tension)</f>
        <v>0</v>
      </c>
    </row>
    <row r="47" customFormat="false" ht="15" hidden="false" customHeight="false" outlineLevel="0" collapsed="false">
      <c r="A47" s="2" t="s">
        <v>2017</v>
      </c>
      <c r="B47" s="2" t="s">
        <v>2018</v>
      </c>
      <c r="C47" s="2" t="s">
        <v>2019</v>
      </c>
      <c r="D47" s="16" t="n">
        <v>0</v>
      </c>
      <c r="E47" s="17" t="n">
        <f aca="false">MIN(prj_ST_S2_moteur_reserve)</f>
        <v>1500000</v>
      </c>
    </row>
    <row r="48" customFormat="false" ht="15" hidden="false" customHeight="false" outlineLevel="0" collapsed="false">
      <c r="A48" s="2" t="s">
        <v>2020</v>
      </c>
      <c r="B48" s="2" t="s">
        <v>2021</v>
      </c>
      <c r="C48" s="2" t="s">
        <v>2019</v>
      </c>
      <c r="D48" s="16" t="n">
        <v>0</v>
      </c>
      <c r="E48" s="17" t="n">
        <f aca="false">INDEX(prj_ST_S2_moteur_reserve,1,20)</f>
        <v>1659081.92956546</v>
      </c>
    </row>
    <row r="49" customFormat="false" ht="15" hidden="false" customHeight="false" outlineLevel="0" collapsed="false">
      <c r="A49" s="2" t="s">
        <v>2022</v>
      </c>
      <c r="B49" s="2" t="s">
        <v>2023</v>
      </c>
      <c r="C49" s="2" t="s">
        <v>2019</v>
      </c>
      <c r="D49" s="16" t="n">
        <v>0</v>
      </c>
      <c r="E49" s="17" t="n">
        <f aca="false">INDEX(prj_ST_S2_moteur_dotation_fin,1,20)</f>
        <v>118466606.929926</v>
      </c>
    </row>
    <row r="50" customFormat="false" ht="15" hidden="false" customHeight="false" outlineLevel="0" collapsed="false">
      <c r="A50" s="2" t="s">
        <v>2024</v>
      </c>
      <c r="B50" s="2" t="s">
        <v>2025</v>
      </c>
      <c r="C50" s="2" t="s">
        <v>2019</v>
      </c>
      <c r="D50" s="16" t="n">
        <v>0</v>
      </c>
      <c r="E50" s="17" t="n">
        <f aca="false">SUM(prj_ST_S2_moteur_kpi_deficit)</f>
        <v>0</v>
      </c>
    </row>
    <row r="51" customFormat="false" ht="15" hidden="false" customHeight="false" outlineLevel="0" collapsed="false">
      <c r="A51" s="2" t="s">
        <v>2026</v>
      </c>
      <c r="B51" s="2" t="s">
        <v>2027</v>
      </c>
      <c r="C51" s="2" t="s">
        <v>2019</v>
      </c>
      <c r="D51" s="16" t="n">
        <v>0</v>
      </c>
      <c r="E51" s="17" t="n">
        <f aca="false">AVERAGE(prj_ST_S2_moteur_act_nette)</f>
        <v>40717.113</v>
      </c>
    </row>
    <row r="52" customFormat="false" ht="15" hidden="false" customHeight="false" outlineLevel="0" collapsed="false">
      <c r="A52" s="2" t="s">
        <v>2028</v>
      </c>
      <c r="B52" s="2" t="s">
        <v>2029</v>
      </c>
      <c r="C52" s="2" t="s">
        <v>2019</v>
      </c>
      <c r="D52" s="16" t="n">
        <v>0</v>
      </c>
      <c r="E52" s="17" t="n">
        <f aca="false">SUM(prj_ST_S2_moteur_tension)</f>
        <v>0</v>
      </c>
    </row>
    <row r="53" customFormat="false" ht="15" hidden="false" customHeight="false" outlineLevel="0" collapsed="false">
      <c r="A53" s="2" t="s">
        <v>2030</v>
      </c>
      <c r="B53" s="2" t="s">
        <v>2031</v>
      </c>
      <c r="C53" s="2" t="s">
        <v>2032</v>
      </c>
      <c r="D53" s="16" t="n">
        <v>0</v>
      </c>
      <c r="E53" s="17" t="n">
        <f aca="false">MIN(prj_ST_S2_cumul_reserve)</f>
        <v>1500000</v>
      </c>
    </row>
    <row r="54" customFormat="false" ht="15" hidden="false" customHeight="false" outlineLevel="0" collapsed="false">
      <c r="A54" s="2" t="s">
        <v>2033</v>
      </c>
      <c r="B54" s="2" t="s">
        <v>2034</v>
      </c>
      <c r="C54" s="2" t="s">
        <v>2032</v>
      </c>
      <c r="D54" s="16" t="n">
        <v>0</v>
      </c>
      <c r="E54" s="17" t="n">
        <f aca="false">INDEX(prj_ST_S2_cumul_reserve,1,20)</f>
        <v>1767435.36204837</v>
      </c>
    </row>
    <row r="55" customFormat="false" ht="15" hidden="false" customHeight="false" outlineLevel="0" collapsed="false">
      <c r="A55" s="2" t="s">
        <v>2035</v>
      </c>
      <c r="B55" s="2" t="s">
        <v>2036</v>
      </c>
      <c r="C55" s="2" t="s">
        <v>2032</v>
      </c>
      <c r="D55" s="16" t="n">
        <v>0</v>
      </c>
      <c r="E55" s="17" t="n">
        <f aca="false">INDEX(prj_ST_S2_cumul_dotation_fin,1,20)</f>
        <v>112195416.98865</v>
      </c>
    </row>
    <row r="56" customFormat="false" ht="15" hidden="false" customHeight="false" outlineLevel="0" collapsed="false">
      <c r="A56" s="2" t="s">
        <v>2037</v>
      </c>
      <c r="B56" s="2" t="s">
        <v>2038</v>
      </c>
      <c r="C56" s="2" t="s">
        <v>2032</v>
      </c>
      <c r="D56" s="16" t="n">
        <v>0</v>
      </c>
      <c r="E56" s="17" t="n">
        <f aca="false">SUM(prj_ST_S2_cumul_kpi_deficit)</f>
        <v>0</v>
      </c>
    </row>
    <row r="57" customFormat="false" ht="15" hidden="false" customHeight="false" outlineLevel="0" collapsed="false">
      <c r="A57" s="2" t="s">
        <v>2039</v>
      </c>
      <c r="B57" s="2" t="s">
        <v>2040</v>
      </c>
      <c r="C57" s="2" t="s">
        <v>2032</v>
      </c>
      <c r="D57" s="16" t="n">
        <v>0</v>
      </c>
      <c r="E57" s="17" t="n">
        <f aca="false">AVERAGE(prj_ST_S2_cumul_act_nette)</f>
        <v>28975.07418</v>
      </c>
    </row>
    <row r="58" customFormat="false" ht="15" hidden="false" customHeight="false" outlineLevel="0" collapsed="false">
      <c r="A58" s="2" t="s">
        <v>2041</v>
      </c>
      <c r="B58" s="2" t="s">
        <v>2042</v>
      </c>
      <c r="C58" s="2" t="s">
        <v>2032</v>
      </c>
      <c r="D58" s="16" t="n">
        <v>0</v>
      </c>
      <c r="E58" s="17" t="n">
        <f aca="false">SUM(prj_ST_S2_cumul_tension)</f>
        <v>0</v>
      </c>
    </row>
    <row r="59" customFormat="false" ht="15" hidden="false" customHeight="false" outlineLevel="0" collapsed="false">
      <c r="A59" s="2" t="s">
        <v>2043</v>
      </c>
      <c r="B59" s="2" t="s">
        <v>2044</v>
      </c>
      <c r="C59" s="2" t="s">
        <v>2045</v>
      </c>
      <c r="D59" s="16" t="n">
        <v>0</v>
      </c>
      <c r="E59" s="17" t="n">
        <f aca="false">MIN(prj_Proj_S1_solution_reserve)</f>
        <v>400000</v>
      </c>
    </row>
    <row r="60" customFormat="false" ht="15" hidden="false" customHeight="false" outlineLevel="0" collapsed="false">
      <c r="A60" s="2" t="s">
        <v>2046</v>
      </c>
      <c r="B60" s="2" t="s">
        <v>2047</v>
      </c>
      <c r="C60" s="2" t="s">
        <v>2045</v>
      </c>
      <c r="D60" s="16" t="n">
        <v>0</v>
      </c>
      <c r="E60" s="17" t="n">
        <f aca="false">INDEX(prj_Proj_S1_solution_reserve,1,20)</f>
        <v>444829.969332364</v>
      </c>
    </row>
    <row r="61" customFormat="false" ht="15" hidden="false" customHeight="false" outlineLevel="0" collapsed="false">
      <c r="A61" s="2" t="s">
        <v>2048</v>
      </c>
      <c r="B61" s="2" t="s">
        <v>2049</v>
      </c>
      <c r="C61" s="2" t="s">
        <v>2045</v>
      </c>
      <c r="D61" s="16" t="n">
        <v>0</v>
      </c>
      <c r="E61" s="17" t="n">
        <f aca="false">INDEX(prj_Proj_S1_solution_dotation_fin,1,20)</f>
        <v>46790948.8225</v>
      </c>
    </row>
    <row r="62" customFormat="false" ht="15" hidden="false" customHeight="false" outlineLevel="0" collapsed="false">
      <c r="A62" s="2" t="s">
        <v>2050</v>
      </c>
      <c r="B62" s="2" t="s">
        <v>2051</v>
      </c>
      <c r="C62" s="2" t="s">
        <v>2045</v>
      </c>
      <c r="D62" s="16" t="n">
        <v>0</v>
      </c>
      <c r="E62" s="17" t="n">
        <f aca="false">SUM(prj_Proj_S1_solution_kpi_deficit)</f>
        <v>0</v>
      </c>
    </row>
    <row r="63" customFormat="false" ht="15" hidden="false" customHeight="false" outlineLevel="0" collapsed="false">
      <c r="A63" s="2" t="s">
        <v>2052</v>
      </c>
      <c r="B63" s="2" t="s">
        <v>2053</v>
      </c>
      <c r="C63" s="2" t="s">
        <v>2045</v>
      </c>
      <c r="D63" s="16" t="n">
        <v>0</v>
      </c>
      <c r="E63" s="17" t="n">
        <f aca="false">AVERAGE(prj_Proj_S1_solution_act_nette)</f>
        <v>12341.198733</v>
      </c>
    </row>
    <row r="64" customFormat="false" ht="15" hidden="false" customHeight="false" outlineLevel="0" collapsed="false">
      <c r="A64" s="2" t="s">
        <v>2054</v>
      </c>
      <c r="B64" s="2" t="s">
        <v>2055</v>
      </c>
      <c r="C64" s="2" t="s">
        <v>2045</v>
      </c>
      <c r="D64" s="16" t="n">
        <v>0</v>
      </c>
      <c r="E64" s="17" t="n">
        <f aca="false">SUM(prj_Proj_S1_solution_tension)</f>
        <v>0</v>
      </c>
    </row>
    <row r="65" customFormat="false" ht="15" hidden="false" customHeight="false" outlineLevel="0" collapsed="false">
      <c r="A65" s="2" t="s">
        <v>2056</v>
      </c>
      <c r="B65" s="2" t="s">
        <v>2057</v>
      </c>
      <c r="C65" s="2" t="s">
        <v>2058</v>
      </c>
      <c r="D65" s="16" t="n">
        <v>0</v>
      </c>
      <c r="E65" s="17" t="n">
        <f aca="false">MIN(prj_ST_S1_cumul_reserve)</f>
        <v>400000</v>
      </c>
    </row>
    <row r="66" customFormat="false" ht="15" hidden="false" customHeight="false" outlineLevel="0" collapsed="false">
      <c r="A66" s="2" t="s">
        <v>2059</v>
      </c>
      <c r="B66" s="2" t="s">
        <v>2060</v>
      </c>
      <c r="C66" s="2" t="s">
        <v>2058</v>
      </c>
      <c r="D66" s="16" t="n">
        <v>0</v>
      </c>
      <c r="E66" s="17" t="n">
        <f aca="false">INDEX(prj_ST_S1_cumul_reserve,1,20)</f>
        <v>463926.222655933</v>
      </c>
    </row>
    <row r="67" customFormat="false" ht="15" hidden="false" customHeight="false" outlineLevel="0" collapsed="false">
      <c r="A67" s="2" t="s">
        <v>2061</v>
      </c>
      <c r="B67" s="2" t="s">
        <v>2062</v>
      </c>
      <c r="C67" s="2" t="s">
        <v>2058</v>
      </c>
      <c r="D67" s="16" t="n">
        <v>0</v>
      </c>
      <c r="E67" s="17" t="n">
        <f aca="false">INDEX(prj_ST_S1_cumul_dotation_fin,1,20)</f>
        <v>33066281.5363355</v>
      </c>
    </row>
    <row r="68" customFormat="false" ht="15" hidden="false" customHeight="false" outlineLevel="0" collapsed="false">
      <c r="A68" s="2" t="s">
        <v>2063</v>
      </c>
      <c r="B68" s="2" t="s">
        <v>2064</v>
      </c>
      <c r="C68" s="2" t="s">
        <v>2058</v>
      </c>
      <c r="D68" s="16" t="n">
        <v>0</v>
      </c>
      <c r="E68" s="17" t="n">
        <f aca="false">SUM(prj_ST_S1_cumul_kpi_deficit)</f>
        <v>0</v>
      </c>
    </row>
    <row r="69" customFormat="false" ht="15" hidden="false" customHeight="false" outlineLevel="0" collapsed="false">
      <c r="A69" s="2" t="s">
        <v>2065</v>
      </c>
      <c r="B69" s="2" t="s">
        <v>2066</v>
      </c>
      <c r="C69" s="2" t="s">
        <v>2058</v>
      </c>
      <c r="D69" s="16" t="n">
        <v>0</v>
      </c>
      <c r="E69" s="17" t="n">
        <f aca="false">AVERAGE(prj_ST_S1_cumul_act_nette)</f>
        <v>8756.0667822</v>
      </c>
    </row>
    <row r="70" customFormat="false" ht="15" hidden="false" customHeight="false" outlineLevel="0" collapsed="false">
      <c r="A70" s="2" t="s">
        <v>2067</v>
      </c>
      <c r="B70" s="2" t="s">
        <v>2068</v>
      </c>
      <c r="C70" s="2" t="s">
        <v>2058</v>
      </c>
      <c r="D70" s="16" t="n">
        <v>0</v>
      </c>
      <c r="E70" s="17" t="n">
        <f aca="false">SUM(prj_ST_S1_cumul_tension)</f>
        <v>0</v>
      </c>
    </row>
    <row r="71" customFormat="false" ht="15" hidden="false" customHeight="false" outlineLevel="0" collapsed="false">
      <c r="A71" s="2" t="s">
        <v>2069</v>
      </c>
      <c r="B71" s="2" t="s">
        <v>2070</v>
      </c>
      <c r="C71" s="2" t="s">
        <v>2071</v>
      </c>
      <c r="D71" s="16" t="n">
        <v>0</v>
      </c>
      <c r="E71" s="17" t="n">
        <f aca="false">MIN(prj_Proj_S3_solution_reserve)</f>
        <v>4000000</v>
      </c>
    </row>
    <row r="72" customFormat="false" ht="15" hidden="false" customHeight="false" outlineLevel="0" collapsed="false">
      <c r="A72" s="2" t="s">
        <v>2072</v>
      </c>
      <c r="B72" s="2" t="s">
        <v>2073</v>
      </c>
      <c r="C72" s="2" t="s">
        <v>2071</v>
      </c>
      <c r="D72" s="16" t="n">
        <v>0</v>
      </c>
      <c r="E72" s="17" t="n">
        <f aca="false">INDEX(prj_Proj_S3_solution_reserve,1,20)</f>
        <v>4448595.9054949</v>
      </c>
    </row>
    <row r="73" customFormat="false" ht="15" hidden="false" customHeight="false" outlineLevel="0" collapsed="false">
      <c r="A73" s="2" t="s">
        <v>2074</v>
      </c>
      <c r="B73" s="2" t="s">
        <v>2075</v>
      </c>
      <c r="C73" s="2" t="s">
        <v>2071</v>
      </c>
      <c r="D73" s="16" t="n">
        <v>0</v>
      </c>
      <c r="E73" s="17" t="n">
        <f aca="false">INDEX(prj_Proj_S3_solution_dotation_fin,1,20)</f>
        <v>614073564.742003</v>
      </c>
    </row>
    <row r="74" customFormat="false" ht="15" hidden="false" customHeight="false" outlineLevel="0" collapsed="false">
      <c r="A74" s="2" t="s">
        <v>2076</v>
      </c>
      <c r="B74" s="2" t="s">
        <v>2077</v>
      </c>
      <c r="C74" s="2" t="s">
        <v>2071</v>
      </c>
      <c r="D74" s="16" t="n">
        <v>0</v>
      </c>
      <c r="E74" s="17" t="n">
        <f aca="false">SUM(prj_Proj_S3_solution_kpi_deficit)</f>
        <v>0</v>
      </c>
    </row>
    <row r="75" customFormat="false" ht="15" hidden="false" customHeight="false" outlineLevel="0" collapsed="false">
      <c r="A75" s="2" t="s">
        <v>2078</v>
      </c>
      <c r="B75" s="2" t="s">
        <v>2079</v>
      </c>
      <c r="C75" s="2" t="s">
        <v>2071</v>
      </c>
      <c r="D75" s="16" t="n">
        <v>0</v>
      </c>
      <c r="E75" s="17" t="n">
        <f aca="false">AVERAGE(prj_Proj_S3_solution_act_nette)</f>
        <v>75798.170733</v>
      </c>
    </row>
    <row r="76" customFormat="false" ht="15" hidden="false" customHeight="false" outlineLevel="0" collapsed="false">
      <c r="A76" s="2" t="s">
        <v>2080</v>
      </c>
      <c r="B76" s="2" t="s">
        <v>2081</v>
      </c>
      <c r="C76" s="2" t="s">
        <v>2071</v>
      </c>
      <c r="D76" s="16" t="n">
        <v>0</v>
      </c>
      <c r="E76" s="17" t="n">
        <f aca="false">SUM(prj_Proj_S3_solution_tension)</f>
        <v>0</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0"/>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30"/>
    <col collapsed="false" customWidth="true" hidden="false" outlineLevel="0" max="8" min="8" style="0" width="10"/>
  </cols>
  <sheetData>
    <row r="1" customFormat="false" ht="16.15" hidden="false" customHeight="false" outlineLevel="0" collapsed="false">
      <c r="A1" s="1" t="s">
        <v>2082</v>
      </c>
    </row>
    <row r="3" customFormat="false" ht="15" hidden="false" customHeight="false" outlineLevel="0" collapsed="false">
      <c r="A3" s="4" t="s">
        <v>2083</v>
      </c>
      <c r="B3" s="4" t="s">
        <v>2084</v>
      </c>
      <c r="C3" s="4" t="s">
        <v>2085</v>
      </c>
      <c r="D3" s="4" t="s">
        <v>2086</v>
      </c>
      <c r="E3" s="4" t="s">
        <v>2087</v>
      </c>
      <c r="F3" s="4" t="s">
        <v>17</v>
      </c>
      <c r="G3" s="4" t="s">
        <v>2088</v>
      </c>
      <c r="H3" s="4" t="s">
        <v>2089</v>
      </c>
    </row>
    <row r="4" customFormat="false" ht="23.85" hidden="false" customHeight="false" outlineLevel="0" collapsed="false">
      <c r="A4" s="26" t="s">
        <v>878</v>
      </c>
      <c r="B4" s="8" t="s">
        <v>2090</v>
      </c>
      <c r="C4" s="26" t="s">
        <v>2091</v>
      </c>
      <c r="D4" s="26" t="s">
        <v>2092</v>
      </c>
      <c r="E4" s="26" t="s">
        <v>2093</v>
      </c>
      <c r="F4" s="26" t="s">
        <v>2094</v>
      </c>
      <c r="G4" s="26" t="s">
        <v>2095</v>
      </c>
      <c r="H4" s="26" t="s">
        <v>2096</v>
      </c>
    </row>
    <row r="5" customFormat="false" ht="35.05" hidden="false" customHeight="false" outlineLevel="0" collapsed="false">
      <c r="A5" s="26" t="s">
        <v>1009</v>
      </c>
      <c r="B5" s="8" t="s">
        <v>2097</v>
      </c>
      <c r="C5" s="26" t="s">
        <v>2098</v>
      </c>
      <c r="D5" s="26" t="s">
        <v>2099</v>
      </c>
      <c r="E5" s="26" t="s">
        <v>2093</v>
      </c>
      <c r="F5" s="26" t="s">
        <v>2094</v>
      </c>
      <c r="G5" s="26" t="s">
        <v>2100</v>
      </c>
      <c r="H5" s="26" t="s">
        <v>2101</v>
      </c>
    </row>
    <row r="6" customFormat="false" ht="23.85" hidden="false" customHeight="false" outlineLevel="0" collapsed="false">
      <c r="A6" s="26" t="s">
        <v>2102</v>
      </c>
      <c r="B6" s="8" t="s">
        <v>2103</v>
      </c>
      <c r="C6" s="26" t="s">
        <v>2104</v>
      </c>
      <c r="D6" s="26" t="s">
        <v>2105</v>
      </c>
      <c r="E6" s="26" t="s">
        <v>2093</v>
      </c>
      <c r="F6" s="26" t="s">
        <v>2106</v>
      </c>
      <c r="G6" s="26" t="s">
        <v>2107</v>
      </c>
      <c r="H6" s="26" t="s">
        <v>2101</v>
      </c>
    </row>
    <row r="7" customFormat="false" ht="23.85" hidden="false" customHeight="false" outlineLevel="0" collapsed="false">
      <c r="A7" s="26" t="s">
        <v>2108</v>
      </c>
      <c r="B7" s="8" t="s">
        <v>2109</v>
      </c>
      <c r="C7" s="26" t="s">
        <v>2110</v>
      </c>
      <c r="D7" s="26" t="s">
        <v>2111</v>
      </c>
      <c r="E7" s="26" t="s">
        <v>2093</v>
      </c>
      <c r="F7" s="26" t="s">
        <v>2106</v>
      </c>
      <c r="G7" s="26" t="s">
        <v>2112</v>
      </c>
      <c r="H7" s="26" t="s">
        <v>2101</v>
      </c>
    </row>
    <row r="8" customFormat="false" ht="23.85" hidden="false" customHeight="false" outlineLevel="0" collapsed="false">
      <c r="A8" s="26" t="s">
        <v>1022</v>
      </c>
      <c r="B8" s="8" t="s">
        <v>2113</v>
      </c>
      <c r="C8" s="26" t="s">
        <v>2114</v>
      </c>
      <c r="D8" s="26" t="s">
        <v>2115</v>
      </c>
      <c r="E8" s="26" t="s">
        <v>2093</v>
      </c>
      <c r="F8" s="26" t="s">
        <v>2106</v>
      </c>
      <c r="G8" s="26" t="s">
        <v>2116</v>
      </c>
      <c r="H8" s="26" t="s">
        <v>2101</v>
      </c>
    </row>
    <row r="9" customFormat="false" ht="23.85" hidden="false" customHeight="false" outlineLevel="0" collapsed="false">
      <c r="A9" s="26" t="s">
        <v>2117</v>
      </c>
      <c r="B9" s="8" t="s">
        <v>2118</v>
      </c>
      <c r="C9" s="26" t="s">
        <v>2119</v>
      </c>
      <c r="D9" s="26" t="s">
        <v>2120</v>
      </c>
      <c r="E9" s="26" t="s">
        <v>2093</v>
      </c>
      <c r="F9" s="26" t="s">
        <v>2106</v>
      </c>
      <c r="G9" s="26" t="s">
        <v>2121</v>
      </c>
      <c r="H9" s="26" t="s">
        <v>2101</v>
      </c>
    </row>
    <row r="10" customFormat="false" ht="23.85" hidden="false" customHeight="false" outlineLevel="0" collapsed="false">
      <c r="A10" s="26" t="s">
        <v>2122</v>
      </c>
      <c r="B10" s="8" t="s">
        <v>2123</v>
      </c>
      <c r="C10" s="26" t="s">
        <v>2119</v>
      </c>
      <c r="D10" s="26" t="s">
        <v>2124</v>
      </c>
      <c r="E10" s="26" t="s">
        <v>2093</v>
      </c>
      <c r="F10" s="26" t="s">
        <v>2094</v>
      </c>
      <c r="G10" s="26" t="s">
        <v>2125</v>
      </c>
      <c r="H10" s="26" t="s">
        <v>2101</v>
      </c>
    </row>
    <row r="11" customFormat="false" ht="23.85" hidden="false" customHeight="false" outlineLevel="0" collapsed="false">
      <c r="A11" s="26" t="s">
        <v>2126</v>
      </c>
      <c r="B11" s="8" t="s">
        <v>2127</v>
      </c>
      <c r="C11" s="26" t="s">
        <v>2128</v>
      </c>
      <c r="D11" s="26" t="s">
        <v>2129</v>
      </c>
      <c r="E11" s="26" t="s">
        <v>2093</v>
      </c>
      <c r="F11" s="26" t="s">
        <v>2094</v>
      </c>
      <c r="G11" s="26" t="s">
        <v>2130</v>
      </c>
      <c r="H11" s="26" t="s">
        <v>2131</v>
      </c>
    </row>
    <row r="12" customFormat="false" ht="23.85" hidden="false" customHeight="false" outlineLevel="0" collapsed="false">
      <c r="A12" s="26" t="s">
        <v>2132</v>
      </c>
      <c r="B12" s="8" t="s">
        <v>2133</v>
      </c>
      <c r="C12" s="26" t="s">
        <v>2134</v>
      </c>
      <c r="D12" s="26" t="s">
        <v>2135</v>
      </c>
      <c r="E12" s="26" t="s">
        <v>2093</v>
      </c>
      <c r="F12" s="26" t="s">
        <v>2094</v>
      </c>
      <c r="G12" s="26" t="s">
        <v>2136</v>
      </c>
      <c r="H12" s="26" t="s">
        <v>2101</v>
      </c>
    </row>
    <row r="13" customFormat="false" ht="23.85" hidden="false" customHeight="false" outlineLevel="0" collapsed="false">
      <c r="A13" s="26" t="s">
        <v>2137</v>
      </c>
      <c r="B13" s="8" t="s">
        <v>2138</v>
      </c>
      <c r="C13" s="26" t="s">
        <v>2139</v>
      </c>
      <c r="D13" s="26" t="s">
        <v>2140</v>
      </c>
      <c r="E13" s="26" t="s">
        <v>2093</v>
      </c>
      <c r="F13" s="26" t="s">
        <v>2094</v>
      </c>
      <c r="G13" s="26" t="s">
        <v>2141</v>
      </c>
      <c r="H13" s="26" t="s">
        <v>2101</v>
      </c>
    </row>
    <row r="14" customFormat="false" ht="23.85" hidden="false" customHeight="false" outlineLevel="0" collapsed="false">
      <c r="A14" s="26" t="s">
        <v>67</v>
      </c>
      <c r="B14" s="8" t="s">
        <v>2142</v>
      </c>
      <c r="C14" s="26" t="s">
        <v>2143</v>
      </c>
      <c r="D14" s="26" t="s">
        <v>2144</v>
      </c>
      <c r="E14" s="26" t="s">
        <v>2093</v>
      </c>
      <c r="F14" s="26" t="s">
        <v>2094</v>
      </c>
      <c r="G14" s="26" t="s">
        <v>2145</v>
      </c>
      <c r="H14" s="26" t="s">
        <v>2101</v>
      </c>
    </row>
    <row r="15" customFormat="false" ht="23.85" hidden="false" customHeight="false" outlineLevel="0" collapsed="false">
      <c r="A15" s="26" t="s">
        <v>2146</v>
      </c>
      <c r="B15" s="8" t="s">
        <v>2147</v>
      </c>
      <c r="C15" s="26" t="s">
        <v>2148</v>
      </c>
      <c r="D15" s="26" t="s">
        <v>2149</v>
      </c>
      <c r="E15" s="26" t="s">
        <v>2093</v>
      </c>
      <c r="F15" s="26" t="s">
        <v>2094</v>
      </c>
      <c r="G15" s="26" t="s">
        <v>2150</v>
      </c>
      <c r="H15" s="26" t="s">
        <v>2101</v>
      </c>
    </row>
    <row r="16" customFormat="false" ht="35.05" hidden="false" customHeight="false" outlineLevel="0" collapsed="false">
      <c r="A16" s="26" t="s">
        <v>100</v>
      </c>
      <c r="B16" s="8" t="s">
        <v>2151</v>
      </c>
      <c r="C16" s="26" t="s">
        <v>2152</v>
      </c>
      <c r="D16" s="26" t="s">
        <v>2153</v>
      </c>
      <c r="E16" s="26" t="s">
        <v>2093</v>
      </c>
      <c r="F16" s="26" t="s">
        <v>2094</v>
      </c>
      <c r="G16" s="26" t="s">
        <v>2154</v>
      </c>
      <c r="H16" s="26" t="s">
        <v>2096</v>
      </c>
    </row>
    <row r="17" customFormat="false" ht="23.85" hidden="false" customHeight="false" outlineLevel="0" collapsed="false">
      <c r="A17" s="26" t="s">
        <v>2155</v>
      </c>
      <c r="B17" s="8" t="s">
        <v>2156</v>
      </c>
      <c r="C17" s="26" t="s">
        <v>2157</v>
      </c>
      <c r="D17" s="26" t="s">
        <v>2158</v>
      </c>
      <c r="E17" s="26" t="s">
        <v>2093</v>
      </c>
      <c r="F17" s="26" t="s">
        <v>2106</v>
      </c>
      <c r="G17" s="26" t="s">
        <v>2159</v>
      </c>
      <c r="H17" s="26" t="s">
        <v>2101</v>
      </c>
    </row>
    <row r="18" customFormat="false" ht="23.85" hidden="false" customHeight="false" outlineLevel="0" collapsed="false">
      <c r="A18" s="26" t="s">
        <v>2160</v>
      </c>
      <c r="B18" s="8" t="s">
        <v>2161</v>
      </c>
      <c r="C18" s="26" t="s">
        <v>2162</v>
      </c>
      <c r="D18" s="26" t="s">
        <v>2163</v>
      </c>
      <c r="E18" s="26" t="s">
        <v>2093</v>
      </c>
      <c r="F18" s="26" t="s">
        <v>2094</v>
      </c>
      <c r="G18" s="26" t="s">
        <v>2164</v>
      </c>
      <c r="H18" s="26" t="s">
        <v>2101</v>
      </c>
    </row>
    <row r="19" customFormat="false" ht="35.05" hidden="false" customHeight="false" outlineLevel="0" collapsed="false">
      <c r="A19" s="26" t="s">
        <v>2165</v>
      </c>
      <c r="B19" s="8" t="s">
        <v>2166</v>
      </c>
      <c r="C19" s="26" t="s">
        <v>2167</v>
      </c>
      <c r="D19" s="26" t="s">
        <v>2168</v>
      </c>
      <c r="E19" s="26" t="s">
        <v>2093</v>
      </c>
      <c r="F19" s="26" t="s">
        <v>2094</v>
      </c>
      <c r="G19" s="26" t="s">
        <v>2169</v>
      </c>
      <c r="H19" s="26" t="s">
        <v>2101</v>
      </c>
    </row>
    <row r="20" customFormat="false" ht="23.85" hidden="false" customHeight="false" outlineLevel="0" collapsed="false">
      <c r="A20" s="26" t="s">
        <v>2170</v>
      </c>
      <c r="B20" s="8" t="s">
        <v>2171</v>
      </c>
      <c r="C20" s="26" t="s">
        <v>2172</v>
      </c>
      <c r="D20" s="26" t="s">
        <v>2173</v>
      </c>
      <c r="E20" s="26" t="s">
        <v>2093</v>
      </c>
      <c r="F20" s="26" t="s">
        <v>2094</v>
      </c>
      <c r="G20" s="26" t="s">
        <v>2174</v>
      </c>
      <c r="H20" s="26" t="s">
        <v>2101</v>
      </c>
    </row>
    <row r="21" customFormat="false" ht="23.85" hidden="false" customHeight="false" outlineLevel="0" collapsed="false">
      <c r="A21" s="26" t="s">
        <v>2175</v>
      </c>
      <c r="B21" s="8" t="s">
        <v>2176</v>
      </c>
      <c r="C21" s="26" t="s">
        <v>2177</v>
      </c>
      <c r="D21" s="26" t="s">
        <v>2173</v>
      </c>
      <c r="E21" s="26" t="s">
        <v>2093</v>
      </c>
      <c r="F21" s="26" t="s">
        <v>2094</v>
      </c>
      <c r="G21" s="26" t="s">
        <v>2178</v>
      </c>
      <c r="H21" s="26" t="s">
        <v>2101</v>
      </c>
    </row>
    <row r="22" customFormat="false" ht="23.85" hidden="false" customHeight="false" outlineLevel="0" collapsed="false">
      <c r="A22" s="26" t="s">
        <v>2179</v>
      </c>
      <c r="B22" s="8" t="s">
        <v>2180</v>
      </c>
      <c r="C22" s="26" t="s">
        <v>2181</v>
      </c>
      <c r="D22" s="26" t="s">
        <v>2173</v>
      </c>
      <c r="E22" s="26" t="s">
        <v>2093</v>
      </c>
      <c r="F22" s="26" t="s">
        <v>2094</v>
      </c>
      <c r="G22" s="26" t="s">
        <v>2178</v>
      </c>
      <c r="H22" s="26" t="s">
        <v>2101</v>
      </c>
    </row>
    <row r="23" customFormat="false" ht="15" hidden="false" customHeight="false" outlineLevel="0" collapsed="false">
      <c r="A23" s="26" t="s">
        <v>2182</v>
      </c>
      <c r="B23" s="8" t="s">
        <v>2183</v>
      </c>
      <c r="C23" s="26" t="s">
        <v>2184</v>
      </c>
      <c r="D23" s="26" t="s">
        <v>2173</v>
      </c>
      <c r="E23" s="26" t="s">
        <v>2093</v>
      </c>
      <c r="F23" s="26" t="s">
        <v>2094</v>
      </c>
      <c r="G23" s="26" t="s">
        <v>2174</v>
      </c>
      <c r="H23" s="26" t="s">
        <v>2101</v>
      </c>
    </row>
    <row r="24" customFormat="false" ht="15" hidden="false" customHeight="false" outlineLevel="0" collapsed="false">
      <c r="A24" s="26" t="s">
        <v>2185</v>
      </c>
      <c r="B24" s="8" t="s">
        <v>2186</v>
      </c>
      <c r="C24" s="26" t="s">
        <v>2187</v>
      </c>
      <c r="D24" s="26" t="s">
        <v>2173</v>
      </c>
      <c r="E24" s="26" t="s">
        <v>2093</v>
      </c>
      <c r="F24" s="26" t="s">
        <v>2094</v>
      </c>
      <c r="G24" s="26" t="s">
        <v>2174</v>
      </c>
      <c r="H24" s="26" t="s">
        <v>2101</v>
      </c>
    </row>
    <row r="25" customFormat="false" ht="23.85" hidden="false" customHeight="false" outlineLevel="0" collapsed="false">
      <c r="A25" s="26" t="s">
        <v>2188</v>
      </c>
      <c r="B25" s="8" t="s">
        <v>2189</v>
      </c>
      <c r="C25" s="26" t="s">
        <v>2190</v>
      </c>
      <c r="D25" s="26" t="s">
        <v>2173</v>
      </c>
      <c r="E25" s="26" t="s">
        <v>2093</v>
      </c>
      <c r="F25" s="26" t="s">
        <v>2094</v>
      </c>
      <c r="G25" s="26" t="s">
        <v>2178</v>
      </c>
      <c r="H25" s="26" t="s">
        <v>2101</v>
      </c>
    </row>
    <row r="26" customFormat="false" ht="23.85" hidden="false" customHeight="false" outlineLevel="0" collapsed="false">
      <c r="A26" s="26" t="s">
        <v>2191</v>
      </c>
      <c r="B26" s="8" t="s">
        <v>2192</v>
      </c>
      <c r="C26" s="26" t="s">
        <v>2193</v>
      </c>
      <c r="D26" s="26" t="s">
        <v>2194</v>
      </c>
      <c r="E26" s="26" t="s">
        <v>2093</v>
      </c>
      <c r="F26" s="26" t="s">
        <v>2094</v>
      </c>
      <c r="G26" s="26" t="s">
        <v>2195</v>
      </c>
      <c r="H26" s="26" t="s">
        <v>2096</v>
      </c>
    </row>
    <row r="27" customFormat="false" ht="23.85" hidden="false" customHeight="false" outlineLevel="0" collapsed="false">
      <c r="A27" s="26" t="s">
        <v>2196</v>
      </c>
      <c r="B27" s="8" t="s">
        <v>2197</v>
      </c>
      <c r="C27" s="26" t="s">
        <v>2198</v>
      </c>
      <c r="D27" s="26" t="s">
        <v>2199</v>
      </c>
      <c r="E27" s="26" t="s">
        <v>2093</v>
      </c>
      <c r="F27" s="26" t="s">
        <v>2094</v>
      </c>
      <c r="G27" s="26" t="s">
        <v>2200</v>
      </c>
      <c r="H27" s="26" t="s">
        <v>2096</v>
      </c>
    </row>
    <row r="28" customFormat="false" ht="23.85" hidden="false" customHeight="false" outlineLevel="0" collapsed="false">
      <c r="A28" s="26" t="s">
        <v>2201</v>
      </c>
      <c r="B28" s="8" t="s">
        <v>2202</v>
      </c>
      <c r="C28" s="26" t="s">
        <v>2203</v>
      </c>
      <c r="D28" s="26" t="s">
        <v>2204</v>
      </c>
      <c r="E28" s="26" t="s">
        <v>2093</v>
      </c>
      <c r="F28" s="26" t="s">
        <v>2094</v>
      </c>
      <c r="G28" s="26" t="s">
        <v>2205</v>
      </c>
      <c r="H28" s="26" t="s">
        <v>2131</v>
      </c>
    </row>
    <row r="29" customFormat="false" ht="23.85" hidden="false" customHeight="false" outlineLevel="0" collapsed="false">
      <c r="A29" s="26" t="s">
        <v>2206</v>
      </c>
      <c r="B29" s="8" t="s">
        <v>2207</v>
      </c>
      <c r="C29" s="26" t="s">
        <v>2208</v>
      </c>
      <c r="D29" s="26" t="s">
        <v>2209</v>
      </c>
      <c r="E29" s="26" t="s">
        <v>2093</v>
      </c>
      <c r="F29" s="26" t="s">
        <v>2094</v>
      </c>
      <c r="G29" s="26" t="s">
        <v>2210</v>
      </c>
      <c r="H29" s="26" t="s">
        <v>2131</v>
      </c>
    </row>
    <row r="30" customFormat="false" ht="23.85" hidden="false" customHeight="false" outlineLevel="0" collapsed="false">
      <c r="A30" s="26" t="s">
        <v>1392</v>
      </c>
      <c r="B30" s="8" t="s">
        <v>2211</v>
      </c>
      <c r="C30" s="26" t="s">
        <v>2212</v>
      </c>
      <c r="D30" s="26" t="s">
        <v>2213</v>
      </c>
      <c r="E30" s="26" t="s">
        <v>2093</v>
      </c>
      <c r="F30" s="26" t="s">
        <v>2094</v>
      </c>
      <c r="G30" s="26" t="s">
        <v>2214</v>
      </c>
      <c r="H30" s="26" t="s">
        <v>2096</v>
      </c>
    </row>
    <row r="31" customFormat="false" ht="35.05" hidden="false" customHeight="false" outlineLevel="0" collapsed="false">
      <c r="A31" s="26" t="s">
        <v>2215</v>
      </c>
      <c r="B31" s="8" t="s">
        <v>2216</v>
      </c>
      <c r="C31" s="26" t="s">
        <v>2217</v>
      </c>
      <c r="D31" s="26" t="s">
        <v>2218</v>
      </c>
      <c r="E31" s="26" t="s">
        <v>2093</v>
      </c>
      <c r="F31" s="26" t="s">
        <v>2094</v>
      </c>
      <c r="G31" s="26" t="s">
        <v>2219</v>
      </c>
      <c r="H31" s="26" t="s">
        <v>2101</v>
      </c>
    </row>
    <row r="32" customFormat="false" ht="35.05" hidden="false" customHeight="false" outlineLevel="0" collapsed="false">
      <c r="A32" s="26" t="s">
        <v>2220</v>
      </c>
      <c r="B32" s="8" t="s">
        <v>2221</v>
      </c>
      <c r="C32" s="26" t="s">
        <v>2222</v>
      </c>
      <c r="D32" s="26" t="s">
        <v>2223</v>
      </c>
      <c r="E32" s="26" t="s">
        <v>2093</v>
      </c>
      <c r="F32" s="26" t="s">
        <v>2094</v>
      </c>
      <c r="G32" s="26" t="s">
        <v>2224</v>
      </c>
      <c r="H32" s="26" t="s">
        <v>2096</v>
      </c>
    </row>
    <row r="33" customFormat="false" ht="23.85" hidden="false" customHeight="false" outlineLevel="0" collapsed="false">
      <c r="A33" s="26" t="s">
        <v>1404</v>
      </c>
      <c r="B33" s="8" t="s">
        <v>2225</v>
      </c>
      <c r="C33" s="26" t="s">
        <v>2226</v>
      </c>
      <c r="D33" s="26" t="s">
        <v>2227</v>
      </c>
      <c r="E33" s="26" t="s">
        <v>2093</v>
      </c>
      <c r="F33" s="26" t="s">
        <v>2094</v>
      </c>
      <c r="G33" s="26" t="s">
        <v>2228</v>
      </c>
      <c r="H33" s="26" t="s">
        <v>2096</v>
      </c>
    </row>
    <row r="34" customFormat="false" ht="23.85" hidden="false" customHeight="false" outlineLevel="0" collapsed="false">
      <c r="A34" s="26" t="s">
        <v>2229</v>
      </c>
      <c r="B34" s="8" t="s">
        <v>2230</v>
      </c>
      <c r="C34" s="26" t="s">
        <v>2231</v>
      </c>
      <c r="D34" s="26" t="s">
        <v>2227</v>
      </c>
      <c r="E34" s="26" t="s">
        <v>2093</v>
      </c>
      <c r="F34" s="26" t="s">
        <v>2094</v>
      </c>
      <c r="G34" s="26" t="s">
        <v>2232</v>
      </c>
      <c r="H34" s="26" t="s">
        <v>2096</v>
      </c>
    </row>
    <row r="35" customFormat="false" ht="23.85" hidden="false" customHeight="false" outlineLevel="0" collapsed="false">
      <c r="A35" s="26" t="s">
        <v>72</v>
      </c>
      <c r="B35" s="8" t="s">
        <v>2233</v>
      </c>
      <c r="C35" s="26" t="s">
        <v>2234</v>
      </c>
      <c r="D35" s="26" t="s">
        <v>2235</v>
      </c>
      <c r="E35" s="26" t="s">
        <v>2093</v>
      </c>
      <c r="F35" s="26" t="s">
        <v>2094</v>
      </c>
      <c r="G35" s="26" t="s">
        <v>2236</v>
      </c>
      <c r="H35" s="26" t="s">
        <v>2101</v>
      </c>
    </row>
    <row r="36" customFormat="false" ht="23.85" hidden="false" customHeight="false" outlineLevel="0" collapsed="false">
      <c r="A36" s="26" t="s">
        <v>29</v>
      </c>
      <c r="B36" s="8" t="s">
        <v>2237</v>
      </c>
      <c r="C36" s="26" t="s">
        <v>2238</v>
      </c>
      <c r="D36" s="26" t="s">
        <v>2239</v>
      </c>
      <c r="E36" s="26" t="s">
        <v>2093</v>
      </c>
      <c r="F36" s="26" t="s">
        <v>2094</v>
      </c>
      <c r="G36" s="26" t="s">
        <v>2240</v>
      </c>
      <c r="H36" s="26" t="s">
        <v>2131</v>
      </c>
    </row>
    <row r="37" customFormat="false" ht="23.85" hidden="false" customHeight="false" outlineLevel="0" collapsed="false">
      <c r="A37" s="26" t="s">
        <v>2241</v>
      </c>
      <c r="B37" s="8" t="s">
        <v>2242</v>
      </c>
      <c r="C37" s="26" t="s">
        <v>2243</v>
      </c>
      <c r="D37" s="26" t="s">
        <v>2244</v>
      </c>
      <c r="E37" s="26" t="s">
        <v>2093</v>
      </c>
      <c r="F37" s="26" t="s">
        <v>2094</v>
      </c>
      <c r="G37" s="26" t="s">
        <v>2245</v>
      </c>
      <c r="H37" s="26" t="s">
        <v>2096</v>
      </c>
    </row>
    <row r="38" customFormat="false" ht="23.85" hidden="false" customHeight="false" outlineLevel="0" collapsed="false">
      <c r="A38" s="26" t="s">
        <v>2246</v>
      </c>
      <c r="B38" s="8" t="s">
        <v>2247</v>
      </c>
      <c r="C38" s="26" t="s">
        <v>2248</v>
      </c>
      <c r="D38" s="26" t="s">
        <v>2249</v>
      </c>
      <c r="E38" s="26" t="s">
        <v>2093</v>
      </c>
      <c r="F38" s="26" t="s">
        <v>2094</v>
      </c>
      <c r="G38" s="26" t="s">
        <v>2250</v>
      </c>
      <c r="H38" s="26" t="s">
        <v>2101</v>
      </c>
    </row>
    <row r="39" customFormat="false" ht="23.85" hidden="false" customHeight="false" outlineLevel="0" collapsed="false">
      <c r="A39" s="26" t="s">
        <v>2251</v>
      </c>
      <c r="B39" s="8" t="s">
        <v>2252</v>
      </c>
      <c r="C39" s="26" t="s">
        <v>2253</v>
      </c>
      <c r="D39" s="26" t="s">
        <v>2227</v>
      </c>
      <c r="E39" s="26" t="s">
        <v>2093</v>
      </c>
      <c r="F39" s="26" t="s">
        <v>2094</v>
      </c>
      <c r="G39" s="26" t="s">
        <v>2254</v>
      </c>
      <c r="H39" s="26" t="s">
        <v>2096</v>
      </c>
    </row>
    <row r="40" customFormat="false" ht="23.85" hidden="false" customHeight="false" outlineLevel="0" collapsed="false">
      <c r="A40" s="26" t="s">
        <v>2255</v>
      </c>
      <c r="B40" s="8" t="s">
        <v>2256</v>
      </c>
      <c r="C40" s="26" t="s">
        <v>2257</v>
      </c>
      <c r="D40" s="26" t="s">
        <v>2258</v>
      </c>
      <c r="E40" s="26" t="s">
        <v>2093</v>
      </c>
      <c r="F40" s="26" t="s">
        <v>2094</v>
      </c>
      <c r="G40" s="26" t="s">
        <v>2259</v>
      </c>
      <c r="H40" s="26" t="s">
        <v>2101</v>
      </c>
    </row>
    <row r="41" customFormat="false" ht="35.05" hidden="false" customHeight="false" outlineLevel="0" collapsed="false">
      <c r="A41" s="26" t="s">
        <v>1366</v>
      </c>
      <c r="B41" s="8" t="s">
        <v>2260</v>
      </c>
      <c r="C41" s="26" t="s">
        <v>2261</v>
      </c>
      <c r="D41" s="26" t="s">
        <v>2262</v>
      </c>
      <c r="E41" s="26" t="s">
        <v>2093</v>
      </c>
      <c r="F41" s="26" t="s">
        <v>2094</v>
      </c>
      <c r="G41" s="26" t="s">
        <v>2263</v>
      </c>
      <c r="H41" s="26" t="s">
        <v>2131</v>
      </c>
    </row>
    <row r="42" customFormat="false" ht="35.05" hidden="false" customHeight="false" outlineLevel="0" collapsed="false">
      <c r="A42" s="26" t="s">
        <v>2264</v>
      </c>
      <c r="B42" s="8" t="s">
        <v>2265</v>
      </c>
      <c r="C42" s="26" t="s">
        <v>2266</v>
      </c>
      <c r="D42" s="26" t="s">
        <v>2267</v>
      </c>
      <c r="E42" s="26" t="s">
        <v>2093</v>
      </c>
      <c r="F42" s="26" t="s">
        <v>2094</v>
      </c>
      <c r="G42" s="26" t="s">
        <v>2268</v>
      </c>
      <c r="H42" s="26" t="s">
        <v>2096</v>
      </c>
    </row>
    <row r="43" customFormat="false" ht="23.85" hidden="false" customHeight="false" outlineLevel="0" collapsed="false">
      <c r="A43" s="26" t="s">
        <v>2269</v>
      </c>
      <c r="B43" s="8" t="s">
        <v>2270</v>
      </c>
      <c r="C43" s="26" t="s">
        <v>2271</v>
      </c>
      <c r="D43" s="26" t="s">
        <v>2267</v>
      </c>
      <c r="E43" s="26" t="s">
        <v>2093</v>
      </c>
      <c r="F43" s="26" t="s">
        <v>2094</v>
      </c>
      <c r="G43" s="26" t="s">
        <v>2272</v>
      </c>
      <c r="H43" s="26" t="s">
        <v>2096</v>
      </c>
    </row>
    <row r="44" customFormat="false" ht="23.85" hidden="false" customHeight="false" outlineLevel="0" collapsed="false">
      <c r="A44" s="26" t="s">
        <v>2273</v>
      </c>
      <c r="B44" s="8" t="s">
        <v>2274</v>
      </c>
      <c r="C44" s="26" t="s">
        <v>2275</v>
      </c>
      <c r="D44" s="26" t="s">
        <v>2194</v>
      </c>
      <c r="E44" s="26" t="s">
        <v>2093</v>
      </c>
      <c r="F44" s="26" t="s">
        <v>2106</v>
      </c>
      <c r="G44" s="26" t="s">
        <v>2276</v>
      </c>
      <c r="H44" s="26" t="s">
        <v>2096</v>
      </c>
    </row>
    <row r="45" customFormat="false" ht="23.85" hidden="false" customHeight="false" outlineLevel="0" collapsed="false">
      <c r="A45" s="26" t="s">
        <v>2277</v>
      </c>
      <c r="B45" s="8" t="s">
        <v>2278</v>
      </c>
      <c r="C45" s="26" t="s">
        <v>2279</v>
      </c>
      <c r="D45" s="26" t="s">
        <v>2227</v>
      </c>
      <c r="E45" s="26" t="s">
        <v>2093</v>
      </c>
      <c r="F45" s="26" t="s">
        <v>2094</v>
      </c>
      <c r="G45" s="26" t="s">
        <v>2280</v>
      </c>
      <c r="H45" s="26" t="s">
        <v>2096</v>
      </c>
    </row>
    <row r="46" customFormat="false" ht="23.85" hidden="false" customHeight="false" outlineLevel="0" collapsed="false">
      <c r="A46" s="26" t="s">
        <v>2281</v>
      </c>
      <c r="B46" s="8" t="s">
        <v>2282</v>
      </c>
      <c r="C46" s="26" t="s">
        <v>2283</v>
      </c>
      <c r="D46" s="26" t="s">
        <v>2284</v>
      </c>
      <c r="E46" s="26" t="s">
        <v>2093</v>
      </c>
      <c r="F46" s="26" t="s">
        <v>2094</v>
      </c>
      <c r="G46" s="26" t="s">
        <v>2285</v>
      </c>
      <c r="H46" s="26" t="s">
        <v>2096</v>
      </c>
    </row>
    <row r="47" customFormat="false" ht="23.85" hidden="false" customHeight="false" outlineLevel="0" collapsed="false">
      <c r="A47" s="26" t="s">
        <v>2286</v>
      </c>
      <c r="B47" s="8" t="s">
        <v>2287</v>
      </c>
      <c r="C47" s="26" t="s">
        <v>2288</v>
      </c>
      <c r="D47" s="26" t="s">
        <v>2227</v>
      </c>
      <c r="E47" s="26" t="s">
        <v>2093</v>
      </c>
      <c r="F47" s="26" t="s">
        <v>2094</v>
      </c>
      <c r="G47" s="26" t="s">
        <v>2289</v>
      </c>
      <c r="H47" s="26" t="s">
        <v>2096</v>
      </c>
    </row>
    <row r="48" customFormat="false" ht="23.85" hidden="false" customHeight="false" outlineLevel="0" collapsed="false">
      <c r="A48" s="26" t="s">
        <v>2290</v>
      </c>
      <c r="B48" s="8" t="s">
        <v>2291</v>
      </c>
      <c r="C48" s="26" t="s">
        <v>2292</v>
      </c>
      <c r="D48" s="26" t="s">
        <v>2293</v>
      </c>
      <c r="E48" s="26" t="s">
        <v>2093</v>
      </c>
      <c r="F48" s="26" t="s">
        <v>2106</v>
      </c>
      <c r="G48" s="26" t="s">
        <v>2294</v>
      </c>
      <c r="H48" s="26" t="s">
        <v>2131</v>
      </c>
    </row>
    <row r="49" customFormat="false" ht="15" hidden="false" customHeight="false" outlineLevel="0" collapsed="false">
      <c r="A49" s="26" t="s">
        <v>2295</v>
      </c>
      <c r="B49" s="8" t="s">
        <v>2296</v>
      </c>
      <c r="C49" s="26" t="s">
        <v>2297</v>
      </c>
      <c r="D49" s="26" t="s">
        <v>2293</v>
      </c>
      <c r="E49" s="26" t="s">
        <v>2093</v>
      </c>
      <c r="F49" s="26" t="s">
        <v>2106</v>
      </c>
      <c r="G49" s="26" t="s">
        <v>2294</v>
      </c>
      <c r="H49" s="26" t="s">
        <v>2131</v>
      </c>
    </row>
    <row r="50" customFormat="false" ht="15" hidden="false" customHeight="false" outlineLevel="0" collapsed="false">
      <c r="A50" s="26" t="s">
        <v>2298</v>
      </c>
      <c r="B50" s="8" t="s">
        <v>2299</v>
      </c>
      <c r="C50" s="26" t="s">
        <v>2300</v>
      </c>
      <c r="D50" s="26" t="s">
        <v>2293</v>
      </c>
      <c r="E50" s="26" t="s">
        <v>2093</v>
      </c>
      <c r="F50" s="26" t="s">
        <v>2106</v>
      </c>
      <c r="G50" s="26" t="s">
        <v>2294</v>
      </c>
      <c r="H50" s="26" t="s">
        <v>2131</v>
      </c>
    </row>
    <row r="51" customFormat="false" ht="23.85" hidden="false" customHeight="false" outlineLevel="0" collapsed="false">
      <c r="A51" s="26" t="s">
        <v>2301</v>
      </c>
      <c r="B51" s="8" t="s">
        <v>2302</v>
      </c>
      <c r="C51" s="26" t="s">
        <v>2303</v>
      </c>
      <c r="D51" s="26" t="s">
        <v>2304</v>
      </c>
      <c r="E51" s="26" t="s">
        <v>2093</v>
      </c>
      <c r="F51" s="26" t="s">
        <v>2106</v>
      </c>
      <c r="G51" s="26" t="s">
        <v>2305</v>
      </c>
      <c r="H51" s="26" t="s">
        <v>2131</v>
      </c>
    </row>
    <row r="52" customFormat="false" ht="23.85" hidden="false" customHeight="false" outlineLevel="0" collapsed="false">
      <c r="A52" s="26" t="s">
        <v>2306</v>
      </c>
      <c r="B52" s="8" t="s">
        <v>2307</v>
      </c>
      <c r="C52" s="26" t="s">
        <v>2308</v>
      </c>
      <c r="D52" s="26" t="s">
        <v>2309</v>
      </c>
      <c r="E52" s="26" t="s">
        <v>2093</v>
      </c>
      <c r="F52" s="26" t="s">
        <v>2106</v>
      </c>
      <c r="G52" s="26" t="s">
        <v>2305</v>
      </c>
      <c r="H52" s="26" t="s">
        <v>2131</v>
      </c>
    </row>
    <row r="53" customFormat="false" ht="15" hidden="false" customHeight="false" outlineLevel="0" collapsed="false">
      <c r="A53" s="26" t="s">
        <v>2310</v>
      </c>
      <c r="B53" s="8" t="s">
        <v>2311</v>
      </c>
      <c r="C53" s="26" t="s">
        <v>2312</v>
      </c>
      <c r="D53" s="26" t="s">
        <v>2227</v>
      </c>
      <c r="E53" s="26" t="s">
        <v>2093</v>
      </c>
      <c r="F53" s="26" t="s">
        <v>2094</v>
      </c>
      <c r="G53" s="26" t="s">
        <v>2313</v>
      </c>
      <c r="H53" s="26" t="s">
        <v>2096</v>
      </c>
    </row>
    <row r="54" customFormat="false" ht="23.85" hidden="false" customHeight="false" outlineLevel="0" collapsed="false">
      <c r="A54" s="26" t="s">
        <v>2314</v>
      </c>
      <c r="B54" s="8" t="s">
        <v>2315</v>
      </c>
      <c r="C54" s="26" t="s">
        <v>2316</v>
      </c>
      <c r="D54" s="26" t="s">
        <v>2227</v>
      </c>
      <c r="E54" s="26" t="s">
        <v>2093</v>
      </c>
      <c r="F54" s="26" t="s">
        <v>2094</v>
      </c>
      <c r="G54" s="26" t="s">
        <v>2317</v>
      </c>
      <c r="H54" s="26" t="s">
        <v>2096</v>
      </c>
    </row>
    <row r="55" customFormat="false" ht="23.85" hidden="false" customHeight="false" outlineLevel="0" collapsed="false">
      <c r="A55" s="26" t="s">
        <v>2318</v>
      </c>
      <c r="B55" s="8" t="s">
        <v>2319</v>
      </c>
      <c r="C55" s="26" t="s">
        <v>2320</v>
      </c>
      <c r="D55" s="26" t="s">
        <v>2321</v>
      </c>
      <c r="E55" s="26" t="s">
        <v>2093</v>
      </c>
      <c r="F55" s="26" t="s">
        <v>2094</v>
      </c>
      <c r="G55" s="26" t="s">
        <v>2322</v>
      </c>
      <c r="H55" s="26" t="s">
        <v>2101</v>
      </c>
    </row>
    <row r="56" customFormat="false" ht="23.85" hidden="false" customHeight="false" outlineLevel="0" collapsed="false">
      <c r="A56" s="26" t="s">
        <v>2323</v>
      </c>
      <c r="B56" s="8" t="s">
        <v>2324</v>
      </c>
      <c r="C56" s="26" t="s">
        <v>2325</v>
      </c>
      <c r="D56" s="26" t="s">
        <v>2326</v>
      </c>
      <c r="E56" s="26" t="s">
        <v>2093</v>
      </c>
      <c r="F56" s="26" t="s">
        <v>2094</v>
      </c>
      <c r="G56" s="26" t="s">
        <v>2327</v>
      </c>
      <c r="H56" s="26" t="s">
        <v>2101</v>
      </c>
    </row>
    <row r="57" customFormat="false" ht="23.85" hidden="false" customHeight="false" outlineLevel="0" collapsed="false">
      <c r="A57" s="26" t="s">
        <v>2328</v>
      </c>
      <c r="B57" s="8" t="s">
        <v>2329</v>
      </c>
      <c r="C57" s="26" t="s">
        <v>2330</v>
      </c>
      <c r="D57" s="26" t="s">
        <v>2331</v>
      </c>
      <c r="E57" s="26" t="s">
        <v>2093</v>
      </c>
      <c r="F57" s="26" t="s">
        <v>2094</v>
      </c>
      <c r="G57" s="26" t="s">
        <v>2322</v>
      </c>
      <c r="H57" s="26" t="s">
        <v>2101</v>
      </c>
    </row>
    <row r="58" customFormat="false" ht="23.85" hidden="false" customHeight="false" outlineLevel="0" collapsed="false">
      <c r="A58" s="26" t="s">
        <v>2332</v>
      </c>
      <c r="B58" s="8" t="s">
        <v>2333</v>
      </c>
      <c r="C58" s="26" t="s">
        <v>2334</v>
      </c>
      <c r="D58" s="26" t="s">
        <v>2331</v>
      </c>
      <c r="E58" s="26" t="s">
        <v>2093</v>
      </c>
      <c r="F58" s="26" t="s">
        <v>2106</v>
      </c>
      <c r="G58" s="26" t="s">
        <v>2335</v>
      </c>
      <c r="H58" s="26" t="s">
        <v>2101</v>
      </c>
    </row>
    <row r="59" customFormat="false" ht="23.85" hidden="false" customHeight="false" outlineLevel="0" collapsed="false">
      <c r="A59" s="26" t="s">
        <v>2336</v>
      </c>
      <c r="B59" s="8" t="s">
        <v>2337</v>
      </c>
      <c r="C59" s="26" t="s">
        <v>2338</v>
      </c>
      <c r="D59" s="26" t="s">
        <v>2339</v>
      </c>
      <c r="E59" s="26" t="s">
        <v>2093</v>
      </c>
      <c r="F59" s="26" t="s">
        <v>2094</v>
      </c>
      <c r="G59" s="26" t="s">
        <v>2322</v>
      </c>
      <c r="H59" s="26" t="s">
        <v>2096</v>
      </c>
    </row>
    <row r="60" customFormat="false" ht="35.05" hidden="false" customHeight="false" outlineLevel="0" collapsed="false">
      <c r="A60" s="26" t="s">
        <v>2340</v>
      </c>
      <c r="B60" s="8" t="s">
        <v>2341</v>
      </c>
      <c r="C60" s="26" t="s">
        <v>2342</v>
      </c>
      <c r="D60" s="26" t="s">
        <v>2343</v>
      </c>
      <c r="E60" s="26" t="s">
        <v>2093</v>
      </c>
      <c r="F60" s="26" t="s">
        <v>2106</v>
      </c>
      <c r="G60" s="26" t="s">
        <v>2335</v>
      </c>
      <c r="H60" s="26" t="s">
        <v>2101</v>
      </c>
    </row>
    <row r="61" customFormat="false" ht="23.85" hidden="false" customHeight="false" outlineLevel="0" collapsed="false">
      <c r="A61" s="26" t="s">
        <v>2344</v>
      </c>
      <c r="B61" s="8" t="s">
        <v>2345</v>
      </c>
      <c r="C61" s="26" t="s">
        <v>2346</v>
      </c>
      <c r="D61" s="26" t="s">
        <v>2347</v>
      </c>
      <c r="E61" s="26" t="s">
        <v>2093</v>
      </c>
      <c r="F61" s="26" t="s">
        <v>2094</v>
      </c>
      <c r="G61" s="26" t="s">
        <v>2322</v>
      </c>
      <c r="H61" s="26" t="s">
        <v>2096</v>
      </c>
    </row>
    <row r="62" customFormat="false" ht="23.85" hidden="false" customHeight="false" outlineLevel="0" collapsed="false">
      <c r="A62" s="26" t="s">
        <v>2348</v>
      </c>
      <c r="B62" s="8" t="s">
        <v>2349</v>
      </c>
      <c r="C62" s="26" t="s">
        <v>2350</v>
      </c>
      <c r="D62" s="26" t="s">
        <v>2331</v>
      </c>
      <c r="E62" s="26" t="s">
        <v>2093</v>
      </c>
      <c r="F62" s="26" t="s">
        <v>2106</v>
      </c>
      <c r="G62" s="26" t="s">
        <v>2335</v>
      </c>
      <c r="H62" s="26" t="s">
        <v>2131</v>
      </c>
    </row>
    <row r="63" customFormat="false" ht="35.05" hidden="false" customHeight="false" outlineLevel="0" collapsed="false">
      <c r="A63" s="26" t="s">
        <v>533</v>
      </c>
      <c r="B63" s="8" t="s">
        <v>2351</v>
      </c>
      <c r="C63" s="26" t="s">
        <v>2352</v>
      </c>
      <c r="D63" s="26" t="s">
        <v>2353</v>
      </c>
      <c r="E63" s="26" t="s">
        <v>2093</v>
      </c>
      <c r="F63" s="26" t="s">
        <v>2094</v>
      </c>
      <c r="G63" s="26" t="s">
        <v>2354</v>
      </c>
      <c r="H63" s="26" t="s">
        <v>2096</v>
      </c>
    </row>
    <row r="64" customFormat="false" ht="23.85" hidden="false" customHeight="false" outlineLevel="0" collapsed="false">
      <c r="A64" s="26" t="s">
        <v>2355</v>
      </c>
      <c r="B64" s="8" t="s">
        <v>2356</v>
      </c>
      <c r="C64" s="26" t="s">
        <v>2357</v>
      </c>
      <c r="D64" s="26" t="s">
        <v>2227</v>
      </c>
      <c r="E64" s="26" t="s">
        <v>2093</v>
      </c>
      <c r="F64" s="26" t="s">
        <v>2094</v>
      </c>
      <c r="G64" s="26" t="s">
        <v>2358</v>
      </c>
      <c r="H64" s="26" t="s">
        <v>2096</v>
      </c>
    </row>
    <row r="65" customFormat="false" ht="23.85" hidden="false" customHeight="false" outlineLevel="0" collapsed="false">
      <c r="A65" s="26" t="s">
        <v>2359</v>
      </c>
      <c r="B65" s="8" t="s">
        <v>2360</v>
      </c>
      <c r="C65" s="26" t="s">
        <v>2361</v>
      </c>
      <c r="D65" s="26" t="s">
        <v>2227</v>
      </c>
      <c r="E65" s="26" t="s">
        <v>2093</v>
      </c>
      <c r="F65" s="26" t="s">
        <v>2094</v>
      </c>
      <c r="G65" s="26" t="s">
        <v>2362</v>
      </c>
      <c r="H65" s="26" t="s">
        <v>2096</v>
      </c>
    </row>
    <row r="66" customFormat="false" ht="23.85" hidden="false" customHeight="false" outlineLevel="0" collapsed="false">
      <c r="A66" s="26" t="s">
        <v>2363</v>
      </c>
      <c r="B66" s="8" t="s">
        <v>2364</v>
      </c>
      <c r="C66" s="26" t="s">
        <v>2365</v>
      </c>
      <c r="D66" s="26" t="s">
        <v>2366</v>
      </c>
      <c r="E66" s="26" t="s">
        <v>2093</v>
      </c>
      <c r="F66" s="26" t="s">
        <v>2094</v>
      </c>
      <c r="G66" s="26" t="s">
        <v>2367</v>
      </c>
      <c r="H66" s="26" t="s">
        <v>2096</v>
      </c>
    </row>
    <row r="67" customFormat="false" ht="15" hidden="false" customHeight="false" outlineLevel="0" collapsed="false">
      <c r="A67" s="26" t="s">
        <v>2368</v>
      </c>
      <c r="B67" s="8" t="s">
        <v>2369</v>
      </c>
      <c r="C67" s="26" t="s">
        <v>2370</v>
      </c>
      <c r="D67" s="26" t="s">
        <v>2371</v>
      </c>
      <c r="E67" s="26" t="s">
        <v>2093</v>
      </c>
      <c r="F67" s="26" t="s">
        <v>2094</v>
      </c>
      <c r="G67" s="26" t="s">
        <v>2372</v>
      </c>
      <c r="H67" s="26" t="s">
        <v>2101</v>
      </c>
    </row>
    <row r="68" customFormat="false" ht="23.85" hidden="false" customHeight="false" outlineLevel="0" collapsed="false">
      <c r="A68" s="26" t="s">
        <v>2373</v>
      </c>
      <c r="B68" s="8" t="s">
        <v>2374</v>
      </c>
      <c r="C68" s="26" t="s">
        <v>2375</v>
      </c>
      <c r="D68" s="26" t="s">
        <v>2376</v>
      </c>
      <c r="E68" s="26" t="s">
        <v>2093</v>
      </c>
      <c r="F68" s="26" t="s">
        <v>2094</v>
      </c>
      <c r="G68" s="26" t="s">
        <v>2377</v>
      </c>
      <c r="H68" s="26" t="s">
        <v>2096</v>
      </c>
    </row>
    <row r="69" customFormat="false" ht="23.85" hidden="false" customHeight="false" outlineLevel="0" collapsed="false">
      <c r="A69" s="26" t="s">
        <v>2378</v>
      </c>
      <c r="B69" s="8" t="s">
        <v>2379</v>
      </c>
      <c r="C69" s="26" t="s">
        <v>2380</v>
      </c>
      <c r="D69" s="26" t="s">
        <v>2381</v>
      </c>
      <c r="E69" s="26" t="s">
        <v>2093</v>
      </c>
      <c r="F69" s="26" t="s">
        <v>2094</v>
      </c>
      <c r="G69" s="26" t="s">
        <v>2382</v>
      </c>
      <c r="H69" s="26" t="s">
        <v>2096</v>
      </c>
    </row>
    <row r="70" customFormat="false" ht="23.85" hidden="false" customHeight="false" outlineLevel="0" collapsed="false">
      <c r="A70" s="26" t="s">
        <v>2383</v>
      </c>
      <c r="B70" s="8" t="s">
        <v>2384</v>
      </c>
      <c r="C70" s="26" t="s">
        <v>2385</v>
      </c>
      <c r="D70" s="26" t="s">
        <v>2381</v>
      </c>
      <c r="E70" s="26" t="s">
        <v>2093</v>
      </c>
      <c r="F70" s="26" t="s">
        <v>2094</v>
      </c>
      <c r="G70" s="26" t="s">
        <v>2386</v>
      </c>
      <c r="H70" s="26" t="s">
        <v>2096</v>
      </c>
    </row>
    <row r="71" customFormat="false" ht="23.85" hidden="false" customHeight="false" outlineLevel="0" collapsed="false">
      <c r="A71" s="26" t="s">
        <v>2387</v>
      </c>
      <c r="B71" s="8" t="s">
        <v>2388</v>
      </c>
      <c r="C71" s="26" t="s">
        <v>2389</v>
      </c>
      <c r="D71" s="26" t="s">
        <v>2390</v>
      </c>
      <c r="E71" s="26" t="s">
        <v>2093</v>
      </c>
      <c r="F71" s="26" t="s">
        <v>2106</v>
      </c>
      <c r="G71" s="26" t="s">
        <v>2391</v>
      </c>
      <c r="H71" s="26" t="s">
        <v>2101</v>
      </c>
    </row>
    <row r="72" customFormat="false" ht="35.05" hidden="false" customHeight="false" outlineLevel="0" collapsed="false">
      <c r="A72" s="26" t="s">
        <v>2392</v>
      </c>
      <c r="B72" s="8" t="s">
        <v>2393</v>
      </c>
      <c r="C72" s="26" t="s">
        <v>2394</v>
      </c>
      <c r="D72" s="26" t="s">
        <v>2395</v>
      </c>
      <c r="E72" s="26" t="s">
        <v>2093</v>
      </c>
      <c r="F72" s="26" t="s">
        <v>2094</v>
      </c>
      <c r="G72" s="26" t="s">
        <v>2396</v>
      </c>
      <c r="H72" s="26" t="s">
        <v>2096</v>
      </c>
    </row>
    <row r="73" customFormat="false" ht="23.85" hidden="false" customHeight="false" outlineLevel="0" collapsed="false">
      <c r="A73" s="26" t="s">
        <v>2397</v>
      </c>
      <c r="B73" s="8" t="s">
        <v>2398</v>
      </c>
      <c r="C73" s="26" t="s">
        <v>2399</v>
      </c>
      <c r="D73" s="26" t="s">
        <v>2400</v>
      </c>
      <c r="E73" s="26" t="s">
        <v>2093</v>
      </c>
      <c r="F73" s="26" t="s">
        <v>2106</v>
      </c>
      <c r="G73" s="26" t="s">
        <v>2401</v>
      </c>
      <c r="H73" s="26" t="s">
        <v>2101</v>
      </c>
    </row>
    <row r="74" customFormat="false" ht="23.85" hidden="false" customHeight="false" outlineLevel="0" collapsed="false">
      <c r="A74" s="26" t="s">
        <v>2402</v>
      </c>
      <c r="B74" s="8" t="s">
        <v>2403</v>
      </c>
      <c r="C74" s="26" t="s">
        <v>2404</v>
      </c>
      <c r="D74" s="26" t="s">
        <v>2400</v>
      </c>
      <c r="E74" s="26" t="s">
        <v>2093</v>
      </c>
      <c r="F74" s="26" t="s">
        <v>2106</v>
      </c>
      <c r="G74" s="26" t="s">
        <v>2401</v>
      </c>
      <c r="H74" s="26" t="s">
        <v>2101</v>
      </c>
    </row>
    <row r="75" customFormat="false" ht="35.05" hidden="false" customHeight="false" outlineLevel="0" collapsed="false">
      <c r="A75" s="26" t="s">
        <v>2405</v>
      </c>
      <c r="B75" s="8" t="s">
        <v>2406</v>
      </c>
      <c r="C75" s="26" t="s">
        <v>2407</v>
      </c>
      <c r="D75" s="26" t="s">
        <v>2408</v>
      </c>
      <c r="E75" s="26" t="s">
        <v>2093</v>
      </c>
      <c r="F75" s="26" t="s">
        <v>2106</v>
      </c>
      <c r="G75" s="26" t="s">
        <v>2409</v>
      </c>
      <c r="H75" s="26" t="s">
        <v>2131</v>
      </c>
    </row>
    <row r="76" customFormat="false" ht="35.05" hidden="false" customHeight="false" outlineLevel="0" collapsed="false">
      <c r="A76" s="26" t="s">
        <v>2410</v>
      </c>
      <c r="B76" s="8" t="s">
        <v>2411</v>
      </c>
      <c r="C76" s="26" t="s">
        <v>2412</v>
      </c>
      <c r="D76" s="26" t="s">
        <v>2413</v>
      </c>
      <c r="E76" s="26" t="s">
        <v>2093</v>
      </c>
      <c r="F76" s="26" t="s">
        <v>2094</v>
      </c>
      <c r="G76" s="26" t="s">
        <v>2414</v>
      </c>
      <c r="H76" s="26" t="s">
        <v>2101</v>
      </c>
    </row>
    <row r="77" customFormat="false" ht="35.05" hidden="false" customHeight="false" outlineLevel="0" collapsed="false">
      <c r="A77" s="26" t="s">
        <v>2415</v>
      </c>
      <c r="B77" s="8" t="s">
        <v>2416</v>
      </c>
      <c r="C77" s="26" t="s">
        <v>2417</v>
      </c>
      <c r="D77" s="26" t="s">
        <v>2418</v>
      </c>
      <c r="E77" s="26" t="s">
        <v>2093</v>
      </c>
      <c r="F77" s="26" t="s">
        <v>2106</v>
      </c>
      <c r="G77" s="26" t="s">
        <v>2419</v>
      </c>
      <c r="H77" s="26" t="s">
        <v>2101</v>
      </c>
    </row>
    <row r="78" customFormat="false" ht="35.05" hidden="false" customHeight="false" outlineLevel="0" collapsed="false">
      <c r="A78" s="26" t="s">
        <v>2420</v>
      </c>
      <c r="B78" s="8" t="s">
        <v>2421</v>
      </c>
      <c r="C78" s="26" t="s">
        <v>2422</v>
      </c>
      <c r="D78" s="26" t="s">
        <v>2400</v>
      </c>
      <c r="E78" s="26" t="s">
        <v>2093</v>
      </c>
      <c r="F78" s="26" t="s">
        <v>2106</v>
      </c>
      <c r="G78" s="26" t="s">
        <v>2423</v>
      </c>
      <c r="H78" s="26" t="s">
        <v>2131</v>
      </c>
    </row>
    <row r="79" customFormat="false" ht="23.85" hidden="false" customHeight="false" outlineLevel="0" collapsed="false">
      <c r="A79" s="26" t="s">
        <v>447</v>
      </c>
      <c r="B79" s="8" t="s">
        <v>2424</v>
      </c>
      <c r="C79" s="26" t="s">
        <v>2425</v>
      </c>
      <c r="D79" s="26" t="s">
        <v>2426</v>
      </c>
      <c r="E79" s="26" t="s">
        <v>2093</v>
      </c>
      <c r="F79" s="26" t="s">
        <v>2094</v>
      </c>
      <c r="G79" s="26" t="s">
        <v>2427</v>
      </c>
      <c r="H79" s="26" t="s">
        <v>2131</v>
      </c>
    </row>
    <row r="80" customFormat="false" ht="23.85" hidden="false" customHeight="false" outlineLevel="0" collapsed="false">
      <c r="A80" s="26" t="s">
        <v>421</v>
      </c>
      <c r="B80" s="8" t="s">
        <v>2428</v>
      </c>
      <c r="C80" s="26" t="s">
        <v>2429</v>
      </c>
      <c r="D80" s="26" t="s">
        <v>2426</v>
      </c>
      <c r="E80" s="26" t="s">
        <v>2093</v>
      </c>
      <c r="F80" s="26" t="s">
        <v>2094</v>
      </c>
      <c r="G80" s="26" t="s">
        <v>2427</v>
      </c>
      <c r="H80" s="26" t="s">
        <v>2131</v>
      </c>
    </row>
    <row r="81" customFormat="false" ht="23.85" hidden="false" customHeight="false" outlineLevel="0" collapsed="false">
      <c r="A81" s="26" t="s">
        <v>2430</v>
      </c>
      <c r="B81" s="8" t="s">
        <v>2431</v>
      </c>
      <c r="C81" s="26" t="s">
        <v>2432</v>
      </c>
      <c r="D81" s="26" t="s">
        <v>2400</v>
      </c>
      <c r="E81" s="26" t="s">
        <v>2093</v>
      </c>
      <c r="F81" s="26" t="s">
        <v>2106</v>
      </c>
      <c r="G81" s="26" t="s">
        <v>2433</v>
      </c>
      <c r="H81" s="26" t="s">
        <v>2101</v>
      </c>
    </row>
    <row r="82" customFormat="false" ht="35.05" hidden="false" customHeight="false" outlineLevel="0" collapsed="false">
      <c r="A82" s="26" t="s">
        <v>405</v>
      </c>
      <c r="B82" s="8" t="s">
        <v>2434</v>
      </c>
      <c r="C82" s="26" t="s">
        <v>2435</v>
      </c>
      <c r="D82" s="26" t="s">
        <v>2436</v>
      </c>
      <c r="E82" s="26" t="s">
        <v>2093</v>
      </c>
      <c r="F82" s="26" t="s">
        <v>2094</v>
      </c>
      <c r="G82" s="26" t="s">
        <v>2437</v>
      </c>
      <c r="H82" s="26" t="s">
        <v>2096</v>
      </c>
    </row>
    <row r="83" customFormat="false" ht="23.85" hidden="false" customHeight="false" outlineLevel="0" collapsed="false">
      <c r="A83" s="26" t="s">
        <v>2438</v>
      </c>
      <c r="B83" s="8" t="s">
        <v>2439</v>
      </c>
      <c r="C83" s="26" t="s">
        <v>2440</v>
      </c>
      <c r="D83" s="26" t="s">
        <v>2381</v>
      </c>
      <c r="E83" s="26" t="s">
        <v>2093</v>
      </c>
      <c r="F83" s="26" t="s">
        <v>2094</v>
      </c>
      <c r="G83" s="26" t="s">
        <v>2441</v>
      </c>
      <c r="H83" s="26" t="s">
        <v>2096</v>
      </c>
    </row>
    <row r="84" customFormat="false" ht="23.85" hidden="false" customHeight="false" outlineLevel="0" collapsed="false">
      <c r="A84" s="26" t="s">
        <v>2442</v>
      </c>
      <c r="B84" s="8" t="s">
        <v>2443</v>
      </c>
      <c r="C84" s="26" t="s">
        <v>2444</v>
      </c>
      <c r="D84" s="26" t="s">
        <v>2445</v>
      </c>
      <c r="E84" s="26" t="s">
        <v>2093</v>
      </c>
      <c r="F84" s="26" t="s">
        <v>2094</v>
      </c>
      <c r="G84" s="26" t="s">
        <v>2446</v>
      </c>
      <c r="H84" s="26" t="s">
        <v>2096</v>
      </c>
    </row>
    <row r="85" customFormat="false" ht="23.85" hidden="false" customHeight="false" outlineLevel="0" collapsed="false">
      <c r="A85" s="26" t="s">
        <v>2447</v>
      </c>
      <c r="B85" s="8" t="s">
        <v>2448</v>
      </c>
      <c r="C85" s="26" t="s">
        <v>2449</v>
      </c>
      <c r="D85" s="26" t="s">
        <v>2450</v>
      </c>
      <c r="E85" s="26" t="s">
        <v>2093</v>
      </c>
      <c r="F85" s="26" t="s">
        <v>2094</v>
      </c>
      <c r="G85" s="26" t="s">
        <v>2451</v>
      </c>
      <c r="H85" s="26" t="s">
        <v>2096</v>
      </c>
    </row>
    <row r="86" customFormat="false" ht="23.85" hidden="false" customHeight="false" outlineLevel="0" collapsed="false">
      <c r="A86" s="26" t="s">
        <v>2452</v>
      </c>
      <c r="B86" s="8" t="s">
        <v>2453</v>
      </c>
      <c r="C86" s="26" t="s">
        <v>2454</v>
      </c>
      <c r="D86" s="26" t="s">
        <v>2455</v>
      </c>
      <c r="E86" s="26" t="s">
        <v>2093</v>
      </c>
      <c r="F86" s="26" t="s">
        <v>2094</v>
      </c>
      <c r="G86" s="26" t="s">
        <v>2456</v>
      </c>
      <c r="H86" s="26" t="s">
        <v>2096</v>
      </c>
    </row>
    <row r="87" customFormat="false" ht="23.85" hidden="false" customHeight="false" outlineLevel="0" collapsed="false">
      <c r="A87" s="26" t="s">
        <v>2457</v>
      </c>
      <c r="B87" s="8" t="s">
        <v>2458</v>
      </c>
      <c r="C87" s="26" t="s">
        <v>2459</v>
      </c>
      <c r="D87" s="26" t="s">
        <v>2455</v>
      </c>
      <c r="E87" s="26" t="s">
        <v>2093</v>
      </c>
      <c r="F87" s="26" t="s">
        <v>2094</v>
      </c>
      <c r="G87" s="26" t="s">
        <v>2456</v>
      </c>
      <c r="H87" s="26" t="s">
        <v>2096</v>
      </c>
    </row>
    <row r="88" customFormat="false" ht="23.85" hidden="false" customHeight="false" outlineLevel="0" collapsed="false">
      <c r="A88" s="26" t="s">
        <v>2460</v>
      </c>
      <c r="B88" s="8" t="s">
        <v>2461</v>
      </c>
      <c r="C88" s="26" t="s">
        <v>2462</v>
      </c>
      <c r="D88" s="26" t="s">
        <v>2455</v>
      </c>
      <c r="E88" s="26" t="s">
        <v>2093</v>
      </c>
      <c r="F88" s="26" t="s">
        <v>2094</v>
      </c>
      <c r="G88" s="26" t="s">
        <v>2456</v>
      </c>
      <c r="H88" s="26" t="s">
        <v>2096</v>
      </c>
    </row>
    <row r="89" customFormat="false" ht="23.85" hidden="false" customHeight="false" outlineLevel="0" collapsed="false">
      <c r="A89" s="26" t="s">
        <v>882</v>
      </c>
      <c r="B89" s="8" t="s">
        <v>2463</v>
      </c>
      <c r="C89" s="26" t="s">
        <v>2464</v>
      </c>
      <c r="D89" s="26" t="s">
        <v>2455</v>
      </c>
      <c r="E89" s="26" t="s">
        <v>2093</v>
      </c>
      <c r="F89" s="26" t="s">
        <v>2094</v>
      </c>
      <c r="G89" s="26" t="s">
        <v>2456</v>
      </c>
      <c r="H89" s="26" t="s">
        <v>2096</v>
      </c>
    </row>
    <row r="90" customFormat="false" ht="23.85" hidden="false" customHeight="false" outlineLevel="0" collapsed="false">
      <c r="A90" s="26" t="s">
        <v>2465</v>
      </c>
      <c r="B90" s="8" t="s">
        <v>2466</v>
      </c>
      <c r="C90" s="26" t="s">
        <v>2467</v>
      </c>
      <c r="D90" s="26" t="s">
        <v>2455</v>
      </c>
      <c r="E90" s="26" t="s">
        <v>2093</v>
      </c>
      <c r="F90" s="26" t="s">
        <v>2094</v>
      </c>
      <c r="G90" s="26" t="s">
        <v>2456</v>
      </c>
      <c r="H90" s="26" t="s">
        <v>2096</v>
      </c>
    </row>
    <row r="91" customFormat="false" ht="23.85" hidden="false" customHeight="false" outlineLevel="0" collapsed="false">
      <c r="A91" s="26" t="s">
        <v>2468</v>
      </c>
      <c r="B91" s="8" t="s">
        <v>2469</v>
      </c>
      <c r="C91" s="26" t="s">
        <v>2470</v>
      </c>
      <c r="D91" s="26" t="s">
        <v>2455</v>
      </c>
      <c r="E91" s="26" t="s">
        <v>2093</v>
      </c>
      <c r="F91" s="26" t="s">
        <v>2094</v>
      </c>
      <c r="G91" s="26" t="s">
        <v>2456</v>
      </c>
      <c r="H91" s="26" t="s">
        <v>2096</v>
      </c>
    </row>
    <row r="92" customFormat="false" ht="15" hidden="false" customHeight="false" outlineLevel="0" collapsed="false">
      <c r="A92" s="26" t="s">
        <v>2471</v>
      </c>
      <c r="B92" s="8" t="s">
        <v>2472</v>
      </c>
      <c r="C92" s="26" t="s">
        <v>2473</v>
      </c>
      <c r="D92" s="26" t="s">
        <v>2474</v>
      </c>
      <c r="E92" s="26" t="s">
        <v>2093</v>
      </c>
      <c r="F92" s="26" t="s">
        <v>2094</v>
      </c>
      <c r="G92" s="26" t="s">
        <v>2475</v>
      </c>
      <c r="H92" s="26" t="s">
        <v>2096</v>
      </c>
    </row>
    <row r="93" customFormat="false" ht="15" hidden="false" customHeight="false" outlineLevel="0" collapsed="false">
      <c r="A93" s="26" t="s">
        <v>2476</v>
      </c>
      <c r="B93" s="8" t="s">
        <v>2477</v>
      </c>
      <c r="C93" s="26" t="s">
        <v>2478</v>
      </c>
      <c r="D93" s="26" t="s">
        <v>2474</v>
      </c>
      <c r="E93" s="26" t="s">
        <v>2093</v>
      </c>
      <c r="F93" s="26" t="s">
        <v>2094</v>
      </c>
      <c r="G93" s="26" t="s">
        <v>2479</v>
      </c>
      <c r="H93" s="26" t="s">
        <v>2096</v>
      </c>
    </row>
    <row r="94" customFormat="false" ht="23.85" hidden="false" customHeight="false" outlineLevel="0" collapsed="false">
      <c r="A94" s="26" t="s">
        <v>2480</v>
      </c>
      <c r="B94" s="8" t="s">
        <v>2481</v>
      </c>
      <c r="C94" s="26" t="s">
        <v>2482</v>
      </c>
      <c r="D94" s="26" t="s">
        <v>2455</v>
      </c>
      <c r="E94" s="26" t="s">
        <v>2093</v>
      </c>
      <c r="F94" s="26" t="s">
        <v>2094</v>
      </c>
      <c r="G94" s="26" t="s">
        <v>2479</v>
      </c>
      <c r="H94" s="26" t="s">
        <v>2096</v>
      </c>
    </row>
    <row r="95" customFormat="false" ht="15" hidden="false" customHeight="false" outlineLevel="0" collapsed="false">
      <c r="A95" s="26" t="s">
        <v>2483</v>
      </c>
      <c r="B95" s="8" t="s">
        <v>2484</v>
      </c>
      <c r="C95" s="26" t="s">
        <v>2271</v>
      </c>
      <c r="D95" s="26" t="s">
        <v>2485</v>
      </c>
      <c r="E95" s="26" t="s">
        <v>2093</v>
      </c>
      <c r="F95" s="26" t="s">
        <v>2106</v>
      </c>
      <c r="G95" s="26" t="s">
        <v>2486</v>
      </c>
      <c r="H95" s="26" t="s">
        <v>2096</v>
      </c>
    </row>
    <row r="96" customFormat="false" ht="23.85" hidden="false" customHeight="false" outlineLevel="0" collapsed="false">
      <c r="A96" s="26" t="s">
        <v>2487</v>
      </c>
      <c r="B96" s="8" t="s">
        <v>2488</v>
      </c>
      <c r="C96" s="26" t="s">
        <v>2489</v>
      </c>
      <c r="D96" s="26" t="s">
        <v>2490</v>
      </c>
      <c r="E96" s="26" t="s">
        <v>2093</v>
      </c>
      <c r="F96" s="26" t="s">
        <v>2106</v>
      </c>
      <c r="G96" s="26" t="s">
        <v>2491</v>
      </c>
      <c r="H96" s="26" t="s">
        <v>2101</v>
      </c>
    </row>
    <row r="97" customFormat="false" ht="23.85" hidden="false" customHeight="false" outlineLevel="0" collapsed="false">
      <c r="A97" s="26" t="s">
        <v>2492</v>
      </c>
      <c r="B97" s="8" t="s">
        <v>2493</v>
      </c>
      <c r="C97" s="26" t="s">
        <v>2494</v>
      </c>
      <c r="D97" s="26" t="s">
        <v>2455</v>
      </c>
      <c r="E97" s="26" t="s">
        <v>2093</v>
      </c>
      <c r="F97" s="26" t="s">
        <v>2094</v>
      </c>
      <c r="G97" s="26" t="s">
        <v>2495</v>
      </c>
      <c r="H97" s="26" t="s">
        <v>2096</v>
      </c>
    </row>
    <row r="98" customFormat="false" ht="23.85" hidden="false" customHeight="false" outlineLevel="0" collapsed="false">
      <c r="A98" s="26" t="s">
        <v>2496</v>
      </c>
      <c r="B98" s="8" t="s">
        <v>2497</v>
      </c>
      <c r="C98" s="26" t="s">
        <v>2498</v>
      </c>
      <c r="D98" s="26" t="s">
        <v>2455</v>
      </c>
      <c r="E98" s="26" t="s">
        <v>2093</v>
      </c>
      <c r="F98" s="26" t="s">
        <v>2094</v>
      </c>
      <c r="G98" s="26" t="s">
        <v>2495</v>
      </c>
      <c r="H98" s="26" t="s">
        <v>2096</v>
      </c>
    </row>
    <row r="99" customFormat="false" ht="15" hidden="false" customHeight="false" outlineLevel="0" collapsed="false">
      <c r="A99" s="26" t="s">
        <v>2499</v>
      </c>
      <c r="B99" s="8" t="s">
        <v>2500</v>
      </c>
      <c r="C99" s="26" t="s">
        <v>2501</v>
      </c>
      <c r="D99" s="26" t="s">
        <v>2450</v>
      </c>
      <c r="E99" s="26" t="s">
        <v>2093</v>
      </c>
      <c r="F99" s="26" t="s">
        <v>2094</v>
      </c>
      <c r="G99" s="26" t="s">
        <v>2451</v>
      </c>
      <c r="H99" s="26" t="s">
        <v>2096</v>
      </c>
    </row>
    <row r="100" customFormat="false" ht="23.85" hidden="false" customHeight="false" outlineLevel="0" collapsed="false">
      <c r="A100" s="26" t="s">
        <v>2502</v>
      </c>
      <c r="B100" s="8" t="s">
        <v>2503</v>
      </c>
      <c r="C100" s="26" t="s">
        <v>2504</v>
      </c>
      <c r="D100" s="26" t="s">
        <v>2450</v>
      </c>
      <c r="E100" s="26" t="s">
        <v>2093</v>
      </c>
      <c r="F100" s="26" t="s">
        <v>2094</v>
      </c>
      <c r="G100" s="26" t="s">
        <v>2505</v>
      </c>
      <c r="H100" s="26" t="s">
        <v>2096</v>
      </c>
    </row>
    <row r="101" customFormat="false" ht="15" hidden="false" customHeight="false" outlineLevel="0" collapsed="false">
      <c r="A101" s="26" t="s">
        <v>2506</v>
      </c>
      <c r="B101" s="8" t="s">
        <v>2507</v>
      </c>
      <c r="C101" s="26" t="s">
        <v>2508</v>
      </c>
      <c r="D101" s="26" t="s">
        <v>2509</v>
      </c>
      <c r="E101" s="26" t="s">
        <v>2093</v>
      </c>
      <c r="F101" s="26" t="s">
        <v>2094</v>
      </c>
      <c r="G101" s="26" t="s">
        <v>2505</v>
      </c>
      <c r="H101" s="26" t="s">
        <v>2101</v>
      </c>
    </row>
    <row r="102" customFormat="false" ht="23.85" hidden="false" customHeight="false" outlineLevel="0" collapsed="false">
      <c r="A102" s="26" t="s">
        <v>2510</v>
      </c>
      <c r="B102" s="8" t="s">
        <v>2511</v>
      </c>
      <c r="C102" s="26" t="s">
        <v>2512</v>
      </c>
      <c r="D102" s="26" t="s">
        <v>2513</v>
      </c>
      <c r="E102" s="26" t="s">
        <v>2093</v>
      </c>
      <c r="F102" s="26" t="s">
        <v>2094</v>
      </c>
      <c r="G102" s="26" t="s">
        <v>2514</v>
      </c>
      <c r="H102" s="26" t="s">
        <v>2101</v>
      </c>
    </row>
    <row r="103" customFormat="false" ht="23.85" hidden="false" customHeight="false" outlineLevel="0" collapsed="false">
      <c r="A103" s="26" t="s">
        <v>2515</v>
      </c>
      <c r="B103" s="8" t="s">
        <v>2516</v>
      </c>
      <c r="C103" s="26" t="s">
        <v>2517</v>
      </c>
      <c r="D103" s="26" t="s">
        <v>2518</v>
      </c>
      <c r="E103" s="26" t="s">
        <v>2093</v>
      </c>
      <c r="F103" s="26" t="s">
        <v>2094</v>
      </c>
      <c r="G103" s="26" t="s">
        <v>2519</v>
      </c>
      <c r="H103" s="26" t="s">
        <v>2101</v>
      </c>
    </row>
    <row r="104" customFormat="false" ht="23.85" hidden="false" customHeight="false" outlineLevel="0" collapsed="false">
      <c r="A104" s="26" t="s">
        <v>2520</v>
      </c>
      <c r="B104" s="8" t="s">
        <v>2521</v>
      </c>
      <c r="C104" s="26" t="s">
        <v>2522</v>
      </c>
      <c r="D104" s="26" t="s">
        <v>2450</v>
      </c>
      <c r="E104" s="26" t="s">
        <v>2093</v>
      </c>
      <c r="F104" s="26" t="s">
        <v>2094</v>
      </c>
      <c r="G104" s="26" t="s">
        <v>2523</v>
      </c>
      <c r="H104" s="26" t="s">
        <v>2096</v>
      </c>
    </row>
    <row r="105" customFormat="false" ht="23.85" hidden="false" customHeight="false" outlineLevel="0" collapsed="false">
      <c r="A105" s="26" t="s">
        <v>2524</v>
      </c>
      <c r="B105" s="8" t="s">
        <v>2525</v>
      </c>
      <c r="C105" s="26" t="s">
        <v>2526</v>
      </c>
      <c r="D105" s="26" t="s">
        <v>2527</v>
      </c>
      <c r="E105" s="26" t="s">
        <v>2093</v>
      </c>
      <c r="F105" s="26" t="s">
        <v>2094</v>
      </c>
      <c r="G105" s="26" t="s">
        <v>2528</v>
      </c>
      <c r="H105" s="26" t="s">
        <v>2096</v>
      </c>
    </row>
    <row r="106" customFormat="false" ht="23.85" hidden="false" customHeight="false" outlineLevel="0" collapsed="false">
      <c r="A106" s="26" t="s">
        <v>2529</v>
      </c>
      <c r="B106" s="8" t="s">
        <v>2530</v>
      </c>
      <c r="C106" s="26" t="s">
        <v>2531</v>
      </c>
      <c r="D106" s="26" t="s">
        <v>2455</v>
      </c>
      <c r="E106" s="26" t="s">
        <v>2093</v>
      </c>
      <c r="F106" s="26" t="s">
        <v>2094</v>
      </c>
      <c r="G106" s="26" t="s">
        <v>2528</v>
      </c>
      <c r="H106" s="26" t="s">
        <v>2096</v>
      </c>
    </row>
    <row r="107" customFormat="false" ht="23.85" hidden="false" customHeight="false" outlineLevel="0" collapsed="false">
      <c r="A107" s="26" t="s">
        <v>2532</v>
      </c>
      <c r="B107" s="8" t="s">
        <v>2533</v>
      </c>
      <c r="C107" s="26" t="s">
        <v>2534</v>
      </c>
      <c r="D107" s="26" t="s">
        <v>2455</v>
      </c>
      <c r="E107" s="26" t="s">
        <v>2093</v>
      </c>
      <c r="F107" s="26" t="s">
        <v>2094</v>
      </c>
      <c r="G107" s="26" t="s">
        <v>2535</v>
      </c>
      <c r="H107" s="26" t="s">
        <v>2096</v>
      </c>
    </row>
    <row r="108" customFormat="false" ht="23.85" hidden="false" customHeight="false" outlineLevel="0" collapsed="false">
      <c r="A108" s="26" t="s">
        <v>2536</v>
      </c>
      <c r="B108" s="8" t="s">
        <v>2537</v>
      </c>
      <c r="C108" s="26" t="s">
        <v>2538</v>
      </c>
      <c r="D108" s="26" t="s">
        <v>2450</v>
      </c>
      <c r="E108" s="26" t="s">
        <v>2093</v>
      </c>
      <c r="F108" s="26" t="s">
        <v>2094</v>
      </c>
      <c r="G108" s="26" t="s">
        <v>2539</v>
      </c>
      <c r="H108" s="26" t="s">
        <v>2096</v>
      </c>
    </row>
    <row r="109" customFormat="false" ht="15" hidden="false" customHeight="false" outlineLevel="0" collapsed="false">
      <c r="A109" s="26" t="s">
        <v>2540</v>
      </c>
      <c r="B109" s="8" t="s">
        <v>2541</v>
      </c>
      <c r="C109" s="26" t="s">
        <v>2542</v>
      </c>
      <c r="D109" s="26" t="s">
        <v>2450</v>
      </c>
      <c r="E109" s="26" t="s">
        <v>2093</v>
      </c>
      <c r="F109" s="26" t="s">
        <v>2094</v>
      </c>
      <c r="G109" s="26" t="s">
        <v>2543</v>
      </c>
      <c r="H109" s="26" t="s">
        <v>2096</v>
      </c>
    </row>
    <row r="110" customFormat="false" ht="23.85" hidden="false" customHeight="false" outlineLevel="0" collapsed="false">
      <c r="A110" s="26" t="s">
        <v>2544</v>
      </c>
      <c r="B110" s="8" t="s">
        <v>2545</v>
      </c>
      <c r="C110" s="26" t="s">
        <v>2546</v>
      </c>
      <c r="D110" s="26" t="s">
        <v>2450</v>
      </c>
      <c r="E110" s="26" t="s">
        <v>2093</v>
      </c>
      <c r="F110" s="26" t="s">
        <v>2094</v>
      </c>
      <c r="G110" s="26" t="s">
        <v>2547</v>
      </c>
      <c r="H110" s="26" t="s">
        <v>2096</v>
      </c>
    </row>
    <row r="111" customFormat="false" ht="15" hidden="false" customHeight="false" outlineLevel="0" collapsed="false">
      <c r="A111" s="26" t="s">
        <v>2548</v>
      </c>
      <c r="B111" s="8" t="s">
        <v>2549</v>
      </c>
      <c r="C111" s="26" t="s">
        <v>2550</v>
      </c>
      <c r="D111" s="26" t="s">
        <v>2450</v>
      </c>
      <c r="E111" s="26" t="s">
        <v>2093</v>
      </c>
      <c r="F111" s="26" t="s">
        <v>2094</v>
      </c>
      <c r="G111" s="26" t="s">
        <v>2551</v>
      </c>
      <c r="H111" s="26" t="s">
        <v>2096</v>
      </c>
    </row>
    <row r="112" customFormat="false" ht="23.85" hidden="false" customHeight="false" outlineLevel="0" collapsed="false">
      <c r="A112" s="26" t="s">
        <v>2552</v>
      </c>
      <c r="B112" s="8" t="s">
        <v>2553</v>
      </c>
      <c r="C112" s="26" t="s">
        <v>2554</v>
      </c>
      <c r="D112" s="26" t="s">
        <v>2450</v>
      </c>
      <c r="E112" s="26" t="s">
        <v>2093</v>
      </c>
      <c r="F112" s="26" t="s">
        <v>2094</v>
      </c>
      <c r="G112" s="26" t="s">
        <v>2555</v>
      </c>
      <c r="H112" s="26" t="s">
        <v>2096</v>
      </c>
    </row>
    <row r="113" customFormat="false" ht="23.85" hidden="false" customHeight="false" outlineLevel="0" collapsed="false">
      <c r="A113" s="26" t="s">
        <v>2556</v>
      </c>
      <c r="B113" s="8" t="s">
        <v>2557</v>
      </c>
      <c r="C113" s="26" t="s">
        <v>2558</v>
      </c>
      <c r="D113" s="26" t="s">
        <v>2450</v>
      </c>
      <c r="E113" s="26" t="s">
        <v>2093</v>
      </c>
      <c r="F113" s="26" t="s">
        <v>2094</v>
      </c>
      <c r="G113" s="26" t="s">
        <v>2559</v>
      </c>
      <c r="H113" s="26" t="s">
        <v>2096</v>
      </c>
    </row>
    <row r="114" customFormat="false" ht="23.85" hidden="false" customHeight="false" outlineLevel="0" collapsed="false">
      <c r="A114" s="26" t="s">
        <v>2560</v>
      </c>
      <c r="B114" s="8" t="s">
        <v>2561</v>
      </c>
      <c r="C114" s="26" t="s">
        <v>2562</v>
      </c>
      <c r="D114" s="26" t="s">
        <v>2450</v>
      </c>
      <c r="E114" s="26" t="s">
        <v>2093</v>
      </c>
      <c r="F114" s="26" t="s">
        <v>2094</v>
      </c>
      <c r="G114" s="26" t="s">
        <v>2563</v>
      </c>
      <c r="H114" s="26" t="s">
        <v>2096</v>
      </c>
    </row>
    <row r="115" customFormat="false" ht="23.85" hidden="false" customHeight="false" outlineLevel="0" collapsed="false">
      <c r="A115" s="26" t="s">
        <v>2564</v>
      </c>
      <c r="B115" s="8" t="s">
        <v>2565</v>
      </c>
      <c r="C115" s="26" t="s">
        <v>2566</v>
      </c>
      <c r="D115" s="26" t="s">
        <v>2450</v>
      </c>
      <c r="E115" s="26" t="s">
        <v>2093</v>
      </c>
      <c r="F115" s="26" t="s">
        <v>2094</v>
      </c>
      <c r="G115" s="26" t="s">
        <v>2567</v>
      </c>
      <c r="H115" s="26" t="s">
        <v>2096</v>
      </c>
    </row>
    <row r="116" customFormat="false" ht="23.85" hidden="false" customHeight="false" outlineLevel="0" collapsed="false">
      <c r="A116" s="26" t="s">
        <v>2568</v>
      </c>
      <c r="B116" s="8" t="s">
        <v>2569</v>
      </c>
      <c r="C116" s="26" t="s">
        <v>2570</v>
      </c>
      <c r="D116" s="26" t="s">
        <v>2450</v>
      </c>
      <c r="E116" s="26" t="s">
        <v>2093</v>
      </c>
      <c r="F116" s="26" t="s">
        <v>2094</v>
      </c>
      <c r="G116" s="26" t="s">
        <v>2567</v>
      </c>
      <c r="H116" s="26" t="s">
        <v>2096</v>
      </c>
    </row>
    <row r="117" customFormat="false" ht="15" hidden="false" customHeight="false" outlineLevel="0" collapsed="false">
      <c r="A117" s="26" t="s">
        <v>2571</v>
      </c>
      <c r="B117" s="8" t="s">
        <v>2572</v>
      </c>
      <c r="C117" s="26" t="s">
        <v>2573</v>
      </c>
      <c r="D117" s="26" t="s">
        <v>2450</v>
      </c>
      <c r="E117" s="26" t="s">
        <v>2093</v>
      </c>
      <c r="F117" s="26" t="s">
        <v>2094</v>
      </c>
      <c r="G117" s="26" t="s">
        <v>2574</v>
      </c>
      <c r="H117" s="26" t="s">
        <v>2096</v>
      </c>
    </row>
    <row r="118" customFormat="false" ht="23.85" hidden="false" customHeight="false" outlineLevel="0" collapsed="false">
      <c r="A118" s="26" t="s">
        <v>2575</v>
      </c>
      <c r="B118" s="8" t="s">
        <v>2576</v>
      </c>
      <c r="C118" s="26" t="s">
        <v>2577</v>
      </c>
      <c r="D118" s="26" t="s">
        <v>2450</v>
      </c>
      <c r="E118" s="26" t="s">
        <v>2093</v>
      </c>
      <c r="F118" s="26" t="s">
        <v>2094</v>
      </c>
      <c r="G118" s="26" t="s">
        <v>2578</v>
      </c>
      <c r="H118" s="26" t="s">
        <v>2096</v>
      </c>
    </row>
    <row r="119" customFormat="false" ht="15" hidden="false" customHeight="false" outlineLevel="0" collapsed="false">
      <c r="A119" s="26" t="s">
        <v>2579</v>
      </c>
      <c r="B119" s="8" t="s">
        <v>2580</v>
      </c>
      <c r="C119" s="26" t="s">
        <v>2581</v>
      </c>
      <c r="D119" s="26" t="s">
        <v>2450</v>
      </c>
      <c r="E119" s="26" t="s">
        <v>2093</v>
      </c>
      <c r="F119" s="26" t="s">
        <v>2094</v>
      </c>
      <c r="G119" s="26" t="s">
        <v>2582</v>
      </c>
      <c r="H119" s="26" t="s">
        <v>2096</v>
      </c>
    </row>
    <row r="120" customFormat="false" ht="23.85" hidden="false" customHeight="false" outlineLevel="0" collapsed="false">
      <c r="A120" s="26" t="s">
        <v>2583</v>
      </c>
      <c r="B120" s="8" t="s">
        <v>2584</v>
      </c>
      <c r="C120" s="26" t="s">
        <v>2585</v>
      </c>
      <c r="D120" s="26" t="s">
        <v>2450</v>
      </c>
      <c r="E120" s="26" t="s">
        <v>2093</v>
      </c>
      <c r="F120" s="26" t="s">
        <v>2094</v>
      </c>
      <c r="G120" s="26" t="s">
        <v>2586</v>
      </c>
      <c r="H120" s="26" t="s">
        <v>2096</v>
      </c>
    </row>
    <row r="121" customFormat="false" ht="15" hidden="false" customHeight="false" outlineLevel="0" collapsed="false">
      <c r="A121" s="26" t="s">
        <v>2587</v>
      </c>
      <c r="B121" s="8" t="s">
        <v>2588</v>
      </c>
      <c r="C121" s="26" t="s">
        <v>2589</v>
      </c>
      <c r="D121" s="26" t="s">
        <v>2450</v>
      </c>
      <c r="E121" s="26" t="s">
        <v>2093</v>
      </c>
      <c r="F121" s="26" t="s">
        <v>2094</v>
      </c>
      <c r="G121" s="26" t="s">
        <v>2590</v>
      </c>
      <c r="H121" s="26" t="s">
        <v>2096</v>
      </c>
    </row>
    <row r="122" customFormat="false" ht="23.85" hidden="false" customHeight="false" outlineLevel="0" collapsed="false">
      <c r="A122" s="26" t="s">
        <v>2591</v>
      </c>
      <c r="B122" s="8" t="s">
        <v>2592</v>
      </c>
      <c r="C122" s="26" t="s">
        <v>2593</v>
      </c>
      <c r="D122" s="26" t="s">
        <v>2450</v>
      </c>
      <c r="E122" s="26" t="s">
        <v>2093</v>
      </c>
      <c r="F122" s="26" t="s">
        <v>2094</v>
      </c>
      <c r="G122" s="26" t="s">
        <v>2594</v>
      </c>
      <c r="H122" s="26" t="s">
        <v>2096</v>
      </c>
    </row>
    <row r="123" customFormat="false" ht="15" hidden="false" customHeight="false" outlineLevel="0" collapsed="false">
      <c r="A123" s="26" t="s">
        <v>2595</v>
      </c>
      <c r="B123" s="8" t="s">
        <v>2596</v>
      </c>
      <c r="C123" s="26" t="s">
        <v>2597</v>
      </c>
      <c r="D123" s="26" t="s">
        <v>2450</v>
      </c>
      <c r="E123" s="26" t="s">
        <v>2093</v>
      </c>
      <c r="F123" s="26" t="s">
        <v>2094</v>
      </c>
      <c r="G123" s="26" t="s">
        <v>2594</v>
      </c>
      <c r="H123" s="26" t="s">
        <v>2096</v>
      </c>
    </row>
    <row r="124" customFormat="false" ht="23.85" hidden="false" customHeight="false" outlineLevel="0" collapsed="false">
      <c r="A124" s="26" t="s">
        <v>2598</v>
      </c>
      <c r="B124" s="8" t="s">
        <v>2599</v>
      </c>
      <c r="C124" s="26" t="s">
        <v>2600</v>
      </c>
      <c r="D124" s="26" t="s">
        <v>2450</v>
      </c>
      <c r="E124" s="26" t="s">
        <v>2093</v>
      </c>
      <c r="F124" s="26" t="s">
        <v>2094</v>
      </c>
      <c r="G124" s="26" t="s">
        <v>2601</v>
      </c>
      <c r="H124" s="26" t="s">
        <v>2096</v>
      </c>
    </row>
    <row r="125" customFormat="false" ht="23.85" hidden="false" customHeight="false" outlineLevel="0" collapsed="false">
      <c r="A125" s="26" t="s">
        <v>2602</v>
      </c>
      <c r="B125" s="8" t="s">
        <v>2603</v>
      </c>
      <c r="C125" s="26" t="s">
        <v>2604</v>
      </c>
      <c r="D125" s="26" t="s">
        <v>2450</v>
      </c>
      <c r="E125" s="26" t="s">
        <v>2093</v>
      </c>
      <c r="F125" s="26" t="s">
        <v>2094</v>
      </c>
      <c r="G125" s="26" t="s">
        <v>2605</v>
      </c>
      <c r="H125" s="26" t="s">
        <v>2096</v>
      </c>
    </row>
    <row r="126" customFormat="false" ht="23.85" hidden="false" customHeight="false" outlineLevel="0" collapsed="false">
      <c r="A126" s="26" t="s">
        <v>2606</v>
      </c>
      <c r="B126" s="8" t="s">
        <v>2607</v>
      </c>
      <c r="C126" s="26" t="s">
        <v>2608</v>
      </c>
      <c r="D126" s="26" t="s">
        <v>2450</v>
      </c>
      <c r="E126" s="26" t="s">
        <v>2093</v>
      </c>
      <c r="F126" s="26" t="s">
        <v>2094</v>
      </c>
      <c r="G126" s="26" t="s">
        <v>2609</v>
      </c>
      <c r="H126" s="26" t="s">
        <v>2096</v>
      </c>
    </row>
    <row r="127" customFormat="false" ht="23.85" hidden="false" customHeight="false" outlineLevel="0" collapsed="false">
      <c r="A127" s="26" t="s">
        <v>2610</v>
      </c>
      <c r="B127" s="8" t="s">
        <v>2611</v>
      </c>
      <c r="C127" s="26" t="s">
        <v>2612</v>
      </c>
      <c r="D127" s="26" t="s">
        <v>2455</v>
      </c>
      <c r="E127" s="26" t="s">
        <v>2093</v>
      </c>
      <c r="F127" s="26" t="s">
        <v>2094</v>
      </c>
      <c r="G127" s="26" t="s">
        <v>2613</v>
      </c>
      <c r="H127" s="26" t="s">
        <v>2096</v>
      </c>
    </row>
    <row r="128" customFormat="false" ht="23.85" hidden="false" customHeight="false" outlineLevel="0" collapsed="false">
      <c r="A128" s="26" t="s">
        <v>2614</v>
      </c>
      <c r="B128" s="8" t="s">
        <v>2615</v>
      </c>
      <c r="C128" s="26" t="s">
        <v>2616</v>
      </c>
      <c r="D128" s="26" t="s">
        <v>2617</v>
      </c>
      <c r="E128" s="26" t="s">
        <v>2093</v>
      </c>
      <c r="F128" s="26" t="s">
        <v>2094</v>
      </c>
      <c r="G128" s="26" t="s">
        <v>2618</v>
      </c>
      <c r="H128" s="26" t="s">
        <v>2101</v>
      </c>
    </row>
    <row r="129" customFormat="false" ht="15" hidden="false" customHeight="false" outlineLevel="0" collapsed="false">
      <c r="A129" s="26" t="s">
        <v>2619</v>
      </c>
      <c r="B129" s="8" t="s">
        <v>2620</v>
      </c>
      <c r="C129" s="26" t="s">
        <v>2621</v>
      </c>
      <c r="D129" s="26" t="s">
        <v>2617</v>
      </c>
      <c r="E129" s="26" t="s">
        <v>2093</v>
      </c>
      <c r="F129" s="26" t="s">
        <v>2094</v>
      </c>
      <c r="G129" s="26" t="s">
        <v>2555</v>
      </c>
      <c r="H129" s="26" t="s">
        <v>2101</v>
      </c>
    </row>
    <row r="130" customFormat="false" ht="23.85" hidden="false" customHeight="false" outlineLevel="0" collapsed="false">
      <c r="A130" s="26" t="s">
        <v>2622</v>
      </c>
      <c r="B130" s="8" t="s">
        <v>2623</v>
      </c>
      <c r="C130" s="26" t="s">
        <v>2624</v>
      </c>
      <c r="D130" s="26" t="s">
        <v>2625</v>
      </c>
      <c r="E130" s="26" t="s">
        <v>2093</v>
      </c>
      <c r="F130" s="26" t="s">
        <v>2094</v>
      </c>
      <c r="G130" s="26" t="s">
        <v>2555</v>
      </c>
      <c r="H130" s="26" t="s">
        <v>2101</v>
      </c>
    </row>
    <row r="131" customFormat="false" ht="35.05" hidden="false" customHeight="false" outlineLevel="0" collapsed="false">
      <c r="A131" s="26" t="s">
        <v>2626</v>
      </c>
      <c r="B131" s="8" t="s">
        <v>2627</v>
      </c>
      <c r="C131" s="26" t="s">
        <v>2628</v>
      </c>
      <c r="D131" s="26" t="s">
        <v>2629</v>
      </c>
      <c r="E131" s="26" t="s">
        <v>2093</v>
      </c>
      <c r="F131" s="26" t="s">
        <v>2106</v>
      </c>
      <c r="G131" s="26" t="s">
        <v>2555</v>
      </c>
      <c r="H131" s="26" t="s">
        <v>2101</v>
      </c>
    </row>
    <row r="132" customFormat="false" ht="35.05" hidden="false" customHeight="false" outlineLevel="0" collapsed="false">
      <c r="A132" s="26" t="s">
        <v>2630</v>
      </c>
      <c r="B132" s="8" t="s">
        <v>2631</v>
      </c>
      <c r="C132" s="26" t="s">
        <v>2632</v>
      </c>
      <c r="D132" s="26" t="s">
        <v>2527</v>
      </c>
      <c r="E132" s="26" t="s">
        <v>2093</v>
      </c>
      <c r="F132" s="26" t="s">
        <v>2094</v>
      </c>
      <c r="G132" s="26" t="s">
        <v>2555</v>
      </c>
      <c r="H132" s="26" t="s">
        <v>2096</v>
      </c>
    </row>
    <row r="133" customFormat="false" ht="23.85" hidden="false" customHeight="false" outlineLevel="0" collapsed="false">
      <c r="A133" s="26" t="s">
        <v>2633</v>
      </c>
      <c r="B133" s="8" t="s">
        <v>2634</v>
      </c>
      <c r="C133" s="26" t="s">
        <v>2635</v>
      </c>
      <c r="D133" s="26" t="s">
        <v>2450</v>
      </c>
      <c r="E133" s="26" t="s">
        <v>2093</v>
      </c>
      <c r="F133" s="26" t="s">
        <v>2094</v>
      </c>
      <c r="G133" s="26" t="s">
        <v>2636</v>
      </c>
      <c r="H133" s="26" t="s">
        <v>2096</v>
      </c>
    </row>
    <row r="134" customFormat="false" ht="23.85" hidden="false" customHeight="false" outlineLevel="0" collapsed="false">
      <c r="A134" s="26" t="s">
        <v>2637</v>
      </c>
      <c r="B134" s="8" t="s">
        <v>2638</v>
      </c>
      <c r="C134" s="26" t="s">
        <v>2639</v>
      </c>
      <c r="D134" s="26" t="s">
        <v>2640</v>
      </c>
      <c r="E134" s="26" t="s">
        <v>2093</v>
      </c>
      <c r="F134" s="26" t="s">
        <v>2094</v>
      </c>
      <c r="G134" s="26" t="s">
        <v>2641</v>
      </c>
      <c r="H134" s="26" t="s">
        <v>2096</v>
      </c>
    </row>
    <row r="135" customFormat="false" ht="15" hidden="false" customHeight="false" outlineLevel="0" collapsed="false">
      <c r="A135" s="26" t="s">
        <v>2642</v>
      </c>
      <c r="B135" s="8" t="s">
        <v>2643</v>
      </c>
      <c r="C135" s="26" t="s">
        <v>2644</v>
      </c>
      <c r="D135" s="26" t="s">
        <v>2640</v>
      </c>
      <c r="E135" s="26" t="s">
        <v>2093</v>
      </c>
      <c r="F135" s="26" t="s">
        <v>2094</v>
      </c>
      <c r="G135" s="26" t="s">
        <v>2636</v>
      </c>
      <c r="H135" s="26" t="s">
        <v>2096</v>
      </c>
    </row>
    <row r="136" customFormat="false" ht="23.85" hidden="false" customHeight="false" outlineLevel="0" collapsed="false">
      <c r="A136" s="26" t="s">
        <v>658</v>
      </c>
      <c r="B136" s="8" t="s">
        <v>2645</v>
      </c>
      <c r="C136" s="26" t="s">
        <v>2646</v>
      </c>
      <c r="D136" s="26" t="s">
        <v>2647</v>
      </c>
      <c r="E136" s="26" t="s">
        <v>2093</v>
      </c>
      <c r="F136" s="26" t="s">
        <v>2094</v>
      </c>
      <c r="G136" s="26" t="s">
        <v>2648</v>
      </c>
      <c r="H136" s="26" t="s">
        <v>2096</v>
      </c>
    </row>
    <row r="137" customFormat="false" ht="23.85" hidden="false" customHeight="false" outlineLevel="0" collapsed="false">
      <c r="A137" s="26" t="s">
        <v>2649</v>
      </c>
      <c r="B137" s="8" t="s">
        <v>2650</v>
      </c>
      <c r="C137" s="26" t="s">
        <v>2651</v>
      </c>
      <c r="D137" s="26" t="s">
        <v>2513</v>
      </c>
      <c r="E137" s="26" t="s">
        <v>2093</v>
      </c>
      <c r="F137" s="26" t="s">
        <v>2094</v>
      </c>
      <c r="G137" s="26" t="s">
        <v>2652</v>
      </c>
      <c r="H137" s="26" t="s">
        <v>2101</v>
      </c>
    </row>
    <row r="138" customFormat="false" ht="23.85" hidden="false" customHeight="false" outlineLevel="0" collapsed="false">
      <c r="A138" s="26" t="s">
        <v>2653</v>
      </c>
      <c r="B138" s="8" t="s">
        <v>2654</v>
      </c>
      <c r="C138" s="26" t="s">
        <v>2655</v>
      </c>
      <c r="D138" s="26" t="s">
        <v>2629</v>
      </c>
      <c r="E138" s="26" t="s">
        <v>2093</v>
      </c>
      <c r="F138" s="26" t="s">
        <v>2106</v>
      </c>
      <c r="G138" s="26" t="s">
        <v>2652</v>
      </c>
      <c r="H138" s="26" t="s">
        <v>2101</v>
      </c>
    </row>
    <row r="139" customFormat="false" ht="23.85" hidden="false" customHeight="false" outlineLevel="0" collapsed="false">
      <c r="A139" s="26" t="s">
        <v>2656</v>
      </c>
      <c r="B139" s="8" t="s">
        <v>2657</v>
      </c>
      <c r="C139" s="26" t="s">
        <v>2658</v>
      </c>
      <c r="D139" s="26" t="s">
        <v>2455</v>
      </c>
      <c r="E139" s="26" t="s">
        <v>2093</v>
      </c>
      <c r="F139" s="26" t="s">
        <v>2094</v>
      </c>
      <c r="G139" s="26" t="s">
        <v>2659</v>
      </c>
      <c r="H139" s="26" t="s">
        <v>2096</v>
      </c>
    </row>
    <row r="140" customFormat="false" ht="23.85" hidden="false" customHeight="false" outlineLevel="0" collapsed="false">
      <c r="A140" s="26" t="s">
        <v>2660</v>
      </c>
      <c r="B140" s="8" t="s">
        <v>2661</v>
      </c>
      <c r="C140" s="26" t="s">
        <v>2662</v>
      </c>
      <c r="D140" s="26" t="s">
        <v>2455</v>
      </c>
      <c r="E140" s="26" t="s">
        <v>2093</v>
      </c>
      <c r="F140" s="26" t="s">
        <v>2094</v>
      </c>
      <c r="G140" s="26" t="s">
        <v>2659</v>
      </c>
      <c r="H140" s="26" t="s">
        <v>2096</v>
      </c>
    </row>
    <row r="141" customFormat="false" ht="23.85" hidden="false" customHeight="false" outlineLevel="0" collapsed="false">
      <c r="A141" s="26" t="s">
        <v>2663</v>
      </c>
      <c r="B141" s="8" t="s">
        <v>2664</v>
      </c>
      <c r="C141" s="26" t="s">
        <v>2665</v>
      </c>
      <c r="D141" s="26" t="s">
        <v>2450</v>
      </c>
      <c r="E141" s="26" t="s">
        <v>2093</v>
      </c>
      <c r="F141" s="26" t="s">
        <v>2094</v>
      </c>
      <c r="G141" s="26" t="s">
        <v>2666</v>
      </c>
      <c r="H141" s="26" t="s">
        <v>2096</v>
      </c>
    </row>
    <row r="142" customFormat="false" ht="15" hidden="false" customHeight="false" outlineLevel="0" collapsed="false">
      <c r="A142" s="26" t="s">
        <v>2667</v>
      </c>
      <c r="B142" s="8" t="s">
        <v>2668</v>
      </c>
      <c r="C142" s="26" t="s">
        <v>2669</v>
      </c>
      <c r="D142" s="26" t="s">
        <v>2450</v>
      </c>
      <c r="E142" s="26" t="s">
        <v>2093</v>
      </c>
      <c r="F142" s="26" t="s">
        <v>2094</v>
      </c>
      <c r="G142" s="26" t="s">
        <v>2670</v>
      </c>
      <c r="H142" s="26" t="s">
        <v>2096</v>
      </c>
    </row>
    <row r="143" customFormat="false" ht="23.85" hidden="false" customHeight="false" outlineLevel="0" collapsed="false">
      <c r="A143" s="26" t="s">
        <v>2671</v>
      </c>
      <c r="B143" s="8" t="s">
        <v>2672</v>
      </c>
      <c r="C143" s="26" t="s">
        <v>2673</v>
      </c>
      <c r="D143" s="26" t="s">
        <v>2450</v>
      </c>
      <c r="E143" s="26" t="s">
        <v>2093</v>
      </c>
      <c r="F143" s="26" t="s">
        <v>2094</v>
      </c>
      <c r="G143" s="26" t="s">
        <v>2674</v>
      </c>
      <c r="H143" s="26" t="s">
        <v>2096</v>
      </c>
    </row>
    <row r="144" customFormat="false" ht="23.85" hidden="false" customHeight="false" outlineLevel="0" collapsed="false">
      <c r="A144" s="26" t="s">
        <v>2675</v>
      </c>
      <c r="B144" s="8" t="s">
        <v>2676</v>
      </c>
      <c r="C144" s="26" t="s">
        <v>2677</v>
      </c>
      <c r="D144" s="26" t="s">
        <v>2450</v>
      </c>
      <c r="E144" s="26" t="s">
        <v>2093</v>
      </c>
      <c r="F144" s="26" t="s">
        <v>2094</v>
      </c>
      <c r="G144" s="26" t="s">
        <v>2678</v>
      </c>
      <c r="H144" s="26" t="s">
        <v>2096</v>
      </c>
    </row>
    <row r="145" customFormat="false" ht="23.85" hidden="false" customHeight="false" outlineLevel="0" collapsed="false">
      <c r="A145" s="26" t="s">
        <v>2679</v>
      </c>
      <c r="B145" s="8" t="s">
        <v>2680</v>
      </c>
      <c r="C145" s="26" t="s">
        <v>2681</v>
      </c>
      <c r="D145" s="26" t="s">
        <v>2455</v>
      </c>
      <c r="E145" s="26" t="s">
        <v>2093</v>
      </c>
      <c r="F145" s="26" t="s">
        <v>2094</v>
      </c>
      <c r="G145" s="26" t="s">
        <v>2682</v>
      </c>
      <c r="H145" s="26" t="s">
        <v>2096</v>
      </c>
    </row>
    <row r="146" customFormat="false" ht="23.85" hidden="false" customHeight="false" outlineLevel="0" collapsed="false">
      <c r="A146" s="26" t="s">
        <v>2683</v>
      </c>
      <c r="B146" s="8" t="s">
        <v>2684</v>
      </c>
      <c r="C146" s="26" t="s">
        <v>2685</v>
      </c>
      <c r="D146" s="26" t="s">
        <v>2455</v>
      </c>
      <c r="E146" s="26" t="s">
        <v>2093</v>
      </c>
      <c r="F146" s="26" t="s">
        <v>2106</v>
      </c>
      <c r="G146" s="26" t="s">
        <v>2682</v>
      </c>
      <c r="H146" s="26" t="s">
        <v>2101</v>
      </c>
    </row>
    <row r="147" customFormat="false" ht="23.85" hidden="false" customHeight="false" outlineLevel="0" collapsed="false">
      <c r="A147" s="26" t="s">
        <v>2686</v>
      </c>
      <c r="B147" s="8" t="s">
        <v>2687</v>
      </c>
      <c r="C147" s="26" t="s">
        <v>2688</v>
      </c>
      <c r="D147" s="26" t="s">
        <v>2450</v>
      </c>
      <c r="E147" s="26" t="s">
        <v>2093</v>
      </c>
      <c r="F147" s="26" t="s">
        <v>2094</v>
      </c>
      <c r="G147" s="26" t="s">
        <v>2689</v>
      </c>
      <c r="H147" s="26" t="s">
        <v>2096</v>
      </c>
    </row>
    <row r="148" customFormat="false" ht="15" hidden="false" customHeight="false" outlineLevel="0" collapsed="false">
      <c r="A148" s="26" t="s">
        <v>2690</v>
      </c>
      <c r="B148" s="8" t="s">
        <v>2691</v>
      </c>
      <c r="C148" s="26" t="s">
        <v>2692</v>
      </c>
      <c r="D148" s="26" t="s">
        <v>2693</v>
      </c>
      <c r="E148" s="26" t="s">
        <v>2093</v>
      </c>
      <c r="F148" s="26" t="s">
        <v>2094</v>
      </c>
      <c r="G148" s="26" t="s">
        <v>2694</v>
      </c>
      <c r="H148" s="26" t="s">
        <v>2096</v>
      </c>
    </row>
    <row r="149" customFormat="false" ht="15" hidden="false" customHeight="false" outlineLevel="0" collapsed="false">
      <c r="A149" s="26" t="s">
        <v>2695</v>
      </c>
      <c r="B149" s="8" t="s">
        <v>2696</v>
      </c>
      <c r="C149" s="26" t="s">
        <v>2697</v>
      </c>
      <c r="D149" s="26" t="s">
        <v>2693</v>
      </c>
      <c r="E149" s="26" t="s">
        <v>2093</v>
      </c>
      <c r="F149" s="26" t="s">
        <v>2094</v>
      </c>
      <c r="G149" s="26" t="s">
        <v>2698</v>
      </c>
      <c r="H149" s="26" t="s">
        <v>2096</v>
      </c>
    </row>
    <row r="150" customFormat="false" ht="15" hidden="false" customHeight="false" outlineLevel="0" collapsed="false">
      <c r="A150" s="26" t="s">
        <v>2699</v>
      </c>
      <c r="B150" s="8" t="s">
        <v>2700</v>
      </c>
      <c r="C150" s="26" t="s">
        <v>2701</v>
      </c>
      <c r="D150" s="26" t="s">
        <v>2693</v>
      </c>
      <c r="E150" s="26" t="s">
        <v>2093</v>
      </c>
      <c r="F150" s="26" t="s">
        <v>2094</v>
      </c>
      <c r="G150" s="26" t="s">
        <v>2702</v>
      </c>
      <c r="H150" s="26" t="s">
        <v>2096</v>
      </c>
    </row>
    <row r="151" customFormat="false" ht="15" hidden="false" customHeight="false" outlineLevel="0" collapsed="false">
      <c r="A151" s="26" t="s">
        <v>2703</v>
      </c>
      <c r="B151" s="8" t="s">
        <v>2704</v>
      </c>
      <c r="C151" s="26" t="s">
        <v>2705</v>
      </c>
      <c r="D151" s="26" t="s">
        <v>2693</v>
      </c>
      <c r="E151" s="26" t="s">
        <v>2093</v>
      </c>
      <c r="F151" s="26" t="s">
        <v>2094</v>
      </c>
      <c r="G151" s="26" t="s">
        <v>2706</v>
      </c>
      <c r="H151" s="26" t="s">
        <v>2096</v>
      </c>
    </row>
    <row r="152" customFormat="false" ht="15" hidden="false" customHeight="false" outlineLevel="0" collapsed="false">
      <c r="A152" s="26" t="s">
        <v>2707</v>
      </c>
      <c r="B152" s="8" t="s">
        <v>2708</v>
      </c>
      <c r="C152" s="26" t="s">
        <v>2709</v>
      </c>
      <c r="D152" s="26" t="s">
        <v>2693</v>
      </c>
      <c r="E152" s="26" t="s">
        <v>2093</v>
      </c>
      <c r="F152" s="26" t="s">
        <v>2094</v>
      </c>
      <c r="G152" s="26" t="s">
        <v>2694</v>
      </c>
      <c r="H152" s="26" t="s">
        <v>2096</v>
      </c>
    </row>
    <row r="153" customFormat="false" ht="15" hidden="false" customHeight="false" outlineLevel="0" collapsed="false">
      <c r="A153" s="26" t="s">
        <v>2710</v>
      </c>
      <c r="B153" s="8" t="s">
        <v>2711</v>
      </c>
      <c r="C153" s="26" t="s">
        <v>2712</v>
      </c>
      <c r="D153" s="26" t="s">
        <v>2693</v>
      </c>
      <c r="E153" s="26" t="s">
        <v>2093</v>
      </c>
      <c r="F153" s="26" t="s">
        <v>2094</v>
      </c>
      <c r="G153" s="26" t="s">
        <v>2713</v>
      </c>
      <c r="H153" s="26" t="s">
        <v>2096</v>
      </c>
    </row>
    <row r="154" customFormat="false" ht="15" hidden="false" customHeight="false" outlineLevel="0" collapsed="false">
      <c r="A154" s="26" t="s">
        <v>2714</v>
      </c>
      <c r="B154" s="8" t="s">
        <v>2715</v>
      </c>
      <c r="C154" s="26" t="s">
        <v>2716</v>
      </c>
      <c r="D154" s="26" t="s">
        <v>2693</v>
      </c>
      <c r="E154" s="26" t="s">
        <v>2093</v>
      </c>
      <c r="F154" s="26" t="s">
        <v>2094</v>
      </c>
      <c r="G154" s="26" t="s">
        <v>2717</v>
      </c>
      <c r="H154" s="26" t="s">
        <v>2096</v>
      </c>
    </row>
    <row r="155" customFormat="false" ht="15" hidden="false" customHeight="false" outlineLevel="0" collapsed="false">
      <c r="A155" s="26" t="s">
        <v>2718</v>
      </c>
      <c r="B155" s="8" t="s">
        <v>2719</v>
      </c>
      <c r="C155" s="26" t="s">
        <v>2720</v>
      </c>
      <c r="D155" s="26" t="s">
        <v>2693</v>
      </c>
      <c r="E155" s="26" t="s">
        <v>2093</v>
      </c>
      <c r="F155" s="26" t="s">
        <v>2094</v>
      </c>
      <c r="G155" s="26" t="s">
        <v>2721</v>
      </c>
      <c r="H155" s="26" t="s">
        <v>2096</v>
      </c>
    </row>
    <row r="156" customFormat="false" ht="15" hidden="false" customHeight="false" outlineLevel="0" collapsed="false">
      <c r="A156" s="26" t="s">
        <v>2722</v>
      </c>
      <c r="B156" s="8" t="s">
        <v>2723</v>
      </c>
      <c r="C156" s="26" t="s">
        <v>2724</v>
      </c>
      <c r="D156" s="26" t="s">
        <v>2693</v>
      </c>
      <c r="E156" s="26" t="s">
        <v>2093</v>
      </c>
      <c r="F156" s="26" t="s">
        <v>2094</v>
      </c>
      <c r="G156" s="26" t="s">
        <v>2725</v>
      </c>
      <c r="H156" s="26" t="s">
        <v>2096</v>
      </c>
    </row>
    <row r="157" customFormat="false" ht="15" hidden="false" customHeight="false" outlineLevel="0" collapsed="false">
      <c r="A157" s="26" t="s">
        <v>2726</v>
      </c>
      <c r="B157" s="8" t="s">
        <v>2727</v>
      </c>
      <c r="C157" s="26" t="s">
        <v>2728</v>
      </c>
      <c r="D157" s="26" t="s">
        <v>2693</v>
      </c>
      <c r="E157" s="26" t="s">
        <v>2093</v>
      </c>
      <c r="F157" s="26" t="s">
        <v>2094</v>
      </c>
      <c r="G157" s="26" t="s">
        <v>2725</v>
      </c>
      <c r="H157" s="26" t="s">
        <v>2096</v>
      </c>
    </row>
    <row r="158" customFormat="false" ht="15" hidden="false" customHeight="false" outlineLevel="0" collapsed="false">
      <c r="A158" s="26" t="s">
        <v>2729</v>
      </c>
      <c r="B158" s="8" t="s">
        <v>2730</v>
      </c>
      <c r="C158" s="26" t="s">
        <v>2731</v>
      </c>
      <c r="D158" s="26" t="s">
        <v>2693</v>
      </c>
      <c r="E158" s="26" t="s">
        <v>2093</v>
      </c>
      <c r="F158" s="26" t="s">
        <v>2094</v>
      </c>
      <c r="G158" s="26" t="s">
        <v>2725</v>
      </c>
      <c r="H158" s="26" t="s">
        <v>2096</v>
      </c>
    </row>
    <row r="159" customFormat="false" ht="15" hidden="false" customHeight="false" outlineLevel="0" collapsed="false">
      <c r="A159" s="26" t="s">
        <v>2732</v>
      </c>
      <c r="B159" s="8" t="s">
        <v>2733</v>
      </c>
      <c r="C159" s="26" t="s">
        <v>2734</v>
      </c>
      <c r="D159" s="26" t="s">
        <v>2693</v>
      </c>
      <c r="E159" s="26" t="s">
        <v>2093</v>
      </c>
      <c r="F159" s="26" t="s">
        <v>2094</v>
      </c>
      <c r="G159" s="26" t="s">
        <v>2717</v>
      </c>
      <c r="H159" s="26" t="s">
        <v>2096</v>
      </c>
    </row>
    <row r="160" customFormat="false" ht="15" hidden="false" customHeight="false" outlineLevel="0" collapsed="false">
      <c r="A160" s="26" t="s">
        <v>2735</v>
      </c>
      <c r="B160" s="8" t="s">
        <v>2736</v>
      </c>
      <c r="C160" s="26" t="s">
        <v>2737</v>
      </c>
      <c r="D160" s="26" t="s">
        <v>2693</v>
      </c>
      <c r="E160" s="26" t="s">
        <v>2093</v>
      </c>
      <c r="F160" s="26" t="s">
        <v>2094</v>
      </c>
      <c r="G160" s="26" t="s">
        <v>2738</v>
      </c>
      <c r="H160" s="26" t="s">
        <v>2096</v>
      </c>
    </row>
    <row r="161" customFormat="false" ht="15" hidden="false" customHeight="false" outlineLevel="0" collapsed="false">
      <c r="A161" s="26" t="s">
        <v>2739</v>
      </c>
      <c r="B161" s="8" t="s">
        <v>2740</v>
      </c>
      <c r="C161" s="26" t="s">
        <v>2741</v>
      </c>
      <c r="D161" s="26" t="s">
        <v>2693</v>
      </c>
      <c r="E161" s="26" t="s">
        <v>2093</v>
      </c>
      <c r="F161" s="26" t="s">
        <v>2094</v>
      </c>
      <c r="G161" s="26" t="s">
        <v>2742</v>
      </c>
      <c r="H161" s="26" t="s">
        <v>2096</v>
      </c>
    </row>
    <row r="162" customFormat="false" ht="15" hidden="false" customHeight="false" outlineLevel="0" collapsed="false">
      <c r="A162" s="26" t="s">
        <v>2743</v>
      </c>
      <c r="B162" s="8" t="s">
        <v>2744</v>
      </c>
      <c r="C162" s="26" t="s">
        <v>2745</v>
      </c>
      <c r="D162" s="26" t="s">
        <v>2693</v>
      </c>
      <c r="E162" s="26" t="s">
        <v>2093</v>
      </c>
      <c r="F162" s="26" t="s">
        <v>2094</v>
      </c>
      <c r="G162" s="26" t="s">
        <v>2746</v>
      </c>
      <c r="H162" s="26" t="s">
        <v>2096</v>
      </c>
    </row>
    <row r="163" customFormat="false" ht="15" hidden="false" customHeight="false" outlineLevel="0" collapsed="false">
      <c r="A163" s="26" t="s">
        <v>2747</v>
      </c>
      <c r="B163" s="8" t="s">
        <v>2748</v>
      </c>
      <c r="C163" s="26" t="s">
        <v>2749</v>
      </c>
      <c r="D163" s="26" t="s">
        <v>2693</v>
      </c>
      <c r="E163" s="26" t="s">
        <v>2093</v>
      </c>
      <c r="F163" s="26" t="s">
        <v>2094</v>
      </c>
      <c r="G163" s="26" t="s">
        <v>2750</v>
      </c>
      <c r="H163" s="26" t="s">
        <v>2096</v>
      </c>
    </row>
    <row r="164" customFormat="false" ht="15" hidden="false" customHeight="false" outlineLevel="0" collapsed="false">
      <c r="A164" s="26" t="s">
        <v>2751</v>
      </c>
      <c r="B164" s="8" t="s">
        <v>2752</v>
      </c>
      <c r="C164" s="26" t="s">
        <v>2753</v>
      </c>
      <c r="D164" s="26" t="s">
        <v>2693</v>
      </c>
      <c r="E164" s="26" t="s">
        <v>2093</v>
      </c>
      <c r="F164" s="26" t="s">
        <v>2094</v>
      </c>
      <c r="G164" s="26" t="s">
        <v>2754</v>
      </c>
      <c r="H164" s="26" t="s">
        <v>2096</v>
      </c>
    </row>
    <row r="165" customFormat="false" ht="23.85" hidden="false" customHeight="false" outlineLevel="0" collapsed="false">
      <c r="A165" s="26" t="s">
        <v>2755</v>
      </c>
      <c r="B165" s="8" t="s">
        <v>2756</v>
      </c>
      <c r="C165" s="26" t="s">
        <v>2757</v>
      </c>
      <c r="D165" s="26" t="s">
        <v>2758</v>
      </c>
      <c r="E165" s="26" t="s">
        <v>2093</v>
      </c>
      <c r="F165" s="26" t="s">
        <v>2094</v>
      </c>
      <c r="G165" s="26" t="s">
        <v>2725</v>
      </c>
      <c r="H165" s="26" t="s">
        <v>2096</v>
      </c>
    </row>
    <row r="166" customFormat="false" ht="15" hidden="false" customHeight="false" outlineLevel="0" collapsed="false">
      <c r="A166" s="26" t="s">
        <v>2759</v>
      </c>
      <c r="B166" s="8" t="s">
        <v>2760</v>
      </c>
      <c r="C166" s="26" t="s">
        <v>2761</v>
      </c>
      <c r="D166" s="26" t="s">
        <v>2693</v>
      </c>
      <c r="E166" s="26" t="s">
        <v>2093</v>
      </c>
      <c r="F166" s="26" t="s">
        <v>2094</v>
      </c>
      <c r="G166" s="26" t="s">
        <v>2762</v>
      </c>
      <c r="H166" s="26" t="s">
        <v>2096</v>
      </c>
    </row>
    <row r="167" customFormat="false" ht="15" hidden="false" customHeight="false" outlineLevel="0" collapsed="false">
      <c r="A167" s="26" t="s">
        <v>2763</v>
      </c>
      <c r="B167" s="8" t="s">
        <v>2764</v>
      </c>
      <c r="C167" s="26" t="s">
        <v>2765</v>
      </c>
      <c r="D167" s="26" t="s">
        <v>2693</v>
      </c>
      <c r="E167" s="26" t="s">
        <v>2093</v>
      </c>
      <c r="F167" s="26" t="s">
        <v>2094</v>
      </c>
      <c r="G167" s="26" t="s">
        <v>2766</v>
      </c>
      <c r="H167" s="26" t="s">
        <v>2096</v>
      </c>
    </row>
    <row r="168" customFormat="false" ht="15" hidden="false" customHeight="false" outlineLevel="0" collapsed="false">
      <c r="A168" s="26" t="s">
        <v>2767</v>
      </c>
      <c r="B168" s="8" t="s">
        <v>2768</v>
      </c>
      <c r="C168" s="26" t="s">
        <v>2769</v>
      </c>
      <c r="D168" s="26" t="s">
        <v>2693</v>
      </c>
      <c r="E168" s="26" t="s">
        <v>2093</v>
      </c>
      <c r="F168" s="26" t="s">
        <v>2094</v>
      </c>
      <c r="G168" s="26" t="s">
        <v>2770</v>
      </c>
      <c r="H168" s="26" t="s">
        <v>2096</v>
      </c>
    </row>
    <row r="169" customFormat="false" ht="15" hidden="false" customHeight="false" outlineLevel="0" collapsed="false">
      <c r="A169" s="26" t="s">
        <v>2771</v>
      </c>
      <c r="B169" s="8" t="s">
        <v>2772</v>
      </c>
      <c r="C169" s="26" t="s">
        <v>2773</v>
      </c>
      <c r="D169" s="26" t="s">
        <v>2693</v>
      </c>
      <c r="E169" s="26" t="s">
        <v>2093</v>
      </c>
      <c r="F169" s="26" t="s">
        <v>2094</v>
      </c>
      <c r="G169" s="26" t="s">
        <v>2725</v>
      </c>
      <c r="H169" s="26" t="s">
        <v>2096</v>
      </c>
    </row>
    <row r="170" customFormat="false" ht="15" hidden="false" customHeight="false" outlineLevel="0" collapsed="false">
      <c r="A170" s="26" t="s">
        <v>2774</v>
      </c>
      <c r="B170" s="8" t="s">
        <v>2775</v>
      </c>
      <c r="C170" s="26" t="s">
        <v>2776</v>
      </c>
      <c r="D170" s="26" t="s">
        <v>2777</v>
      </c>
      <c r="E170" s="26" t="s">
        <v>2093</v>
      </c>
      <c r="F170" s="26" t="s">
        <v>2094</v>
      </c>
      <c r="G170" s="26" t="s">
        <v>2725</v>
      </c>
      <c r="H170" s="26" t="s">
        <v>2101</v>
      </c>
    </row>
    <row r="171" customFormat="false" ht="15" hidden="false" customHeight="false" outlineLevel="0" collapsed="false">
      <c r="A171" s="26" t="s">
        <v>2778</v>
      </c>
      <c r="B171" s="8" t="s">
        <v>2779</v>
      </c>
      <c r="C171" s="26" t="s">
        <v>2780</v>
      </c>
      <c r="D171" s="26" t="s">
        <v>2777</v>
      </c>
      <c r="E171" s="26" t="s">
        <v>2093</v>
      </c>
      <c r="F171" s="26" t="s">
        <v>2094</v>
      </c>
      <c r="G171" s="26" t="s">
        <v>2725</v>
      </c>
      <c r="H171" s="26" t="s">
        <v>2101</v>
      </c>
    </row>
    <row r="172" customFormat="false" ht="23.85" hidden="false" customHeight="false" outlineLevel="0" collapsed="false">
      <c r="A172" s="26" t="s">
        <v>2781</v>
      </c>
      <c r="B172" s="8" t="s">
        <v>2782</v>
      </c>
      <c r="C172" s="26" t="s">
        <v>2783</v>
      </c>
      <c r="D172" s="26" t="s">
        <v>2784</v>
      </c>
      <c r="E172" s="26" t="s">
        <v>2093</v>
      </c>
      <c r="F172" s="26" t="s">
        <v>2106</v>
      </c>
      <c r="G172" s="26" t="s">
        <v>2725</v>
      </c>
      <c r="H172" s="26" t="s">
        <v>2101</v>
      </c>
    </row>
    <row r="173" customFormat="false" ht="15" hidden="false" customHeight="false" outlineLevel="0" collapsed="false">
      <c r="A173" s="26" t="s">
        <v>2785</v>
      </c>
      <c r="B173" s="8" t="s">
        <v>2786</v>
      </c>
      <c r="C173" s="26" t="s">
        <v>2787</v>
      </c>
      <c r="D173" s="26" t="s">
        <v>2693</v>
      </c>
      <c r="E173" s="26" t="s">
        <v>2093</v>
      </c>
      <c r="F173" s="26" t="s">
        <v>2094</v>
      </c>
      <c r="G173" s="26" t="s">
        <v>2788</v>
      </c>
      <c r="H173" s="26" t="s">
        <v>2096</v>
      </c>
    </row>
    <row r="174" customFormat="false" ht="15" hidden="false" customHeight="false" outlineLevel="0" collapsed="false">
      <c r="A174" s="26" t="s">
        <v>2789</v>
      </c>
      <c r="B174" s="8" t="s">
        <v>2790</v>
      </c>
      <c r="C174" s="26" t="s">
        <v>2791</v>
      </c>
      <c r="D174" s="26" t="s">
        <v>2693</v>
      </c>
      <c r="E174" s="26" t="s">
        <v>2093</v>
      </c>
      <c r="F174" s="26" t="s">
        <v>2094</v>
      </c>
      <c r="G174" s="26" t="s">
        <v>2792</v>
      </c>
      <c r="H174" s="26" t="s">
        <v>2096</v>
      </c>
    </row>
    <row r="175" customFormat="false" ht="15" hidden="false" customHeight="false" outlineLevel="0" collapsed="false">
      <c r="A175" s="26" t="s">
        <v>2793</v>
      </c>
      <c r="B175" s="8" t="s">
        <v>2794</v>
      </c>
      <c r="C175" s="26" t="s">
        <v>2795</v>
      </c>
      <c r="D175" s="26" t="s">
        <v>2693</v>
      </c>
      <c r="E175" s="26" t="s">
        <v>2093</v>
      </c>
      <c r="F175" s="26" t="s">
        <v>2094</v>
      </c>
      <c r="G175" s="26" t="s">
        <v>2796</v>
      </c>
      <c r="H175" s="26" t="s">
        <v>2096</v>
      </c>
    </row>
    <row r="176" customFormat="false" ht="15" hidden="false" customHeight="false" outlineLevel="0" collapsed="false">
      <c r="A176" s="26" t="s">
        <v>2797</v>
      </c>
      <c r="B176" s="8" t="s">
        <v>2798</v>
      </c>
      <c r="C176" s="26" t="s">
        <v>2799</v>
      </c>
      <c r="D176" s="26" t="s">
        <v>2693</v>
      </c>
      <c r="E176" s="26" t="s">
        <v>2093</v>
      </c>
      <c r="F176" s="26" t="s">
        <v>2094</v>
      </c>
      <c r="G176" s="26" t="s">
        <v>2800</v>
      </c>
      <c r="H176" s="26" t="s">
        <v>2096</v>
      </c>
    </row>
    <row r="177" customFormat="false" ht="15" hidden="false" customHeight="false" outlineLevel="0" collapsed="false">
      <c r="A177" s="26" t="s">
        <v>2801</v>
      </c>
      <c r="B177" s="8" t="s">
        <v>2802</v>
      </c>
      <c r="C177" s="26" t="s">
        <v>2803</v>
      </c>
      <c r="D177" s="26" t="s">
        <v>2804</v>
      </c>
      <c r="E177" s="26" t="s">
        <v>2093</v>
      </c>
      <c r="F177" s="26" t="s">
        <v>2094</v>
      </c>
      <c r="G177" s="26" t="s">
        <v>2698</v>
      </c>
      <c r="H177" s="26" t="s">
        <v>2101</v>
      </c>
    </row>
    <row r="178" customFormat="false" ht="23.85" hidden="false" customHeight="false" outlineLevel="0" collapsed="false">
      <c r="A178" s="26" t="s">
        <v>2805</v>
      </c>
      <c r="B178" s="8" t="s">
        <v>2806</v>
      </c>
      <c r="C178" s="26" t="s">
        <v>2807</v>
      </c>
      <c r="D178" s="26" t="s">
        <v>2808</v>
      </c>
      <c r="E178" s="26" t="s">
        <v>2093</v>
      </c>
      <c r="F178" s="26" t="s">
        <v>2094</v>
      </c>
      <c r="G178" s="26" t="s">
        <v>2698</v>
      </c>
      <c r="H178" s="26" t="s">
        <v>2101</v>
      </c>
    </row>
    <row r="179" customFormat="false" ht="23.85" hidden="false" customHeight="false" outlineLevel="0" collapsed="false">
      <c r="A179" s="26" t="s">
        <v>2809</v>
      </c>
      <c r="B179" s="8" t="s">
        <v>2810</v>
      </c>
      <c r="C179" s="26" t="s">
        <v>2811</v>
      </c>
      <c r="D179" s="26" t="s">
        <v>2812</v>
      </c>
      <c r="E179" s="26" t="s">
        <v>2093</v>
      </c>
      <c r="F179" s="26" t="s">
        <v>2106</v>
      </c>
      <c r="G179" s="26" t="s">
        <v>2698</v>
      </c>
      <c r="H179" s="26" t="s">
        <v>2131</v>
      </c>
    </row>
    <row r="180" customFormat="false" ht="15" hidden="false" customHeight="false" outlineLevel="0" collapsed="false">
      <c r="A180" s="26" t="s">
        <v>2813</v>
      </c>
      <c r="B180" s="8" t="s">
        <v>2814</v>
      </c>
      <c r="C180" s="26" t="s">
        <v>2815</v>
      </c>
      <c r="D180" s="26" t="s">
        <v>2804</v>
      </c>
      <c r="E180" s="26" t="s">
        <v>2093</v>
      </c>
      <c r="F180" s="26" t="s">
        <v>2094</v>
      </c>
      <c r="G180" s="26" t="s">
        <v>2816</v>
      </c>
      <c r="H180" s="26" t="s">
        <v>2101</v>
      </c>
    </row>
    <row r="181" customFormat="false" ht="23.85" hidden="false" customHeight="false" outlineLevel="0" collapsed="false">
      <c r="A181" s="26" t="s">
        <v>2817</v>
      </c>
      <c r="B181" s="8" t="s">
        <v>2818</v>
      </c>
      <c r="C181" s="26" t="s">
        <v>2819</v>
      </c>
      <c r="D181" s="26" t="s">
        <v>2693</v>
      </c>
      <c r="E181" s="26" t="s">
        <v>2093</v>
      </c>
      <c r="F181" s="26" t="s">
        <v>2094</v>
      </c>
      <c r="G181" s="26" t="s">
        <v>2820</v>
      </c>
      <c r="H181" s="26" t="s">
        <v>2096</v>
      </c>
    </row>
    <row r="182" customFormat="false" ht="15" hidden="false" customHeight="false" outlineLevel="0" collapsed="false">
      <c r="A182" s="26" t="s">
        <v>2821</v>
      </c>
      <c r="B182" s="8" t="s">
        <v>2822</v>
      </c>
      <c r="C182" s="26" t="s">
        <v>2823</v>
      </c>
      <c r="D182" s="26" t="s">
        <v>2693</v>
      </c>
      <c r="E182" s="26" t="s">
        <v>2093</v>
      </c>
      <c r="F182" s="26" t="s">
        <v>2094</v>
      </c>
      <c r="G182" s="26" t="s">
        <v>2820</v>
      </c>
      <c r="H182" s="26" t="s">
        <v>2096</v>
      </c>
    </row>
    <row r="183" customFormat="false" ht="23.85" hidden="false" customHeight="false" outlineLevel="0" collapsed="false">
      <c r="A183" s="26" t="s">
        <v>2824</v>
      </c>
      <c r="B183" s="8" t="s">
        <v>2825</v>
      </c>
      <c r="C183" s="26" t="s">
        <v>2826</v>
      </c>
      <c r="D183" s="26" t="s">
        <v>2827</v>
      </c>
      <c r="E183" s="26" t="s">
        <v>2093</v>
      </c>
      <c r="F183" s="26" t="s">
        <v>2106</v>
      </c>
      <c r="G183" s="26" t="s">
        <v>2828</v>
      </c>
      <c r="H183" s="26" t="s">
        <v>2101</v>
      </c>
    </row>
    <row r="184" customFormat="false" ht="23.85" hidden="false" customHeight="false" outlineLevel="0" collapsed="false">
      <c r="A184" s="26" t="s">
        <v>2829</v>
      </c>
      <c r="B184" s="8" t="s">
        <v>2830</v>
      </c>
      <c r="C184" s="26" t="s">
        <v>2831</v>
      </c>
      <c r="D184" s="26" t="s">
        <v>2693</v>
      </c>
      <c r="E184" s="26" t="s">
        <v>2093</v>
      </c>
      <c r="F184" s="26" t="s">
        <v>2094</v>
      </c>
      <c r="G184" s="26" t="s">
        <v>2832</v>
      </c>
      <c r="H184" s="26" t="s">
        <v>2096</v>
      </c>
    </row>
    <row r="185" customFormat="false" ht="15" hidden="false" customHeight="false" outlineLevel="0" collapsed="false">
      <c r="A185" s="26" t="s">
        <v>2833</v>
      </c>
      <c r="B185" s="8" t="s">
        <v>2834</v>
      </c>
      <c r="C185" s="26" t="s">
        <v>2835</v>
      </c>
      <c r="D185" s="26" t="s">
        <v>2693</v>
      </c>
      <c r="E185" s="26" t="s">
        <v>2093</v>
      </c>
      <c r="F185" s="26" t="s">
        <v>2094</v>
      </c>
      <c r="G185" s="26" t="s">
        <v>2836</v>
      </c>
      <c r="H185" s="26" t="s">
        <v>2096</v>
      </c>
    </row>
    <row r="186" customFormat="false" ht="15" hidden="false" customHeight="false" outlineLevel="0" collapsed="false">
      <c r="A186" s="26" t="s">
        <v>2837</v>
      </c>
      <c r="B186" s="8" t="s">
        <v>2838</v>
      </c>
      <c r="C186" s="26" t="s">
        <v>2839</v>
      </c>
      <c r="D186" s="26" t="s">
        <v>2693</v>
      </c>
      <c r="E186" s="26" t="s">
        <v>2093</v>
      </c>
      <c r="F186" s="26" t="s">
        <v>2094</v>
      </c>
      <c r="G186" s="26" t="s">
        <v>2840</v>
      </c>
      <c r="H186" s="26" t="s">
        <v>2096</v>
      </c>
    </row>
    <row r="187" customFormat="false" ht="15" hidden="false" customHeight="false" outlineLevel="0" collapsed="false">
      <c r="A187" s="26" t="s">
        <v>2841</v>
      </c>
      <c r="B187" s="8" t="s">
        <v>2842</v>
      </c>
      <c r="C187" s="26" t="s">
        <v>2843</v>
      </c>
      <c r="D187" s="26" t="s">
        <v>2693</v>
      </c>
      <c r="E187" s="26" t="s">
        <v>2093</v>
      </c>
      <c r="F187" s="26" t="s">
        <v>2094</v>
      </c>
      <c r="G187" s="26" t="s">
        <v>2844</v>
      </c>
      <c r="H187" s="26" t="s">
        <v>2096</v>
      </c>
    </row>
    <row r="188" customFormat="false" ht="23.85" hidden="false" customHeight="false" outlineLevel="0" collapsed="false">
      <c r="A188" s="26" t="s">
        <v>2845</v>
      </c>
      <c r="B188" s="8" t="s">
        <v>2846</v>
      </c>
      <c r="C188" s="26" t="s">
        <v>2847</v>
      </c>
      <c r="D188" s="26" t="s">
        <v>2804</v>
      </c>
      <c r="E188" s="26" t="s">
        <v>2093</v>
      </c>
      <c r="F188" s="26" t="s">
        <v>2094</v>
      </c>
      <c r="G188" s="26" t="s">
        <v>2762</v>
      </c>
      <c r="H188" s="26" t="s">
        <v>2101</v>
      </c>
    </row>
    <row r="189" customFormat="false" ht="15" hidden="false" customHeight="false" outlineLevel="0" collapsed="false">
      <c r="A189" s="26" t="s">
        <v>2848</v>
      </c>
      <c r="B189" s="8" t="s">
        <v>2849</v>
      </c>
      <c r="C189" s="26" t="s">
        <v>2850</v>
      </c>
      <c r="D189" s="26" t="s">
        <v>2804</v>
      </c>
      <c r="E189" s="26" t="s">
        <v>2093</v>
      </c>
      <c r="F189" s="26" t="s">
        <v>2094</v>
      </c>
      <c r="G189" s="26" t="s">
        <v>2851</v>
      </c>
      <c r="H189" s="26" t="s">
        <v>2101</v>
      </c>
    </row>
    <row r="190" customFormat="false" ht="15" hidden="false" customHeight="false" outlineLevel="0" collapsed="false">
      <c r="A190" s="26" t="s">
        <v>2852</v>
      </c>
      <c r="B190" s="8" t="s">
        <v>2853</v>
      </c>
      <c r="C190" s="26" t="s">
        <v>2854</v>
      </c>
      <c r="D190" s="26" t="s">
        <v>2804</v>
      </c>
      <c r="E190" s="26" t="s">
        <v>2093</v>
      </c>
      <c r="F190" s="26" t="s">
        <v>2094</v>
      </c>
      <c r="G190" s="26" t="s">
        <v>2855</v>
      </c>
      <c r="H190" s="26" t="s">
        <v>2131</v>
      </c>
    </row>
    <row r="191" customFormat="false" ht="15" hidden="false" customHeight="false" outlineLevel="0" collapsed="false">
      <c r="A191" s="26" t="s">
        <v>2856</v>
      </c>
      <c r="B191" s="8" t="s">
        <v>2857</v>
      </c>
      <c r="C191" s="26" t="s">
        <v>2858</v>
      </c>
      <c r="D191" s="26" t="s">
        <v>2804</v>
      </c>
      <c r="E191" s="26" t="s">
        <v>2093</v>
      </c>
      <c r="F191" s="26" t="s">
        <v>2094</v>
      </c>
      <c r="G191" s="26" t="s">
        <v>2770</v>
      </c>
      <c r="H191" s="26" t="s">
        <v>2101</v>
      </c>
    </row>
    <row r="192" customFormat="false" ht="23.85" hidden="false" customHeight="false" outlineLevel="0" collapsed="false">
      <c r="A192" s="26" t="s">
        <v>2859</v>
      </c>
      <c r="B192" s="8" t="s">
        <v>2860</v>
      </c>
      <c r="C192" s="26" t="s">
        <v>2861</v>
      </c>
      <c r="D192" s="26" t="s">
        <v>2862</v>
      </c>
      <c r="E192" s="26" t="s">
        <v>2093</v>
      </c>
      <c r="F192" s="26" t="s">
        <v>2094</v>
      </c>
      <c r="G192" s="26" t="s">
        <v>2800</v>
      </c>
      <c r="H192" s="26" t="s">
        <v>2096</v>
      </c>
    </row>
    <row r="193" customFormat="false" ht="23.85" hidden="false" customHeight="false" outlineLevel="0" collapsed="false">
      <c r="A193" s="26" t="s">
        <v>2863</v>
      </c>
      <c r="B193" s="8" t="s">
        <v>2864</v>
      </c>
      <c r="C193" s="26" t="s">
        <v>2865</v>
      </c>
      <c r="D193" s="26" t="s">
        <v>2866</v>
      </c>
      <c r="E193" s="26" t="s">
        <v>2093</v>
      </c>
      <c r="F193" s="26" t="s">
        <v>2094</v>
      </c>
      <c r="G193" s="26" t="s">
        <v>2800</v>
      </c>
      <c r="H193" s="26" t="s">
        <v>2101</v>
      </c>
    </row>
    <row r="194" customFormat="false" ht="23.85" hidden="false" customHeight="false" outlineLevel="0" collapsed="false">
      <c r="A194" s="26" t="s">
        <v>2867</v>
      </c>
      <c r="B194" s="8" t="s">
        <v>2868</v>
      </c>
      <c r="C194" s="26" t="s">
        <v>2869</v>
      </c>
      <c r="D194" s="26" t="s">
        <v>2870</v>
      </c>
      <c r="E194" s="26" t="s">
        <v>2093</v>
      </c>
      <c r="F194" s="26" t="s">
        <v>2106</v>
      </c>
      <c r="G194" s="26" t="s">
        <v>2800</v>
      </c>
      <c r="H194" s="26" t="s">
        <v>2101</v>
      </c>
    </row>
    <row r="195" customFormat="false" ht="23.85" hidden="false" customHeight="false" outlineLevel="0" collapsed="false">
      <c r="A195" s="26" t="s">
        <v>2871</v>
      </c>
      <c r="B195" s="8" t="s">
        <v>2872</v>
      </c>
      <c r="C195" s="26" t="s">
        <v>2873</v>
      </c>
      <c r="D195" s="26" t="s">
        <v>2874</v>
      </c>
      <c r="E195" s="26" t="s">
        <v>2093</v>
      </c>
      <c r="F195" s="26" t="s">
        <v>2106</v>
      </c>
      <c r="G195" s="26" t="s">
        <v>2800</v>
      </c>
      <c r="H195" s="26" t="s">
        <v>2101</v>
      </c>
    </row>
    <row r="196" customFormat="false" ht="23.85" hidden="false" customHeight="false" outlineLevel="0" collapsed="false">
      <c r="A196" s="26" t="s">
        <v>2875</v>
      </c>
      <c r="B196" s="8" t="s">
        <v>2876</v>
      </c>
      <c r="C196" s="26" t="s">
        <v>2877</v>
      </c>
      <c r="D196" s="26" t="s">
        <v>2878</v>
      </c>
      <c r="E196" s="26" t="s">
        <v>2093</v>
      </c>
      <c r="F196" s="26" t="s">
        <v>2094</v>
      </c>
      <c r="G196" s="26" t="s">
        <v>2721</v>
      </c>
      <c r="H196" s="26" t="s">
        <v>2101</v>
      </c>
    </row>
    <row r="197" customFormat="false" ht="23.85" hidden="false" customHeight="false" outlineLevel="0" collapsed="false">
      <c r="A197" s="26" t="s">
        <v>2879</v>
      </c>
      <c r="B197" s="8" t="s">
        <v>2880</v>
      </c>
      <c r="C197" s="26" t="s">
        <v>2881</v>
      </c>
      <c r="D197" s="26" t="s">
        <v>2882</v>
      </c>
      <c r="E197" s="26" t="s">
        <v>2093</v>
      </c>
      <c r="F197" s="26" t="s">
        <v>2106</v>
      </c>
      <c r="G197" s="26" t="s">
        <v>2721</v>
      </c>
      <c r="H197" s="26" t="s">
        <v>2131</v>
      </c>
    </row>
    <row r="198" customFormat="false" ht="23.85" hidden="false" customHeight="false" outlineLevel="0" collapsed="false">
      <c r="A198" s="26" t="s">
        <v>2883</v>
      </c>
      <c r="B198" s="8" t="s">
        <v>2884</v>
      </c>
      <c r="C198" s="26" t="s">
        <v>2885</v>
      </c>
      <c r="D198" s="26" t="s">
        <v>2886</v>
      </c>
      <c r="E198" s="26" t="s">
        <v>2093</v>
      </c>
      <c r="F198" s="26" t="s">
        <v>2094</v>
      </c>
      <c r="G198" s="26" t="s">
        <v>2887</v>
      </c>
      <c r="H198" s="26" t="s">
        <v>2101</v>
      </c>
    </row>
    <row r="199" customFormat="false" ht="23.85" hidden="false" customHeight="false" outlineLevel="0" collapsed="false">
      <c r="A199" s="26" t="s">
        <v>2888</v>
      </c>
      <c r="B199" s="8" t="s">
        <v>2889</v>
      </c>
      <c r="C199" s="26" t="s">
        <v>2167</v>
      </c>
      <c r="D199" s="26" t="s">
        <v>2168</v>
      </c>
      <c r="E199" s="26" t="s">
        <v>2093</v>
      </c>
      <c r="F199" s="26" t="s">
        <v>2094</v>
      </c>
      <c r="G199" s="26" t="s">
        <v>2890</v>
      </c>
      <c r="H199" s="26" t="s">
        <v>2101</v>
      </c>
    </row>
    <row r="200" customFormat="false" ht="23.85" hidden="false" customHeight="false" outlineLevel="0" collapsed="false">
      <c r="A200" s="26" t="s">
        <v>2891</v>
      </c>
      <c r="B200" s="8" t="s">
        <v>2892</v>
      </c>
      <c r="C200" s="26" t="s">
        <v>2893</v>
      </c>
      <c r="D200" s="26" t="s">
        <v>2894</v>
      </c>
      <c r="E200" s="26" t="s">
        <v>2093</v>
      </c>
      <c r="F200" s="26" t="s">
        <v>2106</v>
      </c>
      <c r="G200" s="26" t="s">
        <v>2895</v>
      </c>
      <c r="H200" s="26" t="s">
        <v>2101</v>
      </c>
    </row>
    <row r="201" customFormat="false" ht="23.85" hidden="false" customHeight="false" outlineLevel="0" collapsed="false">
      <c r="A201" s="26" t="s">
        <v>2896</v>
      </c>
      <c r="B201" s="8" t="s">
        <v>2897</v>
      </c>
      <c r="C201" s="26" t="s">
        <v>2898</v>
      </c>
      <c r="D201" s="26" t="s">
        <v>2899</v>
      </c>
      <c r="E201" s="26" t="s">
        <v>2093</v>
      </c>
      <c r="F201" s="26" t="s">
        <v>2094</v>
      </c>
      <c r="G201" s="26" t="s">
        <v>2766</v>
      </c>
      <c r="H201" s="26" t="s">
        <v>2101</v>
      </c>
    </row>
    <row r="202" customFormat="false" ht="15" hidden="false" customHeight="false" outlineLevel="0" collapsed="false">
      <c r="A202" s="26" t="s">
        <v>2900</v>
      </c>
      <c r="B202" s="8" t="s">
        <v>2901</v>
      </c>
      <c r="C202" s="26" t="s">
        <v>2902</v>
      </c>
      <c r="D202" s="26" t="s">
        <v>2903</v>
      </c>
      <c r="E202" s="26" t="s">
        <v>2093</v>
      </c>
      <c r="F202" s="26" t="s">
        <v>2094</v>
      </c>
      <c r="G202" s="26" t="s">
        <v>2770</v>
      </c>
      <c r="H202" s="26" t="s">
        <v>2096</v>
      </c>
    </row>
    <row r="203" customFormat="false" ht="15" hidden="false" customHeight="false" outlineLevel="0" collapsed="false">
      <c r="A203" s="26" t="s">
        <v>2904</v>
      </c>
      <c r="B203" s="8" t="s">
        <v>2905</v>
      </c>
      <c r="C203" s="26" t="s">
        <v>2906</v>
      </c>
      <c r="D203" s="26" t="s">
        <v>2903</v>
      </c>
      <c r="E203" s="26" t="s">
        <v>2093</v>
      </c>
      <c r="F203" s="26" t="s">
        <v>2094</v>
      </c>
      <c r="G203" s="26" t="s">
        <v>2770</v>
      </c>
      <c r="H203" s="26" t="s">
        <v>2096</v>
      </c>
    </row>
    <row r="204" customFormat="false" ht="15" hidden="false" customHeight="false" outlineLevel="0" collapsed="false">
      <c r="A204" s="26" t="s">
        <v>2907</v>
      </c>
      <c r="B204" s="8" t="s">
        <v>2908</v>
      </c>
      <c r="C204" s="26" t="s">
        <v>2909</v>
      </c>
      <c r="D204" s="26" t="s">
        <v>2903</v>
      </c>
      <c r="E204" s="26" t="s">
        <v>2093</v>
      </c>
      <c r="F204" s="26" t="s">
        <v>2094</v>
      </c>
      <c r="G204" s="26" t="s">
        <v>2770</v>
      </c>
      <c r="H204" s="26" t="s">
        <v>2096</v>
      </c>
    </row>
    <row r="205" customFormat="false" ht="15" hidden="false" customHeight="false" outlineLevel="0" collapsed="false">
      <c r="A205" s="26" t="s">
        <v>2910</v>
      </c>
      <c r="B205" s="8" t="s">
        <v>2911</v>
      </c>
      <c r="C205" s="26" t="s">
        <v>2912</v>
      </c>
      <c r="D205" s="26" t="s">
        <v>2903</v>
      </c>
      <c r="E205" s="26" t="s">
        <v>2093</v>
      </c>
      <c r="F205" s="26" t="s">
        <v>2094</v>
      </c>
      <c r="G205" s="26" t="s">
        <v>2770</v>
      </c>
      <c r="H205" s="26" t="s">
        <v>2096</v>
      </c>
    </row>
    <row r="206" customFormat="false" ht="15" hidden="false" customHeight="false" outlineLevel="0" collapsed="false">
      <c r="A206" s="26" t="s">
        <v>2913</v>
      </c>
      <c r="B206" s="8" t="s">
        <v>2914</v>
      </c>
      <c r="C206" s="26" t="s">
        <v>2915</v>
      </c>
      <c r="D206" s="26" t="s">
        <v>2903</v>
      </c>
      <c r="E206" s="26" t="s">
        <v>2093</v>
      </c>
      <c r="F206" s="26" t="s">
        <v>2094</v>
      </c>
      <c r="G206" s="26" t="s">
        <v>2770</v>
      </c>
      <c r="H206" s="26" t="s">
        <v>2096</v>
      </c>
    </row>
    <row r="207" customFormat="false" ht="23.85" hidden="false" customHeight="false" outlineLevel="0" collapsed="false">
      <c r="A207" s="26" t="s">
        <v>2916</v>
      </c>
      <c r="B207" s="8" t="s">
        <v>2917</v>
      </c>
      <c r="C207" s="26" t="s">
        <v>2918</v>
      </c>
      <c r="D207" s="26" t="s">
        <v>2903</v>
      </c>
      <c r="E207" s="26" t="s">
        <v>2093</v>
      </c>
      <c r="F207" s="26" t="s">
        <v>2094</v>
      </c>
      <c r="G207" s="26" t="s">
        <v>2770</v>
      </c>
      <c r="H207" s="26" t="s">
        <v>2096</v>
      </c>
    </row>
    <row r="208" customFormat="false" ht="23.85" hidden="false" customHeight="false" outlineLevel="0" collapsed="false">
      <c r="A208" s="26" t="s">
        <v>2919</v>
      </c>
      <c r="B208" s="8" t="s">
        <v>2920</v>
      </c>
      <c r="C208" s="26" t="s">
        <v>2921</v>
      </c>
      <c r="D208" s="26" t="s">
        <v>2922</v>
      </c>
      <c r="E208" s="26" t="s">
        <v>2093</v>
      </c>
      <c r="F208" s="26" t="s">
        <v>2106</v>
      </c>
      <c r="G208" s="26" t="s">
        <v>2770</v>
      </c>
      <c r="H208" s="26" t="s">
        <v>2131</v>
      </c>
    </row>
    <row r="209" customFormat="false" ht="23.85" hidden="false" customHeight="false" outlineLevel="0" collapsed="false">
      <c r="A209" s="26" t="s">
        <v>2923</v>
      </c>
      <c r="B209" s="8" t="s">
        <v>2924</v>
      </c>
      <c r="C209" s="26" t="s">
        <v>2925</v>
      </c>
      <c r="D209" s="26" t="s">
        <v>2926</v>
      </c>
      <c r="E209" s="26" t="s">
        <v>2093</v>
      </c>
      <c r="F209" s="26" t="s">
        <v>2094</v>
      </c>
      <c r="G209" s="26" t="s">
        <v>2762</v>
      </c>
      <c r="H209" s="26" t="s">
        <v>2101</v>
      </c>
    </row>
    <row r="210" customFormat="false" ht="23.85" hidden="false" customHeight="false" outlineLevel="0" collapsed="false">
      <c r="A210" s="26" t="s">
        <v>2927</v>
      </c>
      <c r="B210" s="8" t="s">
        <v>2928</v>
      </c>
      <c r="C210" s="26" t="s">
        <v>2929</v>
      </c>
      <c r="D210" s="26" t="s">
        <v>2758</v>
      </c>
      <c r="E210" s="26" t="s">
        <v>2093</v>
      </c>
      <c r="F210" s="26" t="s">
        <v>2094</v>
      </c>
      <c r="G210" s="26" t="s">
        <v>2762</v>
      </c>
      <c r="H210" s="26" t="s">
        <v>2096</v>
      </c>
    </row>
    <row r="211" customFormat="false" ht="23.85" hidden="false" customHeight="false" outlineLevel="0" collapsed="false">
      <c r="A211" s="26" t="s">
        <v>2930</v>
      </c>
      <c r="B211" s="8" t="s">
        <v>2931</v>
      </c>
      <c r="C211" s="26" t="s">
        <v>2932</v>
      </c>
      <c r="D211" s="26" t="s">
        <v>2326</v>
      </c>
      <c r="E211" s="26" t="s">
        <v>2093</v>
      </c>
      <c r="F211" s="26" t="s">
        <v>2106</v>
      </c>
      <c r="G211" s="26" t="s">
        <v>2762</v>
      </c>
      <c r="H211" s="26" t="s">
        <v>2101</v>
      </c>
    </row>
    <row r="212" customFormat="false" ht="23.85" hidden="false" customHeight="false" outlineLevel="0" collapsed="false">
      <c r="A212" s="26" t="s">
        <v>2933</v>
      </c>
      <c r="B212" s="8" t="s">
        <v>2934</v>
      </c>
      <c r="C212" s="26" t="s">
        <v>2935</v>
      </c>
      <c r="D212" s="26" t="s">
        <v>2936</v>
      </c>
      <c r="E212" s="26" t="s">
        <v>2093</v>
      </c>
      <c r="F212" s="26" t="s">
        <v>2094</v>
      </c>
      <c r="G212" s="26" t="s">
        <v>2750</v>
      </c>
      <c r="H212" s="26" t="s">
        <v>2101</v>
      </c>
    </row>
    <row r="213" customFormat="false" ht="23.85" hidden="false" customHeight="false" outlineLevel="0" collapsed="false">
      <c r="A213" s="26" t="s">
        <v>2937</v>
      </c>
      <c r="B213" s="8" t="s">
        <v>2938</v>
      </c>
      <c r="C213" s="26" t="s">
        <v>2939</v>
      </c>
      <c r="D213" s="26" t="s">
        <v>2244</v>
      </c>
      <c r="E213" s="26" t="s">
        <v>2093</v>
      </c>
      <c r="F213" s="26" t="s">
        <v>2106</v>
      </c>
      <c r="G213" s="26" t="s">
        <v>2750</v>
      </c>
      <c r="H213" s="26" t="s">
        <v>2096</v>
      </c>
    </row>
    <row r="214" customFormat="false" ht="23.85" hidden="false" customHeight="false" outlineLevel="0" collapsed="false">
      <c r="A214" s="26" t="s">
        <v>2940</v>
      </c>
      <c r="B214" s="8" t="s">
        <v>2941</v>
      </c>
      <c r="C214" s="26" t="s">
        <v>2942</v>
      </c>
      <c r="D214" s="26" t="s">
        <v>2943</v>
      </c>
      <c r="E214" s="26" t="s">
        <v>2093</v>
      </c>
      <c r="F214" s="26" t="s">
        <v>2106</v>
      </c>
      <c r="G214" s="26" t="s">
        <v>2750</v>
      </c>
      <c r="H214" s="26" t="s">
        <v>2101</v>
      </c>
    </row>
    <row r="215" customFormat="false" ht="15" hidden="false" customHeight="false" outlineLevel="0" collapsed="false">
      <c r="A215" s="26" t="s">
        <v>2944</v>
      </c>
      <c r="B215" s="8" t="s">
        <v>2945</v>
      </c>
      <c r="C215" s="26" t="s">
        <v>2946</v>
      </c>
      <c r="D215" s="26" t="s">
        <v>2804</v>
      </c>
      <c r="E215" s="26" t="s">
        <v>2093</v>
      </c>
      <c r="F215" s="26" t="s">
        <v>2094</v>
      </c>
      <c r="G215" s="26" t="s">
        <v>2754</v>
      </c>
      <c r="H215" s="26" t="s">
        <v>2131</v>
      </c>
    </row>
    <row r="216" customFormat="false" ht="15" hidden="false" customHeight="false" outlineLevel="0" collapsed="false">
      <c r="A216" s="26" t="s">
        <v>2947</v>
      </c>
      <c r="B216" s="8" t="s">
        <v>2948</v>
      </c>
      <c r="C216" s="26" t="s">
        <v>2949</v>
      </c>
      <c r="D216" s="26" t="s">
        <v>2693</v>
      </c>
      <c r="E216" s="26" t="s">
        <v>2093</v>
      </c>
      <c r="F216" s="26" t="s">
        <v>2094</v>
      </c>
      <c r="G216" s="26" t="s">
        <v>2950</v>
      </c>
      <c r="H216" s="26" t="s">
        <v>2096</v>
      </c>
    </row>
    <row r="217" customFormat="false" ht="15" hidden="false" customHeight="false" outlineLevel="0" collapsed="false">
      <c r="A217" s="26" t="s">
        <v>2951</v>
      </c>
      <c r="B217" s="8" t="s">
        <v>2952</v>
      </c>
      <c r="C217" s="26" t="s">
        <v>2953</v>
      </c>
      <c r="D217" s="26" t="s">
        <v>2693</v>
      </c>
      <c r="E217" s="26" t="s">
        <v>2093</v>
      </c>
      <c r="F217" s="26" t="s">
        <v>2094</v>
      </c>
      <c r="G217" s="26" t="s">
        <v>2950</v>
      </c>
      <c r="H217" s="26" t="s">
        <v>2096</v>
      </c>
    </row>
    <row r="218" customFormat="false" ht="15" hidden="false" customHeight="false" outlineLevel="0" collapsed="false">
      <c r="A218" s="26" t="s">
        <v>2954</v>
      </c>
      <c r="B218" s="8" t="s">
        <v>2955</v>
      </c>
      <c r="C218" s="26" t="s">
        <v>2956</v>
      </c>
      <c r="D218" s="26" t="s">
        <v>2693</v>
      </c>
      <c r="E218" s="26" t="s">
        <v>2093</v>
      </c>
      <c r="F218" s="26" t="s">
        <v>2094</v>
      </c>
      <c r="G218" s="26" t="s">
        <v>2950</v>
      </c>
      <c r="H218" s="26" t="s">
        <v>2096</v>
      </c>
    </row>
    <row r="219" customFormat="false" ht="15" hidden="false" customHeight="false" outlineLevel="0" collapsed="false">
      <c r="A219" s="26" t="s">
        <v>2957</v>
      </c>
      <c r="B219" s="8" t="s">
        <v>2958</v>
      </c>
      <c r="C219" s="26" t="s">
        <v>2959</v>
      </c>
      <c r="D219" s="26" t="s">
        <v>2693</v>
      </c>
      <c r="E219" s="26" t="s">
        <v>2093</v>
      </c>
      <c r="F219" s="26" t="s">
        <v>2094</v>
      </c>
      <c r="G219" s="26" t="s">
        <v>2950</v>
      </c>
      <c r="H219" s="26" t="s">
        <v>2096</v>
      </c>
    </row>
    <row r="220" customFormat="false" ht="15" hidden="false" customHeight="false" outlineLevel="0" collapsed="false">
      <c r="A220" s="26" t="s">
        <v>2960</v>
      </c>
      <c r="B220" s="8" t="s">
        <v>2961</v>
      </c>
      <c r="C220" s="26" t="s">
        <v>2962</v>
      </c>
      <c r="D220" s="26" t="s">
        <v>2693</v>
      </c>
      <c r="E220" s="26" t="s">
        <v>2093</v>
      </c>
      <c r="F220" s="26" t="s">
        <v>2094</v>
      </c>
      <c r="G220" s="26" t="s">
        <v>2950</v>
      </c>
      <c r="H220" s="26" t="s">
        <v>2096</v>
      </c>
    </row>
    <row r="221" customFormat="false" ht="23.85" hidden="false" customHeight="false" outlineLevel="0" collapsed="false">
      <c r="A221" s="26" t="s">
        <v>2963</v>
      </c>
      <c r="B221" s="8" t="s">
        <v>2964</v>
      </c>
      <c r="C221" s="26" t="s">
        <v>2965</v>
      </c>
      <c r="D221" s="26" t="s">
        <v>2758</v>
      </c>
      <c r="E221" s="26" t="s">
        <v>2093</v>
      </c>
      <c r="F221" s="26" t="s">
        <v>2094</v>
      </c>
      <c r="G221" s="26" t="s">
        <v>2966</v>
      </c>
      <c r="H221" s="26" t="s">
        <v>2096</v>
      </c>
    </row>
    <row r="222" customFormat="false" ht="15" hidden="false" customHeight="false" outlineLevel="0" collapsed="false">
      <c r="A222" s="26" t="s">
        <v>2967</v>
      </c>
      <c r="B222" s="8" t="s">
        <v>2968</v>
      </c>
      <c r="C222" s="26" t="s">
        <v>2969</v>
      </c>
      <c r="D222" s="26" t="s">
        <v>2758</v>
      </c>
      <c r="E222" s="26" t="s">
        <v>2093</v>
      </c>
      <c r="F222" s="26" t="s">
        <v>2094</v>
      </c>
      <c r="G222" s="26" t="s">
        <v>2966</v>
      </c>
      <c r="H222" s="26" t="s">
        <v>2096</v>
      </c>
    </row>
    <row r="223" customFormat="false" ht="15" hidden="false" customHeight="false" outlineLevel="0" collapsed="false">
      <c r="A223" s="26" t="s">
        <v>2970</v>
      </c>
      <c r="B223" s="8" t="s">
        <v>2971</v>
      </c>
      <c r="C223" s="26" t="s">
        <v>2972</v>
      </c>
      <c r="D223" s="26" t="s">
        <v>2758</v>
      </c>
      <c r="E223" s="26" t="s">
        <v>2093</v>
      </c>
      <c r="F223" s="26" t="s">
        <v>2094</v>
      </c>
      <c r="G223" s="26" t="s">
        <v>2966</v>
      </c>
      <c r="H223" s="26" t="s">
        <v>2096</v>
      </c>
    </row>
    <row r="224" customFormat="false" ht="15" hidden="false" customHeight="false" outlineLevel="0" collapsed="false">
      <c r="A224" s="26" t="s">
        <v>2973</v>
      </c>
      <c r="B224" s="8" t="s">
        <v>2974</v>
      </c>
      <c r="C224" s="26" t="s">
        <v>2975</v>
      </c>
      <c r="D224" s="26" t="s">
        <v>2804</v>
      </c>
      <c r="E224" s="26" t="s">
        <v>2093</v>
      </c>
      <c r="F224" s="26" t="s">
        <v>2094</v>
      </c>
      <c r="G224" s="26" t="s">
        <v>2792</v>
      </c>
      <c r="H224" s="26" t="s">
        <v>2101</v>
      </c>
    </row>
    <row r="225" customFormat="false" ht="15" hidden="false" customHeight="false" outlineLevel="0" collapsed="false">
      <c r="A225" s="26" t="s">
        <v>2976</v>
      </c>
      <c r="B225" s="8" t="s">
        <v>2977</v>
      </c>
      <c r="C225" s="26" t="s">
        <v>2978</v>
      </c>
      <c r="D225" s="26" t="s">
        <v>2804</v>
      </c>
      <c r="E225" s="26" t="s">
        <v>2093</v>
      </c>
      <c r="F225" s="26" t="s">
        <v>2094</v>
      </c>
      <c r="G225" s="26" t="s">
        <v>2796</v>
      </c>
      <c r="H225" s="26" t="s">
        <v>2101</v>
      </c>
    </row>
    <row r="226" customFormat="false" ht="15" hidden="false" customHeight="false" outlineLevel="0" collapsed="false">
      <c r="A226" s="26" t="s">
        <v>2979</v>
      </c>
      <c r="B226" s="8" t="s">
        <v>2980</v>
      </c>
      <c r="C226" s="26" t="s">
        <v>2981</v>
      </c>
      <c r="D226" s="26" t="s">
        <v>2804</v>
      </c>
      <c r="E226" s="26" t="s">
        <v>2093</v>
      </c>
      <c r="F226" s="26" t="s">
        <v>2094</v>
      </c>
      <c r="G226" s="26" t="s">
        <v>2742</v>
      </c>
      <c r="H226" s="26" t="s">
        <v>2101</v>
      </c>
    </row>
    <row r="227" customFormat="false" ht="15" hidden="false" customHeight="false" outlineLevel="0" collapsed="false">
      <c r="A227" s="26" t="s">
        <v>2982</v>
      </c>
      <c r="B227" s="8" t="s">
        <v>2983</v>
      </c>
      <c r="C227" s="26" t="s">
        <v>2984</v>
      </c>
      <c r="D227" s="26" t="s">
        <v>2804</v>
      </c>
      <c r="E227" s="26" t="s">
        <v>2093</v>
      </c>
      <c r="F227" s="26" t="s">
        <v>2094</v>
      </c>
      <c r="G227" s="26" t="s">
        <v>2717</v>
      </c>
      <c r="H227" s="26" t="s">
        <v>2101</v>
      </c>
    </row>
    <row r="228" customFormat="false" ht="15" hidden="false" customHeight="false" outlineLevel="0" collapsed="false">
      <c r="A228" s="26" t="s">
        <v>2985</v>
      </c>
      <c r="B228" s="8" t="s">
        <v>2986</v>
      </c>
      <c r="C228" s="26" t="s">
        <v>2987</v>
      </c>
      <c r="D228" s="26" t="s">
        <v>2777</v>
      </c>
      <c r="E228" s="26" t="s">
        <v>2093</v>
      </c>
      <c r="F228" s="26" t="s">
        <v>2094</v>
      </c>
      <c r="G228" s="26" t="s">
        <v>2717</v>
      </c>
      <c r="H228" s="26" t="s">
        <v>2101</v>
      </c>
    </row>
    <row r="229" customFormat="false" ht="15" hidden="false" customHeight="false" outlineLevel="0" collapsed="false">
      <c r="A229" s="26" t="s">
        <v>2988</v>
      </c>
      <c r="B229" s="8" t="s">
        <v>2989</v>
      </c>
      <c r="C229" s="26" t="s">
        <v>2990</v>
      </c>
      <c r="D229" s="26" t="s">
        <v>2804</v>
      </c>
      <c r="E229" s="26" t="s">
        <v>2093</v>
      </c>
      <c r="F229" s="26" t="s">
        <v>2094</v>
      </c>
      <c r="G229" s="26" t="s">
        <v>2738</v>
      </c>
      <c r="H229" s="26" t="s">
        <v>2101</v>
      </c>
    </row>
    <row r="230" customFormat="false" ht="15" hidden="false" customHeight="false" outlineLevel="0" collapsed="false">
      <c r="A230" s="26" t="s">
        <v>2991</v>
      </c>
      <c r="B230" s="8" t="s">
        <v>2992</v>
      </c>
      <c r="C230" s="26" t="s">
        <v>2993</v>
      </c>
      <c r="D230" s="26" t="s">
        <v>2804</v>
      </c>
      <c r="E230" s="26" t="s">
        <v>2093</v>
      </c>
      <c r="F230" s="26" t="s">
        <v>2094</v>
      </c>
      <c r="G230" s="26" t="s">
        <v>2713</v>
      </c>
      <c r="H230" s="26" t="s">
        <v>2101</v>
      </c>
    </row>
    <row r="231" customFormat="false" ht="23.85" hidden="false" customHeight="false" outlineLevel="0" collapsed="false">
      <c r="A231" s="26" t="s">
        <v>2994</v>
      </c>
      <c r="B231" s="8" t="s">
        <v>2995</v>
      </c>
      <c r="C231" s="26" t="s">
        <v>2996</v>
      </c>
      <c r="D231" s="26" t="s">
        <v>2804</v>
      </c>
      <c r="E231" s="26" t="s">
        <v>2093</v>
      </c>
      <c r="F231" s="26" t="s">
        <v>2094</v>
      </c>
      <c r="G231" s="26" t="s">
        <v>2702</v>
      </c>
      <c r="H231" s="26" t="s">
        <v>2101</v>
      </c>
    </row>
    <row r="232" customFormat="false" ht="15" hidden="false" customHeight="false" outlineLevel="0" collapsed="false">
      <c r="A232" s="26" t="s">
        <v>2997</v>
      </c>
      <c r="B232" s="8" t="s">
        <v>2998</v>
      </c>
      <c r="C232" s="26" t="s">
        <v>2999</v>
      </c>
      <c r="D232" s="26" t="s">
        <v>2804</v>
      </c>
      <c r="E232" s="26" t="s">
        <v>2093</v>
      </c>
      <c r="F232" s="26" t="s">
        <v>2094</v>
      </c>
      <c r="G232" s="26" t="s">
        <v>2706</v>
      </c>
      <c r="H232" s="26" t="s">
        <v>2101</v>
      </c>
    </row>
    <row r="233" customFormat="false" ht="35.05" hidden="false" customHeight="false" outlineLevel="0" collapsed="false">
      <c r="A233" s="26" t="s">
        <v>3000</v>
      </c>
      <c r="B233" s="8" t="s">
        <v>3001</v>
      </c>
      <c r="C233" s="26" t="s">
        <v>3002</v>
      </c>
      <c r="D233" s="26" t="s">
        <v>3003</v>
      </c>
      <c r="E233" s="26" t="s">
        <v>2093</v>
      </c>
      <c r="F233" s="26" t="s">
        <v>2106</v>
      </c>
      <c r="G233" s="26" t="s">
        <v>2698</v>
      </c>
      <c r="H233" s="26" t="s">
        <v>2131</v>
      </c>
    </row>
    <row r="234" customFormat="false" ht="23.85" hidden="false" customHeight="false" outlineLevel="0" collapsed="false">
      <c r="A234" s="26" t="s">
        <v>3004</v>
      </c>
      <c r="B234" s="8" t="s">
        <v>3005</v>
      </c>
      <c r="C234" s="26" t="s">
        <v>3006</v>
      </c>
      <c r="D234" s="26" t="s">
        <v>3007</v>
      </c>
      <c r="E234" s="26" t="s">
        <v>2093</v>
      </c>
      <c r="F234" s="26" t="s">
        <v>2094</v>
      </c>
      <c r="G234" s="26" t="s">
        <v>2694</v>
      </c>
      <c r="H234" s="26" t="s">
        <v>2096</v>
      </c>
    </row>
    <row r="235" customFormat="false" ht="15" hidden="false" customHeight="false" outlineLevel="0" collapsed="false">
      <c r="A235" s="26" t="s">
        <v>3008</v>
      </c>
      <c r="B235" s="8" t="s">
        <v>3009</v>
      </c>
      <c r="C235" s="26" t="s">
        <v>3010</v>
      </c>
      <c r="D235" s="26" t="s">
        <v>3011</v>
      </c>
      <c r="E235" s="26" t="s">
        <v>2093</v>
      </c>
      <c r="F235" s="26" t="s">
        <v>2094</v>
      </c>
      <c r="G235" s="26" t="s">
        <v>2717</v>
      </c>
      <c r="H235" s="26" t="s">
        <v>2101</v>
      </c>
    </row>
    <row r="236" customFormat="false" ht="35.05" hidden="false" customHeight="false" outlineLevel="0" collapsed="false">
      <c r="A236" s="26" t="s">
        <v>3012</v>
      </c>
      <c r="B236" s="8" t="s">
        <v>3013</v>
      </c>
      <c r="C236" s="26" t="s">
        <v>3014</v>
      </c>
      <c r="D236" s="26" t="s">
        <v>3015</v>
      </c>
      <c r="E236" s="26" t="s">
        <v>2093</v>
      </c>
      <c r="F236" s="26" t="s">
        <v>2106</v>
      </c>
      <c r="G236" s="26" t="s">
        <v>2717</v>
      </c>
      <c r="H236" s="26" t="s">
        <v>2131</v>
      </c>
    </row>
    <row r="237" customFormat="false" ht="23.85" hidden="false" customHeight="false" outlineLevel="0" collapsed="false">
      <c r="A237" s="26" t="s">
        <v>3016</v>
      </c>
      <c r="B237" s="8" t="s">
        <v>3017</v>
      </c>
      <c r="C237" s="26" t="s">
        <v>3018</v>
      </c>
      <c r="D237" s="26" t="s">
        <v>3019</v>
      </c>
      <c r="E237" s="26" t="s">
        <v>2093</v>
      </c>
      <c r="F237" s="26" t="s">
        <v>2094</v>
      </c>
      <c r="G237" s="26" t="s">
        <v>3020</v>
      </c>
      <c r="H237" s="26" t="s">
        <v>2101</v>
      </c>
    </row>
    <row r="238" customFormat="false" ht="23.85" hidden="false" customHeight="false" outlineLevel="0" collapsed="false">
      <c r="A238" s="26" t="s">
        <v>3021</v>
      </c>
      <c r="B238" s="8" t="s">
        <v>3022</v>
      </c>
      <c r="C238" s="26" t="s">
        <v>3023</v>
      </c>
      <c r="D238" s="26" t="s">
        <v>3024</v>
      </c>
      <c r="E238" s="26" t="s">
        <v>2093</v>
      </c>
      <c r="F238" s="26" t="s">
        <v>2106</v>
      </c>
      <c r="G238" s="26" t="s">
        <v>3020</v>
      </c>
      <c r="H238" s="26" t="s">
        <v>2131</v>
      </c>
    </row>
    <row r="239" customFormat="false" ht="15" hidden="false" customHeight="false" outlineLevel="0" collapsed="false">
      <c r="A239" s="26" t="s">
        <v>3025</v>
      </c>
      <c r="B239" s="8" t="s">
        <v>3026</v>
      </c>
      <c r="C239" s="26" t="s">
        <v>3027</v>
      </c>
      <c r="D239" s="26" t="s">
        <v>2693</v>
      </c>
      <c r="E239" s="26" t="s">
        <v>2093</v>
      </c>
      <c r="F239" s="26" t="s">
        <v>2094</v>
      </c>
      <c r="G239" s="26" t="s">
        <v>3028</v>
      </c>
      <c r="H239" s="26" t="s">
        <v>2096</v>
      </c>
    </row>
    <row r="240" customFormat="false" ht="15" hidden="false" customHeight="false" outlineLevel="0" collapsed="false">
      <c r="A240" s="26" t="s">
        <v>3029</v>
      </c>
      <c r="B240" s="8" t="s">
        <v>3030</v>
      </c>
      <c r="C240" s="26" t="s">
        <v>3031</v>
      </c>
      <c r="D240" s="26" t="s">
        <v>2693</v>
      </c>
      <c r="E240" s="26" t="s">
        <v>2093</v>
      </c>
      <c r="F240" s="26" t="s">
        <v>2094</v>
      </c>
      <c r="G240" s="26" t="s">
        <v>3028</v>
      </c>
      <c r="H240" s="26" t="s">
        <v>2096</v>
      </c>
    </row>
    <row r="241" customFormat="false" ht="23.85" hidden="false" customHeight="false" outlineLevel="0" collapsed="false">
      <c r="A241" s="26" t="s">
        <v>3032</v>
      </c>
      <c r="B241" s="8" t="s">
        <v>3033</v>
      </c>
      <c r="C241" s="26" t="s">
        <v>3034</v>
      </c>
      <c r="D241" s="26" t="s">
        <v>3035</v>
      </c>
      <c r="E241" s="26" t="s">
        <v>2093</v>
      </c>
      <c r="F241" s="26" t="s">
        <v>2094</v>
      </c>
      <c r="G241" s="26" t="s">
        <v>3036</v>
      </c>
      <c r="H241" s="26" t="s">
        <v>2101</v>
      </c>
    </row>
    <row r="242" customFormat="false" ht="23.85" hidden="false" customHeight="false" outlineLevel="0" collapsed="false">
      <c r="A242" s="26" t="s">
        <v>3037</v>
      </c>
      <c r="B242" s="8" t="s">
        <v>3038</v>
      </c>
      <c r="C242" s="26" t="s">
        <v>3039</v>
      </c>
      <c r="D242" s="26" t="s">
        <v>3040</v>
      </c>
      <c r="E242" s="26" t="s">
        <v>2093</v>
      </c>
      <c r="F242" s="26" t="s">
        <v>2106</v>
      </c>
      <c r="G242" s="26" t="s">
        <v>3036</v>
      </c>
      <c r="H242" s="26" t="s">
        <v>2101</v>
      </c>
    </row>
    <row r="243" customFormat="false" ht="23.85" hidden="false" customHeight="false" outlineLevel="0" collapsed="false">
      <c r="A243" s="26" t="s">
        <v>3041</v>
      </c>
      <c r="B243" s="8" t="s">
        <v>3042</v>
      </c>
      <c r="C243" s="26" t="s">
        <v>3043</v>
      </c>
      <c r="D243" s="26" t="s">
        <v>3044</v>
      </c>
      <c r="E243" s="26" t="s">
        <v>2093</v>
      </c>
      <c r="F243" s="26" t="s">
        <v>2094</v>
      </c>
      <c r="G243" s="26" t="s">
        <v>3045</v>
      </c>
      <c r="H243" s="26" t="s">
        <v>2096</v>
      </c>
    </row>
    <row r="244" customFormat="false" ht="23.85" hidden="false" customHeight="false" outlineLevel="0" collapsed="false">
      <c r="A244" s="26" t="s">
        <v>3046</v>
      </c>
      <c r="B244" s="8" t="s">
        <v>3047</v>
      </c>
      <c r="C244" s="26" t="s">
        <v>3048</v>
      </c>
      <c r="D244" s="26" t="s">
        <v>3049</v>
      </c>
      <c r="E244" s="26" t="s">
        <v>2093</v>
      </c>
      <c r="F244" s="26" t="s">
        <v>2094</v>
      </c>
      <c r="G244" s="26" t="s">
        <v>3045</v>
      </c>
      <c r="H244" s="26" t="s">
        <v>2096</v>
      </c>
    </row>
    <row r="245" customFormat="false" ht="23.85" hidden="false" customHeight="false" outlineLevel="0" collapsed="false">
      <c r="A245" s="26" t="s">
        <v>3050</v>
      </c>
      <c r="B245" s="8" t="s">
        <v>3051</v>
      </c>
      <c r="C245" s="26" t="s">
        <v>3052</v>
      </c>
      <c r="D245" s="26" t="s">
        <v>3053</v>
      </c>
      <c r="E245" s="26" t="s">
        <v>2093</v>
      </c>
      <c r="F245" s="26" t="s">
        <v>2094</v>
      </c>
      <c r="G245" s="26" t="s">
        <v>3054</v>
      </c>
      <c r="H245" s="26" t="s">
        <v>2096</v>
      </c>
    </row>
    <row r="246" customFormat="false" ht="23.85" hidden="false" customHeight="false" outlineLevel="0" collapsed="false">
      <c r="A246" s="26" t="s">
        <v>3055</v>
      </c>
      <c r="B246" s="8" t="s">
        <v>3056</v>
      </c>
      <c r="C246" s="26" t="s">
        <v>3057</v>
      </c>
      <c r="D246" s="26" t="s">
        <v>3049</v>
      </c>
      <c r="E246" s="26" t="s">
        <v>2093</v>
      </c>
      <c r="F246" s="26" t="s">
        <v>2094</v>
      </c>
      <c r="G246" s="26" t="s">
        <v>3054</v>
      </c>
      <c r="H246" s="26" t="s">
        <v>2096</v>
      </c>
    </row>
    <row r="247" customFormat="false" ht="23.85" hidden="false" customHeight="false" outlineLevel="0" collapsed="false">
      <c r="A247" s="26" t="s">
        <v>3058</v>
      </c>
      <c r="B247" s="8" t="s">
        <v>3059</v>
      </c>
      <c r="C247" s="26" t="s">
        <v>3060</v>
      </c>
      <c r="D247" s="26" t="s">
        <v>3053</v>
      </c>
      <c r="E247" s="26" t="s">
        <v>2093</v>
      </c>
      <c r="F247" s="26" t="s">
        <v>2094</v>
      </c>
      <c r="G247" s="26" t="s">
        <v>3061</v>
      </c>
      <c r="H247" s="26" t="s">
        <v>2096</v>
      </c>
    </row>
    <row r="248" customFormat="false" ht="15" hidden="false" customHeight="false" outlineLevel="0" collapsed="false">
      <c r="A248" s="26" t="s">
        <v>3062</v>
      </c>
      <c r="B248" s="8" t="s">
        <v>3063</v>
      </c>
      <c r="C248" s="26" t="s">
        <v>3064</v>
      </c>
      <c r="D248" s="26" t="s">
        <v>3049</v>
      </c>
      <c r="E248" s="26" t="s">
        <v>2093</v>
      </c>
      <c r="F248" s="26" t="s">
        <v>2094</v>
      </c>
      <c r="G248" s="26" t="s">
        <v>3061</v>
      </c>
      <c r="H248" s="26" t="s">
        <v>2096</v>
      </c>
    </row>
    <row r="249" customFormat="false" ht="23.85" hidden="false" customHeight="false" outlineLevel="0" collapsed="false">
      <c r="A249" s="26" t="s">
        <v>3065</v>
      </c>
      <c r="B249" s="8" t="s">
        <v>3066</v>
      </c>
      <c r="C249" s="26" t="s">
        <v>3067</v>
      </c>
      <c r="D249" s="26" t="s">
        <v>3053</v>
      </c>
      <c r="E249" s="26" t="s">
        <v>2093</v>
      </c>
      <c r="F249" s="26" t="s">
        <v>2094</v>
      </c>
      <c r="G249" s="26" t="s">
        <v>3068</v>
      </c>
      <c r="H249" s="26" t="s">
        <v>2096</v>
      </c>
    </row>
    <row r="250" customFormat="false" ht="23.85" hidden="false" customHeight="false" outlineLevel="0" collapsed="false">
      <c r="A250" s="26" t="s">
        <v>3069</v>
      </c>
      <c r="B250" s="8" t="s">
        <v>3070</v>
      </c>
      <c r="C250" s="26" t="s">
        <v>3071</v>
      </c>
      <c r="D250" s="26" t="s">
        <v>3044</v>
      </c>
      <c r="E250" s="26" t="s">
        <v>2093</v>
      </c>
      <c r="F250" s="26" t="s">
        <v>2094</v>
      </c>
      <c r="G250" s="26" t="s">
        <v>3068</v>
      </c>
      <c r="H250" s="26" t="s">
        <v>2096</v>
      </c>
    </row>
    <row r="251" customFormat="false" ht="35.05" hidden="false" customHeight="false" outlineLevel="0" collapsed="false">
      <c r="A251" s="26" t="s">
        <v>3072</v>
      </c>
      <c r="B251" s="8" t="s">
        <v>3073</v>
      </c>
      <c r="C251" s="26" t="s">
        <v>3074</v>
      </c>
      <c r="D251" s="26" t="s">
        <v>3049</v>
      </c>
      <c r="E251" s="26" t="s">
        <v>2093</v>
      </c>
      <c r="F251" s="26" t="s">
        <v>2094</v>
      </c>
      <c r="G251" s="26" t="s">
        <v>3075</v>
      </c>
      <c r="H251" s="26" t="s">
        <v>2096</v>
      </c>
    </row>
    <row r="252" customFormat="false" ht="23.85" hidden="false" customHeight="false" outlineLevel="0" collapsed="false">
      <c r="A252" s="26" t="s">
        <v>3076</v>
      </c>
      <c r="B252" s="8" t="s">
        <v>3077</v>
      </c>
      <c r="C252" s="26" t="s">
        <v>3078</v>
      </c>
      <c r="D252" s="26" t="s">
        <v>3079</v>
      </c>
      <c r="E252" s="26" t="s">
        <v>2093</v>
      </c>
      <c r="F252" s="26" t="s">
        <v>2094</v>
      </c>
      <c r="G252" s="26" t="s">
        <v>3080</v>
      </c>
      <c r="H252" s="26" t="s">
        <v>2096</v>
      </c>
    </row>
    <row r="253" customFormat="false" ht="23.85" hidden="false" customHeight="false" outlineLevel="0" collapsed="false">
      <c r="A253" s="26" t="s">
        <v>3081</v>
      </c>
      <c r="B253" s="8" t="s">
        <v>3082</v>
      </c>
      <c r="C253" s="26" t="s">
        <v>3083</v>
      </c>
      <c r="D253" s="26" t="s">
        <v>3044</v>
      </c>
      <c r="E253" s="26" t="s">
        <v>2093</v>
      </c>
      <c r="F253" s="26" t="s">
        <v>2094</v>
      </c>
      <c r="G253" s="26" t="s">
        <v>3084</v>
      </c>
      <c r="H253" s="26" t="s">
        <v>2096</v>
      </c>
    </row>
    <row r="254" customFormat="false" ht="23.85" hidden="false" customHeight="false" outlineLevel="0" collapsed="false">
      <c r="A254" s="26" t="s">
        <v>3085</v>
      </c>
      <c r="B254" s="8" t="s">
        <v>3086</v>
      </c>
      <c r="C254" s="26" t="s">
        <v>3087</v>
      </c>
      <c r="D254" s="26" t="s">
        <v>3044</v>
      </c>
      <c r="E254" s="26" t="s">
        <v>2093</v>
      </c>
      <c r="F254" s="26" t="s">
        <v>2094</v>
      </c>
      <c r="G254" s="26" t="s">
        <v>3088</v>
      </c>
      <c r="H254" s="26" t="s">
        <v>2096</v>
      </c>
    </row>
    <row r="255" customFormat="false" ht="23.85" hidden="false" customHeight="false" outlineLevel="0" collapsed="false">
      <c r="A255" s="26" t="s">
        <v>3089</v>
      </c>
      <c r="B255" s="8" t="s">
        <v>3090</v>
      </c>
      <c r="C255" s="26" t="s">
        <v>3091</v>
      </c>
      <c r="D255" s="26" t="s">
        <v>3079</v>
      </c>
      <c r="E255" s="26" t="s">
        <v>2093</v>
      </c>
      <c r="F255" s="26" t="s">
        <v>2094</v>
      </c>
      <c r="G255" s="26" t="s">
        <v>3092</v>
      </c>
      <c r="H255" s="26" t="s">
        <v>2096</v>
      </c>
    </row>
    <row r="256" customFormat="false" ht="23.85" hidden="false" customHeight="false" outlineLevel="0" collapsed="false">
      <c r="A256" s="26" t="s">
        <v>3093</v>
      </c>
      <c r="B256" s="8" t="s">
        <v>3094</v>
      </c>
      <c r="C256" s="26" t="s">
        <v>3095</v>
      </c>
      <c r="D256" s="26" t="s">
        <v>3044</v>
      </c>
      <c r="E256" s="26" t="s">
        <v>2093</v>
      </c>
      <c r="F256" s="26" t="s">
        <v>2094</v>
      </c>
      <c r="G256" s="26" t="s">
        <v>3096</v>
      </c>
      <c r="H256" s="26" t="s">
        <v>2096</v>
      </c>
    </row>
    <row r="257" customFormat="false" ht="23.85" hidden="false" customHeight="false" outlineLevel="0" collapsed="false">
      <c r="A257" s="26" t="s">
        <v>3097</v>
      </c>
      <c r="B257" s="8" t="s">
        <v>3098</v>
      </c>
      <c r="C257" s="26" t="s">
        <v>3099</v>
      </c>
      <c r="D257" s="26" t="s">
        <v>3100</v>
      </c>
      <c r="E257" s="26" t="s">
        <v>2093</v>
      </c>
      <c r="F257" s="26" t="s">
        <v>2094</v>
      </c>
      <c r="G257" s="26" t="s">
        <v>3101</v>
      </c>
      <c r="H257" s="26" t="s">
        <v>2101</v>
      </c>
    </row>
    <row r="258" customFormat="false" ht="23.85" hidden="false" customHeight="false" outlineLevel="0" collapsed="false">
      <c r="A258" s="26" t="s">
        <v>3102</v>
      </c>
      <c r="B258" s="8" t="s">
        <v>3103</v>
      </c>
      <c r="C258" s="26" t="s">
        <v>2139</v>
      </c>
      <c r="D258" s="26" t="s">
        <v>3104</v>
      </c>
      <c r="E258" s="26" t="s">
        <v>2093</v>
      </c>
      <c r="F258" s="26" t="s">
        <v>2094</v>
      </c>
      <c r="G258" s="26" t="s">
        <v>3101</v>
      </c>
      <c r="H258" s="26" t="s">
        <v>2101</v>
      </c>
    </row>
    <row r="259" customFormat="false" ht="15" hidden="false" customHeight="false" outlineLevel="0" collapsed="false">
      <c r="A259" s="26" t="s">
        <v>3105</v>
      </c>
      <c r="B259" s="8" t="s">
        <v>3106</v>
      </c>
      <c r="C259" s="26" t="s">
        <v>3107</v>
      </c>
      <c r="D259" s="26" t="s">
        <v>3108</v>
      </c>
      <c r="E259" s="26" t="s">
        <v>2093</v>
      </c>
      <c r="F259" s="26" t="s">
        <v>2094</v>
      </c>
      <c r="G259" s="26" t="s">
        <v>3101</v>
      </c>
      <c r="H259" s="26" t="s">
        <v>2096</v>
      </c>
    </row>
    <row r="260" customFormat="false" ht="15" hidden="false" customHeight="false" outlineLevel="0" collapsed="false">
      <c r="A260" s="26" t="s">
        <v>3109</v>
      </c>
      <c r="B260" s="8" t="s">
        <v>3110</v>
      </c>
      <c r="C260" s="26" t="s">
        <v>3111</v>
      </c>
      <c r="D260" s="26" t="s">
        <v>3108</v>
      </c>
      <c r="E260" s="26" t="s">
        <v>2093</v>
      </c>
      <c r="F260" s="26" t="s">
        <v>2094</v>
      </c>
      <c r="G260" s="26" t="s">
        <v>3101</v>
      </c>
      <c r="H260" s="26" t="s">
        <v>2096</v>
      </c>
    </row>
    <row r="261" customFormat="false" ht="23.85" hidden="false" customHeight="false" outlineLevel="0" collapsed="false">
      <c r="A261" s="26" t="s">
        <v>3112</v>
      </c>
      <c r="B261" s="8" t="s">
        <v>3113</v>
      </c>
      <c r="C261" s="26" t="s">
        <v>3114</v>
      </c>
      <c r="D261" s="26" t="s">
        <v>3115</v>
      </c>
      <c r="E261" s="26" t="s">
        <v>2093</v>
      </c>
      <c r="F261" s="26" t="s">
        <v>2094</v>
      </c>
      <c r="G261" s="26" t="s">
        <v>3101</v>
      </c>
      <c r="H261" s="26" t="s">
        <v>2096</v>
      </c>
    </row>
    <row r="262" customFormat="false" ht="23.85" hidden="false" customHeight="false" outlineLevel="0" collapsed="false">
      <c r="A262" s="26" t="s">
        <v>3116</v>
      </c>
      <c r="B262" s="8" t="s">
        <v>3117</v>
      </c>
      <c r="C262" s="26" t="s">
        <v>3118</v>
      </c>
      <c r="D262" s="26" t="s">
        <v>3119</v>
      </c>
      <c r="E262" s="26" t="s">
        <v>2093</v>
      </c>
      <c r="F262" s="26" t="s">
        <v>2094</v>
      </c>
      <c r="G262" s="26" t="s">
        <v>3120</v>
      </c>
      <c r="H262" s="26" t="s">
        <v>2101</v>
      </c>
    </row>
    <row r="263" customFormat="false" ht="15" hidden="false" customHeight="false" outlineLevel="0" collapsed="false">
      <c r="A263" s="26" t="s">
        <v>3121</v>
      </c>
      <c r="B263" s="8" t="s">
        <v>3122</v>
      </c>
      <c r="C263" s="26" t="s">
        <v>3123</v>
      </c>
      <c r="D263" s="26" t="s">
        <v>3124</v>
      </c>
      <c r="E263" s="26" t="s">
        <v>2093</v>
      </c>
      <c r="F263" s="26" t="s">
        <v>2094</v>
      </c>
      <c r="G263" s="26" t="s">
        <v>3125</v>
      </c>
      <c r="H263" s="26" t="s">
        <v>2096</v>
      </c>
    </row>
    <row r="264" customFormat="false" ht="15" hidden="false" customHeight="false" outlineLevel="0" collapsed="false">
      <c r="A264" s="26" t="s">
        <v>3126</v>
      </c>
      <c r="B264" s="8" t="s">
        <v>3127</v>
      </c>
      <c r="C264" s="26" t="s">
        <v>3128</v>
      </c>
      <c r="D264" s="26" t="s">
        <v>2874</v>
      </c>
      <c r="E264" s="26" t="s">
        <v>2093</v>
      </c>
      <c r="F264" s="26" t="s">
        <v>2094</v>
      </c>
      <c r="G264" s="26" t="s">
        <v>3125</v>
      </c>
      <c r="H264" s="26" t="s">
        <v>2101</v>
      </c>
    </row>
    <row r="265" customFormat="false" ht="15" hidden="false" customHeight="false" outlineLevel="0" collapsed="false">
      <c r="A265" s="26" t="s">
        <v>3129</v>
      </c>
      <c r="B265" s="8" t="s">
        <v>3130</v>
      </c>
      <c r="C265" s="26" t="s">
        <v>3131</v>
      </c>
      <c r="D265" s="26" t="s">
        <v>3132</v>
      </c>
      <c r="E265" s="26" t="s">
        <v>2093</v>
      </c>
      <c r="F265" s="26" t="s">
        <v>2094</v>
      </c>
      <c r="G265" s="26" t="s">
        <v>3133</v>
      </c>
      <c r="H265" s="26" t="s">
        <v>2101</v>
      </c>
    </row>
    <row r="266" customFormat="false" ht="15" hidden="false" customHeight="false" outlineLevel="0" collapsed="false">
      <c r="A266" s="26" t="s">
        <v>3134</v>
      </c>
      <c r="B266" s="8" t="s">
        <v>3135</v>
      </c>
      <c r="C266" s="26" t="s">
        <v>3136</v>
      </c>
      <c r="D266" s="26" t="s">
        <v>3137</v>
      </c>
      <c r="E266" s="26" t="s">
        <v>2093</v>
      </c>
      <c r="F266" s="26" t="s">
        <v>2094</v>
      </c>
      <c r="G266" s="26" t="s">
        <v>3133</v>
      </c>
      <c r="H266" s="26" t="s">
        <v>2101</v>
      </c>
    </row>
    <row r="267" customFormat="false" ht="23.85" hidden="false" customHeight="false" outlineLevel="0" collapsed="false">
      <c r="A267" s="26" t="s">
        <v>3138</v>
      </c>
      <c r="B267" s="8" t="s">
        <v>3139</v>
      </c>
      <c r="C267" s="26" t="s">
        <v>3140</v>
      </c>
      <c r="D267" s="26" t="s">
        <v>2882</v>
      </c>
      <c r="E267" s="26" t="s">
        <v>2093</v>
      </c>
      <c r="F267" s="26" t="s">
        <v>2094</v>
      </c>
      <c r="G267" s="26" t="s">
        <v>3141</v>
      </c>
      <c r="H267" s="26" t="s">
        <v>2101</v>
      </c>
    </row>
    <row r="268" customFormat="false" ht="15" hidden="false" customHeight="false" outlineLevel="0" collapsed="false">
      <c r="A268" s="26" t="s">
        <v>3142</v>
      </c>
      <c r="B268" s="8" t="s">
        <v>3143</v>
      </c>
      <c r="C268" s="26" t="s">
        <v>3144</v>
      </c>
      <c r="D268" s="26" t="s">
        <v>3137</v>
      </c>
      <c r="E268" s="26" t="s">
        <v>2093</v>
      </c>
      <c r="F268" s="26" t="s">
        <v>2094</v>
      </c>
      <c r="G268" s="26" t="s">
        <v>3141</v>
      </c>
      <c r="H268" s="26" t="s">
        <v>2101</v>
      </c>
    </row>
    <row r="269" customFormat="false" ht="15" hidden="false" customHeight="false" outlineLevel="0" collapsed="false">
      <c r="A269" s="26" t="s">
        <v>3145</v>
      </c>
      <c r="B269" s="8" t="s">
        <v>3146</v>
      </c>
      <c r="C269" s="26" t="s">
        <v>3147</v>
      </c>
      <c r="D269" s="26" t="s">
        <v>3137</v>
      </c>
      <c r="E269" s="26" t="s">
        <v>2093</v>
      </c>
      <c r="F269" s="26" t="s">
        <v>2094</v>
      </c>
      <c r="G269" s="26" t="s">
        <v>3141</v>
      </c>
      <c r="H269" s="26" t="s">
        <v>2101</v>
      </c>
    </row>
    <row r="270" customFormat="false" ht="15" hidden="false" customHeight="false" outlineLevel="0" collapsed="false">
      <c r="A270" s="26" t="s">
        <v>3148</v>
      </c>
      <c r="B270" s="8" t="s">
        <v>3149</v>
      </c>
      <c r="C270" s="26" t="s">
        <v>3150</v>
      </c>
      <c r="D270" s="26" t="s">
        <v>3137</v>
      </c>
      <c r="E270" s="26" t="s">
        <v>2093</v>
      </c>
      <c r="F270" s="26" t="s">
        <v>2094</v>
      </c>
      <c r="G270" s="26" t="s">
        <v>3141</v>
      </c>
      <c r="H270" s="26" t="s">
        <v>2101</v>
      </c>
    </row>
    <row r="271" customFormat="false" ht="23.85" hidden="false" customHeight="false" outlineLevel="0" collapsed="false">
      <c r="A271" s="26" t="s">
        <v>3151</v>
      </c>
      <c r="B271" s="8" t="s">
        <v>3152</v>
      </c>
      <c r="C271" s="26" t="s">
        <v>3153</v>
      </c>
      <c r="D271" s="26" t="s">
        <v>3154</v>
      </c>
      <c r="E271" s="26" t="s">
        <v>2093</v>
      </c>
      <c r="F271" s="26" t="s">
        <v>2106</v>
      </c>
      <c r="G271" s="26" t="s">
        <v>3141</v>
      </c>
      <c r="H271" s="26" t="s">
        <v>2131</v>
      </c>
    </row>
    <row r="272" customFormat="false" ht="23.85" hidden="false" customHeight="false" outlineLevel="0" collapsed="false">
      <c r="A272" s="26" t="s">
        <v>3155</v>
      </c>
      <c r="B272" s="8" t="s">
        <v>3156</v>
      </c>
      <c r="C272" s="26" t="s">
        <v>3157</v>
      </c>
      <c r="D272" s="26" t="s">
        <v>2882</v>
      </c>
      <c r="E272" s="26" t="s">
        <v>2093</v>
      </c>
      <c r="F272" s="26" t="s">
        <v>2094</v>
      </c>
      <c r="G272" s="26" t="s">
        <v>3158</v>
      </c>
      <c r="H272" s="26" t="s">
        <v>2131</v>
      </c>
    </row>
    <row r="273" customFormat="false" ht="15" hidden="false" customHeight="false" outlineLevel="0" collapsed="false">
      <c r="A273" s="26" t="s">
        <v>3159</v>
      </c>
      <c r="B273" s="8" t="s">
        <v>3160</v>
      </c>
      <c r="C273" s="26" t="s">
        <v>3161</v>
      </c>
      <c r="D273" s="26" t="s">
        <v>3137</v>
      </c>
      <c r="E273" s="26" t="s">
        <v>2093</v>
      </c>
      <c r="F273" s="26" t="s">
        <v>2094</v>
      </c>
      <c r="G273" s="26" t="s">
        <v>3158</v>
      </c>
      <c r="H273" s="26" t="s">
        <v>2101</v>
      </c>
    </row>
    <row r="274" customFormat="false" ht="15" hidden="false" customHeight="false" outlineLevel="0" collapsed="false">
      <c r="A274" s="26" t="s">
        <v>3162</v>
      </c>
      <c r="B274" s="8" t="s">
        <v>3163</v>
      </c>
      <c r="C274" s="26" t="s">
        <v>3164</v>
      </c>
      <c r="D274" s="26" t="s">
        <v>3137</v>
      </c>
      <c r="E274" s="26" t="s">
        <v>2093</v>
      </c>
      <c r="F274" s="26" t="s">
        <v>2094</v>
      </c>
      <c r="G274" s="26" t="s">
        <v>3158</v>
      </c>
      <c r="H274" s="26" t="s">
        <v>2101</v>
      </c>
    </row>
    <row r="275" customFormat="false" ht="15" hidden="false" customHeight="false" outlineLevel="0" collapsed="false">
      <c r="A275" s="26" t="s">
        <v>3165</v>
      </c>
      <c r="B275" s="8" t="s">
        <v>3166</v>
      </c>
      <c r="C275" s="26" t="s">
        <v>3167</v>
      </c>
      <c r="D275" s="26" t="s">
        <v>3137</v>
      </c>
      <c r="E275" s="26" t="s">
        <v>2093</v>
      </c>
      <c r="F275" s="26" t="s">
        <v>2094</v>
      </c>
      <c r="G275" s="26" t="s">
        <v>3158</v>
      </c>
      <c r="H275" s="26" t="s">
        <v>2101</v>
      </c>
    </row>
    <row r="276" customFormat="false" ht="15" hidden="false" customHeight="false" outlineLevel="0" collapsed="false">
      <c r="A276" s="26" t="s">
        <v>3168</v>
      </c>
      <c r="B276" s="8" t="s">
        <v>3169</v>
      </c>
      <c r="C276" s="26" t="s">
        <v>3170</v>
      </c>
      <c r="D276" s="26" t="s">
        <v>3171</v>
      </c>
      <c r="E276" s="26" t="s">
        <v>2093</v>
      </c>
      <c r="F276" s="26" t="s">
        <v>2094</v>
      </c>
      <c r="G276" s="26" t="s">
        <v>3172</v>
      </c>
      <c r="H276" s="26" t="s">
        <v>2101</v>
      </c>
    </row>
    <row r="277" customFormat="false" ht="23.85" hidden="false" customHeight="false" outlineLevel="0" collapsed="false">
      <c r="A277" s="26" t="s">
        <v>3173</v>
      </c>
      <c r="B277" s="8" t="s">
        <v>3174</v>
      </c>
      <c r="C277" s="26" t="s">
        <v>3175</v>
      </c>
      <c r="D277" s="26" t="s">
        <v>3176</v>
      </c>
      <c r="E277" s="26" t="s">
        <v>2093</v>
      </c>
      <c r="F277" s="26" t="s">
        <v>2106</v>
      </c>
      <c r="G277" s="26" t="s">
        <v>3172</v>
      </c>
      <c r="H277" s="26" t="s">
        <v>2101</v>
      </c>
    </row>
    <row r="278" customFormat="false" ht="15" hidden="false" customHeight="false" outlineLevel="0" collapsed="false">
      <c r="A278" s="26" t="s">
        <v>3177</v>
      </c>
      <c r="B278" s="8" t="s">
        <v>3178</v>
      </c>
      <c r="C278" s="26" t="s">
        <v>3179</v>
      </c>
      <c r="D278" s="26" t="s">
        <v>3180</v>
      </c>
      <c r="E278" s="26" t="s">
        <v>2093</v>
      </c>
      <c r="F278" s="26" t="s">
        <v>2094</v>
      </c>
      <c r="G278" s="26" t="s">
        <v>3181</v>
      </c>
      <c r="H278" s="26" t="s">
        <v>2101</v>
      </c>
    </row>
    <row r="279" customFormat="false" ht="15" hidden="false" customHeight="false" outlineLevel="0" collapsed="false">
      <c r="A279" s="26" t="s">
        <v>3182</v>
      </c>
      <c r="B279" s="8" t="s">
        <v>3183</v>
      </c>
      <c r="C279" s="26" t="s">
        <v>3184</v>
      </c>
      <c r="D279" s="26" t="s">
        <v>3185</v>
      </c>
      <c r="E279" s="26" t="s">
        <v>2093</v>
      </c>
      <c r="F279" s="26" t="s">
        <v>2094</v>
      </c>
      <c r="G279" s="26" t="s">
        <v>3181</v>
      </c>
      <c r="H279" s="26" t="s">
        <v>2101</v>
      </c>
    </row>
    <row r="280" customFormat="false" ht="23.85" hidden="false" customHeight="false" outlineLevel="0" collapsed="false">
      <c r="A280" s="26" t="s">
        <v>3186</v>
      </c>
      <c r="B280" s="8" t="s">
        <v>3187</v>
      </c>
      <c r="C280" s="26" t="s">
        <v>3188</v>
      </c>
      <c r="D280" s="26" t="s">
        <v>3189</v>
      </c>
      <c r="E280" s="26" t="s">
        <v>2093</v>
      </c>
      <c r="F280" s="26" t="s">
        <v>2094</v>
      </c>
      <c r="G280" s="26" t="s">
        <v>3190</v>
      </c>
      <c r="H280" s="26" t="s">
        <v>2101</v>
      </c>
    </row>
    <row r="281" customFormat="false" ht="15" hidden="false" customHeight="false" outlineLevel="0" collapsed="false">
      <c r="A281" s="26" t="s">
        <v>3191</v>
      </c>
      <c r="B281" s="8" t="s">
        <v>3192</v>
      </c>
      <c r="C281" s="26" t="s">
        <v>3193</v>
      </c>
      <c r="D281" s="26" t="s">
        <v>3185</v>
      </c>
      <c r="E281" s="26" t="s">
        <v>2093</v>
      </c>
      <c r="F281" s="26" t="s">
        <v>2094</v>
      </c>
      <c r="G281" s="26" t="s">
        <v>3190</v>
      </c>
      <c r="H281" s="26" t="s">
        <v>2101</v>
      </c>
    </row>
    <row r="282" customFormat="false" ht="23.85" hidden="false" customHeight="false" outlineLevel="0" collapsed="false">
      <c r="A282" s="26" t="s">
        <v>3194</v>
      </c>
      <c r="B282" s="8" t="s">
        <v>3195</v>
      </c>
      <c r="C282" s="26" t="s">
        <v>3196</v>
      </c>
      <c r="D282" s="26" t="s">
        <v>3053</v>
      </c>
      <c r="E282" s="26" t="s">
        <v>2093</v>
      </c>
      <c r="F282" s="26" t="s">
        <v>2094</v>
      </c>
      <c r="G282" s="26" t="s">
        <v>3197</v>
      </c>
      <c r="H282" s="26" t="s">
        <v>2096</v>
      </c>
    </row>
    <row r="283" customFormat="false" ht="23.85" hidden="false" customHeight="false" outlineLevel="0" collapsed="false">
      <c r="A283" s="26" t="s">
        <v>3198</v>
      </c>
      <c r="B283" s="8" t="s">
        <v>3199</v>
      </c>
      <c r="C283" s="26" t="s">
        <v>3200</v>
      </c>
      <c r="D283" s="26" t="s">
        <v>3201</v>
      </c>
      <c r="E283" s="26" t="s">
        <v>2093</v>
      </c>
      <c r="F283" s="26" t="s">
        <v>2106</v>
      </c>
      <c r="G283" s="26" t="s">
        <v>3197</v>
      </c>
      <c r="H283" s="26" t="s">
        <v>2101</v>
      </c>
    </row>
    <row r="284" customFormat="false" ht="15" hidden="false" customHeight="false" outlineLevel="0" collapsed="false">
      <c r="A284" s="26" t="s">
        <v>3202</v>
      </c>
      <c r="B284" s="8" t="s">
        <v>3203</v>
      </c>
      <c r="C284" s="26" t="s">
        <v>3204</v>
      </c>
      <c r="D284" s="26" t="s">
        <v>3205</v>
      </c>
      <c r="E284" s="26" t="s">
        <v>2093</v>
      </c>
      <c r="F284" s="26" t="s">
        <v>2094</v>
      </c>
      <c r="G284" s="26" t="s">
        <v>3206</v>
      </c>
      <c r="H284" s="26" t="s">
        <v>2101</v>
      </c>
    </row>
    <row r="285" customFormat="false" ht="15" hidden="false" customHeight="false" outlineLevel="0" collapsed="false">
      <c r="A285" s="26" t="s">
        <v>3207</v>
      </c>
      <c r="B285" s="8" t="s">
        <v>3208</v>
      </c>
      <c r="C285" s="26" t="s">
        <v>3209</v>
      </c>
      <c r="D285" s="26" t="s">
        <v>3205</v>
      </c>
      <c r="E285" s="26" t="s">
        <v>2093</v>
      </c>
      <c r="F285" s="26" t="s">
        <v>2094</v>
      </c>
      <c r="G285" s="26" t="s">
        <v>3206</v>
      </c>
      <c r="H285" s="26" t="s">
        <v>2101</v>
      </c>
    </row>
    <row r="286" customFormat="false" ht="23.85" hidden="false" customHeight="false" outlineLevel="0" collapsed="false">
      <c r="A286" s="26" t="s">
        <v>3210</v>
      </c>
      <c r="B286" s="8" t="s">
        <v>3211</v>
      </c>
      <c r="C286" s="26" t="s">
        <v>3212</v>
      </c>
      <c r="D286" s="26" t="s">
        <v>2870</v>
      </c>
      <c r="E286" s="26" t="s">
        <v>2093</v>
      </c>
      <c r="F286" s="26" t="s">
        <v>2106</v>
      </c>
      <c r="G286" s="26" t="s">
        <v>3206</v>
      </c>
      <c r="H286" s="26" t="s">
        <v>2101</v>
      </c>
    </row>
    <row r="287" customFormat="false" ht="15" hidden="false" customHeight="false" outlineLevel="0" collapsed="false">
      <c r="A287" s="26" t="s">
        <v>3213</v>
      </c>
      <c r="B287" s="8" t="s">
        <v>3214</v>
      </c>
      <c r="C287" s="26" t="s">
        <v>3215</v>
      </c>
      <c r="D287" s="26" t="s">
        <v>3216</v>
      </c>
      <c r="E287" s="26" t="s">
        <v>2093</v>
      </c>
      <c r="F287" s="26" t="s">
        <v>2094</v>
      </c>
      <c r="G287" s="26" t="s">
        <v>3217</v>
      </c>
      <c r="H287" s="26" t="s">
        <v>2101</v>
      </c>
    </row>
    <row r="288" customFormat="false" ht="23.85" hidden="false" customHeight="false" outlineLevel="0" collapsed="false">
      <c r="A288" s="26" t="s">
        <v>3218</v>
      </c>
      <c r="B288" s="8" t="s">
        <v>3219</v>
      </c>
      <c r="C288" s="26" t="s">
        <v>3220</v>
      </c>
      <c r="D288" s="26" t="s">
        <v>3221</v>
      </c>
      <c r="E288" s="26" t="s">
        <v>2093</v>
      </c>
      <c r="F288" s="26" t="s">
        <v>2106</v>
      </c>
      <c r="G288" s="26" t="s">
        <v>3217</v>
      </c>
      <c r="H288" s="26" t="s">
        <v>2131</v>
      </c>
    </row>
    <row r="289" customFormat="false" ht="23.85" hidden="false" customHeight="false" outlineLevel="0" collapsed="false">
      <c r="A289" s="26" t="s">
        <v>3222</v>
      </c>
      <c r="B289" s="8" t="s">
        <v>3223</v>
      </c>
      <c r="C289" s="26" t="s">
        <v>3224</v>
      </c>
      <c r="D289" s="26" t="s">
        <v>3225</v>
      </c>
      <c r="E289" s="26" t="s">
        <v>2093</v>
      </c>
      <c r="F289" s="26" t="s">
        <v>2094</v>
      </c>
      <c r="G289" s="26" t="s">
        <v>3226</v>
      </c>
      <c r="H289" s="26" t="s">
        <v>2096</v>
      </c>
    </row>
    <row r="290" customFormat="false" ht="23.85" hidden="false" customHeight="false" outlineLevel="0" collapsed="false">
      <c r="A290" s="26" t="s">
        <v>3227</v>
      </c>
      <c r="B290" s="8" t="s">
        <v>3228</v>
      </c>
      <c r="C290" s="26" t="s">
        <v>3229</v>
      </c>
      <c r="D290" s="26" t="s">
        <v>3225</v>
      </c>
      <c r="E290" s="26" t="s">
        <v>2093</v>
      </c>
      <c r="F290" s="26" t="s">
        <v>2094</v>
      </c>
      <c r="G290" s="26" t="s">
        <v>3230</v>
      </c>
      <c r="H290" s="26" t="s">
        <v>2096</v>
      </c>
    </row>
    <row r="291" customFormat="false" ht="23.85" hidden="false" customHeight="false" outlineLevel="0" collapsed="false">
      <c r="A291" s="26" t="s">
        <v>3231</v>
      </c>
      <c r="B291" s="8" t="s">
        <v>3232</v>
      </c>
      <c r="C291" s="26" t="s">
        <v>3233</v>
      </c>
      <c r="D291" s="26" t="s">
        <v>3049</v>
      </c>
      <c r="E291" s="26" t="s">
        <v>2093</v>
      </c>
      <c r="F291" s="26" t="s">
        <v>2094</v>
      </c>
      <c r="G291" s="26" t="s">
        <v>3217</v>
      </c>
      <c r="H291" s="26" t="s">
        <v>2096</v>
      </c>
    </row>
    <row r="292" customFormat="false" ht="23.85" hidden="false" customHeight="false" outlineLevel="0" collapsed="false">
      <c r="A292" s="26" t="s">
        <v>3234</v>
      </c>
      <c r="B292" s="8" t="s">
        <v>3235</v>
      </c>
      <c r="C292" s="26" t="s">
        <v>3236</v>
      </c>
      <c r="D292" s="26" t="s">
        <v>3237</v>
      </c>
      <c r="E292" s="26" t="s">
        <v>2093</v>
      </c>
      <c r="F292" s="26" t="s">
        <v>2094</v>
      </c>
      <c r="G292" s="26" t="s">
        <v>3226</v>
      </c>
      <c r="H292" s="26" t="s">
        <v>2131</v>
      </c>
    </row>
    <row r="293" customFormat="false" ht="23.85" hidden="false" customHeight="false" outlineLevel="0" collapsed="false">
      <c r="A293" s="26" t="s">
        <v>3238</v>
      </c>
      <c r="B293" s="8" t="s">
        <v>3239</v>
      </c>
      <c r="C293" s="26" t="s">
        <v>3240</v>
      </c>
      <c r="D293" s="26" t="s">
        <v>3241</v>
      </c>
      <c r="E293" s="26" t="s">
        <v>2093</v>
      </c>
      <c r="F293" s="26" t="s">
        <v>2106</v>
      </c>
      <c r="G293" s="26" t="s">
        <v>3101</v>
      </c>
      <c r="H293" s="26" t="s">
        <v>2131</v>
      </c>
    </row>
    <row r="294" customFormat="false" ht="23.85" hidden="false" customHeight="false" outlineLevel="0" collapsed="false">
      <c r="A294" s="26" t="s">
        <v>3242</v>
      </c>
      <c r="B294" s="8" t="s">
        <v>3243</v>
      </c>
      <c r="C294" s="26" t="s">
        <v>3244</v>
      </c>
      <c r="D294" s="26" t="s">
        <v>3245</v>
      </c>
      <c r="E294" s="26" t="s">
        <v>2093</v>
      </c>
      <c r="F294" s="26" t="s">
        <v>2106</v>
      </c>
      <c r="G294" s="26" t="s">
        <v>3206</v>
      </c>
      <c r="H294" s="26" t="s">
        <v>2101</v>
      </c>
    </row>
    <row r="295" customFormat="false" ht="23.85" hidden="false" customHeight="false" outlineLevel="0" collapsed="false">
      <c r="A295" s="26" t="s">
        <v>3246</v>
      </c>
      <c r="B295" s="8" t="s">
        <v>3247</v>
      </c>
      <c r="C295" s="26" t="s">
        <v>3248</v>
      </c>
      <c r="D295" s="26" t="s">
        <v>3249</v>
      </c>
      <c r="E295" s="26" t="s">
        <v>2093</v>
      </c>
      <c r="F295" s="26" t="s">
        <v>2094</v>
      </c>
      <c r="G295" s="26" t="s">
        <v>3250</v>
      </c>
      <c r="H295" s="26" t="s">
        <v>2096</v>
      </c>
    </row>
    <row r="296" customFormat="false" ht="35.05" hidden="false" customHeight="false" outlineLevel="0" collapsed="false">
      <c r="A296" s="26" t="s">
        <v>630</v>
      </c>
      <c r="B296" s="8" t="s">
        <v>3251</v>
      </c>
      <c r="C296" s="26" t="s">
        <v>3252</v>
      </c>
      <c r="D296" s="26" t="s">
        <v>3253</v>
      </c>
      <c r="E296" s="26" t="s">
        <v>2093</v>
      </c>
      <c r="F296" s="26" t="s">
        <v>2094</v>
      </c>
      <c r="G296" s="26" t="s">
        <v>3254</v>
      </c>
      <c r="H296" s="26" t="s">
        <v>2096</v>
      </c>
    </row>
    <row r="297" customFormat="false" ht="35.05" hidden="false" customHeight="false" outlineLevel="0" collapsed="false">
      <c r="A297" s="26" t="s">
        <v>579</v>
      </c>
      <c r="B297" s="8" t="s">
        <v>3255</v>
      </c>
      <c r="C297" s="26" t="s">
        <v>3256</v>
      </c>
      <c r="D297" s="26" t="s">
        <v>3253</v>
      </c>
      <c r="E297" s="26" t="s">
        <v>2093</v>
      </c>
      <c r="F297" s="26" t="s">
        <v>2094</v>
      </c>
      <c r="G297" s="26" t="s">
        <v>3257</v>
      </c>
      <c r="H297" s="26" t="s">
        <v>2096</v>
      </c>
    </row>
    <row r="298" customFormat="false" ht="23.85" hidden="false" customHeight="false" outlineLevel="0" collapsed="false">
      <c r="A298" s="26" t="s">
        <v>3258</v>
      </c>
      <c r="B298" s="8" t="s">
        <v>3259</v>
      </c>
      <c r="C298" s="26" t="s">
        <v>3260</v>
      </c>
      <c r="D298" s="26" t="s">
        <v>3261</v>
      </c>
      <c r="E298" s="26" t="s">
        <v>2093</v>
      </c>
      <c r="F298" s="26" t="s">
        <v>2094</v>
      </c>
      <c r="G298" s="26" t="s">
        <v>3262</v>
      </c>
      <c r="H298" s="26" t="s">
        <v>2096</v>
      </c>
    </row>
    <row r="299" customFormat="false" ht="23.85" hidden="false" customHeight="false" outlineLevel="0" collapsed="false">
      <c r="A299" s="26" t="s">
        <v>3263</v>
      </c>
      <c r="B299" s="8" t="s">
        <v>3264</v>
      </c>
      <c r="C299" s="26" t="s">
        <v>3265</v>
      </c>
      <c r="D299" s="26" t="s">
        <v>3249</v>
      </c>
      <c r="E299" s="26" t="s">
        <v>2093</v>
      </c>
      <c r="F299" s="26" t="s">
        <v>2094</v>
      </c>
      <c r="G299" s="26" t="s">
        <v>3266</v>
      </c>
      <c r="H299" s="26" t="s">
        <v>2096</v>
      </c>
    </row>
    <row r="300" customFormat="false" ht="15" hidden="false" customHeight="false" outlineLevel="0" collapsed="false">
      <c r="A300" s="26" t="s">
        <v>3267</v>
      </c>
      <c r="B300" s="8" t="s">
        <v>3268</v>
      </c>
      <c r="C300" s="26" t="s">
        <v>3269</v>
      </c>
      <c r="D300" s="26" t="s">
        <v>3270</v>
      </c>
      <c r="E300" s="26" t="s">
        <v>2093</v>
      </c>
      <c r="F300" s="26" t="s">
        <v>2094</v>
      </c>
      <c r="G300" s="26" t="s">
        <v>3271</v>
      </c>
      <c r="H300" s="26" t="s">
        <v>2096</v>
      </c>
    </row>
    <row r="301" customFormat="false" ht="23.85" hidden="false" customHeight="false" outlineLevel="0" collapsed="false">
      <c r="A301" s="26" t="s">
        <v>3272</v>
      </c>
      <c r="B301" s="8" t="s">
        <v>3273</v>
      </c>
      <c r="C301" s="26" t="s">
        <v>3274</v>
      </c>
      <c r="D301" s="26" t="s">
        <v>3275</v>
      </c>
      <c r="E301" s="26" t="s">
        <v>2093</v>
      </c>
      <c r="F301" s="26" t="s">
        <v>2094</v>
      </c>
      <c r="G301" s="26" t="s">
        <v>3271</v>
      </c>
      <c r="H301" s="26" t="s">
        <v>2096</v>
      </c>
    </row>
    <row r="302" customFormat="false" ht="35.05" hidden="false" customHeight="false" outlineLevel="0" collapsed="false">
      <c r="A302" s="26" t="s">
        <v>3276</v>
      </c>
      <c r="B302" s="8" t="s">
        <v>3277</v>
      </c>
      <c r="C302" s="26" t="s">
        <v>3278</v>
      </c>
      <c r="D302" s="26" t="s">
        <v>3279</v>
      </c>
      <c r="E302" s="26" t="s">
        <v>2093</v>
      </c>
      <c r="F302" s="26" t="s">
        <v>2094</v>
      </c>
      <c r="G302" s="26" t="s">
        <v>3280</v>
      </c>
      <c r="H302" s="26" t="s">
        <v>2096</v>
      </c>
    </row>
    <row r="303" customFormat="false" ht="15" hidden="false" customHeight="false" outlineLevel="0" collapsed="false">
      <c r="A303" s="26" t="s">
        <v>3281</v>
      </c>
      <c r="B303" s="8" t="s">
        <v>3282</v>
      </c>
      <c r="C303" s="26" t="s">
        <v>3283</v>
      </c>
      <c r="D303" s="26" t="s">
        <v>3284</v>
      </c>
      <c r="E303" s="26" t="s">
        <v>2093</v>
      </c>
      <c r="F303" s="26" t="s">
        <v>2094</v>
      </c>
      <c r="G303" s="26" t="s">
        <v>3285</v>
      </c>
      <c r="H303" s="26" t="s">
        <v>2101</v>
      </c>
    </row>
    <row r="304" customFormat="false" ht="15" hidden="false" customHeight="false" outlineLevel="0" collapsed="false">
      <c r="A304" s="26" t="s">
        <v>3286</v>
      </c>
      <c r="B304" s="8" t="s">
        <v>3287</v>
      </c>
      <c r="C304" s="26" t="s">
        <v>3288</v>
      </c>
      <c r="D304" s="26" t="s">
        <v>3284</v>
      </c>
      <c r="E304" s="26" t="s">
        <v>2093</v>
      </c>
      <c r="F304" s="26" t="s">
        <v>2094</v>
      </c>
      <c r="G304" s="26" t="s">
        <v>3285</v>
      </c>
      <c r="H304" s="26" t="s">
        <v>2101</v>
      </c>
    </row>
    <row r="305" customFormat="false" ht="23.85" hidden="false" customHeight="false" outlineLevel="0" collapsed="false">
      <c r="A305" s="26" t="s">
        <v>3289</v>
      </c>
      <c r="B305" s="8" t="s">
        <v>3290</v>
      </c>
      <c r="C305" s="26" t="s">
        <v>3291</v>
      </c>
      <c r="D305" s="26" t="s">
        <v>3292</v>
      </c>
      <c r="E305" s="26" t="s">
        <v>2093</v>
      </c>
      <c r="F305" s="26" t="s">
        <v>2106</v>
      </c>
      <c r="G305" s="26" t="s">
        <v>3293</v>
      </c>
      <c r="H305" s="26" t="s">
        <v>2131</v>
      </c>
    </row>
    <row r="306" customFormat="false" ht="15" hidden="false" customHeight="false" outlineLevel="0" collapsed="false">
      <c r="A306" s="26" t="s">
        <v>3294</v>
      </c>
      <c r="B306" s="8" t="s">
        <v>3295</v>
      </c>
      <c r="C306" s="26" t="s">
        <v>3296</v>
      </c>
      <c r="D306" s="26" t="s">
        <v>3297</v>
      </c>
      <c r="E306" s="26" t="s">
        <v>2093</v>
      </c>
      <c r="F306" s="26" t="s">
        <v>2094</v>
      </c>
      <c r="G306" s="26" t="s">
        <v>3293</v>
      </c>
      <c r="H306" s="26" t="s">
        <v>2096</v>
      </c>
    </row>
    <row r="307" customFormat="false" ht="15" hidden="false" customHeight="false" outlineLevel="0" collapsed="false">
      <c r="A307" s="26" t="s">
        <v>3298</v>
      </c>
      <c r="B307" s="8" t="s">
        <v>3299</v>
      </c>
      <c r="C307" s="26" t="s">
        <v>3300</v>
      </c>
      <c r="D307" s="26" t="s">
        <v>3297</v>
      </c>
      <c r="E307" s="26" t="s">
        <v>2093</v>
      </c>
      <c r="F307" s="26" t="s">
        <v>2094</v>
      </c>
      <c r="G307" s="26" t="s">
        <v>3293</v>
      </c>
      <c r="H307" s="26" t="s">
        <v>2096</v>
      </c>
    </row>
    <row r="308" customFormat="false" ht="15" hidden="false" customHeight="false" outlineLevel="0" collapsed="false">
      <c r="A308" s="26" t="s">
        <v>3301</v>
      </c>
      <c r="B308" s="8" t="s">
        <v>3302</v>
      </c>
      <c r="C308" s="26" t="s">
        <v>3303</v>
      </c>
      <c r="D308" s="26" t="s">
        <v>3297</v>
      </c>
      <c r="E308" s="26" t="s">
        <v>2093</v>
      </c>
      <c r="F308" s="26" t="s">
        <v>2094</v>
      </c>
      <c r="G308" s="26" t="s">
        <v>3293</v>
      </c>
      <c r="H308" s="26" t="s">
        <v>2096</v>
      </c>
    </row>
    <row r="309" customFormat="false" ht="23.85" hidden="false" customHeight="false" outlineLevel="0" collapsed="false">
      <c r="A309" s="26" t="s">
        <v>3304</v>
      </c>
      <c r="B309" s="8" t="s">
        <v>3305</v>
      </c>
      <c r="C309" s="26" t="s">
        <v>3306</v>
      </c>
      <c r="D309" s="26" t="s">
        <v>3307</v>
      </c>
      <c r="E309" s="26" t="s">
        <v>2093</v>
      </c>
      <c r="F309" s="26" t="s">
        <v>2094</v>
      </c>
      <c r="G309" s="26" t="s">
        <v>3262</v>
      </c>
      <c r="H309" s="26" t="s">
        <v>2096</v>
      </c>
    </row>
    <row r="310" customFormat="false" ht="23.85" hidden="false" customHeight="false" outlineLevel="0" collapsed="false">
      <c r="A310" s="26" t="s">
        <v>587</v>
      </c>
      <c r="B310" s="8" t="s">
        <v>3308</v>
      </c>
      <c r="C310" s="26" t="s">
        <v>3309</v>
      </c>
      <c r="D310" s="26" t="s">
        <v>3310</v>
      </c>
      <c r="E310" s="26" t="s">
        <v>2093</v>
      </c>
      <c r="F310" s="26" t="s">
        <v>2094</v>
      </c>
      <c r="G310" s="26" t="s">
        <v>3311</v>
      </c>
      <c r="H310" s="26" t="s">
        <v>2096</v>
      </c>
    </row>
    <row r="311" customFormat="false" ht="23.85" hidden="false" customHeight="false" outlineLevel="0" collapsed="false">
      <c r="A311" s="26" t="s">
        <v>3312</v>
      </c>
      <c r="B311" s="8" t="s">
        <v>3313</v>
      </c>
      <c r="C311" s="26" t="s">
        <v>3314</v>
      </c>
      <c r="D311" s="26" t="s">
        <v>3315</v>
      </c>
      <c r="E311" s="26" t="s">
        <v>2093</v>
      </c>
      <c r="F311" s="26" t="s">
        <v>2094</v>
      </c>
      <c r="G311" s="26" t="s">
        <v>3316</v>
      </c>
      <c r="H311" s="26" t="s">
        <v>2096</v>
      </c>
    </row>
    <row r="312" customFormat="false" ht="23.85" hidden="false" customHeight="false" outlineLevel="0" collapsed="false">
      <c r="A312" s="26" t="s">
        <v>3317</v>
      </c>
      <c r="B312" s="8" t="s">
        <v>3318</v>
      </c>
      <c r="C312" s="26" t="s">
        <v>2935</v>
      </c>
      <c r="D312" s="26" t="s">
        <v>3319</v>
      </c>
      <c r="E312" s="26" t="s">
        <v>2093</v>
      </c>
      <c r="F312" s="26" t="s">
        <v>2094</v>
      </c>
      <c r="G312" s="26" t="s">
        <v>3320</v>
      </c>
      <c r="H312" s="26" t="s">
        <v>2101</v>
      </c>
    </row>
    <row r="313" customFormat="false" ht="35.05" hidden="false" customHeight="false" outlineLevel="0" collapsed="false">
      <c r="A313" s="26" t="s">
        <v>3321</v>
      </c>
      <c r="B313" s="8" t="s">
        <v>3322</v>
      </c>
      <c r="C313" s="26" t="s">
        <v>2939</v>
      </c>
      <c r="D313" s="26" t="s">
        <v>2490</v>
      </c>
      <c r="E313" s="26" t="s">
        <v>2093</v>
      </c>
      <c r="F313" s="26" t="s">
        <v>2106</v>
      </c>
      <c r="G313" s="26" t="s">
        <v>3320</v>
      </c>
      <c r="H313" s="26" t="s">
        <v>2096</v>
      </c>
    </row>
    <row r="314" customFormat="false" ht="15" hidden="false" customHeight="false" outlineLevel="0" collapsed="false">
      <c r="A314" s="26" t="s">
        <v>3323</v>
      </c>
      <c r="B314" s="8" t="s">
        <v>3324</v>
      </c>
      <c r="C314" s="26" t="s">
        <v>3325</v>
      </c>
      <c r="D314" s="26" t="s">
        <v>3326</v>
      </c>
      <c r="E314" s="26" t="s">
        <v>2093</v>
      </c>
      <c r="F314" s="26" t="s">
        <v>2094</v>
      </c>
      <c r="G314" s="26" t="s">
        <v>3327</v>
      </c>
      <c r="H314" s="26" t="s">
        <v>2101</v>
      </c>
    </row>
    <row r="315" customFormat="false" ht="23.85" hidden="false" customHeight="false" outlineLevel="0" collapsed="false">
      <c r="A315" s="26" t="s">
        <v>3328</v>
      </c>
      <c r="B315" s="8" t="s">
        <v>3329</v>
      </c>
      <c r="C315" s="26" t="s">
        <v>3330</v>
      </c>
      <c r="D315" s="26" t="s">
        <v>3331</v>
      </c>
      <c r="E315" s="26" t="s">
        <v>2093</v>
      </c>
      <c r="F315" s="26" t="s">
        <v>2094</v>
      </c>
      <c r="G315" s="26" t="s">
        <v>3332</v>
      </c>
      <c r="H315" s="26" t="s">
        <v>2101</v>
      </c>
    </row>
    <row r="316" customFormat="false" ht="23.85" hidden="false" customHeight="false" outlineLevel="0" collapsed="false">
      <c r="A316" s="26" t="s">
        <v>3333</v>
      </c>
      <c r="B316" s="8" t="s">
        <v>3334</v>
      </c>
      <c r="C316" s="26" t="s">
        <v>3335</v>
      </c>
      <c r="D316" s="26" t="s">
        <v>3336</v>
      </c>
      <c r="E316" s="26" t="s">
        <v>2093</v>
      </c>
      <c r="F316" s="26" t="s">
        <v>2094</v>
      </c>
      <c r="G316" s="26" t="s">
        <v>3337</v>
      </c>
      <c r="H316" s="26" t="s">
        <v>2101</v>
      </c>
    </row>
    <row r="317" customFormat="false" ht="23.85" hidden="false" customHeight="false" outlineLevel="0" collapsed="false">
      <c r="A317" s="26" t="s">
        <v>3338</v>
      </c>
      <c r="B317" s="8" t="s">
        <v>3339</v>
      </c>
      <c r="C317" s="26" t="s">
        <v>3340</v>
      </c>
      <c r="D317" s="26" t="s">
        <v>3341</v>
      </c>
      <c r="E317" s="26" t="s">
        <v>2093</v>
      </c>
      <c r="F317" s="26" t="s">
        <v>2106</v>
      </c>
      <c r="G317" s="26" t="s">
        <v>3337</v>
      </c>
      <c r="H317" s="26" t="s">
        <v>2101</v>
      </c>
    </row>
    <row r="318" customFormat="false" ht="23.85" hidden="false" customHeight="false" outlineLevel="0" collapsed="false">
      <c r="A318" s="26" t="s">
        <v>3342</v>
      </c>
      <c r="B318" s="8" t="s">
        <v>3343</v>
      </c>
      <c r="C318" s="26" t="s">
        <v>3344</v>
      </c>
      <c r="D318" s="26" t="s">
        <v>3345</v>
      </c>
      <c r="E318" s="26" t="s">
        <v>2093</v>
      </c>
      <c r="F318" s="26" t="s">
        <v>2094</v>
      </c>
      <c r="G318" s="26" t="s">
        <v>3346</v>
      </c>
      <c r="H318" s="26" t="s">
        <v>2101</v>
      </c>
    </row>
    <row r="319" customFormat="false" ht="35.05" hidden="false" customHeight="false" outlineLevel="0" collapsed="false">
      <c r="A319" s="26" t="s">
        <v>3347</v>
      </c>
      <c r="B319" s="8" t="s">
        <v>3348</v>
      </c>
      <c r="C319" s="26" t="s">
        <v>3349</v>
      </c>
      <c r="D319" s="26" t="s">
        <v>3350</v>
      </c>
      <c r="E319" s="26" t="s">
        <v>2093</v>
      </c>
      <c r="F319" s="26" t="s">
        <v>2094</v>
      </c>
      <c r="G319" s="26" t="s">
        <v>3351</v>
      </c>
      <c r="H319" s="26" t="s">
        <v>2096</v>
      </c>
    </row>
    <row r="320" customFormat="false" ht="35.05" hidden="false" customHeight="false" outlineLevel="0" collapsed="false">
      <c r="A320" s="26" t="s">
        <v>634</v>
      </c>
      <c r="B320" s="8" t="s">
        <v>3352</v>
      </c>
      <c r="C320" s="26" t="s">
        <v>3353</v>
      </c>
      <c r="D320" s="26" t="s">
        <v>3354</v>
      </c>
      <c r="E320" s="26" t="s">
        <v>2093</v>
      </c>
      <c r="F320" s="26" t="s">
        <v>2094</v>
      </c>
      <c r="G320" s="26" t="s">
        <v>3355</v>
      </c>
      <c r="H320" s="26" t="s">
        <v>2096</v>
      </c>
    </row>
    <row r="321" customFormat="false" ht="35.05" hidden="false" customHeight="false" outlineLevel="0" collapsed="false">
      <c r="A321" s="26" t="s">
        <v>3356</v>
      </c>
      <c r="B321" s="8" t="s">
        <v>3357</v>
      </c>
      <c r="C321" s="26" t="s">
        <v>3358</v>
      </c>
      <c r="D321" s="26" t="s">
        <v>3359</v>
      </c>
      <c r="E321" s="26" t="s">
        <v>2093</v>
      </c>
      <c r="F321" s="26" t="s">
        <v>2094</v>
      </c>
      <c r="G321" s="26" t="s">
        <v>3360</v>
      </c>
      <c r="H321" s="26" t="s">
        <v>2096</v>
      </c>
    </row>
    <row r="322" customFormat="false" ht="23.85" hidden="false" customHeight="false" outlineLevel="0" collapsed="false">
      <c r="A322" s="26" t="s">
        <v>3361</v>
      </c>
      <c r="B322" s="8" t="s">
        <v>3362</v>
      </c>
      <c r="C322" s="26" t="s">
        <v>3363</v>
      </c>
      <c r="D322" s="26" t="s">
        <v>3364</v>
      </c>
      <c r="E322" s="26" t="s">
        <v>2093</v>
      </c>
      <c r="F322" s="26" t="s">
        <v>2094</v>
      </c>
      <c r="G322" s="26" t="s">
        <v>3365</v>
      </c>
      <c r="H322" s="26" t="s">
        <v>2101</v>
      </c>
    </row>
    <row r="323" customFormat="false" ht="15" hidden="false" customHeight="false" outlineLevel="0" collapsed="false">
      <c r="A323" s="26" t="s">
        <v>3366</v>
      </c>
      <c r="B323" s="8" t="s">
        <v>3367</v>
      </c>
      <c r="C323" s="26" t="s">
        <v>3368</v>
      </c>
      <c r="D323" s="26" t="s">
        <v>3369</v>
      </c>
      <c r="E323" s="26" t="s">
        <v>2093</v>
      </c>
      <c r="F323" s="26" t="s">
        <v>2094</v>
      </c>
      <c r="G323" s="26" t="s">
        <v>3370</v>
      </c>
      <c r="H323" s="26" t="s">
        <v>2096</v>
      </c>
    </row>
    <row r="324" customFormat="false" ht="15" hidden="false" customHeight="false" outlineLevel="0" collapsed="false">
      <c r="A324" s="26" t="s">
        <v>3371</v>
      </c>
      <c r="B324" s="8" t="s">
        <v>3372</v>
      </c>
      <c r="C324" s="26" t="s">
        <v>3373</v>
      </c>
      <c r="D324" s="26" t="s">
        <v>3369</v>
      </c>
      <c r="E324" s="26" t="s">
        <v>2093</v>
      </c>
      <c r="F324" s="26" t="s">
        <v>2094</v>
      </c>
      <c r="G324" s="26" t="s">
        <v>3370</v>
      </c>
      <c r="H324" s="26" t="s">
        <v>2096</v>
      </c>
    </row>
    <row r="325" customFormat="false" ht="15" hidden="false" customHeight="false" outlineLevel="0" collapsed="false">
      <c r="A325" s="26" t="s">
        <v>3374</v>
      </c>
      <c r="B325" s="8" t="s">
        <v>3375</v>
      </c>
      <c r="C325" s="26" t="s">
        <v>3376</v>
      </c>
      <c r="D325" s="26" t="s">
        <v>3377</v>
      </c>
      <c r="E325" s="26" t="s">
        <v>2093</v>
      </c>
      <c r="F325" s="26" t="s">
        <v>2094</v>
      </c>
      <c r="G325" s="26" t="s">
        <v>3378</v>
      </c>
      <c r="H325" s="26" t="s">
        <v>2101</v>
      </c>
    </row>
    <row r="326" customFormat="false" ht="23.85" hidden="false" customHeight="false" outlineLevel="0" collapsed="false">
      <c r="A326" s="26" t="s">
        <v>3379</v>
      </c>
      <c r="B326" s="8" t="s">
        <v>3380</v>
      </c>
      <c r="C326" s="26" t="s">
        <v>3381</v>
      </c>
      <c r="D326" s="26" t="s">
        <v>2870</v>
      </c>
      <c r="E326" s="26" t="s">
        <v>2093</v>
      </c>
      <c r="F326" s="26" t="s">
        <v>2094</v>
      </c>
      <c r="G326" s="26" t="s">
        <v>3378</v>
      </c>
      <c r="H326" s="26" t="s">
        <v>2101</v>
      </c>
    </row>
    <row r="327" customFormat="false" ht="15" hidden="false" customHeight="false" outlineLevel="0" collapsed="false">
      <c r="A327" s="26" t="s">
        <v>3382</v>
      </c>
      <c r="B327" s="8" t="s">
        <v>3383</v>
      </c>
      <c r="C327" s="26" t="s">
        <v>3384</v>
      </c>
      <c r="D327" s="26" t="s">
        <v>3385</v>
      </c>
      <c r="E327" s="26" t="s">
        <v>2093</v>
      </c>
      <c r="F327" s="26" t="s">
        <v>2094</v>
      </c>
      <c r="G327" s="26" t="s">
        <v>3386</v>
      </c>
      <c r="H327" s="26" t="s">
        <v>2101</v>
      </c>
    </row>
    <row r="328" customFormat="false" ht="15" hidden="false" customHeight="false" outlineLevel="0" collapsed="false">
      <c r="A328" s="26" t="s">
        <v>3387</v>
      </c>
      <c r="B328" s="8" t="s">
        <v>3388</v>
      </c>
      <c r="C328" s="26" t="s">
        <v>3389</v>
      </c>
      <c r="D328" s="26" t="s">
        <v>3385</v>
      </c>
      <c r="E328" s="26" t="s">
        <v>2093</v>
      </c>
      <c r="F328" s="26" t="s">
        <v>2094</v>
      </c>
      <c r="G328" s="26" t="s">
        <v>3386</v>
      </c>
      <c r="H328" s="26" t="s">
        <v>2101</v>
      </c>
    </row>
    <row r="329" customFormat="false" ht="15" hidden="false" customHeight="false" outlineLevel="0" collapsed="false">
      <c r="A329" s="26" t="s">
        <v>3390</v>
      </c>
      <c r="B329" s="8" t="s">
        <v>3391</v>
      </c>
      <c r="C329" s="26" t="s">
        <v>3392</v>
      </c>
      <c r="D329" s="26" t="s">
        <v>3393</v>
      </c>
      <c r="E329" s="26" t="s">
        <v>2093</v>
      </c>
      <c r="F329" s="26" t="s">
        <v>2094</v>
      </c>
      <c r="G329" s="26" t="s">
        <v>3394</v>
      </c>
      <c r="H329" s="26" t="s">
        <v>2096</v>
      </c>
    </row>
    <row r="330" customFormat="false" ht="15" hidden="false" customHeight="false" outlineLevel="0" collapsed="false">
      <c r="A330" s="26" t="s">
        <v>3395</v>
      </c>
      <c r="B330" s="8" t="s">
        <v>3396</v>
      </c>
      <c r="C330" s="26" t="s">
        <v>3397</v>
      </c>
      <c r="D330" s="26" t="s">
        <v>2777</v>
      </c>
      <c r="E330" s="26" t="s">
        <v>2093</v>
      </c>
      <c r="F330" s="26" t="s">
        <v>2094</v>
      </c>
      <c r="G330" s="26" t="s">
        <v>3394</v>
      </c>
      <c r="H330" s="26" t="s">
        <v>2096</v>
      </c>
    </row>
    <row r="331" customFormat="false" ht="15" hidden="false" customHeight="false" outlineLevel="0" collapsed="false">
      <c r="A331" s="26" t="s">
        <v>3398</v>
      </c>
      <c r="B331" s="8" t="s">
        <v>3399</v>
      </c>
      <c r="C331" s="26" t="s">
        <v>3400</v>
      </c>
      <c r="D331" s="26" t="s">
        <v>3385</v>
      </c>
      <c r="E331" s="26" t="s">
        <v>2093</v>
      </c>
      <c r="F331" s="26" t="s">
        <v>2094</v>
      </c>
      <c r="G331" s="26" t="s">
        <v>3394</v>
      </c>
      <c r="H331" s="26" t="s">
        <v>2101</v>
      </c>
    </row>
    <row r="332" customFormat="false" ht="23.85" hidden="false" customHeight="false" outlineLevel="0" collapsed="false">
      <c r="A332" s="26" t="s">
        <v>3401</v>
      </c>
      <c r="B332" s="8" t="s">
        <v>3402</v>
      </c>
      <c r="C332" s="26" t="s">
        <v>3403</v>
      </c>
      <c r="D332" s="26" t="s">
        <v>3404</v>
      </c>
      <c r="E332" s="26" t="s">
        <v>2093</v>
      </c>
      <c r="F332" s="26" t="s">
        <v>2094</v>
      </c>
      <c r="G332" s="26" t="s">
        <v>3405</v>
      </c>
      <c r="H332" s="26" t="s">
        <v>2131</v>
      </c>
    </row>
    <row r="333" customFormat="false" ht="15" hidden="false" customHeight="false" outlineLevel="0" collapsed="false">
      <c r="A333" s="26" t="s">
        <v>3406</v>
      </c>
      <c r="B333" s="8" t="s">
        <v>3407</v>
      </c>
      <c r="C333" s="26" t="s">
        <v>3408</v>
      </c>
      <c r="D333" s="26" t="s">
        <v>3404</v>
      </c>
      <c r="E333" s="26" t="s">
        <v>2093</v>
      </c>
      <c r="F333" s="26" t="s">
        <v>2106</v>
      </c>
      <c r="G333" s="26" t="s">
        <v>3409</v>
      </c>
      <c r="H333" s="26" t="s">
        <v>2131</v>
      </c>
    </row>
    <row r="334" customFormat="false" ht="23.85" hidden="false" customHeight="false" outlineLevel="0" collapsed="false">
      <c r="A334" s="26" t="s">
        <v>738</v>
      </c>
      <c r="B334" s="8" t="s">
        <v>3410</v>
      </c>
      <c r="C334" s="26" t="s">
        <v>3411</v>
      </c>
      <c r="D334" s="26" t="s">
        <v>3412</v>
      </c>
      <c r="E334" s="26" t="s">
        <v>2093</v>
      </c>
      <c r="F334" s="26" t="s">
        <v>2094</v>
      </c>
      <c r="G334" s="26" t="s">
        <v>3413</v>
      </c>
      <c r="H334" s="26" t="s">
        <v>2096</v>
      </c>
    </row>
    <row r="335" customFormat="false" ht="15" hidden="false" customHeight="false" outlineLevel="0" collapsed="false">
      <c r="A335" s="26" t="s">
        <v>3414</v>
      </c>
      <c r="B335" s="8" t="s">
        <v>3415</v>
      </c>
      <c r="C335" s="26" t="s">
        <v>3416</v>
      </c>
      <c r="D335" s="26" t="s">
        <v>3412</v>
      </c>
      <c r="E335" s="26" t="s">
        <v>2093</v>
      </c>
      <c r="F335" s="26" t="s">
        <v>2094</v>
      </c>
      <c r="G335" s="26" t="s">
        <v>3417</v>
      </c>
      <c r="H335" s="26" t="s">
        <v>2096</v>
      </c>
    </row>
    <row r="336" customFormat="false" ht="15" hidden="false" customHeight="false" outlineLevel="0" collapsed="false">
      <c r="A336" s="26" t="s">
        <v>3418</v>
      </c>
      <c r="B336" s="8" t="s">
        <v>3419</v>
      </c>
      <c r="C336" s="26" t="s">
        <v>3420</v>
      </c>
      <c r="D336" s="26" t="s">
        <v>3421</v>
      </c>
      <c r="E336" s="26" t="s">
        <v>2093</v>
      </c>
      <c r="F336" s="26" t="s">
        <v>2094</v>
      </c>
      <c r="G336" s="26" t="s">
        <v>3413</v>
      </c>
      <c r="H336" s="26" t="s">
        <v>2096</v>
      </c>
    </row>
    <row r="337" customFormat="false" ht="23.85" hidden="false" customHeight="false" outlineLevel="0" collapsed="false">
      <c r="A337" s="26" t="s">
        <v>3422</v>
      </c>
      <c r="B337" s="8" t="s">
        <v>3423</v>
      </c>
      <c r="C337" s="26" t="s">
        <v>3424</v>
      </c>
      <c r="D337" s="26" t="s">
        <v>3369</v>
      </c>
      <c r="E337" s="26" t="s">
        <v>2093</v>
      </c>
      <c r="F337" s="26" t="s">
        <v>2094</v>
      </c>
      <c r="G337" s="26" t="s">
        <v>3425</v>
      </c>
      <c r="H337" s="26" t="s">
        <v>2096</v>
      </c>
    </row>
    <row r="338" customFormat="false" ht="23.85" hidden="false" customHeight="false" outlineLevel="0" collapsed="false">
      <c r="A338" s="26" t="s">
        <v>3426</v>
      </c>
      <c r="B338" s="8" t="s">
        <v>3427</v>
      </c>
      <c r="C338" s="26" t="s">
        <v>3428</v>
      </c>
      <c r="D338" s="26" t="s">
        <v>3369</v>
      </c>
      <c r="E338" s="26" t="s">
        <v>2093</v>
      </c>
      <c r="F338" s="26" t="s">
        <v>2094</v>
      </c>
      <c r="G338" s="26" t="s">
        <v>3429</v>
      </c>
      <c r="H338" s="26" t="s">
        <v>2096</v>
      </c>
    </row>
    <row r="339" customFormat="false" ht="15" hidden="false" customHeight="false" outlineLevel="0" collapsed="false">
      <c r="A339" s="26" t="s">
        <v>3430</v>
      </c>
      <c r="B339" s="8" t="s">
        <v>3431</v>
      </c>
      <c r="C339" s="26" t="s">
        <v>3432</v>
      </c>
      <c r="D339" s="26" t="s">
        <v>3433</v>
      </c>
      <c r="E339" s="26" t="s">
        <v>2093</v>
      </c>
      <c r="F339" s="26" t="s">
        <v>2094</v>
      </c>
      <c r="G339" s="26" t="s">
        <v>3434</v>
      </c>
      <c r="H339" s="26" t="s">
        <v>2096</v>
      </c>
    </row>
    <row r="340" customFormat="false" ht="15" hidden="false" customHeight="false" outlineLevel="0" collapsed="false">
      <c r="A340" s="26" t="s">
        <v>3435</v>
      </c>
      <c r="B340" s="8" t="s">
        <v>3436</v>
      </c>
      <c r="C340" s="26" t="s">
        <v>3437</v>
      </c>
      <c r="D340" s="26" t="s">
        <v>3438</v>
      </c>
      <c r="E340" s="26" t="s">
        <v>2093</v>
      </c>
      <c r="F340" s="26" t="s">
        <v>2094</v>
      </c>
      <c r="G340" s="26" t="s">
        <v>3434</v>
      </c>
      <c r="H340" s="26" t="s">
        <v>2096</v>
      </c>
    </row>
    <row r="341" customFormat="false" ht="15" hidden="false" customHeight="false" outlineLevel="0" collapsed="false">
      <c r="A341" s="26" t="s">
        <v>3439</v>
      </c>
      <c r="B341" s="8" t="s">
        <v>3440</v>
      </c>
      <c r="C341" s="26" t="s">
        <v>3441</v>
      </c>
      <c r="D341" s="26" t="s">
        <v>3438</v>
      </c>
      <c r="E341" s="26" t="s">
        <v>2093</v>
      </c>
      <c r="F341" s="26" t="s">
        <v>2094</v>
      </c>
      <c r="G341" s="26" t="s">
        <v>3434</v>
      </c>
      <c r="H341" s="26" t="s">
        <v>2096</v>
      </c>
    </row>
    <row r="342" customFormat="false" ht="15" hidden="false" customHeight="false" outlineLevel="0" collapsed="false">
      <c r="A342" s="26" t="s">
        <v>3442</v>
      </c>
      <c r="B342" s="8" t="s">
        <v>3443</v>
      </c>
      <c r="C342" s="26" t="s">
        <v>3444</v>
      </c>
      <c r="D342" s="26" t="s">
        <v>3445</v>
      </c>
      <c r="E342" s="26" t="s">
        <v>2093</v>
      </c>
      <c r="F342" s="26" t="s">
        <v>2094</v>
      </c>
      <c r="G342" s="26" t="s">
        <v>3446</v>
      </c>
      <c r="H342" s="26" t="s">
        <v>2101</v>
      </c>
    </row>
    <row r="343" customFormat="false" ht="15" hidden="false" customHeight="false" outlineLevel="0" collapsed="false">
      <c r="A343" s="26" t="s">
        <v>3447</v>
      </c>
      <c r="B343" s="8" t="s">
        <v>3448</v>
      </c>
      <c r="C343" s="26" t="s">
        <v>3449</v>
      </c>
      <c r="D343" s="26" t="s">
        <v>3445</v>
      </c>
      <c r="E343" s="26" t="s">
        <v>2093</v>
      </c>
      <c r="F343" s="26" t="s">
        <v>2094</v>
      </c>
      <c r="G343" s="26" t="s">
        <v>3450</v>
      </c>
      <c r="H343" s="26" t="s">
        <v>2101</v>
      </c>
    </row>
    <row r="344" customFormat="false" ht="15" hidden="false" customHeight="false" outlineLevel="0" collapsed="false">
      <c r="A344" s="26" t="s">
        <v>3451</v>
      </c>
      <c r="B344" s="8" t="s">
        <v>3452</v>
      </c>
      <c r="C344" s="26" t="s">
        <v>3453</v>
      </c>
      <c r="D344" s="26" t="s">
        <v>3454</v>
      </c>
      <c r="E344" s="26" t="s">
        <v>2093</v>
      </c>
      <c r="F344" s="26" t="s">
        <v>2094</v>
      </c>
      <c r="G344" s="26" t="s">
        <v>3446</v>
      </c>
      <c r="H344" s="26" t="s">
        <v>2101</v>
      </c>
    </row>
    <row r="345" customFormat="false" ht="15" hidden="false" customHeight="false" outlineLevel="0" collapsed="false">
      <c r="A345" s="26" t="s">
        <v>3455</v>
      </c>
      <c r="B345" s="8" t="s">
        <v>3456</v>
      </c>
      <c r="C345" s="26" t="s">
        <v>3457</v>
      </c>
      <c r="D345" s="26" t="s">
        <v>3458</v>
      </c>
      <c r="E345" s="26" t="s">
        <v>2093</v>
      </c>
      <c r="F345" s="26" t="s">
        <v>2094</v>
      </c>
      <c r="G345" s="26" t="s">
        <v>3459</v>
      </c>
      <c r="H345" s="26" t="s">
        <v>2101</v>
      </c>
    </row>
    <row r="346" customFormat="false" ht="15" hidden="false" customHeight="false" outlineLevel="0" collapsed="false">
      <c r="A346" s="26" t="s">
        <v>3460</v>
      </c>
      <c r="B346" s="8" t="s">
        <v>3461</v>
      </c>
      <c r="C346" s="26" t="s">
        <v>3462</v>
      </c>
      <c r="D346" s="26" t="s">
        <v>3463</v>
      </c>
      <c r="E346" s="26" t="s">
        <v>2093</v>
      </c>
      <c r="F346" s="26" t="s">
        <v>2094</v>
      </c>
      <c r="G346" s="26" t="s">
        <v>3464</v>
      </c>
      <c r="H346" s="26" t="s">
        <v>2101</v>
      </c>
    </row>
    <row r="347" customFormat="false" ht="15" hidden="false" customHeight="false" outlineLevel="0" collapsed="false">
      <c r="A347" s="26" t="s">
        <v>3465</v>
      </c>
      <c r="B347" s="8" t="s">
        <v>3466</v>
      </c>
      <c r="C347" s="26" t="s">
        <v>3467</v>
      </c>
      <c r="D347" s="26" t="s">
        <v>3104</v>
      </c>
      <c r="E347" s="26" t="s">
        <v>2093</v>
      </c>
      <c r="F347" s="26" t="s">
        <v>2094</v>
      </c>
      <c r="G347" s="26" t="s">
        <v>3464</v>
      </c>
      <c r="H347" s="26" t="s">
        <v>2101</v>
      </c>
    </row>
    <row r="348" customFormat="false" ht="23.85" hidden="false" customHeight="false" outlineLevel="0" collapsed="false">
      <c r="A348" s="26" t="s">
        <v>3468</v>
      </c>
      <c r="B348" s="8" t="s">
        <v>3469</v>
      </c>
      <c r="C348" s="26" t="s">
        <v>3470</v>
      </c>
      <c r="D348" s="26" t="s">
        <v>3104</v>
      </c>
      <c r="E348" s="26" t="s">
        <v>2093</v>
      </c>
      <c r="F348" s="26" t="s">
        <v>2094</v>
      </c>
      <c r="G348" s="26" t="s">
        <v>3471</v>
      </c>
      <c r="H348" s="26" t="s">
        <v>2101</v>
      </c>
    </row>
    <row r="349" customFormat="false" ht="15" hidden="false" customHeight="false" outlineLevel="0" collapsed="false">
      <c r="A349" s="26" t="s">
        <v>3472</v>
      </c>
      <c r="B349" s="8" t="s">
        <v>3473</v>
      </c>
      <c r="C349" s="26" t="s">
        <v>3474</v>
      </c>
      <c r="D349" s="26" t="s">
        <v>3393</v>
      </c>
      <c r="E349" s="26" t="s">
        <v>2093</v>
      </c>
      <c r="F349" s="26" t="s">
        <v>2094</v>
      </c>
      <c r="G349" s="26" t="s">
        <v>3475</v>
      </c>
      <c r="H349" s="26" t="s">
        <v>2096</v>
      </c>
    </row>
    <row r="350" customFormat="false" ht="15" hidden="false" customHeight="false" outlineLevel="0" collapsed="false">
      <c r="A350" s="26" t="s">
        <v>3476</v>
      </c>
      <c r="B350" s="8" t="s">
        <v>3477</v>
      </c>
      <c r="C350" s="26" t="s">
        <v>3478</v>
      </c>
      <c r="D350" s="26" t="s">
        <v>3385</v>
      </c>
      <c r="E350" s="26" t="s">
        <v>2093</v>
      </c>
      <c r="F350" s="26" t="s">
        <v>2094</v>
      </c>
      <c r="G350" s="26" t="s">
        <v>3475</v>
      </c>
      <c r="H350" s="26" t="s">
        <v>2101</v>
      </c>
    </row>
    <row r="351" customFormat="false" ht="15" hidden="false" customHeight="false" outlineLevel="0" collapsed="false">
      <c r="A351" s="26" t="s">
        <v>3479</v>
      </c>
      <c r="B351" s="8" t="s">
        <v>3480</v>
      </c>
      <c r="C351" s="26" t="s">
        <v>3481</v>
      </c>
      <c r="D351" s="26" t="s">
        <v>3385</v>
      </c>
      <c r="E351" s="26" t="s">
        <v>2093</v>
      </c>
      <c r="F351" s="26" t="s">
        <v>2094</v>
      </c>
      <c r="G351" s="26" t="s">
        <v>3475</v>
      </c>
      <c r="H351" s="26" t="s">
        <v>2131</v>
      </c>
    </row>
    <row r="352" customFormat="false" ht="15" hidden="false" customHeight="false" outlineLevel="0" collapsed="false">
      <c r="A352" s="26" t="s">
        <v>3482</v>
      </c>
      <c r="B352" s="8" t="s">
        <v>3483</v>
      </c>
      <c r="C352" s="26" t="s">
        <v>3484</v>
      </c>
      <c r="D352" s="26" t="s">
        <v>3385</v>
      </c>
      <c r="E352" s="26" t="s">
        <v>2093</v>
      </c>
      <c r="F352" s="26" t="s">
        <v>2106</v>
      </c>
      <c r="G352" s="26" t="s">
        <v>3475</v>
      </c>
      <c r="H352" s="26" t="s">
        <v>2131</v>
      </c>
    </row>
    <row r="353" customFormat="false" ht="15" hidden="false" customHeight="false" outlineLevel="0" collapsed="false">
      <c r="A353" s="26" t="s">
        <v>3485</v>
      </c>
      <c r="B353" s="8" t="s">
        <v>3486</v>
      </c>
      <c r="C353" s="26" t="s">
        <v>3487</v>
      </c>
      <c r="D353" s="26" t="s">
        <v>3404</v>
      </c>
      <c r="E353" s="26" t="s">
        <v>2093</v>
      </c>
      <c r="F353" s="26" t="s">
        <v>2106</v>
      </c>
      <c r="G353" s="26" t="s">
        <v>3475</v>
      </c>
      <c r="H353" s="26" t="s">
        <v>2131</v>
      </c>
    </row>
    <row r="354" customFormat="false" ht="15" hidden="false" customHeight="false" outlineLevel="0" collapsed="false">
      <c r="A354" s="26" t="s">
        <v>3488</v>
      </c>
      <c r="B354" s="8" t="s">
        <v>3489</v>
      </c>
      <c r="C354" s="26" t="s">
        <v>3490</v>
      </c>
      <c r="D354" s="26" t="s">
        <v>3385</v>
      </c>
      <c r="E354" s="26" t="s">
        <v>2093</v>
      </c>
      <c r="F354" s="26" t="s">
        <v>2094</v>
      </c>
      <c r="G354" s="26" t="s">
        <v>3491</v>
      </c>
      <c r="H354" s="26" t="s">
        <v>2101</v>
      </c>
    </row>
    <row r="355" customFormat="false" ht="15" hidden="false" customHeight="false" outlineLevel="0" collapsed="false">
      <c r="A355" s="26" t="s">
        <v>3492</v>
      </c>
      <c r="B355" s="8" t="s">
        <v>3493</v>
      </c>
      <c r="C355" s="26" t="s">
        <v>3494</v>
      </c>
      <c r="D355" s="26" t="s">
        <v>2777</v>
      </c>
      <c r="E355" s="26" t="s">
        <v>2093</v>
      </c>
      <c r="F355" s="26" t="s">
        <v>2094</v>
      </c>
      <c r="G355" s="26" t="s">
        <v>3491</v>
      </c>
      <c r="H355" s="26" t="s">
        <v>2101</v>
      </c>
    </row>
    <row r="356" customFormat="false" ht="15" hidden="false" customHeight="false" outlineLevel="0" collapsed="false">
      <c r="A356" s="26" t="s">
        <v>3495</v>
      </c>
      <c r="B356" s="8" t="s">
        <v>3496</v>
      </c>
      <c r="C356" s="26" t="s">
        <v>3497</v>
      </c>
      <c r="D356" s="26" t="s">
        <v>3498</v>
      </c>
      <c r="E356" s="26" t="s">
        <v>2093</v>
      </c>
      <c r="F356" s="26" t="s">
        <v>2106</v>
      </c>
      <c r="G356" s="26" t="s">
        <v>3491</v>
      </c>
      <c r="H356" s="26" t="s">
        <v>2101</v>
      </c>
    </row>
    <row r="357" customFormat="false" ht="15" hidden="false" customHeight="false" outlineLevel="0" collapsed="false">
      <c r="A357" s="26" t="s">
        <v>3499</v>
      </c>
      <c r="B357" s="8" t="s">
        <v>3500</v>
      </c>
      <c r="C357" s="26" t="s">
        <v>3501</v>
      </c>
      <c r="D357" s="26" t="s">
        <v>2866</v>
      </c>
      <c r="E357" s="26" t="s">
        <v>2093</v>
      </c>
      <c r="F357" s="26" t="s">
        <v>2106</v>
      </c>
      <c r="G357" s="26" t="s">
        <v>3491</v>
      </c>
      <c r="H357" s="26" t="s">
        <v>2131</v>
      </c>
    </row>
    <row r="358" customFormat="false" ht="15" hidden="false" customHeight="false" outlineLevel="0" collapsed="false">
      <c r="A358" s="26" t="s">
        <v>3502</v>
      </c>
      <c r="B358" s="8" t="s">
        <v>3503</v>
      </c>
      <c r="C358" s="26" t="s">
        <v>3504</v>
      </c>
      <c r="D358" s="26" t="s">
        <v>3505</v>
      </c>
      <c r="E358" s="26" t="s">
        <v>2093</v>
      </c>
      <c r="F358" s="26" t="s">
        <v>2094</v>
      </c>
      <c r="G358" s="26" t="s">
        <v>3506</v>
      </c>
      <c r="H358" s="26" t="s">
        <v>2096</v>
      </c>
    </row>
    <row r="359" customFormat="false" ht="15" hidden="false" customHeight="false" outlineLevel="0" collapsed="false">
      <c r="A359" s="26" t="s">
        <v>3507</v>
      </c>
      <c r="B359" s="8" t="s">
        <v>3508</v>
      </c>
      <c r="C359" s="26" t="s">
        <v>3509</v>
      </c>
      <c r="D359" s="26" t="s">
        <v>3505</v>
      </c>
      <c r="E359" s="26" t="s">
        <v>2093</v>
      </c>
      <c r="F359" s="26" t="s">
        <v>2094</v>
      </c>
      <c r="G359" s="26" t="s">
        <v>3506</v>
      </c>
      <c r="H359" s="26" t="s">
        <v>2096</v>
      </c>
    </row>
    <row r="360" customFormat="false" ht="23.85" hidden="false" customHeight="false" outlineLevel="0" collapsed="false">
      <c r="A360" s="26" t="s">
        <v>543</v>
      </c>
      <c r="B360" s="8" t="s">
        <v>3510</v>
      </c>
      <c r="C360" s="26" t="s">
        <v>3511</v>
      </c>
      <c r="D360" s="26" t="s">
        <v>3512</v>
      </c>
      <c r="E360" s="26" t="s">
        <v>2093</v>
      </c>
      <c r="F360" s="26" t="s">
        <v>2094</v>
      </c>
      <c r="G360" s="26" t="s">
        <v>3513</v>
      </c>
      <c r="H360" s="26" t="s">
        <v>2096</v>
      </c>
    </row>
    <row r="361" customFormat="false" ht="23.85" hidden="false" customHeight="false" outlineLevel="0" collapsed="false">
      <c r="A361" s="26" t="s">
        <v>3514</v>
      </c>
      <c r="B361" s="8" t="s">
        <v>3515</v>
      </c>
      <c r="C361" s="26" t="s">
        <v>3516</v>
      </c>
      <c r="D361" s="26" t="s">
        <v>3517</v>
      </c>
      <c r="E361" s="26" t="s">
        <v>2093</v>
      </c>
      <c r="F361" s="26" t="s">
        <v>2094</v>
      </c>
      <c r="G361" s="26" t="s">
        <v>3513</v>
      </c>
      <c r="H361" s="26" t="s">
        <v>2101</v>
      </c>
    </row>
    <row r="362" customFormat="false" ht="15" hidden="false" customHeight="false" outlineLevel="0" collapsed="false">
      <c r="A362" s="26" t="s">
        <v>3518</v>
      </c>
      <c r="B362" s="8" t="s">
        <v>3519</v>
      </c>
      <c r="C362" s="26" t="s">
        <v>3520</v>
      </c>
      <c r="D362" s="26" t="s">
        <v>3517</v>
      </c>
      <c r="E362" s="26" t="s">
        <v>2093</v>
      </c>
      <c r="F362" s="26" t="s">
        <v>2094</v>
      </c>
      <c r="G362" s="26" t="s">
        <v>3513</v>
      </c>
      <c r="H362" s="26" t="s">
        <v>2101</v>
      </c>
    </row>
    <row r="363" customFormat="false" ht="23.85" hidden="false" customHeight="false" outlineLevel="0" collapsed="false">
      <c r="A363" s="26" t="s">
        <v>3521</v>
      </c>
      <c r="B363" s="8" t="s">
        <v>3522</v>
      </c>
      <c r="C363" s="26" t="s">
        <v>3523</v>
      </c>
      <c r="D363" s="26" t="s">
        <v>3104</v>
      </c>
      <c r="E363" s="26" t="s">
        <v>2093</v>
      </c>
      <c r="F363" s="26" t="s">
        <v>2094</v>
      </c>
      <c r="G363" s="26" t="s">
        <v>3524</v>
      </c>
      <c r="H363" s="26" t="s">
        <v>2101</v>
      </c>
    </row>
    <row r="364" customFormat="false" ht="23.85" hidden="false" customHeight="false" outlineLevel="0" collapsed="false">
      <c r="A364" s="26" t="s">
        <v>3525</v>
      </c>
      <c r="B364" s="8" t="s">
        <v>3526</v>
      </c>
      <c r="C364" s="26" t="s">
        <v>3527</v>
      </c>
      <c r="D364" s="26" t="s">
        <v>3528</v>
      </c>
      <c r="E364" s="26" t="s">
        <v>2093</v>
      </c>
      <c r="F364" s="26" t="s">
        <v>2106</v>
      </c>
      <c r="G364" s="26" t="s">
        <v>3524</v>
      </c>
      <c r="H364" s="26" t="s">
        <v>2101</v>
      </c>
    </row>
    <row r="365" customFormat="false" ht="23.85" hidden="false" customHeight="false" outlineLevel="0" collapsed="false">
      <c r="A365" s="26" t="s">
        <v>3529</v>
      </c>
      <c r="B365" s="8" t="s">
        <v>3530</v>
      </c>
      <c r="C365" s="26" t="s">
        <v>3531</v>
      </c>
      <c r="D365" s="26" t="s">
        <v>3528</v>
      </c>
      <c r="E365" s="26" t="s">
        <v>2093</v>
      </c>
      <c r="F365" s="26" t="s">
        <v>2106</v>
      </c>
      <c r="G365" s="26" t="s">
        <v>3524</v>
      </c>
      <c r="H365" s="26" t="s">
        <v>2101</v>
      </c>
    </row>
    <row r="366" customFormat="false" ht="15" hidden="false" customHeight="false" outlineLevel="0" collapsed="false">
      <c r="A366" s="26" t="s">
        <v>3532</v>
      </c>
      <c r="B366" s="8" t="s">
        <v>3533</v>
      </c>
      <c r="C366" s="26" t="s">
        <v>3534</v>
      </c>
      <c r="D366" s="26" t="s">
        <v>3104</v>
      </c>
      <c r="E366" s="26" t="s">
        <v>2093</v>
      </c>
      <c r="F366" s="26" t="s">
        <v>2106</v>
      </c>
      <c r="G366" s="26" t="s">
        <v>3524</v>
      </c>
      <c r="H366" s="26" t="s">
        <v>2131</v>
      </c>
    </row>
    <row r="367" customFormat="false" ht="15" hidden="false" customHeight="false" outlineLevel="0" collapsed="false">
      <c r="A367" s="26" t="s">
        <v>3535</v>
      </c>
      <c r="B367" s="8" t="s">
        <v>3536</v>
      </c>
      <c r="C367" s="26" t="s">
        <v>3537</v>
      </c>
      <c r="D367" s="26" t="s">
        <v>3538</v>
      </c>
      <c r="E367" s="26" t="s">
        <v>2093</v>
      </c>
      <c r="F367" s="26" t="s">
        <v>2094</v>
      </c>
      <c r="G367" s="26" t="s">
        <v>3539</v>
      </c>
      <c r="H367" s="26" t="s">
        <v>2101</v>
      </c>
    </row>
    <row r="368" customFormat="false" ht="15" hidden="false" customHeight="false" outlineLevel="0" collapsed="false">
      <c r="A368" s="26" t="s">
        <v>3540</v>
      </c>
      <c r="B368" s="8" t="s">
        <v>3541</v>
      </c>
      <c r="C368" s="26" t="s">
        <v>3542</v>
      </c>
      <c r="D368" s="26" t="s">
        <v>3104</v>
      </c>
      <c r="E368" s="26" t="s">
        <v>2093</v>
      </c>
      <c r="F368" s="26" t="s">
        <v>2106</v>
      </c>
      <c r="G368" s="26" t="s">
        <v>3543</v>
      </c>
      <c r="H368" s="26" t="s">
        <v>2131</v>
      </c>
    </row>
    <row r="369" customFormat="false" ht="23.85" hidden="false" customHeight="false" outlineLevel="0" collapsed="false">
      <c r="A369" s="26" t="s">
        <v>3544</v>
      </c>
      <c r="B369" s="8" t="s">
        <v>3545</v>
      </c>
      <c r="C369" s="26" t="s">
        <v>3546</v>
      </c>
      <c r="D369" s="26" t="s">
        <v>3104</v>
      </c>
      <c r="E369" s="26" t="s">
        <v>2093</v>
      </c>
      <c r="F369" s="26" t="s">
        <v>2106</v>
      </c>
      <c r="G369" s="26" t="s">
        <v>3547</v>
      </c>
      <c r="H369" s="26" t="s">
        <v>2131</v>
      </c>
    </row>
    <row r="370" customFormat="false" ht="15" hidden="false" customHeight="false" outlineLevel="0" collapsed="false">
      <c r="A370" s="26" t="s">
        <v>3548</v>
      </c>
      <c r="B370" s="8" t="s">
        <v>3549</v>
      </c>
      <c r="C370" s="26" t="s">
        <v>3550</v>
      </c>
      <c r="D370" s="26" t="s">
        <v>3104</v>
      </c>
      <c r="E370" s="26" t="s">
        <v>2093</v>
      </c>
      <c r="F370" s="26" t="s">
        <v>2106</v>
      </c>
      <c r="G370" s="26" t="s">
        <v>3551</v>
      </c>
      <c r="H370" s="26" t="s">
        <v>2101</v>
      </c>
    </row>
    <row r="371" customFormat="false" ht="15" hidden="false" customHeight="false" outlineLevel="0" collapsed="false">
      <c r="A371" s="26" t="s">
        <v>3552</v>
      </c>
      <c r="B371" s="8" t="s">
        <v>3553</v>
      </c>
      <c r="C371" s="26" t="s">
        <v>3554</v>
      </c>
      <c r="D371" s="26" t="s">
        <v>3104</v>
      </c>
      <c r="E371" s="26" t="s">
        <v>2093</v>
      </c>
      <c r="F371" s="26" t="s">
        <v>2094</v>
      </c>
      <c r="G371" s="26" t="s">
        <v>3551</v>
      </c>
      <c r="H371" s="26" t="s">
        <v>2101</v>
      </c>
    </row>
    <row r="372" customFormat="false" ht="15" hidden="false" customHeight="false" outlineLevel="0" collapsed="false">
      <c r="A372" s="26" t="s">
        <v>3555</v>
      </c>
      <c r="B372" s="8" t="s">
        <v>3556</v>
      </c>
      <c r="C372" s="26" t="s">
        <v>3557</v>
      </c>
      <c r="D372" s="26" t="s">
        <v>2827</v>
      </c>
      <c r="E372" s="26" t="s">
        <v>2093</v>
      </c>
      <c r="F372" s="26" t="s">
        <v>2094</v>
      </c>
      <c r="G372" s="26" t="s">
        <v>3551</v>
      </c>
      <c r="H372" s="26" t="s">
        <v>2096</v>
      </c>
    </row>
    <row r="373" customFormat="false" ht="23.85" hidden="false" customHeight="false" outlineLevel="0" collapsed="false">
      <c r="A373" s="26" t="s">
        <v>3558</v>
      </c>
      <c r="B373" s="8" t="s">
        <v>3559</v>
      </c>
      <c r="C373" s="26" t="s">
        <v>3560</v>
      </c>
      <c r="D373" s="26" t="s">
        <v>3561</v>
      </c>
      <c r="E373" s="26" t="s">
        <v>2093</v>
      </c>
      <c r="F373" s="26" t="s">
        <v>2106</v>
      </c>
      <c r="G373" s="26" t="s">
        <v>3551</v>
      </c>
      <c r="H373" s="26" t="s">
        <v>2131</v>
      </c>
    </row>
    <row r="374" customFormat="false" ht="23.85" hidden="false" customHeight="false" outlineLevel="0" collapsed="false">
      <c r="A374" s="26" t="s">
        <v>3562</v>
      </c>
      <c r="B374" s="8" t="s">
        <v>3563</v>
      </c>
      <c r="C374" s="26" t="s">
        <v>3564</v>
      </c>
      <c r="D374" s="26" t="s">
        <v>3565</v>
      </c>
      <c r="E374" s="26" t="s">
        <v>2093</v>
      </c>
      <c r="F374" s="26" t="s">
        <v>2094</v>
      </c>
      <c r="G374" s="26" t="s">
        <v>3566</v>
      </c>
      <c r="H374" s="26" t="s">
        <v>2096</v>
      </c>
    </row>
    <row r="375" customFormat="false" ht="15" hidden="false" customHeight="false" outlineLevel="0" collapsed="false">
      <c r="A375" s="26" t="s">
        <v>3567</v>
      </c>
      <c r="B375" s="8" t="s">
        <v>3568</v>
      </c>
      <c r="C375" s="26" t="s">
        <v>3569</v>
      </c>
      <c r="D375" s="26" t="s">
        <v>3570</v>
      </c>
      <c r="E375" s="26" t="s">
        <v>2093</v>
      </c>
      <c r="F375" s="26" t="s">
        <v>2094</v>
      </c>
      <c r="G375" s="26" t="s">
        <v>3571</v>
      </c>
      <c r="H375" s="26" t="s">
        <v>2101</v>
      </c>
    </row>
    <row r="376" customFormat="false" ht="15" hidden="false" customHeight="false" outlineLevel="0" collapsed="false">
      <c r="A376" s="26" t="s">
        <v>3572</v>
      </c>
      <c r="B376" s="8" t="s">
        <v>3573</v>
      </c>
      <c r="C376" s="26" t="s">
        <v>3574</v>
      </c>
      <c r="D376" s="26" t="s">
        <v>3570</v>
      </c>
      <c r="E376" s="26" t="s">
        <v>2093</v>
      </c>
      <c r="F376" s="26" t="s">
        <v>2094</v>
      </c>
      <c r="G376" s="26" t="s">
        <v>3571</v>
      </c>
      <c r="H376" s="26" t="s">
        <v>2101</v>
      </c>
    </row>
    <row r="377" customFormat="false" ht="15" hidden="false" customHeight="false" outlineLevel="0" collapsed="false">
      <c r="A377" s="26" t="s">
        <v>3575</v>
      </c>
      <c r="B377" s="8" t="s">
        <v>3576</v>
      </c>
      <c r="C377" s="26" t="s">
        <v>3577</v>
      </c>
      <c r="D377" s="26" t="s">
        <v>3570</v>
      </c>
      <c r="E377" s="26" t="s">
        <v>2093</v>
      </c>
      <c r="F377" s="26" t="s">
        <v>2094</v>
      </c>
      <c r="G377" s="26" t="s">
        <v>3571</v>
      </c>
      <c r="H377" s="26" t="s">
        <v>2101</v>
      </c>
    </row>
    <row r="378" customFormat="false" ht="15" hidden="false" customHeight="false" outlineLevel="0" collapsed="false">
      <c r="A378" s="26" t="s">
        <v>3578</v>
      </c>
      <c r="B378" s="8" t="s">
        <v>3579</v>
      </c>
      <c r="C378" s="26" t="s">
        <v>3580</v>
      </c>
      <c r="D378" s="26" t="s">
        <v>3570</v>
      </c>
      <c r="E378" s="26" t="s">
        <v>2093</v>
      </c>
      <c r="F378" s="26" t="s">
        <v>2094</v>
      </c>
      <c r="G378" s="26" t="s">
        <v>3571</v>
      </c>
      <c r="H378" s="26" t="s">
        <v>2101</v>
      </c>
    </row>
    <row r="379" customFormat="false" ht="15" hidden="false" customHeight="false" outlineLevel="0" collapsed="false">
      <c r="A379" s="26" t="s">
        <v>3581</v>
      </c>
      <c r="B379" s="8" t="s">
        <v>3582</v>
      </c>
      <c r="C379" s="26" t="s">
        <v>3583</v>
      </c>
      <c r="D379" s="26" t="s">
        <v>3570</v>
      </c>
      <c r="E379" s="26" t="s">
        <v>2093</v>
      </c>
      <c r="F379" s="26" t="s">
        <v>2094</v>
      </c>
      <c r="G379" s="26" t="s">
        <v>3571</v>
      </c>
      <c r="H379" s="26" t="s">
        <v>2101</v>
      </c>
    </row>
    <row r="380" customFormat="false" ht="23.85" hidden="false" customHeight="false" outlineLevel="0" collapsed="false">
      <c r="A380" s="26" t="s">
        <v>3584</v>
      </c>
      <c r="B380" s="8" t="s">
        <v>3585</v>
      </c>
      <c r="C380" s="26" t="s">
        <v>3586</v>
      </c>
      <c r="D380" s="26" t="s">
        <v>3587</v>
      </c>
      <c r="E380" s="26" t="s">
        <v>2093</v>
      </c>
      <c r="F380" s="26" t="s">
        <v>2094</v>
      </c>
      <c r="G380" s="26" t="s">
        <v>3588</v>
      </c>
      <c r="H380" s="26" t="s">
        <v>2101</v>
      </c>
    </row>
    <row r="381" customFormat="false" ht="23.85" hidden="false" customHeight="false" outlineLevel="0" collapsed="false">
      <c r="A381" s="26" t="s">
        <v>3589</v>
      </c>
      <c r="B381" s="8" t="s">
        <v>3590</v>
      </c>
      <c r="C381" s="26" t="s">
        <v>3591</v>
      </c>
      <c r="D381" s="26" t="s">
        <v>3104</v>
      </c>
      <c r="E381" s="26" t="s">
        <v>2093</v>
      </c>
      <c r="F381" s="26" t="s">
        <v>2106</v>
      </c>
      <c r="G381" s="26" t="s">
        <v>3588</v>
      </c>
      <c r="H381" s="26" t="s">
        <v>2101</v>
      </c>
    </row>
    <row r="382" customFormat="false" ht="15" hidden="false" customHeight="false" outlineLevel="0" collapsed="false">
      <c r="A382" s="26" t="s">
        <v>3592</v>
      </c>
      <c r="B382" s="8" t="s">
        <v>3593</v>
      </c>
      <c r="C382" s="26" t="s">
        <v>3594</v>
      </c>
      <c r="D382" s="26" t="s">
        <v>3595</v>
      </c>
      <c r="E382" s="26" t="s">
        <v>2093</v>
      </c>
      <c r="F382" s="26" t="s">
        <v>2094</v>
      </c>
      <c r="G382" s="26" t="s">
        <v>3588</v>
      </c>
      <c r="H382" s="26" t="s">
        <v>2101</v>
      </c>
    </row>
    <row r="383" customFormat="false" ht="15" hidden="false" customHeight="false" outlineLevel="0" collapsed="false">
      <c r="A383" s="26" t="s">
        <v>3596</v>
      </c>
      <c r="B383" s="8" t="s">
        <v>3597</v>
      </c>
      <c r="C383" s="26" t="s">
        <v>3598</v>
      </c>
      <c r="D383" s="26" t="s">
        <v>3599</v>
      </c>
      <c r="E383" s="26" t="s">
        <v>2093</v>
      </c>
      <c r="F383" s="26" t="s">
        <v>2106</v>
      </c>
      <c r="G383" s="26" t="s">
        <v>3588</v>
      </c>
      <c r="H383" s="26" t="s">
        <v>2131</v>
      </c>
    </row>
    <row r="384" customFormat="false" ht="15" hidden="false" customHeight="false" outlineLevel="0" collapsed="false">
      <c r="A384" s="26" t="s">
        <v>3600</v>
      </c>
      <c r="B384" s="8" t="s">
        <v>3601</v>
      </c>
      <c r="C384" s="26" t="s">
        <v>3602</v>
      </c>
      <c r="D384" s="26" t="s">
        <v>3565</v>
      </c>
      <c r="E384" s="26" t="s">
        <v>2093</v>
      </c>
      <c r="F384" s="26" t="s">
        <v>2094</v>
      </c>
      <c r="G384" s="26" t="s">
        <v>3603</v>
      </c>
      <c r="H384" s="26" t="s">
        <v>2096</v>
      </c>
    </row>
    <row r="385" customFormat="false" ht="23.85" hidden="false" customHeight="false" outlineLevel="0" collapsed="false">
      <c r="A385" s="26" t="s">
        <v>3604</v>
      </c>
      <c r="B385" s="8" t="s">
        <v>3605</v>
      </c>
      <c r="C385" s="26" t="s">
        <v>3606</v>
      </c>
      <c r="D385" s="26" t="s">
        <v>3607</v>
      </c>
      <c r="E385" s="26" t="s">
        <v>2093</v>
      </c>
      <c r="F385" s="26" t="s">
        <v>2094</v>
      </c>
      <c r="G385" s="26" t="s">
        <v>3608</v>
      </c>
      <c r="H385" s="26" t="s">
        <v>2096</v>
      </c>
    </row>
    <row r="386" customFormat="false" ht="23.85" hidden="false" customHeight="false" outlineLevel="0" collapsed="false">
      <c r="A386" s="26" t="s">
        <v>3609</v>
      </c>
      <c r="B386" s="8" t="s">
        <v>3610</v>
      </c>
      <c r="C386" s="26" t="s">
        <v>3611</v>
      </c>
      <c r="D386" s="26" t="s">
        <v>3612</v>
      </c>
      <c r="E386" s="26" t="s">
        <v>2093</v>
      </c>
      <c r="F386" s="26" t="s">
        <v>2094</v>
      </c>
      <c r="G386" s="26" t="s">
        <v>3613</v>
      </c>
      <c r="H386" s="26" t="s">
        <v>2096</v>
      </c>
    </row>
    <row r="387" customFormat="false" ht="23.85" hidden="false" customHeight="false" outlineLevel="0" collapsed="false">
      <c r="A387" s="26" t="s">
        <v>3614</v>
      </c>
      <c r="B387" s="8" t="s">
        <v>3615</v>
      </c>
      <c r="C387" s="26" t="s">
        <v>3616</v>
      </c>
      <c r="D387" s="26" t="s">
        <v>3617</v>
      </c>
      <c r="E387" s="26" t="s">
        <v>2093</v>
      </c>
      <c r="F387" s="26" t="s">
        <v>2094</v>
      </c>
      <c r="G387" s="26" t="s">
        <v>3613</v>
      </c>
      <c r="H387" s="26" t="s">
        <v>2096</v>
      </c>
    </row>
    <row r="388" customFormat="false" ht="23.85" hidden="false" customHeight="false" outlineLevel="0" collapsed="false">
      <c r="A388" s="26" t="s">
        <v>3618</v>
      </c>
      <c r="B388" s="8" t="s">
        <v>3619</v>
      </c>
      <c r="C388" s="26" t="s">
        <v>2783</v>
      </c>
      <c r="D388" s="26" t="s">
        <v>2784</v>
      </c>
      <c r="E388" s="26" t="s">
        <v>2093</v>
      </c>
      <c r="F388" s="26" t="s">
        <v>2106</v>
      </c>
      <c r="G388" s="26" t="s">
        <v>3613</v>
      </c>
      <c r="H388" s="26" t="s">
        <v>2101</v>
      </c>
    </row>
    <row r="389" customFormat="false" ht="15" hidden="false" customHeight="false" outlineLevel="0" collapsed="false">
      <c r="A389" s="26" t="s">
        <v>3620</v>
      </c>
      <c r="B389" s="8" t="s">
        <v>3621</v>
      </c>
      <c r="C389" s="26" t="s">
        <v>3622</v>
      </c>
      <c r="D389" s="26" t="s">
        <v>2777</v>
      </c>
      <c r="E389" s="26" t="s">
        <v>2093</v>
      </c>
      <c r="F389" s="26" t="s">
        <v>2094</v>
      </c>
      <c r="G389" s="26" t="s">
        <v>3623</v>
      </c>
      <c r="H389" s="26" t="s">
        <v>2096</v>
      </c>
    </row>
    <row r="390" customFormat="false" ht="15" hidden="false" customHeight="false" outlineLevel="0" collapsed="false">
      <c r="A390" s="26" t="s">
        <v>3624</v>
      </c>
      <c r="B390" s="8" t="s">
        <v>3625</v>
      </c>
      <c r="C390" s="26" t="s">
        <v>3626</v>
      </c>
      <c r="D390" s="26" t="s">
        <v>2777</v>
      </c>
      <c r="E390" s="26" t="s">
        <v>2093</v>
      </c>
      <c r="F390" s="26" t="s">
        <v>2094</v>
      </c>
      <c r="G390" s="26" t="s">
        <v>3627</v>
      </c>
      <c r="H390" s="26" t="s">
        <v>2096</v>
      </c>
    </row>
    <row r="391" customFormat="false" ht="15" hidden="false" customHeight="false" outlineLevel="0" collapsed="false">
      <c r="A391" s="26" t="s">
        <v>3628</v>
      </c>
      <c r="B391" s="8" t="s">
        <v>3629</v>
      </c>
      <c r="C391" s="26" t="s">
        <v>3630</v>
      </c>
      <c r="D391" s="26" t="s">
        <v>2777</v>
      </c>
      <c r="E391" s="26" t="s">
        <v>2093</v>
      </c>
      <c r="F391" s="26" t="s">
        <v>2094</v>
      </c>
      <c r="G391" s="26" t="s">
        <v>3623</v>
      </c>
      <c r="H391" s="26" t="s">
        <v>2096</v>
      </c>
    </row>
    <row r="392" customFormat="false" ht="15" hidden="false" customHeight="false" outlineLevel="0" collapsed="false">
      <c r="A392" s="26" t="s">
        <v>3631</v>
      </c>
      <c r="B392" s="8" t="s">
        <v>3632</v>
      </c>
      <c r="C392" s="26" t="s">
        <v>3633</v>
      </c>
      <c r="D392" s="26" t="s">
        <v>2777</v>
      </c>
      <c r="E392" s="26" t="s">
        <v>2093</v>
      </c>
      <c r="F392" s="26" t="s">
        <v>2094</v>
      </c>
      <c r="G392" s="26" t="s">
        <v>3623</v>
      </c>
      <c r="H392" s="26" t="s">
        <v>2096</v>
      </c>
    </row>
    <row r="393" customFormat="false" ht="15" hidden="false" customHeight="false" outlineLevel="0" collapsed="false">
      <c r="A393" s="26" t="s">
        <v>3634</v>
      </c>
      <c r="B393" s="8" t="s">
        <v>3635</v>
      </c>
      <c r="C393" s="26" t="s">
        <v>3636</v>
      </c>
      <c r="D393" s="26" t="s">
        <v>3637</v>
      </c>
      <c r="E393" s="26" t="s">
        <v>2093</v>
      </c>
      <c r="F393" s="26" t="s">
        <v>2106</v>
      </c>
      <c r="G393" s="26" t="s">
        <v>3623</v>
      </c>
      <c r="H393" s="26" t="s">
        <v>2131</v>
      </c>
    </row>
    <row r="394" customFormat="false" ht="15" hidden="false" customHeight="false" outlineLevel="0" collapsed="false">
      <c r="A394" s="26" t="s">
        <v>3638</v>
      </c>
      <c r="B394" s="8" t="s">
        <v>3639</v>
      </c>
      <c r="C394" s="26" t="s">
        <v>3640</v>
      </c>
      <c r="D394" s="26" t="s">
        <v>3641</v>
      </c>
      <c r="E394" s="26" t="s">
        <v>2093</v>
      </c>
      <c r="F394" s="26" t="s">
        <v>2106</v>
      </c>
      <c r="G394" s="26" t="s">
        <v>3623</v>
      </c>
      <c r="H394" s="26" t="s">
        <v>2131</v>
      </c>
    </row>
    <row r="395" customFormat="false" ht="15" hidden="false" customHeight="false" outlineLevel="0" collapsed="false">
      <c r="A395" s="26" t="s">
        <v>3642</v>
      </c>
      <c r="B395" s="8" t="s">
        <v>3643</v>
      </c>
      <c r="C395" s="26" t="s">
        <v>3644</v>
      </c>
      <c r="D395" s="26" t="s">
        <v>2777</v>
      </c>
      <c r="E395" s="26" t="s">
        <v>2093</v>
      </c>
      <c r="F395" s="26" t="s">
        <v>2094</v>
      </c>
      <c r="G395" s="26" t="s">
        <v>3623</v>
      </c>
      <c r="H395" s="26" t="s">
        <v>2096</v>
      </c>
    </row>
    <row r="396" customFormat="false" ht="15" hidden="false" customHeight="false" outlineLevel="0" collapsed="false">
      <c r="A396" s="26" t="s">
        <v>708</v>
      </c>
      <c r="B396" s="8" t="s">
        <v>3645</v>
      </c>
      <c r="C396" s="26" t="s">
        <v>3646</v>
      </c>
      <c r="D396" s="26" t="s">
        <v>3104</v>
      </c>
      <c r="E396" s="26" t="s">
        <v>2093</v>
      </c>
      <c r="F396" s="26" t="s">
        <v>2094</v>
      </c>
      <c r="G396" s="26" t="s">
        <v>3464</v>
      </c>
      <c r="H396" s="26" t="s">
        <v>2101</v>
      </c>
    </row>
    <row r="397" customFormat="false" ht="23.85" hidden="false" customHeight="false" outlineLevel="0" collapsed="false">
      <c r="A397" s="26" t="s">
        <v>570</v>
      </c>
      <c r="B397" s="8" t="s">
        <v>3647</v>
      </c>
      <c r="C397" s="26" t="s">
        <v>3648</v>
      </c>
      <c r="D397" s="26" t="s">
        <v>3649</v>
      </c>
      <c r="E397" s="26" t="s">
        <v>2093</v>
      </c>
      <c r="F397" s="26" t="s">
        <v>2094</v>
      </c>
      <c r="G397" s="26" t="s">
        <v>3650</v>
      </c>
      <c r="H397" s="26" t="s">
        <v>2131</v>
      </c>
    </row>
    <row r="398" customFormat="false" ht="15" hidden="false" customHeight="false" outlineLevel="0" collapsed="false">
      <c r="A398" s="26" t="s">
        <v>3651</v>
      </c>
      <c r="B398" s="8" t="s">
        <v>3652</v>
      </c>
      <c r="C398" s="26" t="s">
        <v>3653</v>
      </c>
      <c r="D398" s="26" t="s">
        <v>3654</v>
      </c>
      <c r="E398" s="26" t="s">
        <v>2093</v>
      </c>
      <c r="F398" s="26" t="s">
        <v>2094</v>
      </c>
      <c r="G398" s="26" t="s">
        <v>3655</v>
      </c>
      <c r="H398" s="26" t="s">
        <v>2101</v>
      </c>
    </row>
    <row r="399" customFormat="false" ht="15" hidden="false" customHeight="false" outlineLevel="0" collapsed="false">
      <c r="A399" s="26" t="s">
        <v>3656</v>
      </c>
      <c r="B399" s="8" t="s">
        <v>3657</v>
      </c>
      <c r="C399" s="26" t="s">
        <v>3658</v>
      </c>
      <c r="D399" s="26" t="s">
        <v>2804</v>
      </c>
      <c r="E399" s="26" t="s">
        <v>2093</v>
      </c>
      <c r="F399" s="26" t="s">
        <v>2094</v>
      </c>
      <c r="G399" s="26" t="s">
        <v>3659</v>
      </c>
      <c r="H399" s="26" t="s">
        <v>2101</v>
      </c>
    </row>
    <row r="400" customFormat="false" ht="23.85" hidden="false" customHeight="false" outlineLevel="0" collapsed="false">
      <c r="A400" s="26" t="s">
        <v>3660</v>
      </c>
      <c r="B400" s="8" t="s">
        <v>3661</v>
      </c>
      <c r="C400" s="26" t="s">
        <v>3662</v>
      </c>
      <c r="D400" s="26" t="s">
        <v>3663</v>
      </c>
      <c r="E400" s="26" t="s">
        <v>2093</v>
      </c>
      <c r="F400" s="26" t="s">
        <v>2094</v>
      </c>
      <c r="G400" s="26" t="s">
        <v>3664</v>
      </c>
      <c r="H400" s="26" t="s">
        <v>2101</v>
      </c>
    </row>
    <row r="401" customFormat="false" ht="23.85" hidden="false" customHeight="false" outlineLevel="0" collapsed="false">
      <c r="A401" s="26" t="s">
        <v>3665</v>
      </c>
      <c r="B401" s="8" t="s">
        <v>3666</v>
      </c>
      <c r="C401" s="26" t="s">
        <v>3667</v>
      </c>
      <c r="D401" s="26" t="s">
        <v>3668</v>
      </c>
      <c r="E401" s="26" t="s">
        <v>2093</v>
      </c>
      <c r="F401" s="26" t="s">
        <v>2094</v>
      </c>
      <c r="G401" s="26" t="s">
        <v>3669</v>
      </c>
      <c r="H401" s="26" t="s">
        <v>2096</v>
      </c>
    </row>
    <row r="402" customFormat="false" ht="15" hidden="false" customHeight="false" outlineLevel="0" collapsed="false">
      <c r="A402" s="26" t="s">
        <v>3670</v>
      </c>
      <c r="B402" s="8" t="s">
        <v>3671</v>
      </c>
      <c r="C402" s="26" t="s">
        <v>3672</v>
      </c>
      <c r="D402" s="26" t="s">
        <v>3673</v>
      </c>
      <c r="E402" s="26" t="s">
        <v>2093</v>
      </c>
      <c r="F402" s="26" t="s">
        <v>2094</v>
      </c>
      <c r="G402" s="26" t="s">
        <v>3674</v>
      </c>
      <c r="H402" s="26" t="s">
        <v>2096</v>
      </c>
    </row>
    <row r="403" customFormat="false" ht="15" hidden="false" customHeight="false" outlineLevel="0" collapsed="false">
      <c r="A403" s="26" t="s">
        <v>3675</v>
      </c>
      <c r="B403" s="8" t="s">
        <v>3676</v>
      </c>
      <c r="C403" s="26" t="s">
        <v>3677</v>
      </c>
      <c r="D403" s="26" t="s">
        <v>3678</v>
      </c>
      <c r="E403" s="26" t="s">
        <v>2093</v>
      </c>
      <c r="F403" s="26" t="s">
        <v>2094</v>
      </c>
      <c r="G403" s="26" t="s">
        <v>3679</v>
      </c>
      <c r="H403" s="26" t="s">
        <v>2096</v>
      </c>
    </row>
    <row r="404" customFormat="false" ht="23.85" hidden="false" customHeight="false" outlineLevel="0" collapsed="false">
      <c r="A404" s="26" t="s">
        <v>3680</v>
      </c>
      <c r="B404" s="8" t="s">
        <v>3681</v>
      </c>
      <c r="C404" s="26" t="s">
        <v>3682</v>
      </c>
      <c r="D404" s="26" t="s">
        <v>3683</v>
      </c>
      <c r="E404" s="26" t="s">
        <v>2093</v>
      </c>
      <c r="F404" s="26" t="s">
        <v>2094</v>
      </c>
      <c r="G404" s="26" t="s">
        <v>3684</v>
      </c>
      <c r="H404" s="26" t="s">
        <v>2101</v>
      </c>
    </row>
    <row r="405" customFormat="false" ht="15" hidden="false" customHeight="false" outlineLevel="0" collapsed="false">
      <c r="A405" s="26" t="s">
        <v>3685</v>
      </c>
      <c r="B405" s="8" t="s">
        <v>3686</v>
      </c>
      <c r="C405" s="26" t="s">
        <v>3687</v>
      </c>
      <c r="D405" s="26" t="s">
        <v>2509</v>
      </c>
      <c r="E405" s="26" t="s">
        <v>2093</v>
      </c>
      <c r="F405" s="26" t="s">
        <v>2094</v>
      </c>
      <c r="G405" s="26" t="s">
        <v>3688</v>
      </c>
      <c r="H405" s="26" t="s">
        <v>2101</v>
      </c>
    </row>
    <row r="406" customFormat="false" ht="23.85" hidden="false" customHeight="false" outlineLevel="0" collapsed="false">
      <c r="A406" s="26" t="s">
        <v>3689</v>
      </c>
      <c r="B406" s="8" t="s">
        <v>3690</v>
      </c>
      <c r="C406" s="26" t="s">
        <v>3691</v>
      </c>
      <c r="D406" s="26" t="s">
        <v>3692</v>
      </c>
      <c r="E406" s="26" t="s">
        <v>2093</v>
      </c>
      <c r="F406" s="26" t="s">
        <v>2094</v>
      </c>
      <c r="G406" s="26" t="s">
        <v>3693</v>
      </c>
      <c r="H406" s="26" t="s">
        <v>2096</v>
      </c>
    </row>
    <row r="407" customFormat="false" ht="23.85" hidden="false" customHeight="false" outlineLevel="0" collapsed="false">
      <c r="A407" s="26" t="s">
        <v>3694</v>
      </c>
      <c r="B407" s="8" t="s">
        <v>3695</v>
      </c>
      <c r="C407" s="26" t="s">
        <v>3696</v>
      </c>
      <c r="D407" s="26" t="s">
        <v>3697</v>
      </c>
      <c r="E407" s="26" t="s">
        <v>2093</v>
      </c>
      <c r="F407" s="26" t="s">
        <v>2094</v>
      </c>
      <c r="G407" s="26" t="s">
        <v>3698</v>
      </c>
      <c r="H407" s="26" t="s">
        <v>2096</v>
      </c>
    </row>
    <row r="408" customFormat="false" ht="23.85" hidden="false" customHeight="false" outlineLevel="0" collapsed="false">
      <c r="A408" s="26" t="s">
        <v>3699</v>
      </c>
      <c r="B408" s="8" t="s">
        <v>3700</v>
      </c>
      <c r="C408" s="26" t="s">
        <v>3701</v>
      </c>
      <c r="D408" s="26" t="s">
        <v>3702</v>
      </c>
      <c r="E408" s="26" t="s">
        <v>2093</v>
      </c>
      <c r="F408" s="26" t="s">
        <v>2094</v>
      </c>
      <c r="G408" s="26" t="s">
        <v>3703</v>
      </c>
      <c r="H408" s="26" t="s">
        <v>2096</v>
      </c>
    </row>
    <row r="409" customFormat="false" ht="15" hidden="false" customHeight="false" outlineLevel="0" collapsed="false">
      <c r="A409" s="26" t="s">
        <v>3704</v>
      </c>
      <c r="B409" s="8" t="s">
        <v>3705</v>
      </c>
      <c r="C409" s="26" t="s">
        <v>3706</v>
      </c>
      <c r="D409" s="26" t="s">
        <v>3707</v>
      </c>
      <c r="E409" s="26" t="s">
        <v>2093</v>
      </c>
      <c r="F409" s="26" t="s">
        <v>2094</v>
      </c>
      <c r="G409" s="26" t="s">
        <v>3708</v>
      </c>
      <c r="H409" s="26" t="s">
        <v>2096</v>
      </c>
    </row>
    <row r="410" customFormat="false" ht="23.85" hidden="false" customHeight="false" outlineLevel="0" collapsed="false">
      <c r="A410" s="26" t="s">
        <v>3709</v>
      </c>
      <c r="B410" s="8" t="s">
        <v>3710</v>
      </c>
      <c r="C410" s="26" t="s">
        <v>3711</v>
      </c>
      <c r="D410" s="26" t="s">
        <v>3712</v>
      </c>
      <c r="E410" s="26" t="s">
        <v>2093</v>
      </c>
      <c r="F410" s="26" t="s">
        <v>2094</v>
      </c>
      <c r="G410" s="26" t="s">
        <v>3713</v>
      </c>
      <c r="H410" s="26" t="s">
        <v>2101</v>
      </c>
    </row>
    <row r="411" customFormat="false" ht="15" hidden="false" customHeight="false" outlineLevel="0" collapsed="false">
      <c r="A411" s="26" t="s">
        <v>3714</v>
      </c>
      <c r="B411" s="8" t="s">
        <v>3715</v>
      </c>
      <c r="C411" s="26" t="s">
        <v>3716</v>
      </c>
      <c r="D411" s="26" t="s">
        <v>3707</v>
      </c>
      <c r="E411" s="26" t="s">
        <v>2093</v>
      </c>
      <c r="F411" s="26" t="s">
        <v>2094</v>
      </c>
      <c r="G411" s="26" t="s">
        <v>3717</v>
      </c>
      <c r="H411" s="26" t="s">
        <v>2096</v>
      </c>
    </row>
    <row r="412" customFormat="false" ht="15" hidden="false" customHeight="false" outlineLevel="0" collapsed="false">
      <c r="A412" s="26" t="s">
        <v>3718</v>
      </c>
      <c r="B412" s="8" t="s">
        <v>3719</v>
      </c>
      <c r="C412" s="26" t="s">
        <v>3720</v>
      </c>
      <c r="D412" s="26" t="s">
        <v>3721</v>
      </c>
      <c r="E412" s="26" t="s">
        <v>2093</v>
      </c>
      <c r="F412" s="26" t="s">
        <v>2094</v>
      </c>
      <c r="G412" s="26" t="s">
        <v>3722</v>
      </c>
      <c r="H412" s="26" t="s">
        <v>2096</v>
      </c>
    </row>
    <row r="413" customFormat="false" ht="15" hidden="false" customHeight="false" outlineLevel="0" collapsed="false">
      <c r="A413" s="26" t="s">
        <v>727</v>
      </c>
      <c r="B413" s="8" t="s">
        <v>3723</v>
      </c>
      <c r="C413" s="26" t="s">
        <v>3724</v>
      </c>
      <c r="D413" s="26" t="s">
        <v>3725</v>
      </c>
      <c r="E413" s="26" t="s">
        <v>2093</v>
      </c>
      <c r="F413" s="26" t="s">
        <v>2094</v>
      </c>
      <c r="G413" s="26" t="s">
        <v>3726</v>
      </c>
      <c r="H413" s="26" t="s">
        <v>2101</v>
      </c>
    </row>
    <row r="414" customFormat="false" ht="15" hidden="false" customHeight="false" outlineLevel="0" collapsed="false">
      <c r="A414" s="26" t="s">
        <v>650</v>
      </c>
      <c r="B414" s="8" t="s">
        <v>3727</v>
      </c>
      <c r="C414" s="26" t="s">
        <v>3728</v>
      </c>
      <c r="D414" s="26" t="s">
        <v>2870</v>
      </c>
      <c r="E414" s="26" t="s">
        <v>2093</v>
      </c>
      <c r="F414" s="26" t="s">
        <v>2094</v>
      </c>
      <c r="G414" s="26" t="s">
        <v>3729</v>
      </c>
      <c r="H414" s="26" t="s">
        <v>2101</v>
      </c>
    </row>
    <row r="415" customFormat="false" ht="23.85" hidden="false" customHeight="false" outlineLevel="0" collapsed="false">
      <c r="A415" s="26" t="s">
        <v>3730</v>
      </c>
      <c r="B415" s="8" t="s">
        <v>3731</v>
      </c>
      <c r="C415" s="26" t="s">
        <v>3732</v>
      </c>
      <c r="D415" s="26" t="s">
        <v>3733</v>
      </c>
      <c r="E415" s="26" t="s">
        <v>2093</v>
      </c>
      <c r="F415" s="26" t="s">
        <v>2106</v>
      </c>
      <c r="G415" s="26" t="s">
        <v>3734</v>
      </c>
      <c r="H415" s="26" t="s">
        <v>2131</v>
      </c>
    </row>
    <row r="416" customFormat="false" ht="23.85" hidden="false" customHeight="false" outlineLevel="0" collapsed="false">
      <c r="A416" s="26" t="s">
        <v>3735</v>
      </c>
      <c r="B416" s="8" t="s">
        <v>3736</v>
      </c>
      <c r="C416" s="26" t="s">
        <v>3737</v>
      </c>
      <c r="D416" s="26" t="s">
        <v>3738</v>
      </c>
      <c r="E416" s="26" t="s">
        <v>2093</v>
      </c>
      <c r="F416" s="26" t="s">
        <v>2094</v>
      </c>
      <c r="G416" s="26" t="s">
        <v>3739</v>
      </c>
      <c r="H416" s="26" t="s">
        <v>2131</v>
      </c>
    </row>
    <row r="417" customFormat="false" ht="23.85" hidden="false" customHeight="false" outlineLevel="0" collapsed="false">
      <c r="A417" s="26" t="s">
        <v>3740</v>
      </c>
      <c r="B417" s="8" t="s">
        <v>3741</v>
      </c>
      <c r="C417" s="26" t="s">
        <v>3742</v>
      </c>
      <c r="D417" s="26" t="s">
        <v>3561</v>
      </c>
      <c r="E417" s="26" t="s">
        <v>2093</v>
      </c>
      <c r="F417" s="26" t="s">
        <v>2094</v>
      </c>
      <c r="G417" s="26" t="s">
        <v>3743</v>
      </c>
      <c r="H417" s="26" t="s">
        <v>2101</v>
      </c>
    </row>
    <row r="418" customFormat="false" ht="23.85" hidden="false" customHeight="false" outlineLevel="0" collapsed="false">
      <c r="A418" s="26" t="s">
        <v>3744</v>
      </c>
      <c r="B418" s="8" t="s">
        <v>3745</v>
      </c>
      <c r="C418" s="26" t="s">
        <v>3746</v>
      </c>
      <c r="D418" s="26" t="s">
        <v>3747</v>
      </c>
      <c r="E418" s="26" t="s">
        <v>2093</v>
      </c>
      <c r="F418" s="26" t="s">
        <v>2094</v>
      </c>
      <c r="G418" s="26" t="s">
        <v>3748</v>
      </c>
      <c r="H418" s="26" t="s">
        <v>2096</v>
      </c>
    </row>
    <row r="419" customFormat="false" ht="15" hidden="false" customHeight="false" outlineLevel="0" collapsed="false">
      <c r="A419" s="26" t="s">
        <v>3749</v>
      </c>
      <c r="B419" s="8" t="s">
        <v>3750</v>
      </c>
      <c r="C419" s="26" t="s">
        <v>3751</v>
      </c>
      <c r="D419" s="26" t="s">
        <v>3752</v>
      </c>
      <c r="E419" s="26" t="s">
        <v>2093</v>
      </c>
      <c r="F419" s="26" t="s">
        <v>2094</v>
      </c>
      <c r="G419" s="26" t="s">
        <v>3753</v>
      </c>
      <c r="H419" s="26" t="s">
        <v>2096</v>
      </c>
    </row>
    <row r="420" customFormat="false" ht="15" hidden="false" customHeight="false" outlineLevel="0" collapsed="false">
      <c r="A420" s="26" t="s">
        <v>675</v>
      </c>
      <c r="B420" s="8" t="s">
        <v>3754</v>
      </c>
      <c r="C420" s="26" t="s">
        <v>3755</v>
      </c>
      <c r="D420" s="26" t="s">
        <v>3756</v>
      </c>
      <c r="E420" s="26" t="s">
        <v>2093</v>
      </c>
      <c r="F420" s="26" t="s">
        <v>2094</v>
      </c>
      <c r="G420" s="26" t="s">
        <v>3757</v>
      </c>
      <c r="H420" s="26" t="s">
        <v>2096</v>
      </c>
    </row>
    <row r="421" customFormat="false" ht="15" hidden="false" customHeight="false" outlineLevel="0" collapsed="false">
      <c r="A421" s="26" t="s">
        <v>3758</v>
      </c>
      <c r="B421" s="8" t="s">
        <v>3759</v>
      </c>
      <c r="C421" s="26" t="s">
        <v>3760</v>
      </c>
      <c r="D421" s="26" t="s">
        <v>3561</v>
      </c>
      <c r="E421" s="26" t="s">
        <v>2093</v>
      </c>
      <c r="F421" s="26" t="s">
        <v>2106</v>
      </c>
      <c r="G421" s="26" t="s">
        <v>3761</v>
      </c>
      <c r="H421" s="26" t="s">
        <v>2131</v>
      </c>
    </row>
    <row r="422" customFormat="false" ht="15" hidden="false" customHeight="false" outlineLevel="0" collapsed="false">
      <c r="A422" s="26" t="s">
        <v>3762</v>
      </c>
      <c r="B422" s="8" t="s">
        <v>3763</v>
      </c>
      <c r="C422" s="26" t="s">
        <v>3764</v>
      </c>
      <c r="D422" s="26" t="s">
        <v>2804</v>
      </c>
      <c r="E422" s="26" t="s">
        <v>2093</v>
      </c>
      <c r="F422" s="26" t="s">
        <v>2094</v>
      </c>
      <c r="G422" s="26" t="s">
        <v>3765</v>
      </c>
      <c r="H422" s="26" t="s">
        <v>2101</v>
      </c>
    </row>
    <row r="423" customFormat="false" ht="15" hidden="false" customHeight="false" outlineLevel="0" collapsed="false">
      <c r="A423" s="26" t="s">
        <v>3766</v>
      </c>
      <c r="B423" s="8" t="s">
        <v>3767</v>
      </c>
      <c r="C423" s="26" t="s">
        <v>3768</v>
      </c>
      <c r="D423" s="26" t="s">
        <v>2804</v>
      </c>
      <c r="E423" s="26" t="s">
        <v>2093</v>
      </c>
      <c r="F423" s="26" t="s">
        <v>2094</v>
      </c>
      <c r="G423" s="26" t="s">
        <v>3769</v>
      </c>
      <c r="H423" s="26" t="s">
        <v>2101</v>
      </c>
    </row>
    <row r="424" customFormat="false" ht="15" hidden="false" customHeight="false" outlineLevel="0" collapsed="false">
      <c r="A424" s="26" t="s">
        <v>3770</v>
      </c>
      <c r="B424" s="8" t="s">
        <v>3771</v>
      </c>
      <c r="C424" s="26" t="s">
        <v>3772</v>
      </c>
      <c r="D424" s="26" t="s">
        <v>2804</v>
      </c>
      <c r="E424" s="26" t="s">
        <v>2093</v>
      </c>
      <c r="F424" s="26" t="s">
        <v>2094</v>
      </c>
      <c r="G424" s="26" t="s">
        <v>3773</v>
      </c>
      <c r="H424" s="26" t="s">
        <v>2101</v>
      </c>
    </row>
    <row r="425" customFormat="false" ht="23.85" hidden="false" customHeight="false" outlineLevel="0" collapsed="false">
      <c r="A425" s="26" t="s">
        <v>3774</v>
      </c>
      <c r="B425" s="8" t="s">
        <v>3775</v>
      </c>
      <c r="C425" s="26" t="s">
        <v>3776</v>
      </c>
      <c r="D425" s="26" t="s">
        <v>3777</v>
      </c>
      <c r="E425" s="26" t="s">
        <v>2093</v>
      </c>
      <c r="F425" s="26" t="s">
        <v>2094</v>
      </c>
      <c r="G425" s="26" t="s">
        <v>3778</v>
      </c>
      <c r="H425" s="26" t="s">
        <v>2096</v>
      </c>
    </row>
    <row r="426" customFormat="false" ht="23.85" hidden="false" customHeight="false" outlineLevel="0" collapsed="false">
      <c r="A426" s="26" t="s">
        <v>3779</v>
      </c>
      <c r="B426" s="8" t="s">
        <v>3780</v>
      </c>
      <c r="C426" s="26" t="s">
        <v>3781</v>
      </c>
      <c r="D426" s="26" t="s">
        <v>3777</v>
      </c>
      <c r="E426" s="26" t="s">
        <v>2093</v>
      </c>
      <c r="F426" s="26" t="s">
        <v>2094</v>
      </c>
      <c r="G426" s="26" t="s">
        <v>3782</v>
      </c>
      <c r="H426" s="26" t="s">
        <v>2096</v>
      </c>
    </row>
    <row r="427" customFormat="false" ht="23.85" hidden="false" customHeight="false" outlineLevel="0" collapsed="false">
      <c r="A427" s="26" t="s">
        <v>3783</v>
      </c>
      <c r="B427" s="8" t="s">
        <v>3784</v>
      </c>
      <c r="C427" s="26" t="s">
        <v>3785</v>
      </c>
      <c r="D427" s="26" t="s">
        <v>3786</v>
      </c>
      <c r="E427" s="26" t="s">
        <v>2093</v>
      </c>
      <c r="F427" s="26" t="s">
        <v>2094</v>
      </c>
      <c r="G427" s="26" t="s">
        <v>3787</v>
      </c>
      <c r="H427" s="26" t="s">
        <v>2096</v>
      </c>
    </row>
    <row r="428" customFormat="false" ht="15" hidden="false" customHeight="false" outlineLevel="0" collapsed="false">
      <c r="A428" s="26" t="s">
        <v>3788</v>
      </c>
      <c r="B428" s="8" t="s">
        <v>3789</v>
      </c>
      <c r="C428" s="26" t="s">
        <v>3790</v>
      </c>
      <c r="D428" s="26" t="s">
        <v>3791</v>
      </c>
      <c r="E428" s="26" t="s">
        <v>2093</v>
      </c>
      <c r="F428" s="26" t="s">
        <v>2094</v>
      </c>
      <c r="G428" s="26" t="s">
        <v>3792</v>
      </c>
      <c r="H428" s="26" t="s">
        <v>2096</v>
      </c>
    </row>
    <row r="429" customFormat="false" ht="15" hidden="false" customHeight="false" outlineLevel="0" collapsed="false">
      <c r="A429" s="26" t="s">
        <v>3793</v>
      </c>
      <c r="B429" s="8" t="s">
        <v>3794</v>
      </c>
      <c r="C429" s="26" t="s">
        <v>3795</v>
      </c>
      <c r="D429" s="26" t="s">
        <v>3796</v>
      </c>
      <c r="E429" s="26" t="s">
        <v>2093</v>
      </c>
      <c r="F429" s="26" t="s">
        <v>2094</v>
      </c>
      <c r="G429" s="26" t="s">
        <v>3797</v>
      </c>
      <c r="H429" s="26" t="s">
        <v>2096</v>
      </c>
    </row>
    <row r="430" customFormat="false" ht="15" hidden="false" customHeight="false" outlineLevel="0" collapsed="false">
      <c r="A430" s="26" t="s">
        <v>947</v>
      </c>
      <c r="B430" s="8" t="s">
        <v>3798</v>
      </c>
      <c r="C430" s="26" t="s">
        <v>3799</v>
      </c>
      <c r="D430" s="26" t="s">
        <v>3800</v>
      </c>
      <c r="E430" s="26" t="s">
        <v>2093</v>
      </c>
      <c r="F430" s="26" t="s">
        <v>2094</v>
      </c>
      <c r="G430" s="26" t="s">
        <v>3801</v>
      </c>
      <c r="H430" s="26" t="s">
        <v>2096</v>
      </c>
    </row>
    <row r="431" customFormat="false" ht="15" hidden="false" customHeight="false" outlineLevel="0" collapsed="false">
      <c r="A431" s="26" t="s">
        <v>3802</v>
      </c>
      <c r="B431" s="8" t="s">
        <v>3803</v>
      </c>
      <c r="C431" s="26" t="s">
        <v>3804</v>
      </c>
      <c r="D431" s="26" t="s">
        <v>3805</v>
      </c>
      <c r="E431" s="26" t="s">
        <v>2093</v>
      </c>
      <c r="F431" s="26" t="s">
        <v>2094</v>
      </c>
      <c r="G431" s="26" t="s">
        <v>3806</v>
      </c>
      <c r="H431" s="26" t="s">
        <v>2096</v>
      </c>
    </row>
    <row r="432" customFormat="false" ht="23.85" hidden="false" customHeight="false" outlineLevel="0" collapsed="false">
      <c r="A432" s="26" t="s">
        <v>3807</v>
      </c>
      <c r="B432" s="8" t="s">
        <v>3808</v>
      </c>
      <c r="C432" s="26" t="s">
        <v>3809</v>
      </c>
      <c r="D432" s="26" t="s">
        <v>3810</v>
      </c>
      <c r="E432" s="26" t="s">
        <v>2093</v>
      </c>
      <c r="F432" s="26" t="s">
        <v>2094</v>
      </c>
      <c r="G432" s="26" t="s">
        <v>3811</v>
      </c>
      <c r="H432" s="26" t="s">
        <v>2101</v>
      </c>
    </row>
    <row r="433" customFormat="false" ht="23.85" hidden="false" customHeight="false" outlineLevel="0" collapsed="false">
      <c r="A433" s="26" t="s">
        <v>3812</v>
      </c>
      <c r="B433" s="8" t="s">
        <v>3813</v>
      </c>
      <c r="C433" s="26" t="s">
        <v>3814</v>
      </c>
      <c r="D433" s="26" t="s">
        <v>3815</v>
      </c>
      <c r="E433" s="26" t="s">
        <v>2093</v>
      </c>
      <c r="F433" s="26" t="s">
        <v>2106</v>
      </c>
      <c r="G433" s="26" t="s">
        <v>3816</v>
      </c>
      <c r="H433" s="26" t="s">
        <v>2101</v>
      </c>
    </row>
    <row r="434" customFormat="false" ht="15" hidden="false" customHeight="false" outlineLevel="0" collapsed="false">
      <c r="A434" s="26" t="s">
        <v>3817</v>
      </c>
      <c r="B434" s="8" t="s">
        <v>3818</v>
      </c>
      <c r="C434" s="26" t="s">
        <v>3819</v>
      </c>
      <c r="D434" s="26" t="s">
        <v>2804</v>
      </c>
      <c r="E434" s="26" t="s">
        <v>2093</v>
      </c>
      <c r="F434" s="26" t="s">
        <v>2094</v>
      </c>
      <c r="G434" s="26" t="s">
        <v>3820</v>
      </c>
      <c r="H434" s="26" t="s">
        <v>2101</v>
      </c>
    </row>
    <row r="435" customFormat="false" ht="15" hidden="false" customHeight="false" outlineLevel="0" collapsed="false">
      <c r="A435" s="26" t="s">
        <v>3821</v>
      </c>
      <c r="B435" s="8" t="s">
        <v>3822</v>
      </c>
      <c r="C435" s="26" t="s">
        <v>3823</v>
      </c>
      <c r="D435" s="26" t="s">
        <v>2804</v>
      </c>
      <c r="E435" s="26" t="s">
        <v>2093</v>
      </c>
      <c r="F435" s="26" t="s">
        <v>2094</v>
      </c>
      <c r="G435" s="26" t="s">
        <v>3824</v>
      </c>
      <c r="H435" s="26" t="s">
        <v>2101</v>
      </c>
    </row>
    <row r="436" customFormat="false" ht="15" hidden="false" customHeight="false" outlineLevel="0" collapsed="false">
      <c r="A436" s="26" t="s">
        <v>3825</v>
      </c>
      <c r="B436" s="8" t="s">
        <v>3826</v>
      </c>
      <c r="C436" s="26" t="s">
        <v>3827</v>
      </c>
      <c r="D436" s="26" t="s">
        <v>2777</v>
      </c>
      <c r="E436" s="26" t="s">
        <v>2093</v>
      </c>
      <c r="F436" s="26" t="s">
        <v>2094</v>
      </c>
      <c r="G436" s="26" t="s">
        <v>3828</v>
      </c>
      <c r="H436" s="26" t="s">
        <v>2101</v>
      </c>
    </row>
    <row r="437" customFormat="false" ht="23.85" hidden="false" customHeight="false" outlineLevel="0" collapsed="false">
      <c r="A437" s="26" t="s">
        <v>3829</v>
      </c>
      <c r="B437" s="8" t="s">
        <v>3830</v>
      </c>
      <c r="C437" s="26" t="s">
        <v>3831</v>
      </c>
      <c r="D437" s="26" t="s">
        <v>2882</v>
      </c>
      <c r="E437" s="26" t="s">
        <v>2093</v>
      </c>
      <c r="F437" s="26" t="s">
        <v>2094</v>
      </c>
      <c r="G437" s="26" t="s">
        <v>3832</v>
      </c>
      <c r="H437" s="26" t="s">
        <v>2131</v>
      </c>
    </row>
    <row r="438" customFormat="false" ht="23.85" hidden="false" customHeight="false" outlineLevel="0" collapsed="false">
      <c r="A438" s="26" t="s">
        <v>3833</v>
      </c>
      <c r="B438" s="8" t="s">
        <v>3834</v>
      </c>
      <c r="C438" s="26" t="s">
        <v>3835</v>
      </c>
      <c r="D438" s="26" t="s">
        <v>3836</v>
      </c>
      <c r="E438" s="26" t="s">
        <v>2093</v>
      </c>
      <c r="F438" s="26" t="s">
        <v>2106</v>
      </c>
      <c r="G438" s="26" t="s">
        <v>3837</v>
      </c>
      <c r="H438" s="26" t="s">
        <v>2101</v>
      </c>
    </row>
    <row r="439" customFormat="false" ht="15" hidden="false" customHeight="false" outlineLevel="0" collapsed="false">
      <c r="A439" s="26" t="s">
        <v>3838</v>
      </c>
      <c r="B439" s="8" t="s">
        <v>3839</v>
      </c>
      <c r="C439" s="26" t="s">
        <v>3840</v>
      </c>
      <c r="D439" s="26" t="s">
        <v>2804</v>
      </c>
      <c r="E439" s="26" t="s">
        <v>2093</v>
      </c>
      <c r="F439" s="26" t="s">
        <v>2094</v>
      </c>
      <c r="G439" s="26" t="s">
        <v>3841</v>
      </c>
      <c r="H439" s="26" t="s">
        <v>2101</v>
      </c>
    </row>
    <row r="440" customFormat="false" ht="23.85" hidden="false" customHeight="false" outlineLevel="0" collapsed="false">
      <c r="A440" s="26" t="s">
        <v>3842</v>
      </c>
      <c r="B440" s="8" t="s">
        <v>3843</v>
      </c>
      <c r="C440" s="26" t="s">
        <v>3844</v>
      </c>
      <c r="D440" s="26" t="s">
        <v>3786</v>
      </c>
      <c r="E440" s="26" t="s">
        <v>2093</v>
      </c>
      <c r="F440" s="26" t="s">
        <v>2094</v>
      </c>
      <c r="G440" s="26" t="s">
        <v>3845</v>
      </c>
      <c r="H440" s="26" t="s">
        <v>2096</v>
      </c>
    </row>
    <row r="441" customFormat="false" ht="15" hidden="false" customHeight="false" outlineLevel="0" collapsed="false">
      <c r="A441" s="26" t="s">
        <v>3846</v>
      </c>
      <c r="B441" s="8" t="s">
        <v>3847</v>
      </c>
      <c r="C441" s="26" t="s">
        <v>3848</v>
      </c>
      <c r="D441" s="26" t="s">
        <v>3849</v>
      </c>
      <c r="E441" s="26" t="s">
        <v>2093</v>
      </c>
      <c r="F441" s="26" t="s">
        <v>2094</v>
      </c>
      <c r="G441" s="26" t="s">
        <v>3850</v>
      </c>
      <c r="H441" s="26" t="s">
        <v>2101</v>
      </c>
    </row>
    <row r="442" customFormat="false" ht="15" hidden="false" customHeight="false" outlineLevel="0" collapsed="false">
      <c r="A442" s="26" t="s">
        <v>3851</v>
      </c>
      <c r="B442" s="8" t="s">
        <v>3852</v>
      </c>
      <c r="C442" s="26" t="s">
        <v>3853</v>
      </c>
      <c r="D442" s="26" t="s">
        <v>2804</v>
      </c>
      <c r="E442" s="26" t="s">
        <v>2093</v>
      </c>
      <c r="F442" s="26" t="s">
        <v>2094</v>
      </c>
      <c r="G442" s="26" t="s">
        <v>3854</v>
      </c>
      <c r="H442" s="26" t="s">
        <v>2101</v>
      </c>
    </row>
    <row r="443" customFormat="false" ht="23.85" hidden="false" customHeight="false" outlineLevel="0" collapsed="false">
      <c r="A443" s="26" t="s">
        <v>3855</v>
      </c>
      <c r="B443" s="8" t="s">
        <v>3856</v>
      </c>
      <c r="C443" s="26" t="s">
        <v>3857</v>
      </c>
      <c r="D443" s="26" t="s">
        <v>3858</v>
      </c>
      <c r="E443" s="26" t="s">
        <v>2093</v>
      </c>
      <c r="F443" s="26" t="s">
        <v>2094</v>
      </c>
      <c r="G443" s="26" t="s">
        <v>3859</v>
      </c>
      <c r="H443" s="26" t="s">
        <v>2096</v>
      </c>
    </row>
    <row r="444" customFormat="false" ht="15" hidden="false" customHeight="false" outlineLevel="0" collapsed="false">
      <c r="A444" s="26" t="s">
        <v>3860</v>
      </c>
      <c r="B444" s="8" t="s">
        <v>3861</v>
      </c>
      <c r="C444" s="26" t="s">
        <v>3862</v>
      </c>
      <c r="D444" s="26" t="s">
        <v>3565</v>
      </c>
      <c r="E444" s="26" t="s">
        <v>2093</v>
      </c>
      <c r="F444" s="26" t="s">
        <v>2094</v>
      </c>
      <c r="G444" s="26" t="s">
        <v>3863</v>
      </c>
      <c r="H444" s="26" t="s">
        <v>2096</v>
      </c>
    </row>
    <row r="445" customFormat="false" ht="23.85" hidden="false" customHeight="false" outlineLevel="0" collapsed="false">
      <c r="A445" s="26" t="s">
        <v>3864</v>
      </c>
      <c r="B445" s="8" t="s">
        <v>3865</v>
      </c>
      <c r="C445" s="26" t="s">
        <v>3153</v>
      </c>
      <c r="D445" s="26" t="s">
        <v>2882</v>
      </c>
      <c r="E445" s="26" t="s">
        <v>2093</v>
      </c>
      <c r="F445" s="26" t="s">
        <v>2106</v>
      </c>
      <c r="G445" s="26" t="s">
        <v>3866</v>
      </c>
      <c r="H445" s="26" t="s">
        <v>2131</v>
      </c>
    </row>
    <row r="446" customFormat="false" ht="15" hidden="false" customHeight="false" outlineLevel="0" collapsed="false">
      <c r="A446" s="26" t="s">
        <v>3867</v>
      </c>
      <c r="B446" s="8" t="s">
        <v>3868</v>
      </c>
      <c r="C446" s="26" t="s">
        <v>3869</v>
      </c>
      <c r="D446" s="26" t="s">
        <v>2693</v>
      </c>
      <c r="E446" s="26" t="s">
        <v>2093</v>
      </c>
      <c r="F446" s="26" t="s">
        <v>2094</v>
      </c>
      <c r="G446" s="26" t="s">
        <v>3870</v>
      </c>
      <c r="H446" s="26" t="s">
        <v>2096</v>
      </c>
    </row>
    <row r="447" customFormat="false" ht="23.85" hidden="false" customHeight="false" outlineLevel="0" collapsed="false">
      <c r="A447" s="26" t="s">
        <v>3871</v>
      </c>
      <c r="B447" s="8" t="s">
        <v>3872</v>
      </c>
      <c r="C447" s="26" t="s">
        <v>3873</v>
      </c>
      <c r="D447" s="26" t="s">
        <v>3874</v>
      </c>
      <c r="E447" s="26" t="s">
        <v>2093</v>
      </c>
      <c r="F447" s="26" t="s">
        <v>2094</v>
      </c>
      <c r="G447" s="26" t="s">
        <v>3875</v>
      </c>
      <c r="H447" s="26" t="s">
        <v>2096</v>
      </c>
    </row>
    <row r="448" customFormat="false" ht="23.85" hidden="false" customHeight="false" outlineLevel="0" collapsed="false">
      <c r="A448" s="26" t="s">
        <v>3876</v>
      </c>
      <c r="B448" s="8" t="s">
        <v>3877</v>
      </c>
      <c r="C448" s="26" t="s">
        <v>3878</v>
      </c>
      <c r="D448" s="26" t="s">
        <v>3874</v>
      </c>
      <c r="E448" s="26" t="s">
        <v>2093</v>
      </c>
      <c r="F448" s="26" t="s">
        <v>2094</v>
      </c>
      <c r="G448" s="26" t="s">
        <v>3879</v>
      </c>
      <c r="H448" s="26" t="s">
        <v>2096</v>
      </c>
    </row>
    <row r="449" customFormat="false" ht="15" hidden="false" customHeight="false" outlineLevel="0" collapsed="false">
      <c r="A449" s="26" t="s">
        <v>3880</v>
      </c>
      <c r="B449" s="8" t="s">
        <v>3881</v>
      </c>
      <c r="C449" s="26" t="s">
        <v>3882</v>
      </c>
      <c r="D449" s="26" t="s">
        <v>2693</v>
      </c>
      <c r="E449" s="26" t="s">
        <v>2093</v>
      </c>
      <c r="F449" s="26" t="s">
        <v>2094</v>
      </c>
      <c r="G449" s="26" t="s">
        <v>3883</v>
      </c>
      <c r="H449" s="26" t="s">
        <v>2096</v>
      </c>
    </row>
    <row r="450" customFormat="false" ht="23.85" hidden="false" customHeight="false" outlineLevel="0" collapsed="false">
      <c r="A450" s="26" t="s">
        <v>3884</v>
      </c>
      <c r="B450" s="8" t="s">
        <v>3885</v>
      </c>
      <c r="C450" s="26" t="s">
        <v>3886</v>
      </c>
      <c r="D450" s="26" t="s">
        <v>2693</v>
      </c>
      <c r="E450" s="26" t="s">
        <v>2093</v>
      </c>
      <c r="F450" s="26" t="s">
        <v>2094</v>
      </c>
      <c r="G450" s="26" t="s">
        <v>3887</v>
      </c>
      <c r="H450" s="26" t="s">
        <v>2096</v>
      </c>
    </row>
    <row r="451" customFormat="false" ht="23.85" hidden="false" customHeight="false" outlineLevel="0" collapsed="false">
      <c r="A451" s="26" t="s">
        <v>3888</v>
      </c>
      <c r="B451" s="8" t="s">
        <v>3889</v>
      </c>
      <c r="C451" s="26" t="s">
        <v>3890</v>
      </c>
      <c r="D451" s="26" t="s">
        <v>2693</v>
      </c>
      <c r="E451" s="26" t="s">
        <v>2093</v>
      </c>
      <c r="F451" s="26" t="s">
        <v>2094</v>
      </c>
      <c r="G451" s="26" t="s">
        <v>3879</v>
      </c>
      <c r="H451" s="26" t="s">
        <v>2096</v>
      </c>
    </row>
    <row r="452" customFormat="false" ht="23.85" hidden="false" customHeight="false" outlineLevel="0" collapsed="false">
      <c r="A452" s="26" t="s">
        <v>3891</v>
      </c>
      <c r="B452" s="8" t="s">
        <v>3892</v>
      </c>
      <c r="C452" s="26" t="s">
        <v>3893</v>
      </c>
      <c r="D452" s="26" t="s">
        <v>2693</v>
      </c>
      <c r="E452" s="26" t="s">
        <v>2093</v>
      </c>
      <c r="F452" s="26" t="s">
        <v>2094</v>
      </c>
      <c r="G452" s="26" t="s">
        <v>3894</v>
      </c>
      <c r="H452" s="26" t="s">
        <v>2096</v>
      </c>
    </row>
    <row r="453" customFormat="false" ht="23.85" hidden="false" customHeight="false" outlineLevel="0" collapsed="false">
      <c r="A453" s="26" t="s">
        <v>3895</v>
      </c>
      <c r="B453" s="8" t="s">
        <v>3896</v>
      </c>
      <c r="C453" s="26" t="s">
        <v>3897</v>
      </c>
      <c r="D453" s="26" t="s">
        <v>2693</v>
      </c>
      <c r="E453" s="26" t="s">
        <v>2093</v>
      </c>
      <c r="F453" s="26" t="s">
        <v>2094</v>
      </c>
      <c r="G453" s="26" t="s">
        <v>3894</v>
      </c>
      <c r="H453" s="26" t="s">
        <v>2096</v>
      </c>
    </row>
    <row r="454" customFormat="false" ht="35.05" hidden="false" customHeight="false" outlineLevel="0" collapsed="false">
      <c r="A454" s="26" t="s">
        <v>3898</v>
      </c>
      <c r="B454" s="8" t="s">
        <v>3899</v>
      </c>
      <c r="C454" s="26" t="s">
        <v>3900</v>
      </c>
      <c r="D454" s="26" t="s">
        <v>3901</v>
      </c>
      <c r="E454" s="26" t="s">
        <v>2093</v>
      </c>
      <c r="F454" s="26" t="s">
        <v>2106</v>
      </c>
      <c r="G454" s="26" t="s">
        <v>3902</v>
      </c>
      <c r="H454" s="26" t="s">
        <v>2131</v>
      </c>
    </row>
    <row r="455" customFormat="false" ht="23.85" hidden="false" customHeight="false" outlineLevel="0" collapsed="false">
      <c r="A455" s="26" t="s">
        <v>3903</v>
      </c>
      <c r="B455" s="8" t="s">
        <v>3904</v>
      </c>
      <c r="C455" s="26" t="s">
        <v>3905</v>
      </c>
      <c r="D455" s="26" t="s">
        <v>3906</v>
      </c>
      <c r="E455" s="26" t="s">
        <v>2093</v>
      </c>
      <c r="F455" s="26" t="s">
        <v>2094</v>
      </c>
      <c r="G455" s="26" t="s">
        <v>3907</v>
      </c>
      <c r="H455" s="26" t="s">
        <v>2101</v>
      </c>
    </row>
    <row r="456" customFormat="false" ht="15" hidden="false" customHeight="false" outlineLevel="0" collapsed="false">
      <c r="A456" s="26" t="s">
        <v>3908</v>
      </c>
      <c r="B456" s="8" t="s">
        <v>3909</v>
      </c>
      <c r="C456" s="26" t="s">
        <v>3910</v>
      </c>
      <c r="D456" s="26" t="s">
        <v>3911</v>
      </c>
      <c r="E456" s="26" t="s">
        <v>2093</v>
      </c>
      <c r="F456" s="26" t="s">
        <v>2094</v>
      </c>
      <c r="G456" s="26" t="s">
        <v>3912</v>
      </c>
      <c r="H456" s="26" t="s">
        <v>2101</v>
      </c>
    </row>
    <row r="457" customFormat="false" ht="35.05" hidden="false" customHeight="false" outlineLevel="0" collapsed="false">
      <c r="A457" s="26" t="s">
        <v>3913</v>
      </c>
      <c r="B457" s="8" t="s">
        <v>3914</v>
      </c>
      <c r="C457" s="26" t="s">
        <v>3915</v>
      </c>
      <c r="D457" s="26" t="s">
        <v>3916</v>
      </c>
      <c r="E457" s="26" t="s">
        <v>2093</v>
      </c>
      <c r="F457" s="26" t="s">
        <v>2094</v>
      </c>
      <c r="G457" s="26" t="s">
        <v>3917</v>
      </c>
      <c r="H457" s="26" t="s">
        <v>2101</v>
      </c>
    </row>
    <row r="458" customFormat="false" ht="35.05" hidden="false" customHeight="false" outlineLevel="0" collapsed="false">
      <c r="A458" s="26" t="s">
        <v>3918</v>
      </c>
      <c r="B458" s="8" t="s">
        <v>3919</v>
      </c>
      <c r="C458" s="26" t="s">
        <v>3920</v>
      </c>
      <c r="D458" s="26" t="s">
        <v>3921</v>
      </c>
      <c r="E458" s="26" t="s">
        <v>2093</v>
      </c>
      <c r="F458" s="26" t="s">
        <v>2094</v>
      </c>
      <c r="G458" s="26" t="s">
        <v>3922</v>
      </c>
      <c r="H458" s="26" t="s">
        <v>2101</v>
      </c>
    </row>
    <row r="459" customFormat="false" ht="35.05" hidden="false" customHeight="false" outlineLevel="0" collapsed="false">
      <c r="A459" s="26" t="s">
        <v>3923</v>
      </c>
      <c r="B459" s="8" t="s">
        <v>3924</v>
      </c>
      <c r="C459" s="26" t="s">
        <v>3925</v>
      </c>
      <c r="D459" s="26" t="s">
        <v>2693</v>
      </c>
      <c r="E459" s="26" t="s">
        <v>2093</v>
      </c>
      <c r="F459" s="26" t="s">
        <v>2094</v>
      </c>
      <c r="G459" s="26" t="s">
        <v>3926</v>
      </c>
      <c r="H459" s="26" t="s">
        <v>2096</v>
      </c>
    </row>
    <row r="460" customFormat="false" ht="23.85" hidden="false" customHeight="false" outlineLevel="0" collapsed="false">
      <c r="A460" s="26" t="s">
        <v>3927</v>
      </c>
      <c r="B460" s="8" t="s">
        <v>3928</v>
      </c>
      <c r="C460" s="26" t="s">
        <v>3929</v>
      </c>
      <c r="D460" s="26" t="s">
        <v>2693</v>
      </c>
      <c r="E460" s="26" t="s">
        <v>2093</v>
      </c>
      <c r="F460" s="26" t="s">
        <v>2094</v>
      </c>
      <c r="G460" s="26" t="s">
        <v>3930</v>
      </c>
      <c r="H460" s="26" t="s">
        <v>2096</v>
      </c>
    </row>
    <row r="461" customFormat="false" ht="23.85" hidden="false" customHeight="false" outlineLevel="0" collapsed="false">
      <c r="A461" s="26" t="s">
        <v>3931</v>
      </c>
      <c r="B461" s="8" t="s">
        <v>3932</v>
      </c>
      <c r="C461" s="26" t="s">
        <v>3933</v>
      </c>
      <c r="D461" s="26" t="s">
        <v>3934</v>
      </c>
      <c r="E461" s="26" t="s">
        <v>2093</v>
      </c>
      <c r="F461" s="26" t="s">
        <v>2094</v>
      </c>
      <c r="G461" s="26" t="s">
        <v>3935</v>
      </c>
      <c r="H461" s="26" t="s">
        <v>2131</v>
      </c>
    </row>
    <row r="462" customFormat="false" ht="23.85" hidden="false" customHeight="false" outlineLevel="0" collapsed="false">
      <c r="A462" s="26" t="s">
        <v>3936</v>
      </c>
      <c r="B462" s="8" t="s">
        <v>3937</v>
      </c>
      <c r="C462" s="26" t="s">
        <v>3938</v>
      </c>
      <c r="D462" s="26" t="s">
        <v>2693</v>
      </c>
      <c r="E462" s="26" t="s">
        <v>2093</v>
      </c>
      <c r="F462" s="26" t="s">
        <v>2094</v>
      </c>
      <c r="G462" s="26" t="s">
        <v>3939</v>
      </c>
      <c r="H462" s="26" t="s">
        <v>2096</v>
      </c>
    </row>
    <row r="463" customFormat="false" ht="23.85" hidden="false" customHeight="false" outlineLevel="0" collapsed="false">
      <c r="A463" s="26" t="s">
        <v>3940</v>
      </c>
      <c r="B463" s="8" t="s">
        <v>3941</v>
      </c>
      <c r="C463" s="26" t="s">
        <v>3942</v>
      </c>
      <c r="D463" s="26" t="s">
        <v>3916</v>
      </c>
      <c r="E463" s="26" t="s">
        <v>2093</v>
      </c>
      <c r="F463" s="26" t="s">
        <v>2094</v>
      </c>
      <c r="G463" s="26" t="s">
        <v>3939</v>
      </c>
      <c r="H463" s="26" t="s">
        <v>2101</v>
      </c>
    </row>
    <row r="464" customFormat="false" ht="23.85" hidden="false" customHeight="false" outlineLevel="0" collapsed="false">
      <c r="A464" s="26" t="s">
        <v>3943</v>
      </c>
      <c r="B464" s="8" t="s">
        <v>3944</v>
      </c>
      <c r="C464" s="26" t="s">
        <v>3945</v>
      </c>
      <c r="D464" s="26" t="s">
        <v>3916</v>
      </c>
      <c r="E464" s="26" t="s">
        <v>2093</v>
      </c>
      <c r="F464" s="26" t="s">
        <v>2094</v>
      </c>
      <c r="G464" s="26" t="s">
        <v>3939</v>
      </c>
      <c r="H464" s="26" t="s">
        <v>2101</v>
      </c>
    </row>
    <row r="465" customFormat="false" ht="15" hidden="false" customHeight="false" outlineLevel="0" collapsed="false">
      <c r="A465" s="26" t="s">
        <v>3946</v>
      </c>
      <c r="B465" s="8" t="s">
        <v>3947</v>
      </c>
      <c r="C465" s="26" t="s">
        <v>3948</v>
      </c>
      <c r="D465" s="26" t="s">
        <v>3916</v>
      </c>
      <c r="E465" s="26" t="s">
        <v>2093</v>
      </c>
      <c r="F465" s="26" t="s">
        <v>2094</v>
      </c>
      <c r="G465" s="26" t="s">
        <v>3949</v>
      </c>
      <c r="H465" s="26" t="s">
        <v>2101</v>
      </c>
    </row>
    <row r="466" customFormat="false" ht="23.85" hidden="false" customHeight="false" outlineLevel="0" collapsed="false">
      <c r="A466" s="26" t="s">
        <v>3950</v>
      </c>
      <c r="B466" s="8" t="s">
        <v>3951</v>
      </c>
      <c r="C466" s="26" t="s">
        <v>3952</v>
      </c>
      <c r="D466" s="26" t="s">
        <v>3916</v>
      </c>
      <c r="E466" s="26" t="s">
        <v>2093</v>
      </c>
      <c r="F466" s="26" t="s">
        <v>2094</v>
      </c>
      <c r="G466" s="26" t="s">
        <v>3939</v>
      </c>
      <c r="H466" s="26" t="s">
        <v>2101</v>
      </c>
    </row>
    <row r="467" customFormat="false" ht="23.85" hidden="false" customHeight="false" outlineLevel="0" collapsed="false">
      <c r="A467" s="26" t="s">
        <v>3953</v>
      </c>
      <c r="B467" s="8" t="s">
        <v>3954</v>
      </c>
      <c r="C467" s="26" t="s">
        <v>3955</v>
      </c>
      <c r="D467" s="26" t="s">
        <v>2693</v>
      </c>
      <c r="E467" s="26" t="s">
        <v>2093</v>
      </c>
      <c r="F467" s="26" t="s">
        <v>2094</v>
      </c>
      <c r="G467" s="26" t="s">
        <v>3956</v>
      </c>
      <c r="H467" s="26" t="s">
        <v>2096</v>
      </c>
    </row>
    <row r="468" customFormat="false" ht="23.85" hidden="false" customHeight="false" outlineLevel="0" collapsed="false">
      <c r="A468" s="26" t="s">
        <v>3957</v>
      </c>
      <c r="B468" s="8" t="s">
        <v>3958</v>
      </c>
      <c r="C468" s="26" t="s">
        <v>3959</v>
      </c>
      <c r="D468" s="26" t="s">
        <v>2693</v>
      </c>
      <c r="E468" s="26" t="s">
        <v>2093</v>
      </c>
      <c r="F468" s="26" t="s">
        <v>2094</v>
      </c>
      <c r="G468" s="26" t="s">
        <v>3956</v>
      </c>
      <c r="H468" s="26" t="s">
        <v>2096</v>
      </c>
    </row>
    <row r="469" customFormat="false" ht="35.05" hidden="false" customHeight="false" outlineLevel="0" collapsed="false">
      <c r="A469" s="26" t="s">
        <v>3960</v>
      </c>
      <c r="B469" s="8" t="s">
        <v>3961</v>
      </c>
      <c r="C469" s="26" t="s">
        <v>3962</v>
      </c>
      <c r="D469" s="26" t="s">
        <v>2693</v>
      </c>
      <c r="E469" s="26" t="s">
        <v>2093</v>
      </c>
      <c r="F469" s="26" t="s">
        <v>2094</v>
      </c>
      <c r="G469" s="26" t="s">
        <v>3956</v>
      </c>
      <c r="H469" s="26" t="s">
        <v>2096</v>
      </c>
    </row>
    <row r="470" customFormat="false" ht="23.85" hidden="false" customHeight="false" outlineLevel="0" collapsed="false">
      <c r="A470" s="26" t="s">
        <v>3963</v>
      </c>
      <c r="B470" s="8" t="s">
        <v>3964</v>
      </c>
      <c r="C470" s="26" t="s">
        <v>3965</v>
      </c>
      <c r="D470" s="26" t="s">
        <v>2693</v>
      </c>
      <c r="E470" s="26" t="s">
        <v>2093</v>
      </c>
      <c r="F470" s="26" t="s">
        <v>2094</v>
      </c>
      <c r="G470" s="26" t="s">
        <v>3956</v>
      </c>
      <c r="H470" s="26" t="s">
        <v>2096</v>
      </c>
    </row>
    <row r="471" customFormat="false" ht="23.85" hidden="false" customHeight="false" outlineLevel="0" collapsed="false">
      <c r="A471" s="26" t="s">
        <v>3966</v>
      </c>
      <c r="B471" s="8" t="s">
        <v>3967</v>
      </c>
      <c r="C471" s="26" t="s">
        <v>3968</v>
      </c>
      <c r="D471" s="26" t="s">
        <v>2693</v>
      </c>
      <c r="E471" s="26" t="s">
        <v>2093</v>
      </c>
      <c r="F471" s="26" t="s">
        <v>2094</v>
      </c>
      <c r="G471" s="26" t="s">
        <v>3956</v>
      </c>
      <c r="H471" s="26" t="s">
        <v>2096</v>
      </c>
    </row>
    <row r="472" customFormat="false" ht="35.05" hidden="false" customHeight="false" outlineLevel="0" collapsed="false">
      <c r="A472" s="26" t="s">
        <v>3969</v>
      </c>
      <c r="B472" s="8" t="s">
        <v>3970</v>
      </c>
      <c r="C472" s="26" t="s">
        <v>3971</v>
      </c>
      <c r="D472" s="26" t="s">
        <v>2693</v>
      </c>
      <c r="E472" s="26" t="s">
        <v>2093</v>
      </c>
      <c r="F472" s="26" t="s">
        <v>2094</v>
      </c>
      <c r="G472" s="26" t="s">
        <v>3972</v>
      </c>
      <c r="H472" s="26" t="s">
        <v>2096</v>
      </c>
    </row>
    <row r="473" customFormat="false" ht="23.85" hidden="false" customHeight="false" outlineLevel="0" collapsed="false">
      <c r="A473" s="26" t="s">
        <v>3973</v>
      </c>
      <c r="B473" s="8" t="s">
        <v>3974</v>
      </c>
      <c r="C473" s="26" t="s">
        <v>3975</v>
      </c>
      <c r="D473" s="26" t="s">
        <v>3976</v>
      </c>
      <c r="E473" s="26" t="s">
        <v>2093</v>
      </c>
      <c r="F473" s="26" t="s">
        <v>2106</v>
      </c>
      <c r="G473" s="26" t="s">
        <v>3977</v>
      </c>
      <c r="H473" s="26" t="s">
        <v>2131</v>
      </c>
    </row>
    <row r="474" customFormat="false" ht="23.85" hidden="false" customHeight="false" outlineLevel="0" collapsed="false">
      <c r="A474" s="26" t="s">
        <v>3978</v>
      </c>
      <c r="B474" s="8" t="s">
        <v>3979</v>
      </c>
      <c r="C474" s="26" t="s">
        <v>3980</v>
      </c>
      <c r="D474" s="26" t="s">
        <v>3981</v>
      </c>
      <c r="E474" s="26" t="s">
        <v>2093</v>
      </c>
      <c r="F474" s="26" t="s">
        <v>2094</v>
      </c>
      <c r="G474" s="26" t="s">
        <v>3982</v>
      </c>
      <c r="H474" s="26" t="s">
        <v>2101</v>
      </c>
    </row>
    <row r="475" customFormat="false" ht="23.85" hidden="false" customHeight="false" outlineLevel="0" collapsed="false">
      <c r="A475" s="26" t="s">
        <v>3983</v>
      </c>
      <c r="B475" s="8" t="s">
        <v>3984</v>
      </c>
      <c r="C475" s="26" t="s">
        <v>3985</v>
      </c>
      <c r="D475" s="26" t="s">
        <v>3986</v>
      </c>
      <c r="E475" s="26" t="s">
        <v>2093</v>
      </c>
      <c r="F475" s="26" t="s">
        <v>2094</v>
      </c>
      <c r="G475" s="26" t="s">
        <v>3987</v>
      </c>
      <c r="H475" s="26" t="s">
        <v>2101</v>
      </c>
    </row>
    <row r="476" customFormat="false" ht="23.85" hidden="false" customHeight="false" outlineLevel="0" collapsed="false">
      <c r="A476" s="26" t="s">
        <v>3988</v>
      </c>
      <c r="B476" s="8" t="s">
        <v>3989</v>
      </c>
      <c r="C476" s="26" t="s">
        <v>3990</v>
      </c>
      <c r="D476" s="26" t="s">
        <v>3991</v>
      </c>
      <c r="E476" s="26" t="s">
        <v>2093</v>
      </c>
      <c r="F476" s="26" t="s">
        <v>2094</v>
      </c>
      <c r="G476" s="26" t="s">
        <v>3992</v>
      </c>
      <c r="H476" s="26" t="s">
        <v>2096</v>
      </c>
    </row>
    <row r="477" customFormat="false" ht="35.05" hidden="false" customHeight="false" outlineLevel="0" collapsed="false">
      <c r="A477" s="26" t="s">
        <v>3993</v>
      </c>
      <c r="B477" s="8" t="s">
        <v>3994</v>
      </c>
      <c r="C477" s="26" t="s">
        <v>3995</v>
      </c>
      <c r="D477" s="26" t="s">
        <v>3991</v>
      </c>
      <c r="E477" s="26" t="s">
        <v>2093</v>
      </c>
      <c r="F477" s="26" t="s">
        <v>2094</v>
      </c>
      <c r="G477" s="26" t="s">
        <v>3977</v>
      </c>
      <c r="H477" s="26" t="s">
        <v>2096</v>
      </c>
    </row>
    <row r="478" customFormat="false" ht="23.85" hidden="false" customHeight="false" outlineLevel="0" collapsed="false">
      <c r="A478" s="26" t="s">
        <v>3996</v>
      </c>
      <c r="B478" s="8" t="s">
        <v>3997</v>
      </c>
      <c r="C478" s="26" t="s">
        <v>3998</v>
      </c>
      <c r="D478" s="26" t="s">
        <v>3999</v>
      </c>
      <c r="E478" s="26" t="s">
        <v>2093</v>
      </c>
      <c r="F478" s="26" t="s">
        <v>2094</v>
      </c>
      <c r="G478" s="26" t="s">
        <v>3977</v>
      </c>
      <c r="H478" s="26" t="s">
        <v>2096</v>
      </c>
    </row>
    <row r="479" customFormat="false" ht="23.85" hidden="false" customHeight="false" outlineLevel="0" collapsed="false">
      <c r="A479" s="26" t="s">
        <v>4000</v>
      </c>
      <c r="B479" s="8" t="s">
        <v>4001</v>
      </c>
      <c r="C479" s="26" t="s">
        <v>4002</v>
      </c>
      <c r="D479" s="26" t="s">
        <v>4003</v>
      </c>
      <c r="E479" s="26" t="s">
        <v>2093</v>
      </c>
      <c r="F479" s="26" t="s">
        <v>2106</v>
      </c>
      <c r="G479" s="26" t="s">
        <v>4004</v>
      </c>
      <c r="H479" s="26" t="s">
        <v>2131</v>
      </c>
    </row>
    <row r="480" customFormat="false" ht="15" hidden="false" customHeight="false" outlineLevel="0" collapsed="false">
      <c r="A480" s="26" t="s">
        <v>4005</v>
      </c>
      <c r="B480" s="8" t="s">
        <v>4006</v>
      </c>
      <c r="C480" s="26" t="s">
        <v>4007</v>
      </c>
      <c r="D480" s="26" t="s">
        <v>2227</v>
      </c>
      <c r="E480" s="26" t="s">
        <v>2093</v>
      </c>
      <c r="F480" s="26" t="s">
        <v>2094</v>
      </c>
      <c r="G480" s="26" t="s">
        <v>4008</v>
      </c>
      <c r="H480" s="26" t="s">
        <v>2096</v>
      </c>
    </row>
    <row r="481" customFormat="false" ht="23.85" hidden="false" customHeight="false" outlineLevel="0" collapsed="false">
      <c r="A481" s="26" t="s">
        <v>4009</v>
      </c>
      <c r="B481" s="8" t="s">
        <v>4010</v>
      </c>
      <c r="C481" s="26" t="s">
        <v>4011</v>
      </c>
      <c r="D481" s="26" t="s">
        <v>2227</v>
      </c>
      <c r="E481" s="26" t="s">
        <v>2093</v>
      </c>
      <c r="F481" s="26" t="s">
        <v>2094</v>
      </c>
      <c r="G481" s="26" t="s">
        <v>4012</v>
      </c>
      <c r="H481" s="26" t="s">
        <v>2096</v>
      </c>
    </row>
    <row r="482" customFormat="false" ht="23.85" hidden="false" customHeight="false" outlineLevel="0" collapsed="false">
      <c r="A482" s="26" t="s">
        <v>4013</v>
      </c>
      <c r="B482" s="8" t="s">
        <v>4014</v>
      </c>
      <c r="C482" s="26" t="s">
        <v>4015</v>
      </c>
      <c r="D482" s="26" t="s">
        <v>2227</v>
      </c>
      <c r="E482" s="26" t="s">
        <v>2093</v>
      </c>
      <c r="F482" s="26" t="s">
        <v>2094</v>
      </c>
      <c r="G482" s="26" t="s">
        <v>4016</v>
      </c>
      <c r="H482" s="26" t="s">
        <v>2096</v>
      </c>
    </row>
    <row r="483" customFormat="false" ht="23.85" hidden="false" customHeight="false" outlineLevel="0" collapsed="false">
      <c r="A483" s="26" t="s">
        <v>484</v>
      </c>
      <c r="B483" s="8" t="s">
        <v>4017</v>
      </c>
      <c r="C483" s="26" t="s">
        <v>4018</v>
      </c>
      <c r="D483" s="26" t="s">
        <v>2227</v>
      </c>
      <c r="E483" s="26" t="s">
        <v>2093</v>
      </c>
      <c r="F483" s="26" t="s">
        <v>2094</v>
      </c>
      <c r="G483" s="26" t="s">
        <v>4019</v>
      </c>
      <c r="H483" s="26" t="s">
        <v>2096</v>
      </c>
    </row>
    <row r="484" customFormat="false" ht="23.85" hidden="false" customHeight="false" outlineLevel="0" collapsed="false">
      <c r="A484" s="26" t="s">
        <v>4020</v>
      </c>
      <c r="B484" s="8" t="s">
        <v>4021</v>
      </c>
      <c r="C484" s="26" t="s">
        <v>4022</v>
      </c>
      <c r="D484" s="26" t="s">
        <v>2227</v>
      </c>
      <c r="E484" s="26" t="s">
        <v>2093</v>
      </c>
      <c r="F484" s="26" t="s">
        <v>2094</v>
      </c>
      <c r="G484" s="26" t="s">
        <v>4023</v>
      </c>
      <c r="H484" s="26" t="s">
        <v>2096</v>
      </c>
    </row>
    <row r="485" customFormat="false" ht="23.85" hidden="false" customHeight="false" outlineLevel="0" collapsed="false">
      <c r="A485" s="26" t="s">
        <v>4024</v>
      </c>
      <c r="B485" s="8" t="s">
        <v>4025</v>
      </c>
      <c r="C485" s="26" t="s">
        <v>4026</v>
      </c>
      <c r="D485" s="26" t="s">
        <v>2227</v>
      </c>
      <c r="E485" s="26" t="s">
        <v>2093</v>
      </c>
      <c r="F485" s="26" t="s">
        <v>2094</v>
      </c>
      <c r="G485" s="26" t="s">
        <v>4027</v>
      </c>
      <c r="H485" s="26" t="s">
        <v>2096</v>
      </c>
    </row>
    <row r="486" customFormat="false" ht="35.05" hidden="false" customHeight="false" outlineLevel="0" collapsed="false">
      <c r="A486" s="26" t="s">
        <v>4028</v>
      </c>
      <c r="B486" s="8" t="s">
        <v>4029</v>
      </c>
      <c r="C486" s="26" t="s">
        <v>4030</v>
      </c>
      <c r="D486" s="26" t="s">
        <v>2227</v>
      </c>
      <c r="E486" s="26" t="s">
        <v>2093</v>
      </c>
      <c r="F486" s="26" t="s">
        <v>2094</v>
      </c>
      <c r="G486" s="26" t="s">
        <v>4031</v>
      </c>
      <c r="H486" s="26" t="s">
        <v>2096</v>
      </c>
    </row>
    <row r="487" customFormat="false" ht="15" hidden="false" customHeight="false" outlineLevel="0" collapsed="false">
      <c r="A487" s="26" t="s">
        <v>4032</v>
      </c>
      <c r="B487" s="8" t="s">
        <v>4033</v>
      </c>
      <c r="C487" s="26" t="s">
        <v>4034</v>
      </c>
      <c r="D487" s="26" t="s">
        <v>2227</v>
      </c>
      <c r="E487" s="26" t="s">
        <v>2093</v>
      </c>
      <c r="F487" s="26" t="s">
        <v>2094</v>
      </c>
      <c r="G487" s="26" t="s">
        <v>4035</v>
      </c>
      <c r="H487" s="26" t="s">
        <v>2096</v>
      </c>
    </row>
    <row r="488" customFormat="false" ht="23.85" hidden="false" customHeight="false" outlineLevel="0" collapsed="false">
      <c r="A488" s="26" t="s">
        <v>4036</v>
      </c>
      <c r="B488" s="8" t="s">
        <v>4037</v>
      </c>
      <c r="C488" s="26" t="s">
        <v>4038</v>
      </c>
      <c r="D488" s="26" t="s">
        <v>2227</v>
      </c>
      <c r="E488" s="26" t="s">
        <v>2093</v>
      </c>
      <c r="F488" s="26" t="s">
        <v>2094</v>
      </c>
      <c r="G488" s="26" t="s">
        <v>4035</v>
      </c>
      <c r="H488" s="26" t="s">
        <v>2096</v>
      </c>
    </row>
    <row r="489" customFormat="false" ht="23.85" hidden="false" customHeight="false" outlineLevel="0" collapsed="false">
      <c r="A489" s="26" t="s">
        <v>4039</v>
      </c>
      <c r="B489" s="8" t="s">
        <v>4040</v>
      </c>
      <c r="C489" s="26" t="s">
        <v>4041</v>
      </c>
      <c r="D489" s="26" t="s">
        <v>2227</v>
      </c>
      <c r="E489" s="26" t="s">
        <v>2093</v>
      </c>
      <c r="F489" s="26" t="s">
        <v>2094</v>
      </c>
      <c r="G489" s="26" t="s">
        <v>4042</v>
      </c>
      <c r="H489" s="26" t="s">
        <v>2096</v>
      </c>
    </row>
    <row r="490" customFormat="false" ht="23.85" hidden="false" customHeight="false" outlineLevel="0" collapsed="false">
      <c r="A490" s="26" t="s">
        <v>4043</v>
      </c>
      <c r="B490" s="8" t="s">
        <v>4044</v>
      </c>
      <c r="C490" s="26" t="s">
        <v>4045</v>
      </c>
      <c r="D490" s="26" t="s">
        <v>2227</v>
      </c>
      <c r="E490" s="26" t="s">
        <v>2093</v>
      </c>
      <c r="F490" s="26" t="s">
        <v>2094</v>
      </c>
      <c r="G490" s="26" t="s">
        <v>4046</v>
      </c>
      <c r="H490" s="26" t="s">
        <v>2096</v>
      </c>
    </row>
    <row r="491" customFormat="false" ht="35.05" hidden="false" customHeight="false" outlineLevel="0" collapsed="false">
      <c r="A491" s="26" t="s">
        <v>4047</v>
      </c>
      <c r="B491" s="8" t="s">
        <v>4048</v>
      </c>
      <c r="C491" s="26" t="s">
        <v>4049</v>
      </c>
      <c r="D491" s="26" t="s">
        <v>4050</v>
      </c>
      <c r="E491" s="26" t="s">
        <v>2093</v>
      </c>
      <c r="F491" s="26" t="s">
        <v>2106</v>
      </c>
      <c r="G491" s="26" t="s">
        <v>3939</v>
      </c>
      <c r="H491" s="26" t="s">
        <v>2101</v>
      </c>
    </row>
    <row r="492" customFormat="false" ht="23.85" hidden="false" customHeight="false" outlineLevel="0" collapsed="false">
      <c r="A492" s="26" t="s">
        <v>4051</v>
      </c>
      <c r="B492" s="8" t="s">
        <v>4052</v>
      </c>
      <c r="C492" s="26" t="s">
        <v>4053</v>
      </c>
      <c r="D492" s="26" t="s">
        <v>3185</v>
      </c>
      <c r="E492" s="26" t="s">
        <v>2093</v>
      </c>
      <c r="F492" s="26" t="s">
        <v>2094</v>
      </c>
      <c r="G492" s="26" t="s">
        <v>3949</v>
      </c>
      <c r="H492" s="26" t="s">
        <v>2131</v>
      </c>
    </row>
    <row r="493" customFormat="false" ht="23.85" hidden="false" customHeight="false" outlineLevel="0" collapsed="false">
      <c r="A493" s="26" t="s">
        <v>4054</v>
      </c>
      <c r="B493" s="8" t="s">
        <v>4055</v>
      </c>
      <c r="C493" s="26" t="s">
        <v>4056</v>
      </c>
      <c r="D493" s="26" t="s">
        <v>4057</v>
      </c>
      <c r="E493" s="26" t="s">
        <v>2093</v>
      </c>
      <c r="F493" s="26" t="s">
        <v>2094</v>
      </c>
      <c r="G493" s="26" t="s">
        <v>3949</v>
      </c>
      <c r="H493" s="26" t="s">
        <v>2131</v>
      </c>
    </row>
    <row r="494" customFormat="false" ht="23.85" hidden="false" customHeight="false" outlineLevel="0" collapsed="false">
      <c r="A494" s="26" t="s">
        <v>4058</v>
      </c>
      <c r="B494" s="8" t="s">
        <v>4059</v>
      </c>
      <c r="C494" s="26" t="s">
        <v>4060</v>
      </c>
      <c r="D494" s="26" t="s">
        <v>2693</v>
      </c>
      <c r="E494" s="26" t="s">
        <v>2093</v>
      </c>
      <c r="F494" s="26" t="s">
        <v>2094</v>
      </c>
      <c r="G494" s="26" t="s">
        <v>4061</v>
      </c>
      <c r="H494" s="26" t="s">
        <v>2096</v>
      </c>
    </row>
    <row r="495" customFormat="false" ht="35.05" hidden="false" customHeight="false" outlineLevel="0" collapsed="false">
      <c r="A495" s="26" t="s">
        <v>4062</v>
      </c>
      <c r="B495" s="8" t="s">
        <v>4063</v>
      </c>
      <c r="C495" s="26" t="s">
        <v>4064</v>
      </c>
      <c r="D495" s="26" t="s">
        <v>2693</v>
      </c>
      <c r="E495" s="26" t="s">
        <v>2093</v>
      </c>
      <c r="F495" s="26" t="s">
        <v>2094</v>
      </c>
      <c r="G495" s="26" t="s">
        <v>4065</v>
      </c>
      <c r="H495" s="26" t="s">
        <v>2096</v>
      </c>
    </row>
    <row r="496" customFormat="false" ht="35.05" hidden="false" customHeight="false" outlineLevel="0" collapsed="false">
      <c r="A496" s="26" t="s">
        <v>4066</v>
      </c>
      <c r="B496" s="8" t="s">
        <v>4067</v>
      </c>
      <c r="C496" s="26" t="s">
        <v>4068</v>
      </c>
      <c r="D496" s="26" t="s">
        <v>2693</v>
      </c>
      <c r="E496" s="26" t="s">
        <v>2093</v>
      </c>
      <c r="F496" s="26" t="s">
        <v>2094</v>
      </c>
      <c r="G496" s="26" t="s">
        <v>4069</v>
      </c>
      <c r="H496" s="26" t="s">
        <v>2096</v>
      </c>
    </row>
    <row r="497" customFormat="false" ht="23.85" hidden="false" customHeight="false" outlineLevel="0" collapsed="false">
      <c r="A497" s="26" t="s">
        <v>4070</v>
      </c>
      <c r="B497" s="8" t="s">
        <v>4071</v>
      </c>
      <c r="C497" s="26" t="s">
        <v>4072</v>
      </c>
      <c r="D497" s="26" t="s">
        <v>2693</v>
      </c>
      <c r="E497" s="26" t="s">
        <v>2093</v>
      </c>
      <c r="F497" s="26" t="s">
        <v>2094</v>
      </c>
      <c r="G497" s="26" t="s">
        <v>4073</v>
      </c>
      <c r="H497" s="26" t="s">
        <v>2096</v>
      </c>
    </row>
    <row r="498" customFormat="false" ht="23.85" hidden="false" customHeight="false" outlineLevel="0" collapsed="false">
      <c r="A498" s="26" t="s">
        <v>4074</v>
      </c>
      <c r="B498" s="8" t="s">
        <v>4075</v>
      </c>
      <c r="C498" s="26" t="s">
        <v>4076</v>
      </c>
      <c r="D498" s="26" t="s">
        <v>2693</v>
      </c>
      <c r="E498" s="26" t="s">
        <v>2093</v>
      </c>
      <c r="F498" s="26" t="s">
        <v>2094</v>
      </c>
      <c r="G498" s="26" t="s">
        <v>4077</v>
      </c>
      <c r="H498" s="26" t="s">
        <v>2096</v>
      </c>
    </row>
    <row r="499" customFormat="false" ht="35.05" hidden="false" customHeight="false" outlineLevel="0" collapsed="false">
      <c r="A499" s="26" t="s">
        <v>4078</v>
      </c>
      <c r="B499" s="8" t="s">
        <v>4079</v>
      </c>
      <c r="C499" s="26" t="s">
        <v>3467</v>
      </c>
      <c r="D499" s="26" t="s">
        <v>4080</v>
      </c>
      <c r="E499" s="26" t="s">
        <v>2093</v>
      </c>
      <c r="F499" s="26" t="s">
        <v>2094</v>
      </c>
      <c r="G499" s="26" t="s">
        <v>4081</v>
      </c>
      <c r="H499" s="26" t="s">
        <v>2101</v>
      </c>
    </row>
    <row r="500" customFormat="false" ht="23.85" hidden="false" customHeight="false" outlineLevel="0" collapsed="false">
      <c r="A500" s="26" t="s">
        <v>4082</v>
      </c>
      <c r="B500" s="8" t="s">
        <v>4083</v>
      </c>
      <c r="C500" s="26" t="s">
        <v>3646</v>
      </c>
      <c r="D500" s="26" t="s">
        <v>4084</v>
      </c>
      <c r="E500" s="26" t="s">
        <v>2093</v>
      </c>
      <c r="F500" s="26" t="s">
        <v>2094</v>
      </c>
      <c r="G500" s="26" t="s">
        <v>4085</v>
      </c>
      <c r="H500" s="26" t="s">
        <v>2101</v>
      </c>
    </row>
    <row r="501" customFormat="false" ht="23.85" hidden="false" customHeight="false" outlineLevel="0" collapsed="false">
      <c r="A501" s="26" t="s">
        <v>4086</v>
      </c>
      <c r="B501" s="8" t="s">
        <v>4087</v>
      </c>
      <c r="C501" s="26" t="s">
        <v>4088</v>
      </c>
      <c r="D501" s="26" t="s">
        <v>4003</v>
      </c>
      <c r="E501" s="26" t="s">
        <v>2093</v>
      </c>
      <c r="F501" s="26" t="s">
        <v>2106</v>
      </c>
      <c r="G501" s="26" t="s">
        <v>4089</v>
      </c>
      <c r="H501" s="26" t="s">
        <v>2131</v>
      </c>
    </row>
    <row r="502" customFormat="false" ht="35.05" hidden="false" customHeight="false" outlineLevel="0" collapsed="false">
      <c r="A502" s="26" t="s">
        <v>4090</v>
      </c>
      <c r="B502" s="8" t="s">
        <v>4091</v>
      </c>
      <c r="C502" s="26" t="s">
        <v>4088</v>
      </c>
      <c r="D502" s="26" t="s">
        <v>4092</v>
      </c>
      <c r="E502" s="26" t="s">
        <v>2093</v>
      </c>
      <c r="F502" s="26" t="s">
        <v>2094</v>
      </c>
      <c r="G502" s="26" t="s">
        <v>4093</v>
      </c>
      <c r="H502" s="26" t="s">
        <v>2096</v>
      </c>
    </row>
    <row r="503" customFormat="false" ht="23.85" hidden="false" customHeight="false" outlineLevel="0" collapsed="false">
      <c r="A503" s="26" t="s">
        <v>4094</v>
      </c>
      <c r="B503" s="8" t="s">
        <v>4095</v>
      </c>
      <c r="C503" s="26" t="s">
        <v>4096</v>
      </c>
      <c r="D503" s="26" t="s">
        <v>4092</v>
      </c>
      <c r="E503" s="26" t="s">
        <v>2093</v>
      </c>
      <c r="F503" s="26" t="s">
        <v>2094</v>
      </c>
      <c r="G503" s="26" t="s">
        <v>4097</v>
      </c>
      <c r="H503" s="26" t="s">
        <v>2096</v>
      </c>
    </row>
    <row r="504" customFormat="false" ht="35.05" hidden="false" customHeight="false" outlineLevel="0" collapsed="false">
      <c r="A504" s="26" t="s">
        <v>4098</v>
      </c>
      <c r="B504" s="8" t="s">
        <v>4099</v>
      </c>
      <c r="C504" s="26" t="s">
        <v>4100</v>
      </c>
      <c r="D504" s="26" t="s">
        <v>4101</v>
      </c>
      <c r="E504" s="26" t="s">
        <v>2093</v>
      </c>
      <c r="F504" s="26" t="s">
        <v>2106</v>
      </c>
      <c r="G504" s="26" t="s">
        <v>4102</v>
      </c>
      <c r="H504" s="26" t="s">
        <v>2131</v>
      </c>
    </row>
    <row r="505" customFormat="false" ht="23.85" hidden="false" customHeight="false" outlineLevel="0" collapsed="false">
      <c r="A505" s="26" t="s">
        <v>4103</v>
      </c>
      <c r="B505" s="8" t="s">
        <v>4104</v>
      </c>
      <c r="C505" s="26" t="s">
        <v>4105</v>
      </c>
      <c r="D505" s="26" t="s">
        <v>4003</v>
      </c>
      <c r="E505" s="26" t="s">
        <v>2093</v>
      </c>
      <c r="F505" s="26" t="s">
        <v>2106</v>
      </c>
      <c r="G505" s="26" t="s">
        <v>4106</v>
      </c>
      <c r="H505" s="26" t="s">
        <v>2131</v>
      </c>
    </row>
    <row r="506" customFormat="false" ht="35.05" hidden="false" customHeight="false" outlineLevel="0" collapsed="false">
      <c r="A506" s="26" t="s">
        <v>4107</v>
      </c>
      <c r="B506" s="8" t="s">
        <v>4108</v>
      </c>
      <c r="C506" s="26" t="s">
        <v>4109</v>
      </c>
      <c r="D506" s="26" t="s">
        <v>4110</v>
      </c>
      <c r="E506" s="26" t="s">
        <v>2093</v>
      </c>
      <c r="F506" s="26" t="s">
        <v>2106</v>
      </c>
      <c r="G506" s="26" t="s">
        <v>3337</v>
      </c>
      <c r="H506" s="26" t="s">
        <v>2101</v>
      </c>
    </row>
    <row r="507" customFormat="false" ht="23.85" hidden="false" customHeight="false" outlineLevel="0" collapsed="false">
      <c r="A507" s="26" t="s">
        <v>4111</v>
      </c>
      <c r="B507" s="8" t="s">
        <v>4112</v>
      </c>
      <c r="C507" s="26" t="s">
        <v>4113</v>
      </c>
      <c r="D507" s="26" t="s">
        <v>2244</v>
      </c>
      <c r="E507" s="26" t="s">
        <v>2093</v>
      </c>
      <c r="F507" s="26" t="s">
        <v>2094</v>
      </c>
      <c r="G507" s="26" t="s">
        <v>3337</v>
      </c>
      <c r="H507" s="26" t="s">
        <v>2096</v>
      </c>
    </row>
    <row r="508" customFormat="false" ht="23.85" hidden="false" customHeight="false" outlineLevel="0" collapsed="false">
      <c r="A508" s="26" t="s">
        <v>4114</v>
      </c>
      <c r="B508" s="8" t="s">
        <v>4115</v>
      </c>
      <c r="C508" s="26" t="s">
        <v>4116</v>
      </c>
      <c r="D508" s="26" t="s">
        <v>2244</v>
      </c>
      <c r="E508" s="26" t="s">
        <v>2093</v>
      </c>
      <c r="F508" s="26" t="s">
        <v>2094</v>
      </c>
      <c r="G508" s="26" t="s">
        <v>3337</v>
      </c>
      <c r="H508" s="26" t="s">
        <v>2096</v>
      </c>
    </row>
    <row r="509" customFormat="false" ht="35.05" hidden="false" customHeight="false" outlineLevel="0" collapsed="false">
      <c r="A509" s="26" t="s">
        <v>4117</v>
      </c>
      <c r="B509" s="8" t="s">
        <v>4118</v>
      </c>
      <c r="C509" s="26" t="s">
        <v>4119</v>
      </c>
      <c r="D509" s="26" t="s">
        <v>4120</v>
      </c>
      <c r="E509" s="26" t="s">
        <v>2093</v>
      </c>
      <c r="F509" s="26" t="s">
        <v>2094</v>
      </c>
      <c r="G509" s="26" t="s">
        <v>4121</v>
      </c>
      <c r="H509" s="26" t="s">
        <v>2096</v>
      </c>
    </row>
    <row r="510" customFormat="false" ht="23.85" hidden="false" customHeight="false" outlineLevel="0" collapsed="false">
      <c r="A510" s="26" t="s">
        <v>4122</v>
      </c>
      <c r="B510" s="8" t="s">
        <v>4123</v>
      </c>
      <c r="C510" s="26" t="s">
        <v>4124</v>
      </c>
      <c r="D510" s="26" t="s">
        <v>4120</v>
      </c>
      <c r="E510" s="26" t="s">
        <v>2093</v>
      </c>
      <c r="F510" s="26" t="s">
        <v>2094</v>
      </c>
      <c r="G510" s="26" t="s">
        <v>4121</v>
      </c>
      <c r="H510" s="26" t="s">
        <v>2096</v>
      </c>
    </row>
    <row r="511" customFormat="false" ht="35.05" hidden="false" customHeight="false" outlineLevel="0" collapsed="false">
      <c r="A511" s="26" t="s">
        <v>4125</v>
      </c>
      <c r="B511" s="8" t="s">
        <v>4126</v>
      </c>
      <c r="C511" s="26" t="s">
        <v>4127</v>
      </c>
      <c r="D511" s="26" t="s">
        <v>4120</v>
      </c>
      <c r="E511" s="26" t="s">
        <v>2093</v>
      </c>
      <c r="F511" s="26" t="s">
        <v>2094</v>
      </c>
      <c r="G511" s="26" t="s">
        <v>4121</v>
      </c>
      <c r="H511" s="26" t="s">
        <v>2096</v>
      </c>
    </row>
    <row r="512" customFormat="false" ht="46.25" hidden="false" customHeight="false" outlineLevel="0" collapsed="false">
      <c r="A512" s="26" t="s">
        <v>4128</v>
      </c>
      <c r="B512" s="8" t="s">
        <v>4129</v>
      </c>
      <c r="C512" s="26" t="s">
        <v>4130</v>
      </c>
      <c r="D512" s="26" t="s">
        <v>4120</v>
      </c>
      <c r="E512" s="26" t="s">
        <v>2093</v>
      </c>
      <c r="F512" s="26" t="s">
        <v>2094</v>
      </c>
      <c r="G512" s="26" t="s">
        <v>4121</v>
      </c>
      <c r="H512" s="26" t="s">
        <v>2096</v>
      </c>
    </row>
    <row r="513" customFormat="false" ht="23.85" hidden="false" customHeight="false" outlineLevel="0" collapsed="false">
      <c r="A513" s="26" t="s">
        <v>4131</v>
      </c>
      <c r="B513" s="8" t="s">
        <v>4132</v>
      </c>
      <c r="C513" s="26" t="s">
        <v>4133</v>
      </c>
      <c r="D513" s="26" t="s">
        <v>4120</v>
      </c>
      <c r="E513" s="26" t="s">
        <v>2093</v>
      </c>
      <c r="F513" s="26" t="s">
        <v>2094</v>
      </c>
      <c r="G513" s="26" t="s">
        <v>4121</v>
      </c>
      <c r="H513" s="26" t="s">
        <v>2096</v>
      </c>
    </row>
    <row r="514" customFormat="false" ht="35.05" hidden="false" customHeight="false" outlineLevel="0" collapsed="false">
      <c r="A514" s="26" t="s">
        <v>4134</v>
      </c>
      <c r="B514" s="8" t="s">
        <v>4135</v>
      </c>
      <c r="C514" s="26" t="s">
        <v>4136</v>
      </c>
      <c r="D514" s="26" t="s">
        <v>4120</v>
      </c>
      <c r="E514" s="26" t="s">
        <v>2093</v>
      </c>
      <c r="F514" s="26" t="s">
        <v>2094</v>
      </c>
      <c r="G514" s="26" t="s">
        <v>4121</v>
      </c>
      <c r="H514" s="26" t="s">
        <v>2096</v>
      </c>
    </row>
    <row r="515" customFormat="false" ht="35.05" hidden="false" customHeight="false" outlineLevel="0" collapsed="false">
      <c r="A515" s="26" t="s">
        <v>4137</v>
      </c>
      <c r="B515" s="8" t="s">
        <v>4138</v>
      </c>
      <c r="C515" s="26" t="s">
        <v>4139</v>
      </c>
      <c r="D515" s="26" t="s">
        <v>4140</v>
      </c>
      <c r="E515" s="26" t="s">
        <v>2093</v>
      </c>
      <c r="F515" s="26" t="s">
        <v>2094</v>
      </c>
      <c r="G515" s="26" t="s">
        <v>4141</v>
      </c>
      <c r="H515" s="26" t="s">
        <v>2096</v>
      </c>
    </row>
    <row r="516" customFormat="false" ht="15" hidden="false" customHeight="false" outlineLevel="0" collapsed="false">
      <c r="A516" s="26" t="s">
        <v>4142</v>
      </c>
      <c r="B516" s="8" t="s">
        <v>4143</v>
      </c>
      <c r="C516" s="26" t="s">
        <v>4144</v>
      </c>
      <c r="D516" s="26" t="s">
        <v>4145</v>
      </c>
      <c r="E516" s="26" t="s">
        <v>2093</v>
      </c>
      <c r="F516" s="26" t="s">
        <v>2094</v>
      </c>
      <c r="G516" s="26" t="s">
        <v>4146</v>
      </c>
      <c r="H516" s="26" t="s">
        <v>2101</v>
      </c>
    </row>
    <row r="517" customFormat="false" ht="23.85" hidden="false" customHeight="false" outlineLevel="0" collapsed="false">
      <c r="A517" s="26" t="s">
        <v>4147</v>
      </c>
      <c r="B517" s="8" t="s">
        <v>4148</v>
      </c>
      <c r="C517" s="26" t="s">
        <v>4149</v>
      </c>
      <c r="D517" s="26" t="s">
        <v>4150</v>
      </c>
      <c r="E517" s="26" t="s">
        <v>2093</v>
      </c>
      <c r="F517" s="26" t="s">
        <v>2094</v>
      </c>
      <c r="G517" s="26" t="s">
        <v>4151</v>
      </c>
      <c r="H517" s="26" t="s">
        <v>2101</v>
      </c>
    </row>
    <row r="518" customFormat="false" ht="23.85" hidden="false" customHeight="false" outlineLevel="0" collapsed="false">
      <c r="A518" s="26" t="s">
        <v>4152</v>
      </c>
      <c r="B518" s="8" t="s">
        <v>4153</v>
      </c>
      <c r="C518" s="26" t="s">
        <v>4154</v>
      </c>
      <c r="D518" s="26" t="s">
        <v>4155</v>
      </c>
      <c r="E518" s="26" t="s">
        <v>2093</v>
      </c>
      <c r="F518" s="26" t="s">
        <v>2094</v>
      </c>
      <c r="G518" s="26" t="s">
        <v>4156</v>
      </c>
      <c r="H518" s="26" t="s">
        <v>2101</v>
      </c>
    </row>
    <row r="519" customFormat="false" ht="23.85" hidden="false" customHeight="false" outlineLevel="0" collapsed="false">
      <c r="A519" s="26" t="s">
        <v>4157</v>
      </c>
      <c r="B519" s="8" t="s">
        <v>4158</v>
      </c>
      <c r="C519" s="26" t="s">
        <v>4159</v>
      </c>
      <c r="D519" s="26" t="s">
        <v>4160</v>
      </c>
      <c r="E519" s="26" t="s">
        <v>2093</v>
      </c>
      <c r="F519" s="26" t="s">
        <v>2094</v>
      </c>
      <c r="G519" s="26" t="s">
        <v>4161</v>
      </c>
      <c r="H519" s="26" t="s">
        <v>2101</v>
      </c>
    </row>
    <row r="520" customFormat="false" ht="23.85" hidden="false" customHeight="false" outlineLevel="0" collapsed="false">
      <c r="A520" s="26" t="s">
        <v>4162</v>
      </c>
      <c r="B520" s="8" t="s">
        <v>4163</v>
      </c>
      <c r="C520" s="26" t="s">
        <v>4164</v>
      </c>
      <c r="D520" s="26" t="s">
        <v>4165</v>
      </c>
      <c r="E520" s="26" t="s">
        <v>2093</v>
      </c>
      <c r="F520" s="26" t="s">
        <v>2094</v>
      </c>
      <c r="G520" s="26" t="s">
        <v>4166</v>
      </c>
      <c r="H520" s="26" t="s">
        <v>2096</v>
      </c>
    </row>
    <row r="521" customFormat="false" ht="23.85" hidden="false" customHeight="false" outlineLevel="0" collapsed="false">
      <c r="A521" s="26" t="s">
        <v>4167</v>
      </c>
      <c r="B521" s="8" t="s">
        <v>4168</v>
      </c>
      <c r="C521" s="26" t="s">
        <v>4169</v>
      </c>
      <c r="D521" s="26" t="s">
        <v>4160</v>
      </c>
      <c r="E521" s="26" t="s">
        <v>2093</v>
      </c>
      <c r="F521" s="26" t="s">
        <v>2094</v>
      </c>
      <c r="G521" s="26" t="s">
        <v>4161</v>
      </c>
      <c r="H521" s="26" t="s">
        <v>2101</v>
      </c>
    </row>
    <row r="522" customFormat="false" ht="23.85" hidden="false" customHeight="false" outlineLevel="0" collapsed="false">
      <c r="A522" s="26" t="s">
        <v>4170</v>
      </c>
      <c r="B522" s="8" t="s">
        <v>4171</v>
      </c>
      <c r="C522" s="26" t="s">
        <v>4172</v>
      </c>
      <c r="D522" s="26" t="s">
        <v>4173</v>
      </c>
      <c r="E522" s="26" t="s">
        <v>2093</v>
      </c>
      <c r="F522" s="26" t="s">
        <v>2094</v>
      </c>
      <c r="G522" s="26" t="s">
        <v>4174</v>
      </c>
      <c r="H522" s="26" t="s">
        <v>2101</v>
      </c>
    </row>
    <row r="523" customFormat="false" ht="23.85" hidden="false" customHeight="false" outlineLevel="0" collapsed="false">
      <c r="A523" s="26" t="s">
        <v>4175</v>
      </c>
      <c r="B523" s="8" t="s">
        <v>4176</v>
      </c>
      <c r="C523" s="26" t="s">
        <v>4177</v>
      </c>
      <c r="D523" s="26" t="s">
        <v>4178</v>
      </c>
      <c r="E523" s="26" t="s">
        <v>2093</v>
      </c>
      <c r="F523" s="26" t="s">
        <v>2106</v>
      </c>
      <c r="G523" s="26" t="s">
        <v>4174</v>
      </c>
      <c r="H523" s="26" t="s">
        <v>2131</v>
      </c>
    </row>
    <row r="524" customFormat="false" ht="23.85" hidden="false" customHeight="false" outlineLevel="0" collapsed="false">
      <c r="A524" s="26" t="s">
        <v>4179</v>
      </c>
      <c r="B524" s="8" t="s">
        <v>4180</v>
      </c>
      <c r="C524" s="26" t="s">
        <v>4181</v>
      </c>
      <c r="D524" s="26" t="s">
        <v>2804</v>
      </c>
      <c r="E524" s="26" t="s">
        <v>2093</v>
      </c>
      <c r="F524" s="26" t="s">
        <v>2094</v>
      </c>
      <c r="G524" s="26" t="s">
        <v>4166</v>
      </c>
      <c r="H524" s="26" t="s">
        <v>2101</v>
      </c>
    </row>
    <row r="525" customFormat="false" ht="23.85" hidden="false" customHeight="false" outlineLevel="0" collapsed="false">
      <c r="A525" s="26" t="s">
        <v>4182</v>
      </c>
      <c r="B525" s="8" t="s">
        <v>4183</v>
      </c>
      <c r="C525" s="26" t="s">
        <v>4184</v>
      </c>
      <c r="D525" s="26" t="s">
        <v>2804</v>
      </c>
      <c r="E525" s="26" t="s">
        <v>2093</v>
      </c>
      <c r="F525" s="26" t="s">
        <v>2094</v>
      </c>
      <c r="G525" s="26" t="s">
        <v>4166</v>
      </c>
      <c r="H525" s="26" t="s">
        <v>2101</v>
      </c>
    </row>
    <row r="526" customFormat="false" ht="23.85" hidden="false" customHeight="false" outlineLevel="0" collapsed="false">
      <c r="A526" s="26" t="s">
        <v>4185</v>
      </c>
      <c r="B526" s="8" t="s">
        <v>4186</v>
      </c>
      <c r="C526" s="26" t="s">
        <v>4187</v>
      </c>
      <c r="D526" s="26" t="s">
        <v>4188</v>
      </c>
      <c r="E526" s="26" t="s">
        <v>2093</v>
      </c>
      <c r="F526" s="26" t="s">
        <v>2106</v>
      </c>
      <c r="G526" s="26" t="s">
        <v>4166</v>
      </c>
      <c r="H526" s="26" t="s">
        <v>2131</v>
      </c>
    </row>
    <row r="527" customFormat="false" ht="23.85" hidden="false" customHeight="false" outlineLevel="0" collapsed="false">
      <c r="A527" s="26" t="s">
        <v>4189</v>
      </c>
      <c r="B527" s="8" t="s">
        <v>4190</v>
      </c>
      <c r="C527" s="26" t="s">
        <v>4191</v>
      </c>
      <c r="D527" s="26" t="s">
        <v>4120</v>
      </c>
      <c r="E527" s="26" t="s">
        <v>2093</v>
      </c>
      <c r="F527" s="26" t="s">
        <v>2094</v>
      </c>
      <c r="G527" s="26" t="s">
        <v>4121</v>
      </c>
      <c r="H527" s="26" t="s">
        <v>2096</v>
      </c>
    </row>
    <row r="528" customFormat="false" ht="35.05" hidden="false" customHeight="false" outlineLevel="0" collapsed="false">
      <c r="A528" s="26" t="s">
        <v>4192</v>
      </c>
      <c r="B528" s="8" t="s">
        <v>4193</v>
      </c>
      <c r="C528" s="26" t="s">
        <v>4194</v>
      </c>
      <c r="D528" s="26" t="s">
        <v>4120</v>
      </c>
      <c r="E528" s="26" t="s">
        <v>2093</v>
      </c>
      <c r="F528" s="26" t="s">
        <v>2094</v>
      </c>
      <c r="G528" s="26" t="s">
        <v>4195</v>
      </c>
      <c r="H528" s="26" t="s">
        <v>2096</v>
      </c>
    </row>
    <row r="529" customFormat="false" ht="35.05" hidden="false" customHeight="false" outlineLevel="0" collapsed="false">
      <c r="A529" s="26" t="s">
        <v>4196</v>
      </c>
      <c r="B529" s="8" t="s">
        <v>4197</v>
      </c>
      <c r="C529" s="26" t="s">
        <v>4198</v>
      </c>
      <c r="D529" s="26" t="s">
        <v>4199</v>
      </c>
      <c r="E529" s="26" t="s">
        <v>2093</v>
      </c>
      <c r="F529" s="26" t="s">
        <v>2094</v>
      </c>
      <c r="G529" s="26" t="s">
        <v>4161</v>
      </c>
      <c r="H529" s="26" t="s">
        <v>2096</v>
      </c>
    </row>
    <row r="530" customFormat="false" ht="23.85" hidden="false" customHeight="false" outlineLevel="0" collapsed="false">
      <c r="A530" s="26" t="s">
        <v>4200</v>
      </c>
      <c r="B530" s="8" t="s">
        <v>4201</v>
      </c>
      <c r="C530" s="26" t="s">
        <v>4202</v>
      </c>
      <c r="D530" s="26" t="s">
        <v>4203</v>
      </c>
      <c r="E530" s="26" t="s">
        <v>2093</v>
      </c>
      <c r="F530" s="26" t="s">
        <v>2094</v>
      </c>
      <c r="G530" s="26" t="s">
        <v>4174</v>
      </c>
      <c r="H530" s="26" t="s">
        <v>2096</v>
      </c>
    </row>
    <row r="531" customFormat="false" ht="23.85" hidden="false" customHeight="false" outlineLevel="0" collapsed="false">
      <c r="A531" s="26" t="s">
        <v>4204</v>
      </c>
      <c r="B531" s="8" t="s">
        <v>4205</v>
      </c>
      <c r="C531" s="26" t="s">
        <v>4206</v>
      </c>
      <c r="D531" s="26" t="s">
        <v>4203</v>
      </c>
      <c r="E531" s="26" t="s">
        <v>2093</v>
      </c>
      <c r="F531" s="26" t="s">
        <v>2094</v>
      </c>
      <c r="G531" s="26" t="s">
        <v>4174</v>
      </c>
      <c r="H531" s="26" t="s">
        <v>2096</v>
      </c>
    </row>
    <row r="532" customFormat="false" ht="35.05" hidden="false" customHeight="false" outlineLevel="0" collapsed="false">
      <c r="A532" s="26" t="s">
        <v>4207</v>
      </c>
      <c r="B532" s="8" t="s">
        <v>4208</v>
      </c>
      <c r="C532" s="26" t="s">
        <v>2807</v>
      </c>
      <c r="D532" s="26" t="s">
        <v>4209</v>
      </c>
      <c r="E532" s="26" t="s">
        <v>2093</v>
      </c>
      <c r="F532" s="26" t="s">
        <v>2094</v>
      </c>
      <c r="G532" s="26" t="s">
        <v>4210</v>
      </c>
      <c r="H532" s="26" t="s">
        <v>2101</v>
      </c>
    </row>
    <row r="533" customFormat="false" ht="35.05" hidden="false" customHeight="false" outlineLevel="0" collapsed="false">
      <c r="A533" s="26" t="s">
        <v>4211</v>
      </c>
      <c r="B533" s="8" t="s">
        <v>4212</v>
      </c>
      <c r="C533" s="26" t="s">
        <v>4213</v>
      </c>
      <c r="D533" s="26" t="s">
        <v>2777</v>
      </c>
      <c r="E533" s="26" t="s">
        <v>2093</v>
      </c>
      <c r="F533" s="26" t="s">
        <v>2094</v>
      </c>
      <c r="G533" s="26" t="s">
        <v>4161</v>
      </c>
      <c r="H533" s="26" t="s">
        <v>2101</v>
      </c>
    </row>
    <row r="534" customFormat="false" ht="35.05" hidden="false" customHeight="false" outlineLevel="0" collapsed="false">
      <c r="A534" s="26" t="s">
        <v>4214</v>
      </c>
      <c r="B534" s="8" t="s">
        <v>4215</v>
      </c>
      <c r="C534" s="26" t="s">
        <v>4216</v>
      </c>
      <c r="D534" s="26" t="s">
        <v>3565</v>
      </c>
      <c r="E534" s="26" t="s">
        <v>2093</v>
      </c>
      <c r="F534" s="26" t="s">
        <v>2094</v>
      </c>
      <c r="G534" s="26" t="s">
        <v>4174</v>
      </c>
      <c r="H534" s="26" t="s">
        <v>2096</v>
      </c>
    </row>
    <row r="535" customFormat="false" ht="35.05" hidden="false" customHeight="false" outlineLevel="0" collapsed="false">
      <c r="A535" s="26" t="s">
        <v>4217</v>
      </c>
      <c r="B535" s="8" t="s">
        <v>4218</v>
      </c>
      <c r="C535" s="26" t="s">
        <v>4219</v>
      </c>
      <c r="D535" s="26" t="s">
        <v>3565</v>
      </c>
      <c r="E535" s="26" t="s">
        <v>2093</v>
      </c>
      <c r="F535" s="26" t="s">
        <v>2094</v>
      </c>
      <c r="G535" s="26" t="s">
        <v>4174</v>
      </c>
      <c r="H535" s="26" t="s">
        <v>2096</v>
      </c>
    </row>
    <row r="536" customFormat="false" ht="23.85" hidden="false" customHeight="false" outlineLevel="0" collapsed="false">
      <c r="A536" s="26" t="s">
        <v>4220</v>
      </c>
      <c r="B536" s="8" t="s">
        <v>4221</v>
      </c>
      <c r="C536" s="26" t="s">
        <v>4222</v>
      </c>
      <c r="D536" s="26" t="s">
        <v>2804</v>
      </c>
      <c r="E536" s="26" t="s">
        <v>2093</v>
      </c>
      <c r="F536" s="26" t="s">
        <v>2094</v>
      </c>
      <c r="G536" s="26" t="s">
        <v>4166</v>
      </c>
      <c r="H536" s="26" t="s">
        <v>2131</v>
      </c>
    </row>
    <row r="537" customFormat="false" ht="23.85" hidden="false" customHeight="false" outlineLevel="0" collapsed="false">
      <c r="A537" s="26" t="s">
        <v>4223</v>
      </c>
      <c r="B537" s="8" t="s">
        <v>4224</v>
      </c>
      <c r="C537" s="26" t="s">
        <v>4225</v>
      </c>
      <c r="D537" s="26" t="s">
        <v>3565</v>
      </c>
      <c r="E537" s="26" t="s">
        <v>2093</v>
      </c>
      <c r="F537" s="26" t="s">
        <v>2094</v>
      </c>
      <c r="G537" s="26" t="s">
        <v>4174</v>
      </c>
      <c r="H537" s="26" t="s">
        <v>2096</v>
      </c>
    </row>
    <row r="538" customFormat="false" ht="23.85" hidden="false" customHeight="false" outlineLevel="0" collapsed="false">
      <c r="A538" s="26" t="s">
        <v>4226</v>
      </c>
      <c r="B538" s="8" t="s">
        <v>4227</v>
      </c>
      <c r="C538" s="26" t="s">
        <v>4228</v>
      </c>
      <c r="D538" s="26" t="s">
        <v>4229</v>
      </c>
      <c r="E538" s="26" t="s">
        <v>2093</v>
      </c>
      <c r="F538" s="26" t="s">
        <v>2094</v>
      </c>
      <c r="G538" s="26" t="s">
        <v>4174</v>
      </c>
      <c r="H538" s="26" t="s">
        <v>2096</v>
      </c>
    </row>
    <row r="539" customFormat="false" ht="23.85" hidden="false" customHeight="false" outlineLevel="0" collapsed="false">
      <c r="A539" s="26" t="s">
        <v>4230</v>
      </c>
      <c r="B539" s="8" t="s">
        <v>4231</v>
      </c>
      <c r="C539" s="26" t="s">
        <v>4232</v>
      </c>
      <c r="D539" s="26" t="s">
        <v>4233</v>
      </c>
      <c r="E539" s="26" t="s">
        <v>2093</v>
      </c>
      <c r="F539" s="26" t="s">
        <v>2094</v>
      </c>
      <c r="G539" s="26" t="s">
        <v>4174</v>
      </c>
      <c r="H539" s="26" t="s">
        <v>2101</v>
      </c>
    </row>
    <row r="540" customFormat="false" ht="46.25" hidden="false" customHeight="false" outlineLevel="0" collapsed="false">
      <c r="A540" s="26" t="s">
        <v>4234</v>
      </c>
      <c r="B540" s="8" t="s">
        <v>4235</v>
      </c>
      <c r="C540" s="26" t="s">
        <v>4236</v>
      </c>
      <c r="D540" s="26" t="s">
        <v>4237</v>
      </c>
      <c r="E540" s="26" t="s">
        <v>2093</v>
      </c>
      <c r="F540" s="26" t="s">
        <v>2106</v>
      </c>
      <c r="G540" s="26" t="s">
        <v>4174</v>
      </c>
      <c r="H540" s="26" t="s">
        <v>2101</v>
      </c>
    </row>
    <row r="541" customFormat="false" ht="35.05" hidden="false" customHeight="false" outlineLevel="0" collapsed="false">
      <c r="A541" s="26" t="s">
        <v>4238</v>
      </c>
      <c r="B541" s="8" t="s">
        <v>4239</v>
      </c>
      <c r="C541" s="26" t="s">
        <v>4240</v>
      </c>
      <c r="D541" s="26" t="s">
        <v>4241</v>
      </c>
      <c r="E541" s="26" t="s">
        <v>2093</v>
      </c>
      <c r="F541" s="26" t="s">
        <v>2106</v>
      </c>
      <c r="G541" s="26" t="s">
        <v>4174</v>
      </c>
      <c r="H541" s="26" t="s">
        <v>2101</v>
      </c>
    </row>
    <row r="542" customFormat="false" ht="23.85" hidden="false" customHeight="false" outlineLevel="0" collapsed="false">
      <c r="A542" s="26" t="s">
        <v>4242</v>
      </c>
      <c r="B542" s="8" t="s">
        <v>4243</v>
      </c>
      <c r="C542" s="26" t="s">
        <v>4244</v>
      </c>
      <c r="D542" s="26" t="s">
        <v>4245</v>
      </c>
      <c r="E542" s="26" t="s">
        <v>2093</v>
      </c>
      <c r="F542" s="26" t="s">
        <v>2094</v>
      </c>
      <c r="G542" s="26" t="s">
        <v>4174</v>
      </c>
      <c r="H542" s="26" t="s">
        <v>2131</v>
      </c>
    </row>
    <row r="543" customFormat="false" ht="23.85" hidden="false" customHeight="false" outlineLevel="0" collapsed="false">
      <c r="A543" s="26" t="s">
        <v>4246</v>
      </c>
      <c r="B543" s="8" t="s">
        <v>4247</v>
      </c>
      <c r="C543" s="26" t="s">
        <v>4248</v>
      </c>
      <c r="D543" s="26" t="s">
        <v>4249</v>
      </c>
      <c r="E543" s="26" t="s">
        <v>2093</v>
      </c>
      <c r="F543" s="26" t="s">
        <v>2094</v>
      </c>
      <c r="G543" s="26" t="s">
        <v>4250</v>
      </c>
      <c r="H543" s="26" t="s">
        <v>2101</v>
      </c>
    </row>
    <row r="544" customFormat="false" ht="23.85" hidden="false" customHeight="false" outlineLevel="0" collapsed="false">
      <c r="A544" s="26" t="s">
        <v>4251</v>
      </c>
      <c r="B544" s="8" t="s">
        <v>4252</v>
      </c>
      <c r="C544" s="26" t="s">
        <v>4253</v>
      </c>
      <c r="D544" s="26" t="s">
        <v>4254</v>
      </c>
      <c r="E544" s="26" t="s">
        <v>2093</v>
      </c>
      <c r="F544" s="26" t="s">
        <v>2094</v>
      </c>
      <c r="G544" s="26" t="s">
        <v>4255</v>
      </c>
      <c r="H544" s="26" t="s">
        <v>2131</v>
      </c>
    </row>
    <row r="545" customFormat="false" ht="23.85" hidden="false" customHeight="false" outlineLevel="0" collapsed="false">
      <c r="A545" s="26" t="s">
        <v>4256</v>
      </c>
      <c r="B545" s="8" t="s">
        <v>4257</v>
      </c>
      <c r="C545" s="26" t="s">
        <v>4258</v>
      </c>
      <c r="D545" s="26" t="s">
        <v>4259</v>
      </c>
      <c r="E545" s="26" t="s">
        <v>2093</v>
      </c>
      <c r="F545" s="26" t="s">
        <v>2094</v>
      </c>
      <c r="G545" s="26" t="s">
        <v>4260</v>
      </c>
      <c r="H545" s="26" t="s">
        <v>2131</v>
      </c>
    </row>
    <row r="546" customFormat="false" ht="23.85" hidden="false" customHeight="false" outlineLevel="0" collapsed="false">
      <c r="A546" s="26" t="s">
        <v>4261</v>
      </c>
      <c r="B546" s="8" t="s">
        <v>4262</v>
      </c>
      <c r="C546" s="26" t="s">
        <v>4263</v>
      </c>
      <c r="D546" s="26" t="s">
        <v>4264</v>
      </c>
      <c r="E546" s="26" t="s">
        <v>2093</v>
      </c>
      <c r="F546" s="26" t="s">
        <v>2094</v>
      </c>
      <c r="G546" s="26" t="s">
        <v>4265</v>
      </c>
      <c r="H546" s="26" t="s">
        <v>2101</v>
      </c>
    </row>
    <row r="547" customFormat="false" ht="23.85" hidden="false" customHeight="false" outlineLevel="0" collapsed="false">
      <c r="A547" s="26" t="s">
        <v>4266</v>
      </c>
      <c r="B547" s="8" t="s">
        <v>4267</v>
      </c>
      <c r="C547" s="26" t="s">
        <v>4268</v>
      </c>
      <c r="D547" s="26" t="s">
        <v>4264</v>
      </c>
      <c r="E547" s="26" t="s">
        <v>2093</v>
      </c>
      <c r="F547" s="26" t="s">
        <v>2094</v>
      </c>
      <c r="G547" s="26" t="s">
        <v>4265</v>
      </c>
      <c r="H547" s="26" t="s">
        <v>2101</v>
      </c>
    </row>
    <row r="548" customFormat="false" ht="23.85" hidden="false" customHeight="false" outlineLevel="0" collapsed="false">
      <c r="A548" s="26" t="s">
        <v>4269</v>
      </c>
      <c r="B548" s="8" t="s">
        <v>4270</v>
      </c>
      <c r="C548" s="26" t="s">
        <v>4271</v>
      </c>
      <c r="D548" s="26" t="s">
        <v>4264</v>
      </c>
      <c r="E548" s="26" t="s">
        <v>2093</v>
      </c>
      <c r="F548" s="26" t="s">
        <v>2094</v>
      </c>
      <c r="G548" s="26" t="s">
        <v>4272</v>
      </c>
      <c r="H548" s="26" t="s">
        <v>2101</v>
      </c>
    </row>
    <row r="549" customFormat="false" ht="23.85" hidden="false" customHeight="false" outlineLevel="0" collapsed="false">
      <c r="A549" s="26" t="s">
        <v>4273</v>
      </c>
      <c r="B549" s="8" t="s">
        <v>4274</v>
      </c>
      <c r="C549" s="26" t="s">
        <v>4275</v>
      </c>
      <c r="D549" s="26" t="s">
        <v>4264</v>
      </c>
      <c r="E549" s="26" t="s">
        <v>2093</v>
      </c>
      <c r="F549" s="26" t="s">
        <v>2094</v>
      </c>
      <c r="G549" s="26" t="s">
        <v>4276</v>
      </c>
      <c r="H549" s="26" t="s">
        <v>2101</v>
      </c>
    </row>
    <row r="550" customFormat="false" ht="15" hidden="false" customHeight="false" outlineLevel="0" collapsed="false">
      <c r="A550" s="26" t="s">
        <v>4277</v>
      </c>
      <c r="B550" s="8" t="s">
        <v>4278</v>
      </c>
      <c r="C550" s="26" t="s">
        <v>4279</v>
      </c>
      <c r="D550" s="26" t="s">
        <v>4264</v>
      </c>
      <c r="E550" s="26" t="s">
        <v>2093</v>
      </c>
      <c r="F550" s="26" t="s">
        <v>2094</v>
      </c>
      <c r="G550" s="26" t="s">
        <v>4280</v>
      </c>
      <c r="H550" s="26" t="s">
        <v>2101</v>
      </c>
    </row>
    <row r="551" customFormat="false" ht="23.85" hidden="false" customHeight="false" outlineLevel="0" collapsed="false">
      <c r="A551" s="26" t="s">
        <v>4281</v>
      </c>
      <c r="B551" s="8" t="s">
        <v>4282</v>
      </c>
      <c r="C551" s="26" t="s">
        <v>4283</v>
      </c>
      <c r="D551" s="26" t="s">
        <v>4264</v>
      </c>
      <c r="E551" s="26" t="s">
        <v>2093</v>
      </c>
      <c r="F551" s="26" t="s">
        <v>2094</v>
      </c>
      <c r="G551" s="26" t="s">
        <v>4284</v>
      </c>
      <c r="H551" s="26" t="s">
        <v>2101</v>
      </c>
    </row>
    <row r="552" customFormat="false" ht="23.85" hidden="false" customHeight="false" outlineLevel="0" collapsed="false">
      <c r="A552" s="26" t="s">
        <v>4285</v>
      </c>
      <c r="B552" s="8" t="s">
        <v>4286</v>
      </c>
      <c r="C552" s="26" t="s">
        <v>4287</v>
      </c>
      <c r="D552" s="26" t="s">
        <v>4264</v>
      </c>
      <c r="E552" s="26" t="s">
        <v>2093</v>
      </c>
      <c r="F552" s="26" t="s">
        <v>2094</v>
      </c>
      <c r="G552" s="26" t="s">
        <v>4284</v>
      </c>
      <c r="H552" s="26" t="s">
        <v>2101</v>
      </c>
    </row>
    <row r="553" customFormat="false" ht="23.85" hidden="false" customHeight="false" outlineLevel="0" collapsed="false">
      <c r="A553" s="26" t="s">
        <v>4288</v>
      </c>
      <c r="B553" s="8" t="s">
        <v>4289</v>
      </c>
      <c r="C553" s="26" t="s">
        <v>4290</v>
      </c>
      <c r="D553" s="26" t="s">
        <v>2693</v>
      </c>
      <c r="E553" s="26" t="s">
        <v>2093</v>
      </c>
      <c r="F553" s="26" t="s">
        <v>2094</v>
      </c>
      <c r="G553" s="26" t="s">
        <v>4265</v>
      </c>
      <c r="H553" s="26" t="s">
        <v>2096</v>
      </c>
    </row>
    <row r="554" customFormat="false" ht="23.85" hidden="false" customHeight="false" outlineLevel="0" collapsed="false">
      <c r="A554" s="26" t="s">
        <v>4291</v>
      </c>
      <c r="B554" s="8" t="s">
        <v>4292</v>
      </c>
      <c r="C554" s="26" t="s">
        <v>4293</v>
      </c>
      <c r="D554" s="26" t="s">
        <v>4294</v>
      </c>
      <c r="E554" s="26" t="s">
        <v>2093</v>
      </c>
      <c r="F554" s="26" t="s">
        <v>2094</v>
      </c>
      <c r="G554" s="26" t="s">
        <v>4265</v>
      </c>
      <c r="H554" s="26" t="s">
        <v>2101</v>
      </c>
    </row>
    <row r="555" customFormat="false" ht="23.85" hidden="false" customHeight="false" outlineLevel="0" collapsed="false">
      <c r="A555" s="26" t="s">
        <v>4295</v>
      </c>
      <c r="B555" s="8" t="s">
        <v>4296</v>
      </c>
      <c r="C555" s="26" t="s">
        <v>4297</v>
      </c>
      <c r="D555" s="26" t="s">
        <v>4264</v>
      </c>
      <c r="E555" s="26" t="s">
        <v>2093</v>
      </c>
      <c r="F555" s="26" t="s">
        <v>2094</v>
      </c>
      <c r="G555" s="26" t="s">
        <v>4298</v>
      </c>
      <c r="H555" s="26" t="s">
        <v>2101</v>
      </c>
    </row>
    <row r="556" customFormat="false" ht="23.85" hidden="false" customHeight="false" outlineLevel="0" collapsed="false">
      <c r="A556" s="26" t="s">
        <v>4299</v>
      </c>
      <c r="B556" s="8" t="s">
        <v>4300</v>
      </c>
      <c r="C556" s="26" t="s">
        <v>4301</v>
      </c>
      <c r="D556" s="26" t="s">
        <v>4302</v>
      </c>
      <c r="E556" s="26" t="s">
        <v>2093</v>
      </c>
      <c r="F556" s="26" t="s">
        <v>2094</v>
      </c>
      <c r="G556" s="26" t="s">
        <v>4303</v>
      </c>
      <c r="H556" s="26" t="s">
        <v>2101</v>
      </c>
    </row>
    <row r="557" customFormat="false" ht="23.85" hidden="false" customHeight="false" outlineLevel="0" collapsed="false">
      <c r="A557" s="26" t="s">
        <v>4304</v>
      </c>
      <c r="B557" s="8" t="s">
        <v>4305</v>
      </c>
      <c r="C557" s="26" t="s">
        <v>4306</v>
      </c>
      <c r="D557" s="26" t="s">
        <v>3874</v>
      </c>
      <c r="E557" s="26" t="s">
        <v>2093</v>
      </c>
      <c r="F557" s="26" t="s">
        <v>2094</v>
      </c>
      <c r="G557" s="26" t="s">
        <v>4265</v>
      </c>
      <c r="H557" s="26" t="s">
        <v>2096</v>
      </c>
    </row>
    <row r="558" customFormat="false" ht="23.85" hidden="false" customHeight="false" outlineLevel="0" collapsed="false">
      <c r="A558" s="26" t="s">
        <v>4307</v>
      </c>
      <c r="B558" s="8" t="s">
        <v>4308</v>
      </c>
      <c r="C558" s="26" t="s">
        <v>4309</v>
      </c>
      <c r="D558" s="26" t="s">
        <v>4310</v>
      </c>
      <c r="E558" s="26" t="s">
        <v>2093</v>
      </c>
      <c r="F558" s="26" t="s">
        <v>2106</v>
      </c>
      <c r="G558" s="26" t="s">
        <v>4311</v>
      </c>
      <c r="H558" s="26" t="s">
        <v>2131</v>
      </c>
    </row>
    <row r="559" customFormat="false" ht="23.85" hidden="false" customHeight="false" outlineLevel="0" collapsed="false">
      <c r="A559" s="26" t="s">
        <v>4312</v>
      </c>
      <c r="B559" s="8" t="s">
        <v>4313</v>
      </c>
      <c r="C559" s="26" t="s">
        <v>2467</v>
      </c>
      <c r="D559" s="26" t="s">
        <v>2455</v>
      </c>
      <c r="E559" s="26" t="s">
        <v>2093</v>
      </c>
      <c r="F559" s="26" t="s">
        <v>2094</v>
      </c>
      <c r="G559" s="26" t="s">
        <v>4314</v>
      </c>
      <c r="H559" s="26" t="s">
        <v>2096</v>
      </c>
    </row>
    <row r="560" customFormat="false" ht="35.05" hidden="false" customHeight="false" outlineLevel="0" collapsed="false">
      <c r="A560" s="26" t="s">
        <v>4315</v>
      </c>
      <c r="B560" s="8" t="s">
        <v>4316</v>
      </c>
      <c r="C560" s="26" t="s">
        <v>4317</v>
      </c>
      <c r="D560" s="26" t="s">
        <v>2490</v>
      </c>
      <c r="E560" s="26" t="s">
        <v>2093</v>
      </c>
      <c r="F560" s="26" t="s">
        <v>2094</v>
      </c>
      <c r="G560" s="26" t="s">
        <v>2362</v>
      </c>
      <c r="H560" s="26" t="s">
        <v>2096</v>
      </c>
    </row>
    <row r="561" customFormat="false" ht="23.85" hidden="false" customHeight="false" outlineLevel="0" collapsed="false">
      <c r="A561" s="26" t="s">
        <v>4318</v>
      </c>
      <c r="B561" s="8" t="s">
        <v>4319</v>
      </c>
      <c r="C561" s="26" t="s">
        <v>4320</v>
      </c>
      <c r="D561" s="26" t="s">
        <v>4321</v>
      </c>
      <c r="E561" s="26" t="s">
        <v>2093</v>
      </c>
      <c r="F561" s="26" t="s">
        <v>2094</v>
      </c>
      <c r="G561" s="26" t="s">
        <v>4322</v>
      </c>
      <c r="H561" s="26" t="s">
        <v>2096</v>
      </c>
    </row>
    <row r="562" customFormat="false" ht="23.85" hidden="false" customHeight="false" outlineLevel="0" collapsed="false">
      <c r="A562" s="26" t="s">
        <v>4323</v>
      </c>
      <c r="B562" s="8" t="s">
        <v>4324</v>
      </c>
      <c r="C562" s="26" t="s">
        <v>4325</v>
      </c>
      <c r="D562" s="26" t="s">
        <v>2455</v>
      </c>
      <c r="E562" s="26" t="s">
        <v>2093</v>
      </c>
      <c r="F562" s="26" t="s">
        <v>2094</v>
      </c>
      <c r="G562" s="26" t="s">
        <v>4326</v>
      </c>
      <c r="H562" s="26" t="s">
        <v>2096</v>
      </c>
    </row>
    <row r="563" customFormat="false" ht="23.85" hidden="false" customHeight="false" outlineLevel="0" collapsed="false">
      <c r="A563" s="26" t="s">
        <v>4327</v>
      </c>
      <c r="B563" s="8" t="s">
        <v>4328</v>
      </c>
      <c r="C563" s="26" t="s">
        <v>4329</v>
      </c>
      <c r="D563" s="26" t="s">
        <v>2455</v>
      </c>
      <c r="E563" s="26" t="s">
        <v>2093</v>
      </c>
      <c r="F563" s="26" t="s">
        <v>2094</v>
      </c>
      <c r="G563" s="26" t="s">
        <v>4330</v>
      </c>
      <c r="H563" s="26" t="s">
        <v>2096</v>
      </c>
    </row>
    <row r="564" customFormat="false" ht="23.85" hidden="false" customHeight="false" outlineLevel="0" collapsed="false">
      <c r="A564" s="26" t="s">
        <v>4331</v>
      </c>
      <c r="B564" s="8" t="s">
        <v>4332</v>
      </c>
      <c r="C564" s="26" t="s">
        <v>4333</v>
      </c>
      <c r="D564" s="26" t="s">
        <v>2455</v>
      </c>
      <c r="E564" s="26" t="s">
        <v>2093</v>
      </c>
      <c r="F564" s="26" t="s">
        <v>2094</v>
      </c>
      <c r="G564" s="26" t="s">
        <v>4334</v>
      </c>
      <c r="H564" s="26" t="s">
        <v>2096</v>
      </c>
    </row>
    <row r="565" customFormat="false" ht="23.85" hidden="false" customHeight="false" outlineLevel="0" collapsed="false">
      <c r="A565" s="26" t="s">
        <v>4335</v>
      </c>
      <c r="B565" s="8" t="s">
        <v>4336</v>
      </c>
      <c r="C565" s="26" t="s">
        <v>4337</v>
      </c>
      <c r="D565" s="26" t="s">
        <v>2450</v>
      </c>
      <c r="E565" s="26" t="s">
        <v>2093</v>
      </c>
      <c r="F565" s="26" t="s">
        <v>2094</v>
      </c>
      <c r="G565" s="26" t="s">
        <v>4338</v>
      </c>
      <c r="H565" s="26" t="s">
        <v>2096</v>
      </c>
    </row>
    <row r="566" customFormat="false" ht="23.85" hidden="false" customHeight="false" outlineLevel="0" collapsed="false">
      <c r="A566" s="26" t="s">
        <v>4339</v>
      </c>
      <c r="B566" s="8" t="s">
        <v>4340</v>
      </c>
      <c r="C566" s="26" t="s">
        <v>4341</v>
      </c>
      <c r="D566" s="26" t="s">
        <v>4342</v>
      </c>
      <c r="E566" s="26" t="s">
        <v>2093</v>
      </c>
      <c r="F566" s="26" t="s">
        <v>2094</v>
      </c>
      <c r="G566" s="26" t="s">
        <v>4343</v>
      </c>
      <c r="H566" s="26" t="s">
        <v>2101</v>
      </c>
    </row>
    <row r="567" customFormat="false" ht="23.85" hidden="false" customHeight="false" outlineLevel="0" collapsed="false">
      <c r="A567" s="26" t="s">
        <v>515</v>
      </c>
      <c r="B567" s="8" t="s">
        <v>4344</v>
      </c>
      <c r="C567" s="26" t="s">
        <v>4345</v>
      </c>
      <c r="D567" s="26" t="s">
        <v>4346</v>
      </c>
      <c r="E567" s="26" t="s">
        <v>2093</v>
      </c>
      <c r="F567" s="26" t="s">
        <v>2094</v>
      </c>
      <c r="G567" s="26" t="s">
        <v>4343</v>
      </c>
      <c r="H567" s="26" t="s">
        <v>2101</v>
      </c>
    </row>
    <row r="568" customFormat="false" ht="35.05" hidden="false" customHeight="false" outlineLevel="0" collapsed="false">
      <c r="A568" s="26" t="s">
        <v>4347</v>
      </c>
      <c r="B568" s="8" t="s">
        <v>4348</v>
      </c>
      <c r="C568" s="26" t="s">
        <v>4349</v>
      </c>
      <c r="D568" s="26" t="s">
        <v>4350</v>
      </c>
      <c r="E568" s="26" t="s">
        <v>2093</v>
      </c>
      <c r="F568" s="26" t="s">
        <v>2094</v>
      </c>
      <c r="G568" s="26" t="s">
        <v>4351</v>
      </c>
      <c r="H568" s="26" t="s">
        <v>2101</v>
      </c>
    </row>
    <row r="569" customFormat="false" ht="35.05" hidden="false" customHeight="false" outlineLevel="0" collapsed="false">
      <c r="A569" s="26" t="s">
        <v>4352</v>
      </c>
      <c r="B569" s="8" t="s">
        <v>4353</v>
      </c>
      <c r="C569" s="26" t="s">
        <v>4354</v>
      </c>
      <c r="D569" s="26" t="s">
        <v>4355</v>
      </c>
      <c r="E569" s="26" t="s">
        <v>2093</v>
      </c>
      <c r="F569" s="26" t="s">
        <v>2094</v>
      </c>
      <c r="G569" s="26" t="s">
        <v>4356</v>
      </c>
      <c r="H569" s="26" t="s">
        <v>2101</v>
      </c>
    </row>
    <row r="570" customFormat="false" ht="23.85" hidden="false" customHeight="false" outlineLevel="0" collapsed="false">
      <c r="A570" s="26" t="s">
        <v>4357</v>
      </c>
      <c r="B570" s="8" t="s">
        <v>4358</v>
      </c>
      <c r="C570" s="26" t="s">
        <v>4359</v>
      </c>
      <c r="D570" s="26" t="s">
        <v>2693</v>
      </c>
      <c r="E570" s="26" t="s">
        <v>2093</v>
      </c>
      <c r="F570" s="26" t="s">
        <v>2094</v>
      </c>
      <c r="G570" s="26" t="s">
        <v>4360</v>
      </c>
      <c r="H570" s="26" t="s">
        <v>2096</v>
      </c>
    </row>
    <row r="571" customFormat="false" ht="23.85" hidden="false" customHeight="false" outlineLevel="0" collapsed="false">
      <c r="A571" s="26" t="s">
        <v>4361</v>
      </c>
      <c r="B571" s="8" t="s">
        <v>4362</v>
      </c>
      <c r="C571" s="26" t="s">
        <v>4363</v>
      </c>
      <c r="D571" s="26" t="s">
        <v>4342</v>
      </c>
      <c r="E571" s="26" t="s">
        <v>2093</v>
      </c>
      <c r="F571" s="26" t="s">
        <v>2094</v>
      </c>
      <c r="G571" s="26" t="s">
        <v>4364</v>
      </c>
      <c r="H571" s="26" t="s">
        <v>2101</v>
      </c>
    </row>
    <row r="572" customFormat="false" ht="23.85" hidden="false" customHeight="false" outlineLevel="0" collapsed="false">
      <c r="A572" s="26" t="s">
        <v>4365</v>
      </c>
      <c r="B572" s="8" t="s">
        <v>4366</v>
      </c>
      <c r="C572" s="26" t="s">
        <v>4367</v>
      </c>
      <c r="D572" s="26" t="s">
        <v>4342</v>
      </c>
      <c r="E572" s="26" t="s">
        <v>2093</v>
      </c>
      <c r="F572" s="26" t="s">
        <v>2094</v>
      </c>
      <c r="G572" s="26" t="s">
        <v>4368</v>
      </c>
      <c r="H572" s="26" t="s">
        <v>2101</v>
      </c>
    </row>
    <row r="573" customFormat="false" ht="23.85" hidden="false" customHeight="false" outlineLevel="0" collapsed="false">
      <c r="A573" s="26" t="s">
        <v>4369</v>
      </c>
      <c r="B573" s="8" t="s">
        <v>4370</v>
      </c>
      <c r="C573" s="26" t="s">
        <v>4371</v>
      </c>
      <c r="D573" s="26" t="s">
        <v>4259</v>
      </c>
      <c r="E573" s="26" t="s">
        <v>2093</v>
      </c>
      <c r="F573" s="26" t="s">
        <v>2106</v>
      </c>
      <c r="G573" s="26" t="s">
        <v>4372</v>
      </c>
      <c r="H573" s="26" t="s">
        <v>2131</v>
      </c>
    </row>
    <row r="574" customFormat="false" ht="23.85" hidden="false" customHeight="false" outlineLevel="0" collapsed="false">
      <c r="A574" s="26" t="s">
        <v>4373</v>
      </c>
      <c r="B574" s="8" t="s">
        <v>4374</v>
      </c>
      <c r="C574" s="26" t="s">
        <v>4375</v>
      </c>
      <c r="D574" s="26" t="s">
        <v>4376</v>
      </c>
      <c r="E574" s="26" t="s">
        <v>2093</v>
      </c>
      <c r="F574" s="26" t="s">
        <v>2094</v>
      </c>
      <c r="G574" s="26" t="s">
        <v>4343</v>
      </c>
      <c r="H574" s="26" t="s">
        <v>2101</v>
      </c>
    </row>
    <row r="575" customFormat="false" ht="23.85" hidden="false" customHeight="false" outlineLevel="0" collapsed="false">
      <c r="A575" s="26" t="s">
        <v>4377</v>
      </c>
      <c r="B575" s="8" t="s">
        <v>4378</v>
      </c>
      <c r="C575" s="26" t="s">
        <v>4379</v>
      </c>
      <c r="D575" s="26" t="s">
        <v>2450</v>
      </c>
      <c r="E575" s="26" t="s">
        <v>2093</v>
      </c>
      <c r="F575" s="26" t="s">
        <v>2094</v>
      </c>
      <c r="G575" s="26" t="s">
        <v>4380</v>
      </c>
      <c r="H575" s="26" t="s">
        <v>2096</v>
      </c>
    </row>
    <row r="576" customFormat="false" ht="23.85" hidden="false" customHeight="false" outlineLevel="0" collapsed="false">
      <c r="A576" s="26" t="s">
        <v>4381</v>
      </c>
      <c r="B576" s="8" t="s">
        <v>4382</v>
      </c>
      <c r="C576" s="26" t="s">
        <v>4383</v>
      </c>
      <c r="D576" s="26" t="s">
        <v>4384</v>
      </c>
      <c r="E576" s="26" t="s">
        <v>2093</v>
      </c>
      <c r="F576" s="26" t="s">
        <v>2094</v>
      </c>
      <c r="G576" s="26" t="s">
        <v>4385</v>
      </c>
      <c r="H576" s="26" t="s">
        <v>2101</v>
      </c>
    </row>
    <row r="577" customFormat="false" ht="23.85" hidden="false" customHeight="false" outlineLevel="0" collapsed="false">
      <c r="A577" s="26" t="s">
        <v>4386</v>
      </c>
      <c r="B577" s="8" t="s">
        <v>4387</v>
      </c>
      <c r="C577" s="26" t="s">
        <v>4388</v>
      </c>
      <c r="D577" s="26" t="s">
        <v>4389</v>
      </c>
      <c r="E577" s="26" t="s">
        <v>2093</v>
      </c>
      <c r="F577" s="26" t="s">
        <v>2094</v>
      </c>
      <c r="G577" s="26" t="s">
        <v>4390</v>
      </c>
      <c r="H577" s="26" t="s">
        <v>2096</v>
      </c>
    </row>
    <row r="578" customFormat="false" ht="23.85" hidden="false" customHeight="false" outlineLevel="0" collapsed="false">
      <c r="A578" s="26" t="s">
        <v>4391</v>
      </c>
      <c r="B578" s="8" t="s">
        <v>4392</v>
      </c>
      <c r="C578" s="26" t="s">
        <v>4393</v>
      </c>
      <c r="D578" s="26" t="s">
        <v>4342</v>
      </c>
      <c r="E578" s="26" t="s">
        <v>2093</v>
      </c>
      <c r="F578" s="26" t="s">
        <v>2094</v>
      </c>
      <c r="G578" s="26" t="s">
        <v>4394</v>
      </c>
      <c r="H578" s="26" t="s">
        <v>2101</v>
      </c>
    </row>
    <row r="579" customFormat="false" ht="23.85" hidden="false" customHeight="false" outlineLevel="0" collapsed="false">
      <c r="A579" s="26" t="s">
        <v>4395</v>
      </c>
      <c r="B579" s="8" t="s">
        <v>4396</v>
      </c>
      <c r="C579" s="26" t="s">
        <v>4397</v>
      </c>
      <c r="D579" s="26" t="s">
        <v>4342</v>
      </c>
      <c r="E579" s="26" t="s">
        <v>2093</v>
      </c>
      <c r="F579" s="26" t="s">
        <v>2094</v>
      </c>
      <c r="G579" s="26" t="s">
        <v>4398</v>
      </c>
      <c r="H579" s="26" t="s">
        <v>2101</v>
      </c>
    </row>
    <row r="580" customFormat="false" ht="23.85" hidden="false" customHeight="false" outlineLevel="0" collapsed="false">
      <c r="A580" s="26" t="s">
        <v>4399</v>
      </c>
      <c r="B580" s="8" t="s">
        <v>4400</v>
      </c>
      <c r="C580" s="26" t="s">
        <v>4401</v>
      </c>
      <c r="D580" s="26" t="s">
        <v>4342</v>
      </c>
      <c r="E580" s="26" t="s">
        <v>2093</v>
      </c>
      <c r="F580" s="26" t="s">
        <v>2094</v>
      </c>
      <c r="G580" s="26" t="s">
        <v>4394</v>
      </c>
      <c r="H580" s="26" t="s">
        <v>2101</v>
      </c>
    </row>
    <row r="581" customFormat="false" ht="23.85" hidden="false" customHeight="false" outlineLevel="0" collapsed="false">
      <c r="A581" s="26" t="s">
        <v>4402</v>
      </c>
      <c r="B581" s="8" t="s">
        <v>4403</v>
      </c>
      <c r="C581" s="26" t="s">
        <v>4404</v>
      </c>
      <c r="D581" s="26" t="s">
        <v>4342</v>
      </c>
      <c r="E581" s="26" t="s">
        <v>2093</v>
      </c>
      <c r="F581" s="26" t="s">
        <v>2094</v>
      </c>
      <c r="G581" s="26" t="s">
        <v>4394</v>
      </c>
      <c r="H581" s="26" t="s">
        <v>2101</v>
      </c>
    </row>
    <row r="582" customFormat="false" ht="23.85" hidden="false" customHeight="false" outlineLevel="0" collapsed="false">
      <c r="A582" s="26" t="s">
        <v>4405</v>
      </c>
      <c r="B582" s="8" t="s">
        <v>4406</v>
      </c>
      <c r="C582" s="26" t="s">
        <v>4407</v>
      </c>
      <c r="D582" s="26" t="s">
        <v>4408</v>
      </c>
      <c r="E582" s="26" t="s">
        <v>2093</v>
      </c>
      <c r="F582" s="26" t="s">
        <v>2106</v>
      </c>
      <c r="G582" s="26" t="s">
        <v>4409</v>
      </c>
      <c r="H582" s="26" t="s">
        <v>2131</v>
      </c>
    </row>
    <row r="583" customFormat="false" ht="23.85" hidden="false" customHeight="false" outlineLevel="0" collapsed="false">
      <c r="A583" s="26" t="s">
        <v>4410</v>
      </c>
      <c r="B583" s="8" t="s">
        <v>4411</v>
      </c>
      <c r="C583" s="26" t="s">
        <v>4412</v>
      </c>
      <c r="D583" s="26" t="s">
        <v>4342</v>
      </c>
      <c r="E583" s="26" t="s">
        <v>2093</v>
      </c>
      <c r="F583" s="26" t="s">
        <v>2094</v>
      </c>
      <c r="G583" s="26" t="s">
        <v>4413</v>
      </c>
      <c r="H583" s="26" t="s">
        <v>2101</v>
      </c>
    </row>
    <row r="584" customFormat="false" ht="23.85" hidden="false" customHeight="false" outlineLevel="0" collapsed="false">
      <c r="A584" s="26" t="s">
        <v>4414</v>
      </c>
      <c r="B584" s="8" t="s">
        <v>4415</v>
      </c>
      <c r="C584" s="26" t="s">
        <v>4416</v>
      </c>
      <c r="D584" s="26" t="s">
        <v>4342</v>
      </c>
      <c r="E584" s="26" t="s">
        <v>2093</v>
      </c>
      <c r="F584" s="26" t="s">
        <v>2094</v>
      </c>
      <c r="G584" s="26" t="s">
        <v>4413</v>
      </c>
      <c r="H584" s="26" t="s">
        <v>2101</v>
      </c>
    </row>
    <row r="585" customFormat="false" ht="23.85" hidden="false" customHeight="false" outlineLevel="0" collapsed="false">
      <c r="A585" s="26" t="s">
        <v>4417</v>
      </c>
      <c r="B585" s="8" t="s">
        <v>4418</v>
      </c>
      <c r="C585" s="26" t="s">
        <v>4419</v>
      </c>
      <c r="D585" s="26" t="s">
        <v>2693</v>
      </c>
      <c r="E585" s="26" t="s">
        <v>2093</v>
      </c>
      <c r="F585" s="26" t="s">
        <v>2094</v>
      </c>
      <c r="G585" s="26" t="s">
        <v>4420</v>
      </c>
      <c r="H585" s="26" t="s">
        <v>2096</v>
      </c>
    </row>
    <row r="586" customFormat="false" ht="35.05" hidden="false" customHeight="false" outlineLevel="0" collapsed="false">
      <c r="A586" s="26" t="s">
        <v>4421</v>
      </c>
      <c r="B586" s="8" t="s">
        <v>4422</v>
      </c>
      <c r="C586" s="26" t="s">
        <v>4423</v>
      </c>
      <c r="D586" s="26" t="s">
        <v>4424</v>
      </c>
      <c r="E586" s="26" t="s">
        <v>2093</v>
      </c>
      <c r="F586" s="26" t="s">
        <v>2094</v>
      </c>
      <c r="G586" s="26" t="s">
        <v>4425</v>
      </c>
      <c r="H586" s="26" t="s">
        <v>2101</v>
      </c>
    </row>
    <row r="587" customFormat="false" ht="35.05" hidden="false" customHeight="false" outlineLevel="0" collapsed="false">
      <c r="A587" s="26" t="s">
        <v>4426</v>
      </c>
      <c r="B587" s="8" t="s">
        <v>4427</v>
      </c>
      <c r="C587" s="26" t="s">
        <v>4428</v>
      </c>
      <c r="D587" s="26" t="s">
        <v>4429</v>
      </c>
      <c r="E587" s="26" t="s">
        <v>2093</v>
      </c>
      <c r="F587" s="26" t="s">
        <v>2094</v>
      </c>
      <c r="G587" s="26" t="s">
        <v>4425</v>
      </c>
      <c r="H587" s="26" t="s">
        <v>2131</v>
      </c>
    </row>
    <row r="588" customFormat="false" ht="35.05" hidden="false" customHeight="false" outlineLevel="0" collapsed="false">
      <c r="A588" s="26" t="s">
        <v>4430</v>
      </c>
      <c r="B588" s="8" t="s">
        <v>4431</v>
      </c>
      <c r="C588" s="26" t="s">
        <v>4432</v>
      </c>
      <c r="D588" s="26" t="s">
        <v>4433</v>
      </c>
      <c r="E588" s="26" t="s">
        <v>2093</v>
      </c>
      <c r="F588" s="26" t="s">
        <v>2094</v>
      </c>
      <c r="G588" s="26" t="s">
        <v>4434</v>
      </c>
      <c r="H588" s="26" t="s">
        <v>2131</v>
      </c>
    </row>
    <row r="589" customFormat="false" ht="35.05" hidden="false" customHeight="false" outlineLevel="0" collapsed="false">
      <c r="A589" s="26" t="s">
        <v>4435</v>
      </c>
      <c r="B589" s="8" t="s">
        <v>4436</v>
      </c>
      <c r="C589" s="26" t="s">
        <v>4437</v>
      </c>
      <c r="D589" s="26" t="s">
        <v>3874</v>
      </c>
      <c r="E589" s="26" t="s">
        <v>2093</v>
      </c>
      <c r="F589" s="26" t="s">
        <v>2094</v>
      </c>
      <c r="G589" s="26" t="s">
        <v>4434</v>
      </c>
      <c r="H589" s="26" t="s">
        <v>2096</v>
      </c>
    </row>
    <row r="590" customFormat="false" ht="35.05" hidden="false" customHeight="false" outlineLevel="0" collapsed="false">
      <c r="A590" s="26" t="s">
        <v>4438</v>
      </c>
      <c r="B590" s="8" t="s">
        <v>4439</v>
      </c>
      <c r="C590" s="26" t="s">
        <v>4440</v>
      </c>
      <c r="D590" s="26" t="s">
        <v>2777</v>
      </c>
      <c r="E590" s="26" t="s">
        <v>2093</v>
      </c>
      <c r="F590" s="26" t="s">
        <v>2094</v>
      </c>
      <c r="G590" s="26" t="s">
        <v>4441</v>
      </c>
      <c r="H590" s="26" t="s">
        <v>2101</v>
      </c>
    </row>
    <row r="591" customFormat="false" ht="23.85" hidden="false" customHeight="false" outlineLevel="0" collapsed="false">
      <c r="A591" s="26" t="s">
        <v>4442</v>
      </c>
      <c r="B591" s="8" t="s">
        <v>4443</v>
      </c>
      <c r="C591" s="26" t="s">
        <v>3114</v>
      </c>
      <c r="D591" s="26" t="s">
        <v>4444</v>
      </c>
      <c r="E591" s="26" t="s">
        <v>2093</v>
      </c>
      <c r="F591" s="26" t="s">
        <v>2094</v>
      </c>
      <c r="G591" s="26" t="s">
        <v>4445</v>
      </c>
      <c r="H591" s="26" t="s">
        <v>2096</v>
      </c>
    </row>
    <row r="592" customFormat="false" ht="23.85" hidden="false" customHeight="false" outlineLevel="0" collapsed="false">
      <c r="A592" s="26" t="s">
        <v>4446</v>
      </c>
      <c r="B592" s="8" t="s">
        <v>4447</v>
      </c>
      <c r="C592" s="26" t="s">
        <v>4448</v>
      </c>
      <c r="D592" s="26" t="s">
        <v>4449</v>
      </c>
      <c r="E592" s="26" t="s">
        <v>2093</v>
      </c>
      <c r="F592" s="26" t="s">
        <v>2094</v>
      </c>
      <c r="G592" s="26" t="s">
        <v>4450</v>
      </c>
      <c r="H592" s="26" t="s">
        <v>2096</v>
      </c>
    </row>
    <row r="593" customFormat="false" ht="23.85" hidden="false" customHeight="false" outlineLevel="0" collapsed="false">
      <c r="A593" s="26" t="s">
        <v>4451</v>
      </c>
      <c r="B593" s="8" t="s">
        <v>4452</v>
      </c>
      <c r="C593" s="26" t="s">
        <v>4453</v>
      </c>
      <c r="D593" s="26" t="s">
        <v>2227</v>
      </c>
      <c r="E593" s="26" t="s">
        <v>2093</v>
      </c>
      <c r="F593" s="26" t="s">
        <v>2094</v>
      </c>
      <c r="G593" s="26" t="s">
        <v>4454</v>
      </c>
      <c r="H593" s="26" t="s">
        <v>2096</v>
      </c>
    </row>
    <row r="594" customFormat="false" ht="23.85" hidden="false" customHeight="false" outlineLevel="0" collapsed="false">
      <c r="A594" s="26" t="s">
        <v>4455</v>
      </c>
      <c r="B594" s="8" t="s">
        <v>4456</v>
      </c>
      <c r="C594" s="26" t="s">
        <v>4457</v>
      </c>
      <c r="D594" s="26" t="s">
        <v>2227</v>
      </c>
      <c r="E594" s="26" t="s">
        <v>2093</v>
      </c>
      <c r="F594" s="26" t="s">
        <v>2094</v>
      </c>
      <c r="G594" s="26" t="s">
        <v>4458</v>
      </c>
      <c r="H594" s="26" t="s">
        <v>2096</v>
      </c>
    </row>
    <row r="595" customFormat="false" ht="23.85" hidden="false" customHeight="false" outlineLevel="0" collapsed="false">
      <c r="A595" s="26" t="s">
        <v>4459</v>
      </c>
      <c r="B595" s="8" t="s">
        <v>4460</v>
      </c>
      <c r="C595" s="26" t="s">
        <v>4461</v>
      </c>
      <c r="D595" s="26" t="s">
        <v>4449</v>
      </c>
      <c r="E595" s="26" t="s">
        <v>2093</v>
      </c>
      <c r="F595" s="26" t="s">
        <v>2094</v>
      </c>
      <c r="G595" s="26" t="s">
        <v>4462</v>
      </c>
      <c r="H595" s="26" t="s">
        <v>2096</v>
      </c>
    </row>
    <row r="596" customFormat="false" ht="23.85" hidden="false" customHeight="false" outlineLevel="0" collapsed="false">
      <c r="A596" s="26" t="s">
        <v>4463</v>
      </c>
      <c r="B596" s="8" t="s">
        <v>4464</v>
      </c>
      <c r="C596" s="26" t="s">
        <v>4465</v>
      </c>
      <c r="D596" s="26" t="s">
        <v>2227</v>
      </c>
      <c r="E596" s="26" t="s">
        <v>2093</v>
      </c>
      <c r="F596" s="26" t="s">
        <v>2094</v>
      </c>
      <c r="G596" s="26" t="s">
        <v>4466</v>
      </c>
      <c r="H596" s="26" t="s">
        <v>2096</v>
      </c>
    </row>
    <row r="597" customFormat="false" ht="23.85" hidden="false" customHeight="false" outlineLevel="0" collapsed="false">
      <c r="A597" s="26" t="s">
        <v>4467</v>
      </c>
      <c r="B597" s="8" t="s">
        <v>4468</v>
      </c>
      <c r="C597" s="26" t="s">
        <v>4469</v>
      </c>
      <c r="D597" s="26" t="s">
        <v>2227</v>
      </c>
      <c r="E597" s="26" t="s">
        <v>2093</v>
      </c>
      <c r="F597" s="26" t="s">
        <v>2094</v>
      </c>
      <c r="G597" s="26" t="s">
        <v>4470</v>
      </c>
      <c r="H597" s="26" t="s">
        <v>2096</v>
      </c>
    </row>
    <row r="598" customFormat="false" ht="15" hidden="false" customHeight="false" outlineLevel="0" collapsed="false">
      <c r="A598" s="26" t="s">
        <v>902</v>
      </c>
      <c r="B598" s="8" t="s">
        <v>4471</v>
      </c>
      <c r="C598" s="26" t="s">
        <v>3790</v>
      </c>
      <c r="D598" s="26" t="s">
        <v>3791</v>
      </c>
      <c r="E598" s="26" t="s">
        <v>2093</v>
      </c>
      <c r="F598" s="26" t="s">
        <v>2094</v>
      </c>
      <c r="G598" s="26" t="s">
        <v>4472</v>
      </c>
      <c r="H598" s="26" t="s">
        <v>2096</v>
      </c>
    </row>
    <row r="599" customFormat="false" ht="23.85" hidden="false" customHeight="false" outlineLevel="0" collapsed="false">
      <c r="A599" s="26" t="s">
        <v>108</v>
      </c>
      <c r="B599" s="8" t="s">
        <v>4473</v>
      </c>
      <c r="C599" s="26" t="s">
        <v>4474</v>
      </c>
      <c r="D599" s="26" t="s">
        <v>4475</v>
      </c>
      <c r="E599" s="26" t="s">
        <v>2093</v>
      </c>
      <c r="F599" s="26" t="s">
        <v>2094</v>
      </c>
      <c r="G599" s="26" t="s">
        <v>4476</v>
      </c>
      <c r="H599" s="26" t="s">
        <v>2096</v>
      </c>
    </row>
    <row r="600" customFormat="false" ht="23.85" hidden="false" customHeight="false" outlineLevel="0" collapsed="false">
      <c r="A600" s="26" t="s">
        <v>4477</v>
      </c>
      <c r="B600" s="8" t="s">
        <v>4478</v>
      </c>
      <c r="C600" s="26" t="s">
        <v>4479</v>
      </c>
      <c r="D600" s="26" t="s">
        <v>4480</v>
      </c>
      <c r="E600" s="26" t="s">
        <v>2093</v>
      </c>
      <c r="F600" s="26" t="s">
        <v>2094</v>
      </c>
      <c r="G600" s="26" t="s">
        <v>4481</v>
      </c>
      <c r="H600" s="26" t="s">
        <v>2131</v>
      </c>
    </row>
    <row r="601" customFormat="false" ht="23.85" hidden="false" customHeight="false" outlineLevel="0" collapsed="false">
      <c r="A601" s="26" t="s">
        <v>4482</v>
      </c>
      <c r="B601" s="8" t="s">
        <v>4483</v>
      </c>
      <c r="C601" s="26" t="s">
        <v>4484</v>
      </c>
      <c r="D601" s="26" t="s">
        <v>2513</v>
      </c>
      <c r="E601" s="26" t="s">
        <v>2093</v>
      </c>
      <c r="F601" s="26" t="s">
        <v>2094</v>
      </c>
      <c r="G601" s="26" t="s">
        <v>4485</v>
      </c>
      <c r="H601" s="26" t="s">
        <v>2101</v>
      </c>
    </row>
    <row r="602" customFormat="false" ht="23.85" hidden="false" customHeight="false" outlineLevel="0" collapsed="false">
      <c r="A602" s="26" t="s">
        <v>4486</v>
      </c>
      <c r="B602" s="8" t="s">
        <v>4487</v>
      </c>
      <c r="C602" s="26" t="s">
        <v>4488</v>
      </c>
      <c r="D602" s="26" t="s">
        <v>4489</v>
      </c>
      <c r="E602" s="26" t="s">
        <v>2093</v>
      </c>
      <c r="F602" s="26" t="s">
        <v>2094</v>
      </c>
      <c r="G602" s="26" t="s">
        <v>4490</v>
      </c>
      <c r="H602" s="26" t="s">
        <v>2101</v>
      </c>
    </row>
    <row r="603" customFormat="false" ht="23.85" hidden="false" customHeight="false" outlineLevel="0" collapsed="false">
      <c r="A603" s="26" t="s">
        <v>4491</v>
      </c>
      <c r="B603" s="8" t="s">
        <v>4492</v>
      </c>
      <c r="C603" s="26" t="s">
        <v>4493</v>
      </c>
      <c r="D603" s="26" t="s">
        <v>4494</v>
      </c>
      <c r="E603" s="26" t="s">
        <v>2093</v>
      </c>
      <c r="F603" s="26" t="s">
        <v>2094</v>
      </c>
      <c r="G603" s="26" t="s">
        <v>4495</v>
      </c>
      <c r="H603" s="26" t="s">
        <v>2101</v>
      </c>
    </row>
    <row r="604" customFormat="false" ht="23.85" hidden="false" customHeight="false" outlineLevel="0" collapsed="false">
      <c r="A604" s="26" t="s">
        <v>4496</v>
      </c>
      <c r="B604" s="8" t="s">
        <v>4497</v>
      </c>
      <c r="C604" s="26" t="s">
        <v>4498</v>
      </c>
      <c r="D604" s="26" t="s">
        <v>2485</v>
      </c>
      <c r="E604" s="26" t="s">
        <v>2093</v>
      </c>
      <c r="F604" s="26" t="s">
        <v>2106</v>
      </c>
      <c r="G604" s="26" t="s">
        <v>4499</v>
      </c>
      <c r="H604" s="26" t="s">
        <v>2101</v>
      </c>
    </row>
    <row r="605" customFormat="false" ht="23.85" hidden="false" customHeight="false" outlineLevel="0" collapsed="false">
      <c r="A605" s="26" t="s">
        <v>4500</v>
      </c>
      <c r="B605" s="8" t="s">
        <v>4501</v>
      </c>
      <c r="C605" s="26" t="s">
        <v>4502</v>
      </c>
      <c r="D605" s="26" t="s">
        <v>4503</v>
      </c>
      <c r="E605" s="26" t="s">
        <v>2093</v>
      </c>
      <c r="F605" s="26" t="s">
        <v>2106</v>
      </c>
      <c r="G605" s="26" t="s">
        <v>4504</v>
      </c>
      <c r="H605" s="26" t="s">
        <v>2096</v>
      </c>
    </row>
    <row r="606" customFormat="false" ht="23.85" hidden="false" customHeight="false" outlineLevel="0" collapsed="false">
      <c r="A606" s="26" t="s">
        <v>4505</v>
      </c>
      <c r="B606" s="8" t="s">
        <v>4506</v>
      </c>
      <c r="C606" s="26" t="s">
        <v>3785</v>
      </c>
      <c r="D606" s="26" t="s">
        <v>2227</v>
      </c>
      <c r="E606" s="26" t="s">
        <v>2093</v>
      </c>
      <c r="F606" s="26" t="s">
        <v>2094</v>
      </c>
      <c r="G606" s="26" t="s">
        <v>4507</v>
      </c>
      <c r="H606" s="26" t="s">
        <v>2096</v>
      </c>
    </row>
    <row r="607" customFormat="false" ht="35.05" hidden="false" customHeight="false" outlineLevel="0" collapsed="false">
      <c r="A607" s="26" t="s">
        <v>4508</v>
      </c>
      <c r="B607" s="8" t="s">
        <v>4509</v>
      </c>
      <c r="C607" s="26" t="s">
        <v>2152</v>
      </c>
      <c r="D607" s="26" t="s">
        <v>4510</v>
      </c>
      <c r="E607" s="26" t="s">
        <v>2093</v>
      </c>
      <c r="F607" s="26" t="s">
        <v>2094</v>
      </c>
      <c r="G607" s="26" t="s">
        <v>4511</v>
      </c>
      <c r="H607" s="26" t="s">
        <v>2096</v>
      </c>
    </row>
    <row r="608" customFormat="false" ht="35.05" hidden="false" customHeight="false" outlineLevel="0" collapsed="false">
      <c r="A608" s="26" t="s">
        <v>4512</v>
      </c>
      <c r="B608" s="8" t="s">
        <v>4513</v>
      </c>
      <c r="C608" s="26" t="s">
        <v>4514</v>
      </c>
      <c r="D608" s="26" t="s">
        <v>4510</v>
      </c>
      <c r="E608" s="26" t="s">
        <v>2093</v>
      </c>
      <c r="F608" s="26" t="s">
        <v>2094</v>
      </c>
      <c r="G608" s="26" t="s">
        <v>4515</v>
      </c>
      <c r="H608" s="26" t="s">
        <v>2096</v>
      </c>
    </row>
    <row r="609" customFormat="false" ht="35.05" hidden="false" customHeight="false" outlineLevel="0" collapsed="false">
      <c r="A609" s="26" t="s">
        <v>4516</v>
      </c>
      <c r="B609" s="8" t="s">
        <v>4517</v>
      </c>
      <c r="C609" s="26" t="s">
        <v>4518</v>
      </c>
      <c r="D609" s="26" t="s">
        <v>4510</v>
      </c>
      <c r="E609" s="26" t="s">
        <v>2093</v>
      </c>
      <c r="F609" s="26" t="s">
        <v>2094</v>
      </c>
      <c r="G609" s="26" t="s">
        <v>4511</v>
      </c>
      <c r="H609" s="26" t="s">
        <v>2096</v>
      </c>
    </row>
    <row r="610" customFormat="false" ht="23.85" hidden="false" customHeight="false" outlineLevel="0" collapsed="false">
      <c r="A610" s="26" t="s">
        <v>4519</v>
      </c>
      <c r="B610" s="8" t="s">
        <v>4520</v>
      </c>
      <c r="C610" s="26" t="s">
        <v>2234</v>
      </c>
      <c r="D610" s="26" t="s">
        <v>4521</v>
      </c>
      <c r="E610" s="26" t="s">
        <v>2093</v>
      </c>
      <c r="F610" s="26" t="s">
        <v>2094</v>
      </c>
      <c r="G610" s="26" t="s">
        <v>4522</v>
      </c>
      <c r="H610" s="26" t="s">
        <v>2101</v>
      </c>
    </row>
    <row r="611" customFormat="false" ht="23.85" hidden="false" customHeight="false" outlineLevel="0" collapsed="false">
      <c r="A611" s="26" t="s">
        <v>4523</v>
      </c>
      <c r="B611" s="8" t="s">
        <v>4524</v>
      </c>
      <c r="C611" s="26" t="s">
        <v>2238</v>
      </c>
      <c r="D611" s="26" t="s">
        <v>4525</v>
      </c>
      <c r="E611" s="26" t="s">
        <v>2093</v>
      </c>
      <c r="F611" s="26" t="s">
        <v>2094</v>
      </c>
      <c r="G611" s="26" t="s">
        <v>4526</v>
      </c>
      <c r="H611" s="26" t="s">
        <v>2131</v>
      </c>
    </row>
    <row r="612" customFormat="false" ht="23.85" hidden="false" customHeight="false" outlineLevel="0" collapsed="false">
      <c r="A612" s="26" t="s">
        <v>4527</v>
      </c>
      <c r="B612" s="8" t="s">
        <v>4528</v>
      </c>
      <c r="C612" s="26" t="s">
        <v>2143</v>
      </c>
      <c r="D612" s="26" t="s">
        <v>4529</v>
      </c>
      <c r="E612" s="26" t="s">
        <v>2093</v>
      </c>
      <c r="F612" s="26" t="s">
        <v>2094</v>
      </c>
      <c r="G612" s="26" t="s">
        <v>4530</v>
      </c>
      <c r="H612" s="26" t="s">
        <v>2101</v>
      </c>
    </row>
    <row r="613" customFormat="false" ht="23.85" hidden="false" customHeight="false" outlineLevel="0" collapsed="false">
      <c r="A613" s="26" t="s">
        <v>4531</v>
      </c>
      <c r="B613" s="8" t="s">
        <v>4532</v>
      </c>
      <c r="C613" s="26" t="s">
        <v>2119</v>
      </c>
      <c r="D613" s="26" t="s">
        <v>4533</v>
      </c>
      <c r="E613" s="26" t="s">
        <v>2093</v>
      </c>
      <c r="F613" s="26" t="s">
        <v>2094</v>
      </c>
      <c r="G613" s="26" t="s">
        <v>4534</v>
      </c>
      <c r="H613" s="26" t="s">
        <v>2101</v>
      </c>
    </row>
    <row r="614" customFormat="false" ht="23.85" hidden="false" customHeight="false" outlineLevel="0" collapsed="false">
      <c r="A614" s="26" t="s">
        <v>4535</v>
      </c>
      <c r="B614" s="8" t="s">
        <v>4536</v>
      </c>
      <c r="C614" s="26" t="s">
        <v>2271</v>
      </c>
      <c r="D614" s="26" t="s">
        <v>2485</v>
      </c>
      <c r="E614" s="26" t="s">
        <v>2093</v>
      </c>
      <c r="F614" s="26" t="s">
        <v>2094</v>
      </c>
      <c r="G614" s="26" t="s">
        <v>4537</v>
      </c>
      <c r="H614" s="26" t="s">
        <v>2096</v>
      </c>
    </row>
    <row r="615" customFormat="false" ht="23.85" hidden="false" customHeight="false" outlineLevel="0" collapsed="false">
      <c r="A615" s="26" t="s">
        <v>4538</v>
      </c>
      <c r="B615" s="8" t="s">
        <v>4539</v>
      </c>
      <c r="C615" s="26" t="s">
        <v>2266</v>
      </c>
      <c r="D615" s="26" t="s">
        <v>2485</v>
      </c>
      <c r="E615" s="26" t="s">
        <v>2093</v>
      </c>
      <c r="F615" s="26" t="s">
        <v>2094</v>
      </c>
      <c r="G615" s="26" t="s">
        <v>4540</v>
      </c>
      <c r="H615" s="26" t="s">
        <v>2096</v>
      </c>
    </row>
    <row r="616" customFormat="false" ht="23.85" hidden="false" customHeight="false" outlineLevel="0" collapsed="false">
      <c r="A616" s="26" t="s">
        <v>4541</v>
      </c>
      <c r="B616" s="8" t="s">
        <v>4542</v>
      </c>
      <c r="C616" s="26" t="s">
        <v>2243</v>
      </c>
      <c r="D616" s="26" t="s">
        <v>2490</v>
      </c>
      <c r="E616" s="26" t="s">
        <v>2093</v>
      </c>
      <c r="F616" s="26" t="s">
        <v>2094</v>
      </c>
      <c r="G616" s="26" t="s">
        <v>4543</v>
      </c>
      <c r="H616" s="26" t="s">
        <v>2096</v>
      </c>
    </row>
    <row r="617" customFormat="false" ht="23.85" hidden="false" customHeight="false" outlineLevel="0" collapsed="false">
      <c r="A617" s="26" t="s">
        <v>4544</v>
      </c>
      <c r="B617" s="8" t="s">
        <v>4545</v>
      </c>
      <c r="C617" s="26" t="s">
        <v>2226</v>
      </c>
      <c r="D617" s="26" t="s">
        <v>2227</v>
      </c>
      <c r="E617" s="26" t="s">
        <v>2093</v>
      </c>
      <c r="F617" s="26" t="s">
        <v>2094</v>
      </c>
      <c r="G617" s="26" t="s">
        <v>4546</v>
      </c>
      <c r="H617" s="26" t="s">
        <v>2096</v>
      </c>
    </row>
    <row r="618" customFormat="false" ht="23.85" hidden="false" customHeight="false" outlineLevel="0" collapsed="false">
      <c r="A618" s="26" t="s">
        <v>4547</v>
      </c>
      <c r="B618" s="8" t="s">
        <v>4548</v>
      </c>
      <c r="C618" s="26" t="s">
        <v>2231</v>
      </c>
      <c r="D618" s="26" t="s">
        <v>2227</v>
      </c>
      <c r="E618" s="26" t="s">
        <v>2093</v>
      </c>
      <c r="F618" s="26" t="s">
        <v>2094</v>
      </c>
      <c r="G618" s="26" t="s">
        <v>4546</v>
      </c>
      <c r="H618" s="26" t="s">
        <v>2096</v>
      </c>
    </row>
    <row r="619" customFormat="false" ht="15" hidden="false" customHeight="false" outlineLevel="0" collapsed="false">
      <c r="A619" s="26" t="s">
        <v>4549</v>
      </c>
      <c r="B619" s="8" t="s">
        <v>4550</v>
      </c>
      <c r="C619" s="26" t="s">
        <v>2312</v>
      </c>
      <c r="D619" s="26" t="s">
        <v>2227</v>
      </c>
      <c r="E619" s="26" t="s">
        <v>2093</v>
      </c>
      <c r="F619" s="26" t="s">
        <v>2094</v>
      </c>
      <c r="G619" s="26" t="s">
        <v>4551</v>
      </c>
      <c r="H619" s="26" t="s">
        <v>2096</v>
      </c>
    </row>
    <row r="620" customFormat="false" ht="23.85" hidden="false" customHeight="false" outlineLevel="0" collapsed="false">
      <c r="A620" s="26" t="s">
        <v>4552</v>
      </c>
      <c r="B620" s="8" t="s">
        <v>4553</v>
      </c>
      <c r="C620" s="26" t="s">
        <v>2316</v>
      </c>
      <c r="D620" s="26" t="s">
        <v>2227</v>
      </c>
      <c r="E620" s="26" t="s">
        <v>2093</v>
      </c>
      <c r="F620" s="26" t="s">
        <v>2094</v>
      </c>
      <c r="G620" s="26" t="s">
        <v>4551</v>
      </c>
      <c r="H620" s="26" t="s">
        <v>2096</v>
      </c>
    </row>
    <row r="621" customFormat="false" ht="23.85" hidden="false" customHeight="false" outlineLevel="0" collapsed="false">
      <c r="A621" s="26" t="s">
        <v>4554</v>
      </c>
      <c r="B621" s="8" t="s">
        <v>4555</v>
      </c>
      <c r="C621" s="26" t="s">
        <v>2352</v>
      </c>
      <c r="D621" s="26" t="s">
        <v>4556</v>
      </c>
      <c r="E621" s="26" t="s">
        <v>2093</v>
      </c>
      <c r="F621" s="26" t="s">
        <v>2094</v>
      </c>
      <c r="G621" s="26" t="s">
        <v>4557</v>
      </c>
      <c r="H621" s="26" t="s">
        <v>2096</v>
      </c>
    </row>
    <row r="622" customFormat="false" ht="23.85" hidden="false" customHeight="false" outlineLevel="0" collapsed="false">
      <c r="A622" s="26" t="s">
        <v>4558</v>
      </c>
      <c r="B622" s="8" t="s">
        <v>4559</v>
      </c>
      <c r="C622" s="26" t="s">
        <v>2370</v>
      </c>
      <c r="D622" s="26" t="s">
        <v>4560</v>
      </c>
      <c r="E622" s="26" t="s">
        <v>2093</v>
      </c>
      <c r="F622" s="26" t="s">
        <v>2094</v>
      </c>
      <c r="G622" s="26" t="s">
        <v>4561</v>
      </c>
      <c r="H622" s="26" t="s">
        <v>2101</v>
      </c>
    </row>
    <row r="623" customFormat="false" ht="23.85" hidden="false" customHeight="false" outlineLevel="0" collapsed="false">
      <c r="A623" s="26" t="s">
        <v>4562</v>
      </c>
      <c r="B623" s="8" t="s">
        <v>4563</v>
      </c>
      <c r="C623" s="26" t="s">
        <v>2435</v>
      </c>
      <c r="D623" s="26" t="s">
        <v>4564</v>
      </c>
      <c r="E623" s="26" t="s">
        <v>2093</v>
      </c>
      <c r="F623" s="26" t="s">
        <v>2094</v>
      </c>
      <c r="G623" s="26" t="s">
        <v>4565</v>
      </c>
      <c r="H623" s="26" t="s">
        <v>2096</v>
      </c>
    </row>
    <row r="624" customFormat="false" ht="23.85" hidden="false" customHeight="false" outlineLevel="0" collapsed="false">
      <c r="A624" s="26" t="s">
        <v>4566</v>
      </c>
      <c r="B624" s="8" t="s">
        <v>4567</v>
      </c>
      <c r="C624" s="26" t="s">
        <v>3052</v>
      </c>
      <c r="D624" s="26" t="s">
        <v>4568</v>
      </c>
      <c r="E624" s="26" t="s">
        <v>2093</v>
      </c>
      <c r="F624" s="26" t="s">
        <v>2094</v>
      </c>
      <c r="G624" s="26" t="s">
        <v>4569</v>
      </c>
      <c r="H624" s="26" t="s">
        <v>2096</v>
      </c>
    </row>
    <row r="625" customFormat="false" ht="23.85" hidden="false" customHeight="false" outlineLevel="0" collapsed="false">
      <c r="A625" s="26" t="s">
        <v>4570</v>
      </c>
      <c r="B625" s="8" t="s">
        <v>4571</v>
      </c>
      <c r="C625" s="26" t="s">
        <v>3060</v>
      </c>
      <c r="D625" s="26" t="s">
        <v>4568</v>
      </c>
      <c r="E625" s="26" t="s">
        <v>2093</v>
      </c>
      <c r="F625" s="26" t="s">
        <v>2094</v>
      </c>
      <c r="G625" s="26" t="s">
        <v>4572</v>
      </c>
      <c r="H625" s="26" t="s">
        <v>2096</v>
      </c>
    </row>
    <row r="626" customFormat="false" ht="23.85" hidden="false" customHeight="false" outlineLevel="0" collapsed="false">
      <c r="A626" s="26" t="s">
        <v>4573</v>
      </c>
      <c r="B626" s="8" t="s">
        <v>4574</v>
      </c>
      <c r="C626" s="26" t="s">
        <v>3067</v>
      </c>
      <c r="D626" s="26" t="s">
        <v>4568</v>
      </c>
      <c r="E626" s="26" t="s">
        <v>2093</v>
      </c>
      <c r="F626" s="26" t="s">
        <v>2094</v>
      </c>
      <c r="G626" s="26" t="s">
        <v>4575</v>
      </c>
      <c r="H626" s="26" t="s">
        <v>2096</v>
      </c>
    </row>
    <row r="627" customFormat="false" ht="23.85" hidden="false" customHeight="false" outlineLevel="0" collapsed="false">
      <c r="A627" s="26" t="s">
        <v>4576</v>
      </c>
      <c r="B627" s="8" t="s">
        <v>4577</v>
      </c>
      <c r="C627" s="26" t="s">
        <v>3252</v>
      </c>
      <c r="D627" s="26" t="s">
        <v>4578</v>
      </c>
      <c r="E627" s="26" t="s">
        <v>2093</v>
      </c>
      <c r="F627" s="26" t="s">
        <v>2094</v>
      </c>
      <c r="G627" s="26" t="s">
        <v>4579</v>
      </c>
      <c r="H627" s="26" t="s">
        <v>2096</v>
      </c>
    </row>
    <row r="628" customFormat="false" ht="23.85" hidden="false" customHeight="false" outlineLevel="0" collapsed="false">
      <c r="A628" s="26" t="s">
        <v>4580</v>
      </c>
      <c r="B628" s="8" t="s">
        <v>4581</v>
      </c>
      <c r="C628" s="26" t="s">
        <v>3306</v>
      </c>
      <c r="D628" s="26" t="s">
        <v>4582</v>
      </c>
      <c r="E628" s="26" t="s">
        <v>2093</v>
      </c>
      <c r="F628" s="26" t="s">
        <v>2094</v>
      </c>
      <c r="G628" s="26" t="s">
        <v>4583</v>
      </c>
      <c r="H628" s="26" t="s">
        <v>2096</v>
      </c>
    </row>
    <row r="629" customFormat="false" ht="15" hidden="false" customHeight="false" outlineLevel="0" collapsed="false">
      <c r="A629" s="26" t="s">
        <v>4584</v>
      </c>
      <c r="B629" s="8" t="s">
        <v>4585</v>
      </c>
      <c r="C629" s="26" t="s">
        <v>4586</v>
      </c>
      <c r="D629" s="26" t="s">
        <v>4587</v>
      </c>
      <c r="E629" s="26" t="s">
        <v>2093</v>
      </c>
      <c r="F629" s="26" t="s">
        <v>2094</v>
      </c>
      <c r="G629" s="26" t="s">
        <v>4583</v>
      </c>
      <c r="H629" s="26" t="s">
        <v>2101</v>
      </c>
    </row>
    <row r="630" customFormat="false" ht="23.85" hidden="false" customHeight="false" outlineLevel="0" collapsed="false">
      <c r="A630" s="26" t="s">
        <v>4588</v>
      </c>
      <c r="B630" s="8" t="s">
        <v>4589</v>
      </c>
      <c r="C630" s="26" t="s">
        <v>3256</v>
      </c>
      <c r="D630" s="26" t="s">
        <v>4578</v>
      </c>
      <c r="E630" s="26" t="s">
        <v>2093</v>
      </c>
      <c r="F630" s="26" t="s">
        <v>2094</v>
      </c>
      <c r="G630" s="26" t="s">
        <v>4590</v>
      </c>
      <c r="H630" s="26" t="s">
        <v>2096</v>
      </c>
    </row>
    <row r="631" customFormat="false" ht="23.85" hidden="false" customHeight="false" outlineLevel="0" collapsed="false">
      <c r="A631" s="26" t="s">
        <v>4591</v>
      </c>
      <c r="B631" s="8" t="s">
        <v>4592</v>
      </c>
      <c r="C631" s="26" t="s">
        <v>3349</v>
      </c>
      <c r="D631" s="26" t="s">
        <v>4593</v>
      </c>
      <c r="E631" s="26" t="s">
        <v>2093</v>
      </c>
      <c r="F631" s="26" t="s">
        <v>2094</v>
      </c>
      <c r="G631" s="26" t="s">
        <v>4594</v>
      </c>
      <c r="H631" s="26" t="s">
        <v>2096</v>
      </c>
    </row>
    <row r="632" customFormat="false" ht="23.85" hidden="false" customHeight="false" outlineLevel="0" collapsed="false">
      <c r="A632" s="26" t="s">
        <v>4595</v>
      </c>
      <c r="B632" s="8" t="s">
        <v>4596</v>
      </c>
      <c r="C632" s="26" t="s">
        <v>3384</v>
      </c>
      <c r="D632" s="26" t="s">
        <v>3385</v>
      </c>
      <c r="E632" s="26" t="s">
        <v>2093</v>
      </c>
      <c r="F632" s="26" t="s">
        <v>2094</v>
      </c>
      <c r="G632" s="26" t="s">
        <v>4597</v>
      </c>
      <c r="H632" s="26" t="s">
        <v>2101</v>
      </c>
    </row>
    <row r="633" customFormat="false" ht="23.85" hidden="false" customHeight="false" outlineLevel="0" collapsed="false">
      <c r="A633" s="26" t="s">
        <v>4598</v>
      </c>
      <c r="B633" s="8" t="s">
        <v>4599</v>
      </c>
      <c r="C633" s="26" t="s">
        <v>3389</v>
      </c>
      <c r="D633" s="26" t="s">
        <v>3385</v>
      </c>
      <c r="E633" s="26" t="s">
        <v>2093</v>
      </c>
      <c r="F633" s="26" t="s">
        <v>2094</v>
      </c>
      <c r="G633" s="26" t="s">
        <v>4597</v>
      </c>
      <c r="H633" s="26" t="s">
        <v>2101</v>
      </c>
    </row>
    <row r="634" customFormat="false" ht="23.85" hidden="false" customHeight="false" outlineLevel="0" collapsed="false">
      <c r="A634" s="26" t="s">
        <v>4600</v>
      </c>
      <c r="B634" s="8" t="s">
        <v>4601</v>
      </c>
      <c r="C634" s="26" t="s">
        <v>3869</v>
      </c>
      <c r="D634" s="26" t="s">
        <v>4602</v>
      </c>
      <c r="E634" s="26" t="s">
        <v>2093</v>
      </c>
      <c r="F634" s="26" t="s">
        <v>2094</v>
      </c>
      <c r="G634" s="26" t="s">
        <v>4603</v>
      </c>
      <c r="H634" s="26" t="s">
        <v>2096</v>
      </c>
    </row>
    <row r="635" customFormat="false" ht="23.85" hidden="false" customHeight="false" outlineLevel="0" collapsed="false">
      <c r="A635" s="26" t="s">
        <v>4604</v>
      </c>
      <c r="B635" s="8" t="s">
        <v>4605</v>
      </c>
      <c r="C635" s="26" t="s">
        <v>3511</v>
      </c>
      <c r="D635" s="26" t="s">
        <v>4606</v>
      </c>
      <c r="E635" s="26" t="s">
        <v>2093</v>
      </c>
      <c r="F635" s="26" t="s">
        <v>2094</v>
      </c>
      <c r="G635" s="26" t="s">
        <v>4607</v>
      </c>
      <c r="H635" s="26" t="s">
        <v>2096</v>
      </c>
    </row>
    <row r="636" customFormat="false" ht="23.85" hidden="false" customHeight="false" outlineLevel="0" collapsed="false">
      <c r="A636" s="26" t="s">
        <v>4608</v>
      </c>
      <c r="B636" s="8" t="s">
        <v>4609</v>
      </c>
      <c r="C636" s="26" t="s">
        <v>3523</v>
      </c>
      <c r="D636" s="26" t="s">
        <v>3104</v>
      </c>
      <c r="E636" s="26" t="s">
        <v>2093</v>
      </c>
      <c r="F636" s="26" t="s">
        <v>2094</v>
      </c>
      <c r="G636" s="26" t="s">
        <v>4610</v>
      </c>
      <c r="H636" s="26" t="s">
        <v>2101</v>
      </c>
    </row>
    <row r="637" customFormat="false" ht="23.85" hidden="false" customHeight="false" outlineLevel="0" collapsed="false">
      <c r="A637" s="26" t="s">
        <v>4611</v>
      </c>
      <c r="B637" s="8" t="s">
        <v>4612</v>
      </c>
      <c r="C637" s="26" t="s">
        <v>3411</v>
      </c>
      <c r="D637" s="26" t="s">
        <v>3421</v>
      </c>
      <c r="E637" s="26" t="s">
        <v>2093</v>
      </c>
      <c r="F637" s="26" t="s">
        <v>2094</v>
      </c>
      <c r="G637" s="26" t="s">
        <v>4613</v>
      </c>
      <c r="H637" s="26" t="s">
        <v>2096</v>
      </c>
    </row>
    <row r="638" customFormat="false" ht="15" hidden="false" customHeight="false" outlineLevel="0" collapsed="false">
      <c r="A638" s="26" t="s">
        <v>4614</v>
      </c>
      <c r="B638" s="8" t="s">
        <v>4615</v>
      </c>
      <c r="C638" s="26" t="s">
        <v>2720</v>
      </c>
      <c r="D638" s="26" t="s">
        <v>4602</v>
      </c>
      <c r="E638" s="26" t="s">
        <v>2093</v>
      </c>
      <c r="F638" s="26" t="s">
        <v>2094</v>
      </c>
      <c r="G638" s="26" t="s">
        <v>4616</v>
      </c>
      <c r="H638" s="26" t="s">
        <v>2096</v>
      </c>
    </row>
    <row r="639" customFormat="false" ht="23.85" hidden="false" customHeight="false" outlineLevel="0" collapsed="false">
      <c r="A639" s="26" t="s">
        <v>4617</v>
      </c>
      <c r="B639" s="8" t="s">
        <v>4618</v>
      </c>
      <c r="C639" s="26" t="s">
        <v>2819</v>
      </c>
      <c r="D639" s="26" t="s">
        <v>4602</v>
      </c>
      <c r="E639" s="26" t="s">
        <v>2093</v>
      </c>
      <c r="F639" s="26" t="s">
        <v>2094</v>
      </c>
      <c r="G639" s="26" t="s">
        <v>4619</v>
      </c>
      <c r="H639" s="26" t="s">
        <v>2096</v>
      </c>
    </row>
    <row r="640" customFormat="false" ht="23.85" hidden="false" customHeight="false" outlineLevel="0" collapsed="false">
      <c r="A640" s="26" t="s">
        <v>4620</v>
      </c>
      <c r="B640" s="8" t="s">
        <v>4621</v>
      </c>
      <c r="C640" s="26" t="s">
        <v>4622</v>
      </c>
      <c r="D640" s="26" t="s">
        <v>4602</v>
      </c>
      <c r="E640" s="26" t="s">
        <v>2093</v>
      </c>
      <c r="F640" s="26" t="s">
        <v>2094</v>
      </c>
      <c r="G640" s="26" t="s">
        <v>4619</v>
      </c>
      <c r="H640" s="26" t="s">
        <v>2096</v>
      </c>
    </row>
    <row r="641" customFormat="false" ht="23.85" hidden="false" customHeight="false" outlineLevel="0" collapsed="false">
      <c r="A641" s="26" t="s">
        <v>4623</v>
      </c>
      <c r="B641" s="8" t="s">
        <v>4624</v>
      </c>
      <c r="C641" s="26" t="s">
        <v>3746</v>
      </c>
      <c r="D641" s="26" t="s">
        <v>3747</v>
      </c>
      <c r="E641" s="26" t="s">
        <v>2093</v>
      </c>
      <c r="F641" s="26" t="s">
        <v>2094</v>
      </c>
      <c r="G641" s="26" t="s">
        <v>4625</v>
      </c>
      <c r="H641" s="26" t="s">
        <v>2096</v>
      </c>
    </row>
    <row r="642" customFormat="false" ht="23.85" hidden="false" customHeight="false" outlineLevel="0" collapsed="false">
      <c r="A642" s="26" t="s">
        <v>4626</v>
      </c>
      <c r="B642" s="8" t="s">
        <v>4627</v>
      </c>
      <c r="C642" s="26" t="s">
        <v>3751</v>
      </c>
      <c r="D642" s="26" t="s">
        <v>3752</v>
      </c>
      <c r="E642" s="26" t="s">
        <v>2093</v>
      </c>
      <c r="F642" s="26" t="s">
        <v>2094</v>
      </c>
      <c r="G642" s="26" t="s">
        <v>4625</v>
      </c>
      <c r="H642" s="26" t="s">
        <v>2096</v>
      </c>
    </row>
    <row r="643" customFormat="false" ht="15" hidden="false" customHeight="false" outlineLevel="0" collapsed="false">
      <c r="A643" s="26" t="s">
        <v>4628</v>
      </c>
      <c r="B643" s="8" t="s">
        <v>4629</v>
      </c>
      <c r="C643" s="26" t="s">
        <v>3755</v>
      </c>
      <c r="D643" s="26" t="s">
        <v>4630</v>
      </c>
      <c r="E643" s="26" t="s">
        <v>2093</v>
      </c>
      <c r="F643" s="26" t="s">
        <v>2094</v>
      </c>
      <c r="G643" s="26" t="s">
        <v>4625</v>
      </c>
      <c r="H643" s="26" t="s">
        <v>2096</v>
      </c>
    </row>
    <row r="644" customFormat="false" ht="23.85" hidden="false" customHeight="false" outlineLevel="0" collapsed="false">
      <c r="A644" s="26" t="s">
        <v>4631</v>
      </c>
      <c r="B644" s="8" t="s">
        <v>4632</v>
      </c>
      <c r="C644" s="26" t="s">
        <v>3799</v>
      </c>
      <c r="D644" s="26" t="s">
        <v>4633</v>
      </c>
      <c r="E644" s="26" t="s">
        <v>2093</v>
      </c>
      <c r="F644" s="26" t="s">
        <v>2094</v>
      </c>
      <c r="G644" s="26" t="s">
        <v>4634</v>
      </c>
      <c r="H644" s="26" t="s">
        <v>2096</v>
      </c>
    </row>
    <row r="645" customFormat="false" ht="23.85" hidden="false" customHeight="false" outlineLevel="0" collapsed="false">
      <c r="A645" s="26" t="s">
        <v>4635</v>
      </c>
      <c r="B645" s="8" t="s">
        <v>4636</v>
      </c>
      <c r="C645" s="26" t="s">
        <v>3790</v>
      </c>
      <c r="D645" s="26" t="s">
        <v>3791</v>
      </c>
      <c r="E645" s="26" t="s">
        <v>2093</v>
      </c>
      <c r="F645" s="26" t="s">
        <v>2094</v>
      </c>
      <c r="G645" s="26" t="s">
        <v>4634</v>
      </c>
      <c r="H645" s="26" t="s">
        <v>2096</v>
      </c>
    </row>
    <row r="646" customFormat="false" ht="15" hidden="false" customHeight="false" outlineLevel="0" collapsed="false">
      <c r="A646" s="26" t="s">
        <v>4637</v>
      </c>
      <c r="B646" s="8" t="s">
        <v>4638</v>
      </c>
      <c r="C646" s="26" t="s">
        <v>3804</v>
      </c>
      <c r="D646" s="26" t="s">
        <v>4639</v>
      </c>
      <c r="E646" s="26" t="s">
        <v>2093</v>
      </c>
      <c r="F646" s="26" t="s">
        <v>2094</v>
      </c>
      <c r="G646" s="26" t="s">
        <v>4634</v>
      </c>
      <c r="H646" s="26" t="s">
        <v>2096</v>
      </c>
    </row>
    <row r="647" customFormat="false" ht="23.85" hidden="false" customHeight="false" outlineLevel="0" collapsed="false">
      <c r="A647" s="26" t="s">
        <v>4640</v>
      </c>
      <c r="B647" s="8" t="s">
        <v>4641</v>
      </c>
      <c r="C647" s="26" t="s">
        <v>3809</v>
      </c>
      <c r="D647" s="26" t="s">
        <v>4642</v>
      </c>
      <c r="E647" s="26" t="s">
        <v>2093</v>
      </c>
      <c r="F647" s="26" t="s">
        <v>2094</v>
      </c>
      <c r="G647" s="26" t="s">
        <v>4634</v>
      </c>
      <c r="H647" s="26" t="s">
        <v>2101</v>
      </c>
    </row>
    <row r="648" customFormat="false" ht="23.85" hidden="false" customHeight="false" outlineLevel="0" collapsed="false">
      <c r="A648" s="26" t="s">
        <v>4643</v>
      </c>
      <c r="B648" s="8" t="s">
        <v>4644</v>
      </c>
      <c r="C648" s="26" t="s">
        <v>2504</v>
      </c>
      <c r="D648" s="26" t="s">
        <v>2227</v>
      </c>
      <c r="E648" s="26" t="s">
        <v>2093</v>
      </c>
      <c r="F648" s="26" t="s">
        <v>2094</v>
      </c>
      <c r="G648" s="26" t="s">
        <v>4645</v>
      </c>
      <c r="H648" s="26" t="s">
        <v>2096</v>
      </c>
    </row>
    <row r="649" customFormat="false" ht="23.85" hidden="false" customHeight="false" outlineLevel="0" collapsed="false">
      <c r="A649" s="26" t="s">
        <v>4646</v>
      </c>
      <c r="B649" s="8" t="s">
        <v>4647</v>
      </c>
      <c r="C649" s="26" t="s">
        <v>2665</v>
      </c>
      <c r="D649" s="26" t="s">
        <v>2227</v>
      </c>
      <c r="E649" s="26" t="s">
        <v>2093</v>
      </c>
      <c r="F649" s="26" t="s">
        <v>2094</v>
      </c>
      <c r="G649" s="26" t="s">
        <v>4645</v>
      </c>
      <c r="H649" s="26" t="s">
        <v>2096</v>
      </c>
    </row>
    <row r="650" customFormat="false" ht="23.85" hidden="false" customHeight="false" outlineLevel="0" collapsed="false">
      <c r="A650" s="26" t="s">
        <v>4648</v>
      </c>
      <c r="B650" s="8" t="s">
        <v>4649</v>
      </c>
      <c r="C650" s="26" t="s">
        <v>2449</v>
      </c>
      <c r="D650" s="26" t="s">
        <v>2227</v>
      </c>
      <c r="E650" s="26" t="s">
        <v>2093</v>
      </c>
      <c r="F650" s="26" t="s">
        <v>2094</v>
      </c>
      <c r="G650" s="26" t="s">
        <v>4645</v>
      </c>
      <c r="H650" s="26" t="s">
        <v>2096</v>
      </c>
    </row>
    <row r="651" customFormat="false" ht="15" hidden="false" customHeight="false" outlineLevel="0" collapsed="false">
      <c r="A651" s="26" t="s">
        <v>4650</v>
      </c>
      <c r="B651" s="8" t="s">
        <v>4651</v>
      </c>
      <c r="C651" s="26" t="s">
        <v>2501</v>
      </c>
      <c r="D651" s="26" t="s">
        <v>2227</v>
      </c>
      <c r="E651" s="26" t="s">
        <v>2093</v>
      </c>
      <c r="F651" s="26" t="s">
        <v>2094</v>
      </c>
      <c r="G651" s="26" t="s">
        <v>4645</v>
      </c>
      <c r="H651" s="26" t="s">
        <v>2096</v>
      </c>
    </row>
    <row r="652" customFormat="false" ht="15" hidden="false" customHeight="false" outlineLevel="0" collapsed="false">
      <c r="A652" s="26" t="s">
        <v>4652</v>
      </c>
      <c r="B652" s="8" t="s">
        <v>4653</v>
      </c>
      <c r="C652" s="26" t="s">
        <v>4654</v>
      </c>
      <c r="D652" s="26" t="s">
        <v>2455</v>
      </c>
      <c r="E652" s="26" t="s">
        <v>2093</v>
      </c>
      <c r="F652" s="26" t="s">
        <v>2094</v>
      </c>
      <c r="G652" s="26" t="s">
        <v>4645</v>
      </c>
      <c r="H652" s="26" t="s">
        <v>2096</v>
      </c>
    </row>
    <row r="653" customFormat="false" ht="23.85" hidden="false" customHeight="false" outlineLevel="0" collapsed="false">
      <c r="A653" s="26" t="s">
        <v>4655</v>
      </c>
      <c r="B653" s="8" t="s">
        <v>4656</v>
      </c>
      <c r="C653" s="26" t="s">
        <v>2512</v>
      </c>
      <c r="D653" s="26" t="s">
        <v>2513</v>
      </c>
      <c r="E653" s="26" t="s">
        <v>2093</v>
      </c>
      <c r="F653" s="26" t="s">
        <v>2094</v>
      </c>
      <c r="G653" s="26" t="s">
        <v>4657</v>
      </c>
      <c r="H653" s="26" t="s">
        <v>2101</v>
      </c>
    </row>
    <row r="654" customFormat="false" ht="46.25" hidden="false" customHeight="false" outlineLevel="0" collapsed="false">
      <c r="A654" s="26" t="s">
        <v>4658</v>
      </c>
      <c r="B654" s="8" t="s">
        <v>4659</v>
      </c>
      <c r="C654" s="26" t="s">
        <v>2091</v>
      </c>
      <c r="D654" s="26" t="s">
        <v>2092</v>
      </c>
      <c r="E654" s="26" t="s">
        <v>2093</v>
      </c>
      <c r="F654" s="26" t="s">
        <v>2094</v>
      </c>
      <c r="G654" s="26" t="s">
        <v>4660</v>
      </c>
      <c r="H654" s="26" t="s">
        <v>2096</v>
      </c>
    </row>
    <row r="655" customFormat="false" ht="23.85" hidden="false" customHeight="false" outlineLevel="0" collapsed="false">
      <c r="A655" s="26" t="s">
        <v>4661</v>
      </c>
      <c r="B655" s="8" t="s">
        <v>4662</v>
      </c>
      <c r="C655" s="26" t="s">
        <v>2098</v>
      </c>
      <c r="D655" s="26" t="s">
        <v>2099</v>
      </c>
      <c r="E655" s="26" t="s">
        <v>2093</v>
      </c>
      <c r="F655" s="26" t="s">
        <v>2094</v>
      </c>
      <c r="G655" s="26" t="s">
        <v>4660</v>
      </c>
      <c r="H655" s="26" t="s">
        <v>2101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2026-10-14T20:02:33Z</dcterms:created>
  <dc:creator>openpyxl</dc:creator>
  <dc:description/>
  <dc:language>en-US</dc:language>
  <cp:lastModifiedBy/>
  <dcterms:modified xsi:type="dcterms:W3CDTF">2026-10-14T20:02:34Z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