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nc_ca_chambre" vbProcedure="false">Hypotheses!$D$190</definedName>
    <definedName function="false" hidden="false" name="anc_ca_chambre_def" vbProcedure="false">Hypotheses!$E$190</definedName>
    <definedName function="false" hidden="false" name="anc_ca_chambre_fav" vbProcedure="false">Hypotheses!$C$190</definedName>
    <definedName function="false" hidden="false" name="anc_chambres" vbProcedure="false">Hypotheses!$D$191</definedName>
    <definedName function="false" hidden="false" name="anc_chambres_def" vbProcedure="false">Hypotheses!$E$191</definedName>
    <definedName function="false" hidden="false" name="anc_chambres_fav" vbProcedure="false">Hypotheses!$C$191</definedName>
    <definedName function="false" hidden="false" name="anc_frais_bailleur" vbProcedure="false">Hypotheses!$D$192</definedName>
    <definedName function="false" hidden="false" name="anc_frais_bailleur_def" vbProcedure="false">Hypotheses!$E$192</definedName>
    <definedName function="false" hidden="false" name="anc_frais_bailleur_fav" vbProcedure="false">Hypotheses!$C$192</definedName>
    <definedName function="false" hidden="false" name="anc_part_transferee" vbProcedure="false">Hypotheses!$D$193</definedName>
    <definedName function="false" hidden="false" name="anc_part_transferee_def" vbProcedure="false">Hypotheses!$E$193</definedName>
    <definedName function="false" hidden="false" name="anc_part_transferee_fav" vbProcedure="false">Hypotheses!$C$193</definedName>
    <definedName function="false" hidden="false" name="anc_taux_loyer" vbProcedure="false">Hypotheses!$D$194</definedName>
    <definedName function="false" hidden="false" name="anc_taux_loyer_def" vbProcedure="false">Hypotheses!$E$194</definedName>
    <definedName function="false" hidden="false" name="anc_taux_loyer_fav" vbProcedure="false">Hypotheses!$C$194</definedName>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Hypotheses!$D$236</definedName>
    <definedName function="false" hidden="false" name="auto_capex_def" vbProcedure="false">Hypotheses!$E$236</definedName>
    <definedName function="false" hidden="false" name="auto_capex_fav" vbProcedure="false">Hypotheses!$C$236</definedName>
    <definedName function="false" hidden="false" name="auto_fixe" vbProcedure="false">Hypotheses!$D$237</definedName>
    <definedName function="false" hidden="false" name="auto_fixe_def" vbProcedure="false">Hypotheses!$E$237</definedName>
    <definedName function="false" hidden="false" name="auto_fixe_fav" vbProcedure="false">Hypotheses!$C$237</definedName>
    <definedName function="false" hidden="false" name="auto_occ" vbProcedure="false">Hypotheses!$D$238</definedName>
    <definedName function="false" hidden="false" name="auto_occ_def" vbProcedure="false">Hypotheses!$E$238</definedName>
    <definedName function="false" hidden="false" name="auto_occ_fav" vbProcedure="false">Hypotheses!$C$238</definedName>
    <definedName function="false" hidden="false" name="auto_places" vbProcedure="false">Hypotheses!$D$239</definedName>
    <definedName function="false" hidden="false" name="auto_places_def" vbProcedure="false">Hypotheses!$E$239</definedName>
    <definedName function="false" hidden="false" name="auto_places_fav" vbProcedure="false">Hypotheses!$C$239</definedName>
    <definedName function="false" hidden="false" name="auto_prix" vbProcedure="false">Hypotheses!$D$240</definedName>
    <definedName function="false" hidden="false" name="auto_prix_def" vbProcedure="false">Hypotheses!$E$240</definedName>
    <definedName function="false" hidden="false" name="auto_prix_fav" vbProcedure="false">Hypotheses!$C$240</definedName>
    <definedName function="false" hidden="false" name="bois_cout_ha" vbProcedure="false">Hypotheses!$D$174</definedName>
    <definedName function="false" hidden="false" name="bois_cout_ha_def" vbProcedure="false">Hypotheses!$E$174</definedName>
    <definedName function="false" hidden="false" name="bois_cout_ha_fav" vbProcedure="false">Hypotheses!$C$174</definedName>
    <definedName function="false" hidden="false" name="bois_net_ha" vbProcedure="false">Hypotheses!$D$213</definedName>
    <definedName function="false" hidden="false" name="bois_net_ha_def" vbProcedure="false">Hypotheses!$E$213</definedName>
    <definedName function="false" hidden="false" name="bois_net_ha_fav" vbProcedure="false">Hypotheses!$C$213</definedName>
    <definedName function="false" hidden="false" name="box_entretien" vbProcedure="false">Hypotheses!$D$175</definedName>
    <definedName function="false" hidden="false" name="box_entretien_def" vbProcedure="false">Hypotheses!$E$175</definedName>
    <definedName function="false" hidden="false" name="box_entretien_fav" vbProcedure="false">Hypotheses!$C$175</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Hypotheses!$D$315</definedName>
    <definedName function="false" hidden="false" name="campagne_periode_def" vbProcedure="false">Hypotheses!$E$315</definedName>
    <definedName function="false" hidden="false" name="campagne_periode_fav" vbProcedure="false">Hypotheses!$C$315</definedName>
    <definedName function="false" hidden="false" name="cfg_M1_ANC" vbProcedure="false">Hypotheses!$D$33</definedName>
    <definedName function="false" hidden="false" name="cfg_M1_ANC_def" vbProcedure="false">Hypotheses!$E$33</definedName>
    <definedName function="false" hidden="false" name="cfg_M1_ANC_fav" vbProcedure="false">Hypotheses!$C$33</definedName>
    <definedName function="false" hidden="false" name="cfg_M1_AUTO" vbProcedure="false">Hypotheses!$D$34</definedName>
    <definedName function="false" hidden="false" name="cfg_M1_AUTO_def" vbProcedure="false">Hypotheses!$E$34</definedName>
    <definedName function="false" hidden="false" name="cfg_M1_AUTO_fav" vbProcedure="false">Hypotheses!$C$34</definedName>
    <definedName function="false" hidden="false" name="cfg_M1_BOIS" vbProcedure="false">Hypotheses!$D$35</definedName>
    <definedName function="false" hidden="false" name="cfg_M1_BOIS_def" vbProcedure="false">Hypotheses!$E$35</definedName>
    <definedName function="false" hidden="false" name="cfg_M1_BOIS_fav" vbProcedure="false">Hypotheses!$C$35</definedName>
    <definedName function="false" hidden="false" name="cfg_M1_EQ_HDG" vbProcedure="false">Hypotheses!$D$36</definedName>
    <definedName function="false" hidden="false" name="cfg_M1_EQ_HDG_def" vbProcedure="false">Hypotheses!$E$36</definedName>
    <definedName function="false" hidden="false" name="cfg_M1_EQ_HDG_fav" vbProcedure="false">Hypotheses!$C$36</definedName>
    <definedName function="false" hidden="false" name="cfg_M1_EQ_PRO" vbProcedure="false">Hypotheses!$D$37</definedName>
    <definedName function="false" hidden="false" name="cfg_M1_EQ_PRO_def" vbProcedure="false">Hypotheses!$E$37</definedName>
    <definedName function="false" hidden="false" name="cfg_M1_EQ_PRO_fav" vbProcedure="false">Hypotheses!$C$37</definedName>
    <definedName function="false" hidden="false" name="cfg_M1_EQ_RET" vbProcedure="false">Hypotheses!$D$38</definedName>
    <definedName function="false" hidden="false" name="cfg_M1_EQ_RET_def" vbProcedure="false">Hypotheses!$E$38</definedName>
    <definedName function="false" hidden="false" name="cfg_M1_EQ_RET_fav" vbProcedure="false">Hypotheses!$C$38</definedName>
    <definedName function="false" hidden="false" name="cfg_M1_EQ_STD" vbProcedure="false">Hypotheses!$D$39</definedName>
    <definedName function="false" hidden="false" name="cfg_M1_EQ_STD_def" vbProcedure="false">Hypotheses!$E$39</definedName>
    <definedName function="false" hidden="false" name="cfg_M1_EQ_STD_fav" vbProcedure="false">Hypotheses!$C$39</definedName>
    <definedName function="false" hidden="false" name="cfg_M1_EVT" vbProcedure="false">Hypotheses!$D$40</definedName>
    <definedName function="false" hidden="false" name="cfg_M1_EVT_def" vbProcedure="false">Hypotheses!$E$40</definedName>
    <definedName function="false" hidden="false" name="cfg_M1_EVT_fav" vbProcedure="false">Hypotheses!$C$40</definedName>
    <definedName function="false" hidden="false" name="cfg_M1_GITE" vbProcedure="false">Hypotheses!$D$41</definedName>
    <definedName function="false" hidden="false" name="cfg_M1_GITE_def" vbProcedure="false">Hypotheses!$E$41</definedName>
    <definedName function="false" hidden="false" name="cfg_M1_GITE_fav" vbProcedure="false">Hypotheses!$C$41</definedName>
    <definedName function="false" hidden="false" name="cfg_M1_HOTEL" vbProcedure="false">Hypotheses!$D$42</definedName>
    <definedName function="false" hidden="false" name="cfg_M1_HOTEL_def" vbProcedure="false">Hypotheses!$E$42</definedName>
    <definedName function="false" hidden="false" name="cfg_M1_HOTEL_fav" vbProcedure="false">Hypotheses!$C$42</definedName>
    <definedName function="false" hidden="false" name="cfg_M1_LOG" vbProcedure="false">Hypotheses!$D$43</definedName>
    <definedName function="false" hidden="false" name="cfg_M1_LOG_def" vbProcedure="false">Hypotheses!$E$43</definedName>
    <definedName function="false" hidden="false" name="cfg_M1_LOG_fav" vbProcedure="false">Hypotheses!$C$43</definedName>
    <definedName function="false" hidden="false" name="cfg_M1_LUX" vbProcedure="false">Hypotheses!$D$44</definedName>
    <definedName function="false" hidden="false" name="cfg_M1_LUX_def" vbProcedure="false">Hypotheses!$E$44</definedName>
    <definedName function="false" hidden="false" name="cfg_M1_LUX_fav" vbProcedure="false">Hypotheses!$C$44</definedName>
    <definedName function="false" hidden="false" name="cfg_M1_PV" vbProcedure="false">Hypotheses!$D$45</definedName>
    <definedName function="false" hidden="false" name="cfg_M1_PV_def" vbProcedure="false">Hypotheses!$E$45</definedName>
    <definedName function="false" hidden="false" name="cfg_M1_PV_fav" vbProcedure="false">Hypotheses!$C$45</definedName>
    <definedName function="false" hidden="false" name="cfg_M1_REPRO" vbProcedure="false">Hypotheses!$D$46</definedName>
    <definedName function="false" hidden="false" name="cfg_M1_REPRO_def" vbProcedure="false">Hypotheses!$E$46</definedName>
    <definedName function="false" hidden="false" name="cfg_M1_REPRO_fav" vbProcedure="false">Hypotheses!$C$46</definedName>
    <definedName function="false" hidden="false" name="cfg_M1_SEMJ" vbProcedure="false">Hypotheses!$D$47</definedName>
    <definedName function="false" hidden="false" name="cfg_M1_SEMJ_def" vbProcedure="false">Hypotheses!$E$47</definedName>
    <definedName function="false" hidden="false" name="cfg_M1_SEMJ_fav" vbProcedure="false">Hypotheses!$C$47</definedName>
    <definedName function="false" hidden="false" name="cfg_M1_STOCK" vbProcedure="false">Hypotheses!$D$48</definedName>
    <definedName function="false" hidden="false" name="cfg_M1_STOCK_def" vbProcedure="false">Hypotheses!$E$48</definedName>
    <definedName function="false" hidden="false" name="cfg_M1_STOCK_fav" vbProcedure="false">Hypotheses!$C$48</definedName>
    <definedName function="false" hidden="false" name="cfg_M1_TOURN" vbProcedure="false">Hypotheses!$D$49</definedName>
    <definedName function="false" hidden="false" name="cfg_M1_TOURN_def" vbProcedure="false">Hypotheses!$E$49</definedName>
    <definedName function="false" hidden="false" name="cfg_M1_TOURN_fav" vbProcedure="false">Hypotheses!$C$49</definedName>
    <definedName function="false" hidden="false" name="cfg_M2_ANC" vbProcedure="false">Hypotheses!$D$50</definedName>
    <definedName function="false" hidden="false" name="cfg_M2_ANC_def" vbProcedure="false">Hypotheses!$E$50</definedName>
    <definedName function="false" hidden="false" name="cfg_M2_ANC_fav" vbProcedure="false">Hypotheses!$C$50</definedName>
    <definedName function="false" hidden="false" name="cfg_M2_AUTO" vbProcedure="false">Hypotheses!$D$51</definedName>
    <definedName function="false" hidden="false" name="cfg_M2_AUTO_def" vbProcedure="false">Hypotheses!$E$51</definedName>
    <definedName function="false" hidden="false" name="cfg_M2_AUTO_fav" vbProcedure="false">Hypotheses!$C$51</definedName>
    <definedName function="false" hidden="false" name="cfg_M2_BOIS" vbProcedure="false">Hypotheses!$D$52</definedName>
    <definedName function="false" hidden="false" name="cfg_M2_BOIS_def" vbProcedure="false">Hypotheses!$E$52</definedName>
    <definedName function="false" hidden="false" name="cfg_M2_BOIS_fav" vbProcedure="false">Hypotheses!$C$52</definedName>
    <definedName function="false" hidden="false" name="cfg_M2_EQ_HDG" vbProcedure="false">Hypotheses!$D$53</definedName>
    <definedName function="false" hidden="false" name="cfg_M2_EQ_HDG_def" vbProcedure="false">Hypotheses!$E$53</definedName>
    <definedName function="false" hidden="false" name="cfg_M2_EQ_HDG_fav" vbProcedure="false">Hypotheses!$C$53</definedName>
    <definedName function="false" hidden="false" name="cfg_M2_EQ_PRO" vbProcedure="false">Hypotheses!$D$54</definedName>
    <definedName function="false" hidden="false" name="cfg_M2_EQ_PRO_def" vbProcedure="false">Hypotheses!$E$54</definedName>
    <definedName function="false" hidden="false" name="cfg_M2_EQ_PRO_fav" vbProcedure="false">Hypotheses!$C$54</definedName>
    <definedName function="false" hidden="false" name="cfg_M2_EQ_RET" vbProcedure="false">Hypotheses!$D$55</definedName>
    <definedName function="false" hidden="false" name="cfg_M2_EQ_RET_def" vbProcedure="false">Hypotheses!$E$55</definedName>
    <definedName function="false" hidden="false" name="cfg_M2_EQ_RET_fav" vbProcedure="false">Hypotheses!$C$55</definedName>
    <definedName function="false" hidden="false" name="cfg_M2_EQ_STD" vbProcedure="false">Hypotheses!$D$56</definedName>
    <definedName function="false" hidden="false" name="cfg_M2_EQ_STD_def" vbProcedure="false">Hypotheses!$E$56</definedName>
    <definedName function="false" hidden="false" name="cfg_M2_EQ_STD_fav" vbProcedure="false">Hypotheses!$C$56</definedName>
    <definedName function="false" hidden="false" name="cfg_M2_EVT" vbProcedure="false">Hypotheses!$D$57</definedName>
    <definedName function="false" hidden="false" name="cfg_M2_EVT_def" vbProcedure="false">Hypotheses!$E$57</definedName>
    <definedName function="false" hidden="false" name="cfg_M2_EVT_fav" vbProcedure="false">Hypotheses!$C$57</definedName>
    <definedName function="false" hidden="false" name="cfg_M2_GITE" vbProcedure="false">Hypotheses!$D$58</definedName>
    <definedName function="false" hidden="false" name="cfg_M2_GITE_def" vbProcedure="false">Hypotheses!$E$58</definedName>
    <definedName function="false" hidden="false" name="cfg_M2_GITE_fav" vbProcedure="false">Hypotheses!$C$58</definedName>
    <definedName function="false" hidden="false" name="cfg_M2_HOTEL" vbProcedure="false">Hypotheses!$D$59</definedName>
    <definedName function="false" hidden="false" name="cfg_M2_HOTEL_def" vbProcedure="false">Hypotheses!$E$59</definedName>
    <definedName function="false" hidden="false" name="cfg_M2_HOTEL_fav" vbProcedure="false">Hypotheses!$C$59</definedName>
    <definedName function="false" hidden="false" name="cfg_M2_LOG" vbProcedure="false">Hypotheses!$D$60</definedName>
    <definedName function="false" hidden="false" name="cfg_M2_LOG_def" vbProcedure="false">Hypotheses!$E$60</definedName>
    <definedName function="false" hidden="false" name="cfg_M2_LOG_fav" vbProcedure="false">Hypotheses!$C$60</definedName>
    <definedName function="false" hidden="false" name="cfg_M2_LUX" vbProcedure="false">Hypotheses!$D$61</definedName>
    <definedName function="false" hidden="false" name="cfg_M2_LUX_def" vbProcedure="false">Hypotheses!$E$61</definedName>
    <definedName function="false" hidden="false" name="cfg_M2_LUX_fav" vbProcedure="false">Hypotheses!$C$61</definedName>
    <definedName function="false" hidden="false" name="cfg_M2_PV" vbProcedure="false">Hypotheses!$D$62</definedName>
    <definedName function="false" hidden="false" name="cfg_M2_PV_def" vbProcedure="false">Hypotheses!$E$62</definedName>
    <definedName function="false" hidden="false" name="cfg_M2_PV_fav" vbProcedure="false">Hypotheses!$C$62</definedName>
    <definedName function="false" hidden="false" name="cfg_M2_REPRO" vbProcedure="false">Hypotheses!$D$63</definedName>
    <definedName function="false" hidden="false" name="cfg_M2_REPRO_def" vbProcedure="false">Hypotheses!$E$63</definedName>
    <definedName function="false" hidden="false" name="cfg_M2_REPRO_fav" vbProcedure="false">Hypotheses!$C$63</definedName>
    <definedName function="false" hidden="false" name="cfg_M2_SEMJ" vbProcedure="false">Hypotheses!$D$64</definedName>
    <definedName function="false" hidden="false" name="cfg_M2_SEMJ_def" vbProcedure="false">Hypotheses!$E$64</definedName>
    <definedName function="false" hidden="false" name="cfg_M2_SEMJ_fav" vbProcedure="false">Hypotheses!$C$64</definedName>
    <definedName function="false" hidden="false" name="cfg_M2_STOCK" vbProcedure="false">Hypotheses!$D$65</definedName>
    <definedName function="false" hidden="false" name="cfg_M2_STOCK_def" vbProcedure="false">Hypotheses!$E$65</definedName>
    <definedName function="false" hidden="false" name="cfg_M2_STOCK_fav" vbProcedure="false">Hypotheses!$C$65</definedName>
    <definedName function="false" hidden="false" name="cfg_M2_TOURN" vbProcedure="false">Hypotheses!$D$66</definedName>
    <definedName function="false" hidden="false" name="cfg_M2_TOURN_def" vbProcedure="false">Hypotheses!$E$66</definedName>
    <definedName function="false" hidden="false" name="cfg_M2_TOURN_fav" vbProcedure="false">Hypotheses!$C$66</definedName>
    <definedName function="false" hidden="false" name="cfg_M3_ANC" vbProcedure="false">Hypotheses!$D$67</definedName>
    <definedName function="false" hidden="false" name="cfg_M3_ANC_def" vbProcedure="false">Hypotheses!$E$67</definedName>
    <definedName function="false" hidden="false" name="cfg_M3_ANC_fav" vbProcedure="false">Hypotheses!$C$67</definedName>
    <definedName function="false" hidden="false" name="cfg_M3_AUTO" vbProcedure="false">Hypotheses!$D$68</definedName>
    <definedName function="false" hidden="false" name="cfg_M3_AUTO_def" vbProcedure="false">Hypotheses!$E$68</definedName>
    <definedName function="false" hidden="false" name="cfg_M3_AUTO_fav" vbProcedure="false">Hypotheses!$C$68</definedName>
    <definedName function="false" hidden="false" name="cfg_M3_BOIS" vbProcedure="false">Hypotheses!$D$69</definedName>
    <definedName function="false" hidden="false" name="cfg_M3_BOIS_def" vbProcedure="false">Hypotheses!$E$69</definedName>
    <definedName function="false" hidden="false" name="cfg_M3_BOIS_fav" vbProcedure="false">Hypotheses!$C$69</definedName>
    <definedName function="false" hidden="false" name="cfg_M3_EQ_HDG" vbProcedure="false">Hypotheses!$D$70</definedName>
    <definedName function="false" hidden="false" name="cfg_M3_EQ_HDG_def" vbProcedure="false">Hypotheses!$E$70</definedName>
    <definedName function="false" hidden="false" name="cfg_M3_EQ_HDG_fav" vbProcedure="false">Hypotheses!$C$70</definedName>
    <definedName function="false" hidden="false" name="cfg_M3_EQ_PRO" vbProcedure="false">Hypotheses!$D$71</definedName>
    <definedName function="false" hidden="false" name="cfg_M3_EQ_PRO_def" vbProcedure="false">Hypotheses!$E$71</definedName>
    <definedName function="false" hidden="false" name="cfg_M3_EQ_PRO_fav" vbProcedure="false">Hypotheses!$C$71</definedName>
    <definedName function="false" hidden="false" name="cfg_M3_EQ_RET" vbProcedure="false">Hypotheses!$D$72</definedName>
    <definedName function="false" hidden="false" name="cfg_M3_EQ_RET_def" vbProcedure="false">Hypotheses!$E$72</definedName>
    <definedName function="false" hidden="false" name="cfg_M3_EQ_RET_fav" vbProcedure="false">Hypotheses!$C$72</definedName>
    <definedName function="false" hidden="false" name="cfg_M3_EQ_STD" vbProcedure="false">Hypotheses!$D$73</definedName>
    <definedName function="false" hidden="false" name="cfg_M3_EQ_STD_def" vbProcedure="false">Hypotheses!$E$73</definedName>
    <definedName function="false" hidden="false" name="cfg_M3_EQ_STD_fav" vbProcedure="false">Hypotheses!$C$73</definedName>
    <definedName function="false" hidden="false" name="cfg_M3_EVT" vbProcedure="false">Hypotheses!$D$74</definedName>
    <definedName function="false" hidden="false" name="cfg_M3_EVT_def" vbProcedure="false">Hypotheses!$E$74</definedName>
    <definedName function="false" hidden="false" name="cfg_M3_EVT_fav" vbProcedure="false">Hypotheses!$C$74</definedName>
    <definedName function="false" hidden="false" name="cfg_M3_GITE" vbProcedure="false">Hypotheses!$D$75</definedName>
    <definedName function="false" hidden="false" name="cfg_M3_GITE_def" vbProcedure="false">Hypotheses!$E$75</definedName>
    <definedName function="false" hidden="false" name="cfg_M3_GITE_fav" vbProcedure="false">Hypotheses!$C$75</definedName>
    <definedName function="false" hidden="false" name="cfg_M3_HOTEL" vbProcedure="false">Hypotheses!$D$76</definedName>
    <definedName function="false" hidden="false" name="cfg_M3_HOTEL_def" vbProcedure="false">Hypotheses!$E$76</definedName>
    <definedName function="false" hidden="false" name="cfg_M3_HOTEL_fav" vbProcedure="false">Hypotheses!$C$76</definedName>
    <definedName function="false" hidden="false" name="cfg_M3_LOG" vbProcedure="false">Hypotheses!$D$77</definedName>
    <definedName function="false" hidden="false" name="cfg_M3_LOG_def" vbProcedure="false">Hypotheses!$E$77</definedName>
    <definedName function="false" hidden="false" name="cfg_M3_LOG_fav" vbProcedure="false">Hypotheses!$C$77</definedName>
    <definedName function="false" hidden="false" name="cfg_M3_LUX" vbProcedure="false">Hypotheses!$D$78</definedName>
    <definedName function="false" hidden="false" name="cfg_M3_LUX_def" vbProcedure="false">Hypotheses!$E$78</definedName>
    <definedName function="false" hidden="false" name="cfg_M3_LUX_fav" vbProcedure="false">Hypotheses!$C$78</definedName>
    <definedName function="false" hidden="false" name="cfg_M3_PV" vbProcedure="false">Hypotheses!$D$79</definedName>
    <definedName function="false" hidden="false" name="cfg_M3_PV_def" vbProcedure="false">Hypotheses!$E$79</definedName>
    <definedName function="false" hidden="false" name="cfg_M3_PV_fav" vbProcedure="false">Hypotheses!$C$79</definedName>
    <definedName function="false" hidden="false" name="cfg_M3_REPRO" vbProcedure="false">Hypotheses!$D$80</definedName>
    <definedName function="false" hidden="false" name="cfg_M3_REPRO_def" vbProcedure="false">Hypotheses!$E$80</definedName>
    <definedName function="false" hidden="false" name="cfg_M3_REPRO_fav" vbProcedure="false">Hypotheses!$C$80</definedName>
    <definedName function="false" hidden="false" name="cfg_M3_SEMJ" vbProcedure="false">Hypotheses!$D$81</definedName>
    <definedName function="false" hidden="false" name="cfg_M3_SEMJ_def" vbProcedure="false">Hypotheses!$E$81</definedName>
    <definedName function="false" hidden="false" name="cfg_M3_SEMJ_fav" vbProcedure="false">Hypotheses!$C$81</definedName>
    <definedName function="false" hidden="false" name="cfg_M3_STOCK" vbProcedure="false">Hypotheses!$D$82</definedName>
    <definedName function="false" hidden="false" name="cfg_M3_STOCK_def" vbProcedure="false">Hypotheses!$E$82</definedName>
    <definedName function="false" hidden="false" name="cfg_M3_STOCK_fav" vbProcedure="false">Hypotheses!$C$82</definedName>
    <definedName function="false" hidden="false" name="cfg_M3_TOURN" vbProcedure="false">Hypotheses!$D$83</definedName>
    <definedName function="false" hidden="false" name="cfg_M3_TOURN_def" vbProcedure="false">Hypotheses!$E$83</definedName>
    <definedName function="false" hidden="false" name="cfg_M3_TOURN_fav" vbProcedure="false">Hypotheses!$C$83</definedName>
    <definedName function="false" hidden="false" name="cfg_M4_ANC" vbProcedure="false">Hypotheses!$D$84</definedName>
    <definedName function="false" hidden="false" name="cfg_M4_ANC_def" vbProcedure="false">Hypotheses!$E$84</definedName>
    <definedName function="false" hidden="false" name="cfg_M4_ANC_fav" vbProcedure="false">Hypotheses!$C$84</definedName>
    <definedName function="false" hidden="false" name="cfg_M4_AUTO" vbProcedure="false">Hypotheses!$D$85</definedName>
    <definedName function="false" hidden="false" name="cfg_M4_AUTO_def" vbProcedure="false">Hypotheses!$E$85</definedName>
    <definedName function="false" hidden="false" name="cfg_M4_AUTO_fav" vbProcedure="false">Hypotheses!$C$85</definedName>
    <definedName function="false" hidden="false" name="cfg_M4_BOIS" vbProcedure="false">Hypotheses!$D$86</definedName>
    <definedName function="false" hidden="false" name="cfg_M4_BOIS_def" vbProcedure="false">Hypotheses!$E$86</definedName>
    <definedName function="false" hidden="false" name="cfg_M4_BOIS_fav" vbProcedure="false">Hypotheses!$C$86</definedName>
    <definedName function="false" hidden="false" name="cfg_M4_EQ_HDG" vbProcedure="false">Hypotheses!$D$87</definedName>
    <definedName function="false" hidden="false" name="cfg_M4_EQ_HDG_def" vbProcedure="false">Hypotheses!$E$87</definedName>
    <definedName function="false" hidden="false" name="cfg_M4_EQ_HDG_fav" vbProcedure="false">Hypotheses!$C$87</definedName>
    <definedName function="false" hidden="false" name="cfg_M4_EQ_PRO" vbProcedure="false">Hypotheses!$D$88</definedName>
    <definedName function="false" hidden="false" name="cfg_M4_EQ_PRO_def" vbProcedure="false">Hypotheses!$E$88</definedName>
    <definedName function="false" hidden="false" name="cfg_M4_EQ_PRO_fav" vbProcedure="false">Hypotheses!$C$88</definedName>
    <definedName function="false" hidden="false" name="cfg_M4_EQ_RET" vbProcedure="false">Hypotheses!$D$89</definedName>
    <definedName function="false" hidden="false" name="cfg_M4_EQ_RET_def" vbProcedure="false">Hypotheses!$E$89</definedName>
    <definedName function="false" hidden="false" name="cfg_M4_EQ_RET_fav" vbProcedure="false">Hypotheses!$C$89</definedName>
    <definedName function="false" hidden="false" name="cfg_M4_EQ_STD" vbProcedure="false">Hypotheses!$D$90</definedName>
    <definedName function="false" hidden="false" name="cfg_M4_EQ_STD_def" vbProcedure="false">Hypotheses!$E$90</definedName>
    <definedName function="false" hidden="false" name="cfg_M4_EQ_STD_fav" vbProcedure="false">Hypotheses!$C$90</definedName>
    <definedName function="false" hidden="false" name="cfg_M4_EVT" vbProcedure="false">Hypotheses!$D$91</definedName>
    <definedName function="false" hidden="false" name="cfg_M4_EVT_def" vbProcedure="false">Hypotheses!$E$91</definedName>
    <definedName function="false" hidden="false" name="cfg_M4_EVT_fav" vbProcedure="false">Hypotheses!$C$91</definedName>
    <definedName function="false" hidden="false" name="cfg_M4_GITE" vbProcedure="false">Hypotheses!$D$92</definedName>
    <definedName function="false" hidden="false" name="cfg_M4_GITE_def" vbProcedure="false">Hypotheses!$E$92</definedName>
    <definedName function="false" hidden="false" name="cfg_M4_GITE_fav" vbProcedure="false">Hypotheses!$C$92</definedName>
    <definedName function="false" hidden="false" name="cfg_M4_HOTEL" vbProcedure="false">Hypotheses!$D$93</definedName>
    <definedName function="false" hidden="false" name="cfg_M4_HOTEL_def" vbProcedure="false">Hypotheses!$E$93</definedName>
    <definedName function="false" hidden="false" name="cfg_M4_HOTEL_fav" vbProcedure="false">Hypotheses!$C$93</definedName>
    <definedName function="false" hidden="false" name="cfg_M4_LOG" vbProcedure="false">Hypotheses!$D$94</definedName>
    <definedName function="false" hidden="false" name="cfg_M4_LOG_def" vbProcedure="false">Hypotheses!$E$94</definedName>
    <definedName function="false" hidden="false" name="cfg_M4_LOG_fav" vbProcedure="false">Hypotheses!$C$94</definedName>
    <definedName function="false" hidden="false" name="cfg_M4_LUX" vbProcedure="false">Hypotheses!$D$95</definedName>
    <definedName function="false" hidden="false" name="cfg_M4_LUX_def" vbProcedure="false">Hypotheses!$E$95</definedName>
    <definedName function="false" hidden="false" name="cfg_M4_LUX_fav" vbProcedure="false">Hypotheses!$C$95</definedName>
    <definedName function="false" hidden="false" name="cfg_M4_PV" vbProcedure="false">Hypotheses!$D$96</definedName>
    <definedName function="false" hidden="false" name="cfg_M4_PV_def" vbProcedure="false">Hypotheses!$E$96</definedName>
    <definedName function="false" hidden="false" name="cfg_M4_PV_fav" vbProcedure="false">Hypotheses!$C$96</definedName>
    <definedName function="false" hidden="false" name="cfg_M4_REPRO" vbProcedure="false">Hypotheses!$D$97</definedName>
    <definedName function="false" hidden="false" name="cfg_M4_REPRO_def" vbProcedure="false">Hypotheses!$E$97</definedName>
    <definedName function="false" hidden="false" name="cfg_M4_REPRO_fav" vbProcedure="false">Hypotheses!$C$97</definedName>
    <definedName function="false" hidden="false" name="cfg_M4_SEMJ" vbProcedure="false">Hypotheses!$D$98</definedName>
    <definedName function="false" hidden="false" name="cfg_M4_SEMJ_def" vbProcedure="false">Hypotheses!$E$98</definedName>
    <definedName function="false" hidden="false" name="cfg_M4_SEMJ_fav" vbProcedure="false">Hypotheses!$C$98</definedName>
    <definedName function="false" hidden="false" name="cfg_M4_STOCK" vbProcedure="false">Hypotheses!$D$99</definedName>
    <definedName function="false" hidden="false" name="cfg_M4_STOCK_def" vbProcedure="false">Hypotheses!$E$99</definedName>
    <definedName function="false" hidden="false" name="cfg_M4_STOCK_fav" vbProcedure="false">Hypotheses!$C$99</definedName>
    <definedName function="false" hidden="false" name="cfg_M4_TOURN" vbProcedure="false">Hypotheses!$D$100</definedName>
    <definedName function="false" hidden="false" name="cfg_M4_TOURN_def" vbProcedure="false">Hypotheses!$E$100</definedName>
    <definedName function="false" hidden="false" name="cfg_M4_TOURN_fav" vbProcedure="false">Hypotheses!$C$100</definedName>
    <definedName function="false" hidden="false" name="cfg_M5_ANC" vbProcedure="false">Hypotheses!$D$101</definedName>
    <definedName function="false" hidden="false" name="cfg_M5_ANC_def" vbProcedure="false">Hypotheses!$E$101</definedName>
    <definedName function="false" hidden="false" name="cfg_M5_ANC_fav" vbProcedure="false">Hypotheses!$C$101</definedName>
    <definedName function="false" hidden="false" name="cfg_M5_AUTO" vbProcedure="false">Hypotheses!$D$102</definedName>
    <definedName function="false" hidden="false" name="cfg_M5_AUTO_def" vbProcedure="false">Hypotheses!$E$102</definedName>
    <definedName function="false" hidden="false" name="cfg_M5_AUTO_fav" vbProcedure="false">Hypotheses!$C$102</definedName>
    <definedName function="false" hidden="false" name="cfg_M5_BOIS" vbProcedure="false">Hypotheses!$D$103</definedName>
    <definedName function="false" hidden="false" name="cfg_M5_BOIS_def" vbProcedure="false">Hypotheses!$E$103</definedName>
    <definedName function="false" hidden="false" name="cfg_M5_BOIS_fav" vbProcedure="false">Hypotheses!$C$103</definedName>
    <definedName function="false" hidden="false" name="cfg_M5_EQ_HDG" vbProcedure="false">Hypotheses!$D$104</definedName>
    <definedName function="false" hidden="false" name="cfg_M5_EQ_HDG_def" vbProcedure="false">Hypotheses!$E$104</definedName>
    <definedName function="false" hidden="false" name="cfg_M5_EQ_HDG_fav" vbProcedure="false">Hypotheses!$C$104</definedName>
    <definedName function="false" hidden="false" name="cfg_M5_EQ_PRO" vbProcedure="false">Hypotheses!$D$105</definedName>
    <definedName function="false" hidden="false" name="cfg_M5_EQ_PRO_def" vbProcedure="false">Hypotheses!$E$105</definedName>
    <definedName function="false" hidden="false" name="cfg_M5_EQ_PRO_fav" vbProcedure="false">Hypotheses!$C$105</definedName>
    <definedName function="false" hidden="false" name="cfg_M5_EQ_RET" vbProcedure="false">Hypotheses!$D$106</definedName>
    <definedName function="false" hidden="false" name="cfg_M5_EQ_RET_def" vbProcedure="false">Hypotheses!$E$106</definedName>
    <definedName function="false" hidden="false" name="cfg_M5_EQ_RET_fav" vbProcedure="false">Hypotheses!$C$106</definedName>
    <definedName function="false" hidden="false" name="cfg_M5_EQ_STD" vbProcedure="false">Hypotheses!$D$107</definedName>
    <definedName function="false" hidden="false" name="cfg_M5_EQ_STD_def" vbProcedure="false">Hypotheses!$E$107</definedName>
    <definedName function="false" hidden="false" name="cfg_M5_EQ_STD_fav" vbProcedure="false">Hypotheses!$C$107</definedName>
    <definedName function="false" hidden="false" name="cfg_M5_EVT" vbProcedure="false">Hypotheses!$D$108</definedName>
    <definedName function="false" hidden="false" name="cfg_M5_EVT_def" vbProcedure="false">Hypotheses!$E$108</definedName>
    <definedName function="false" hidden="false" name="cfg_M5_EVT_fav" vbProcedure="false">Hypotheses!$C$108</definedName>
    <definedName function="false" hidden="false" name="cfg_M5_GITE" vbProcedure="false">Hypotheses!$D$109</definedName>
    <definedName function="false" hidden="false" name="cfg_M5_GITE_def" vbProcedure="false">Hypotheses!$E$109</definedName>
    <definedName function="false" hidden="false" name="cfg_M5_GITE_fav" vbProcedure="false">Hypotheses!$C$109</definedName>
    <definedName function="false" hidden="false" name="cfg_M5_HOTEL" vbProcedure="false">Hypotheses!$D$110</definedName>
    <definedName function="false" hidden="false" name="cfg_M5_HOTEL_def" vbProcedure="false">Hypotheses!$E$110</definedName>
    <definedName function="false" hidden="false" name="cfg_M5_HOTEL_fav" vbProcedure="false">Hypotheses!$C$110</definedName>
    <definedName function="false" hidden="false" name="cfg_M5_LOG" vbProcedure="false">Hypotheses!$D$111</definedName>
    <definedName function="false" hidden="false" name="cfg_M5_LOG_def" vbProcedure="false">Hypotheses!$E$111</definedName>
    <definedName function="false" hidden="false" name="cfg_M5_LOG_fav" vbProcedure="false">Hypotheses!$C$111</definedName>
    <definedName function="false" hidden="false" name="cfg_M5_LUX" vbProcedure="false">Hypotheses!$D$112</definedName>
    <definedName function="false" hidden="false" name="cfg_M5_LUX_def" vbProcedure="false">Hypotheses!$E$112</definedName>
    <definedName function="false" hidden="false" name="cfg_M5_LUX_fav" vbProcedure="false">Hypotheses!$C$112</definedName>
    <definedName function="false" hidden="false" name="cfg_M5_PV" vbProcedure="false">Hypotheses!$D$113</definedName>
    <definedName function="false" hidden="false" name="cfg_M5_PV_def" vbProcedure="false">Hypotheses!$E$113</definedName>
    <definedName function="false" hidden="false" name="cfg_M5_PV_fav" vbProcedure="false">Hypotheses!$C$113</definedName>
    <definedName function="false" hidden="false" name="cfg_M5_REPRO" vbProcedure="false">Hypotheses!$D$114</definedName>
    <definedName function="false" hidden="false" name="cfg_M5_REPRO_def" vbProcedure="false">Hypotheses!$E$114</definedName>
    <definedName function="false" hidden="false" name="cfg_M5_REPRO_fav" vbProcedure="false">Hypotheses!$C$114</definedName>
    <definedName function="false" hidden="false" name="cfg_M5_SEMJ" vbProcedure="false">Hypotheses!$D$115</definedName>
    <definedName function="false" hidden="false" name="cfg_M5_SEMJ_def" vbProcedure="false">Hypotheses!$E$115</definedName>
    <definedName function="false" hidden="false" name="cfg_M5_SEMJ_fav" vbProcedure="false">Hypotheses!$C$115</definedName>
    <definedName function="false" hidden="false" name="cfg_M5_STOCK" vbProcedure="false">Hypotheses!$D$116</definedName>
    <definedName function="false" hidden="false" name="cfg_M5_STOCK_def" vbProcedure="false">Hypotheses!$E$116</definedName>
    <definedName function="false" hidden="false" name="cfg_M5_STOCK_fav" vbProcedure="false">Hypotheses!$C$116</definedName>
    <definedName function="false" hidden="false" name="cfg_M5_TOURN" vbProcedure="false">Hypotheses!$D$117</definedName>
    <definedName function="false" hidden="false" name="cfg_M5_TOURN_def" vbProcedure="false">Hypotheses!$E$117</definedName>
    <definedName function="false" hidden="false" name="cfg_M5_TOURN_fav" vbProcedure="false">Hypotheses!$C$117</definedName>
    <definedName function="false" hidden="false" name="cfg_M6_ANC" vbProcedure="false">Hypotheses!$D$118</definedName>
    <definedName function="false" hidden="false" name="cfg_M6_ANC_def" vbProcedure="false">Hypotheses!$E$118</definedName>
    <definedName function="false" hidden="false" name="cfg_M6_ANC_fav" vbProcedure="false">Hypotheses!$C$118</definedName>
    <definedName function="false" hidden="false" name="cfg_M6_AUTO" vbProcedure="false">Hypotheses!$D$119</definedName>
    <definedName function="false" hidden="false" name="cfg_M6_AUTO_def" vbProcedure="false">Hypotheses!$E$119</definedName>
    <definedName function="false" hidden="false" name="cfg_M6_AUTO_fav" vbProcedure="false">Hypotheses!$C$119</definedName>
    <definedName function="false" hidden="false" name="cfg_M6_BOIS" vbProcedure="false">Hypotheses!$D$120</definedName>
    <definedName function="false" hidden="false" name="cfg_M6_BOIS_def" vbProcedure="false">Hypotheses!$E$120</definedName>
    <definedName function="false" hidden="false" name="cfg_M6_BOIS_fav" vbProcedure="false">Hypotheses!$C$120</definedName>
    <definedName function="false" hidden="false" name="cfg_M6_EQ_HDG" vbProcedure="false">Hypotheses!$D$121</definedName>
    <definedName function="false" hidden="false" name="cfg_M6_EQ_HDG_def" vbProcedure="false">Hypotheses!$E$121</definedName>
    <definedName function="false" hidden="false" name="cfg_M6_EQ_HDG_fav" vbProcedure="false">Hypotheses!$C$121</definedName>
    <definedName function="false" hidden="false" name="cfg_M6_EQ_PRO" vbProcedure="false">Hypotheses!$D$122</definedName>
    <definedName function="false" hidden="false" name="cfg_M6_EQ_PRO_def" vbProcedure="false">Hypotheses!$E$122</definedName>
    <definedName function="false" hidden="false" name="cfg_M6_EQ_PRO_fav" vbProcedure="false">Hypotheses!$C$122</definedName>
    <definedName function="false" hidden="false" name="cfg_M6_EQ_RET" vbProcedure="false">Hypotheses!$D$123</definedName>
    <definedName function="false" hidden="false" name="cfg_M6_EQ_RET_def" vbProcedure="false">Hypotheses!$E$123</definedName>
    <definedName function="false" hidden="false" name="cfg_M6_EQ_RET_fav" vbProcedure="false">Hypotheses!$C$123</definedName>
    <definedName function="false" hidden="false" name="cfg_M6_EQ_STD" vbProcedure="false">Hypotheses!$D$124</definedName>
    <definedName function="false" hidden="false" name="cfg_M6_EQ_STD_def" vbProcedure="false">Hypotheses!$E$124</definedName>
    <definedName function="false" hidden="false" name="cfg_M6_EQ_STD_fav" vbProcedure="false">Hypotheses!$C$124</definedName>
    <definedName function="false" hidden="false" name="cfg_M6_EVT" vbProcedure="false">Hypotheses!$D$125</definedName>
    <definedName function="false" hidden="false" name="cfg_M6_EVT_def" vbProcedure="false">Hypotheses!$E$125</definedName>
    <definedName function="false" hidden="false" name="cfg_M6_EVT_fav" vbProcedure="false">Hypotheses!$C$125</definedName>
    <definedName function="false" hidden="false" name="cfg_M6_GITE" vbProcedure="false">Hypotheses!$D$126</definedName>
    <definedName function="false" hidden="false" name="cfg_M6_GITE_def" vbProcedure="false">Hypotheses!$E$126</definedName>
    <definedName function="false" hidden="false" name="cfg_M6_GITE_fav" vbProcedure="false">Hypotheses!$C$126</definedName>
    <definedName function="false" hidden="false" name="cfg_M6_HOTEL" vbProcedure="false">Hypotheses!$D$127</definedName>
    <definedName function="false" hidden="false" name="cfg_M6_HOTEL_def" vbProcedure="false">Hypotheses!$E$127</definedName>
    <definedName function="false" hidden="false" name="cfg_M6_HOTEL_fav" vbProcedure="false">Hypotheses!$C$127</definedName>
    <definedName function="false" hidden="false" name="cfg_M6_LOG" vbProcedure="false">Hypotheses!$D$128</definedName>
    <definedName function="false" hidden="false" name="cfg_M6_LOG_def" vbProcedure="false">Hypotheses!$E$128</definedName>
    <definedName function="false" hidden="false" name="cfg_M6_LOG_fav" vbProcedure="false">Hypotheses!$C$128</definedName>
    <definedName function="false" hidden="false" name="cfg_M6_LUX" vbProcedure="false">Hypotheses!$D$129</definedName>
    <definedName function="false" hidden="false" name="cfg_M6_LUX_def" vbProcedure="false">Hypotheses!$E$129</definedName>
    <definedName function="false" hidden="false" name="cfg_M6_LUX_fav" vbProcedure="false">Hypotheses!$C$129</definedName>
    <definedName function="false" hidden="false" name="cfg_M6_PV" vbProcedure="false">Hypotheses!$D$130</definedName>
    <definedName function="false" hidden="false" name="cfg_M6_PV_def" vbProcedure="false">Hypotheses!$E$130</definedName>
    <definedName function="false" hidden="false" name="cfg_M6_PV_fav" vbProcedure="false">Hypotheses!$C$130</definedName>
    <definedName function="false" hidden="false" name="cfg_M6_REPRO" vbProcedure="false">Hypotheses!$D$131</definedName>
    <definedName function="false" hidden="false" name="cfg_M6_REPRO_def" vbProcedure="false">Hypotheses!$E$131</definedName>
    <definedName function="false" hidden="false" name="cfg_M6_REPRO_fav" vbProcedure="false">Hypotheses!$C$131</definedName>
    <definedName function="false" hidden="false" name="cfg_M6_SEMJ" vbProcedure="false">Hypotheses!$D$132</definedName>
    <definedName function="false" hidden="false" name="cfg_M6_SEMJ_def" vbProcedure="false">Hypotheses!$E$132</definedName>
    <definedName function="false" hidden="false" name="cfg_M6_SEMJ_fav" vbProcedure="false">Hypotheses!$C$132</definedName>
    <definedName function="false" hidden="false" name="cfg_M6_STOCK" vbProcedure="false">Hypotheses!$D$133</definedName>
    <definedName function="false" hidden="false" name="cfg_M6_STOCK_def" vbProcedure="false">Hypotheses!$E$133</definedName>
    <definedName function="false" hidden="false" name="cfg_M6_STOCK_fav" vbProcedure="false">Hypotheses!$C$133</definedName>
    <definedName function="false" hidden="false" name="cfg_M6_TOURN" vbProcedure="false">Hypotheses!$D$134</definedName>
    <definedName function="false" hidden="false" name="cfg_M6_TOURN_def" vbProcedure="false">Hypotheses!$E$134</definedName>
    <definedName function="false" hidden="false" name="cfg_M6_TOURN_fav" vbProcedure="false">Hypotheses!$C$134</definedName>
    <definedName function="false" hidden="false" name="cfg_M7_ANC" vbProcedure="false">Hypotheses!$D$135</definedName>
    <definedName function="false" hidden="false" name="cfg_M7_ANC_def" vbProcedure="false">Hypotheses!$E$135</definedName>
    <definedName function="false" hidden="false" name="cfg_M7_ANC_fav" vbProcedure="false">Hypotheses!$C$135</definedName>
    <definedName function="false" hidden="false" name="cfg_M7_AUTO" vbProcedure="false">Hypotheses!$D$136</definedName>
    <definedName function="false" hidden="false" name="cfg_M7_AUTO_def" vbProcedure="false">Hypotheses!$E$136</definedName>
    <definedName function="false" hidden="false" name="cfg_M7_AUTO_fav" vbProcedure="false">Hypotheses!$C$136</definedName>
    <definedName function="false" hidden="false" name="cfg_M7_BOIS" vbProcedure="false">Hypotheses!$D$137</definedName>
    <definedName function="false" hidden="false" name="cfg_M7_BOIS_def" vbProcedure="false">Hypotheses!$E$137</definedName>
    <definedName function="false" hidden="false" name="cfg_M7_BOIS_fav" vbProcedure="false">Hypotheses!$C$137</definedName>
    <definedName function="false" hidden="false" name="cfg_M7_EQ_HDG" vbProcedure="false">Hypotheses!$D$138</definedName>
    <definedName function="false" hidden="false" name="cfg_M7_EQ_HDG_def" vbProcedure="false">Hypotheses!$E$138</definedName>
    <definedName function="false" hidden="false" name="cfg_M7_EQ_HDG_fav" vbProcedure="false">Hypotheses!$C$138</definedName>
    <definedName function="false" hidden="false" name="cfg_M7_EQ_PRO" vbProcedure="false">Hypotheses!$D$139</definedName>
    <definedName function="false" hidden="false" name="cfg_M7_EQ_PRO_def" vbProcedure="false">Hypotheses!$E$139</definedName>
    <definedName function="false" hidden="false" name="cfg_M7_EQ_PRO_fav" vbProcedure="false">Hypotheses!$C$139</definedName>
    <definedName function="false" hidden="false" name="cfg_M7_EQ_RET" vbProcedure="false">Hypotheses!$D$140</definedName>
    <definedName function="false" hidden="false" name="cfg_M7_EQ_RET_def" vbProcedure="false">Hypotheses!$E$140</definedName>
    <definedName function="false" hidden="false" name="cfg_M7_EQ_RET_fav" vbProcedure="false">Hypotheses!$C$140</definedName>
    <definedName function="false" hidden="false" name="cfg_M7_EQ_STD" vbProcedure="false">Hypotheses!$D$141</definedName>
    <definedName function="false" hidden="false" name="cfg_M7_EQ_STD_def" vbProcedure="false">Hypotheses!$E$141</definedName>
    <definedName function="false" hidden="false" name="cfg_M7_EQ_STD_fav" vbProcedure="false">Hypotheses!$C$141</definedName>
    <definedName function="false" hidden="false" name="cfg_M7_EVT" vbProcedure="false">Hypotheses!$D$142</definedName>
    <definedName function="false" hidden="false" name="cfg_M7_EVT_def" vbProcedure="false">Hypotheses!$E$142</definedName>
    <definedName function="false" hidden="false" name="cfg_M7_EVT_fav" vbProcedure="false">Hypotheses!$C$142</definedName>
    <definedName function="false" hidden="false" name="cfg_M7_GITE" vbProcedure="false">Hypotheses!$D$143</definedName>
    <definedName function="false" hidden="false" name="cfg_M7_GITE_def" vbProcedure="false">Hypotheses!$E$143</definedName>
    <definedName function="false" hidden="false" name="cfg_M7_GITE_fav" vbProcedure="false">Hypotheses!$C$143</definedName>
    <definedName function="false" hidden="false" name="cfg_M7_HOTEL" vbProcedure="false">Hypotheses!$D$144</definedName>
    <definedName function="false" hidden="false" name="cfg_M7_HOTEL_def" vbProcedure="false">Hypotheses!$E$144</definedName>
    <definedName function="false" hidden="false" name="cfg_M7_HOTEL_fav" vbProcedure="false">Hypotheses!$C$144</definedName>
    <definedName function="false" hidden="false" name="cfg_M7_LOG" vbProcedure="false">Hypotheses!$D$145</definedName>
    <definedName function="false" hidden="false" name="cfg_M7_LOG_def" vbProcedure="false">Hypotheses!$E$145</definedName>
    <definedName function="false" hidden="false" name="cfg_M7_LOG_fav" vbProcedure="false">Hypotheses!$C$145</definedName>
    <definedName function="false" hidden="false" name="cfg_M7_LUX" vbProcedure="false">Hypotheses!$D$146</definedName>
    <definedName function="false" hidden="false" name="cfg_M7_LUX_def" vbProcedure="false">Hypotheses!$E$146</definedName>
    <definedName function="false" hidden="false" name="cfg_M7_LUX_fav" vbProcedure="false">Hypotheses!$C$146</definedName>
    <definedName function="false" hidden="false" name="cfg_M7_PV" vbProcedure="false">Hypotheses!$D$147</definedName>
    <definedName function="false" hidden="false" name="cfg_M7_PV_def" vbProcedure="false">Hypotheses!$E$147</definedName>
    <definedName function="false" hidden="false" name="cfg_M7_PV_fav" vbProcedure="false">Hypotheses!$C$147</definedName>
    <definedName function="false" hidden="false" name="cfg_M7_REPRO" vbProcedure="false">Hypotheses!$D$148</definedName>
    <definedName function="false" hidden="false" name="cfg_M7_REPRO_def" vbProcedure="false">Hypotheses!$E$148</definedName>
    <definedName function="false" hidden="false" name="cfg_M7_REPRO_fav" vbProcedure="false">Hypotheses!$C$148</definedName>
    <definedName function="false" hidden="false" name="cfg_M7_SEMJ" vbProcedure="false">Hypotheses!$D$149</definedName>
    <definedName function="false" hidden="false" name="cfg_M7_SEMJ_def" vbProcedure="false">Hypotheses!$E$149</definedName>
    <definedName function="false" hidden="false" name="cfg_M7_SEMJ_fav" vbProcedure="false">Hypotheses!$C$149</definedName>
    <definedName function="false" hidden="false" name="cfg_M7_STOCK" vbProcedure="false">Hypotheses!$D$150</definedName>
    <definedName function="false" hidden="false" name="cfg_M7_STOCK_def" vbProcedure="false">Hypotheses!$E$150</definedName>
    <definedName function="false" hidden="false" name="cfg_M7_STOCK_fav" vbProcedure="false">Hypotheses!$C$150</definedName>
    <definedName function="false" hidden="false" name="cfg_M7_TOURN" vbProcedure="false">Hypotheses!$D$151</definedName>
    <definedName function="false" hidden="false" name="cfg_M7_TOURN_def" vbProcedure="false">Hypotheses!$E$151</definedName>
    <definedName function="false" hidden="false" name="cfg_M7_TOURN_fav" vbProcedure="false">Hypotheses!$C$151</definedName>
    <definedName function="false" hidden="false" name="cfg_M8_ANC" vbProcedure="false">Hypotheses!$D$152</definedName>
    <definedName function="false" hidden="false" name="cfg_M8_ANC_def" vbProcedure="false">Hypotheses!$E$152</definedName>
    <definedName function="false" hidden="false" name="cfg_M8_ANC_fav" vbProcedure="false">Hypotheses!$C$152</definedName>
    <definedName function="false" hidden="false" name="cfg_M8_AUTO" vbProcedure="false">Hypotheses!$D$153</definedName>
    <definedName function="false" hidden="false" name="cfg_M8_AUTO_def" vbProcedure="false">Hypotheses!$E$153</definedName>
    <definedName function="false" hidden="false" name="cfg_M8_AUTO_fav" vbProcedure="false">Hypotheses!$C$153</definedName>
    <definedName function="false" hidden="false" name="cfg_M8_BOIS" vbProcedure="false">Hypotheses!$D$154</definedName>
    <definedName function="false" hidden="false" name="cfg_M8_BOIS_def" vbProcedure="false">Hypotheses!$E$154</definedName>
    <definedName function="false" hidden="false" name="cfg_M8_BOIS_fav" vbProcedure="false">Hypotheses!$C$154</definedName>
    <definedName function="false" hidden="false" name="cfg_M8_EQ_HDG" vbProcedure="false">Hypotheses!$D$155</definedName>
    <definedName function="false" hidden="false" name="cfg_M8_EQ_HDG_def" vbProcedure="false">Hypotheses!$E$155</definedName>
    <definedName function="false" hidden="false" name="cfg_M8_EQ_HDG_fav" vbProcedure="false">Hypotheses!$C$155</definedName>
    <definedName function="false" hidden="false" name="cfg_M8_EQ_PRO" vbProcedure="false">Hypotheses!$D$156</definedName>
    <definedName function="false" hidden="false" name="cfg_M8_EQ_PRO_def" vbProcedure="false">Hypotheses!$E$156</definedName>
    <definedName function="false" hidden="false" name="cfg_M8_EQ_PRO_fav" vbProcedure="false">Hypotheses!$C$156</definedName>
    <definedName function="false" hidden="false" name="cfg_M8_EQ_RET" vbProcedure="false">Hypotheses!$D$157</definedName>
    <definedName function="false" hidden="false" name="cfg_M8_EQ_RET_def" vbProcedure="false">Hypotheses!$E$157</definedName>
    <definedName function="false" hidden="false" name="cfg_M8_EQ_RET_fav" vbProcedure="false">Hypotheses!$C$157</definedName>
    <definedName function="false" hidden="false" name="cfg_M8_EQ_STD" vbProcedure="false">Hypotheses!$D$158</definedName>
    <definedName function="false" hidden="false" name="cfg_M8_EQ_STD_def" vbProcedure="false">Hypotheses!$E$158</definedName>
    <definedName function="false" hidden="false" name="cfg_M8_EQ_STD_fav" vbProcedure="false">Hypotheses!$C$158</definedName>
    <definedName function="false" hidden="false" name="cfg_M8_EVT" vbProcedure="false">Hypotheses!$D$159</definedName>
    <definedName function="false" hidden="false" name="cfg_M8_EVT_def" vbProcedure="false">Hypotheses!$E$159</definedName>
    <definedName function="false" hidden="false" name="cfg_M8_EVT_fav" vbProcedure="false">Hypotheses!$C$159</definedName>
    <definedName function="false" hidden="false" name="cfg_M8_GITE" vbProcedure="false">Hypotheses!$D$160</definedName>
    <definedName function="false" hidden="false" name="cfg_M8_GITE_def" vbProcedure="false">Hypotheses!$E$160</definedName>
    <definedName function="false" hidden="false" name="cfg_M8_GITE_fav" vbProcedure="false">Hypotheses!$C$160</definedName>
    <definedName function="false" hidden="false" name="cfg_M8_HOTEL" vbProcedure="false">Hypotheses!$D$161</definedName>
    <definedName function="false" hidden="false" name="cfg_M8_HOTEL_def" vbProcedure="false">Hypotheses!$E$161</definedName>
    <definedName function="false" hidden="false" name="cfg_M8_HOTEL_fav" vbProcedure="false">Hypotheses!$C$161</definedName>
    <definedName function="false" hidden="false" name="cfg_M8_LOG" vbProcedure="false">Hypotheses!$D$162</definedName>
    <definedName function="false" hidden="false" name="cfg_M8_LOG_def" vbProcedure="false">Hypotheses!$E$162</definedName>
    <definedName function="false" hidden="false" name="cfg_M8_LOG_fav" vbProcedure="false">Hypotheses!$C$162</definedName>
    <definedName function="false" hidden="false" name="cfg_M8_LUX" vbProcedure="false">Hypotheses!$D$163</definedName>
    <definedName function="false" hidden="false" name="cfg_M8_LUX_def" vbProcedure="false">Hypotheses!$E$163</definedName>
    <definedName function="false" hidden="false" name="cfg_M8_LUX_fav" vbProcedure="false">Hypotheses!$C$163</definedName>
    <definedName function="false" hidden="false" name="cfg_M8_PV" vbProcedure="false">Hypotheses!$D$164</definedName>
    <definedName function="false" hidden="false" name="cfg_M8_PV_def" vbProcedure="false">Hypotheses!$E$164</definedName>
    <definedName function="false" hidden="false" name="cfg_M8_PV_fav" vbProcedure="false">Hypotheses!$C$164</definedName>
    <definedName function="false" hidden="false" name="cfg_M8_REPRO" vbProcedure="false">Hypotheses!$D$165</definedName>
    <definedName function="false" hidden="false" name="cfg_M8_REPRO_def" vbProcedure="false">Hypotheses!$E$165</definedName>
    <definedName function="false" hidden="false" name="cfg_M8_REPRO_fav" vbProcedure="false">Hypotheses!$C$165</definedName>
    <definedName function="false" hidden="false" name="cfg_M8_SEMJ" vbProcedure="false">Hypotheses!$D$166</definedName>
    <definedName function="false" hidden="false" name="cfg_M8_SEMJ_def" vbProcedure="false">Hypotheses!$E$166</definedName>
    <definedName function="false" hidden="false" name="cfg_M8_SEMJ_fav" vbProcedure="false">Hypotheses!$C$166</definedName>
    <definedName function="false" hidden="false" name="cfg_M8_STOCK" vbProcedure="false">Hypotheses!$D$167</definedName>
    <definedName function="false" hidden="false" name="cfg_M8_STOCK_def" vbProcedure="false">Hypotheses!$E$167</definedName>
    <definedName function="false" hidden="false" name="cfg_M8_STOCK_fav" vbProcedure="false">Hypotheses!$C$167</definedName>
    <definedName function="false" hidden="false" name="cfg_M8_TOURN" vbProcedure="false">Hypotheses!$D$168</definedName>
    <definedName function="false" hidden="false" name="cfg_M8_TOURN_def" vbProcedure="false">Hypotheses!$E$168</definedName>
    <definedName function="false" hidden="false" name="cfg_M8_TOURN_fav" vbProcedure="false">Hypotheses!$C$168</definedName>
    <definedName function="false" hidden="false" name="chauffage_kwh_m2" vbProcedure="false">Hypotheses!$D$548</definedName>
    <definedName function="false" hidden="false" name="chauffage_kwh_m2_def" vbProcedure="false">Hypotheses!$E$548</definedName>
    <definedName function="false" hidden="false" name="chauffage_kwh_m2_fav" vbProcedure="false">Hypotheses!$C$548</definedName>
    <definedName function="false" hidden="false" name="cheval_an" vbProcedure="false">Hypotheses!$D$176</definedName>
    <definedName function="false" hidden="false" name="cheval_an_def" vbProcedure="false">Hypotheses!$E$176</definedName>
    <definedName function="false" hidden="false" name="cheval_an_fav" vbProcedure="false">Hypotheses!$C$176</definedName>
    <definedName function="false" hidden="false" name="cloture_ml" vbProcedure="false">Hypotheses!$D$177</definedName>
    <definedName function="false" hidden="false" name="cloture_ml_def" vbProcedure="false">Hypotheses!$E$177</definedName>
    <definedName function="false" hidden="false" name="cloture_ml_fav" vbProcedure="false">Hypotheses!$C$177</definedName>
    <definedName function="false" hidden="false" name="cloture_vie" vbProcedure="false">Hypotheses!$D$178</definedName>
    <definedName function="false" hidden="false" name="cloture_vie_def" vbProcedure="false">Hypotheses!$E$178</definedName>
    <definedName function="false" hidden="false" name="cloture_vie_fav" vbProcedure="false">Hypotheses!$C$178</definedName>
    <definedName function="false" hidden="false" name="cout_admin_salarie" vbProcedure="false">Hypotheses!$D$275</definedName>
    <definedName function="false" hidden="false" name="cout_admin_salarie_def" vbProcedure="false">Hypotheses!$E$275</definedName>
    <definedName function="false" hidden="false" name="cout_admin_salarie_fav" vbProcedure="false">Hypotheses!$C$275</definedName>
    <definedName function="false" hidden="false" name="cout_agent_entretien" vbProcedure="false">Hypotheses!$D$276</definedName>
    <definedName function="false" hidden="false" name="cout_agent_entretien_def" vbProcedure="false">Hypotheses!$E$276</definedName>
    <definedName function="false" hidden="false" name="cout_agent_entretien_fav" vbProcedure="false">Hypotheses!$C$276</definedName>
    <definedName function="false" hidden="false" name="cout_chef_jardinier" vbProcedure="false">Hypotheses!$D$277</definedName>
    <definedName function="false" hidden="false" name="cout_chef_jardinier_def" vbProcedure="false">Hypotheses!$E$277</definedName>
    <definedName function="false" hidden="false" name="cout_chef_jardinier_fav" vbProcedure="false">Hypotheses!$C$277</definedName>
    <definedName function="false" hidden="false" name="cout_jardinier" vbProcedure="false">Hypotheses!$D$278</definedName>
    <definedName function="false" hidden="false" name="cout_jardinier_def" vbProcedure="false">Hypotheses!$E$278</definedName>
    <definedName function="false" hidden="false" name="cout_jardinier_fav" vbProcedure="false">Hypotheses!$C$278</definedName>
    <definedName function="false" hidden="false" name="cout_maison" vbProcedure="false">Hypotheses!$D$279</definedName>
    <definedName function="false" hidden="false" name="cout_maison_def" vbProcedure="false">Hypotheses!$E$279</definedName>
    <definedName function="false" hidden="false" name="cout_maison_fav" vbProcedure="false">Hypotheses!$C$279</definedName>
    <definedName function="false" hidden="false" name="cout_ouvrier_agricole" vbProcedure="false">Hypotheses!$D$280</definedName>
    <definedName function="false" hidden="false" name="cout_ouvrier_agricole_def" vbProcedure="false">Hypotheses!$E$280</definedName>
    <definedName function="false" hidden="false" name="cout_ouvrier_agricole_fav" vbProcedure="false">Hypotheses!$C$280</definedName>
    <definedName function="false" hidden="false" name="cout_resp_ecurie" vbProcedure="false">Hypotheses!$D$281</definedName>
    <definedName function="false" hidden="false" name="cout_resp_ecurie_def" vbProcedure="false">Hypotheses!$E$281</definedName>
    <definedName function="false" hidden="false" name="cout_resp_ecurie_fav" vbProcedure="false">Hypotheses!$C$281</definedName>
    <definedName function="false" hidden="false" name="cout_soigneur" vbProcedure="false">Hypotheses!$D$282</definedName>
    <definedName function="false" hidden="false" name="cout_soigneur_def" vbProcedure="false">Hypotheses!$E$282</definedName>
    <definedName function="false" hidden="false" name="cout_soigneur_fav" vbProcedure="false">Hypotheses!$C$282</definedName>
    <definedName function="false" hidden="false" name="dette_active" vbProcedure="false">Hypotheses!$D$344</definedName>
    <definedName function="false" hidden="false" name="dette_active_def" vbProcedure="false">Hypotheses!$E$344</definedName>
    <definedName function="false" hidden="false" name="dette_active_fav" vbProcedure="false">Hypotheses!$C$344</definedName>
    <definedName function="false" hidden="false" name="dette_duree" vbProcedure="false">Hypotheses!$D$379</definedName>
    <definedName function="false" hidden="false" name="dette_duree_def" vbProcedure="false">Hypotheses!$E$379</definedName>
    <definedName function="false" hidden="false" name="dette_duree_fav" vbProcedure="false">Hypotheses!$C$379</definedName>
    <definedName function="false" hidden="false" name="dette_quotite" vbProcedure="false">Hypotheses!$D$380</definedName>
    <definedName function="false" hidden="false" name="dette_quotite_def" vbProcedure="false">Hypotheses!$E$380</definedName>
    <definedName function="false" hidden="false" name="dette_quotite_fav" vbProcedure="false">Hypotheses!$C$380</definedName>
    <definedName function="false" hidden="false" name="dette_taux" vbProcedure="false">Hypotheses!$D$381</definedName>
    <definedName function="false" hidden="false" name="dette_taux_def" vbProcedure="false">Hypotheses!$E$381</definedName>
    <definedName function="false" hidden="false" name="dette_taux_fav" vbProcedure="false">Hypotheses!$C$381</definedName>
    <definedName function="false" hidden="false" name="dot_rendement" vbProcedure="false">Hypotheses!$D$316</definedName>
    <definedName function="false" hidden="false" name="dot_rendement_def" vbProcedure="false">Hypotheses!$E$316</definedName>
    <definedName function="false" hidden="false" name="dot_rendement_fav" vbProcedure="false">Hypotheses!$C$316</definedName>
    <definedName function="false" hidden="false" name="dot_taux_net" vbProcedure="false">Hypotheses!$D$210</definedName>
    <definedName function="false" hidden="false" name="dot_taux_net_def" vbProcedure="false">Hypotheses!$E$210</definedName>
    <definedName function="false" hidden="false" name="dot_taux_net_fav" vbProcedure="false">Hypotheses!$C$210</definedName>
    <definedName function="false" hidden="false" name="ent_conversion" vbProcedure="false">Hypotheses!$D$211</definedName>
    <definedName function="false" hidden="false" name="ent_conversion_def" vbProcedure="false">Hypotheses!$E$211</definedName>
    <definedName function="false" hidden="false" name="ent_conversion_fav" vbProcedure="false">Hypotheses!$C$211</definedName>
    <definedName function="false" hidden="false" name="equip_entretien_taux" vbProcedure="false">Hypotheses!$D$179</definedName>
    <definedName function="false" hidden="false" name="equip_entretien_taux_def" vbProcedure="false">Hypotheses!$E$179</definedName>
    <definedName function="false" hidden="false" name="equip_entretien_taux_fav" vbProcedure="false">Hypotheses!$C$179</definedName>
    <definedName function="false" hidden="false" name="equip_vie" vbProcedure="false">Hypotheses!$D$180</definedName>
    <definedName function="false" hidden="false" name="equip_vie_def" vbProcedure="false">Hypotheses!$E$180</definedName>
    <definedName function="false" hidden="false" name="equip_vie_fav" vbProcedure="false">Hypotheses!$C$180</definedName>
    <definedName function="false" hidden="false" name="eq_hdg_boxes" vbProcedure="false">Hypotheses!$D$217</definedName>
    <definedName function="false" hidden="false" name="eq_hdg_boxes_def" vbProcedure="false">Hypotheses!$E$217</definedName>
    <definedName function="false" hidden="false" name="eq_hdg_boxes_fav" vbProcedure="false">Hypotheses!$C$217</definedName>
    <definedName function="false" hidden="false" name="eq_hdg_cout_fixe" vbProcedure="false">Hypotheses!$D$218</definedName>
    <definedName function="false" hidden="false" name="eq_hdg_cout_fixe_def" vbProcedure="false">Hypotheses!$E$218</definedName>
    <definedName function="false" hidden="false" name="eq_hdg_cout_fixe_fav" vbProcedure="false">Hypotheses!$C$218</definedName>
    <definedName function="false" hidden="false" name="eq_hdg_cout_var" vbProcedure="false">Hypotheses!$D$219</definedName>
    <definedName function="false" hidden="false" name="eq_hdg_cout_var_def" vbProcedure="false">Hypotheses!$E$219</definedName>
    <definedName function="false" hidden="false" name="eq_hdg_cout_var_fav" vbProcedure="false">Hypotheses!$C$219</definedName>
    <definedName function="false" hidden="false" name="eq_hdg_occ" vbProcedure="false">Hypotheses!$D$220</definedName>
    <definedName function="false" hidden="false" name="eq_hdg_occ_def" vbProcedure="false">Hypotheses!$E$220</definedName>
    <definedName function="false" hidden="false" name="eq_hdg_occ_fav" vbProcedure="false">Hypotheses!$C$220</definedName>
    <definedName function="false" hidden="false" name="eq_hdg_prix_ht" vbProcedure="false">Hypotheses!$D$221</definedName>
    <definedName function="false" hidden="false" name="eq_hdg_prix_ht_def" vbProcedure="false">Hypotheses!$E$221</definedName>
    <definedName function="false" hidden="false" name="eq_hdg_prix_ht_fav" vbProcedure="false">Hypotheses!$C$221</definedName>
    <definedName function="false" hidden="false" name="eq_pro_boxes" vbProcedure="false">Hypotheses!$D$222</definedName>
    <definedName function="false" hidden="false" name="eq_pro_boxes_def" vbProcedure="false">Hypotheses!$E$222</definedName>
    <definedName function="false" hidden="false" name="eq_pro_boxes_fav" vbProcedure="false">Hypotheses!$C$222</definedName>
    <definedName function="false" hidden="false" name="eq_pro_cout_box" vbProcedure="false">Hypotheses!$D$223</definedName>
    <definedName function="false" hidden="false" name="eq_pro_cout_box_def" vbProcedure="false">Hypotheses!$E$223</definedName>
    <definedName function="false" hidden="false" name="eq_pro_cout_box_fav" vbProcedure="false">Hypotheses!$C$223</definedName>
    <definedName function="false" hidden="false" name="eq_pro_loyer_box" vbProcedure="false">Hypotheses!$D$224</definedName>
    <definedName function="false" hidden="false" name="eq_pro_loyer_box_def" vbProcedure="false">Hypotheses!$E$224</definedName>
    <definedName function="false" hidden="false" name="eq_pro_loyer_box_fav" vbProcedure="false">Hypotheses!$C$224</definedName>
    <definedName function="false" hidden="false" name="eq_ret_chevaux" vbProcedure="false">Hypotheses!$D$225</definedName>
    <definedName function="false" hidden="false" name="eq_ret_chevaux_def" vbProcedure="false">Hypotheses!$E$225</definedName>
    <definedName function="false" hidden="false" name="eq_ret_chevaux_fav" vbProcedure="false">Hypotheses!$C$225</definedName>
    <definedName function="false" hidden="false" name="eq_ret_cout" vbProcedure="false">Hypotheses!$D$226</definedName>
    <definedName function="false" hidden="false" name="eq_ret_cout_def" vbProcedure="false">Hypotheses!$E$226</definedName>
    <definedName function="false" hidden="false" name="eq_ret_cout_fav" vbProcedure="false">Hypotheses!$C$226</definedName>
    <definedName function="false" hidden="false" name="eq_ret_occ" vbProcedure="false">Hypotheses!$D$227</definedName>
    <definedName function="false" hidden="false" name="eq_ret_occ_def" vbProcedure="false">Hypotheses!$E$227</definedName>
    <definedName function="false" hidden="false" name="eq_ret_occ_fav" vbProcedure="false">Hypotheses!$C$227</definedName>
    <definedName function="false" hidden="false" name="eq_ret_prix_ht" vbProcedure="false">Hypotheses!$D$228</definedName>
    <definedName function="false" hidden="false" name="eq_ret_prix_ht_def" vbProcedure="false">Hypotheses!$E$228</definedName>
    <definedName function="false" hidden="false" name="eq_ret_prix_ht_fav" vbProcedure="false">Hypotheses!$C$228</definedName>
    <definedName function="false" hidden="false" name="eq_std_boxes" vbProcedure="false">Hypotheses!$D$229</definedName>
    <definedName function="false" hidden="false" name="eq_std_boxes_def" vbProcedure="false">Hypotheses!$E$229</definedName>
    <definedName function="false" hidden="false" name="eq_std_boxes_fav" vbProcedure="false">Hypotheses!$C$229</definedName>
    <definedName function="false" hidden="false" name="eq_std_cout_fixe" vbProcedure="false">Hypotheses!$D$230</definedName>
    <definedName function="false" hidden="false" name="eq_std_cout_fixe_def" vbProcedure="false">Hypotheses!$E$230</definedName>
    <definedName function="false" hidden="false" name="eq_std_cout_fixe_fav" vbProcedure="false">Hypotheses!$C$230</definedName>
    <definedName function="false" hidden="false" name="eq_std_cout_var" vbProcedure="false">Hypotheses!$D$231</definedName>
    <definedName function="false" hidden="false" name="eq_std_cout_var_def" vbProcedure="false">Hypotheses!$E$231</definedName>
    <definedName function="false" hidden="false" name="eq_std_cout_var_fav" vbProcedure="false">Hypotheses!$C$231</definedName>
    <definedName function="false" hidden="false" name="eq_std_occ" vbProcedure="false">Hypotheses!$D$232</definedName>
    <definedName function="false" hidden="false" name="eq_std_occ_def" vbProcedure="false">Hypotheses!$E$232</definedName>
    <definedName function="false" hidden="false" name="eq_std_occ_fav" vbProcedure="false">Hypotheses!$C$232</definedName>
    <definedName function="false" hidden="false" name="eq_std_prix_ht" vbProcedure="false">Hypotheses!$D$233</definedName>
    <definedName function="false" hidden="false" name="eq_std_prix_ht_def" vbProcedure="false">Hypotheses!$E$233</definedName>
    <definedName function="false" hidden="false" name="eq_std_prix_ht_fav" vbProcedure="false">Hypotheses!$C$233</definedName>
    <definedName function="false" hidden="false" name="evt_capex" vbProcedure="false">Hypotheses!$D$241</definedName>
    <definedName function="false" hidden="false" name="evt_capex_def" vbProcedure="false">Hypotheses!$E$241</definedName>
    <definedName function="false" hidden="false" name="evt_capex_fav" vbProcedure="false">Hypotheses!$C$241</definedName>
    <definedName function="false" hidden="false" name="evt_fixe" vbProcedure="false">Hypotheses!$D$242</definedName>
    <definedName function="false" hidden="false" name="evt_fixe_def" vbProcedure="false">Hypotheses!$E$242</definedName>
    <definedName function="false" hidden="false" name="evt_fixe_fav" vbProcedure="false">Hypotheses!$C$242</definedName>
    <definedName function="false" hidden="false" name="evt_nb" vbProcedure="false">Hypotheses!$D$243</definedName>
    <definedName function="false" hidden="false" name="evt_nb_def" vbProcedure="false">Hypotheses!$E$243</definedName>
    <definedName function="false" hidden="false" name="evt_nb_fav" vbProcedure="false">Hypotheses!$C$243</definedName>
    <definedName function="false" hidden="false" name="evt_prix_ht" vbProcedure="false">Hypotheses!$D$244</definedName>
    <definedName function="false" hidden="false" name="evt_prix_ht_def" vbProcedure="false">Hypotheses!$E$244</definedName>
    <definedName function="false" hidden="false" name="evt_prix_ht_fav" vbProcedure="false">Hypotheses!$C$244</definedName>
    <definedName function="false" hidden="false" name="evt_var" vbProcedure="false">Hypotheses!$D$245</definedName>
    <definedName function="false" hidden="false" name="evt_var_def" vbProcedure="false">Hypotheses!$E$245</definedName>
    <definedName function="false" hidden="false" name="evt_var_fav" vbProcedure="false">Hypotheses!$C$245</definedName>
    <definedName function="false" hidden="false" name="flex_report" vbProcedure="false">Hypotheses!$D$345</definedName>
    <definedName function="false" hidden="false" name="flex_report_def" vbProcedure="false">Hypotheses!$E$345</definedName>
    <definedName function="false" hidden="false" name="flex_report_fav" vbProcedure="false">Hypotheses!$C$345</definedName>
    <definedName function="false" hidden="false" name="flex_seuil" vbProcedure="false">Hypotheses!$D$346</definedName>
    <definedName function="false" hidden="false" name="flex_seuil_def" vbProcedure="false">Hypotheses!$E$346</definedName>
    <definedName function="false" hidden="false" name="flex_seuil_fav" vbProcedure="false">Hypotheses!$C$346</definedName>
    <definedName function="false" hidden="false" name="flex_taux" vbProcedure="false">Hypotheses!$D$347</definedName>
    <definedName function="false" hidden="false" name="flex_taux_def" vbProcedure="false">Hypotheses!$E$347</definedName>
    <definedName function="false" hidden="false" name="flex_taux_fav" vbProcedure="false">Hypotheses!$C$347</definedName>
    <definedName function="false" hidden="false" name="fuite_fiscale" vbProcedure="false">Hypotheses!$D$169</definedName>
    <definedName function="false" hidden="false" name="fuite_fiscale_def" vbProcedure="false">Hypotheses!$E$169</definedName>
    <definedName function="false" hidden="false" name="fuite_fiscale_fav" vbProcedure="false">Hypotheses!$C$169</definedName>
    <definedName function="false" hidden="false" name="gite_capex" vbProcedure="false">Hypotheses!$D$246</definedName>
    <definedName function="false" hidden="false" name="gite_capex_def" vbProcedure="false">Hypotheses!$E$246</definedName>
    <definedName function="false" hidden="false" name="gite_capex_fav" vbProcedure="false">Hypotheses!$C$246</definedName>
    <definedName function="false" hidden="false" name="gite_fixe" vbProcedure="false">Hypotheses!$D$247</definedName>
    <definedName function="false" hidden="false" name="gite_fixe_def" vbProcedure="false">Hypotheses!$E$247</definedName>
    <definedName function="false" hidden="false" name="gite_fixe_fav" vbProcedure="false">Hypotheses!$C$247</definedName>
    <definedName function="false" hidden="false" name="gite_prix_semaine" vbProcedure="false">Hypotheses!$D$248</definedName>
    <definedName function="false" hidden="false" name="gite_prix_semaine_def" vbProcedure="false">Hypotheses!$E$248</definedName>
    <definedName function="false" hidden="false" name="gite_prix_semaine_fav" vbProcedure="false">Hypotheses!$C$248</definedName>
    <definedName function="false" hidden="false" name="gite_semaines" vbProcedure="false">Hypotheses!$D$249</definedName>
    <definedName function="false" hidden="false" name="gite_semaines_def" vbProcedure="false">Hypotheses!$E$249</definedName>
    <definedName function="false" hidden="false" name="gite_semaines_fav" vbProcedure="false">Hypotheses!$C$249</definedName>
    <definedName function="false" hidden="false" name="gite_var" vbProcedure="false">Hypotheses!$D$250</definedName>
    <definedName function="false" hidden="false" name="gite_var_def" vbProcedure="false">Hypotheses!$E$250</definedName>
    <definedName function="false" hidden="false" name="gite_var_fav" vbProcedure="false">Hypotheses!$C$250</definedName>
    <definedName function="false" hidden="false" name="g_assurance" vbProcedure="false">Hypotheses!$D$317</definedName>
    <definedName function="false" hidden="false" name="g_assurance_def" vbProcedure="false">Hypotheses!$E$317</definedName>
    <definedName function="false" hidden="false" name="g_assurance_fav" vbProcedure="false">Hypotheses!$C$317</definedName>
    <definedName function="false" hidden="false" name="g_energie" vbProcedure="false">Hypotheses!$D$318</definedName>
    <definedName function="false" hidden="false" name="g_energie_def" vbProcedure="false">Hypotheses!$E$318</definedName>
    <definedName function="false" hidden="false" name="g_energie_fav" vbProcedure="false">Hypotheses!$C$318</definedName>
    <definedName function="false" hidden="false" name="g_recettes" vbProcedure="false">Hypotheses!$D$319</definedName>
    <definedName function="false" hidden="false" name="g_recettes_def" vbProcedure="false">Hypotheses!$E$319</definedName>
    <definedName function="false" hidden="false" name="g_recettes_fav" vbProcedure="false">Hypotheses!$C$319</definedName>
    <definedName function="false" hidden="false" name="g_salaires" vbProcedure="false">Hypotheses!$D$320</definedName>
    <definedName function="false" hidden="false" name="g_salaires_def" vbProcedure="false">Hypotheses!$E$320</definedName>
    <definedName function="false" hidden="false" name="g_salaires_fav" vbProcedure="false">Hypotheses!$C$320</definedName>
    <definedName function="false" hidden="false" name="g_travaux" vbProcedure="false">Hypotheses!$D$321</definedName>
    <definedName function="false" hidden="false" name="g_travaux_def" vbProcedure="false">Hypotheses!$E$321</definedName>
    <definedName function="false" hidden="false" name="g_travaux_fav" vbProcedure="false">Hypotheses!$C$321</definedName>
    <definedName function="false" hidden="false" name="horsgel_kwh_m2" vbProcedure="false">Hypotheses!$D$549</definedName>
    <definedName function="false" hidden="false" name="horsgel_kwh_m2_def" vbProcedure="false">Hypotheses!$E$549</definedName>
    <definedName function="false" hidden="false" name="horsgel_kwh_m2_fav" vbProcedure="false">Hypotheses!$C$549</definedName>
    <definedName function="false" hidden="false" name="hot_autres_charges" vbProcedure="false">Hypotheses!$D$202</definedName>
    <definedName function="false" hidden="false" name="hot_autres_charges_def" vbProcedure="false">Hypotheses!$E$202</definedName>
    <definedName function="false" hidden="false" name="hot_autres_charges_fav" vbProcedure="false">Hypotheses!$C$202</definedName>
    <definedName function="false" hidden="false" name="hot_autres_recettes" vbProcedure="false">Hypotheses!$D$203</definedName>
    <definedName function="false" hidden="false" name="hot_autres_recettes_def" vbProcedure="false">Hypotheses!$E$203</definedName>
    <definedName function="false" hidden="false" name="hot_autres_recettes_fav" vbProcedure="false">Hypotheses!$C$203</definedName>
    <definedName function="false" hidden="false" name="hot_capex_chambre" vbProcedure="false">Hypotheses!$D$204</definedName>
    <definedName function="false" hidden="false" name="hot_capex_chambre_def" vbProcedure="false">Hypotheses!$E$204</definedName>
    <definedName function="false" hidden="false" name="hot_capex_chambre_fav" vbProcedure="false">Hypotheses!$C$204</definedName>
    <definedName function="false" hidden="false" name="hot_chambres" vbProcedure="false">Hypotheses!$D$205</definedName>
    <definedName function="false" hidden="false" name="hot_chambres_def" vbProcedure="false">Hypotheses!$E$205</definedName>
    <definedName function="false" hidden="false" name="hot_chambres_fav" vbProcedure="false">Hypotheses!$C$205</definedName>
    <definedName function="false" hidden="false" name="hot_cout_etp" vbProcedure="false">Hypotheses!$D$206</definedName>
    <definedName function="false" hidden="false" name="hot_cout_etp_def" vbProcedure="false">Hypotheses!$E$206</definedName>
    <definedName function="false" hidden="false" name="hot_cout_etp_fav" vbProcedure="false">Hypotheses!$C$206</definedName>
    <definedName function="false" hidden="false" name="hot_etp_chambre" vbProcedure="false">Hypotheses!$D$207</definedName>
    <definedName function="false" hidden="false" name="hot_etp_chambre_def" vbProcedure="false">Hypotheses!$E$207</definedName>
    <definedName function="false" hidden="false" name="hot_etp_chambre_fav" vbProcedure="false">Hypotheses!$C$207</definedName>
    <definedName function="false" hidden="false" name="hot_revpar" vbProcedure="false">Hypotheses!$D$208</definedName>
    <definedName function="false" hidden="false" name="hot_revpar_def" vbProcedure="false">Hypotheses!$E$208</definedName>
    <definedName function="false" hidden="false" name="hot_revpar_fav" vbProcedure="false">Hypotheses!$C$208</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Hypotheses!$D$322</definedName>
    <definedName function="false" hidden="false" name="inflation_def" vbProcedure="false">Hypotheses!$E$322</definedName>
    <definedName function="false" hidden="false" name="inflation_fav" vbProcedure="false">Hypotheses!$C$322</definedName>
    <definedName function="false" hidden="false" name="jardin_ha" vbProcedure="false">Hypotheses!$D$181</definedName>
    <definedName function="false" hidden="false" name="jardin_ha_def" vbProcedure="false">Hypotheses!$E$181</definedName>
    <definedName function="false" hidden="false" name="jardin_ha_fav" vbProcedure="false">Hypotheses!$C$181</definedName>
    <definedName function="false" hidden="false" name="lissage_depense" vbProcedure="false">Hypotheses!$D$348</definedName>
    <definedName function="false" hidden="false" name="lissage_depense_def" vbProcedure="false">Hypotheses!$E$348</definedName>
    <definedName function="false" hidden="false" name="lissage_depense_fav" vbProcedure="false">Hypotheses!$C$348</definedName>
    <definedName function="false" hidden="false" name="log_capex_m2" vbProcedure="false">Hypotheses!$D$251</definedName>
    <definedName function="false" hidden="false" name="log_capex_m2_def" vbProcedure="false">Hypotheses!$E$251</definedName>
    <definedName function="false" hidden="false" name="log_capex_m2_fav" vbProcedure="false">Hypotheses!$C$251</definedName>
    <definedName function="false" hidden="false" name="log_charges" vbProcedure="false">Hypotheses!$D$252</definedName>
    <definedName function="false" hidden="false" name="log_charges_def" vbProcedure="false">Hypotheses!$E$252</definedName>
    <definedName function="false" hidden="false" name="log_charges_fav" vbProcedure="false">Hypotheses!$C$252</definedName>
    <definedName function="false" hidden="false" name="log_loyer_m2" vbProcedure="false">Hypotheses!$D$253</definedName>
    <definedName function="false" hidden="false" name="log_loyer_m2_def" vbProcedure="false">Hypotheses!$E$253</definedName>
    <definedName function="false" hidden="false" name="log_loyer_m2_fav" vbProcedure="false">Hypotheses!$C$253</definedName>
    <definedName function="false" hidden="false" name="log_m2" vbProcedure="false">Hypotheses!$D$254</definedName>
    <definedName function="false" hidden="false" name="log_m2_def" vbProcedure="false">Hypotheses!$E$254</definedName>
    <definedName function="false" hidden="false" name="log_m2_fav" vbProcedure="false">Hypotheses!$C$254</definedName>
    <definedName function="false" hidden="false" name="log_vacance" vbProcedure="false">Hypotheses!$D$255</definedName>
    <definedName function="false" hidden="false" name="log_vacance_def" vbProcedure="false">Hypotheses!$E$255</definedName>
    <definedName function="false" hidden="false" name="log_vacance_fav" vbProcedure="false">Hypotheses!$C$255</definedName>
    <definedName function="false" hidden="false" name="lux_capex" vbProcedure="false">Hypotheses!$D$195</definedName>
    <definedName function="false" hidden="false" name="lux_capex_def" vbProcedure="false">Hypotheses!$E$195</definedName>
    <definedName function="false" hidden="false" name="lux_capex_fav" vbProcedure="false">Hypotheses!$C$195</definedName>
    <definedName function="false" hidden="false" name="lux_commission" vbProcedure="false">Hypotheses!$D$196</definedName>
    <definedName function="false" hidden="false" name="lux_commission_def" vbProcedure="false">Hypotheses!$E$196</definedName>
    <definedName function="false" hidden="false" name="lux_commission_fav" vbProcedure="false">Hypotheses!$C$196</definedName>
    <definedName function="false" hidden="false" name="lux_fixe" vbProcedure="false">Hypotheses!$D$197</definedName>
    <definedName function="false" hidden="false" name="lux_fixe_def" vbProcedure="false">Hypotheses!$E$197</definedName>
    <definedName function="false" hidden="false" name="lux_fixe_fav" vbProcedure="false">Hypotheses!$C$197</definedName>
    <definedName function="false" hidden="false" name="lux_prix_semaine" vbProcedure="false">Hypotheses!$D$198</definedName>
    <definedName function="false" hidden="false" name="lux_prix_semaine_def" vbProcedure="false">Hypotheses!$E$198</definedName>
    <definedName function="false" hidden="false" name="lux_prix_semaine_fav" vbProcedure="false">Hypotheses!$C$198</definedName>
    <definedName function="false" hidden="false" name="lux_semaines" vbProcedure="false">Hypotheses!$D$199</definedName>
    <definedName function="false" hidden="false" name="lux_semaines_def" vbProcedure="false">Hypotheses!$E$199</definedName>
    <definedName function="false" hidden="false" name="lux_semaines_fav" vbProcedure="false">Hypotheses!$C$199</definedName>
    <definedName function="false" hidden="false" name="lux_var" vbProcedure="false">Hypotheses!$D$200</definedName>
    <definedName function="false" hidden="false" name="lux_var_def" vbProcedure="false">Hypotheses!$E$200</definedName>
    <definedName function="false" hidden="false" name="lux_var_fav" vbProcedure="false">Hypotheses!$C$200</definedName>
    <definedName function="false" hidden="false" name="manege_cout_m2" vbProcedure="false">Hypotheses!$D$182</definedName>
    <definedName function="false" hidden="false" name="manege_cout_m2_def" vbProcedure="false">Hypotheses!$E$182</definedName>
    <definedName function="false" hidden="false" name="manege_cout_m2_fav" vbProcedure="false">Hypotheses!$C$182</definedName>
    <definedName function="false" hidden="false" name="manege_vie" vbProcedure="false">Hypotheses!$D$183</definedName>
    <definedName function="false" hidden="false" name="manege_vie_def" vbProcedure="false">Hypotheses!$E$183</definedName>
    <definedName function="false" hidden="false" name="manege_vie_fav" vbProcedure="false">Hypotheses!$C$183</definedName>
    <definedName function="false" hidden="false" name="mh_actif" vbProcedure="false">Hypotheses!$D$349</definedName>
    <definedName function="false" hidden="false" name="mh_actif_def" vbProcedure="false">Hypotheses!$E$349</definedName>
    <definedName function="false" hidden="false" name="mh_actif_fav" vbProcedure="false">Hypotheses!$C$349</definedName>
    <definedName function="false" hidden="false" name="mh_part_deductible" vbProcedure="false">Hypotheses!$D$323</definedName>
    <definedName function="false" hidden="false" name="mh_part_deductible_def" vbProcedure="false">Hypotheses!$E$323</definedName>
    <definedName function="false" hidden="false" name="mh_part_deductible_fav" vbProcedure="false">Hypotheses!$C$323</definedName>
    <definedName function="false" hidden="false" name="mh_taux_deduction" vbProcedure="false">Hypotheses!$D$324</definedName>
    <definedName function="false" hidden="false" name="mh_taux_deduction_def" vbProcedure="false">Hypotheses!$E$324</definedName>
    <definedName function="false" hidden="false" name="mh_taux_deduction_fav" vbProcedure="false">Hypotheses!$C$324</definedName>
    <definedName function="false" hidden="false" name="mh_tmi" vbProcedure="false">Hypotheses!$D$325</definedName>
    <definedName function="false" hidden="false" name="mh_tmi_def" vbProcedure="false">Hypotheses!$E$325</definedName>
    <definedName function="false" hidden="false" name="mh_tmi_fav" vbProcedure="false">Hypotheses!$C$325</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couv_M7" vbProcedure="false">Modeles!$F$62</definedName>
    <definedName function="false" hidden="false" name="mod_couv_M7_def" vbProcedure="false">Modeles!$G$62</definedName>
    <definedName function="false" hidden="false" name="mod_couv_M7_fav" vbProcedure="false">Modeles!$E$62</definedName>
    <definedName function="false" hidden="false" name="mod_couv_M8" vbProcedure="false">Modeles!$F$71</definedName>
    <definedName function="false" hidden="false" name="mod_couv_M8_def" vbProcedure="false">Modeles!$G$71</definedName>
    <definedName function="false" hidden="false" name="mod_couv_M8_fav" vbProcedure="false">Modeles!$E$71</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M7_besoin" vbProcedure="false">Modeles!$F$61</definedName>
    <definedName function="false" hidden="false" name="mod_M7_besoin_def" vbProcedure="false">Modeles!$G$61</definedName>
    <definedName function="false" hidden="false" name="mod_M7_besoin_fav" vbProcedure="false">Modeles!$E$61</definedName>
    <definedName function="false" hidden="false" name="mod_M7_brute" vbProcedure="false">Modeles!$F$59</definedName>
    <definedName function="false" hidden="false" name="mod_M7_brute_def" vbProcedure="false">Modeles!$G$59</definedName>
    <definedName function="false" hidden="false" name="mod_M7_brute_fav" vbProcedure="false">Modeles!$E$59</definedName>
    <definedName function="false" hidden="false" name="mod_M7_dotation" vbProcedure="false">Modeles!$F$64</definedName>
    <definedName function="false" hidden="false" name="mod_M7_dotation_def" vbProcedure="false">Modeles!$G$64</definedName>
    <definedName function="false" hidden="false" name="mod_M7_dotation_fav" vbProcedure="false">Modeles!$E$64</definedName>
    <definedName function="false" hidden="false" name="mod_M7_ebitda" vbProcedure="false">Modeles!$F$65</definedName>
    <definedName function="false" hidden="false" name="mod_M7_ebitda_def" vbProcedure="false">Modeles!$G$65</definedName>
    <definedName function="false" hidden="false" name="mod_M7_ebitda_fav" vbProcedure="false">Modeles!$E$65</definedName>
    <definedName function="false" hidden="false" name="mod_M7_ecart" vbProcedure="false">Modeles!$F$63</definedName>
    <definedName function="false" hidden="false" name="mod_M7_ecart_def" vbProcedure="false">Modeles!$G$63</definedName>
    <definedName function="false" hidden="false" name="mod_M7_ecart_fav" vbProcedure="false">Modeles!$E$63</definedName>
    <definedName function="false" hidden="false" name="mod_M7_invest" vbProcedure="false">Modeles!$F$66</definedName>
    <definedName function="false" hidden="false" name="mod_M7_invest_def" vbProcedure="false">Modeles!$G$66</definedName>
    <definedName function="false" hidden="false" name="mod_M7_invest_fav" vbProcedure="false">Modeles!$E$66</definedName>
    <definedName function="false" hidden="false" name="mod_M7_nette" vbProcedure="false">Modeles!$F$60</definedName>
    <definedName function="false" hidden="false" name="mod_M7_nette_def" vbProcedure="false">Modeles!$G$60</definedName>
    <definedName function="false" hidden="false" name="mod_M7_nette_fav" vbProcedure="false">Modeles!$E$60</definedName>
    <definedName function="false" hidden="false" name="mod_M8_besoin" vbProcedure="false">Modeles!$F$70</definedName>
    <definedName function="false" hidden="false" name="mod_M8_besoin_def" vbProcedure="false">Modeles!$G$70</definedName>
    <definedName function="false" hidden="false" name="mod_M8_besoin_fav" vbProcedure="false">Modeles!$E$70</definedName>
    <definedName function="false" hidden="false" name="mod_M8_brute" vbProcedure="false">Modeles!$F$68</definedName>
    <definedName function="false" hidden="false" name="mod_M8_brute_def" vbProcedure="false">Modeles!$G$68</definedName>
    <definedName function="false" hidden="false" name="mod_M8_brute_fav" vbProcedure="false">Modeles!$E$68</definedName>
    <definedName function="false" hidden="false" name="mod_M8_dotation" vbProcedure="false">Modeles!$F$73</definedName>
    <definedName function="false" hidden="false" name="mod_M8_dotation_def" vbProcedure="false">Modeles!$G$73</definedName>
    <definedName function="false" hidden="false" name="mod_M8_dotation_fav" vbProcedure="false">Modeles!$E$73</definedName>
    <definedName function="false" hidden="false" name="mod_M8_ebitda" vbProcedure="false">Modeles!$F$74</definedName>
    <definedName function="false" hidden="false" name="mod_M8_ebitda_def" vbProcedure="false">Modeles!$G$74</definedName>
    <definedName function="false" hidden="false" name="mod_M8_ebitda_fav" vbProcedure="false">Modeles!$E$74</definedName>
    <definedName function="false" hidden="false" name="mod_M8_ecart" vbProcedure="false">Modeles!$F$72</definedName>
    <definedName function="false" hidden="false" name="mod_M8_ecart_def" vbProcedure="false">Modeles!$G$72</definedName>
    <definedName function="false" hidden="false" name="mod_M8_ecart_fav" vbProcedure="false">Modeles!$E$72</definedName>
    <definedName function="false" hidden="false" name="mod_M8_invest" vbProcedure="false">Modeles!$F$75</definedName>
    <definedName function="false" hidden="false" name="mod_M8_invest_def" vbProcedure="false">Modeles!$G$75</definedName>
    <definedName function="false" hidden="false" name="mod_M8_invest_fav" vbProcedure="false">Modeles!$E$75</definedName>
    <definedName function="false" hidden="false" name="mod_M8_nette" vbProcedure="false">Modeles!$F$69</definedName>
    <definedName function="false" hidden="false" name="mod_M8_nette_def" vbProcedure="false">Modeles!$G$69</definedName>
    <definedName function="false" hidden="false" name="mod_M8_nette_fav" vbProcedure="false">Modeles!$E$69</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d_part_M7_recurrent" vbProcedure="false">Modeles!$F$67</definedName>
    <definedName function="false" hidden="false" name="mod_part_M7_recurrent_def" vbProcedure="false">Modeles!$G$67</definedName>
    <definedName function="false" hidden="false" name="mod_part_M7_recurrent_fav" vbProcedure="false">Modeles!$E$67</definedName>
    <definedName function="false" hidden="false" name="mod_part_M8_recurrent" vbProcedure="false">Modeles!$F$76</definedName>
    <definedName function="false" hidden="false" name="mod_part_M8_recurrent_def" vbProcedure="false">Modeles!$G$76</definedName>
    <definedName function="false" hidden="false" name="mod_part_M8_recurrent_fav" vbProcedure="false">Modeles!$E$76</definedName>
    <definedName function="false" hidden="false" name="mot_anc_cn" vbProcedure="false">Moteurs!$F$42</definedName>
    <definedName function="false" hidden="false" name="mot_anc_cn_def" vbProcedure="false">Moteurs!$G$42</definedName>
    <definedName function="false" hidden="false" name="mot_anc_cn_fav" vbProcedure="false">Moteurs!$E$42</definedName>
    <definedName function="false" hidden="false" name="mot_anc_eco" vbProcedure="false">Moteurs!$F$41</definedName>
    <definedName function="false" hidden="false" name="mot_anc_eco_def" vbProcedure="false">Moteurs!$G$41</definedName>
    <definedName function="false" hidden="false" name="mot_anc_eco_fav" vbProcedure="false">Moteurs!$E$41</definedName>
    <definedName function="false" hidden="false" name="mot_anc_loyer" vbProcedure="false">Moteurs!$F$40</definedName>
    <definedName function="false" hidden="false" name="mot_anc_loyer_def" vbProcedure="false">Moteurs!$G$40</definedName>
    <definedName function="false" hidden="false" name="mot_anc_loyer_fav" vbProcedure="false">Moteurs!$E$40</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Moteurs!$F$45</definedName>
    <definedName function="false" hidden="false" name="mot_dot_cn_par_m_def" vbProcedure="false">Moteurs!$G$45</definedName>
    <definedName function="false" hidden="false" name="mot_dot_cn_par_m_fav" vbProcedure="false">Moteurs!$E$45</definedName>
    <definedName function="false" hidden="false" name="mot_ent_cn_par_m" vbProcedure="false">Moteurs!$F$46</definedName>
    <definedName function="false" hidden="false" name="mot_ent_cn_par_m_def" vbProcedure="false">Moteurs!$G$46</definedName>
    <definedName function="false" hidden="false" name="mot_ent_cn_par_m_fav" vbProcedure="false">Moteurs!$E$46</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lux_ca" vbProcedure="false">Moteurs!$F$43</definedName>
    <definedName function="false" hidden="false" name="mot_lux_ca_def" vbProcedure="false">Moteurs!$G$43</definedName>
    <definedName function="false" hidden="false" name="mot_lux_ca_fav" vbProcedure="false">Moteurs!$E$43</definedName>
    <definedName function="false" hidden="false" name="mot_lux_cn" vbProcedure="false">Moteurs!$F$44</definedName>
    <definedName function="false" hidden="false" name="mot_lux_cn_def" vbProcedure="false">Moteurs!$G$44</definedName>
    <definedName function="false" hidden="false" name="mot_lux_cn_fav" vbProcedure="false">Moteurs!$E$44</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Hypotheses!$D$184</definedName>
    <definedName function="false" hidden="false" name="parc_ha_def" vbProcedure="false">Hypotheses!$E$184</definedName>
    <definedName function="false" hidden="false" name="parc_ha_fav" vbProcedure="false">Hypotheses!$C$184</definedName>
    <definedName function="false" hidden="false" name="part_surplus_dotation" vbProcedure="false">Hypotheses!$D$326</definedName>
    <definedName function="false" hidden="false" name="part_surplus_dotation_def" vbProcedure="false">Hypotheses!$E$326</definedName>
    <definedName function="false" hidden="false" name="part_surplus_dotation_fav" vbProcedure="false">Hypotheses!$C$326</definedName>
    <definedName function="false" hidden="false" name="pilotage_actif" vbProcedure="false">Hypotheses!$D$350</definedName>
    <definedName function="false" hidden="false" name="pilotage_actif_def" vbProcedure="false">Hypotheses!$E$350</definedName>
    <definedName function="false" hidden="false" name="pilotage_actif_fav" vbProcedure="false">Hypotheses!$C$350</definedName>
    <definedName function="false" hidden="false" name="prairie_ha" vbProcedure="false">Hypotheses!$D$185</definedName>
    <definedName function="false" hidden="false" name="prairie_ha_def" vbProcedure="false">Hypotheses!$E$185</definedName>
    <definedName function="false" hidden="false" name="prairie_ha_fav" vbProcedure="false">Hypotheses!$C$185</definedName>
    <definedName function="false" hidden="false" name="prix_chaleur_kwh" vbProcedure="false">Hypotheses!$D$550</definedName>
    <definedName function="false" hidden="false" name="prix_chaleur_kwh_def" vbProcedure="false">Hypotheses!$E$550</definedName>
    <definedName function="false" hidden="false" name="prix_chaleur_kwh_fav" vbProcedure="false">Hypotheses!$C$550</definedName>
    <definedName function="false" hidden="false" name="prix_elec_kwh" vbProcedure="false">Hypotheses!$D$551</definedName>
    <definedName function="false" hidden="false" name="prix_elec_kwh_def" vbProcedure="false">Hypotheses!$E$551</definedName>
    <definedName function="false" hidden="false" name="prix_elec_kwh_fav" vbProcedure="false">Hypotheses!$C$551</definedName>
    <definedName function="false" hidden="false" name="prj_Proj_S1_solution_act_nette" vbProcedure="false">Proj_S1_solution!$E$29:$X$29</definedName>
    <definedName function="false" hidden="false" name="prj_Proj_S1_solution_dotation_fin" vbProcedure="false">Proj_S1_solution!$E$42:$X$42</definedName>
    <definedName function="false" hidden="false" name="prj_Proj_S1_solution_flux_solde" vbProcedure="false">Proj_S1_solution!$E$40:$X$40</definedName>
    <definedName function="false" hidden="false" name="prj_Proj_S1_solution_kpi_couverture" vbProcedure="false">Proj_S1_solution!$E$45:$X$45</definedName>
    <definedName function="false" hidden="false" name="prj_Proj_S1_solution_kpi_deficit" vbProcedure="false">Proj_S1_solution!$E$47:$X$47</definedName>
    <definedName function="false" hidden="false" name="prj_Proj_S1_solution_kpi_liquidite" vbProcedure="false">Proj_S1_solution!$E$44:$X$44</definedName>
    <definedName function="false" hidden="false" name="prj_Proj_S1_solution_reserve" vbProcedure="false">Proj_S1_solution!$E$43:$X$43</definedName>
    <definedName function="false" hidden="false" name="prj_Proj_S1_solution_total_charges" vbProcedure="false">Proj_S1_solution!$E$18:$X$18</definedName>
    <definedName function="false" hidden="false" name="prj_Proj_S2_sans_moteur_act_nette" vbProcedure="false">Proj_S2_sans_moteur!$E$29:$X$29</definedName>
    <definedName function="false" hidden="false" name="prj_Proj_S2_sans_moteur_dotation_fin" vbProcedure="false">Proj_S2_sans_moteur!$E$42:$X$42</definedName>
    <definedName function="false" hidden="false" name="prj_Proj_S2_sans_moteur_flux_solde" vbProcedure="false">Proj_S2_sans_moteur!$E$40:$X$40</definedName>
    <definedName function="false" hidden="false" name="prj_Proj_S2_sans_moteur_kpi_couverture" vbProcedure="false">Proj_S2_sans_moteur!$E$45:$X$45</definedName>
    <definedName function="false" hidden="false" name="prj_Proj_S2_sans_moteur_kpi_deficit" vbProcedure="false">Proj_S2_sans_moteur!$E$47:$X$47</definedName>
    <definedName function="false" hidden="false" name="prj_Proj_S2_sans_moteur_kpi_liquidite" vbProcedure="false">Proj_S2_sans_moteur!$E$44:$X$44</definedName>
    <definedName function="false" hidden="false" name="prj_Proj_S2_sans_moteur_reserve" vbProcedure="false">Proj_S2_sans_moteur!$E$43:$X$43</definedName>
    <definedName function="false" hidden="false" name="prj_Proj_S2_sans_moteur_total_charges" vbProcedure="false">Proj_S2_sans_moteur!$E$18:$X$18</definedName>
    <definedName function="false" hidden="false" name="prj_Proj_S2_solution_act_nette" vbProcedure="false">Proj_S2_solution!$E$29:$X$29</definedName>
    <definedName function="false" hidden="false" name="prj_Proj_S2_solution_dotation_fin" vbProcedure="false">Proj_S2_solution!$E$42:$X$42</definedName>
    <definedName function="false" hidden="false" name="prj_Proj_S2_solution_flux_solde" vbProcedure="false">Proj_S2_solution!$E$40:$X$40</definedName>
    <definedName function="false" hidden="false" name="prj_Proj_S2_solution_kpi_couverture" vbProcedure="false">Proj_S2_solution!$E$45:$X$45</definedName>
    <definedName function="false" hidden="false" name="prj_Proj_S2_solution_kpi_deficit" vbProcedure="false">Proj_S2_solution!$E$47:$X$47</definedName>
    <definedName function="false" hidden="false" name="prj_Proj_S2_solution_kpi_liquidite" vbProcedure="false">Proj_S2_solution!$E$44:$X$44</definedName>
    <definedName function="false" hidden="false" name="prj_Proj_S2_solution_reserve" vbProcedure="false">Proj_S2_solution!$E$43:$X$43</definedName>
    <definedName function="false" hidden="false" name="prj_Proj_S2_solution_total_charges" vbProcedure="false">Proj_S2_solution!$E$18:$X$18</definedName>
    <definedName function="false" hidden="false" name="prj_Proj_S3_solution_act_nette" vbProcedure="false">Proj_S3_solution!$E$29:$X$29</definedName>
    <definedName function="false" hidden="false" name="prj_Proj_S3_solution_dotation_fin" vbProcedure="false">Proj_S3_solution!$E$42:$X$42</definedName>
    <definedName function="false" hidden="false" name="prj_Proj_S3_solution_flux_solde" vbProcedure="false">Proj_S3_solution!$E$40:$X$40</definedName>
    <definedName function="false" hidden="false" name="prj_Proj_S3_solution_kpi_couverture" vbProcedure="false">Proj_S3_solution!$E$45:$X$45</definedName>
    <definedName function="false" hidden="false" name="prj_Proj_S3_solution_kpi_deficit" vbProcedure="false">Proj_S3_solution!$E$47:$X$47</definedName>
    <definedName function="false" hidden="false" name="prj_Proj_S3_solution_kpi_liquidite" vbProcedure="false">Proj_S3_solution!$E$44:$X$44</definedName>
    <definedName function="false" hidden="false" name="prj_Proj_S3_solution_reserve" vbProcedure="false">Proj_S3_solution!$E$43:$X$43</definedName>
    <definedName function="false" hidden="false" name="prj_Proj_S3_solution_total_charges" vbProcedure="false">Proj_S3_solution!$E$18:$X$18</definedName>
    <definedName function="false" hidden="false" name="prj_ST_S1_cumul_act_nette" vbProcedure="false">ST_S1_cumul!$E$29:$X$29</definedName>
    <definedName function="false" hidden="false" name="prj_ST_S1_cumul_dotation_fin" vbProcedure="false">ST_S1_cumul!$E$42:$X$42</definedName>
    <definedName function="false" hidden="false" name="prj_ST_S1_cumul_flux_solde" vbProcedure="false">ST_S1_cumul!$E$40:$X$40</definedName>
    <definedName function="false" hidden="false" name="prj_ST_S1_cumul_kpi_couverture" vbProcedure="false">ST_S1_cumul!$E$45:$X$45</definedName>
    <definedName function="false" hidden="false" name="prj_ST_S1_cumul_kpi_deficit" vbProcedure="false">ST_S1_cumul!$E$47:$X$47</definedName>
    <definedName function="false" hidden="false" name="prj_ST_S1_cumul_kpi_liquidite" vbProcedure="false">ST_S1_cumul!$E$44:$X$44</definedName>
    <definedName function="false" hidden="false" name="prj_ST_S1_cumul_reserve" vbProcedure="false">ST_S1_cumul!$E$43:$X$43</definedName>
    <definedName function="false" hidden="false" name="prj_ST_S1_cumul_total_charges" vbProcedure="false">ST_S1_cumul!$E$18:$X$18</definedName>
    <definedName function="false" hidden="false" name="prj_ST_S2_ca30_act_nette" vbProcedure="false">ST_S2_ca30!$E$29:$X$29</definedName>
    <definedName function="false" hidden="false" name="prj_ST_S2_ca30_dotation_fin" vbProcedure="false">ST_S2_ca30!$E$42:$X$42</definedName>
    <definedName function="false" hidden="false" name="prj_ST_S2_ca30_flux_solde" vbProcedure="false">ST_S2_ca30!$E$40:$X$40</definedName>
    <definedName function="false" hidden="false" name="prj_ST_S2_ca30_kpi_couverture" vbProcedure="false">ST_S2_ca30!$E$45:$X$45</definedName>
    <definedName function="false" hidden="false" name="prj_ST_S2_ca30_kpi_deficit" vbProcedure="false">ST_S2_ca30!$E$47:$X$47</definedName>
    <definedName function="false" hidden="false" name="prj_ST_S2_ca30_kpi_liquidite" vbProcedure="false">ST_S2_ca30!$E$44:$X$44</definedName>
    <definedName function="false" hidden="false" name="prj_ST_S2_ca30_reserve" vbProcedure="false">ST_S2_ca30!$E$43:$X$43</definedName>
    <definedName function="false" hidden="false" name="prj_ST_S2_ca30_total_charges" vbProcedure="false">ST_S2_ca30!$E$18:$X$18</definedName>
    <definedName function="false" hidden="false" name="prj_ST_S2_crise_act_nette" vbProcedure="false">ST_S2_crise!$E$29:$X$29</definedName>
    <definedName function="false" hidden="false" name="prj_ST_S2_crise_dotation_fin" vbProcedure="false">ST_S2_crise!$E$42:$X$42</definedName>
    <definedName function="false" hidden="false" name="prj_ST_S2_crise_flux_solde" vbProcedure="false">ST_S2_crise!$E$40:$X$40</definedName>
    <definedName function="false" hidden="false" name="prj_ST_S2_crise_kpi_couverture" vbProcedure="false">ST_S2_crise!$E$45:$X$45</definedName>
    <definedName function="false" hidden="false" name="prj_ST_S2_crise_kpi_deficit" vbProcedure="false">ST_S2_crise!$E$47:$X$47</definedName>
    <definedName function="false" hidden="false" name="prj_ST_S2_crise_kpi_liquidite" vbProcedure="false">ST_S2_crise!$E$44:$X$44</definedName>
    <definedName function="false" hidden="false" name="prj_ST_S2_crise_reserve" vbProcedure="false">ST_S2_crise!$E$43:$X$43</definedName>
    <definedName function="false" hidden="false" name="prj_ST_S2_crise_total_charges" vbProcedure="false">ST_S2_crise!$E$18:$X$18</definedName>
    <definedName function="false" hidden="false" name="prj_ST_S2_cumul_act_nette" vbProcedure="false">ST_S2_cumul!$E$29:$X$29</definedName>
    <definedName function="false" hidden="false" name="prj_ST_S2_cumul_dotation_fin" vbProcedure="false">ST_S2_cumul!$E$42:$X$42</definedName>
    <definedName function="false" hidden="false" name="prj_ST_S2_cumul_flux_solde" vbProcedure="false">ST_S2_cumul!$E$40:$X$40</definedName>
    <definedName function="false" hidden="false" name="prj_ST_S2_cumul_kpi_couverture" vbProcedure="false">ST_S2_cumul!$E$45:$X$45</definedName>
    <definedName function="false" hidden="false" name="prj_ST_S2_cumul_kpi_deficit" vbProcedure="false">ST_S2_cumul!$E$47:$X$47</definedName>
    <definedName function="false" hidden="false" name="prj_ST_S2_cumul_kpi_liquidite" vbProcedure="false">ST_S2_cumul!$E$44:$X$44</definedName>
    <definedName function="false" hidden="false" name="prj_ST_S2_cumul_reserve" vbProcedure="false">ST_S2_cumul!$E$43:$X$43</definedName>
    <definedName function="false" hidden="false" name="prj_ST_S2_cumul_total_charges" vbProcedure="false">ST_S2_cumul!$E$18:$X$18</definedName>
    <definedName function="false" hidden="false" name="prj_ST_S2_energie_act_nette" vbProcedure="false">ST_S2_energie!$E$29:$X$29</definedName>
    <definedName function="false" hidden="false" name="prj_ST_S2_energie_dotation_fin" vbProcedure="false">ST_S2_energie!$E$42:$X$42</definedName>
    <definedName function="false" hidden="false" name="prj_ST_S2_energie_flux_solde" vbProcedure="false">ST_S2_energie!$E$40:$X$40</definedName>
    <definedName function="false" hidden="false" name="prj_ST_S2_energie_kpi_couverture" vbProcedure="false">ST_S2_energie!$E$45:$X$45</definedName>
    <definedName function="false" hidden="false" name="prj_ST_S2_energie_kpi_deficit" vbProcedure="false">ST_S2_energie!$E$47:$X$47</definedName>
    <definedName function="false" hidden="false" name="prj_ST_S2_energie_kpi_liquidite" vbProcedure="false">ST_S2_energie!$E$44:$X$44</definedName>
    <definedName function="false" hidden="false" name="prj_ST_S2_energie_reserve" vbProcedure="false">ST_S2_energie!$E$43:$X$43</definedName>
    <definedName function="false" hidden="false" name="prj_ST_S2_energie_total_charges" vbProcedure="false">ST_S2_energie!$E$18:$X$18</definedName>
    <definedName function="false" hidden="false" name="prj_ST_S2_moteur_act_nette" vbProcedure="false">ST_S2_moteur!$E$29:$X$29</definedName>
    <definedName function="false" hidden="false" name="prj_ST_S2_moteur_dotation_fin" vbProcedure="false">ST_S2_moteur!$E$42:$X$42</definedName>
    <definedName function="false" hidden="false" name="prj_ST_S2_moteur_flux_solde" vbProcedure="false">ST_S2_moteur!$E$40:$X$40</definedName>
    <definedName function="false" hidden="false" name="prj_ST_S2_moteur_kpi_couverture" vbProcedure="false">ST_S2_moteur!$E$45:$X$45</definedName>
    <definedName function="false" hidden="false" name="prj_ST_S2_moteur_kpi_deficit" vbProcedure="false">ST_S2_moteur!$E$47:$X$47</definedName>
    <definedName function="false" hidden="false" name="prj_ST_S2_moteur_kpi_liquidite" vbProcedure="false">ST_S2_moteur!$E$44:$X$44</definedName>
    <definedName function="false" hidden="false" name="prj_ST_S2_moteur_reserve" vbProcedure="false">ST_S2_moteur!$E$43:$X$43</definedName>
    <definedName function="false" hidden="false" name="prj_ST_S2_moteur_total_charges" vbProcedure="false">ST_S2_moteur!$E$18:$X$18</definedName>
    <definedName function="false" hidden="false" name="prj_ST_S2_salaires_act_nette" vbProcedure="false">ST_S2_salaires!$E$29:$X$29</definedName>
    <definedName function="false" hidden="false" name="prj_ST_S2_salaires_dotation_fin" vbProcedure="false">ST_S2_salaires!$E$42:$X$42</definedName>
    <definedName function="false" hidden="false" name="prj_ST_S2_salaires_flux_solde" vbProcedure="false">ST_S2_salaires!$E$40:$X$40</definedName>
    <definedName function="false" hidden="false" name="prj_ST_S2_salaires_kpi_couverture" vbProcedure="false">ST_S2_salaires!$E$45:$X$45</definedName>
    <definedName function="false" hidden="false" name="prj_ST_S2_salaires_kpi_deficit" vbProcedure="false">ST_S2_salaires!$E$47:$X$47</definedName>
    <definedName function="false" hidden="false" name="prj_ST_S2_salaires_kpi_liquidite" vbProcedure="false">ST_S2_salaires!$E$44:$X$44</definedName>
    <definedName function="false" hidden="false" name="prj_ST_S2_salaires_reserve" vbProcedure="false">ST_S2_salaires!$E$43:$X$43</definedName>
    <definedName function="false" hidden="false" name="prj_ST_S2_salaires_total_charges" vbProcedure="false">ST_S2_salaires!$E$18:$X$18</definedName>
    <definedName function="false" hidden="false" name="prj_ST_S2_travaux_act_nette" vbProcedure="false">ST_S2_travaux!$E$29:$X$29</definedName>
    <definedName function="false" hidden="false" name="prj_ST_S2_travaux_dotation_fin" vbProcedure="false">ST_S2_travaux!$E$42:$X$42</definedName>
    <definedName function="false" hidden="false" name="prj_ST_S2_travaux_flux_solde" vbProcedure="false">ST_S2_travaux!$E$40:$X$40</definedName>
    <definedName function="false" hidden="false" name="prj_ST_S2_travaux_kpi_couverture" vbProcedure="false">ST_S2_travaux!$E$45:$X$45</definedName>
    <definedName function="false" hidden="false" name="prj_ST_S2_travaux_kpi_deficit" vbProcedure="false">ST_S2_travaux!$E$47:$X$47</definedName>
    <definedName function="false" hidden="false" name="prj_ST_S2_travaux_kpi_liquidite" vbProcedure="false">ST_S2_travaux!$E$44:$X$44</definedName>
    <definedName function="false" hidden="false" name="prj_ST_S2_travaux_reserve" vbProcedure="false">ST_S2_travaux!$E$43:$X$43</definedName>
    <definedName function="false" hidden="false" name="prj_ST_S2_travaux_total_charges" vbProcedure="false">ST_S2_travaux!$E$18:$X$18</definedName>
    <definedName function="false" hidden="false" name="pv_ha" vbProcedure="false">Hypotheses!$D$214</definedName>
    <definedName function="false" hidden="false" name="pv_ha_def" vbProcedure="false">Hypotheses!$E$214</definedName>
    <definedName function="false" hidden="false" name="pv_ha_fav" vbProcedure="false">Hypotheses!$C$214</definedName>
    <definedName function="false" hidden="false" name="pv_loyer_ha" vbProcedure="false">Hypotheses!$D$215</definedName>
    <definedName function="false" hidden="false" name="pv_loyer_ha_def" vbProcedure="false">Hypotheses!$E$215</definedName>
    <definedName function="false" hidden="false" name="pv_loyer_ha_fav" vbProcedure="false">Hypotheses!$C$215</definedName>
    <definedName function="false" hidden="false" name="rampe_an1" vbProcedure="false">Hypotheses!$D$327</definedName>
    <definedName function="false" hidden="false" name="rampe_an1_def" vbProcedure="false">Hypotheses!$E$327</definedName>
    <definedName function="false" hidden="false" name="rampe_an1_fav" vbProcedure="false">Hypotheses!$C$327</definedName>
    <definedName function="false" hidden="false" name="rampe_an2" vbProcedure="false">Hypotheses!$D$328</definedName>
    <definedName function="false" hidden="false" name="rampe_an2_def" vbProcedure="false">Hypotheses!$E$328</definedName>
    <definedName function="false" hidden="false" name="rampe_an2_fav" vbProcedure="false">Hypotheses!$C$328</definedName>
    <definedName function="false" hidden="false" name="repro_contrib" vbProcedure="false">Hypotheses!$D$234</definedName>
    <definedName function="false" hidden="false" name="repro_contrib_def" vbProcedure="false">Hypotheses!$E$234</definedName>
    <definedName function="false" hidden="false" name="repro_contrib_fav" vbProcedure="false">Hypotheses!$C$234</definedName>
    <definedName function="false" hidden="false" name="retrait_urgence" vbProcedure="false">Hypotheses!$D$351</definedName>
    <definedName function="false" hidden="false" name="retrait_urgence_def" vbProcedure="false">Hypotheses!$E$351</definedName>
    <definedName function="false" hidden="false" name="retrait_urgence_fav" vbProcedure="false">Hypotheses!$C$351</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Hypotheses!$D$269</definedName>
    <definedName function="false" hidden="false" name="S1_cout_direction_def" vbProcedure="false">Hypotheses!$E$269</definedName>
    <definedName function="false" hidden="false" name="S1_cout_direction_fav" vbProcedure="false">Hypotheses!$C$269</definedName>
    <definedName function="false" hidden="false" name="S1_cout_gouvernance" vbProcedure="false">Hypotheses!$D$270</definedName>
    <definedName function="false" hidden="false" name="S1_cout_gouvernance_def" vbProcedure="false">Hypotheses!$E$270</definedName>
    <definedName function="false" hidden="false" name="S1_cout_gouvernance_fav" vbProcedure="false">Hypotheses!$C$270</definedName>
    <definedName function="false" hidden="false" name="S1_eau" vbProcedure="false">Hypotheses!$D$539</definedName>
    <definedName function="false" hidden="false" name="S1_eau_def" vbProcedure="false">Hypotheses!$E$539</definedName>
    <definedName function="false" hidden="false" name="S1_eau_fav" vbProcedure="false">Hypotheses!$C$539</definedName>
    <definedName function="false" hidden="false" name="S1_ech_bois" vbProcedure="false">Hypotheses!$D$354</definedName>
    <definedName function="false" hidden="false" name="S1_ech_bois_def" vbProcedure="false">Hypotheses!$E$354</definedName>
    <definedName function="false" hidden="false" name="S1_ech_bois_fav" vbProcedure="false">Hypotheses!$C$354</definedName>
    <definedName function="false" hidden="false" name="S1_ech_eq_ret" vbProcedure="false">Hypotheses!$D$355</definedName>
    <definedName function="false" hidden="false" name="S1_ech_eq_ret_def" vbProcedure="false">Hypotheses!$E$355</definedName>
    <definedName function="false" hidden="false" name="S1_ech_eq_ret_fav" vbProcedure="false">Hypotheses!$C$355</definedName>
    <definedName function="false" hidden="false" name="S1_ech_eq_std" vbProcedure="false">Hypotheses!$D$356</definedName>
    <definedName function="false" hidden="false" name="S1_ech_eq_std_def" vbProcedure="false">Hypotheses!$E$356</definedName>
    <definedName function="false" hidden="false" name="S1_ech_eq_std_fav" vbProcedure="false">Hypotheses!$C$356</definedName>
    <definedName function="false" hidden="false" name="S1_ech_log" vbProcedure="false">Hypotheses!$D$357</definedName>
    <definedName function="false" hidden="false" name="S1_ech_log_def" vbProcedure="false">Hypotheses!$E$357</definedName>
    <definedName function="false" hidden="false" name="S1_ech_log_fav" vbProcedure="false">Hypotheses!$C$357</definedName>
    <definedName function="false" hidden="false" name="S1_ech_pv" vbProcedure="false">Hypotheses!$D$358</definedName>
    <definedName function="false" hidden="false" name="S1_ech_pv_def" vbProcedure="false">Hypotheses!$E$358</definedName>
    <definedName function="false" hidden="false" name="S1_ech_pv_fav" vbProcedure="false">Hypotheses!$C$358</definedName>
    <definedName function="false" hidden="false" name="S1_ech_stock" vbProcedure="false">Hypotheses!$D$359</definedName>
    <definedName function="false" hidden="false" name="S1_ech_stock_def" vbProcedure="false">Hypotheses!$E$359</definedName>
    <definedName function="false" hidden="false" name="S1_ech_stock_fav" vbProcedure="false">Hypotheses!$C$359</definedName>
    <definedName function="false" hidden="false" name="S1_ech_tourn" vbProcedure="false">Hypotheses!$D$360</definedName>
    <definedName function="false" hidden="false" name="S1_ech_tourn_def" vbProcedure="false">Hypotheses!$E$360</definedName>
    <definedName function="false" hidden="false" name="S1_ech_tourn_fav" vbProcedure="false">Hypotheses!$C$360</definedName>
    <definedName function="false" hidden="false" name="S1_elec_kwh" vbProcedure="false">Hypotheses!$D$540</definedName>
    <definedName function="false" hidden="false" name="S1_elec_kwh_def" vbProcedure="false">Hypotheses!$E$540</definedName>
    <definedName function="false" hidden="false" name="S1_elec_kwh_fav" vbProcedure="false">Hypotheses!$C$540</definedName>
    <definedName function="false" hidden="false" name="S1_etp_admin" vbProcedure="false">Hypotheses!$D$284</definedName>
    <definedName function="false" hidden="false" name="S1_etp_admin_def" vbProcedure="false">Hypotheses!$E$284</definedName>
    <definedName function="false" hidden="false" name="S1_etp_admin_fav" vbProcedure="false">Hypotheses!$C$284</definedName>
    <definedName function="false" hidden="false" name="S1_etp_agricole" vbProcedure="false">Hypotheses!$D$285</definedName>
    <definedName function="false" hidden="false" name="S1_etp_agricole_def" vbProcedure="false">Hypotheses!$E$285</definedName>
    <definedName function="false" hidden="false" name="S1_etp_agricole_fav" vbProcedure="false">Hypotheses!$C$285</definedName>
    <definedName function="false" hidden="false" name="S1_etp_chef_jardinier" vbProcedure="false">Hypotheses!$D$286</definedName>
    <definedName function="false" hidden="false" name="S1_etp_chef_jardinier_def" vbProcedure="false">Hypotheses!$E$286</definedName>
    <definedName function="false" hidden="false" name="S1_etp_chef_jardinier_fav" vbProcedure="false">Hypotheses!$C$286</definedName>
    <definedName function="false" hidden="false" name="S1_etp_direction" vbProcedure="false">Hypotheses!$D$287</definedName>
    <definedName function="false" hidden="false" name="S1_etp_direction_def" vbProcedure="false">Hypotheses!$E$287</definedName>
    <definedName function="false" hidden="false" name="S1_etp_direction_fav" vbProcedure="false">Hypotheses!$C$287</definedName>
    <definedName function="false" hidden="false" name="S1_etp_entretien" vbProcedure="false">Hypotheses!$D$288</definedName>
    <definedName function="false" hidden="false" name="S1_etp_entretien_def" vbProcedure="false">Hypotheses!$E$288</definedName>
    <definedName function="false" hidden="false" name="S1_etp_entretien_fav" vbProcedure="false">Hypotheses!$C$288</definedName>
    <definedName function="false" hidden="false" name="S1_etp_gouvernance" vbProcedure="false">Hypotheses!$D$289</definedName>
    <definedName function="false" hidden="false" name="S1_etp_gouvernance_def" vbProcedure="false">Hypotheses!$E$289</definedName>
    <definedName function="false" hidden="false" name="S1_etp_gouvernance_fav" vbProcedure="false">Hypotheses!$C$289</definedName>
    <definedName function="false" hidden="false" name="S1_etp_jardin" vbProcedure="false">Hypotheses!$D$290</definedName>
    <definedName function="false" hidden="false" name="S1_etp_jardin_def" vbProcedure="false">Hypotheses!$E$290</definedName>
    <definedName function="false" hidden="false" name="S1_etp_jardin_fav" vbProcedure="false">Hypotheses!$C$290</definedName>
    <definedName function="false" hidden="false" name="S1_etp_maison" vbProcedure="false">Hypotheses!$D$291</definedName>
    <definedName function="false" hidden="false" name="S1_etp_maison_def" vbProcedure="false">Hypotheses!$E$291</definedName>
    <definedName function="false" hidden="false" name="S1_etp_maison_fav" vbProcedure="false">Hypotheses!$C$291</definedName>
    <definedName function="false" hidden="false" name="S1_etp_resp_ecurie" vbProcedure="false">Hypotheses!$D$292</definedName>
    <definedName function="false" hidden="false" name="S1_etp_resp_ecurie_def" vbProcedure="false">Hypotheses!$E$292</definedName>
    <definedName function="false" hidden="false" name="S1_etp_resp_ecurie_fav" vbProcedure="false">Hypotheses!$C$292</definedName>
    <definedName function="false" hidden="false" name="S1_etp_soigneur" vbProcedure="false">Hypotheses!$D$293</definedName>
    <definedName function="false" hidden="false" name="S1_etp_soigneur_def" vbProcedure="false">Hypotheses!$E$293</definedName>
    <definedName function="false" hidden="false" name="S1_etp_soigneur_fav" vbProcedure="false">Hypotheses!$C$293</definedName>
    <definedName function="false" hidden="false" name="S1_ha_bois" vbProcedure="false">Hypotheses!$D$383</definedName>
    <definedName function="false" hidden="false" name="S1_ha_bois_def" vbProcedure="false">Hypotheses!$E$383</definedName>
    <definedName function="false" hidden="false" name="S1_ha_bois_fav" vbProcedure="false">Hypotheses!$C$383</definedName>
    <definedName function="false" hidden="false" name="S1_ha_jardins" vbProcedure="false">Hypotheses!$D$384</definedName>
    <definedName function="false" hidden="false" name="S1_ha_jardins_def" vbProcedure="false">Hypotheses!$E$384</definedName>
    <definedName function="false" hidden="false" name="S1_ha_jardins_fav" vbProcedure="false">Hypotheses!$C$384</definedName>
    <definedName function="false" hidden="false" name="S1_ha_parc" vbProcedure="false">Hypotheses!$D$385</definedName>
    <definedName function="false" hidden="false" name="S1_ha_parc_def" vbProcedure="false">Hypotheses!$E$385</definedName>
    <definedName function="false" hidden="false" name="S1_ha_parc_fav" vbProcedure="false">Hypotheses!$C$385</definedName>
    <definedName function="false" hidden="false" name="S1_ha_prairies" vbProcedure="false">Hypotheses!$D$386</definedName>
    <definedName function="false" hidden="false" name="S1_ha_prairies_def" vbProcedure="false">Hypotheses!$E$386</definedName>
    <definedName function="false" hidden="false" name="S1_ha_prairies_fav" vbProcedure="false">Hypotheses!$C$386</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Hypotheses!$D$387</definedName>
    <definedName function="false" hidden="false" name="S1_ml_clotures_def" vbProcedure="false">Hypotheses!$E$387</definedName>
    <definedName function="false" hidden="false" name="S1_ml_clotures_fav" vbProcedure="false">Hypotheses!$C$387</definedName>
    <definedName function="false" hidden="false" name="S1_nb_baies" vbProcedure="false">Hypotheses!$D$388</definedName>
    <definedName function="false" hidden="false" name="S1_nb_baies_def" vbProcedure="false">Hypotheses!$E$388</definedName>
    <definedName function="false" hidden="false" name="S1_nb_baies_fav" vbProcedure="false">Hypotheses!$C$388</definedName>
    <definedName function="false" hidden="false" name="S1_nb_boxes" vbProcedure="false">Hypotheses!$D$389</definedName>
    <definedName function="false" hidden="false" name="S1_nb_boxes_def" vbProcedure="false">Hypotheses!$E$389</definedName>
    <definedName function="false" hidden="false" name="S1_nb_boxes_fav" vbProcedure="false">Hypotheses!$C$389</definedName>
    <definedName function="false" hidden="false" name="S1_nb_chevaux" vbProcedure="false">Hypotheses!$D$390</definedName>
    <definedName function="false" hidden="false" name="S1_nb_chevaux_def" vbProcedure="false">Hypotheses!$E$390</definedName>
    <definedName function="false" hidden="false" name="S1_nb_chevaux_fav" vbProcedure="false">Hypotheses!$C$390</definedName>
    <definedName function="false" hidden="false" name="S1_prix_achat" vbProcedure="false">Hypotheses!$D$376</definedName>
    <definedName function="false" hidden="false" name="S1_prix_achat_def" vbProcedure="false">Hypotheses!$E$376</definedName>
    <definedName function="false" hidden="false" name="S1_prix_achat_fav" vbProcedure="false">Hypotheses!$C$376</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Hypotheses!$D$332</definedName>
    <definedName function="false" hidden="false" name="S1_sol_div_annees" vbProcedure="false">Hypotheses!$D$333</definedName>
    <definedName function="false" hidden="false" name="S1_sol_div_annees_def" vbProcedure="false">Hypotheses!$E$333</definedName>
    <definedName function="false" hidden="false" name="S1_sol_div_annees_fav" vbProcedure="false">Hypotheses!$C$333</definedName>
    <definedName function="false" hidden="false" name="S1_sol_div_def" vbProcedure="false">Hypotheses!$E$332</definedName>
    <definedName function="false" hidden="false" name="S1_sol_div_fav" vbProcedure="false">Hypotheses!$C$332</definedName>
    <definedName function="false" hidden="false" name="S1_sol_dotation0" vbProcedure="false">Hypotheses!$D$334</definedName>
    <definedName function="false" hidden="false" name="S1_sol_dotation0_def" vbProcedure="false">Hypotheses!$E$334</definedName>
    <definedName function="false" hidden="false" name="S1_sol_dotation0_fav" vbProcedure="false">Hypotheses!$C$334</definedName>
    <definedName function="false" hidden="false" name="S1_sol_reserve0" vbProcedure="false">Hypotheses!$D$335</definedName>
    <definedName function="false" hidden="false" name="S1_sol_reserve0_def" vbProcedure="false">Hypotheses!$E$335</definedName>
    <definedName function="false" hidden="false" name="S1_sol_reserve0_fav" vbProcedure="false">Hypotheses!$C$335</definedName>
    <definedName function="false" hidden="false" name="S1_surf_chateau" vbProcedure="false">Hypotheses!$D$391</definedName>
    <definedName function="false" hidden="false" name="S1_surf_chateau_def" vbProcedure="false">Hypotheses!$E$391</definedName>
    <definedName function="false" hidden="false" name="S1_surf_chateau_fav" vbProcedure="false">Hypotheses!$C$391</definedName>
    <definedName function="false" hidden="false" name="S1_surf_chauffee" vbProcedure="false">Hypotheses!$D$541</definedName>
    <definedName function="false" hidden="false" name="S1_surf_chauffee_def" vbProcedure="false">Hypotheses!$E$541</definedName>
    <definedName function="false" hidden="false" name="S1_surf_chauffee_fav" vbProcedure="false">Hypotheses!$C$541</definedName>
    <definedName function="false" hidden="false" name="S1_surf_dep" vbProcedure="false">Hypotheses!$D$392</definedName>
    <definedName function="false" hidden="false" name="S1_surf_dep_def" vbProcedure="false">Hypotheses!$E$392</definedName>
    <definedName function="false" hidden="false" name="S1_surf_dep_fav" vbProcedure="false">Hypotheses!$C$392</definedName>
    <definedName function="false" hidden="false" name="S1_surf_facades" vbProcedure="false">Hypotheses!$D$393</definedName>
    <definedName function="false" hidden="false" name="S1_surf_facades_def" vbProcedure="false">Hypotheses!$E$393</definedName>
    <definedName function="false" hidden="false" name="S1_surf_facades_fav" vbProcedure="false">Hypotheses!$C$393</definedName>
    <definedName function="false" hidden="false" name="S1_surf_manege" vbProcedure="false">Hypotheses!$D$394</definedName>
    <definedName function="false" hidden="false" name="S1_surf_manege_def" vbProcedure="false">Hypotheses!$E$394</definedName>
    <definedName function="false" hidden="false" name="S1_surf_manege_fav" vbProcedure="false">Hypotheses!$C$394</definedName>
    <definedName function="false" hidden="false" name="S1_surf_pistes" vbProcedure="false">Hypotheses!$D$395</definedName>
    <definedName function="false" hidden="false" name="S1_surf_pistes_def" vbProcedure="false">Hypotheses!$E$395</definedName>
    <definedName function="false" hidden="false" name="S1_surf_pistes_fav" vbProcedure="false">Hypotheses!$C$395</definedName>
    <definedName function="false" hidden="false" name="S1_surf_toits" vbProcedure="false">Hypotheses!$D$396</definedName>
    <definedName function="false" hidden="false" name="S1_surf_toits_def" vbProcedure="false">Hypotheses!$E$396</definedName>
    <definedName function="false" hidden="false" name="S1_surf_toits_fav" vbProcedure="false">Hypotheses!$C$396</definedName>
    <definedName function="false" hidden="false" name="S1_valeur_equip" vbProcedure="false">Hypotheses!$D$171</definedName>
    <definedName function="false" hidden="false" name="S1_valeur_equip_def" vbProcedure="false">Hypotheses!$E$171</definedName>
    <definedName function="false" hidden="false" name="S1_valeur_equip_fav" vbProcedure="false">Hypotheses!$C$171</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Hypotheses!$D$271</definedName>
    <definedName function="false" hidden="false" name="S2_cout_direction_def" vbProcedure="false">Hypotheses!$E$271</definedName>
    <definedName function="false" hidden="false" name="S2_cout_direction_fav" vbProcedure="false">Hypotheses!$C$271</definedName>
    <definedName function="false" hidden="false" name="S2_cout_gouvernance" vbProcedure="false">Hypotheses!$D$272</definedName>
    <definedName function="false" hidden="false" name="S2_cout_gouvernance_def" vbProcedure="false">Hypotheses!$E$272</definedName>
    <definedName function="false" hidden="false" name="S2_cout_gouvernance_fav" vbProcedure="false">Hypotheses!$C$272</definedName>
    <definedName function="false" hidden="false" name="S2_eau" vbProcedure="false">Hypotheses!$D$542</definedName>
    <definedName function="false" hidden="false" name="S2_eau_def" vbProcedure="false">Hypotheses!$E$542</definedName>
    <definedName function="false" hidden="false" name="S2_eau_fav" vbProcedure="false">Hypotheses!$C$542</definedName>
    <definedName function="false" hidden="false" name="S2_ech_bois" vbProcedure="false">Hypotheses!$D$361</definedName>
    <definedName function="false" hidden="false" name="S2_ech_bois_def" vbProcedure="false">Hypotheses!$E$361</definedName>
    <definedName function="false" hidden="false" name="S2_ech_bois_fav" vbProcedure="false">Hypotheses!$C$361</definedName>
    <definedName function="false" hidden="false" name="S2_ech_eq_ret" vbProcedure="false">Hypotheses!$D$362</definedName>
    <definedName function="false" hidden="false" name="S2_ech_eq_ret_def" vbProcedure="false">Hypotheses!$E$362</definedName>
    <definedName function="false" hidden="false" name="S2_ech_eq_ret_fav" vbProcedure="false">Hypotheses!$C$362</definedName>
    <definedName function="false" hidden="false" name="S2_ech_eq_std" vbProcedure="false">Hypotheses!$D$363</definedName>
    <definedName function="false" hidden="false" name="S2_ech_eq_std_def" vbProcedure="false">Hypotheses!$E$363</definedName>
    <definedName function="false" hidden="false" name="S2_ech_eq_std_fav" vbProcedure="false">Hypotheses!$C$363</definedName>
    <definedName function="false" hidden="false" name="S2_ech_log" vbProcedure="false">Hypotheses!$D$364</definedName>
    <definedName function="false" hidden="false" name="S2_ech_log_def" vbProcedure="false">Hypotheses!$E$364</definedName>
    <definedName function="false" hidden="false" name="S2_ech_log_fav" vbProcedure="false">Hypotheses!$C$364</definedName>
    <definedName function="false" hidden="false" name="S2_ech_pv" vbProcedure="false">Hypotheses!$D$365</definedName>
    <definedName function="false" hidden="false" name="S2_ech_pv_def" vbProcedure="false">Hypotheses!$E$365</definedName>
    <definedName function="false" hidden="false" name="S2_ech_pv_fav" vbProcedure="false">Hypotheses!$C$365</definedName>
    <definedName function="false" hidden="false" name="S2_ech_stock" vbProcedure="false">Hypotheses!$D$366</definedName>
    <definedName function="false" hidden="false" name="S2_ech_stock_def" vbProcedure="false">Hypotheses!$E$366</definedName>
    <definedName function="false" hidden="false" name="S2_ech_stock_fav" vbProcedure="false">Hypotheses!$C$366</definedName>
    <definedName function="false" hidden="false" name="S2_ech_tourn" vbProcedure="false">Hypotheses!$D$367</definedName>
    <definedName function="false" hidden="false" name="S2_ech_tourn_def" vbProcedure="false">Hypotheses!$E$367</definedName>
    <definedName function="false" hidden="false" name="S2_ech_tourn_fav" vbProcedure="false">Hypotheses!$C$367</definedName>
    <definedName function="false" hidden="false" name="S2_elec_kwh" vbProcedure="false">Hypotheses!$D$543</definedName>
    <definedName function="false" hidden="false" name="S2_elec_kwh_def" vbProcedure="false">Hypotheses!$E$543</definedName>
    <definedName function="false" hidden="false" name="S2_elec_kwh_fav" vbProcedure="false">Hypotheses!$C$543</definedName>
    <definedName function="false" hidden="false" name="S2_etp_admin" vbProcedure="false">Hypotheses!$D$294</definedName>
    <definedName function="false" hidden="false" name="S2_etp_admin_def" vbProcedure="false">Hypotheses!$E$294</definedName>
    <definedName function="false" hidden="false" name="S2_etp_admin_fav" vbProcedure="false">Hypotheses!$C$294</definedName>
    <definedName function="false" hidden="false" name="S2_etp_agricole" vbProcedure="false">Hypotheses!$D$295</definedName>
    <definedName function="false" hidden="false" name="S2_etp_agricole_def" vbProcedure="false">Hypotheses!$E$295</definedName>
    <definedName function="false" hidden="false" name="S2_etp_agricole_fav" vbProcedure="false">Hypotheses!$C$295</definedName>
    <definedName function="false" hidden="false" name="S2_etp_chef_jardinier" vbProcedure="false">Hypotheses!$D$296</definedName>
    <definedName function="false" hidden="false" name="S2_etp_chef_jardinier_def" vbProcedure="false">Hypotheses!$E$296</definedName>
    <definedName function="false" hidden="false" name="S2_etp_chef_jardinier_fav" vbProcedure="false">Hypotheses!$C$296</definedName>
    <definedName function="false" hidden="false" name="S2_etp_direction" vbProcedure="false">Hypotheses!$D$297</definedName>
    <definedName function="false" hidden="false" name="S2_etp_direction_def" vbProcedure="false">Hypotheses!$E$297</definedName>
    <definedName function="false" hidden="false" name="S2_etp_direction_fav" vbProcedure="false">Hypotheses!$C$297</definedName>
    <definedName function="false" hidden="false" name="S2_etp_entretien" vbProcedure="false">Hypotheses!$D$298</definedName>
    <definedName function="false" hidden="false" name="S2_etp_entretien_def" vbProcedure="false">Hypotheses!$E$298</definedName>
    <definedName function="false" hidden="false" name="S2_etp_entretien_fav" vbProcedure="false">Hypotheses!$C$298</definedName>
    <definedName function="false" hidden="false" name="S2_etp_gouvernance" vbProcedure="false">Hypotheses!$D$299</definedName>
    <definedName function="false" hidden="false" name="S2_etp_gouvernance_def" vbProcedure="false">Hypotheses!$E$299</definedName>
    <definedName function="false" hidden="false" name="S2_etp_gouvernance_fav" vbProcedure="false">Hypotheses!$C$299</definedName>
    <definedName function="false" hidden="false" name="S2_etp_jardin" vbProcedure="false">Hypotheses!$D$300</definedName>
    <definedName function="false" hidden="false" name="S2_etp_jardin_def" vbProcedure="false">Hypotheses!$E$300</definedName>
    <definedName function="false" hidden="false" name="S2_etp_jardin_fav" vbProcedure="false">Hypotheses!$C$300</definedName>
    <definedName function="false" hidden="false" name="S2_etp_maison" vbProcedure="false">Hypotheses!$D$301</definedName>
    <definedName function="false" hidden="false" name="S2_etp_maison_def" vbProcedure="false">Hypotheses!$E$301</definedName>
    <definedName function="false" hidden="false" name="S2_etp_maison_fav" vbProcedure="false">Hypotheses!$C$301</definedName>
    <definedName function="false" hidden="false" name="S2_etp_resp_ecurie" vbProcedure="false">Hypotheses!$D$302</definedName>
    <definedName function="false" hidden="false" name="S2_etp_resp_ecurie_def" vbProcedure="false">Hypotheses!$E$302</definedName>
    <definedName function="false" hidden="false" name="S2_etp_resp_ecurie_fav" vbProcedure="false">Hypotheses!$C$302</definedName>
    <definedName function="false" hidden="false" name="S2_etp_soigneur" vbProcedure="false">Hypotheses!$D$303</definedName>
    <definedName function="false" hidden="false" name="S2_etp_soigneur_def" vbProcedure="false">Hypotheses!$E$303</definedName>
    <definedName function="false" hidden="false" name="S2_etp_soigneur_fav" vbProcedure="false">Hypotheses!$C$303</definedName>
    <definedName function="false" hidden="false" name="S2_ha_bois" vbProcedure="false">Hypotheses!$D$397</definedName>
    <definedName function="false" hidden="false" name="S2_ha_bois_def" vbProcedure="false">Hypotheses!$E$397</definedName>
    <definedName function="false" hidden="false" name="S2_ha_bois_fav" vbProcedure="false">Hypotheses!$C$397</definedName>
    <definedName function="false" hidden="false" name="S2_ha_jardins" vbProcedure="false">Hypotheses!$D$398</definedName>
    <definedName function="false" hidden="false" name="S2_ha_jardins_def" vbProcedure="false">Hypotheses!$E$398</definedName>
    <definedName function="false" hidden="false" name="S2_ha_jardins_fav" vbProcedure="false">Hypotheses!$C$398</definedName>
    <definedName function="false" hidden="false" name="S2_ha_parc" vbProcedure="false">Hypotheses!$D$399</definedName>
    <definedName function="false" hidden="false" name="S2_ha_parc_def" vbProcedure="false">Hypotheses!$E$399</definedName>
    <definedName function="false" hidden="false" name="S2_ha_parc_fav" vbProcedure="false">Hypotheses!$C$399</definedName>
    <definedName function="false" hidden="false" name="S2_ha_prairies" vbProcedure="false">Hypotheses!$D$400</definedName>
    <definedName function="false" hidden="false" name="S2_ha_prairies_def" vbProcedure="false">Hypotheses!$E$400</definedName>
    <definedName function="false" hidden="false" name="S2_ha_prairies_fav" vbProcedure="false">Hypotheses!$C$400</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Hypotheses!$D$401</definedName>
    <definedName function="false" hidden="false" name="S2_ml_clotures_def" vbProcedure="false">Hypotheses!$E$401</definedName>
    <definedName function="false" hidden="false" name="S2_ml_clotures_fav" vbProcedure="false">Hypotheses!$C$401</definedName>
    <definedName function="false" hidden="false" name="S2_nb_baies" vbProcedure="false">Hypotheses!$D$402</definedName>
    <definedName function="false" hidden="false" name="S2_nb_baies_def" vbProcedure="false">Hypotheses!$E$402</definedName>
    <definedName function="false" hidden="false" name="S2_nb_baies_fav" vbProcedure="false">Hypotheses!$C$402</definedName>
    <definedName function="false" hidden="false" name="S2_nb_boxes" vbProcedure="false">Hypotheses!$D$403</definedName>
    <definedName function="false" hidden="false" name="S2_nb_boxes_def" vbProcedure="false">Hypotheses!$E$403</definedName>
    <definedName function="false" hidden="false" name="S2_nb_boxes_fav" vbProcedure="false">Hypotheses!$C$403</definedName>
    <definedName function="false" hidden="false" name="S2_nb_chevaux" vbProcedure="false">Hypotheses!$D$404</definedName>
    <definedName function="false" hidden="false" name="S2_nb_chevaux_def" vbProcedure="false">Hypotheses!$E$404</definedName>
    <definedName function="false" hidden="false" name="S2_nb_chevaux_fav" vbProcedure="false">Hypotheses!$C$404</definedName>
    <definedName function="false" hidden="false" name="S2_prix_achat" vbProcedure="false">Hypotheses!$D$377</definedName>
    <definedName function="false" hidden="false" name="S2_prix_achat_def" vbProcedure="false">Hypotheses!$E$377</definedName>
    <definedName function="false" hidden="false" name="S2_prix_achat_fav" vbProcedure="false">Hypotheses!$C$377</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Hypotheses!$D$336</definedName>
    <definedName function="false" hidden="false" name="S2_sol_div_annees" vbProcedure="false">Hypotheses!$D$337</definedName>
    <definedName function="false" hidden="false" name="S2_sol_div_annees_def" vbProcedure="false">Hypotheses!$E$337</definedName>
    <definedName function="false" hidden="false" name="S2_sol_div_annees_fav" vbProcedure="false">Hypotheses!$C$337</definedName>
    <definedName function="false" hidden="false" name="S2_sol_div_def" vbProcedure="false">Hypotheses!$E$336</definedName>
    <definedName function="false" hidden="false" name="S2_sol_div_fav" vbProcedure="false">Hypotheses!$C$336</definedName>
    <definedName function="false" hidden="false" name="S2_sol_dotation0" vbProcedure="false">Hypotheses!$D$338</definedName>
    <definedName function="false" hidden="false" name="S2_sol_dotation0_def" vbProcedure="false">Hypotheses!$E$338</definedName>
    <definedName function="false" hidden="false" name="S2_sol_dotation0_fav" vbProcedure="false">Hypotheses!$C$338</definedName>
    <definedName function="false" hidden="false" name="S2_sol_reserve0" vbProcedure="false">Hypotheses!$D$339</definedName>
    <definedName function="false" hidden="false" name="S2_sol_reserve0_def" vbProcedure="false">Hypotheses!$E$339</definedName>
    <definedName function="false" hidden="false" name="S2_sol_reserve0_fav" vbProcedure="false">Hypotheses!$C$339</definedName>
    <definedName function="false" hidden="false" name="S2_surf_chateau" vbProcedure="false">Hypotheses!$D$405</definedName>
    <definedName function="false" hidden="false" name="S2_surf_chateau_def" vbProcedure="false">Hypotheses!$E$405</definedName>
    <definedName function="false" hidden="false" name="S2_surf_chateau_fav" vbProcedure="false">Hypotheses!$C$405</definedName>
    <definedName function="false" hidden="false" name="S2_surf_chauffee" vbProcedure="false">Hypotheses!$D$544</definedName>
    <definedName function="false" hidden="false" name="S2_surf_chauffee_def" vbProcedure="false">Hypotheses!$E$544</definedName>
    <definedName function="false" hidden="false" name="S2_surf_chauffee_fav" vbProcedure="false">Hypotheses!$C$544</definedName>
    <definedName function="false" hidden="false" name="S2_surf_dep" vbProcedure="false">Hypotheses!$D$406</definedName>
    <definedName function="false" hidden="false" name="S2_surf_dep_def" vbProcedure="false">Hypotheses!$E$406</definedName>
    <definedName function="false" hidden="false" name="S2_surf_dep_fav" vbProcedure="false">Hypotheses!$C$406</definedName>
    <definedName function="false" hidden="false" name="S2_surf_facades" vbProcedure="false">Hypotheses!$D$407</definedName>
    <definedName function="false" hidden="false" name="S2_surf_facades_def" vbProcedure="false">Hypotheses!$E$407</definedName>
    <definedName function="false" hidden="false" name="S2_surf_facades_fav" vbProcedure="false">Hypotheses!$C$407</definedName>
    <definedName function="false" hidden="false" name="S2_surf_manege" vbProcedure="false">Hypotheses!$D$408</definedName>
    <definedName function="false" hidden="false" name="S2_surf_manege_def" vbProcedure="false">Hypotheses!$E$408</definedName>
    <definedName function="false" hidden="false" name="S2_surf_manege_fav" vbProcedure="false">Hypotheses!$C$408</definedName>
    <definedName function="false" hidden="false" name="S2_surf_pistes" vbProcedure="false">Hypotheses!$D$409</definedName>
    <definedName function="false" hidden="false" name="S2_surf_pistes_def" vbProcedure="false">Hypotheses!$E$409</definedName>
    <definedName function="false" hidden="false" name="S2_surf_pistes_fav" vbProcedure="false">Hypotheses!$C$409</definedName>
    <definedName function="false" hidden="false" name="S2_surf_toits" vbProcedure="false">Hypotheses!$D$410</definedName>
    <definedName function="false" hidden="false" name="S2_surf_toits_def" vbProcedure="false">Hypotheses!$E$410</definedName>
    <definedName function="false" hidden="false" name="S2_surf_toits_fav" vbProcedure="false">Hypotheses!$C$410</definedName>
    <definedName function="false" hidden="false" name="S2_valeur_equip" vbProcedure="false">Hypotheses!$D$172</definedName>
    <definedName function="false" hidden="false" name="S2_valeur_equip_def" vbProcedure="false">Hypotheses!$E$172</definedName>
    <definedName function="false" hidden="false" name="S2_valeur_equip_fav" vbProcedure="false">Hypotheses!$C$172</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Hypotheses!$D$273</definedName>
    <definedName function="false" hidden="false" name="S3_cout_direction_def" vbProcedure="false">Hypotheses!$E$273</definedName>
    <definedName function="false" hidden="false" name="S3_cout_direction_fav" vbProcedure="false">Hypotheses!$C$273</definedName>
    <definedName function="false" hidden="false" name="S3_cout_gouvernance" vbProcedure="false">Hypotheses!$D$274</definedName>
    <definedName function="false" hidden="false" name="S3_cout_gouvernance_def" vbProcedure="false">Hypotheses!$E$274</definedName>
    <definedName function="false" hidden="false" name="S3_cout_gouvernance_fav" vbProcedure="false">Hypotheses!$C$274</definedName>
    <definedName function="false" hidden="false" name="S3_eau" vbProcedure="false">Hypotheses!$D$545</definedName>
    <definedName function="false" hidden="false" name="S3_eau_def" vbProcedure="false">Hypotheses!$E$545</definedName>
    <definedName function="false" hidden="false" name="S3_eau_fav" vbProcedure="false">Hypotheses!$C$545</definedName>
    <definedName function="false" hidden="false" name="S3_ech_bois" vbProcedure="false">Hypotheses!$D$368</definedName>
    <definedName function="false" hidden="false" name="S3_ech_bois_def" vbProcedure="false">Hypotheses!$E$368</definedName>
    <definedName function="false" hidden="false" name="S3_ech_bois_fav" vbProcedure="false">Hypotheses!$C$368</definedName>
    <definedName function="false" hidden="false" name="S3_ech_eq_ret" vbProcedure="false">Hypotheses!$D$369</definedName>
    <definedName function="false" hidden="false" name="S3_ech_eq_ret_def" vbProcedure="false">Hypotheses!$E$369</definedName>
    <definedName function="false" hidden="false" name="S3_ech_eq_ret_fav" vbProcedure="false">Hypotheses!$C$369</definedName>
    <definedName function="false" hidden="false" name="S3_ech_eq_std" vbProcedure="false">Hypotheses!$D$370</definedName>
    <definedName function="false" hidden="false" name="S3_ech_eq_std_def" vbProcedure="false">Hypotheses!$E$370</definedName>
    <definedName function="false" hidden="false" name="S3_ech_eq_std_fav" vbProcedure="false">Hypotheses!$C$370</definedName>
    <definedName function="false" hidden="false" name="S3_ech_log" vbProcedure="false">Hypotheses!$D$371</definedName>
    <definedName function="false" hidden="false" name="S3_ech_log_def" vbProcedure="false">Hypotheses!$E$371</definedName>
    <definedName function="false" hidden="false" name="S3_ech_log_fav" vbProcedure="false">Hypotheses!$C$371</definedName>
    <definedName function="false" hidden="false" name="S3_ech_pv" vbProcedure="false">Hypotheses!$D$372</definedName>
    <definedName function="false" hidden="false" name="S3_ech_pv_def" vbProcedure="false">Hypotheses!$E$372</definedName>
    <definedName function="false" hidden="false" name="S3_ech_pv_fav" vbProcedure="false">Hypotheses!$C$372</definedName>
    <definedName function="false" hidden="false" name="S3_ech_stock" vbProcedure="false">Hypotheses!$D$373</definedName>
    <definedName function="false" hidden="false" name="S3_ech_stock_def" vbProcedure="false">Hypotheses!$E$373</definedName>
    <definedName function="false" hidden="false" name="S3_ech_stock_fav" vbProcedure="false">Hypotheses!$C$373</definedName>
    <definedName function="false" hidden="false" name="S3_ech_tourn" vbProcedure="false">Hypotheses!$D$374</definedName>
    <definedName function="false" hidden="false" name="S3_ech_tourn_def" vbProcedure="false">Hypotheses!$E$374</definedName>
    <definedName function="false" hidden="false" name="S3_ech_tourn_fav" vbProcedure="false">Hypotheses!$C$374</definedName>
    <definedName function="false" hidden="false" name="S3_elec_kwh" vbProcedure="false">Hypotheses!$D$546</definedName>
    <definedName function="false" hidden="false" name="S3_elec_kwh_def" vbProcedure="false">Hypotheses!$E$546</definedName>
    <definedName function="false" hidden="false" name="S3_elec_kwh_fav" vbProcedure="false">Hypotheses!$C$546</definedName>
    <definedName function="false" hidden="false" name="S3_etp_admin" vbProcedure="false">Hypotheses!$D$304</definedName>
    <definedName function="false" hidden="false" name="S3_etp_admin_def" vbProcedure="false">Hypotheses!$E$304</definedName>
    <definedName function="false" hidden="false" name="S3_etp_admin_fav" vbProcedure="false">Hypotheses!$C$304</definedName>
    <definedName function="false" hidden="false" name="S3_etp_agricole" vbProcedure="false">Hypotheses!$D$305</definedName>
    <definedName function="false" hidden="false" name="S3_etp_agricole_def" vbProcedure="false">Hypotheses!$E$305</definedName>
    <definedName function="false" hidden="false" name="S3_etp_agricole_fav" vbProcedure="false">Hypotheses!$C$305</definedName>
    <definedName function="false" hidden="false" name="S3_etp_chef_jardinier" vbProcedure="false">Hypotheses!$D$306</definedName>
    <definedName function="false" hidden="false" name="S3_etp_chef_jardinier_def" vbProcedure="false">Hypotheses!$E$306</definedName>
    <definedName function="false" hidden="false" name="S3_etp_chef_jardinier_fav" vbProcedure="false">Hypotheses!$C$306</definedName>
    <definedName function="false" hidden="false" name="S3_etp_direction" vbProcedure="false">Hypotheses!$D$307</definedName>
    <definedName function="false" hidden="false" name="S3_etp_direction_def" vbProcedure="false">Hypotheses!$E$307</definedName>
    <definedName function="false" hidden="false" name="S3_etp_direction_fav" vbProcedure="false">Hypotheses!$C$307</definedName>
    <definedName function="false" hidden="false" name="S3_etp_entretien" vbProcedure="false">Hypotheses!$D$308</definedName>
    <definedName function="false" hidden="false" name="S3_etp_entretien_def" vbProcedure="false">Hypotheses!$E$308</definedName>
    <definedName function="false" hidden="false" name="S3_etp_entretien_fav" vbProcedure="false">Hypotheses!$C$308</definedName>
    <definedName function="false" hidden="false" name="S3_etp_gouvernance" vbProcedure="false">Hypotheses!$D$309</definedName>
    <definedName function="false" hidden="false" name="S3_etp_gouvernance_def" vbProcedure="false">Hypotheses!$E$309</definedName>
    <definedName function="false" hidden="false" name="S3_etp_gouvernance_fav" vbProcedure="false">Hypotheses!$C$309</definedName>
    <definedName function="false" hidden="false" name="S3_etp_jardin" vbProcedure="false">Hypotheses!$D$310</definedName>
    <definedName function="false" hidden="false" name="S3_etp_jardin_def" vbProcedure="false">Hypotheses!$E$310</definedName>
    <definedName function="false" hidden="false" name="S3_etp_jardin_fav" vbProcedure="false">Hypotheses!$C$310</definedName>
    <definedName function="false" hidden="false" name="S3_etp_maison" vbProcedure="false">Hypotheses!$D$311</definedName>
    <definedName function="false" hidden="false" name="S3_etp_maison_def" vbProcedure="false">Hypotheses!$E$311</definedName>
    <definedName function="false" hidden="false" name="S3_etp_maison_fav" vbProcedure="false">Hypotheses!$C$311</definedName>
    <definedName function="false" hidden="false" name="S3_etp_resp_ecurie" vbProcedure="false">Hypotheses!$D$312</definedName>
    <definedName function="false" hidden="false" name="S3_etp_resp_ecurie_def" vbProcedure="false">Hypotheses!$E$312</definedName>
    <definedName function="false" hidden="false" name="S3_etp_resp_ecurie_fav" vbProcedure="false">Hypotheses!$C$312</definedName>
    <definedName function="false" hidden="false" name="S3_etp_soigneur" vbProcedure="false">Hypotheses!$D$313</definedName>
    <definedName function="false" hidden="false" name="S3_etp_soigneur_def" vbProcedure="false">Hypotheses!$E$313</definedName>
    <definedName function="false" hidden="false" name="S3_etp_soigneur_fav" vbProcedure="false">Hypotheses!$C$313</definedName>
    <definedName function="false" hidden="false" name="S3_ha_bois" vbProcedure="false">Hypotheses!$D$411</definedName>
    <definedName function="false" hidden="false" name="S3_ha_bois_def" vbProcedure="false">Hypotheses!$E$411</definedName>
    <definedName function="false" hidden="false" name="S3_ha_bois_fav" vbProcedure="false">Hypotheses!$C$411</definedName>
    <definedName function="false" hidden="false" name="S3_ha_jardins" vbProcedure="false">Hypotheses!$D$412</definedName>
    <definedName function="false" hidden="false" name="S3_ha_jardins_def" vbProcedure="false">Hypotheses!$E$412</definedName>
    <definedName function="false" hidden="false" name="S3_ha_jardins_fav" vbProcedure="false">Hypotheses!$C$412</definedName>
    <definedName function="false" hidden="false" name="S3_ha_parc" vbProcedure="false">Hypotheses!$D$413</definedName>
    <definedName function="false" hidden="false" name="S3_ha_parc_def" vbProcedure="false">Hypotheses!$E$413</definedName>
    <definedName function="false" hidden="false" name="S3_ha_parc_fav" vbProcedure="false">Hypotheses!$C$413</definedName>
    <definedName function="false" hidden="false" name="S3_ha_prairies" vbProcedure="false">Hypotheses!$D$414</definedName>
    <definedName function="false" hidden="false" name="S3_ha_prairies_def" vbProcedure="false">Hypotheses!$E$414</definedName>
    <definedName function="false" hidden="false" name="S3_ha_prairies_fav" vbProcedure="false">Hypotheses!$C$414</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Hypotheses!$D$415</definedName>
    <definedName function="false" hidden="false" name="S3_ml_clotures_def" vbProcedure="false">Hypotheses!$E$415</definedName>
    <definedName function="false" hidden="false" name="S3_ml_clotures_fav" vbProcedure="false">Hypotheses!$C$415</definedName>
    <definedName function="false" hidden="false" name="S3_nb_baies" vbProcedure="false">Hypotheses!$D$416</definedName>
    <definedName function="false" hidden="false" name="S3_nb_baies_def" vbProcedure="false">Hypotheses!$E$416</definedName>
    <definedName function="false" hidden="false" name="S3_nb_baies_fav" vbProcedure="false">Hypotheses!$C$416</definedName>
    <definedName function="false" hidden="false" name="S3_nb_boxes" vbProcedure="false">Hypotheses!$D$417</definedName>
    <definedName function="false" hidden="false" name="S3_nb_boxes_def" vbProcedure="false">Hypotheses!$E$417</definedName>
    <definedName function="false" hidden="false" name="S3_nb_boxes_fav" vbProcedure="false">Hypotheses!$C$417</definedName>
    <definedName function="false" hidden="false" name="S3_nb_chevaux" vbProcedure="false">Hypotheses!$D$418</definedName>
    <definedName function="false" hidden="false" name="S3_nb_chevaux_def" vbProcedure="false">Hypotheses!$E$418</definedName>
    <definedName function="false" hidden="false" name="S3_nb_chevaux_fav" vbProcedure="false">Hypotheses!$C$418</definedName>
    <definedName function="false" hidden="false" name="S3_prix_achat" vbProcedure="false">Hypotheses!$D$378</definedName>
    <definedName function="false" hidden="false" name="S3_prix_achat_def" vbProcedure="false">Hypotheses!$E$378</definedName>
    <definedName function="false" hidden="false" name="S3_prix_achat_fav" vbProcedure="false">Hypotheses!$C$378</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Hypotheses!$D$340</definedName>
    <definedName function="false" hidden="false" name="S3_sol_div_annees" vbProcedure="false">Hypotheses!$D$341</definedName>
    <definedName function="false" hidden="false" name="S3_sol_div_annees_def" vbProcedure="false">Hypotheses!$E$341</definedName>
    <definedName function="false" hidden="false" name="S3_sol_div_annees_fav" vbProcedure="false">Hypotheses!$C$341</definedName>
    <definedName function="false" hidden="false" name="S3_sol_div_def" vbProcedure="false">Hypotheses!$E$340</definedName>
    <definedName function="false" hidden="false" name="S3_sol_div_fav" vbProcedure="false">Hypotheses!$C$340</definedName>
    <definedName function="false" hidden="false" name="S3_sol_dotation0" vbProcedure="false">Hypotheses!$D$342</definedName>
    <definedName function="false" hidden="false" name="S3_sol_dotation0_def" vbProcedure="false">Hypotheses!$E$342</definedName>
    <definedName function="false" hidden="false" name="S3_sol_dotation0_fav" vbProcedure="false">Hypotheses!$C$342</definedName>
    <definedName function="false" hidden="false" name="S3_sol_reserve0" vbProcedure="false">Hypotheses!$D$343</definedName>
    <definedName function="false" hidden="false" name="S3_sol_reserve0_def" vbProcedure="false">Hypotheses!$E$343</definedName>
    <definedName function="false" hidden="false" name="S3_sol_reserve0_fav" vbProcedure="false">Hypotheses!$C$343</definedName>
    <definedName function="false" hidden="false" name="S3_surf_chateau" vbProcedure="false">Hypotheses!$D$419</definedName>
    <definedName function="false" hidden="false" name="S3_surf_chateau_def" vbProcedure="false">Hypotheses!$E$419</definedName>
    <definedName function="false" hidden="false" name="S3_surf_chateau_fav" vbProcedure="false">Hypotheses!$C$419</definedName>
    <definedName function="false" hidden="false" name="S3_surf_chauffee" vbProcedure="false">Hypotheses!$D$547</definedName>
    <definedName function="false" hidden="false" name="S3_surf_chauffee_def" vbProcedure="false">Hypotheses!$E$547</definedName>
    <definedName function="false" hidden="false" name="S3_surf_chauffee_fav" vbProcedure="false">Hypotheses!$C$547</definedName>
    <definedName function="false" hidden="false" name="S3_surf_dep" vbProcedure="false">Hypotheses!$D$420</definedName>
    <definedName function="false" hidden="false" name="S3_surf_dep_def" vbProcedure="false">Hypotheses!$E$420</definedName>
    <definedName function="false" hidden="false" name="S3_surf_dep_fav" vbProcedure="false">Hypotheses!$C$420</definedName>
    <definedName function="false" hidden="false" name="S3_surf_facades" vbProcedure="false">Hypotheses!$D$421</definedName>
    <definedName function="false" hidden="false" name="S3_surf_facades_def" vbProcedure="false">Hypotheses!$E$421</definedName>
    <definedName function="false" hidden="false" name="S3_surf_facades_fav" vbProcedure="false">Hypotheses!$C$421</definedName>
    <definedName function="false" hidden="false" name="S3_surf_manege" vbProcedure="false">Hypotheses!$D$422</definedName>
    <definedName function="false" hidden="false" name="S3_surf_manege_def" vbProcedure="false">Hypotheses!$E$422</definedName>
    <definedName function="false" hidden="false" name="S3_surf_manege_fav" vbProcedure="false">Hypotheses!$C$422</definedName>
    <definedName function="false" hidden="false" name="S3_surf_pistes" vbProcedure="false">Hypotheses!$D$423</definedName>
    <definedName function="false" hidden="false" name="S3_surf_pistes_def" vbProcedure="false">Hypotheses!$E$423</definedName>
    <definedName function="false" hidden="false" name="S3_surf_pistes_fav" vbProcedure="false">Hypotheses!$C$423</definedName>
    <definedName function="false" hidden="false" name="S3_surf_toits" vbProcedure="false">Hypotheses!$D$424</definedName>
    <definedName function="false" hidden="false" name="S3_surf_toits_def" vbProcedure="false">Hypotheses!$E$424</definedName>
    <definedName function="false" hidden="false" name="S3_surf_toits_fav" vbProcedure="false">Hypotheses!$C$424</definedName>
    <definedName function="false" hidden="false" name="S3_valeur_equip" vbProcedure="false">Hypotheses!$D$173</definedName>
    <definedName function="false" hidden="false" name="S3_valeur_equip_def" vbProcedure="false">Hypotheses!$E$173</definedName>
    <definedName function="false" hidden="false" name="S3_valeur_equip_fav" vbProcedure="false">Hypotheses!$C$173</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Hypotheses!$D$256</definedName>
    <definedName function="false" hidden="false" name="semj_jours_def" vbProcedure="false">Hypotheses!$E$256</definedName>
    <definedName function="false" hidden="false" name="semj_jours_fav" vbProcedure="false">Hypotheses!$C$256</definedName>
    <definedName function="false" hidden="false" name="semj_marge" vbProcedure="false">Hypotheses!$D$257</definedName>
    <definedName function="false" hidden="false" name="semj_marge_def" vbProcedure="false">Hypotheses!$E$257</definedName>
    <definedName function="false" hidden="false" name="semj_marge_fav" vbProcedure="false">Hypotheses!$C$257</definedName>
    <definedName function="false" hidden="false" name="semj_pers" vbProcedure="false">Hypotheses!$D$258</definedName>
    <definedName function="false" hidden="false" name="semj_pers_def" vbProcedure="false">Hypotheses!$E$258</definedName>
    <definedName function="false" hidden="false" name="semj_pers_fav" vbProcedure="false">Hypotheses!$C$258</definedName>
    <definedName function="false" hidden="false" name="semj_prix" vbProcedure="false">Hypotheses!$D$259</definedName>
    <definedName function="false" hidden="false" name="semj_prix_def" vbProcedure="false">Hypotheses!$E$259</definedName>
    <definedName function="false" hidden="false" name="semj_prix_fav" vbProcedure="false">Hypotheses!$C$259</definedName>
    <definedName function="false" hidden="false" name="sol_cout_m2" vbProcedure="false">Hypotheses!$D$186</definedName>
    <definedName function="false" hidden="false" name="sol_cout_m2_def" vbProcedure="false">Hypotheses!$E$186</definedName>
    <definedName function="false" hidden="false" name="sol_cout_m2_fav" vbProcedure="false">Hypotheses!$C$186</definedName>
    <definedName function="false" hidden="false" name="sol_vie" vbProcedure="false">Hypotheses!$D$187</definedName>
    <definedName function="false" hidden="false" name="sol_vie_def" vbProcedure="false">Hypotheses!$E$187</definedName>
    <definedName function="false" hidden="false" name="sol_vie_fav" vbProcedure="false">Hypotheses!$C$187</definedName>
    <definedName function="false" hidden="false" name="stock_capex" vbProcedure="false">Hypotheses!$D$260</definedName>
    <definedName function="false" hidden="false" name="stock_capex_def" vbProcedure="false">Hypotheses!$E$260</definedName>
    <definedName function="false" hidden="false" name="stock_capex_fav" vbProcedure="false">Hypotheses!$C$260</definedName>
    <definedName function="false" hidden="false" name="stock_occ" vbProcedure="false">Hypotheses!$D$261</definedName>
    <definedName function="false" hidden="false" name="stock_occ_def" vbProcedure="false">Hypotheses!$E$261</definedName>
    <definedName function="false" hidden="false" name="stock_occ_fav" vbProcedure="false">Hypotheses!$C$261</definedName>
    <definedName function="false" hidden="false" name="stock_places" vbProcedure="false">Hypotheses!$D$262</definedName>
    <definedName function="false" hidden="false" name="stock_places_def" vbProcedure="false">Hypotheses!$E$262</definedName>
    <definedName function="false" hidden="false" name="stock_places_fav" vbProcedure="false">Hypotheses!$C$262</definedName>
    <definedName function="false" hidden="false" name="stock_prix" vbProcedure="false">Hypotheses!$D$263</definedName>
    <definedName function="false" hidden="false" name="stock_prix_def" vbProcedure="false">Hypotheses!$E$263</definedName>
    <definedName function="false" hidden="false" name="stock_prix_fav" vbProcedure="false">Hypotheses!$C$263</definedName>
    <definedName function="false" hidden="false" name="st_ca30_choc_trav_an" vbProcedure="false">Hypotheses!$D$426</definedName>
    <definedName function="false" hidden="false" name="st_ca30_choc_trav_an_def" vbProcedure="false">Hypotheses!$E$426</definedName>
    <definedName function="false" hidden="false" name="st_ca30_choc_trav_an_fav" vbProcedure="false">Hypotheses!$C$426</definedName>
    <definedName function="false" hidden="false" name="st_ca30_choc_trav_montant" vbProcedure="false">Hypotheses!$D$427</definedName>
    <definedName function="false" hidden="false" name="st_ca30_choc_trav_montant_def" vbProcedure="false">Hypotheses!$E$427</definedName>
    <definedName function="false" hidden="false" name="st_ca30_choc_trav_montant_fav" vbProcedure="false">Hypotheses!$C$427</definedName>
    <definedName function="false" hidden="false" name="st_ca30_crise_an" vbProcedure="false">Hypotheses!$D$428</definedName>
    <definedName function="false" hidden="false" name="st_ca30_crise_an_def" vbProcedure="false">Hypotheses!$E$428</definedName>
    <definedName function="false" hidden="false" name="st_ca30_crise_an_fav" vbProcedure="false">Hypotheses!$C$428</definedName>
    <definedName function="false" hidden="false" name="st_ca30_debut_mult" vbProcedure="false">Hypotheses!$D$429</definedName>
    <definedName function="false" hidden="false" name="st_ca30_debut_mult_def" vbProcedure="false">Hypotheses!$E$429</definedName>
    <definedName function="false" hidden="false" name="st_ca30_debut_mult_fav" vbProcedure="false">Hypotheses!$C$429</definedName>
    <definedName function="false" hidden="false" name="st_ca30_div_fin" vbProcedure="false">Hypotheses!$D$430</definedName>
    <definedName function="false" hidden="false" name="st_ca30_div_fin_def" vbProcedure="false">Hypotheses!$E$430</definedName>
    <definedName function="false" hidden="false" name="st_ca30_div_fin_fav" vbProcedure="false">Hypotheses!$C$430</definedName>
    <definedName function="false" hidden="false" name="st_ca30_dot_rdt_delta" vbProcedure="false">Hypotheses!$D$431</definedName>
    <definedName function="false" hidden="false" name="st_ca30_dot_rdt_delta_def" vbProcedure="false">Hypotheses!$E$431</definedName>
    <definedName function="false" hidden="false" name="st_ca30_dot_rdt_delta_fav" vbProcedure="false">Hypotheses!$C$431</definedName>
    <definedName function="false" hidden="false" name="st_ca30_energie_debut" vbProcedure="false">Hypotheses!$D$432</definedName>
    <definedName function="false" hidden="false" name="st_ca30_energie_debut_def" vbProcedure="false">Hypotheses!$E$432</definedName>
    <definedName function="false" hidden="false" name="st_ca30_energie_debut_fav" vbProcedure="false">Hypotheses!$C$432</definedName>
    <definedName function="false" hidden="false" name="st_ca30_energie_fin" vbProcedure="false">Hypotheses!$D$433</definedName>
    <definedName function="false" hidden="false" name="st_ca30_energie_fin_def" vbProcedure="false">Hypotheses!$E$433</definedName>
    <definedName function="false" hidden="false" name="st_ca30_energie_fin_fav" vbProcedure="false">Hypotheses!$C$433</definedName>
    <definedName function="false" hidden="false" name="st_ca30_energie_mult" vbProcedure="false">Hypotheses!$D$434</definedName>
    <definedName function="false" hidden="false" name="st_ca30_energie_mult_def" vbProcedure="false">Hypotheses!$E$434</definedName>
    <definedName function="false" hidden="false" name="st_ca30_energie_mult_fav" vbProcedure="false">Hypotheses!$C$434</definedName>
    <definedName function="false" hidden="false" name="st_ca30_g_sal_extra" vbProcedure="false">Hypotheses!$D$435</definedName>
    <definedName function="false" hidden="false" name="st_ca30_g_sal_extra_def" vbProcedure="false">Hypotheses!$E$435</definedName>
    <definedName function="false" hidden="false" name="st_ca30_g_sal_extra_fav" vbProcedure="false">Hypotheses!$C$435</definedName>
    <definedName function="false" hidden="false" name="st_ca30_mult_A" vbProcedure="false">Hypotheses!$D$436</definedName>
    <definedName function="false" hidden="false" name="st_ca30_mult_A_def" vbProcedure="false">Hypotheses!$E$436</definedName>
    <definedName function="false" hidden="false" name="st_ca30_mult_A_fav" vbProcedure="false">Hypotheses!$C$436</definedName>
    <definedName function="false" hidden="false" name="st_ca30_mult_B" vbProcedure="false">Hypotheses!$D$437</definedName>
    <definedName function="false" hidden="false" name="st_ca30_mult_B_def" vbProcedure="false">Hypotheses!$E$437</definedName>
    <definedName function="false" hidden="false" name="st_ca30_mult_B_fav" vbProcedure="false">Hypotheses!$C$437</definedName>
    <definedName function="false" hidden="false" name="st_ca30_mult_C" vbProcedure="false">Hypotheses!$D$438</definedName>
    <definedName function="false" hidden="false" name="st_ca30_mult_campagne" vbProcedure="false">Hypotheses!$D$439</definedName>
    <definedName function="false" hidden="false" name="st_ca30_mult_campagne_def" vbProcedure="false">Hypotheses!$E$439</definedName>
    <definedName function="false" hidden="false" name="st_ca30_mult_campagne_fav" vbProcedure="false">Hypotheses!$C$439</definedName>
    <definedName function="false" hidden="false" name="st_ca30_mult_C_def" vbProcedure="false">Hypotheses!$E$438</definedName>
    <definedName function="false" hidden="false" name="st_ca30_mult_C_fav" vbProcedure="false">Hypotheses!$C$438</definedName>
    <definedName function="false" hidden="false" name="st_central_choc_trav_an" vbProcedure="false">Hypotheses!$D$440</definedName>
    <definedName function="false" hidden="false" name="st_central_choc_trav_an_def" vbProcedure="false">Hypotheses!$E$440</definedName>
    <definedName function="false" hidden="false" name="st_central_choc_trav_an_fav" vbProcedure="false">Hypotheses!$C$440</definedName>
    <definedName function="false" hidden="false" name="st_central_choc_trav_montant" vbProcedure="false">Hypotheses!$D$441</definedName>
    <definedName function="false" hidden="false" name="st_central_choc_trav_montant_def" vbProcedure="false">Hypotheses!$E$441</definedName>
    <definedName function="false" hidden="false" name="st_central_choc_trav_montant_fav" vbProcedure="false">Hypotheses!$C$441</definedName>
    <definedName function="false" hidden="false" name="st_central_crise_an" vbProcedure="false">Hypotheses!$D$442</definedName>
    <definedName function="false" hidden="false" name="st_central_crise_an_def" vbProcedure="false">Hypotheses!$E$442</definedName>
    <definedName function="false" hidden="false" name="st_central_crise_an_fav" vbProcedure="false">Hypotheses!$C$442</definedName>
    <definedName function="false" hidden="false" name="st_central_debut_mult" vbProcedure="false">Hypotheses!$D$443</definedName>
    <definedName function="false" hidden="false" name="st_central_debut_mult_def" vbProcedure="false">Hypotheses!$E$443</definedName>
    <definedName function="false" hidden="false" name="st_central_debut_mult_fav" vbProcedure="false">Hypotheses!$C$443</definedName>
    <definedName function="false" hidden="false" name="st_central_div_fin" vbProcedure="false">Hypotheses!$D$444</definedName>
    <definedName function="false" hidden="false" name="st_central_div_fin_def" vbProcedure="false">Hypotheses!$E$444</definedName>
    <definedName function="false" hidden="false" name="st_central_div_fin_fav" vbProcedure="false">Hypotheses!$C$444</definedName>
    <definedName function="false" hidden="false" name="st_central_dot_rdt_delta" vbProcedure="false">Hypotheses!$D$445</definedName>
    <definedName function="false" hidden="false" name="st_central_dot_rdt_delta_def" vbProcedure="false">Hypotheses!$E$445</definedName>
    <definedName function="false" hidden="false" name="st_central_dot_rdt_delta_fav" vbProcedure="false">Hypotheses!$C$445</definedName>
    <definedName function="false" hidden="false" name="st_central_energie_debut" vbProcedure="false">Hypotheses!$D$446</definedName>
    <definedName function="false" hidden="false" name="st_central_energie_debut_def" vbProcedure="false">Hypotheses!$E$446</definedName>
    <definedName function="false" hidden="false" name="st_central_energie_debut_fav" vbProcedure="false">Hypotheses!$C$446</definedName>
    <definedName function="false" hidden="false" name="st_central_energie_fin" vbProcedure="false">Hypotheses!$D$447</definedName>
    <definedName function="false" hidden="false" name="st_central_energie_fin_def" vbProcedure="false">Hypotheses!$E$447</definedName>
    <definedName function="false" hidden="false" name="st_central_energie_fin_fav" vbProcedure="false">Hypotheses!$C$447</definedName>
    <definedName function="false" hidden="false" name="st_central_energie_mult" vbProcedure="false">Hypotheses!$D$448</definedName>
    <definedName function="false" hidden="false" name="st_central_energie_mult_def" vbProcedure="false">Hypotheses!$E$448</definedName>
    <definedName function="false" hidden="false" name="st_central_energie_mult_fav" vbProcedure="false">Hypotheses!$C$448</definedName>
    <definedName function="false" hidden="false" name="st_central_g_sal_extra" vbProcedure="false">Hypotheses!$D$449</definedName>
    <definedName function="false" hidden="false" name="st_central_g_sal_extra_def" vbProcedure="false">Hypotheses!$E$449</definedName>
    <definedName function="false" hidden="false" name="st_central_g_sal_extra_fav" vbProcedure="false">Hypotheses!$C$449</definedName>
    <definedName function="false" hidden="false" name="st_central_mult_A" vbProcedure="false">Hypotheses!$D$450</definedName>
    <definedName function="false" hidden="false" name="st_central_mult_A_def" vbProcedure="false">Hypotheses!$E$450</definedName>
    <definedName function="false" hidden="false" name="st_central_mult_A_fav" vbProcedure="false">Hypotheses!$C$450</definedName>
    <definedName function="false" hidden="false" name="st_central_mult_B" vbProcedure="false">Hypotheses!$D$451</definedName>
    <definedName function="false" hidden="false" name="st_central_mult_B_def" vbProcedure="false">Hypotheses!$E$451</definedName>
    <definedName function="false" hidden="false" name="st_central_mult_B_fav" vbProcedure="false">Hypotheses!$C$451</definedName>
    <definedName function="false" hidden="false" name="st_central_mult_C" vbProcedure="false">Hypotheses!$D$452</definedName>
    <definedName function="false" hidden="false" name="st_central_mult_campagne" vbProcedure="false">Hypotheses!$D$453</definedName>
    <definedName function="false" hidden="false" name="st_central_mult_campagne_def" vbProcedure="false">Hypotheses!$E$453</definedName>
    <definedName function="false" hidden="false" name="st_central_mult_campagne_fav" vbProcedure="false">Hypotheses!$C$453</definedName>
    <definedName function="false" hidden="false" name="st_central_mult_C_def" vbProcedure="false">Hypotheses!$E$452</definedName>
    <definedName function="false" hidden="false" name="st_central_mult_C_fav" vbProcedure="false">Hypotheses!$C$452</definedName>
    <definedName function="false" hidden="false" name="st_crise_choc_trav_an" vbProcedure="false">Hypotheses!$D$454</definedName>
    <definedName function="false" hidden="false" name="st_crise_choc_trav_an_def" vbProcedure="false">Hypotheses!$E$454</definedName>
    <definedName function="false" hidden="false" name="st_crise_choc_trav_an_fav" vbProcedure="false">Hypotheses!$C$454</definedName>
    <definedName function="false" hidden="false" name="st_crise_choc_trav_montant" vbProcedure="false">Hypotheses!$D$455</definedName>
    <definedName function="false" hidden="false" name="st_crise_choc_trav_montant_def" vbProcedure="false">Hypotheses!$E$455</definedName>
    <definedName function="false" hidden="false" name="st_crise_choc_trav_montant_fav" vbProcedure="false">Hypotheses!$C$455</definedName>
    <definedName function="false" hidden="false" name="st_crise_crise_an" vbProcedure="false">Hypotheses!$D$456</definedName>
    <definedName function="false" hidden="false" name="st_crise_crise_an_def" vbProcedure="false">Hypotheses!$E$456</definedName>
    <definedName function="false" hidden="false" name="st_crise_crise_an_fav" vbProcedure="false">Hypotheses!$C$456</definedName>
    <definedName function="false" hidden="false" name="st_crise_debut_mult" vbProcedure="false">Hypotheses!$D$457</definedName>
    <definedName function="false" hidden="false" name="st_crise_debut_mult_def" vbProcedure="false">Hypotheses!$E$457</definedName>
    <definedName function="false" hidden="false" name="st_crise_debut_mult_fav" vbProcedure="false">Hypotheses!$C$457</definedName>
    <definedName function="false" hidden="false" name="st_crise_div_fin" vbProcedure="false">Hypotheses!$D$458</definedName>
    <definedName function="false" hidden="false" name="st_crise_div_fin_def" vbProcedure="false">Hypotheses!$E$458</definedName>
    <definedName function="false" hidden="false" name="st_crise_div_fin_fav" vbProcedure="false">Hypotheses!$C$458</definedName>
    <definedName function="false" hidden="false" name="st_crise_dot_rdt_delta" vbProcedure="false">Hypotheses!$D$459</definedName>
    <definedName function="false" hidden="false" name="st_crise_dot_rdt_delta_def" vbProcedure="false">Hypotheses!$E$459</definedName>
    <definedName function="false" hidden="false" name="st_crise_dot_rdt_delta_fav" vbProcedure="false">Hypotheses!$C$459</definedName>
    <definedName function="false" hidden="false" name="st_crise_energie_debut" vbProcedure="false">Hypotheses!$D$460</definedName>
    <definedName function="false" hidden="false" name="st_crise_energie_debut_def" vbProcedure="false">Hypotheses!$E$460</definedName>
    <definedName function="false" hidden="false" name="st_crise_energie_debut_fav" vbProcedure="false">Hypotheses!$C$460</definedName>
    <definedName function="false" hidden="false" name="st_crise_energie_fin" vbProcedure="false">Hypotheses!$D$461</definedName>
    <definedName function="false" hidden="false" name="st_crise_energie_fin_def" vbProcedure="false">Hypotheses!$E$461</definedName>
    <definedName function="false" hidden="false" name="st_crise_energie_fin_fav" vbProcedure="false">Hypotheses!$C$461</definedName>
    <definedName function="false" hidden="false" name="st_crise_energie_mult" vbProcedure="false">Hypotheses!$D$462</definedName>
    <definedName function="false" hidden="false" name="st_crise_energie_mult_def" vbProcedure="false">Hypotheses!$E$462</definedName>
    <definedName function="false" hidden="false" name="st_crise_energie_mult_fav" vbProcedure="false">Hypotheses!$C$462</definedName>
    <definedName function="false" hidden="false" name="st_crise_g_sal_extra" vbProcedure="false">Hypotheses!$D$463</definedName>
    <definedName function="false" hidden="false" name="st_crise_g_sal_extra_def" vbProcedure="false">Hypotheses!$E$463</definedName>
    <definedName function="false" hidden="false" name="st_crise_g_sal_extra_fav" vbProcedure="false">Hypotheses!$C$463</definedName>
    <definedName function="false" hidden="false" name="st_crise_mult_A" vbProcedure="false">Hypotheses!$D$464</definedName>
    <definedName function="false" hidden="false" name="st_crise_mult_A_def" vbProcedure="false">Hypotheses!$E$464</definedName>
    <definedName function="false" hidden="false" name="st_crise_mult_A_fav" vbProcedure="false">Hypotheses!$C$464</definedName>
    <definedName function="false" hidden="false" name="st_crise_mult_B" vbProcedure="false">Hypotheses!$D$465</definedName>
    <definedName function="false" hidden="false" name="st_crise_mult_B_def" vbProcedure="false">Hypotheses!$E$465</definedName>
    <definedName function="false" hidden="false" name="st_crise_mult_B_fav" vbProcedure="false">Hypotheses!$C$465</definedName>
    <definedName function="false" hidden="false" name="st_crise_mult_C" vbProcedure="false">Hypotheses!$D$466</definedName>
    <definedName function="false" hidden="false" name="st_crise_mult_campagne" vbProcedure="false">Hypotheses!$D$467</definedName>
    <definedName function="false" hidden="false" name="st_crise_mult_campagne_def" vbProcedure="false">Hypotheses!$E$467</definedName>
    <definedName function="false" hidden="false" name="st_crise_mult_campagne_fav" vbProcedure="false">Hypotheses!$C$467</definedName>
    <definedName function="false" hidden="false" name="st_crise_mult_C_def" vbProcedure="false">Hypotheses!$E$466</definedName>
    <definedName function="false" hidden="false" name="st_crise_mult_C_fav" vbProcedure="false">Hypotheses!$C$466</definedName>
    <definedName function="false" hidden="false" name="st_cumul_choc_trav_an" vbProcedure="false">Hypotheses!$D$468</definedName>
    <definedName function="false" hidden="false" name="st_cumul_choc_trav_an_def" vbProcedure="false">Hypotheses!$E$468</definedName>
    <definedName function="false" hidden="false" name="st_cumul_choc_trav_an_fav" vbProcedure="false">Hypotheses!$C$468</definedName>
    <definedName function="false" hidden="false" name="st_cumul_choc_trav_montant" vbProcedure="false">Hypotheses!$D$469</definedName>
    <definedName function="false" hidden="false" name="st_cumul_choc_trav_montant_def" vbProcedure="false">Hypotheses!$E$469</definedName>
    <definedName function="false" hidden="false" name="st_cumul_choc_trav_montant_fav" vbProcedure="false">Hypotheses!$C$469</definedName>
    <definedName function="false" hidden="false" name="st_cumul_crise_an" vbProcedure="false">Hypotheses!$D$470</definedName>
    <definedName function="false" hidden="false" name="st_cumul_crise_an_def" vbProcedure="false">Hypotheses!$E$470</definedName>
    <definedName function="false" hidden="false" name="st_cumul_crise_an_fav" vbProcedure="false">Hypotheses!$C$470</definedName>
    <definedName function="false" hidden="false" name="st_cumul_debut_mult" vbProcedure="false">Hypotheses!$D$471</definedName>
    <definedName function="false" hidden="false" name="st_cumul_debut_mult_def" vbProcedure="false">Hypotheses!$E$471</definedName>
    <definedName function="false" hidden="false" name="st_cumul_debut_mult_fav" vbProcedure="false">Hypotheses!$C$471</definedName>
    <definedName function="false" hidden="false" name="st_cumul_div_fin" vbProcedure="false">Hypotheses!$D$472</definedName>
    <definedName function="false" hidden="false" name="st_cumul_div_fin_def" vbProcedure="false">Hypotheses!$E$472</definedName>
    <definedName function="false" hidden="false" name="st_cumul_div_fin_fav" vbProcedure="false">Hypotheses!$C$472</definedName>
    <definedName function="false" hidden="false" name="st_cumul_dot_rdt_delta" vbProcedure="false">Hypotheses!$D$473</definedName>
    <definedName function="false" hidden="false" name="st_cumul_dot_rdt_delta_def" vbProcedure="false">Hypotheses!$E$473</definedName>
    <definedName function="false" hidden="false" name="st_cumul_dot_rdt_delta_fav" vbProcedure="false">Hypotheses!$C$473</definedName>
    <definedName function="false" hidden="false" name="st_cumul_energie_debut" vbProcedure="false">Hypotheses!$D$474</definedName>
    <definedName function="false" hidden="false" name="st_cumul_energie_debut_def" vbProcedure="false">Hypotheses!$E$474</definedName>
    <definedName function="false" hidden="false" name="st_cumul_energie_debut_fav" vbProcedure="false">Hypotheses!$C$474</definedName>
    <definedName function="false" hidden="false" name="st_cumul_energie_fin" vbProcedure="false">Hypotheses!$D$475</definedName>
    <definedName function="false" hidden="false" name="st_cumul_energie_fin_def" vbProcedure="false">Hypotheses!$E$475</definedName>
    <definedName function="false" hidden="false" name="st_cumul_energie_fin_fav" vbProcedure="false">Hypotheses!$C$475</definedName>
    <definedName function="false" hidden="false" name="st_cumul_energie_mult" vbProcedure="false">Hypotheses!$D$476</definedName>
    <definedName function="false" hidden="false" name="st_cumul_energie_mult_def" vbProcedure="false">Hypotheses!$E$476</definedName>
    <definedName function="false" hidden="false" name="st_cumul_energie_mult_fav" vbProcedure="false">Hypotheses!$C$476</definedName>
    <definedName function="false" hidden="false" name="st_cumul_g_sal_extra" vbProcedure="false">Hypotheses!$D$477</definedName>
    <definedName function="false" hidden="false" name="st_cumul_g_sal_extra_def" vbProcedure="false">Hypotheses!$E$477</definedName>
    <definedName function="false" hidden="false" name="st_cumul_g_sal_extra_fav" vbProcedure="false">Hypotheses!$C$477</definedName>
    <definedName function="false" hidden="false" name="st_cumul_mult_A" vbProcedure="false">Hypotheses!$D$478</definedName>
    <definedName function="false" hidden="false" name="st_cumul_mult_A_def" vbProcedure="false">Hypotheses!$E$478</definedName>
    <definedName function="false" hidden="false" name="st_cumul_mult_A_fav" vbProcedure="false">Hypotheses!$C$478</definedName>
    <definedName function="false" hidden="false" name="st_cumul_mult_B" vbProcedure="false">Hypotheses!$D$479</definedName>
    <definedName function="false" hidden="false" name="st_cumul_mult_B_def" vbProcedure="false">Hypotheses!$E$479</definedName>
    <definedName function="false" hidden="false" name="st_cumul_mult_B_fav" vbProcedure="false">Hypotheses!$C$479</definedName>
    <definedName function="false" hidden="false" name="st_cumul_mult_C" vbProcedure="false">Hypotheses!$D$480</definedName>
    <definedName function="false" hidden="false" name="st_cumul_mult_campagne" vbProcedure="false">Hypotheses!$D$481</definedName>
    <definedName function="false" hidden="false" name="st_cumul_mult_campagne_def" vbProcedure="false">Hypotheses!$E$481</definedName>
    <definedName function="false" hidden="false" name="st_cumul_mult_campagne_fav" vbProcedure="false">Hypotheses!$C$481</definedName>
    <definedName function="false" hidden="false" name="st_cumul_mult_C_def" vbProcedure="false">Hypotheses!$E$480</definedName>
    <definedName function="false" hidden="false" name="st_cumul_mult_C_fav" vbProcedure="false">Hypotheses!$C$480</definedName>
    <definedName function="false" hidden="false" name="st_energie_choc_trav_an" vbProcedure="false">Hypotheses!$D$482</definedName>
    <definedName function="false" hidden="false" name="st_energie_choc_trav_an_def" vbProcedure="false">Hypotheses!$E$482</definedName>
    <definedName function="false" hidden="false" name="st_energie_choc_trav_an_fav" vbProcedure="false">Hypotheses!$C$482</definedName>
    <definedName function="false" hidden="false" name="st_energie_choc_trav_montant" vbProcedure="false">Hypotheses!$D$483</definedName>
    <definedName function="false" hidden="false" name="st_energie_choc_trav_montant_def" vbProcedure="false">Hypotheses!$E$483</definedName>
    <definedName function="false" hidden="false" name="st_energie_choc_trav_montant_fav" vbProcedure="false">Hypotheses!$C$483</definedName>
    <definedName function="false" hidden="false" name="st_energie_crise_an" vbProcedure="false">Hypotheses!$D$484</definedName>
    <definedName function="false" hidden="false" name="st_energie_crise_an_def" vbProcedure="false">Hypotheses!$E$484</definedName>
    <definedName function="false" hidden="false" name="st_energie_crise_an_fav" vbProcedure="false">Hypotheses!$C$484</definedName>
    <definedName function="false" hidden="false" name="st_energie_debut_mult" vbProcedure="false">Hypotheses!$D$485</definedName>
    <definedName function="false" hidden="false" name="st_energie_debut_mult_def" vbProcedure="false">Hypotheses!$E$485</definedName>
    <definedName function="false" hidden="false" name="st_energie_debut_mult_fav" vbProcedure="false">Hypotheses!$C$485</definedName>
    <definedName function="false" hidden="false" name="st_energie_div_fin" vbProcedure="false">Hypotheses!$D$486</definedName>
    <definedName function="false" hidden="false" name="st_energie_div_fin_def" vbProcedure="false">Hypotheses!$E$486</definedName>
    <definedName function="false" hidden="false" name="st_energie_div_fin_fav" vbProcedure="false">Hypotheses!$C$486</definedName>
    <definedName function="false" hidden="false" name="st_energie_dot_rdt_delta" vbProcedure="false">Hypotheses!$D$487</definedName>
    <definedName function="false" hidden="false" name="st_energie_dot_rdt_delta_def" vbProcedure="false">Hypotheses!$E$487</definedName>
    <definedName function="false" hidden="false" name="st_energie_dot_rdt_delta_fav" vbProcedure="false">Hypotheses!$C$487</definedName>
    <definedName function="false" hidden="false" name="st_energie_energie_debut" vbProcedure="false">Hypotheses!$D$488</definedName>
    <definedName function="false" hidden="false" name="st_energie_energie_debut_def" vbProcedure="false">Hypotheses!$E$488</definedName>
    <definedName function="false" hidden="false" name="st_energie_energie_debut_fav" vbProcedure="false">Hypotheses!$C$488</definedName>
    <definedName function="false" hidden="false" name="st_energie_energie_fin" vbProcedure="false">Hypotheses!$D$489</definedName>
    <definedName function="false" hidden="false" name="st_energie_energie_fin_def" vbProcedure="false">Hypotheses!$E$489</definedName>
    <definedName function="false" hidden="false" name="st_energie_energie_fin_fav" vbProcedure="false">Hypotheses!$C$489</definedName>
    <definedName function="false" hidden="false" name="st_energie_energie_mult" vbProcedure="false">Hypotheses!$D$490</definedName>
    <definedName function="false" hidden="false" name="st_energie_energie_mult_def" vbProcedure="false">Hypotheses!$E$490</definedName>
    <definedName function="false" hidden="false" name="st_energie_energie_mult_fav" vbProcedure="false">Hypotheses!$C$490</definedName>
    <definedName function="false" hidden="false" name="st_energie_g_sal_extra" vbProcedure="false">Hypotheses!$D$491</definedName>
    <definedName function="false" hidden="false" name="st_energie_g_sal_extra_def" vbProcedure="false">Hypotheses!$E$491</definedName>
    <definedName function="false" hidden="false" name="st_energie_g_sal_extra_fav" vbProcedure="false">Hypotheses!$C$491</definedName>
    <definedName function="false" hidden="false" name="st_energie_mult_A" vbProcedure="false">Hypotheses!$D$492</definedName>
    <definedName function="false" hidden="false" name="st_energie_mult_A_def" vbProcedure="false">Hypotheses!$E$492</definedName>
    <definedName function="false" hidden="false" name="st_energie_mult_A_fav" vbProcedure="false">Hypotheses!$C$492</definedName>
    <definedName function="false" hidden="false" name="st_energie_mult_B" vbProcedure="false">Hypotheses!$D$493</definedName>
    <definedName function="false" hidden="false" name="st_energie_mult_B_def" vbProcedure="false">Hypotheses!$E$493</definedName>
    <definedName function="false" hidden="false" name="st_energie_mult_B_fav" vbProcedure="false">Hypotheses!$C$493</definedName>
    <definedName function="false" hidden="false" name="st_energie_mult_C" vbProcedure="false">Hypotheses!$D$494</definedName>
    <definedName function="false" hidden="false" name="st_energie_mult_campagne" vbProcedure="false">Hypotheses!$D$495</definedName>
    <definedName function="false" hidden="false" name="st_energie_mult_campagne_def" vbProcedure="false">Hypotheses!$E$495</definedName>
    <definedName function="false" hidden="false" name="st_energie_mult_campagne_fav" vbProcedure="false">Hypotheses!$C$495</definedName>
    <definedName function="false" hidden="false" name="st_energie_mult_C_def" vbProcedure="false">Hypotheses!$E$494</definedName>
    <definedName function="false" hidden="false" name="st_energie_mult_C_fav" vbProcedure="false">Hypotheses!$C$494</definedName>
    <definedName function="false" hidden="false" name="st_moteur_choc_trav_an" vbProcedure="false">Hypotheses!$D$496</definedName>
    <definedName function="false" hidden="false" name="st_moteur_choc_trav_an_def" vbProcedure="false">Hypotheses!$E$496</definedName>
    <definedName function="false" hidden="false" name="st_moteur_choc_trav_an_fav" vbProcedure="false">Hypotheses!$C$496</definedName>
    <definedName function="false" hidden="false" name="st_moteur_choc_trav_montant" vbProcedure="false">Hypotheses!$D$497</definedName>
    <definedName function="false" hidden="false" name="st_moteur_choc_trav_montant_def" vbProcedure="false">Hypotheses!$E$497</definedName>
    <definedName function="false" hidden="false" name="st_moteur_choc_trav_montant_fav" vbProcedure="false">Hypotheses!$C$497</definedName>
    <definedName function="false" hidden="false" name="st_moteur_crise_an" vbProcedure="false">Hypotheses!$D$498</definedName>
    <definedName function="false" hidden="false" name="st_moteur_crise_an_def" vbProcedure="false">Hypotheses!$E$498</definedName>
    <definedName function="false" hidden="false" name="st_moteur_crise_an_fav" vbProcedure="false">Hypotheses!$C$498</definedName>
    <definedName function="false" hidden="false" name="st_moteur_debut_mult" vbProcedure="false">Hypotheses!$D$499</definedName>
    <definedName function="false" hidden="false" name="st_moteur_debut_mult_def" vbProcedure="false">Hypotheses!$E$499</definedName>
    <definedName function="false" hidden="false" name="st_moteur_debut_mult_fav" vbProcedure="false">Hypotheses!$C$499</definedName>
    <definedName function="false" hidden="false" name="st_moteur_div_fin" vbProcedure="false">Hypotheses!$D$500</definedName>
    <definedName function="false" hidden="false" name="st_moteur_div_fin_def" vbProcedure="false">Hypotheses!$E$500</definedName>
    <definedName function="false" hidden="false" name="st_moteur_div_fin_fav" vbProcedure="false">Hypotheses!$C$500</definedName>
    <definedName function="false" hidden="false" name="st_moteur_dot_rdt_delta" vbProcedure="false">Hypotheses!$D$501</definedName>
    <definedName function="false" hidden="false" name="st_moteur_dot_rdt_delta_def" vbProcedure="false">Hypotheses!$E$501</definedName>
    <definedName function="false" hidden="false" name="st_moteur_dot_rdt_delta_fav" vbProcedure="false">Hypotheses!$C$501</definedName>
    <definedName function="false" hidden="false" name="st_moteur_energie_debut" vbProcedure="false">Hypotheses!$D$502</definedName>
    <definedName function="false" hidden="false" name="st_moteur_energie_debut_def" vbProcedure="false">Hypotheses!$E$502</definedName>
    <definedName function="false" hidden="false" name="st_moteur_energie_debut_fav" vbProcedure="false">Hypotheses!$C$502</definedName>
    <definedName function="false" hidden="false" name="st_moteur_energie_fin" vbProcedure="false">Hypotheses!$D$503</definedName>
    <definedName function="false" hidden="false" name="st_moteur_energie_fin_def" vbProcedure="false">Hypotheses!$E$503</definedName>
    <definedName function="false" hidden="false" name="st_moteur_energie_fin_fav" vbProcedure="false">Hypotheses!$C$503</definedName>
    <definedName function="false" hidden="false" name="st_moteur_energie_mult" vbProcedure="false">Hypotheses!$D$504</definedName>
    <definedName function="false" hidden="false" name="st_moteur_energie_mult_def" vbProcedure="false">Hypotheses!$E$504</definedName>
    <definedName function="false" hidden="false" name="st_moteur_energie_mult_fav" vbProcedure="false">Hypotheses!$C$504</definedName>
    <definedName function="false" hidden="false" name="st_moteur_g_sal_extra" vbProcedure="false">Hypotheses!$D$505</definedName>
    <definedName function="false" hidden="false" name="st_moteur_g_sal_extra_def" vbProcedure="false">Hypotheses!$E$505</definedName>
    <definedName function="false" hidden="false" name="st_moteur_g_sal_extra_fav" vbProcedure="false">Hypotheses!$C$505</definedName>
    <definedName function="false" hidden="false" name="st_moteur_mult_A" vbProcedure="false">Hypotheses!$D$506</definedName>
    <definedName function="false" hidden="false" name="st_moteur_mult_A_def" vbProcedure="false">Hypotheses!$E$506</definedName>
    <definedName function="false" hidden="false" name="st_moteur_mult_A_fav" vbProcedure="false">Hypotheses!$C$506</definedName>
    <definedName function="false" hidden="false" name="st_moteur_mult_B" vbProcedure="false">Hypotheses!$D$507</definedName>
    <definedName function="false" hidden="false" name="st_moteur_mult_B_def" vbProcedure="false">Hypotheses!$E$507</definedName>
    <definedName function="false" hidden="false" name="st_moteur_mult_B_fav" vbProcedure="false">Hypotheses!$C$507</definedName>
    <definedName function="false" hidden="false" name="st_moteur_mult_C" vbProcedure="false">Hypotheses!$D$508</definedName>
    <definedName function="false" hidden="false" name="st_moteur_mult_campagne" vbProcedure="false">Hypotheses!$D$509</definedName>
    <definedName function="false" hidden="false" name="st_moteur_mult_campagne_def" vbProcedure="false">Hypotheses!$E$509</definedName>
    <definedName function="false" hidden="false" name="st_moteur_mult_campagne_fav" vbProcedure="false">Hypotheses!$C$509</definedName>
    <definedName function="false" hidden="false" name="st_moteur_mult_C_def" vbProcedure="false">Hypotheses!$E$508</definedName>
    <definedName function="false" hidden="false" name="st_moteur_mult_C_fav" vbProcedure="false">Hypotheses!$C$508</definedName>
    <definedName function="false" hidden="false" name="st_salaires_choc_trav_an" vbProcedure="false">Hypotheses!$D$510</definedName>
    <definedName function="false" hidden="false" name="st_salaires_choc_trav_an_def" vbProcedure="false">Hypotheses!$E$510</definedName>
    <definedName function="false" hidden="false" name="st_salaires_choc_trav_an_fav" vbProcedure="false">Hypotheses!$C$510</definedName>
    <definedName function="false" hidden="false" name="st_salaires_choc_trav_montant" vbProcedure="false">Hypotheses!$D$511</definedName>
    <definedName function="false" hidden="false" name="st_salaires_choc_trav_montant_def" vbProcedure="false">Hypotheses!$E$511</definedName>
    <definedName function="false" hidden="false" name="st_salaires_choc_trav_montant_fav" vbProcedure="false">Hypotheses!$C$511</definedName>
    <definedName function="false" hidden="false" name="st_salaires_crise_an" vbProcedure="false">Hypotheses!$D$512</definedName>
    <definedName function="false" hidden="false" name="st_salaires_crise_an_def" vbProcedure="false">Hypotheses!$E$512</definedName>
    <definedName function="false" hidden="false" name="st_salaires_crise_an_fav" vbProcedure="false">Hypotheses!$C$512</definedName>
    <definedName function="false" hidden="false" name="st_salaires_debut_mult" vbProcedure="false">Hypotheses!$D$513</definedName>
    <definedName function="false" hidden="false" name="st_salaires_debut_mult_def" vbProcedure="false">Hypotheses!$E$513</definedName>
    <definedName function="false" hidden="false" name="st_salaires_debut_mult_fav" vbProcedure="false">Hypotheses!$C$513</definedName>
    <definedName function="false" hidden="false" name="st_salaires_div_fin" vbProcedure="false">Hypotheses!$D$514</definedName>
    <definedName function="false" hidden="false" name="st_salaires_div_fin_def" vbProcedure="false">Hypotheses!$E$514</definedName>
    <definedName function="false" hidden="false" name="st_salaires_div_fin_fav" vbProcedure="false">Hypotheses!$C$514</definedName>
    <definedName function="false" hidden="false" name="st_salaires_dot_rdt_delta" vbProcedure="false">Hypotheses!$D$515</definedName>
    <definedName function="false" hidden="false" name="st_salaires_dot_rdt_delta_def" vbProcedure="false">Hypotheses!$E$515</definedName>
    <definedName function="false" hidden="false" name="st_salaires_dot_rdt_delta_fav" vbProcedure="false">Hypotheses!$C$515</definedName>
    <definedName function="false" hidden="false" name="st_salaires_energie_debut" vbProcedure="false">Hypotheses!$D$516</definedName>
    <definedName function="false" hidden="false" name="st_salaires_energie_debut_def" vbProcedure="false">Hypotheses!$E$516</definedName>
    <definedName function="false" hidden="false" name="st_salaires_energie_debut_fav" vbProcedure="false">Hypotheses!$C$516</definedName>
    <definedName function="false" hidden="false" name="st_salaires_energie_fin" vbProcedure="false">Hypotheses!$D$517</definedName>
    <definedName function="false" hidden="false" name="st_salaires_energie_fin_def" vbProcedure="false">Hypotheses!$E$517</definedName>
    <definedName function="false" hidden="false" name="st_salaires_energie_fin_fav" vbProcedure="false">Hypotheses!$C$517</definedName>
    <definedName function="false" hidden="false" name="st_salaires_energie_mult" vbProcedure="false">Hypotheses!$D$518</definedName>
    <definedName function="false" hidden="false" name="st_salaires_energie_mult_def" vbProcedure="false">Hypotheses!$E$518</definedName>
    <definedName function="false" hidden="false" name="st_salaires_energie_mult_fav" vbProcedure="false">Hypotheses!$C$518</definedName>
    <definedName function="false" hidden="false" name="st_salaires_g_sal_extra" vbProcedure="false">Hypotheses!$D$519</definedName>
    <definedName function="false" hidden="false" name="st_salaires_g_sal_extra_def" vbProcedure="false">Hypotheses!$E$519</definedName>
    <definedName function="false" hidden="false" name="st_salaires_g_sal_extra_fav" vbProcedure="false">Hypotheses!$C$519</definedName>
    <definedName function="false" hidden="false" name="st_salaires_mult_A" vbProcedure="false">Hypotheses!$D$520</definedName>
    <definedName function="false" hidden="false" name="st_salaires_mult_A_def" vbProcedure="false">Hypotheses!$E$520</definedName>
    <definedName function="false" hidden="false" name="st_salaires_mult_A_fav" vbProcedure="false">Hypotheses!$C$520</definedName>
    <definedName function="false" hidden="false" name="st_salaires_mult_B" vbProcedure="false">Hypotheses!$D$521</definedName>
    <definedName function="false" hidden="false" name="st_salaires_mult_B_def" vbProcedure="false">Hypotheses!$E$521</definedName>
    <definedName function="false" hidden="false" name="st_salaires_mult_B_fav" vbProcedure="false">Hypotheses!$C$521</definedName>
    <definedName function="false" hidden="false" name="st_salaires_mult_C" vbProcedure="false">Hypotheses!$D$522</definedName>
    <definedName function="false" hidden="false" name="st_salaires_mult_campagne" vbProcedure="false">Hypotheses!$D$523</definedName>
    <definedName function="false" hidden="false" name="st_salaires_mult_campagne_def" vbProcedure="false">Hypotheses!$E$523</definedName>
    <definedName function="false" hidden="false" name="st_salaires_mult_campagne_fav" vbProcedure="false">Hypotheses!$C$523</definedName>
    <definedName function="false" hidden="false" name="st_salaires_mult_C_def" vbProcedure="false">Hypotheses!$E$522</definedName>
    <definedName function="false" hidden="false" name="st_salaires_mult_C_fav" vbProcedure="false">Hypotheses!$C$522</definedName>
    <definedName function="false" hidden="false" name="st_travaux_choc_trav_an" vbProcedure="false">Hypotheses!$D$524</definedName>
    <definedName function="false" hidden="false" name="st_travaux_choc_trav_an_def" vbProcedure="false">Hypotheses!$E$524</definedName>
    <definedName function="false" hidden="false" name="st_travaux_choc_trav_an_fav" vbProcedure="false">Hypotheses!$C$524</definedName>
    <definedName function="false" hidden="false" name="st_travaux_choc_trav_montant" vbProcedure="false">Hypotheses!$D$525</definedName>
    <definedName function="false" hidden="false" name="st_travaux_choc_trav_montant_def" vbProcedure="false">Hypotheses!$E$525</definedName>
    <definedName function="false" hidden="false" name="st_travaux_choc_trav_montant_fav" vbProcedure="false">Hypotheses!$C$525</definedName>
    <definedName function="false" hidden="false" name="st_travaux_crise_an" vbProcedure="false">Hypotheses!$D$526</definedName>
    <definedName function="false" hidden="false" name="st_travaux_crise_an_def" vbProcedure="false">Hypotheses!$E$526</definedName>
    <definedName function="false" hidden="false" name="st_travaux_crise_an_fav" vbProcedure="false">Hypotheses!$C$526</definedName>
    <definedName function="false" hidden="false" name="st_travaux_debut_mult" vbProcedure="false">Hypotheses!$D$527</definedName>
    <definedName function="false" hidden="false" name="st_travaux_debut_mult_def" vbProcedure="false">Hypotheses!$E$527</definedName>
    <definedName function="false" hidden="false" name="st_travaux_debut_mult_fav" vbProcedure="false">Hypotheses!$C$527</definedName>
    <definedName function="false" hidden="false" name="st_travaux_div_fin" vbProcedure="false">Hypotheses!$D$528</definedName>
    <definedName function="false" hidden="false" name="st_travaux_div_fin_def" vbProcedure="false">Hypotheses!$E$528</definedName>
    <definedName function="false" hidden="false" name="st_travaux_div_fin_fav" vbProcedure="false">Hypotheses!$C$528</definedName>
    <definedName function="false" hidden="false" name="st_travaux_dot_rdt_delta" vbProcedure="false">Hypotheses!$D$529</definedName>
    <definedName function="false" hidden="false" name="st_travaux_dot_rdt_delta_def" vbProcedure="false">Hypotheses!$E$529</definedName>
    <definedName function="false" hidden="false" name="st_travaux_dot_rdt_delta_fav" vbProcedure="false">Hypotheses!$C$529</definedName>
    <definedName function="false" hidden="false" name="st_travaux_energie_debut" vbProcedure="false">Hypotheses!$D$530</definedName>
    <definedName function="false" hidden="false" name="st_travaux_energie_debut_def" vbProcedure="false">Hypotheses!$E$530</definedName>
    <definedName function="false" hidden="false" name="st_travaux_energie_debut_fav" vbProcedure="false">Hypotheses!$C$530</definedName>
    <definedName function="false" hidden="false" name="st_travaux_energie_fin" vbProcedure="false">Hypotheses!$D$531</definedName>
    <definedName function="false" hidden="false" name="st_travaux_energie_fin_def" vbProcedure="false">Hypotheses!$E$531</definedName>
    <definedName function="false" hidden="false" name="st_travaux_energie_fin_fav" vbProcedure="false">Hypotheses!$C$531</definedName>
    <definedName function="false" hidden="false" name="st_travaux_energie_mult" vbProcedure="false">Hypotheses!$D$532</definedName>
    <definedName function="false" hidden="false" name="st_travaux_energie_mult_def" vbProcedure="false">Hypotheses!$E$532</definedName>
    <definedName function="false" hidden="false" name="st_travaux_energie_mult_fav" vbProcedure="false">Hypotheses!$C$532</definedName>
    <definedName function="false" hidden="false" name="st_travaux_g_sal_extra" vbProcedure="false">Hypotheses!$D$533</definedName>
    <definedName function="false" hidden="false" name="st_travaux_g_sal_extra_def" vbProcedure="false">Hypotheses!$E$533</definedName>
    <definedName function="false" hidden="false" name="st_travaux_g_sal_extra_fav" vbProcedure="false">Hypotheses!$C$533</definedName>
    <definedName function="false" hidden="false" name="st_travaux_mult_A" vbProcedure="false">Hypotheses!$D$534</definedName>
    <definedName function="false" hidden="false" name="st_travaux_mult_A_def" vbProcedure="false">Hypotheses!$E$534</definedName>
    <definedName function="false" hidden="false" name="st_travaux_mult_A_fav" vbProcedure="false">Hypotheses!$C$534</definedName>
    <definedName function="false" hidden="false" name="st_travaux_mult_B" vbProcedure="false">Hypotheses!$D$535</definedName>
    <definedName function="false" hidden="false" name="st_travaux_mult_B_def" vbProcedure="false">Hypotheses!$E$535</definedName>
    <definedName function="false" hidden="false" name="st_travaux_mult_B_fav" vbProcedure="false">Hypotheses!$C$535</definedName>
    <definedName function="false" hidden="false" name="st_travaux_mult_C" vbProcedure="false">Hypotheses!$D$536</definedName>
    <definedName function="false" hidden="false" name="st_travaux_mult_campagne" vbProcedure="false">Hypotheses!$D$537</definedName>
    <definedName function="false" hidden="false" name="st_travaux_mult_campagne_def" vbProcedure="false">Hypotheses!$E$537</definedName>
    <definedName function="false" hidden="false" name="st_travaux_mult_campagne_fav" vbProcedure="false">Hypotheses!$C$537</definedName>
    <definedName function="false" hidden="false" name="st_travaux_mult_C_def" vbProcedure="false">Hypotheses!$E$536</definedName>
    <definedName function="false" hidden="false" name="st_travaux_mult_C_fav" vbProcedure="false">Hypotheses!$C$536</definedName>
    <definedName function="false" hidden="false" name="subvention_taux" vbProcedure="false">Hypotheses!$D$329</definedName>
    <definedName function="false" hidden="false" name="subvention_taux_def" vbProcedure="false">Hypotheses!$E$329</definedName>
    <definedName function="false" hidden="false" name="subvention_taux_fav" vbProcedure="false">Hypotheses!$C$329</definedName>
    <definedName function="false" hidden="false" name="sub_actif" vbProcedure="false">Hypotheses!$D$352</definedName>
    <definedName function="false" hidden="false" name="sub_actif_def" vbProcedure="false">Hypotheses!$E$352</definedName>
    <definedName function="false" hidden="false" name="sub_actif_fav" vbProcedure="false">Hypotheses!$C$352</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Hypotheses!$D$264</definedName>
    <definedName function="false" hidden="false" name="taux_renouv_capex_def" vbProcedure="false">Hypotheses!$E$264</definedName>
    <definedName function="false" hidden="false" name="taux_renouv_capex_fav" vbProcedure="false">Hypotheses!$C$264</definedName>
    <definedName function="false" hidden="false" name="taux_reserve" vbProcedure="false">Hypotheses!$D$330</definedName>
    <definedName function="false" hidden="false" name="taux_reserve_def" vbProcedure="false">Hypotheses!$E$330</definedName>
    <definedName function="false" hidden="false" name="taux_reserve_fav" vbProcedure="false">Hypotheses!$C$330</definedName>
    <definedName function="false" hidden="false" name="tfnb_ha" vbProcedure="false">Hypotheses!$D$188</definedName>
    <definedName function="false" hidden="false" name="tfnb_ha_def" vbProcedure="false">Hypotheses!$E$188</definedName>
    <definedName function="false" hidden="false" name="tfnb_ha_fav" vbProcedure="false">Hypotheses!$C$188</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Hypotheses!$D$265</definedName>
    <definedName function="false" hidden="false" name="tourn_jours_def" vbProcedure="false">Hypotheses!$E$265</definedName>
    <definedName function="false" hidden="false" name="tourn_jours_fav" vbProcedure="false">Hypotheses!$C$265</definedName>
    <definedName function="false" hidden="false" name="tourn_tarif" vbProcedure="false">Hypotheses!$D$266</definedName>
    <definedName function="false" hidden="false" name="tourn_tarif_def" vbProcedure="false">Hypotheses!$E$266</definedName>
    <definedName function="false" hidden="false" name="tourn_tarif_fav" vbProcedure="false">Hypotheses!$C$266</definedName>
    <definedName function="false" hidden="false" name="tourn_var" vbProcedure="false">Hypotheses!$D$267</definedName>
    <definedName function="false" hidden="false" name="tourn_var_def" vbProcedure="false">Hypotheses!$E$267</definedName>
    <definedName function="false" hidden="false" name="tourn_var_fav" vbProcedure="false">Hypotheses!$C$267</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<sst xmlns="http://schemas.openxmlformats.org/spreadsheetml/2006/main" count="10940" uniqueCount="4562">
  <si>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</si>
  <si>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</si>
  <si>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</si>
  <si>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</si>
  <si>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</si>
  <si>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</si>
  <si>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</si>
  <si>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</si>
  <si>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</si>
  <si>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</si>
  <si>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</si>
  <si>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</si>
  <si>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</si>
  <si>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</si>
  <si>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</si>
  <si>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</si>
  <si>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</si>
  <si>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</si>
  <si>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</si>
  <si>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</si>
  <si>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</si>
  <si>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</si>
  <si>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</si>
  <si>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</si>
  <si>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</si>
  <si>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</si>
  <si>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</si>
  <si>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</si>
  <si>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</si>
  <si>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</si>
  <si>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</si>
  <si>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</si>
  <si>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</si>
  <si>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</si>
  <si>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</si>
  <si>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</si>
  <si>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</si>
  <si>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</si>
  <si>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</si>
  <si>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</si>
  <si>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</si>
  <si>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</si>
  <si>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</si>
  <si>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</si>
  <si>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</si>
  <si>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</si>
  <si>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</si>
  <si>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</si>
  <si>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</si>
  <si>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</si>
  <si>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</si>
  <si>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</si>
  <si>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</si>
  <si>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</si>
  <si>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</si>
  <si>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</si>
  <si>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</si>
  <si>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</si>
  <si>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</si>
  <si>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</si>
  <si>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</si>
  <si>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</si>
  <si>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</si>
  <si>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</si>
  <si>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</si>
  <si>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</si>
  <si>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</si>
  <si>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</si>
  <si>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</si>
  <si>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</si>
  <si>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</si>
  <si>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</si>
  <si>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</si>
  <si>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</si>
  <si>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</si>
  <si>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</si>
  <si>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</si>
  <si>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</si>
  <si>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type de surface non précisé)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</si>
  <si>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</si>
  <si>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</si>
  <si>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</si>
  <si>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</si>
  <si>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</si>
  <si>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</si>
  <si>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</si>
  <si>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</si>
  <si>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</si>
  <si>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</si>
  <si>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</si>
  <si>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</si>
  <si>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</si>
  <si>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</si>
  <si>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</si>
  <si>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</si>
  <si>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</si>
  <si>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</si>
  <si>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</si>
  <si>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</si>
  <si>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</si>
  <si>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</si>
  <si>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du NRC (minimum « en l'absence d'information spécifique », pour un parc de bâtiments et en moyenne sur 5 à 10 ans, vérifié par V2V).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</si>
  <si>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</si>
  <si>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</si>
  <si>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</si>
  <si>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Elle est conditionnelle (« in the absence of specific information »), repose sur le jugement du comité et vaut pour un parc de bâtiments en moyenne sur 5 à 10 ans (rapport de 1990, p. xii, vérifié par V2V).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</si>
  <si>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</si>
  <si>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</si>
  <si>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</si>
  <si>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</si>
  <si>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</si>
  <si>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cfg_M1_ANC</t>
  </si>
  <si>
    <t xml:space="preserve">M1 — moteur ANC retenu (1) ou non (0)</t>
  </si>
  <si>
    <t xml:space="preserve">coefficient</t>
  </si>
  <si>
    <t xml:space="preserve">M1 : Socle contractuel et équestre standard (résidence calme)</t>
  </si>
  <si>
    <t xml:space="preserve">Configuration des modèles</t>
  </si>
  <si>
    <t xml:space="preserve">cfg_M1_AUTO</t>
  </si>
  <si>
    <t xml:space="preserve">M1 — moteur AUTO retenu (1) ou non (0)</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</si>
  <si>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</si>
  <si>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</si>
  <si>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</si>
  <si>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</si>
  <si>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</si>
  <si>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</si>
  <si>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</si>
  <si>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</si>
  <si>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</si>
  <si>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</si>
  <si>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</si>
  <si>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</si>
  <si>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</si>
  <si>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</si>
  <si>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</si>
  <si>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</si>
  <si>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</si>
  <si>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</si>
  <si>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cfg_M1_LUX</t>
  </si>
  <si>
    <t xml:space="preserve">M1 — moteur LUX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</si>
  <si>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</si>
  <si>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</si>
  <si>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</si>
  <si>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</si>
  <si>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</si>
  <si>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</si>
  <si>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</si>
  <si>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</si>
  <si>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</si>
  <si>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</si>
  <si>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cfg_M2_ANC</t>
  </si>
  <si>
    <t xml:space="preserve">M2 — moteur ANC retenu (1) ou non (0)</t>
  </si>
  <si>
    <t xml:space="preserve">M2 : Lieu d'exception à quota (M1 + réceptions, séminaires, grande maison)</t>
  </si>
  <si>
    <t xml:space="preserve">cfg_M2_AUTO</t>
  </si>
  <si>
    <t xml:space="preserve">M2 — moteur AUTO retenu (1) ou non (0)</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</si>
  <si>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</si>
  <si>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</si>
  <si>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</si>
  <si>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</si>
  <si>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</si>
  <si>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</si>
  <si>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</si>
  <si>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</si>
  <si>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</si>
  <si>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</si>
  <si>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</si>
  <si>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</si>
  <si>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</si>
  <si>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</si>
  <si>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</si>
  <si>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</si>
  <si>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</si>
  <si>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</si>
  <si>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cfg_M2_LUX</t>
  </si>
  <si>
    <t xml:space="preserve">M2 — moteur LUX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</si>
  <si>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</si>
  <si>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</si>
  <si>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</si>
  <si>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</si>
  <si>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</si>
  <si>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</si>
  <si>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</si>
  <si>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</si>
  <si>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</si>
  <si>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</si>
  <si>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cfg_M3_ANC</t>
  </si>
  <si>
    <t xml:space="preserve">M3 — moteur ANC retenu (1) ou non (0)</t>
  </si>
  <si>
    <t xml:space="preserve">M3 : Équestre haut de gamme et services (pension, retraite, reproduction)</t>
  </si>
  <si>
    <t xml:space="preserve">cfg_M3_AUTO</t>
  </si>
  <si>
    <t xml:space="preserve">M3 — moteur AUTO retenu (1) ou non (0)</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</si>
  <si>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</si>
  <si>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</si>
  <si>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</si>
  <si>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</si>
  <si>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</si>
  <si>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</si>
  <si>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</si>
  <si>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</si>
  <si>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</si>
  <si>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</si>
  <si>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</si>
  <si>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</si>
  <si>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</si>
  <si>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</si>
  <si>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</si>
  <si>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</si>
  <si>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</si>
  <si>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</si>
  <si>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cfg_M3_LUX</t>
  </si>
  <si>
    <t xml:space="preserve">M3 — moteur LUX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</si>
  <si>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</si>
  <si>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</si>
  <si>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</si>
  <si>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</si>
  <si>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</si>
  <si>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</si>
  <si>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</si>
  <si>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</si>
  <si>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</si>
  <si>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</si>
  <si>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cfg_M4_ANC</t>
  </si>
  <si>
    <t xml:space="preserve">M4 — moteur ANC retenu (1) ou non (0)</t>
  </si>
  <si>
    <t xml:space="preserve">M4 : Château-hôtel opéré (15 chambres) + réceptions et séminaires</t>
  </si>
  <si>
    <t xml:space="preserve">cfg_M4_AUTO</t>
  </si>
  <si>
    <t xml:space="preserve">M4 — moteur AUTO retenu (1) ou non (0)</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</si>
  <si>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</si>
  <si>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</si>
  <si>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</si>
  <si>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</si>
  <si>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</si>
  <si>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</si>
  <si>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</si>
  <si>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</si>
  <si>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</si>
  <si>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</si>
  <si>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</si>
  <si>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</si>
  <si>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</si>
  <si>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</si>
  <si>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</si>
  <si>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</si>
  <si>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</si>
  <si>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</si>
  <si>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cfg_M4_LUX</t>
  </si>
  <si>
    <t xml:space="preserve">M4 — moteur LUX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</si>
  <si>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</si>
  <si>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</si>
  <si>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</si>
  <si>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</si>
  <si>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</si>
  <si>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</si>
  <si>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</si>
  <si>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</si>
  <si>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</si>
  <si>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</si>
  <si>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cfg_M5_ANC</t>
  </si>
  <si>
    <t xml:space="preserve">M5 — moteur ANC retenu (1) ou non (0)</t>
  </si>
  <si>
    <t xml:space="preserve">M5 : Socle minimal + dotation financière extérieure</t>
  </si>
  <si>
    <t xml:space="preserve">cfg_M5_AUTO</t>
  </si>
  <si>
    <t xml:space="preserve">M5 — moteur AUTO retenu (1) ou non (0)</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</si>
  <si>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</si>
  <si>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</si>
  <si>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</si>
  <si>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</si>
  <si>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</si>
  <si>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</si>
  <si>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</si>
  <si>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</si>
  <si>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</si>
  <si>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</si>
  <si>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</si>
  <si>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</si>
  <si>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</si>
  <si>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</si>
  <si>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</si>
  <si>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</si>
  <si>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</si>
  <si>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</si>
  <si>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cfg_M5_LUX</t>
  </si>
  <si>
    <t xml:space="preserve">M5 — moteur LUX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</si>
  <si>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</si>
  <si>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</si>
  <si>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</si>
  <si>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</si>
  <si>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</si>
  <si>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</si>
  <si>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</si>
  <si>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</si>
  <si>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</si>
  <si>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</si>
  <si>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cfg_M6_ANC</t>
  </si>
  <si>
    <t xml:space="preserve">M6 — moteur ANC retenu (1) ou non (0)</t>
  </si>
  <si>
    <t xml:space="preserve">M6 : Socle minimal + entreprise extérieure</t>
  </si>
  <si>
    <t xml:space="preserve">cfg_M6_AUTO</t>
  </si>
  <si>
    <t xml:space="preserve">M6 — moteur AUTO retenu (1) ou non (0)</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</si>
  <si>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</si>
  <si>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</si>
  <si>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</si>
  <si>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</si>
  <si>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</si>
  <si>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</si>
  <si>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</si>
  <si>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</si>
  <si>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</si>
  <si>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</si>
  <si>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</si>
  <si>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</si>
  <si>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</si>
  <si>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</si>
  <si>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</si>
  <si>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</si>
  <si>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</si>
  <si>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</si>
  <si>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cfg_M6_LUX</t>
  </si>
  <si>
    <t xml:space="preserve">M6 — moteur LUX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</si>
  <si>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</si>
  <si>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</si>
  <si>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</si>
  <si>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</si>
  <si>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</si>
  <si>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</si>
  <si>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</si>
  <si>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</si>
  <si>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</si>
  <si>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</si>
  <si>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cfg_M7_ANC</t>
  </si>
  <si>
    <t xml:space="preserve">M7 — moteur ANC retenu (1) ou non (0)</t>
  </si>
  <si>
    <t xml:space="preserve">M7 : Locataire d'ancrage : bail à un exploitant de séminaires + socle foncier</t>
  </si>
  <si>
    <t xml:space="preserve">cfg_M7_AUTO</t>
  </si>
  <si>
    <t xml:space="preserve">M7 — moteur AUTO retenu (1) ou non (0)</t>
  </si>
  <si>
    <t xml:space="preserve">cfg_M7_BOIS</t>
  </si>
  <si>
    <t xml:space="preserve">M7 — moteur BOIS retenu (1) ou non (0)</t>
  </si>
  <si>
    <t xml:space="preserve">cfg_M7_EQ_HDG</t>
  </si>
  <si>
    <t xml:space="preserve">M7 — moteur EQ_HDG retenu (1) ou non (0)</t>
  </si>
  <si>
    <t xml:space="preserve">cfg_M7_EQ_PRO</t>
  </si>
  <si>
    <t xml:space="preserve">M7 — moteur EQ_PRO retenu (1) ou non (0)</t>
  </si>
  <si>
    <t xml:space="preserve">cfg_M7_EQ_RET</t>
  </si>
  <si>
    <t xml:space="preserve">M7 — moteur EQ_RET retenu (1) ou non (0)</t>
  </si>
  <si>
    <t xml:space="preserve">cfg_M7_EQ_STD</t>
  </si>
  <si>
    <t xml:space="preserve">M7 — moteur EQ_STD retenu (1) ou non (0)</t>
  </si>
  <si>
    <t xml:space="preserve">cfg_M7_EVT</t>
  </si>
  <si>
    <t xml:space="preserve">M7 — moteur EVT retenu (1) ou non (0)</t>
  </si>
  <si>
    <t xml:space="preserve">cfg_M7_GITE</t>
  </si>
  <si>
    <t xml:space="preserve">M7 — moteur GITE retenu (1) ou non (0)</t>
  </si>
  <si>
    <t xml:space="preserve">cfg_M7_HOTEL</t>
  </si>
  <si>
    <t xml:space="preserve">M7 — moteur HOTEL retenu (1) ou non (0)</t>
  </si>
  <si>
    <t xml:space="preserve">cfg_M7_LOG</t>
  </si>
  <si>
    <t xml:space="preserve">M7 — moteur LOG retenu (1) ou non (0)</t>
  </si>
  <si>
    <t xml:space="preserve">cfg_M7_LUX</t>
  </si>
  <si>
    <t xml:space="preserve">M7 — moteur LUX retenu (1) ou non (0)</t>
  </si>
  <si>
    <t xml:space="preserve">cfg_M7_PV</t>
  </si>
  <si>
    <t xml:space="preserve">M7 — moteur PV retenu (1) ou non (0)</t>
  </si>
  <si>
    <t xml:space="preserve">cfg_M7_REPRO</t>
  </si>
  <si>
    <t xml:space="preserve">M7 — moteur REPRO retenu (1) ou non (0)</t>
  </si>
  <si>
    <t xml:space="preserve">cfg_M7_SEMJ</t>
  </si>
  <si>
    <t xml:space="preserve">M7 — moteur SEMJ retenu (1) ou non (0)</t>
  </si>
  <si>
    <t xml:space="preserve">cfg_M7_STOCK</t>
  </si>
  <si>
    <t xml:space="preserve">M7 — moteur STOCK retenu (1) ou non (0)</t>
  </si>
  <si>
    <t xml:space="preserve">cfg_M7_TOURN</t>
  </si>
  <si>
    <t xml:space="preserve">M7 — moteur TOURN retenu (1) ou non (0)</t>
  </si>
  <si>
    <t xml:space="preserve">cfg_M8_ANC</t>
  </si>
  <si>
    <t xml:space="preserve">M8 — moteur ANC retenu (1) ou non (0)</t>
  </si>
  <si>
    <t xml:space="preserve">M8 : Socle M1 + location de luxe de la partie privée quelques semaines par an</t>
  </si>
  <si>
    <t xml:space="preserve">cfg_M8_AUTO</t>
  </si>
  <si>
    <t xml:space="preserve">M8 — moteur AUTO retenu (1) ou non (0)</t>
  </si>
  <si>
    <t xml:space="preserve">cfg_M8_BOIS</t>
  </si>
  <si>
    <t xml:space="preserve">M8 — moteur BOIS retenu (1) ou non (0)</t>
  </si>
  <si>
    <t xml:space="preserve">cfg_M8_EQ_HDG</t>
  </si>
  <si>
    <t xml:space="preserve">M8 — moteur EQ_HDG retenu (1) ou non (0)</t>
  </si>
  <si>
    <t xml:space="preserve">cfg_M8_EQ_PRO</t>
  </si>
  <si>
    <t xml:space="preserve">M8 — moteur EQ_PRO retenu (1) ou non (0)</t>
  </si>
  <si>
    <t xml:space="preserve">cfg_M8_EQ_RET</t>
  </si>
  <si>
    <t xml:space="preserve">M8 — moteur EQ_RET retenu (1) ou non (0)</t>
  </si>
  <si>
    <t xml:space="preserve">cfg_M8_EQ_STD</t>
  </si>
  <si>
    <t xml:space="preserve">M8 — moteur EQ_STD retenu (1) ou non (0)</t>
  </si>
  <si>
    <t xml:space="preserve">cfg_M8_EVT</t>
  </si>
  <si>
    <t xml:space="preserve">M8 — moteur EVT retenu (1) ou non (0)</t>
  </si>
  <si>
    <t xml:space="preserve">cfg_M8_GITE</t>
  </si>
  <si>
    <t xml:space="preserve">M8 — moteur GITE retenu (1) ou non (0)</t>
  </si>
  <si>
    <t xml:space="preserve">cfg_M8_HOTEL</t>
  </si>
  <si>
    <t xml:space="preserve">M8 — moteur HOTEL retenu (1) ou non (0)</t>
  </si>
  <si>
    <t xml:space="preserve">cfg_M8_LOG</t>
  </si>
  <si>
    <t xml:space="preserve">M8 — moteur LOG retenu (1) ou non (0)</t>
  </si>
  <si>
    <t xml:space="preserve">cfg_M8_LUX</t>
  </si>
  <si>
    <t xml:space="preserve">M8 — moteur LUX retenu (1) ou non (0)</t>
  </si>
  <si>
    <t xml:space="preserve">cfg_M8_PV</t>
  </si>
  <si>
    <t xml:space="preserve">M8 — moteur PV retenu (1) ou non (0)</t>
  </si>
  <si>
    <t xml:space="preserve">cfg_M8_REPRO</t>
  </si>
  <si>
    <t xml:space="preserve">M8 — moteur REPRO retenu (1) ou non (0)</t>
  </si>
  <si>
    <t xml:space="preserve">cfg_M8_SEMJ</t>
  </si>
  <si>
    <t xml:space="preserve">M8 — moteur SEMJ retenu (1) ou non (0)</t>
  </si>
  <si>
    <t xml:space="preserve">cfg_M8_STOCK</t>
  </si>
  <si>
    <t xml:space="preserve">M8 — moteur STOCK retenu (1) ou non (0)</t>
  </si>
  <si>
    <t xml:space="preserve">cfg_M8_TOURN</t>
  </si>
  <si>
    <t xml:space="preserve">M8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</si>
  <si>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</si>
  <si>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</si>
  <si>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</si>
  <si>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</si>
  <si>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</si>
  <si>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</si>
  <si>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</si>
  <si>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</si>
  <si>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</si>
  <si>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</si>
  <si>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</si>
  <si>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</si>
  <si>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</si>
  <si>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</si>
  <si>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</si>
  <si>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</si>
  <si>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</si>
  <si>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</si>
  <si>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</si>
  <si>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</si>
  <si>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</si>
  <si>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</si>
  <si>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</si>
  <si>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</si>
  <si>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</si>
  <si>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</si>
  <si>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</si>
  <si>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</si>
  <si>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</si>
  <si>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</si>
  <si>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</si>
  <si>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</si>
  <si>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</si>
  <si>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</si>
  <si>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</si>
  <si>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</si>
  <si>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</si>
  <si>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</si>
  <si>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</si>
  <si>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</si>
  <si>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</si>
  <si>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</si>
  <si>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</si>
  <si>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</si>
  <si>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</si>
  <si>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</si>
  <si>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</si>
  <si>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</si>
  <si>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</si>
  <si>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</si>
  <si>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</si>
  <si>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</si>
  <si>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</si>
  <si>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</si>
  <si>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</si>
  <si>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</si>
  <si>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</si>
  <si>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</si>
  <si>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</si>
  <si>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</si>
  <si>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</si>
  <si>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</si>
  <si>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</si>
  <si>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</si>
  <si>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</si>
  <si>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</si>
  <si>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</si>
  <si>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</si>
  <si>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</si>
  <si>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</si>
  <si>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bail d'ancrage et location de luxe (vague 2) —</t>
  </si>
  <si>
    <t xml:space="preserve">anc_ca_chambre</t>
  </si>
  <si>
    <t xml:space="preserve">Bail d'ancrage : chiffre d'affaires annuel de l'exploitant par chambre</t>
  </si>
  <si>
    <t xml:space="preserve">€ HT/chambre/an</t>
  </si>
  <si>
    <t xml:space="preserve">V2A-14; V2A-01</t>
  </si>
  <si>
    <t xml:space="preserve">Château de Méry (70 chambres) : 72 400 € en 2024 ; campus Saint-Just (148 chambres) : 68 800 € en 2025. Deux maisons proches de Paris, non transposables à une région éloignée.</t>
  </si>
  <si>
    <t xml:space="preserve">Moteurs — bail d'ancrage et location de luxe (vague 2)</t>
  </si>
  <si>
    <t xml:space="preserve">anc_chambres</t>
  </si>
  <si>
    <t xml:space="preserve">Bail d'ancrage : chambres exploitées par un opérateur de séminaires résidentiels</t>
  </si>
  <si>
    <t xml:space="preserve">chambres</t>
  </si>
  <si>
    <t xml:space="preserve">V2A-13; V2A-54</t>
  </si>
  <si>
    <t xml:space="preserve">Toutes les maisons Châteauform' en France ont au moins 40 chambres (médiane 61). S2 permettrait 40 à 60 chambres en mobilisant l'essentiel des bâtiments (V2A § 4.3). Défavorable = conditions non réunies (plus de ≈ 90 km de Paris ou de 45 min d'une gare TGV, ou refus de cohabitation) : aucun exploitant.</t>
  </si>
  <si>
    <t xml:space="preserve">anc_frais_bailleur</t>
  </si>
  <si>
    <t xml:space="preserve">Bail d'ancrage : frais du bailleur (gestion, juristes, assurance, impôts non refacturés)</t>
  </si>
  <si>
    <t xml:space="preserve">% du loyer</t>
  </si>
  <si>
    <t xml:space="preserve">anc_part_transferee</t>
  </si>
  <si>
    <t xml:space="preserve">Bail d'ancrage : part de l'énergie et de l'entretien courant du bâti reprise par l'exploitant</t>
  </si>
  <si>
    <t xml:space="preserve">V2A-38</t>
  </si>
  <si>
    <t xml:space="preserve">Dans un bail commercial, l'entretien courant et les fluides de la zone louée sont au preneur ; les grosses réparations (toiture, murs porteurs) restent toujours au bailleur.</t>
  </si>
  <si>
    <t xml:space="preserve">anc_taux_loyer</t>
  </si>
  <si>
    <t xml:space="preserve">Bail d'ancrage : loyer en % du chiffre d'affaires de l'exploitant</t>
  </si>
  <si>
    <t xml:space="preserve">V2A-29; V2A-31</t>
  </si>
  <si>
    <t xml:space="preserve">Pratique hôtelière : 10-15 % du CA pour un indépendant ; plafond économique 8-14 % (couverture du loyer de 1,8 fois). V2A retient 8-15 % (central 12 %) ; ramené ici vers le bas parce que l'exploitant finance la transformation (abattement de 5 à 50 % selon les travaux, V2A § 7). Aucun loyer réel de château loué à un exploitant n'a été trouvé.</t>
  </si>
  <si>
    <t xml:space="preserve">lux_capex</t>
  </si>
  <si>
    <t xml:space="preserve">Location de luxe : mise aux standards (piscine, une salle de bains par chambre)</t>
  </si>
  <si>
    <t xml:space="preserve">€</t>
  </si>
  <si>
    <t xml:space="preserve">V2D-40; V2D-41</t>
  </si>
  <si>
    <t xml:space="preserve">Exigences observées : piscine dans tous les châteaux de la plateforme, 0,75 à 1 salle de bains par chambre. Coût INCONNU (V2D) : ordre de grandeur à remplacer par des devis.</t>
  </si>
  <si>
    <t xml:space="preserve">lux_commission</t>
  </si>
  <si>
    <t xml:space="preserve">Location de luxe : commission de la plateforme</t>
  </si>
  <si>
    <t xml:space="preserve">V2D-24; V2D-25</t>
  </si>
  <si>
    <t xml:space="preserve">Le Collectionist : 20 % (2017), 22 % (2020).</t>
  </si>
  <si>
    <t xml:space="preserve">lux_fixe</t>
  </si>
  <si>
    <t xml:space="preserve">Location de luxe : charges fixes (assurance RC, comptabilité au réel, entretien de la piscine)</t>
  </si>
  <si>
    <t xml:space="preserve">€/an</t>
  </si>
  <si>
    <t xml:space="preserve">V2D-28; V2D-32</t>
  </si>
  <si>
    <t xml:space="preserve">lux_prix_semaine</t>
  </si>
  <si>
    <t xml:space="preserve">Location de luxe : prix d'une semaine (château de 10 à 14 chambres)</t>
  </si>
  <si>
    <t xml:space="preserve">€/semaine</t>
  </si>
  <si>
    <t xml:space="preserve">V2D-35; V2D-36; V2D-37; V2D-38; V2D-25</t>
  </si>
  <si>
    <t xml:space="preserve">Prix publiés : 12 755 à 46 860 € par semaine pour 8 à 14 chambres ; prix moyen de la plateforme ≈ 25 000 € (2020). Régime de TVA non précisé : montant traité comme hors taxe.</t>
  </si>
  <si>
    <t xml:space="preserve">lux_semaines</t>
  </si>
  <si>
    <t xml:space="preserve">Location de luxe de la partie privée : semaines louées par an</t>
  </si>
  <si>
    <t xml:space="preserve">semaines</t>
  </si>
  <si>
    <t xml:space="preserve">V2D-26; V2D-28</t>
  </si>
  <si>
    <t xml:space="preserve">Aucun chiffre réel trouvé. Le Collectionist : ≈ 2 réservations par propriété et par an ; Oliver's Travels exige 6 semaines disponibles en juillet-août. Le propriétaire doit quitter les lieux.</t>
  </si>
  <si>
    <t xml:space="preserve">lux_var</t>
  </si>
  <si>
    <t xml:space="preserve">Location de luxe : charges variables (ménage, gardien, linge, fluides, usure)</t>
  </si>
  <si>
    <t xml:space="preserve">V2D-24</t>
  </si>
  <si>
    <t xml:space="preserve">Les services compris dans le prix (ménage, jardiniers) sont fournis par le propriétaire.</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</si>
  <si>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</si>
  <si>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</si>
  <si>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</si>
  <si>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</si>
  <si>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</si>
  <si>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</si>
  <si>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</si>
  <si>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</si>
  <si>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</si>
  <si>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</si>
  <si>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Hors prix d'achat (≈ 750 000 €/chambre en l'incluant) ; restaurant, spa, piscine et parc compris (V2V).</t>
  </si>
  <si>
    <t xml:space="preserve">hot_chambres</t>
  </si>
  <si>
    <t xml:space="preserve">Château-hôtel : nombre de 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</si>
  <si>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</si>
  <si>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</si>
  <si>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</si>
  <si>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</si>
  <si>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</si>
  <si>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</si>
  <si>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</si>
  <si>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personnes/chambre</t>
  </si>
  <si>
    <t xml:space="preserve">R7-41; V2V-30</t>
  </si>
  <si>
    <t xml:space="preserve">Cas Louise de La Vallière : effectif projeté à l'ouverture de 33 personnes, dont 19 en cuisine, restaurant et bar (V2V). Sans restaurant, l'ordre de grandeur serait d'environ 0,7.</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</si>
  <si>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</si>
  <si>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</si>
  <si>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</si>
  <si>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</si>
  <si>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</si>
  <si>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</si>
  <si>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</si>
  <si>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</si>
  <si>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</si>
  <si>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</si>
  <si>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</si>
  <si>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</si>
  <si>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</si>
  <si>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</si>
  <si>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</si>
  <si>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</si>
  <si>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</si>
  <si>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</si>
  <si>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</si>
  <si>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</si>
  <si>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</si>
  <si>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</si>
  <si>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</si>
  <si>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</si>
  <si>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</si>
  <si>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</si>
  <si>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</si>
  <si>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</si>
  <si>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</si>
  <si>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</si>
  <si>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</si>
  <si>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</si>
  <si>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</si>
  <si>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</si>
  <si>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</si>
  <si>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</si>
  <si>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</si>
  <si>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</si>
  <si>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</si>
  <si>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</si>
  <si>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</si>
  <si>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</si>
  <si>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</si>
  <si>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</si>
  <si>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</si>
  <si>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</si>
  <si>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</si>
  <si>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</si>
  <si>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</si>
  <si>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</si>
  <si>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</si>
  <si>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</si>
  <si>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 Le tarif publié ne précise pas l'unité de temps : unité mensuelle supposée (V2V).</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</si>
  <si>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</si>
  <si>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</si>
  <si>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</si>
  <si>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</si>
  <si>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</si>
  <si>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</si>
  <si>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</si>
  <si>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</si>
  <si>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</si>
  <si>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</si>
  <si>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</si>
  <si>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</si>
  <si>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</si>
  <si>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</si>
  <si>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</si>
  <si>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</si>
  <si>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</si>
  <si>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</si>
  <si>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</si>
  <si>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</si>
  <si>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</si>
  <si>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</si>
  <si>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</si>
  <si>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</si>
  <si>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</si>
  <si>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</si>
  <si>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</si>
  <si>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</si>
  <si>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</si>
  <si>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</si>
  <si>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</si>
  <si>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</si>
  <si>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</si>
  <si>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</si>
  <si>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</si>
  <si>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</si>
  <si>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</si>
  <si>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</si>
  <si>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</si>
  <si>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</si>
  <si>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</si>
  <si>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</si>
  <si>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</si>
  <si>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</si>
  <si>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</si>
  <si>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</si>
  <si>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</si>
  <si>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</si>
  <si>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</si>
  <si>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</si>
  <si>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</si>
  <si>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</si>
  <si>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</si>
  <si>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</si>
  <si>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</si>
  <si>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</si>
  <si>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</si>
  <si>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</si>
  <si>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</si>
  <si>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</si>
  <si>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</si>
  <si>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</si>
  <si>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</si>
  <si>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</si>
  <si>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</si>
  <si>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</si>
  <si>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</si>
  <si>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</si>
  <si>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</si>
  <si>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</si>
  <si>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</si>
  <si>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lieux dans la catégorie « château » et 3 769 dans la catégorie « domaine » de Mariages.net (catégories commerciales, pas un recensement, V2V)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</si>
  <si>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</si>
  <si>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</si>
  <si>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</si>
  <si>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</si>
  <si>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</si>
  <si>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</si>
  <si>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</si>
  <si>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</si>
  <si>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</si>
  <si>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</si>
  <si>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</si>
  <si>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</si>
  <si>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</si>
  <si>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</si>
  <si>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</si>
  <si>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</si>
  <si>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</si>
  <si>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</si>
  <si>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</si>
  <si>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</si>
  <si>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</si>
  <si>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</si>
  <si>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</si>
  <si>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</si>
  <si>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</si>
  <si>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</si>
  <si>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</si>
  <si>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</si>
  <si>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</si>
  <si>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</si>
  <si>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</si>
  <si>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</si>
  <si>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</si>
  <si>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</si>
  <si>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couvre 75 % des communes ; médiane des communes regroupées (en général petites) : 8,63 €/m² (fichier complet relu par V2V). 8,0 reste prudent.</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</si>
  <si>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</si>
  <si>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</si>
  <si>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</si>
  <si>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</si>
  <si>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</si>
  <si>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</si>
  <si>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</si>
  <si>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</si>
  <si>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</si>
  <si>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</si>
  <si>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</si>
  <si>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</si>
  <si>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</si>
  <si>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</si>
  <si>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</si>
  <si>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</si>
  <si>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</si>
  <si>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</si>
  <si>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</si>
  <si>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</si>
  <si>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</si>
  <si>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</si>
  <si>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</si>
  <si>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</si>
  <si>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</si>
  <si>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</si>
  <si>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</si>
  <si>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</si>
  <si>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</si>
  <si>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</si>
  <si>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</si>
  <si>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</si>
  <si>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</si>
  <si>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</si>
  <si>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</si>
  <si>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</si>
  <si>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</si>
  <si>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</si>
  <si>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</si>
  <si>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 catégories B et C, prix plancher pour 12 h (V2V).</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</si>
  <si>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</si>
  <si>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</si>
  <si>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</si>
  <si>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</si>
  <si>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</si>
  <si>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</si>
  <si>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</si>
  <si>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</si>
  <si>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</si>
  <si>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</si>
  <si>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</si>
  <si>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</si>
  <si>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</si>
  <si>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</si>
  <si>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</si>
  <si>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</si>
  <si>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</si>
  <si>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</si>
  <si>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</si>
  <si>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</si>
  <si>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</si>
  <si>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</si>
  <si>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</si>
  <si>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</si>
  <si>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</si>
  <si>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</si>
  <si>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</si>
  <si>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</si>
  <si>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</si>
  <si>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</si>
  <si>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</si>
  <si>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</si>
  <si>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</si>
  <si>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</si>
  <si>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</si>
  <si>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</si>
  <si>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</si>
  <si>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</si>
  <si>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</si>
  <si>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</si>
  <si>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</si>
  <si>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</si>
  <si>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</si>
  <si>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</si>
  <si>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</si>
  <si>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</si>
  <si>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</si>
  <si>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</si>
  <si>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</si>
  <si>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</si>
  <si>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</si>
  <si>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</si>
  <si>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</si>
  <si>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</si>
  <si>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</si>
  <si>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</si>
  <si>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</si>
  <si>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</si>
  <si>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</si>
  <si>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R2; V2C-21</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</si>
  <si>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</si>
  <si>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</si>
  <si>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</si>
  <si>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</si>
  <si>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</si>
  <si>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</si>
  <si>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</si>
  <si>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</si>
  <si>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</si>
  <si>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</si>
  <si>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</si>
  <si>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</si>
  <si>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</si>
  <si>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</si>
  <si>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</si>
  <si>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</si>
  <si>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</si>
  <si>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</si>
  <si>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</si>
  <si>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</si>
  <si>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</si>
  <si>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</si>
  <si>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</si>
  <si>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</si>
  <si>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</si>
  <si>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</si>
  <si>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</si>
  <si>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</si>
  <si>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</si>
  <si>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</si>
  <si>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</si>
  <si>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</si>
  <si>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</si>
  <si>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</si>
  <si>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</si>
  <si>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</si>
  <si>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</si>
  <si>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</si>
  <si>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</si>
  <si>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</si>
  <si>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V2C-21; R2</t>
  </si>
  <si>
    <t xml:space="preserve">R2 retenait 11 jardiniers. V2C (temps d'entretien de la Ville de Rennes) : 15,7 ETP pour 60 ha en gestion différenciée (1 ha très fleuri, 9 ha de jardin régulier, 10 ha d'accompagnement, 40 ha de prairie fauchée), 19,7 ETP avec 40 ha de pelouse champêtre, 33,4 ETP si tout le parc est soigné. Le budget suppose donc une gestion différenciée.</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</si>
  <si>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</si>
  <si>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</si>
  <si>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</si>
  <si>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</si>
  <si>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</si>
  <si>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</si>
  <si>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</si>
  <si>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</si>
  <si>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</si>
  <si>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</si>
  <si>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</si>
  <si>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</si>
  <si>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</si>
  <si>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</si>
  <si>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</si>
  <si>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</si>
  <si>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g_assurance</t>
  </si>
  <si>
    <t xml:space="preserve">Dérive réelle annuelle des primes d'assurance</t>
  </si>
  <si>
    <t xml:space="preserve">V2C-19; R1-29; R1-05</t>
  </si>
  <si>
    <t xml:space="preserve">INSEE, IPC assurance habitation 2005-2025 : +1,85 % réel par an, puis +5,6 %, +8,1 % et +12,6 % nominal en 2023, 2024 et 2025. Aucune série propre aux monuments.</t>
  </si>
  <si>
    <t xml:space="preserve">g_energie</t>
  </si>
  <si>
    <t xml:space="preserve">Dérive réelle annuelle du prix de l'énergie</t>
  </si>
  <si>
    <t xml:space="preserve">V2C-04; R1-22; R1-24</t>
  </si>
  <si>
    <t xml:space="preserve">INSEE, IPC 2005-2025, réel : électricité +2,0 %/an, fioul +1,9 %, gaz +4,8 %, bois et granulés +0,9 %, ensemble électricité-gaz-combustibles +2,85 %. Chocs de +40 à +66 % en 2021-2024.</t>
  </si>
  <si>
    <t xml:space="preserve">g_recettes</t>
  </si>
  <si>
    <t xml:space="preserve">Dérive réelle annuelle des prix des activités</t>
  </si>
  <si>
    <t xml:space="preserve">g_salaires</t>
  </si>
  <si>
    <t xml:space="preserve">Dérive réelle annuelle des salaires (au-delà de l'inflation)</t>
  </si>
  <si>
    <t xml:space="preserve">D-01; V2C-05</t>
  </si>
  <si>
    <t xml:space="preserve">Banque de France (sept. 2026) : salaire moyen par tête +2,0 %, +2,6 %, +2,4 % en 2026-2028, pour une inflation de 2,3 %, 1,9 %, 1,6 %, soit environ +0,4 % réel par an. SMIC 2006-2026 (INSEE) : ≈ +0,4 % réel par an.</t>
  </si>
  <si>
    <t xml:space="preserve">g_travaux</t>
  </si>
  <si>
    <t xml:space="preserve">Dérive réelle annuelle du coût des travaux</t>
  </si>
  <si>
    <t xml:space="preserve">V2C-03; V2C-01; D-04</t>
  </si>
  <si>
    <t xml:space="preserve">INSEE, indice des prix de l'entretien-amélioration des bâtiments résidentiels (IPEA), 2005-2025 : +0,74 % réel par an ; couverture +1,26 % ; menuiserie +1,51 %. Les métiers des monuments historiques n'ont pas d'indice public.</t>
  </si>
  <si>
    <t xml:space="preserve">inflation</t>
  </si>
  <si>
    <t xml:space="preserve">Inflation annuelle (pour convertir une annuité nominale en euros constants)</t>
  </si>
  <si>
    <t xml:space="preserve">D-01</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</si>
  <si>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</si>
  <si>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</si>
  <si>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</si>
  <si>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</si>
  <si>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</si>
  <si>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</si>
  <si>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</si>
  <si>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</si>
  <si>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</si>
  <si>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</si>
  <si>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</si>
  <si>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</si>
  <si>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</si>
  <si>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</si>
  <si>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</si>
  <si>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</si>
  <si>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</si>
  <si>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</si>
  <si>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</si>
  <si>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</si>
  <si>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</si>
  <si>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</si>
  <si>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</si>
  <si>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</si>
  <si>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</si>
  <si>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</si>
  <si>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</si>
  <si>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</si>
  <si>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</si>
  <si>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</si>
  <si>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</si>
  <si>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</si>
  <si>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Dimensionnement REQUIS : avec 0,4 M€/an de dividendes pendant 10 ans, environ 96 % de chances de tenir 20 ans et 89 % de tenir 30 ans (sorties/mc_ruptures_S1.json).</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</si>
  <si>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</si>
  <si>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</si>
  <si>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</si>
  <si>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</si>
  <si>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</si>
  <si>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</si>
  <si>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</si>
  <si>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</si>
  <si>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96 % de chances de tenir 20 ans et 89 % de tenir 30 ans selon le Monte-Carlo (sorties/mc_ruptures_S2.json).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</si>
  <si>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</si>
  <si>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</si>
  <si>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</si>
  <si>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</si>
  <si>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</si>
  <si>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</si>
  <si>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</si>
  <si>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</si>
  <si>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Dimensionnement REQUIS, sans dividendes de transition : environ 95 % de chances de tenir 20 ans et 88 % de tenir 30 ans (sorties/mc_ruptures_S3.json), le même niveau de risque que S1 et S2.</t>
  </si>
  <si>
    <t xml:space="preserve">S3_sol_reserve0</t>
  </si>
  <si>
    <t xml:space="preserve">S3 — réserve de trésorerie initiale (≈ 1,1 an de besoin)</t>
  </si>
  <si>
    <t xml:space="preserve">Doit rester supérieure à un an de besoin, sinon la règle de pilotage (coupe de 10 %) se déclenche dès l'année 1.</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</si>
  <si>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</si>
  <si>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</si>
  <si>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</si>
  <si>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</si>
  <si>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</si>
  <si>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</si>
  <si>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</si>
  <si>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</si>
  <si>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</si>
  <si>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</si>
  <si>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</si>
  <si>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</si>
  <si>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</si>
  <si>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</si>
  <si>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</si>
  <si>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</si>
  <si>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</si>
  <si>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</si>
  <si>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</si>
  <si>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</si>
  <si>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</si>
  <si>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</si>
  <si>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</si>
  <si>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</si>
  <si>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</si>
  <si>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</si>
  <si>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</si>
  <si>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</si>
  <si>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</si>
  <si>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</si>
  <si>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</si>
  <si>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</si>
  <si>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</si>
  <si>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</si>
  <si>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</si>
  <si>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</si>
  <si>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</si>
  <si>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</si>
  <si>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</si>
  <si>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</si>
  <si>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</si>
  <si>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</si>
  <si>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</si>
  <si>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</si>
  <si>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</si>
  <si>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</si>
  <si>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</si>
  <si>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</si>
  <si>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</si>
  <si>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</si>
  <si>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</si>
  <si>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</si>
  <si>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</si>
  <si>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</si>
  <si>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</si>
  <si>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</si>
  <si>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</si>
  <si>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</si>
  <si>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</si>
  <si>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</si>
  <si>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</si>
  <si>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</si>
  <si>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</si>
  <si>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</si>
  <si>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</si>
  <si>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</si>
  <si>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</si>
  <si>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</si>
  <si>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</si>
  <si>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</si>
  <si>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</si>
  <si>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</si>
  <si>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</si>
  <si>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</si>
  <si>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</si>
  <si>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</si>
  <si>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affiché moyen du portefeuille ≈ 5 M€, prix de vente moyen de 2,415 M€ (Kretz, 2026, vérifié par V2V).</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</si>
  <si>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</si>
  <si>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</si>
  <si>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</si>
  <si>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</si>
  <si>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</si>
  <si>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</si>
  <si>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</si>
  <si>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</si>
  <si>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</si>
  <si>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</si>
  <si>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</si>
  <si>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</si>
  <si>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</si>
  <si>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</si>
  <si>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</si>
  <si>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</si>
  <si>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</si>
  <si>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</si>
  <si>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</si>
  <si>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</si>
  <si>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</si>
  <si>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</si>
  <si>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</si>
  <si>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</si>
  <si>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</si>
  <si>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</si>
  <si>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</si>
  <si>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</si>
  <si>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</si>
  <si>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</si>
  <si>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</si>
  <si>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</si>
  <si>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</si>
  <si>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</si>
  <si>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</si>
  <si>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</si>
  <si>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</si>
  <si>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</si>
  <si>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</si>
  <si>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</si>
  <si>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</si>
  <si>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</si>
  <si>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</si>
  <si>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</si>
  <si>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</si>
  <si>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</si>
  <si>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</si>
  <si>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</si>
  <si>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</si>
  <si>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</si>
  <si>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</si>
  <si>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</si>
  <si>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</si>
  <si>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</si>
  <si>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</si>
  <si>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</si>
  <si>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</si>
  <si>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</si>
  <si>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</si>
  <si>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</si>
  <si>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</si>
  <si>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</si>
  <si>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</si>
  <si>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</si>
  <si>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</si>
  <si>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</si>
  <si>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</si>
  <si>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</si>
  <si>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</si>
  <si>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</si>
  <si>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</si>
  <si>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</si>
  <si>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</si>
  <si>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</si>
  <si>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</si>
  <si>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</si>
  <si>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</si>
  <si>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</si>
  <si>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</si>
  <si>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</si>
  <si>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</si>
  <si>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</si>
  <si>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</si>
  <si>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</si>
  <si>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</si>
  <si>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</si>
  <si>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</si>
  <si>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</si>
  <si>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</si>
  <si>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</si>
  <si>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</si>
  <si>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</si>
  <si>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</si>
  <si>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</si>
  <si>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</si>
  <si>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</si>
  <si>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</si>
  <si>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</si>
  <si>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</si>
  <si>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</si>
  <si>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</si>
  <si>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</si>
  <si>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</si>
  <si>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</si>
  <si>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</si>
  <si>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</si>
  <si>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</si>
  <si>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</si>
  <si>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</si>
  <si>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</si>
  <si>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</si>
  <si>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</si>
  <si>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</si>
  <si>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</si>
  <si>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</si>
  <si>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</si>
  <si>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</si>
  <si>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</si>
  <si>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</si>
  <si>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</si>
  <si>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</si>
  <si>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</si>
  <si>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</si>
  <si>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</si>
  <si>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</si>
  <si>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</si>
  <si>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</si>
  <si>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</si>
  <si>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</si>
  <si>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</si>
  <si>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</si>
  <si>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</si>
  <si>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</si>
  <si>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</si>
  <si>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</si>
  <si>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</si>
  <si>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</si>
  <si>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</si>
  <si>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</si>
  <si>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</si>
  <si>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</si>
  <si>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</si>
  <si>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</si>
  <si>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</si>
  <si>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</si>
  <si>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</si>
  <si>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</si>
  <si>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</si>
  <si>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</si>
  <si>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</si>
  <si>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</si>
  <si>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</si>
  <si>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</si>
  <si>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</si>
  <si>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</si>
  <si>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</si>
  <si>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</si>
  <si>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</si>
  <si>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</si>
  <si>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</si>
  <si>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</si>
  <si>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</si>
  <si>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</si>
  <si>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</si>
  <si>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</si>
  <si>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</si>
  <si>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</si>
  <si>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</si>
  <si>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</si>
  <si>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</si>
  <si>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</si>
  <si>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</si>
  <si>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</si>
  <si>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</si>
  <si>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</si>
  <si>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</si>
  <si>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</si>
  <si>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</si>
  <si>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</si>
  <si>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</si>
  <si>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</si>
  <si>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</si>
  <si>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</si>
  <si>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</si>
  <si>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</si>
  <si>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</si>
  <si>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</si>
  <si>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</si>
  <si>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</si>
  <si>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</si>
  <si>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</si>
  <si>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</si>
  <si>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</si>
  <si>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</si>
  <si>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</si>
  <si>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</si>
  <si>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</si>
  <si>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</si>
  <si>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</si>
  <si>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</si>
  <si>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</si>
  <si>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</si>
  <si>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</si>
  <si>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</si>
  <si>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</si>
  <si>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</si>
  <si>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</si>
  <si>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</si>
  <si>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</si>
  <si>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</si>
  <si>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</si>
  <si>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</si>
  <si>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</si>
  <si>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</si>
  <si>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</si>
  <si>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</si>
  <si>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</si>
  <si>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</si>
  <si>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</si>
  <si>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</si>
  <si>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</si>
  <si>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</si>
  <si>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</si>
  <si>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</si>
  <si>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</si>
  <si>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</si>
  <si>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</si>
  <si>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</si>
  <si>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</si>
  <si>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</si>
  <si>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</si>
  <si>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</si>
  <si>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</si>
  <si>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</si>
  <si>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</si>
  <si>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</si>
  <si>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</si>
  <si>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</si>
  <si>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</si>
  <si>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</si>
  <si>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</si>
  <si>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</si>
  <si>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</si>
  <si>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</si>
  <si>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</si>
  <si>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</si>
  <si>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</si>
  <si>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</si>
  <si>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</si>
  <si>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</si>
  <si>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</si>
  <si>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</si>
  <si>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</si>
  <si>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</si>
  <si>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</si>
  <si>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</si>
  <si>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</si>
  <si>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</si>
  <si>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</si>
  <si>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</si>
  <si>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</si>
  <si>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</si>
  <si>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</si>
  <si>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</si>
  <si>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</si>
  <si>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</si>
  <si>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</si>
  <si>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</si>
  <si>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</si>
  <si>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</si>
  <si>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</si>
  <si>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</si>
  <si>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</si>
  <si>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</si>
  <si>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</si>
  <si>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</si>
  <si>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</si>
  <si>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</si>
  <si>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</si>
  <si>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</si>
  <si>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</si>
  <si>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</si>
  <si>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</si>
  <si>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</si>
  <si>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</si>
  <si>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</si>
  <si>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</si>
  <si>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</si>
  <si>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</si>
  <si>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</si>
  <si>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</si>
  <si>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</si>
  <si>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</si>
  <si>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</si>
  <si>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</si>
  <si>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</si>
  <si>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</si>
  <si>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</si>
  <si>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</si>
  <si>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</si>
  <si>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</si>
  <si>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</si>
  <si>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</si>
  <si>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</si>
  <si>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</si>
  <si>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</si>
  <si>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</si>
  <si>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</si>
  <si>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</si>
  <si>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</si>
  <si>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</si>
  <si>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</si>
  <si>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</si>
  <si>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</si>
  <si>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</si>
  <si>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</si>
  <si>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</si>
  <si>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</si>
  <si>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</si>
  <si>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</si>
  <si>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</si>
  <si>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</si>
  <si>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</si>
  <si>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</si>
  <si>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</si>
  <si>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</si>
  <si>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</si>
  <si>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</si>
  <si>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</si>
  <si>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</si>
  <si>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</si>
  <si>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</si>
  <si>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</si>
  <si>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</si>
  <si>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</si>
  <si>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</si>
  <si>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</si>
  <si>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</si>
  <si>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</si>
  <si>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</si>
  <si>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</si>
  <si>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</si>
  <si>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</si>
  <si>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</si>
  <si>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</si>
  <si>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</si>
  <si>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</si>
  <si>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</si>
  <si>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</si>
  <si>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</si>
  <si>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</si>
  <si>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</si>
  <si>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</si>
  <si>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</si>
  <si>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</si>
  <si>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</si>
  <si>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</si>
  <si>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</si>
  <si>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</si>
  <si>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</si>
  <si>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</si>
  <si>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</si>
  <si>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</si>
  <si>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</si>
  <si>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</si>
  <si>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</si>
  <si>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</si>
  <si>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</si>
  <si>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</si>
  <si>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</si>
  <si>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</si>
  <si>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</si>
  <si>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</si>
  <si>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</si>
  <si>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</si>
  <si>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</si>
  <si>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</si>
  <si>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</si>
  <si>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</si>
  <si>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</si>
  <si>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</si>
  <si>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</si>
  <si>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</si>
  <si>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</si>
  <si>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</si>
  <si>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</si>
  <si>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</si>
  <si>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</si>
  <si>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</si>
  <si>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</si>
  <si>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pour le seul mois de novembre 2026, après deux hausses successives (V2V).</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</si>
  <si>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</si>
  <si>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</si>
  <si>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</si>
  <si>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</si>
  <si>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</si>
  <si>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</si>
  <si>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</si>
  <si>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</si>
  <si>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</si>
  <si>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</si>
  <si>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</si>
  <si>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</si>
  <si>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</si>
  <si>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</si>
  <si>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</si>
  <si>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</si>
  <si>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</si>
  <si>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</si>
  <si>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</si>
  <si>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</si>
  <si>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</si>
  <si>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</si>
  <si>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</si>
  <si>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</si>
  <si>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</si>
  <si>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</si>
  <si>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</si>
  <si>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</si>
  <si>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</si>
  <si>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</si>
  <si>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</si>
  <si>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</si>
  <si>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</si>
  <si>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</si>
  <si>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</si>
  <si>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</si>
  <si>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</si>
  <si>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</si>
  <si>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</si>
  <si>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</si>
  <si>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</si>
  <si>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</si>
  <si>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</si>
  <si>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</si>
  <si>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</si>
  <si>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</si>
  <si>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</si>
  <si>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</si>
  <si>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</si>
  <si>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</si>
  <si>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</si>
  <si>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</si>
  <si>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</si>
  <si>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</si>
  <si>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</si>
  <si>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</si>
  <si>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</si>
  <si>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</si>
  <si>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</si>
  <si>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</si>
  <si>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</si>
  <si>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</si>
  <si>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</si>
  <si>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</si>
  <si>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</si>
  <si>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</si>
  <si>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</si>
  <si>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</si>
  <si>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</si>
  <si>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</si>
  <si>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</si>
  <si>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</si>
  <si>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</si>
  <si>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</si>
  <si>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</si>
  <si>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</si>
  <si>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</si>
  <si>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</si>
  <si>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</si>
  <si>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</si>
  <si>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</si>
  <si>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</si>
  <si>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</si>
  <si>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</si>
  <si>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</si>
  <si>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</si>
  <si>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</si>
  <si>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</si>
  <si>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</si>
  <si>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</si>
  <si>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</si>
  <si>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</si>
  <si>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</si>
  <si>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</si>
  <si>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</si>
  <si>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</si>
  <si>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</si>
  <si>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</si>
  <si>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</si>
  <si>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</si>
  <si>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</si>
  <si>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</si>
  <si>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</si>
  <si>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</si>
  <si>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</si>
  <si>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</si>
  <si>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</si>
  <si>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</si>
  <si>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</si>
  <si>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</si>
  <si>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</si>
  <si>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</si>
  <si>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</si>
  <si>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</si>
  <si>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</si>
  <si>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</si>
  <si>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</si>
  <si>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</si>
  <si>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</si>
  <si>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</si>
  <si>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</si>
  <si>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</si>
  <si>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</si>
  <si>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</si>
  <si>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</si>
  <si>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</si>
  <si>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</si>
  <si>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</si>
  <si>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</si>
  <si>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</si>
  <si>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</si>
  <si>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</si>
  <si>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</si>
  <si>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</si>
  <si>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</si>
  <si>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</si>
  <si>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</si>
  <si>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</si>
  <si>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</si>
  <si>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</si>
  <si>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</si>
  <si>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</si>
  <si>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</si>
  <si>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</si>
  <si>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</si>
  <si>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</si>
  <si>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</si>
  <si>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</si>
  <si>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</si>
  <si>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</si>
  <si>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</si>
  <si>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</si>
  <si>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</si>
  <si>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</si>
  <si>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</si>
  <si>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</si>
  <si>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</si>
  <si>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</si>
  <si>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</si>
  <si>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</si>
  <si>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</si>
  <si>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</si>
  <si>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</si>
  <si>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</si>
  <si>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</si>
  <si>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</si>
  <si>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</si>
  <si>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</si>
  <si>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</si>
  <si>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</si>
  <si>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</si>
  <si>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</si>
  <si>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</si>
  <si>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</si>
  <si>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</si>
  <si>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</si>
  <si>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</si>
  <si>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</si>
  <si>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</si>
  <si>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</si>
  <si>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</si>
  <si>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</si>
  <si>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</si>
  <si>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</si>
  <si>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</si>
  <si>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</si>
  <si>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</si>
  <si>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</si>
  <si>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</si>
  <si>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</si>
  <si>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</si>
  <si>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</si>
  <si>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</si>
  <si>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</si>
  <si>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</si>
  <si>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</si>
  <si>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</si>
  <si>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</si>
  <si>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</si>
  <si>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</si>
  <si>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</si>
  <si>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</si>
  <si>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</si>
  <si>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</si>
  <si>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</si>
  <si>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</si>
  <si>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</si>
  <si>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</si>
  <si>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</si>
  <si>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</si>
  <si>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</si>
  <si>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</si>
  <si>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</si>
  <si>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</si>
  <si>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</si>
  <si>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</si>
  <si>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</si>
  <si>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</si>
  <si>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</si>
  <si>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</si>
  <si>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anc_loyer</t>
  </si>
  <si>
    <t xml:space="preserve">Bail d'ancrage — loyer brut versé par l'exploitant</t>
  </si>
  <si>
    <t xml:space="preserve">ANC</t>
  </si>
  <si>
    <t xml:space="preserve">anc_eco</t>
  </si>
  <si>
    <t xml:space="preserve">Bail d'ancrage — charges du domaine reprises par l'exploitant</t>
  </si>
  <si>
    <t xml:space="preserve">anc_cn</t>
  </si>
  <si>
    <t xml:space="preserve">Bail d'ancrage — CONTRIBUTION NETTE (si localisation et taille le permettent)</t>
  </si>
  <si>
    <t xml:space="preserve">lux_ca</t>
  </si>
  <si>
    <t xml:space="preserve">Location de luxe — recettes brutes</t>
  </si>
  <si>
    <t xml:space="preserve">LUX</t>
  </si>
  <si>
    <t xml:space="preserve">lux_cn</t>
  </si>
  <si>
    <t xml:space="preserve">Location de luxe — CONTRIBUTION NETTE</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</si>
  <si>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</si>
  <si>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</si>
  <si>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</si>
  <si>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</si>
  <si>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</si>
  <si>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</si>
  <si>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</si>
  <si>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</si>
  <si>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</si>
  <si>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</si>
  <si>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</si>
  <si>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</si>
  <si>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</si>
  <si>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</si>
  <si>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</si>
  <si>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</si>
  <si>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</si>
  <si>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</si>
  <si>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</si>
  <si>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</si>
  <si>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</si>
  <si>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</si>
  <si>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</si>
  <si>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</si>
  <si>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</si>
  <si>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</si>
  <si>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</si>
  <si>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</si>
  <si>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</si>
  <si>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</si>
  <si>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</si>
  <si>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</si>
  <si>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</si>
  <si>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</si>
  <si>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</si>
  <si>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</si>
  <si>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</si>
  <si>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</si>
  <si>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</si>
  <si>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</si>
  <si>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</si>
  <si>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</si>
  <si>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</si>
  <si>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</si>
  <si>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</si>
  <si>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</si>
  <si>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</si>
  <si>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</si>
  <si>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</si>
  <si>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</si>
  <si>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</si>
  <si>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</si>
  <si>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</si>
  <si>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</si>
  <si>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</si>
  <si>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</si>
  <si>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</si>
  <si>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</si>
  <si>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</si>
  <si>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</si>
  <si>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</si>
  <si>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</si>
  <si>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</si>
  <si>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</si>
  <si>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</si>
  <si>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</si>
  <si>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</si>
  <si>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</si>
  <si>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</si>
  <si>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</si>
  <si>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</si>
  <si>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</si>
  <si>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</si>
  <si>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</si>
  <si>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</si>
  <si>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</si>
  <si>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</si>
  <si>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</si>
  <si>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</si>
  <si>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</si>
  <si>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</si>
  <si>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</si>
  <si>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</si>
  <si>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</si>
  <si>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</si>
  <si>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</si>
  <si>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</si>
  <si>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</si>
  <si>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</si>
  <si>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</si>
  <si>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</si>
  <si>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</si>
  <si>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</si>
  <si>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</si>
  <si>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</si>
  <si>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</si>
  <si>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</si>
  <si>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</si>
  <si>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</si>
  <si>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</si>
  <si>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</si>
  <si>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</si>
  <si>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</si>
  <si>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</si>
  <si>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</si>
  <si>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</si>
  <si>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</si>
  <si>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</si>
  <si>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</si>
  <si>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</si>
  <si>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</si>
  <si>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</si>
  <si>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</si>
  <si>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</si>
  <si>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</si>
  <si>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</si>
  <si>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</si>
  <si>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</si>
  <si>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</si>
  <si>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</si>
  <si>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</si>
  <si>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</si>
  <si>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M7_brute</t>
  </si>
  <si>
    <t xml:space="preserve">M7 — contribution brute des activités sur place (avant impôt)</t>
  </si>
  <si>
    <t xml:space="preserve">Locataire d'ancrage : bail à un exploitant de séminaires + socle foncier</t>
  </si>
  <si>
    <t xml:space="preserve">M7_nette</t>
  </si>
  <si>
    <t xml:space="preserve">M7 — contribution disponible pour le domaine (après fuite fiscale)</t>
  </si>
  <si>
    <t xml:space="preserve">M7_besoin</t>
  </si>
  <si>
    <t xml:space="preserve">M7 — besoin annuel du domaine S2 (feuille Budget)</t>
  </si>
  <si>
    <t xml:space="preserve">couv_M7</t>
  </si>
  <si>
    <t xml:space="preserve">M7 — couverture du besoin par les activités sur place</t>
  </si>
  <si>
    <t xml:space="preserve">M7_ecart</t>
  </si>
  <si>
    <t xml:space="preserve">M7 — écart restant à financer</t>
  </si>
  <si>
    <t xml:space="preserve">M7_dotation</t>
  </si>
  <si>
    <t xml:space="preserve">M7 — capital de dotation nécessaire pour combler l'écart</t>
  </si>
  <si>
    <t xml:space="preserve">M7_ebitda</t>
  </si>
  <si>
    <t xml:space="preserve">M7 — ou EBITDA d'entreprise extérieure nécessaire</t>
  </si>
  <si>
    <t xml:space="preserve">M7_invest</t>
  </si>
  <si>
    <t xml:space="preserve">M7 — investissement initial des activités</t>
  </si>
  <si>
    <t xml:space="preserve">part_M7_recurrent</t>
  </si>
  <si>
    <t xml:space="preserve">M7 — part des contributions récurrentes (classes A et B)</t>
  </si>
  <si>
    <t xml:space="preserve">M8_brute</t>
  </si>
  <si>
    <t xml:space="preserve">M8 — contribution brute des activités sur place (avant impôt)</t>
  </si>
  <si>
    <t xml:space="preserve">Socle M1 + location de luxe de la partie privée quelques semaines par an</t>
  </si>
  <si>
    <t xml:space="preserve">M8_nette</t>
  </si>
  <si>
    <t xml:space="preserve">M8 — contribution disponible pour le domaine (après fuite fiscale)</t>
  </si>
  <si>
    <t xml:space="preserve">M8_besoin</t>
  </si>
  <si>
    <t xml:space="preserve">M8 — besoin annuel du domaine S2 (feuille Budget)</t>
  </si>
  <si>
    <t xml:space="preserve">couv_M8</t>
  </si>
  <si>
    <t xml:space="preserve">M8 — couverture du besoin par les activités sur place</t>
  </si>
  <si>
    <t xml:space="preserve">M8_ecart</t>
  </si>
  <si>
    <t xml:space="preserve">M8 — écart restant à financer</t>
  </si>
  <si>
    <t xml:space="preserve">M8_dotation</t>
  </si>
  <si>
    <t xml:space="preserve">M8 — capital de dotation nécessaire pour combler l'écart</t>
  </si>
  <si>
    <t xml:space="preserve">M8_ebitda</t>
  </si>
  <si>
    <t xml:space="preserve">M8 — ou EBITDA d'entreprise extérieure nécessaire</t>
  </si>
  <si>
    <t xml:space="preserve">M8_invest</t>
  </si>
  <si>
    <t xml:space="preserve">M8 — investissement initial des activités</t>
  </si>
  <si>
    <t xml:space="preserve">part_M8_recurrent</t>
  </si>
  <si>
    <t xml:space="preserve">M8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</si>
  <si>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</si>
  <si>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</si>
  <si>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</si>
  <si>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</si>
  <si>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</si>
  <si>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</si>
  <si>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</si>
  <si>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</si>
  <si>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</si>
  <si>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</si>
  <si>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</si>
  <si>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</si>
  <si>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</si>
  <si>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</si>
  <si>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</si>
  <si>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</si>
  <si>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</si>
  <si>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</si>
  <si>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</si>
  <si>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</si>
  <si>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</si>
  <si>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</si>
  <si>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</si>
  <si>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</si>
  <si>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</si>
  <si>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</si>
  <si>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</si>
  <si>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</si>
  <si>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</si>
  <si>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</si>
  <si>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</si>
  <si>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idx_ass</t>
  </si>
  <si>
    <t xml:space="preserve">Indice des primes d'assurance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</si>
  <si>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</si>
  <si>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</si>
  <si>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</si>
  <si>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</si>
  <si>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</si>
  <si>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</si>
  <si>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</si>
  <si>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</si>
  <si>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</si>
  <si>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</si>
  <si>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</si>
  <si>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</si>
  <si>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</si>
  <si>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b_assur</t>
  </si>
  <si>
    <t xml:space="preserve">Assurances</t>
  </si>
  <si>
    <t xml:space="preserve">b_autres</t>
  </si>
  <si>
    <t xml:space="preserve">Autres charges courantes (entretien courant, jardins, matériel, chevaux,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</si>
  <si>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</si>
  <si>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</si>
  <si>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</si>
  <si>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</si>
  <si>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</si>
  <si>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</si>
  <si>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</si>
  <si>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</si>
  <si>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</si>
  <si>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</si>
  <si>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</si>
  <si>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</si>
  <si>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</si>
  <si>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</si>
  <si>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</si>
  <si>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</si>
  <si>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</si>
  <si>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</si>
  <si>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</si>
  <si>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</si>
  <si>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</si>
  <si>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</si>
  <si>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</si>
  <si>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</si>
  <si>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</si>
  <si>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</si>
  <si>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</si>
  <si>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t>
  </si>
  <si>
    <t xml:space="preserve">capex_dot</t>
  </si>
  <si>
    <t xml:space="preserve">dont prélevé sur le capital de la dotation (le reste est pris sur la réserve)</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</si>
  <si>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</si>
  <si>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</si>
  <si>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</si>
  <si>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</si>
  <si>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</si>
  <si>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</si>
  <si>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</si>
  <si>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</si>
  <si>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</si>
  <si>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</si>
  <si>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</si>
  <si>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</si>
  <si>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</si>
  <si>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</si>
  <si>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</si>
  <si>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</si>
  <si>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</si>
  <si>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</si>
  <si>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</si>
  <si>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</si>
  <si>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</si>
  <si>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</si>
  <si>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</si>
  <si>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</si>
  <si>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</si>
  <si>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</si>
  <si>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</si>
  <si>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</si>
  <si>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</si>
  <si>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</si>
  <si>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</si>
  <si>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</si>
  <si>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</si>
  <si>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</si>
  <si>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</si>
  <si>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</si>
  <si>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</si>
  <si>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</si>
  <si>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</si>
  <si>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</si>
  <si>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</si>
  <si>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</si>
  <si>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</si>
  <si>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</si>
  <si>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</si>
  <si>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</si>
  <si>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</si>
  <si>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</si>
  <si>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</si>
  <si>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</si>
  <si>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</si>
  <si>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</si>
  <si>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</si>
  <si>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</si>
  <si>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</si>
  <si>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</si>
  <si>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</si>
  <si>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</si>
  <si>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</si>
  <si>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</si>
  <si>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</si>
  <si>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</si>
  <si>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</si>
  <si>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</si>
  <si>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</si>
  <si>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</si>
  <si>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</si>
  <si>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</si>
  <si>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</si>
  <si>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</si>
  <si>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</si>
  <si>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</si>
  <si>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</si>
  <si>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</si>
  <si>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</si>
  <si>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</si>
  <si>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</si>
  <si>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</si>
  <si>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</si>
  <si>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</si>
  <si>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</si>
  <si>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</si>
  <si>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</si>
  <si>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</si>
  <si>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</si>
  <si>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</si>
  <si>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</si>
  <si>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</si>
  <si>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</si>
  <si>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</si>
  <si>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</si>
  <si>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</si>
  <si>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</si>
  <si>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</si>
  <si>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</si>
  <si>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</si>
  <si>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</si>
  <si>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</si>
  <si>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</si>
  <si>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</si>
  <si>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</si>
  <si>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</si>
  <si>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</si>
  <si>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</si>
  <si>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</si>
  <si>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</si>
  <si>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</si>
  <si>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</si>
  <si>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</si>
  <si>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</si>
  <si>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</si>
  <si>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</si>
  <si>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</si>
  <si>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</si>
  <si>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</si>
  <si>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</si>
  <si>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</si>
  <si>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</si>
  <si>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</si>
  <si>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</si>
  <si>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</si>
  <si>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</si>
  <si>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</si>
  <si>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</si>
  <si>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</si>
  <si>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</si>
  <si>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</si>
  <si>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</si>
  <si>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</si>
  <si>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</si>
  <si>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</si>
  <si>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</si>
  <si>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</si>
  <si>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</si>
  <si>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</si>
  <si>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</si>
  <si>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</si>
  <si>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</si>
  <si>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</si>
  <si>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</si>
  <si>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</si>
  <si>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</si>
  <si>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</si>
  <si>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</si>
  <si>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</si>
  <si>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</si>
  <si>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</si>
  <si>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</si>
  <si>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</si>
  <si>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</si>
  <si>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</si>
  <si>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</si>
  <si>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</si>
  <si>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</si>
  <si>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</si>
  <si>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</si>
  <si>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</si>
  <si>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</si>
  <si>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</si>
  <si>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</si>
  <si>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</si>
  <si>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</si>
  <si>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</si>
  <si>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</si>
  <si>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</si>
  <si>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</si>
  <si>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</si>
  <si>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</si>
  <si>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</si>
  <si>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</si>
  <si>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</si>
  <si>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</si>
  <si>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</si>
  <si>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</si>
  <si>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</si>
  <si>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</si>
  <si>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</si>
  <si>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</si>
  <si>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</si>
  <si>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</si>
  <si>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</si>
  <si>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</si>
  <si>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</si>
  <si>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</si>
  <si>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</si>
  <si>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</si>
  <si>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 2026 2,3 % ; 2027 1,9 % ; 2028 1,6 % ; SMPT 2,0 / 2,6 / 2,4 % ; PIB 0,4 / 0,9 / 1,2 %)</t>
  </si>
  <si>
    <t xml:space="preserve">https://www.banque-france.fr/fr/publications-et-statistiques/publications/projections-macroeconomiques-intermediaires-septembre-2026</t>
  </si>
  <si>
    <t xml:space="preserve">institution publique</t>
  </si>
  <si>
    <t xml:space="preserve">2026-10-14</t>
  </si>
  <si>
    <t xml:space="preserve">page_lue</t>
  </si>
  <si>
    <t xml:space="preserve">hypothèses macro (inflation, salaires)</t>
  </si>
  <si>
    <t xml:space="preserve">haute</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</si>
  <si>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</si>
  <si>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</si>
  <si>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</si>
  <si>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</si>
  <si>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</si>
  <si>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</si>
  <si>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</si>
  <si>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</si>
  <si>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</si>
  <si>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</si>
  <si>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</si>
  <si>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</si>
  <si>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</si>
  <si>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</si>
  <si>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</si>
  <si>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</si>
  <si>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</si>
  <si>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</si>
  <si>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</si>
  <si>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</si>
  <si>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</si>
  <si>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</si>
  <si>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</si>
  <si>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</si>
  <si>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</si>
  <si>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</si>
  <si>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</si>
  <si>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</si>
  <si>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</si>
  <si>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</si>
  <si>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</si>
  <si>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</si>
  <si>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</si>
  <si>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</si>
  <si>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</si>
  <si>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</si>
  <si>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</si>
  <si>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</si>
  <si>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</si>
  <si>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</si>
  <si>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</si>
  <si>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</si>
  <si>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</si>
  <si>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</si>
  <si>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</si>
  <si>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</si>
  <si>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</si>
  <si>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</si>
  <si>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</si>
  <si>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</si>
  <si>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</si>
  <si>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</si>
  <si>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</si>
  <si>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</si>
  <si>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</si>
  <si>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</si>
  <si>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</si>
  <si>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</si>
  <si>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</si>
  <si>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</si>
  <si>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</si>
  <si>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</si>
  <si>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</si>
  <si>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</si>
  <si>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</si>
  <si>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</si>
  <si>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</si>
  <si>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</si>
  <si>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</si>
  <si>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</si>
  <si>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</si>
  <si>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</si>
  <si>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</si>
  <si>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</si>
  <si>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</si>
  <si>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</si>
  <si>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</si>
  <si>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</si>
  <si>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</si>
  <si>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</si>
  <si>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</si>
  <si>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</si>
  <si>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</si>
  <si>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</si>
  <si>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</si>
  <si>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</si>
  <si>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</si>
  <si>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</si>
  <si>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</si>
  <si>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</si>
  <si>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</si>
  <si>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</si>
  <si>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</si>
  <si>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</si>
  <si>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</si>
  <si>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</si>
  <si>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</si>
  <si>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</si>
  <si>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</si>
  <si>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</si>
  <si>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</si>
  <si>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</si>
  <si>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</si>
  <si>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</si>
  <si>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</si>
  <si>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</si>
  <si>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</si>
  <si>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</si>
  <si>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</si>
  <si>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</si>
  <si>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</si>
  <si>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</si>
  <si>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</si>
  <si>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</si>
  <si>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</si>
  <si>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</si>
  <si>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</si>
  <si>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</si>
  <si>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</si>
  <si>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</si>
  <si>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</si>
  <si>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</si>
  <si>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</si>
  <si>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</si>
  <si>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</si>
  <si>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</si>
  <si>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</si>
  <si>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</si>
  <si>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</si>
  <si>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</si>
  <si>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</si>
  <si>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</si>
  <si>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</si>
  <si>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</si>
  <si>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</si>
  <si>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</si>
  <si>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</si>
  <si>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</si>
  <si>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</si>
  <si>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</si>
  <si>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</si>
  <si>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</si>
  <si>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</si>
  <si>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</si>
  <si>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</si>
  <si>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</si>
  <si>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</si>
  <si>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</si>
  <si>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</si>
  <si>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</si>
  <si>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</si>
  <si>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</si>
  <si>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</si>
  <si>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</si>
  <si>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</si>
  <si>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</si>
  <si>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</si>
  <si>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</si>
  <si>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</si>
  <si>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</si>
  <si>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</si>
  <si>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</si>
  <si>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</si>
  <si>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</si>
  <si>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</si>
  <si>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</si>
  <si>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</si>
  <si>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</si>
  <si>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</si>
  <si>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</si>
  <si>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</si>
  <si>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</si>
  <si>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</si>
  <si>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</si>
  <si>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</si>
  <si>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</si>
  <si>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</si>
  <si>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</si>
  <si>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</si>
  <si>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</si>
  <si>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</si>
  <si>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</si>
  <si>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</si>
  <si>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</si>
  <si>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</si>
  <si>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</si>
  <si>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</si>
  <si>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</si>
  <si>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</si>
  <si>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</si>
  <si>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</si>
  <si>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</si>
  <si>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</si>
  <si>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</si>
  <si>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</si>
  <si>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</si>
  <si>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</si>
  <si>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</si>
  <si>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</si>
  <si>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</si>
  <si>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</si>
  <si>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</si>
  <si>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</si>
  <si>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</si>
  <si>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</si>
  <si>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</si>
  <si>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</si>
  <si>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</si>
  <si>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</si>
  <si>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</si>
  <si>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</si>
  <si>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</si>
  <si>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</si>
  <si>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</si>
  <si>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</si>
  <si>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</si>
  <si>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</si>
  <si>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</si>
  <si>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</si>
  <si>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</si>
  <si>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</si>
  <si>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</si>
  <si>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</si>
  <si>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</si>
  <si>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</si>
  <si>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</si>
  <si>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</si>
  <si>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</si>
  <si>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</si>
  <si>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</si>
  <si>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</si>
  <si>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</si>
  <si>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</si>
  <si>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</si>
  <si>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</si>
  <si>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</si>
  <si>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</si>
  <si>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</si>
  <si>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</si>
  <si>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</si>
  <si>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</si>
  <si>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</si>
  <si>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</si>
  <si>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</si>
  <si>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</si>
  <si>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</si>
  <si>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</si>
  <si>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</si>
  <si>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</si>
  <si>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</si>
  <si>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</si>
  <si>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</si>
  <si>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</si>
  <si>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</si>
  <si>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</si>
  <si>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</si>
  <si>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</si>
  <si>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</si>
  <si>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</si>
  <si>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</si>
  <si>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</si>
  <si>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</si>
  <si>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</si>
  <si>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</si>
  <si>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</si>
  <si>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</si>
  <si>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</si>
  <si>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</si>
  <si>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</si>
  <si>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</si>
  <si>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</si>
  <si>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</si>
  <si>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</si>
  <si>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</si>
  <si>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</si>
  <si>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</si>
  <si>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</si>
  <si>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</si>
  <si>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</si>
  <si>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</si>
  <si>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</si>
  <si>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</si>
  <si>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</si>
  <si>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</si>
  <si>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</si>
  <si>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</si>
  <si>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</si>
  <si>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</si>
  <si>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</si>
  <si>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</si>
  <si>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</si>
  <si>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</si>
  <si>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</si>
  <si>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</si>
  <si>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</si>
  <si>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</si>
  <si>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</si>
  <si>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</si>
  <si>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</si>
  <si>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</si>
  <si>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</si>
  <si>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</si>
  <si>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</si>
  <si>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</si>
  <si>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</si>
  <si>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</si>
  <si>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</si>
  <si>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</si>
  <si>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</si>
  <si>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</si>
  <si>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</si>
  <si>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</si>
  <si>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</si>
  <si>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</si>
  <si>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</si>
  <si>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</si>
  <si>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</si>
  <si>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</si>
  <si>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</si>
  <si>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</si>
  <si>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</si>
  <si>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</si>
  <si>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</si>
  <si>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</si>
  <si>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</si>
  <si>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</si>
  <si>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</si>
  <si>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</si>
  <si>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</si>
  <si>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</si>
  <si>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</si>
  <si>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</si>
  <si>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</si>
  <si>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</si>
  <si>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</si>
  <si>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</si>
  <si>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</si>
  <si>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</si>
  <si>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</si>
  <si>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</si>
  <si>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</si>
  <si>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</si>
  <si>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</si>
  <si>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</si>
  <si>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</si>
  <si>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</si>
  <si>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</si>
  <si>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</si>
  <si>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</si>
  <si>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</si>
  <si>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</si>
  <si>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</si>
  <si>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</si>
  <si>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</si>
  <si>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</si>
  <si>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</si>
  <si>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</si>
  <si>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</si>
  <si>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</si>
  <si>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</si>
  <si>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</si>
  <si>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</si>
  <si>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</si>
  <si>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</si>
  <si>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</si>
  <si>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</si>
  <si>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</si>
  <si>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</si>
  <si>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</si>
  <si>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</si>
  <si>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</si>
  <si>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</si>
  <si>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</si>
  <si>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</si>
  <si>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</si>
  <si>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</si>
  <si>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</si>
  <si>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</si>
  <si>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</si>
  <si>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</si>
  <si>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</si>
  <si>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</si>
  <si>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</si>
  <si>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</si>
  <si>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</si>
  <si>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</si>
  <si>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</si>
  <si>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</si>
  <si>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</si>
  <si>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</si>
  <si>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</si>
  <si>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</si>
  <si>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</si>
  <si>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</si>
  <si>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</si>
  <si>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</si>
  <si>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</si>
  <si>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</si>
  <si>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</si>
  <si>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</si>
  <si>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</si>
  <si>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</si>
  <si>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</si>
  <si>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</si>
  <si>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</si>
  <si>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</si>
  <si>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</si>
  <si>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</si>
  <si>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</si>
  <si>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</si>
  <si>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</si>
  <si>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</si>
  <si>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</si>
  <si>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</si>
  <si>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</si>
  <si>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</si>
  <si>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</si>
  <si>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</si>
  <si>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</si>
  <si>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</si>
  <si>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</si>
  <si>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</si>
  <si>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</si>
  <si>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</si>
  <si>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</si>
  <si>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</si>
  <si>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</si>
  <si>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</si>
  <si>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</si>
  <si>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</si>
  <si>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</si>
  <si>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</si>
  <si>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</si>
  <si>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</si>
  <si>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</si>
  <si>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</si>
  <si>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</si>
  <si>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</si>
  <si>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</si>
  <si>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</si>
  <si>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</si>
  <si>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</si>
  <si>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</si>
  <si>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</si>
  <si>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</si>
  <si>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</si>
  <si>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</si>
  <si>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</si>
  <si>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</si>
  <si>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</si>
  <si>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</si>
  <si>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</si>
  <si>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</si>
  <si>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</si>
  <si>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</si>
  <si>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</si>
  <si>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</si>
  <si>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</si>
  <si>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</si>
  <si>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</si>
  <si>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</si>
  <si>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</si>
  <si>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</si>
  <si>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</si>
  <si>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</si>
  <si>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</si>
  <si>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</si>
  <si>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</si>
  <si>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</si>
  <si>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</si>
  <si>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</si>
  <si>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</si>
  <si>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</si>
  <si>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</si>
  <si>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</si>
  <si>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</si>
  <si>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</si>
  <si>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</si>
  <si>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</si>
  <si>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</si>
  <si>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</si>
  <si>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</si>
  <si>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</si>
  <si>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</si>
  <si>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</si>
  <si>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</si>
  <si>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</si>
  <si>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</si>
  <si>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</si>
  <si>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</si>
  <si>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</si>
  <si>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</si>
  <si>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</si>
  <si>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</si>
  <si>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</si>
  <si>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</si>
  <si>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</si>
  <si>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</si>
  <si>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</si>
  <si>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</si>
  <si>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</si>
  <si>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</si>
  <si>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</si>
  <si>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</si>
  <si>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</si>
  <si>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</si>
  <si>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</si>
  <si>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</si>
  <si>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</si>
  <si>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</si>
  <si>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</si>
  <si>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</si>
  <si>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</si>
  <si>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</si>
  <si>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</si>
  <si>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</si>
  <si>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</si>
  <si>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</si>
  <si>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</si>
  <si>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</si>
  <si>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</si>
  <si>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</si>
  <si>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</si>
  <si>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</si>
  <si>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</si>
  <si>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</si>
  <si>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</si>
  <si>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</si>
  <si>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</si>
  <si>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</si>
  <si>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</si>
  <si>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</si>
  <si>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</si>
  <si>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</si>
  <si>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</si>
  <si>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</si>
  <si>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</si>
  <si>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</si>
  <si>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</si>
  <si>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</si>
  <si>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</si>
  <si>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</si>
  <si>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</si>
  <si>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</si>
  <si>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</si>
  <si>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</si>
  <si>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</si>
  <si>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</si>
  <si>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</si>
  <si>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</si>
  <si>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</si>
  <si>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</si>
  <si>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</si>
  <si>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</si>
  <si>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</si>
  <si>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</si>
  <si>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</si>
  <si>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</si>
  <si>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</si>
  <si>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</si>
  <si>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</si>
  <si>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</si>
  <si>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</si>
  <si>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</si>
  <si>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</si>
  <si>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</si>
  <si>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</si>
  <si>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</si>
  <si>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</si>
  <si>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</si>
  <si>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</si>
  <si>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</si>
  <si>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</si>
  <si>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</si>
  <si>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</si>
  <si>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</si>
  <si>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</si>
  <si>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</si>
  <si>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</si>
  <si>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</si>
  <si>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</si>
  <si>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</si>
  <si>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</si>
  <si>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</si>
  <si>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</si>
  <si>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</si>
  <si>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</si>
  <si>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</si>
  <si>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</si>
  <si>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</si>
  <si>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</si>
  <si>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</si>
  <si>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</si>
  <si>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</si>
  <si>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</si>
  <si>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</si>
  <si>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</si>
  <si>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</si>
  <si>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</si>
  <si>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</si>
  <si>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</si>
  <si>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</si>
  <si>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</si>
  <si>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</si>
  <si>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</si>
  <si>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</si>
  <si>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</si>
  <si>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</si>
  <si>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</si>
  <si>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</si>
  <si>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</si>
  <si>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</si>
  <si>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</si>
  <si>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</si>
  <si>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</si>
  <si>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</si>
  <si>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</si>
  <si>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</si>
  <si>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</si>
  <si>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</si>
  <si>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</si>
  <si>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</si>
  <si>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</si>
  <si>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</si>
  <si>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</si>
  <si>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</si>
  <si>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</si>
  <si>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</si>
  <si>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</si>
  <si>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</si>
  <si>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</si>
  <si>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</si>
  <si>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</si>
  <si>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</si>
  <si>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</si>
  <si>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</si>
  <si>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</si>
  <si>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</si>
  <si>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</si>
  <si>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</si>
  <si>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</si>
  <si>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</si>
  <si>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</si>
  <si>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</si>
  <si>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</si>
  <si>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</si>
  <si>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</si>
  <si>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</si>
  <si>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</si>
  <si>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</si>
  <si>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</si>
  <si>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</si>
  <si>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</si>
  <si>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</si>
  <si>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</si>
  <si>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</si>
  <si>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</si>
  <si>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</si>
  <si>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</si>
  <si>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</si>
  <si>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</si>
  <si>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</si>
  <si>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</si>
  <si>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</si>
  <si>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</si>
  <si>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</si>
  <si>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</si>
  <si>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</si>
  <si>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</si>
  <si>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</si>
  <si>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</si>
  <si>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</si>
  <si>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</si>
  <si>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</si>
  <si>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</si>
  <si>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</si>
  <si>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</si>
  <si>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</si>
  <si>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</si>
  <si>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</si>
  <si>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</si>
  <si>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</si>
  <si>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</si>
  <si>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</si>
  <si>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</si>
  <si>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</si>
  <si>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</si>
  <si>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</si>
  <si>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</si>
  <si>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</si>
  <si>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</si>
  <si>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</si>
  <si>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</si>
  <si>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</si>
  <si>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</si>
  <si>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</si>
  <si>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</si>
  <si>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</si>
  <si>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</si>
  <si>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</si>
  <si>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</si>
  <si>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</si>
  <si>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</si>
  <si>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</si>
  <si>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</si>
  <si>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</si>
  <si>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</si>
  <si>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</si>
  <si>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</si>
  <si>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</si>
  <si>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</si>
  <si>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</si>
  <si>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</si>
  <si>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</si>
  <si>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</si>
  <si>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</si>
  <si>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</si>
  <si>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</si>
  <si>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</si>
  <si>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</si>
  <si>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</si>
  <si>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</si>
  <si>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</si>
  <si>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</si>
  <si>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</si>
  <si>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</si>
  <si>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</si>
  <si>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</si>
  <si>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</si>
  <si>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</si>
  <si>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</si>
  <si>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</si>
  <si>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</si>
  <si>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</si>
  <si>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</si>
  <si>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</si>
  <si>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</si>
  <si>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</si>
  <si>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</si>
  <si>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</si>
  <si>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</si>
  <si>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</si>
  <si>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</si>
  <si>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</si>
  <si>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</si>
  <si>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</si>
  <si>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</si>
  <si>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</si>
  <si>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</si>
  <si>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</si>
  <si>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</si>
  <si>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</si>
  <si>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</si>
  <si>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</si>
  <si>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</si>
  <si>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</si>
  <si>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</si>
  <si>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</si>
  <si>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</si>
  <si>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</si>
  <si>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</si>
  <si>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</si>
  <si>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</si>
  <si>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</si>
  <si>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</si>
  <si>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</si>
  <si>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</si>
  <si>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</si>
  <si>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</si>
  <si>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</si>
  <si>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</si>
  <si>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</si>
  <si>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</si>
  <si>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</si>
  <si>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</si>
  <si>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</si>
  <si>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</si>
  <si>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</si>
  <si>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</si>
  <si>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</si>
  <si>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</si>
  <si>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</si>
  <si>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</si>
  <si>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</si>
  <si>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</si>
  <si>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</si>
  <si>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</si>
  <si>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</si>
  <si>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</si>
  <si>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</si>
  <si>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</si>
  <si>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</si>
  <si>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</si>
  <si>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</si>
  <si>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</si>
  <si>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</si>
  <si>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</si>
  <si>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</si>
  <si>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</si>
  <si>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</si>
  <si>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</si>
  <si>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</si>
  <si>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</si>
  <si>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</si>
  <si>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</si>
  <si>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</si>
  <si>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</si>
  <si>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</si>
  <si>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</si>
  <si>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</si>
  <si>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</si>
  <si>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</si>
  <si>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</si>
  <si>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</si>
  <si>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</si>
  <si>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</si>
  <si>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</si>
  <si>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</si>
  <si>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</si>
  <si>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</si>
  <si>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</si>
  <si>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</si>
  <si>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</si>
  <si>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</si>
  <si>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</si>
  <si>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</si>
  <si>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</si>
  <si>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</si>
  <si>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</si>
  <si>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</si>
  <si>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</si>
  <si>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</si>
  <si>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</si>
  <si>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</si>
  <si>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</si>
  <si>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</si>
  <si>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</si>
  <si>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</si>
  <si>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</si>
  <si>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</si>
  <si>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</si>
  <si>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</si>
  <si>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</si>
  <si>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</si>
  <si>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</si>
  <si>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</si>
  <si>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</si>
  <si>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</si>
  <si>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</si>
  <si>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</si>
  <si>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</si>
  <si>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</si>
  <si>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</si>
  <si>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</si>
  <si>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</si>
  <si>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</si>
  <si>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</si>
  <si>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</si>
  <si>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</si>
  <si>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</si>
  <si>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</si>
  <si>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</si>
  <si>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</si>
  <si>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</si>
  <si>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</si>
  <si>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</si>
  <si>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</si>
  <si>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</si>
  <si>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</si>
  <si>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</si>
  <si>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</si>
  <si>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</si>
  <si>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</si>
  <si>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</si>
  <si>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</si>
  <si>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</si>
  <si>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</si>
  <si>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</si>
  <si>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</si>
  <si>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</si>
  <si>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</si>
  <si>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</si>
  <si>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</si>
  <si>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</si>
  <si>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</si>
  <si>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</si>
  <si>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</si>
  <si>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</si>
  <si>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</si>
  <si>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</si>
  <si>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</si>
  <si>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</si>
  <si>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</si>
  <si>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</si>
  <si>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</si>
  <si>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</si>
  <si>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</si>
  <si>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</si>
  <si>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</si>
  <si>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</si>
  <si>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</si>
  <si>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</si>
  <si>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</si>
  <si>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</si>
  <si>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</si>
  <si>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</si>
  <si>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</si>
  <si>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</si>
  <si>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</si>
  <si>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</si>
  <si>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</si>
  <si>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</si>
  <si>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</si>
  <si>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</si>
  <si>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</si>
  <si>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</si>
  <si>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</si>
  <si>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</si>
  <si>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</si>
  <si>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</si>
  <si>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</si>
  <si>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</si>
  <si>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</si>
  <si>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</si>
  <si>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</si>
  <si>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</si>
  <si>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</si>
  <si>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</si>
  <si>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</si>
  <si>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</si>
  <si>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</si>
  <si>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</si>
  <si>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</si>
  <si>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</si>
  <si>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</si>
  <si>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</si>
  <si>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</si>
  <si>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</si>
  <si>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</si>
  <si>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</si>
  <si>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</si>
  <si>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</si>
  <si>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</si>
  <si>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</si>
  <si>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</si>
  <si>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</si>
  <si>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</si>
  <si>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</si>
  <si>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</si>
  <si>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</si>
  <si>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</si>
  <si>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</si>
  <si>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</si>
  <si>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</si>
  <si>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</si>
  <si>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</si>
  <si>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</si>
  <si>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</si>
  <si>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</si>
  <si>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</si>
  <si>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</si>
  <si>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</si>
  <si>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</si>
  <si>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</si>
  <si>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</si>
  <si>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</si>
  <si>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</si>
  <si>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</si>
  <si>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</si>
  <si>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</si>
  <si>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</si>
  <si>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</si>
  <si>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</si>
  <si>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</si>
  <si>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</si>
  <si>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</si>
  <si>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</si>
  <si>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</si>
  <si>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</si>
  <si>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</si>
  <si>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</si>
  <si>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</si>
  <si>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</si>
  <si>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</si>
  <si>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</si>
  <si>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</si>
  <si>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</si>
  <si>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</si>
  <si>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</si>
  <si>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</si>
  <si>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</si>
  <si>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</si>
  <si>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</si>
  <si>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</si>
  <si>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</si>
  <si>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</si>
  <si>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</si>
  <si>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</si>
  <si>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</si>
  <si>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</si>
  <si>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</si>
  <si>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</si>
  <si>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</si>
  <si>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</si>
  <si>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</si>
  <si>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</si>
  <si>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</si>
  <si>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</si>
  <si>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</si>
  <si>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</si>
  <si>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</si>
  <si>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</si>
  <si>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</si>
  <si>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</si>
  <si>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</si>
  <si>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</si>
  <si>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</si>
  <si>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</si>
  <si>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</si>
  <si>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</si>
  <si>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</si>
  <si>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</si>
  <si>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</si>
  <si>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</si>
  <si>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</si>
  <si>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</si>
  <si>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</si>
  <si>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</si>
  <si>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</si>
  <si>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</si>
  <si>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</si>
  <si>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</si>
  <si>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</si>
  <si>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</si>
  <si>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</si>
  <si>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</si>
  <si>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</si>
  <si>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</si>
  <si>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</si>
  <si>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</si>
  <si>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</si>
  <si>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</si>
  <si>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</si>
  <si>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</si>
  <si>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</si>
  <si>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</si>
  <si>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</si>
  <si>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</si>
  <si>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</si>
  <si>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</si>
  <si>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</si>
  <si>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</si>
  <si>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</si>
  <si>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</si>
  <si>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</si>
  <si>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</si>
  <si>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</si>
  <si>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</si>
  <si>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</si>
  <si>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</si>
  <si>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</si>
  <si>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</si>
  <si>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</si>
  <si>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</si>
  <si>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</si>
  <si>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</si>
  <si>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</si>
  <si>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</si>
  <si>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</si>
  <si>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</si>
  <si>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</si>
  <si>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</si>
  <si>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</si>
  <si>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</si>
  <si>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</si>
  <si>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</si>
  <si>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</si>
  <si>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</si>
  <si>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</si>
  <si>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</si>
  <si>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</si>
  <si>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</si>
  <si>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</si>
  <si>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</si>
  <si>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</si>
  <si>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</si>
  <si>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</si>
  <si>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</si>
  <si>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</si>
  <si>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</si>
  <si>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</si>
  <si>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</si>
  <si>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</si>
  <si>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</si>
  <si>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</si>
  <si>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</si>
  <si>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</si>
  <si>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</si>
  <si>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</si>
  <si>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</si>
  <si>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</si>
  <si>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</si>
  <si>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</si>
  <si>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</si>
  <si>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</si>
  <si>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</si>
  <si>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</si>
  <si>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</si>
  <si>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</si>
  <si>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</si>
  <si>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</si>
  <si>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</si>
  <si>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</si>
  <si>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</si>
  <si>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</si>
  <si>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</si>
  <si>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</si>
  <si>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</si>
  <si>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</si>
  <si>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</si>
  <si>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</si>
  <si>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</si>
  <si>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</si>
  <si>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</si>
  <si>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</si>
  <si>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</si>
  <si>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</si>
  <si>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</si>
  <si>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</si>
  <si>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</si>
  <si>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</si>
  <si>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</si>
  <si>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</si>
  <si>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</si>
  <si>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</si>
  <si>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</si>
  <si>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</si>
  <si>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</si>
  <si>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</si>
  <si>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</si>
  <si>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</si>
  <si>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</si>
  <si>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</si>
  <si>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</si>
  <si>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</si>
  <si>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</si>
  <si>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</si>
  <si>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</si>
  <si>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</si>
  <si>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</si>
  <si>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</si>
  <si>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</si>
  <si>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</si>
  <si>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</si>
  <si>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</si>
  <si>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</si>
  <si>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</si>
  <si>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</si>
  <si>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</si>
  <si>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</si>
  <si>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</si>
  <si>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</si>
  <si>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</si>
  <si>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</si>
  <si>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</si>
  <si>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</si>
  <si>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</si>
  <si>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</si>
  <si>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</si>
  <si>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</si>
  <si>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</si>
  <si>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</si>
  <si>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</si>
  <si>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</si>
  <si>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</si>
  <si>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</si>
  <si>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</si>
  <si>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</si>
  <si>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</si>
  <si>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</si>
  <si>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</si>
  <si>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</si>
  <si>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</si>
  <si>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</si>
  <si>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</si>
  <si>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</si>
  <si>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</si>
  <si>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</si>
  <si>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</si>
  <si>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</si>
  <si>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</si>
  <si>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</si>
  <si>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</si>
  <si>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</si>
  <si>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</si>
  <si>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</si>
  <si>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</si>
  <si>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</si>
  <si>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</si>
  <si>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</si>
  <si>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</si>
  <si>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</si>
  <si>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</si>
  <si>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</si>
  <si>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</si>
  <si>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</si>
  <si>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</si>
  <si>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</si>
  <si>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</si>
  <si>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</si>
  <si>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</si>
  <si>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</si>
  <si>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</si>
  <si>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</si>
  <si>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</si>
  <si>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</si>
  <si>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</si>
  <si>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</si>
  <si>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</si>
  <si>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</si>
  <si>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</si>
  <si>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</si>
  <si>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</si>
  <si>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</si>
  <si>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</si>
  <si>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</si>
  <si>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</si>
  <si>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</si>
  <si>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</si>
  <si>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</si>
  <si>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</si>
  <si>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</si>
  <si>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</si>
  <si>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</si>
  <si>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</si>
  <si>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</si>
  <si>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</si>
  <si>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</si>
  <si>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</si>
  <si>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</si>
  <si>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</si>
  <si>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</si>
  <si>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</si>
  <si>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</si>
  <si>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</si>
  <si>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</si>
  <si>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</si>
  <si>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</si>
  <si>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</si>
  <si>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</si>
  <si>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</si>
  <si>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</si>
  <si>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</si>
  <si>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</si>
  <si>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</si>
  <si>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</si>
  <si>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</si>
  <si>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</si>
  <si>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</si>
  <si>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</si>
  <si>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</si>
  <si>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</si>
  <si>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</si>
  <si>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</si>
  <si>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</si>
  <si>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</si>
  <si>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</si>
  <si>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</si>
  <si>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</si>
  <si>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</si>
  <si>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</si>
  <si>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</si>
  <si>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</si>
  <si>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</si>
  <si>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</si>
  <si>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</si>
  <si>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</si>
  <si>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</si>
  <si>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</si>
  <si>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</si>
  <si>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</si>
  <si>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</si>
  <si>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</si>
  <si>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</si>
  <si>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</si>
  <si>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</si>
  <si>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</si>
  <si>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</si>
  <si>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</si>
  <si>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</si>
  <si>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</si>
  <si>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</si>
  <si>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</si>
  <si>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</si>
  <si>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</si>
  <si>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</si>
  <si>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</si>
  <si>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</si>
  <si>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</si>
  <si>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</si>
  <si>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</si>
  <si>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</si>
  <si>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</si>
  <si>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</si>
  <si>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</si>
  <si>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</si>
  <si>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</si>
  <si>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</si>
  <si>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</si>
  <si>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</si>
  <si>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</si>
  <si>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</si>
  <si>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</si>
  <si>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</si>
  <si>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</si>
  <si>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</si>
  <si>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</si>
  <si>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</si>
  <si>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</si>
  <si>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</si>
  <si>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</si>
  <si>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</si>
  <si>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</si>
  <si>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</si>
  <si>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</si>
  <si>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</si>
  <si>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</si>
  <si>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</si>
  <si>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</si>
  <si>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</si>
  <si>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</si>
  <si>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</si>
  <si>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</si>
  <si>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</si>
  <si>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</si>
  <si>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</si>
  <si>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</si>
  <si>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</si>
  <si>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</si>
  <si>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</si>
  <si>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</si>
  <si>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</si>
  <si>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</si>
  <si>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</si>
  <si>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</si>
  <si>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</si>
  <si>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</si>
  <si>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</si>
  <si>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</si>
  <si>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</si>
  <si>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</si>
  <si>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</si>
  <si>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</si>
  <si>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</si>
  <si>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</si>
  <si>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</si>
  <si>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</si>
  <si>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</si>
  <si>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</si>
  <si>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</si>
  <si>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</si>
  <si>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</si>
  <si>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</si>
  <si>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</si>
  <si>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</si>
  <si>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</si>
  <si>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</si>
  <si>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</si>
  <si>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</si>
  <si>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</si>
  <si>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</si>
  <si>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</si>
  <si>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</si>
  <si>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</si>
  <si>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</si>
  <si>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</si>
  <si>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</si>
  <si>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</si>
  <si>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</si>
  <si>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</si>
  <si>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</si>
  <si>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</si>
  <si>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</si>
  <si>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</si>
  <si>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</si>
  <si>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</si>
  <si>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</si>
  <si>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</si>
  <si>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</si>
  <si>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</si>
  <si>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</si>
  <si>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</si>
  <si>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</si>
  <si>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</si>
  <si>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</si>
  <si>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</si>
  <si>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</si>
  <si>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</si>
  <si>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</si>
  <si>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</si>
  <si>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</si>
  <si>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</si>
  <si>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</si>
  <si>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</si>
  <si>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</si>
  <si>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</si>
  <si>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</si>
  <si>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</si>
  <si>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</si>
  <si>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</si>
  <si>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</si>
  <si>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</si>
  <si>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</si>
  <si>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</si>
  <si>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</si>
  <si>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</si>
  <si>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</si>
  <si>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</si>
  <si>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</si>
  <si>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</si>
  <si>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</si>
  <si>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</si>
  <si>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</si>
  <si>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</si>
  <si>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R7-41</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</si>
  <si>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</si>
  <si>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</si>
  <si>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</si>
  <si>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</si>
  <si>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</si>
  <si>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</si>
  <si>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</si>
  <si>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</si>
  <si>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</si>
  <si>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</si>
  <si>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</si>
  <si>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</si>
  <si>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</si>
  <si>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</si>
  <si>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</si>
  <si>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</si>
  <si>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</si>
  <si>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</si>
  <si>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</si>
  <si>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</si>
  <si>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</si>
  <si>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</si>
  <si>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</si>
  <si>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</si>
  <si>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</si>
  <si>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</si>
  <si>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</si>
  <si>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</si>
  <si>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</si>
  <si>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</si>
  <si>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</si>
  <si>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</si>
  <si>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</si>
  <si>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</si>
  <si>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</si>
  <si>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</si>
  <si>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</si>
  <si>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</si>
  <si>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</si>
  <si>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</si>
  <si>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</si>
  <si>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</si>
  <si>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</si>
  <si>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</si>
  <si>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</si>
  <si>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</si>
  <si>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</si>
  <si>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</si>
  <si>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</si>
  <si>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</si>
  <si>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</si>
  <si>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</si>
  <si>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</si>
  <si>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</si>
  <si>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</si>
  <si>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</si>
  <si>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</si>
  <si>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</si>
  <si>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</si>
  <si>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</si>
  <si>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</si>
  <si>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</si>
  <si>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</si>
  <si>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</si>
  <si>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</si>
  <si>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</si>
  <si>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</si>
  <si>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</si>
  <si>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</si>
  <si>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</si>
  <si>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</si>
  <si>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</si>
  <si>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</si>
  <si>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</si>
  <si>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</si>
  <si>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</si>
  <si>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</si>
  <si>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</si>
  <si>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</si>
  <si>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</si>
  <si>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</si>
  <si>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</si>
  <si>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</si>
  <si>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</si>
  <si>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</si>
  <si>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</si>
  <si>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</si>
  <si>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</si>
  <si>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</si>
  <si>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</si>
  <si>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</si>
  <si>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</si>
  <si>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</si>
  <si>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</si>
  <si>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</si>
  <si>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</si>
  <si>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</si>
  <si>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</si>
  <si>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</si>
  <si>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</si>
  <si>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</si>
  <si>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</si>
  <si>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</si>
  <si>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</si>
  <si>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</si>
  <si>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</si>
  <si>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</si>
  <si>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</si>
  <si>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</si>
  <si>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</si>
  <si>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</si>
  <si>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</si>
  <si>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</si>
  <si>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</si>
  <si>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</si>
  <si>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</si>
  <si>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</si>
  <si>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</si>
  <si>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</si>
  <si>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</si>
  <si>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</si>
  <si>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</si>
  <si>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</si>
  <si>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</si>
  <si>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</si>
  <si>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</si>
  <si>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</si>
  <si>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</si>
  <si>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</si>
  <si>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</si>
  <si>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</si>
  <si>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</si>
  <si>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</si>
  <si>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</si>
  <si>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</si>
  <si>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</si>
  <si>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</si>
  <si>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</si>
  <si>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</si>
  <si>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</si>
  <si>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</si>
  <si>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</si>
  <si>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</si>
  <si>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</si>
  <si>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</si>
  <si>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</si>
  <si>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</si>
  <si>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</si>
  <si>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</si>
  <si>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</si>
  <si>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</si>
  <si>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</si>
  <si>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</si>
  <si>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</si>
  <si>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</si>
  <si>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</si>
  <si>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</si>
  <si>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</si>
  <si>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</si>
  <si>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</si>
  <si>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</si>
  <si>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</si>
  <si>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</si>
  <si>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</si>
  <si>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</si>
  <si>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</si>
  <si>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</si>
  <si>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</si>
  <si>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</si>
  <si>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</si>
  <si>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</si>
  <si>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</si>
  <si>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</si>
  <si>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</si>
  <si>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</si>
  <si>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</si>
  <si>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</si>
  <si>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</si>
  <si>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</si>
  <si>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</si>
  <si>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</si>
  <si>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</si>
  <si>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</si>
  <si>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</si>
  <si>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</si>
  <si>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</si>
  <si>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</si>
  <si>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</si>
  <si>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</si>
  <si>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</si>
  <si>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</si>
  <si>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</si>
  <si>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</si>
  <si>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</si>
  <si>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</si>
  <si>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</si>
  <si>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</si>
  <si>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</si>
  <si>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</si>
  <si>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</si>
  <si>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</si>
  <si>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</si>
  <si>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</si>
  <si>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</si>
  <si>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</si>
  <si>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</si>
  <si>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</si>
  <si>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</si>
  <si>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</si>
  <si>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</si>
  <si>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</si>
  <si>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</si>
  <si>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</si>
  <si>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</si>
  <si>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</si>
  <si>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</si>
  <si>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</si>
  <si>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</si>
  <si>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</si>
  <si>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</si>
  <si>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</si>
  <si>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</si>
  <si>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</si>
  <si>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</si>
  <si>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</si>
  <si>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</si>
  <si>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</si>
  <si>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</si>
  <si>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</si>
  <si>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</si>
  <si>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</si>
  <si>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</si>
  <si>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</si>
  <si>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</si>
  <si>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</si>
  <si>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</si>
  <si>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</si>
  <si>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</si>
  <si>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</si>
  <si>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</si>
  <si>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</si>
  <si>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</si>
  <si>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</si>
  <si>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</si>
  <si>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</si>
  <si>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</si>
  <si>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</si>
  <si>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</si>
  <si>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</si>
  <si>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</si>
  <si>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</si>
  <si>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</si>
  <si>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</si>
  <si>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</si>
  <si>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</si>
  <si>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</si>
  <si>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</si>
  <si>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</si>
  <si>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</si>
  <si>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</si>
  <si>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</si>
  <si>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</si>
  <si>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</si>
  <si>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</si>
  <si>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</si>
  <si>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</si>
  <si>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</si>
  <si>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</si>
  <si>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</si>
  <si>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</si>
  <si>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</si>
  <si>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</si>
  <si>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</si>
  <si>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</si>
  <si>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</si>
  <si>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</si>
  <si>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</si>
  <si>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</si>
  <si>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</si>
  <si>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</si>
  <si>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</si>
  <si>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</si>
  <si>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</si>
  <si>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</si>
  <si>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</si>
  <si>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</si>
  <si>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</si>
  <si>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</si>
  <si>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</si>
  <si>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</si>
  <si>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</si>
  <si>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</si>
  <si>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</si>
  <si>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</si>
  <si>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</si>
  <si>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</si>
  <si>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</si>
  <si>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</si>
  <si>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</si>
  <si>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</si>
  <si>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</si>
  <si>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</si>
  <si>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</si>
  <si>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</si>
  <si>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</si>
  <si>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</si>
  <si>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</si>
  <si>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</si>
  <si>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</si>
  <si>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</si>
  <si>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</si>
  <si>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</si>
  <si>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</si>
  <si>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</si>
  <si>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</si>
  <si>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</si>
  <si>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</si>
  <si>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</si>
  <si>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</si>
  <si>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</si>
  <si>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</si>
  <si>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</si>
  <si>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</si>
  <si>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</si>
  <si>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</si>
  <si>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</si>
  <si>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</si>
  <si>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</si>
  <si>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</si>
  <si>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</si>
  <si>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</si>
  <si>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</si>
  <si>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</si>
  <si>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</si>
  <si>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</si>
  <si>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</si>
  <si>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</si>
  <si>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</si>
  <si>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</si>
  <si>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</si>
  <si>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</si>
  <si>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</si>
  <si>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</si>
  <si>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</si>
  <si>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</si>
  <si>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</si>
  <si>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</si>
  <si>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</si>
  <si>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</si>
  <si>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</si>
  <si>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</si>
  <si>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</si>
  <si>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</si>
  <si>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</si>
  <si>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</si>
  <si>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</si>
  <si>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</si>
  <si>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</si>
  <si>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</si>
  <si>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</si>
  <si>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</si>
  <si>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</si>
  <si>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</si>
  <si>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</si>
  <si>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</si>
  <si>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</si>
  <si>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</si>
  <si>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FORMIVAL fermée,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</si>
  <si>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</si>
  <si>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</si>
  <si>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</si>
  <si>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</si>
  <si>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</si>
  <si>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</si>
  <si>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</si>
  <si>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</si>
  <si>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</si>
  <si>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Suduiraut 61 chambres, Val Saint-Lambert concession 12 ans, Batipart sale and lease back Adeo)</t>
  </si>
  <si>
    <t xml:space="preserve">https://fr.custplace.com/chateauform-le-grand-mello-191849</t>
  </si>
  <si>
    <t xml:space="preserve">résultats de recherche (extraits)</t>
  </si>
  <si>
    <t xml:space="preserve">§1 indices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</si>
  <si>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</si>
  <si>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</si>
  <si>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</si>
  <si>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</si>
  <si>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</si>
  <si>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</si>
  <si>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</si>
  <si>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</si>
  <si>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</si>
  <si>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</si>
  <si>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</si>
  <si>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 nous concevons, exploitons et animons nos propres lieux », prix « à partir de 290 € HT par participant/jour »)</t>
  </si>
  <si>
    <t xml:space="preserve">https://www.chateauform.com/fr</t>
  </si>
  <si>
    <t xml:space="preserve">site de l'exploitant</t>
  </si>
  <si>
    <t xml:space="preserve">§1 et §4 conditions d'entrée</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</si>
  <si>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</si>
  <si>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</si>
  <si>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</si>
  <si>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</si>
  <si>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</si>
  <si>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</si>
  <si>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</si>
  <si>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</si>
  <si>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</si>
  <si>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</si>
  <si>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</si>
  <si>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</si>
  <si>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</si>
  <si>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</si>
  <si>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</si>
  <si>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</si>
  <si>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</si>
  <si>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</si>
  <si>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</si>
  <si>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</si>
  <si>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</si>
  <si>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</si>
  <si>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</si>
  <si>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</si>
  <si>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</si>
  <si>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</si>
  <si>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10 sites restaurés, 42 maisons, 100 chambres,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</si>
  <si>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</si>
  <si>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</si>
  <si>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</si>
  <si>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</si>
  <si>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</si>
  <si>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</si>
  <si>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château privé, « Rénovation du hameau en partenariat avec Pierres d'Histoire en 2015 », prix par nuit)</t>
  </si>
  <si>
    <t xml:space="preserve">https://www.pierresdhistoire.com/domaines/courances</t>
  </si>
  <si>
    <t xml:space="preserve">V2A-22</t>
  </si>
  <si>
    <t xml:space="preserve">API Recherche d'entreprises - requête « esprit de france » (holding ESPRIT DE FRANCE présidée par COMPAGNIE LEBON,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</si>
  <si>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</si>
  <si>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</si>
  <si>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</si>
  <si>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</si>
  <si>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</si>
  <si>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</si>
  <si>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</si>
  <si>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</si>
  <si>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</si>
  <si>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</si>
  <si>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</si>
  <si>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</si>
  <si>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</si>
  <si>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</si>
  <si>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</si>
  <si>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</si>
  <si>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</si>
  <si>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</si>
  <si>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</si>
  <si>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abattements 15 % et 20 %)</t>
  </si>
  <si>
    <t xml:space="preserve">https://www.doctrine.fr/d/CA/Caen/2025/CAPE3D548D7FFAC738EB4DA</t>
  </si>
  <si>
    <t xml:space="preserve">résultats de recherche (jurisprudence, extraits, page Doctrine non accessible)</t>
  </si>
  <si>
    <t xml:space="preserve">§2 comparables</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</si>
  <si>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</si>
  <si>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</si>
  <si>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</si>
  <si>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</si>
  <si>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</si>
  <si>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</si>
  <si>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</si>
  <si>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</si>
  <si>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</si>
  <si>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</si>
  <si>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</si>
  <si>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</si>
  <si>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</si>
  <si>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</si>
  <si>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</si>
  <si>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</si>
  <si>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fonds de commerce valorisés « au rendement de 12% », répartition fixe 60 % / variable 17 % / EBITDA 23 %</t>
  </si>
  <si>
    <t xml:space="preserve">https://echanges.dila.gouv.fr/OPENDATA/AMF/ECO/2024/02/FCECO073798_20240215.pdf</t>
  </si>
  <si>
    <t xml:space="preserve">V2A-33</t>
  </si>
  <si>
    <t xml:space="preserve">Covivio, communiqué du 07/11/2023 (négociations AccorInvest, part de loyers variables 20 % passant à 7 %)</t>
  </si>
  <si>
    <t xml:space="preserve">https://echanges.dila.gouv.fr/OPENDATA/AMF/ECO/2023/11/FCECO072950_20231107.pdf</t>
  </si>
  <si>
    <t xml:space="preserve">communiqué d'une foncière cotée (PDF)</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</si>
  <si>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</si>
  <si>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</si>
  <si>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</si>
  <si>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</si>
  <si>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</si>
  <si>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</si>
  <si>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</si>
  <si>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</si>
  <si>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</si>
  <si>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</si>
  <si>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</si>
  <si>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</si>
  <si>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</si>
  <si>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</si>
  <si>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</si>
  <si>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</si>
  <si>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</si>
  <si>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</si>
  <si>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</si>
  <si>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</si>
  <si>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</si>
  <si>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</si>
  <si>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</si>
  <si>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</si>
  <si>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</si>
  <si>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</si>
  <si>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</si>
  <si>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</si>
  <si>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</si>
  <si>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plafonnement, déplafonnement si bail &gt; 9 ans ou &gt; 12 ans tacite)</t>
  </si>
  <si>
    <t xml:space="preserve">https://entreprendre.service-public.gouv.fr/vosdroits/F22854</t>
  </si>
  <si>
    <t xml:space="preserve">§5 renouvellement</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</si>
  <si>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</si>
  <si>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</si>
  <si>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</si>
  <si>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</si>
  <si>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</si>
  <si>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reprise par le bailleur,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</si>
  <si>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</si>
  <si>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</si>
  <si>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</si>
  <si>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</si>
  <si>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</si>
  <si>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</si>
  <si>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</si>
  <si>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</si>
  <si>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</si>
  <si>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</si>
  <si>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</si>
  <si>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</si>
  <si>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</si>
  <si>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</si>
  <si>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</si>
  <si>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</si>
  <si>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</si>
  <si>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modifié le 14/06/2021</t>
  </si>
  <si>
    <t xml:space="preserve">https://www.pariszigzag.fr/?p=127459</t>
  </si>
  <si>
    <t xml:space="preserve">presse (loisirs)</t>
  </si>
  <si>
    <t xml:space="preserve">V2A-49</t>
  </si>
  <si>
    <t xml:space="preserve">API Recherche d'entreprises - requête « chateau » + code postal 78730 (SA TAKEI, 68.20B, siège au château de Rochefort, établissement Chateauform' ouvert en 2008)</t>
  </si>
  <si>
    <t xml:space="preserve">https://recherche-entreprises.api.gouv.fr/search?q=chateau&amp;code_postal=78730&amp;activite_principale=68.20A,68.20B,68.10Z,64.20Z,55.10Z,82.30Z&amp;per_page=25</t>
  </si>
  <si>
    <t xml:space="preserve">§1 Rochefort</t>
  </si>
  <si>
    <t xml:space="preserve">V2A-50</t>
  </si>
  <si>
    <t xml:space="preserve">API Recherche d'entreprises - requête « royaumont » (établissement Chateauform' au palais abbatial depuis 2012, TRUST ANAVIM, 68.20B, siège New York, établissement « Domaine Royaumont »)</t>
  </si>
  <si>
    <t xml:space="preserve">https://recherche-entreprises.api.gouv.fr/search?q=royaumont&amp;activite_principale=68.20A,68.20B,68.10Z,64.20Z,55.10Z,82.30Z,94.99Z&amp;per_page=25</t>
  </si>
  <si>
    <t xml:space="preserve">§1 Royaumont</t>
  </si>
  <si>
    <t xml:space="preserve">V2A-51</t>
  </si>
  <si>
    <t xml:space="preserve">API Recherche d'entreprises - requête « chateau » + code postal 78490 (établissements Chateauform' aux Mesnuls, Mareil-le-Guyon, Tremblay, anciennes sociétés hôtelières fermées en 2009 et 2014)</t>
  </si>
  <si>
    <t xml:space="preserve">https://recherche-entreprises.api.gouv.fr/search?q=chateau&amp;code_postal=78490&amp;activite_principale=68.20A,68.20B,68.10Z,64.20Z,55.10Z,82.30Z&amp;per_page=25</t>
  </si>
  <si>
    <t xml:space="preserve">§1 et §8 rotation des exploitants</t>
  </si>
  <si>
    <t xml:space="preserve">V2A-52</t>
  </si>
  <si>
    <t xml:space="preserve">API Recherche d'entreprises - requête « herces » (établissement Chateauform' ouvert en 2021, ancienne société hôtelière BERCHERES ET HERCES fermée)</t>
  </si>
  <si>
    <t xml:space="preserve">https://recherche-entreprises.api.gouv.fr/search?q=herces&amp;per_page=25</t>
  </si>
  <si>
    <t xml:space="preserve">§1 et §8</t>
  </si>
  <si>
    <t xml:space="preserve">V2A-53</t>
  </si>
  <si>
    <t xml:space="preserve">API Recherche d'entreprises - requête « chateau » + code postal 77600 (établissement Chateauform' au château de Guermantes depuis 2010, 65 établissements dont 54 ouverts)</t>
  </si>
  <si>
    <t xml:space="preserve">https://recherche-entreprises.api.gouv.fr/search?q=chateau&amp;code_postal=77600&amp;activite_principale=68.20A,68.20B,68.10Z,64.20Z,55.10Z,82.30Z&amp;per_page=25</t>
  </si>
  <si>
    <t xml:space="preserve">§1</t>
  </si>
  <si>
    <t xml:space="preserve">V2A-54</t>
  </si>
  <si>
    <t xml:space="preserve">Voyages d'Affaires, entretien avec Benjamin Abittan (Châteauform'), « Je serai prudent en 2025 », 06/01/2025 (concession de 5 ans de l'Institut de France, « 15 ou 30 ans », critères gare, maisons de 60 à 160 chambres, Bail Engagé Climat avec Icade)</t>
  </si>
  <si>
    <t xml:space="preserve">presse professionnelle (déjà lue par R7, [R7-25])</t>
  </si>
  <si>
    <t xml:space="preserve">§1 et §4</t>
  </si>
  <si>
    <t xml:space="preserve">V2A-55</t>
  </si>
  <si>
    <t xml:space="preserve">TourMaG, « Séminaires : l'Europe du Sud dans le viseur de Châteauform' », 23/03/2022 (Marseille : « pas moins de 51 chambres », aucun élément sur la propriété des murs)</t>
  </si>
  <si>
    <t xml:space="preserve">presse professionnelle (déjà lue par R7, [R7-74])</t>
  </si>
  <si>
    <t xml:space="preserve">§4</t>
  </si>
  <si>
    <t xml:space="preserve">V2A-56</t>
  </si>
  <si>
    <t xml:space="preserve">Résultats WebSearch « délibération conseil municipal bail château exploitant... » (aucune délibération Châteauform', baux emphytéotiques de Besançon)</t>
  </si>
  <si>
    <t xml:space="preserve">https://datasets.grandbesancon.fr/fichiers/delibs/villeDeBesancon/conseilMunicipal/2019/20190919/a190943.pdf</t>
  </si>
  <si>
    <t xml:space="preserve">§6</t>
  </si>
  <si>
    <t xml:space="preserve">V2A-57</t>
  </si>
  <si>
    <t xml:space="preserve">Ville de Besançon, délibération du 19/09/2019 : bail emphytéotique de 25 ans à la SAS Le Château de Germigney (café-restaurant), canon de 4 500 €/an, toutes réparations à la charge de l'emphytéote, retour sans indemnité (PDF, pdftotext)</t>
  </si>
  <si>
    <t xml:space="preserve">délibération publique</t>
  </si>
  <si>
    <t xml:space="preserve">§6 modèle emphytéotique</t>
  </si>
  <si>
    <t xml:space="preserve">V2A-58</t>
  </si>
  <si>
    <t xml:space="preserve">Ville de Besançon, délibération du 28/04/2005 : château de Montfort, bail emphytéotique de 18 ans à l'Association d'Hygiène Sociale du Doubs, loyer annuel 22 945,50 € indexé ICC (PDF)</t>
  </si>
  <si>
    <t xml:space="preserve">https://datasets.grandbesancon.fr/fichiers/delibs/villeDeBesancon/conseilMunicipal/2005/20050428/28avril32.pdf</t>
  </si>
  <si>
    <t xml:space="preserve">§6 locataire institutionnel</t>
  </si>
  <si>
    <t xml:space="preserve">V2A-59</t>
  </si>
  <si>
    <t xml:space="preserve">Résultats WebSearch « Château de Suduiraut Châteauform AXA Millésimes » (propriété AXA Millésimes depuis 1992, Decanter : incendie dans une aile « rented out for conferences », ancien centre de séminaires AXA-Université)</t>
  </si>
  <si>
    <t xml:space="preserve">https://decanter.com/?p=395932</t>
  </si>
  <si>
    <t xml:space="preserve">résultats de recherche (extraits, page Decanter illisible)</t>
  </si>
  <si>
    <t xml:space="preserve">§3 et §8 Suduiraut</t>
  </si>
  <si>
    <t xml:space="preserve">V2A-60</t>
  </si>
  <si>
    <t xml:space="preserve">Résultats WebSearch « Châteauform' interview dirigeant développement... » (aucun résultat pertinent)</t>
  </si>
  <si>
    <t xml:space="preserve">https://www.galivel.com/media/files/191023_barnes_chateaux.pdf</t>
  </si>
  <si>
    <t xml:space="preserve">— (recherche infructueuse)</t>
  </si>
  <si>
    <t xml:space="preserve">V2A-61</t>
  </si>
  <si>
    <t xml:space="preserve">Résultats WebSearch « Pierre et Vacances suspension paiement loyers... » (conciliation, 740 propriétaires assignant, abandon proposé de 5 mois de loyers sous condition de 85 % des lots, pages L'Écho touristique en 403)</t>
  </si>
  <si>
    <t xml:space="preserve">https://www.lechotouristique.com/article/covid-19-pierre-vacances-reduit-les-loyers-impayes-a-5-mois</t>
  </si>
  <si>
    <t xml:space="preserve">presse professionnelle (extraits)</t>
  </si>
  <si>
    <t xml:space="preserve">V2A-62</t>
  </si>
  <si>
    <t xml:space="preserve">Assemblée nationale, question écrite n° 38760 (Mme Cazarian), « Situation des bailleurs commerciaux liés à Pierre et Vacances », JO 11/05/2021, réponse JO 31/05/2022 (PDF, pdftotext)</t>
  </si>
  <si>
    <t xml:space="preserve">https://questions.assemblee-nationale.fr/dyn/15/questions/QANR5L15QE38760.pdf</t>
  </si>
  <si>
    <t xml:space="preserve">V2A-63</t>
  </si>
  <si>
    <t xml:space="preserve">Assemblée nationale, question écrite n° 30678 (M. Sermier), « Difficultés des bailleurs en résidence de tourisme », JO 23/06/2020 (PDF)</t>
  </si>
  <si>
    <t xml:space="preserve">https://questions.assemblee-nationale.fr/dyn/15/questions/QANR5L15QE30678.pdf</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</si>
  <si>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</si>
  <si>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</si>
  <si>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</si>
  <si>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</si>
  <si>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</si>
  <si>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</si>
  <si>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</si>
  <si>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</si>
  <si>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</si>
  <si>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</si>
  <si>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</si>
  <si>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</si>
  <si>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</si>
  <si>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</si>
  <si>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</si>
  <si>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</si>
  <si>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</si>
  <si>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</si>
  <si>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</si>
  <si>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</si>
  <si>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</si>
  <si>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</si>
  <si>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</si>
  <si>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</si>
  <si>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</si>
  <si>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</si>
  <si>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</si>
  <si>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</si>
  <si>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</si>
  <si>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</si>
  <si>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</si>
  <si>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</si>
  <si>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</si>
  <si>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</si>
  <si>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</si>
  <si>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</si>
  <si>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</si>
  <si>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</si>
  <si>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</si>
  <si>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</si>
  <si>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</si>
  <si>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</si>
  <si>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</si>
  <si>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</si>
  <si>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</si>
  <si>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</si>
  <si>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</si>
  <si>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</si>
  <si>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</si>
  <si>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</si>
  <si>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</si>
  <si>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</si>
  <si>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</si>
  <si>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</si>
  <si>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</si>
  <si>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</si>
  <si>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</si>
  <si>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</si>
  <si>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</si>
  <si>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</si>
  <si>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</si>
  <si>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</si>
  <si>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</si>
  <si>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</si>
  <si>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</si>
  <si>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</si>
  <si>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</si>
  <si>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</si>
  <si>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</si>
  <si>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</si>
  <si>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</si>
  <si>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</si>
  <si>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</si>
  <si>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</si>
  <si>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</si>
  <si>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</si>
  <si>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CPF 81 ensemble 010766633 (2010-T1 à 2026-T2)</t>
  </si>
  <si>
    <t xml:space="preserve">https://bdm.insee.fr/series/sdmx/data/IPPS-2021?startPeriod=2000</t>
  </si>
  <si>
    <t xml:space="preserve">V2C §2 §4</t>
  </si>
  <si>
    <t xml:space="preserve">V2C-21</t>
  </si>
  <si>
    <t xml:space="preserve">Plante &amp; Cité, Baromètres — « Parcs et jardins : Temps de travaux pour l'entretien » (données Ville de Rennes, « Coûts de maintenance », 2012, fiche publiée 2017, modifiée 2018) : h/ha/an par code de gestion différenciée</t>
  </si>
  <si>
    <t xml:space="preserve">https://barometres.plante-et-cite.fr/donnees/parcs-jardins-temps-entretien/</t>
  </si>
  <si>
    <t xml:space="preserve">observatoire technique (données de collectivité)</t>
  </si>
  <si>
    <t xml:space="preserve">V2C-22</t>
  </si>
  <si>
    <t xml:space="preserve">Plante &amp; Cité, Baromètres — « Désherbage : Coût annuel » (programme COMPAMED ZNA 2011, évaluation des coûts 2013) : €/100 m²/an par technique</t>
  </si>
  <si>
    <t xml:space="preserve">https://barometres.plante-et-cite.fr/donnees/desherbage-cout-annuel/</t>
  </si>
  <si>
    <t xml:space="preserve">observatoire technique</t>
  </si>
  <si>
    <t xml:space="preserve">V2C-23</t>
  </si>
  <si>
    <t xml:space="preserve">Plante &amp; Cité, Baromètres — « Désherbage : Composantes du coût de l'intervention » (2011, 253 interventions) : part de la main-d'œuvre 60 à 99 %</t>
  </si>
  <si>
    <t xml:space="preserve">https://barometres.plante-et-cite.fr/donnees/desherbage-composition-cout-intervention/</t>
  </si>
  <si>
    <t xml:space="preserve">V2C-24</t>
  </si>
  <si>
    <t xml:space="preserve">France Télévisions (francetvpro) — dossier de presse « Vaux-le-Vicomte, un château de famille », Le Doc du dimanche, France 5, 19 juin 2016 (même document que R4-31, relu pour la part des jardins et l'effectif)</t>
  </si>
  <si>
    <t xml:space="preserve">dossier de presse</t>
  </si>
  <si>
    <t xml:space="preserve">V2C §1 §3</t>
  </si>
  <si>
    <t xml:space="preserve">V2C-25</t>
  </si>
  <si>
    <t xml:space="preserve">Vaux-le-Vicomte (site officiel) — page « Le jardin » : 33 ha de jardin, parc de 500 ha clos par un mur de 13 km, remplacement en 2019 des buis des parterres des boulingrins par une œuvre temporaire</t>
  </si>
  <si>
    <t xml:space="preserve">https://vaux-le-vicomte.com/le-domaine/le-jardin/</t>
  </si>
  <si>
    <t xml:space="preserve">V2C-26</t>
  </si>
  <si>
    <t xml:space="preserve">Service-public.gouv.fr — actualité A18805 « À quelle date l'obligation d'installer un thermostat programmable sera-t-elle effective ? » (17 février 2026) : jusqu'à 15 % d'économie de chauffage selon l'ADEME, report au 1er janvier 2030 (décret n° 2025-1343)</t>
  </si>
  <si>
    <t xml:space="preserve">https://www.service-public.gouv.fr/particuliers/actualites/A18805</t>
  </si>
  <si>
    <t xml:space="preserve">V2C-27</t>
  </si>
  <si>
    <t xml:space="preserve">Service-public.gouv.fr — fiche F33682 « Doit-on obligatoirement entreprendre des travaux d'isolation thermique en cas de rénovation ? » (vérifiée le 20 juin 2025) : MH classés ou inscrits exclus</t>
  </si>
  <si>
    <t xml:space="preserve">https://www.service-public.gouv.fr/particuliers/vosdroits/F33682</t>
  </si>
  <si>
    <t xml:space="preserve">V2C-28</t>
  </si>
  <si>
    <t xml:space="preserve">Wikipédia (fr) — article « Jardin du Luxembourg » : « Il y a 60 jardiniers en 2016 » [réf. nécessaire], 23 ha (21 ouverts au public)</t>
  </si>
  <si>
    <t xml:space="preserve">https://fr.wikipedia.org/wiki/Jardin_du_Luxembourg</t>
  </si>
  <si>
    <t xml:space="preserve">V2C-29</t>
  </si>
  <si>
    <t xml:space="preserve">Entreprendre.service-public.gouv.fr — fiche F1694 « Embauche d'un salarié par un groupement d'employeurs : quelles sont les règles ? » (vérifiée le 12 juin 2026)</t>
  </si>
  <si>
    <t xml:space="preserve">https://entreprendre.service-public.gouv.fr/vosdroits/F1694</t>
  </si>
  <si>
    <t xml:space="preserve">V2C-30</t>
  </si>
  <si>
    <t xml:space="preserve">IGN, Inventaire forestier national — « Mémento 2024 » (72 p.) : production biologique brute 5,4 m³/ha/an, nette 4,4 m³/ha/an (2014-2022)</t>
  </si>
  <si>
    <t xml:space="preserve">https://inventaire-forestier.ign.fr/IMG/pdf/memento_2024.pdf</t>
  </si>
  <si>
    <t xml:space="preserve">statistique officielle (PDF)</t>
  </si>
  <si>
    <t xml:space="preserve">V2C-31</t>
  </si>
  <si>
    <t xml:space="preserve">Parc naturel régional du Morvan — « Le Bois Énergie dans le Morvan » (4 pages, mai 2018) : ≈ 70 000 t de bois par an, équivalent de 19 millions de litres de fioul</t>
  </si>
  <si>
    <t xml:space="preserve">https://www.parcdumorvan.org/wp-content/uploads/2019/07/4pages_bois_energie_morvan_reduit.pdf</t>
  </si>
  <si>
    <t xml:space="preserve">document de parc naturel régional (PDF)</t>
  </si>
  <si>
    <t xml:space="preserve">V2C-32</t>
  </si>
  <si>
    <t xml:space="preserve">Bioénergie Promotion / ADEME PACA — fiches de site de chaufferies bois de 90 à 400 kW (Saignon 100 kW, Luceram 90 kW, Notre-Dame du Laus 2 × 200 kW) : économies annuelles par rapport au fioul (fiches refusées en lecture, 403, chiffres vus seulement dans le résultat de recherche)</t>
  </si>
  <si>
    <t xml:space="preserve">https://bioenergie-promotion.fr/wp-content/uploads/2023/10/fr-06460-luceram-fiche-site-luceram-90kw-froling-mrbe-ademe-paca.pdf</t>
  </si>
  <si>
    <t xml:space="preserve">fiches techniques (PDF)</t>
  </si>
  <si>
    <t xml:space="preserve">V2C-33</t>
  </si>
  <si>
    <t xml:space="preserve">Chambre d'agriculture des Alpes-de-Haute-Provence — fiche « Bilan chaudière M. Michel » (Selonnet, 110 kW, page en 404 à l'ouverture, chiffres vus seulement dans le résultat de recherche)</t>
  </si>
  <si>
    <t xml:space="preserve">https://paca.chambres-agriculture.fr/fileadmin/user_upload/Provence-Alpes-Cote_d_Azur/020_Inst_Paca/CA04/Documents/Actualites/2024/FicheChaudiereBilanMMichel_CA04_VF.pdf</t>
  </si>
  <si>
    <t xml:space="preserve">fiche de chambre d'agriculture</t>
  </si>
  <si>
    <t xml:space="preserve">V2C-34</t>
  </si>
  <si>
    <t xml:space="preserve">Comité des Parcs et Jardins (Champagne-Ardenne) — « Lettre d'automne 2015 » : pyrale du buis, traitement au Bacillus thuringiensis, Ilex crenata en remplacement (aucun coût)</t>
  </si>
  <si>
    <t xml:space="preserve">https://www.parcsetjardins.fr/data/diaries//files/lettre-d-automne-2015.pdf</t>
  </si>
  <si>
    <t xml:space="preserve">lettre d'association (PDF)</t>
  </si>
  <si>
    <t xml:space="preserve">V2C-35</t>
  </si>
  <si>
    <t xml:space="preserve">BOAMP — avis de marchés d'entretien d'espaces verts (ex. Mairie de Panazol, avis 25-42381, accord-cadre de 600 000 € max.) : montants sans surfaces ni prix unitaires</t>
  </si>
  <si>
    <t xml:space="preserve">https://www.boamp.fr/telechargements/FILES/PDF/2025/04/25-42381.pdf</t>
  </si>
  <si>
    <t xml:space="preserve">avis de marché public (PDF)</t>
  </si>
  <si>
    <t xml:space="preserve">V2C §3 (constat d'absence)</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</si>
  <si>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</si>
  <si>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</si>
  <si>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</si>
  <si>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</si>
  <si>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</si>
  <si>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</si>
  <si>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</si>
  <si>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</si>
  <si>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</si>
  <si>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</si>
  <si>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</si>
  <si>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</si>
  <si>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</si>
  <si>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</si>
  <si>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</si>
  <si>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</si>
  <si>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</si>
  <si>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</si>
  <si>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</si>
  <si>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</si>
  <si>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</si>
  <si>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</si>
  <si>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</si>
  <si>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</si>
  <si>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</si>
  <si>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</si>
  <si>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</si>
  <si>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</si>
  <si>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</si>
  <si>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</si>
  <si>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</si>
  <si>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</si>
  <si>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</si>
  <si>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</si>
  <si>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</si>
  <si>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</si>
  <si>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</si>
  <si>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</si>
  <si>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</si>
  <si>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</si>
  <si>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</si>
  <si>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</si>
  <si>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</si>
  <si>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</si>
  <si>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</si>
  <si>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report, transmission, non daté)</t>
  </si>
  <si>
    <t xml:space="preserve">https://www.histoire-patrimoine.fr/actualites/malraux-vs-monument-historique</t>
  </si>
  <si>
    <t xml:space="preserve">§1.4 et Q2 Malraux</t>
  </si>
  <si>
    <t xml:space="preserve">V2D-13</t>
  </si>
  <si>
    <t xml:space="preserve">Galivel et Associés pour Buildinvest, communiqué « Monuments Historiques » (Journées du patrimoine 2020,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</si>
  <si>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</si>
  <si>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</si>
  <si>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</si>
  <si>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</si>
  <si>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</si>
  <si>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</si>
  <si>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</si>
  <si>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</si>
  <si>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</si>
  <si>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</si>
  <si>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</si>
  <si>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</si>
  <si>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</si>
  <si>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</si>
  <si>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</si>
  <si>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</si>
  <si>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</si>
  <si>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</si>
  <si>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</si>
  <si>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</si>
  <si>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</si>
  <si>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</si>
  <si>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</si>
  <si>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</si>
  <si>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</si>
  <si>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</si>
  <si>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</si>
  <si>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</si>
  <si>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</si>
  <si>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</si>
  <si>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</si>
  <si>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</si>
  <si>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</si>
  <si>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</si>
  <si>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</si>
  <si>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</si>
  <si>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</si>
  <si>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</si>
  <si>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</si>
  <si>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aucune commission ni taux de remplissage publiés)</t>
  </si>
  <si>
    <t xml:space="preserve">https://www.lecollectionist.com/fr/proprietaires</t>
  </si>
  <si>
    <t xml:space="preserve">site de plateforme de location de luxe</t>
  </si>
  <si>
    <t xml:space="preserve">§4.2 commission</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</si>
  <si>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</si>
  <si>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</si>
  <si>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</si>
  <si>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</si>
  <si>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</si>
  <si>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</si>
  <si>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</si>
  <si>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</si>
  <si>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</si>
  <si>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</si>
  <si>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</si>
  <si>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</si>
  <si>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</si>
  <si>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</si>
  <si>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</si>
  <si>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</si>
  <si>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</si>
  <si>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</si>
  <si>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études de cas d'occupation 62-80 %, 6 semaines minimum en juillet-août en France, contrat d'un an)</t>
  </si>
  <si>
    <t xml:space="preserve">https://www.oliverstravels.com/list-your-home/</t>
  </si>
  <si>
    <t xml:space="preserve">§4.2 §4.3 §4.4</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</si>
  <si>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</si>
  <si>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</si>
  <si>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</si>
  <si>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</si>
  <si>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</si>
  <si>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page non ouverte)</t>
  </si>
  <si>
    <t xml:space="preserve">https://edito.seloger.com/conseils-d-experts/viager/viager-occupe-ou-nue-propriete-quelle-option-choisir-pour-investir-dans-l-immobilier-article-4224.html</t>
  </si>
  <si>
    <t xml:space="preserve">§3.4 marché</t>
  </si>
  <si>
    <t xml:space="preserve">V2D-31</t>
  </si>
  <si>
    <t xml:space="preserve">Airbnb, centre d'aide : « Airbnb service fees » (frais hôte 3 % en formule partagée, 15,5 % en formule hôte seul, Airbnb Luxe non mentionné)</t>
  </si>
  <si>
    <t xml:space="preserve">https://www.airbnb.com/help/article/1857</t>
  </si>
  <si>
    <t xml:space="preserve">site de plateforme de location</t>
  </si>
  <si>
    <t xml:space="preserve">V2D-32</t>
  </si>
  <si>
    <t xml:space="preserve">Service-public : Faire de sa résidence principale une location de vacances (meublé de tourisme) (F33175, vérifié le 21/05/2026)</t>
  </si>
  <si>
    <t xml:space="preserve">https://www.service-public.gouv.fr/particuliers/vosdroits/F33175</t>
  </si>
  <si>
    <t xml:space="preserve">§4.5 fiscalité et limites</t>
  </si>
  <si>
    <t xml:space="preserve">V2D-33</t>
  </si>
  <si>
    <t xml:space="preserve">Pretto (C. Brezeky, 04/06/2025, mis à jour 18/09/2026) : « Résidence secondaire : cette nouvelle façon d'en profiter sans exploser son budget » (Lazazu, SCI, 8 parts par maison, dès 250 000 €)</t>
  </si>
  <si>
    <t xml:space="preserve">https://www.pretto.fr/actualites/actualites-2025/ils-ont-acheter-a-plusieurs-residence-secondaire/</t>
  </si>
  <si>
    <t xml:space="preserve">presse en ligne (courtier immobilier)</t>
  </si>
  <si>
    <t xml:space="preserve">§5 copropriété partagée</t>
  </si>
  <si>
    <t xml:space="preserve">V2D-34</t>
  </si>
  <si>
    <t xml:space="preserve">Wargny-Lelong et associés, notaires : dépliant « La maison de famille » (indivision contre SCI, gouvernance, clauses d'agrément) (PDF converti localement)</t>
  </si>
  <si>
    <t xml:space="preserve">https://www.wargny-lelong.notaires.fr/depliants-dinformation/gestion-de-patrimoine/la-maison-de-famille/?pdf=778</t>
  </si>
  <si>
    <t xml:space="preserve">office notarial</t>
  </si>
  <si>
    <t xml:space="preserve">§5 gouvernance</t>
  </si>
  <si>
    <t xml:space="preserve">V2D-35</t>
  </si>
  <si>
    <t xml:space="preserve">Le Collectionist : fiche Château Montravel (environs de Bordeaux), 8 chambres, 15 570 à 29 335 € par semaine (octobre 2026)</t>
  </si>
  <si>
    <t xml:space="preserve">https://www.lecollectionist.com/fr/location-luxe/chateau-montravel-environs-de-bordeaux</t>
  </si>
  <si>
    <t xml:space="preserve">§4.1 §4.4</t>
  </si>
  <si>
    <t xml:space="preserve">V2D-36</t>
  </si>
  <si>
    <t xml:space="preserve">Le Collectionist : fiche Château Renaissance (Dordogne), 9 chambres, 12 755 à 15 045 € par semaine sur les semaines affichées (octobre 2026)</t>
  </si>
  <si>
    <t xml:space="preserve">https://www.lecollectionist.com/fr/location-luxe/chateau-renaissance-dordogne-perigord</t>
  </si>
  <si>
    <t xml:space="preserve">§4.1</t>
  </si>
  <si>
    <t xml:space="preserve">V2D-37</t>
  </si>
  <si>
    <t xml:space="preserve">Le Collectionist : fiche Château de la Belle (Dordogne), 11 chambres, 1 850 m², 35 265 à 46 860 € par semaine (octobre 2026)</t>
  </si>
  <si>
    <t xml:space="preserve">https://www.lecollectionist.com/fr/location-luxe/chateau-de-la-belle-dordogne-perigord</t>
  </si>
  <si>
    <t xml:space="preserve">V2D-38</t>
  </si>
  <si>
    <t xml:space="preserve">Le Collectionist : fiche Château Hippolyte (environs de Bordeaux), 14 chambres, 36 615 € par semaine (octobre 2026)</t>
  </si>
  <si>
    <t xml:space="preserve">https://www.lecollectionist.com/fr/location-luxe/chateau-hippolyte-environs-de-bordeaux</t>
  </si>
  <si>
    <t xml:space="preserve">V2D-39</t>
  </si>
  <si>
    <t xml:space="preserve">Résultats de recherche (WebSearch) sur les semaines louées par des propriétaires de châteaux : aucune donnée chiffrée (articles Le Temps, Journal de Morges, Galivel 2011 vus en résultats)</t>
  </si>
  <si>
    <t xml:space="preserve">https://www.letemps.ch/societe/dyverdon-davos-chateaux-louer</t>
  </si>
  <si>
    <t xml:space="preserve">résultat de recherche</t>
  </si>
  <si>
    <t xml:space="preserve">§4.3 (absence de données)</t>
  </si>
  <si>
    <t xml:space="preserve">V2D-40</t>
  </si>
  <si>
    <t xml:space="preserve">Le Collectionist : page destination Dordogne-Périgord (9 châteaux et domaines, capacité, chambres, salles de bains, piscine)</t>
  </si>
  <si>
    <t xml:space="preserve">https://lecollectionist.com/fr/location-villas-luxe/dordogne-perigord</t>
  </si>
  <si>
    <t xml:space="preserve">§4.4 exigences</t>
  </si>
  <si>
    <t xml:space="preserve">V2D-41</t>
  </si>
  <si>
    <t xml:space="preserve">Le Collectionist : page destination Environs de Bordeaux (6 châteaux et domaines, capacité, chambres, salles de bains, piscine)</t>
  </si>
  <si>
    <t xml:space="preserve">https://lecollectionist.com/fr/location-villas-luxe/environs-de-bordeaux</t>
  </si>
  <si>
    <t xml:space="preserve">V2D-42</t>
  </si>
  <si>
    <t xml:space="preserve">API Recherche d'entreprises : requête « histoire et patrimoine » (454 résultats, comptes 2025 publiés de 7 sociétés Histoire &amp; Patrimoine du groupe Altarea)</t>
  </si>
  <si>
    <t xml:space="preserve">https://recherche-entreprises.api.gouv.fr/search?q=histoire%20et%20patrimoine&amp;per_page=25</t>
  </si>
  <si>
    <t xml:space="preserve">§1.1 opérateurs (comptes)</t>
  </si>
  <si>
    <t xml:space="preserve">V2D-43</t>
  </si>
  <si>
    <t xml:space="preserve">Batiweb (C. Decambu, 24/09/2019, mis à jour 01/05/2025) : « Un collectif rachète le château de Panat pour en faire une coopérative d'habitants » (L'Isle-Jourdain, Gers, 14 logements, 1 500 m², travaux 1,5 M€)</t>
  </si>
  <si>
    <t xml:space="preserve">https://www.batiweb.com/actualites/vie-pratique/un-collectif-rachete-le-chateau-de-panat-pour-en-faire-une-cooperative-d-habitants-35254</t>
  </si>
  <si>
    <t xml:space="preserve">presse professionnelle du bâtiment</t>
  </si>
  <si>
    <t xml:space="preserve">§5 exemples</t>
  </si>
  <si>
    <t xml:space="preserve">V2D-44</t>
  </si>
  <si>
    <t xml:space="preserve">MySweetImmo et Perigord Sotheby's International Realty (22/11/2023) : « Dordogne : appartements et maison en copropriété au château Monboucher » (12 logements, 640 000 € et 960 000 €, pièces communes)</t>
  </si>
  <si>
    <t xml:space="preserve">https://www.mysweetimmo.com/2023/11/22/dordogne-appartements-et-maison-en-copropriete-au-chateau-monboucher/</t>
  </si>
  <si>
    <t xml:space="preserve">presse immobilière en ligne (contenu d'agence)</t>
  </si>
  <si>
    <t xml:space="preserve">V2D-45</t>
  </si>
  <si>
    <t xml:space="preserve">Galivel et Associés pour Sarthe Society, communiqué du 12/12/2023 : « Crowdfunding et Monument Historique » (château Fontenay, Sarthe, 11,6 ha, levée de 690 000 € en obligations à 7 % sur Bricks.co, valeur du château environ 2 M€) (PDF converti localement)</t>
  </si>
  <si>
    <t xml:space="preserve">https://galivel.com/media/files/12__cp__ils_le__vent_310_000__en_12h___booster_son_e__pargne_tout_en_sauvegardant_le_patrimoine.pdf</t>
  </si>
  <si>
    <t xml:space="preserve">communiqué de presse de porteur de projet</t>
  </si>
  <si>
    <t xml:space="preserve">§6 autres mécanismes</t>
  </si>
  <si>
    <t xml:space="preserve">V2D-46</t>
  </si>
  <si>
    <t xml:space="preserve">API BODACC (DILA, opendatasoft) : annonces SARTHE SOCIETY, SIREN 980419436 (4 annonces : création 2023, modification 2024, dépôts de comptes 2025 et 2026, aucune procédure collective)</t>
  </si>
  <si>
    <t xml:space="preserve">https://bodacc-datadila.opendatasoft.com/api/explore/v2.1/catalog/datasets/annonces-commerciales/records?where=commercant%20like%20%22%25SARTHE%20SOCIETY%25%22&amp;limit=50</t>
  </si>
  <si>
    <t xml:space="preserve">V2D-47</t>
  </si>
  <si>
    <t xml:space="preserve">Domaine de Courances : page d'accueil du site (menu : visites, mariages, tournages, polo, « La Ferme - Les Appartements INSEAD », « Le Fenil – La Maison des Réunions », pages internes en erreur 404)</t>
  </si>
  <si>
    <t xml:space="preserve">https://www.courances.net/</t>
  </si>
  <si>
    <t xml:space="preserve">§5.1 Courances</t>
  </si>
  <si>
    <t xml:space="preserve">V2V-01</t>
  </si>
  <si>
    <t xml:space="preserve">National Research Council (2001) - Deferred Maintenance Reporting for Federal Facilities, chapitre Inadequate Funding for Maintenance and Repair, p. 46 (rouverture de R1-07, texte HTML extrait par curl)</t>
  </si>
  <si>
    <t xml:space="preserve">rapport académique (États-Unis)</t>
  </si>
  <si>
    <t xml:space="preserve">V2V item 1</t>
  </si>
  <si>
    <t xml:space="preserve">V2V-02</t>
  </si>
  <si>
    <t xml:space="preserve">National Research Council (1990) - Committing to the Cost of Ownership, Front Matter, p. xii, recommandation 1 (image de page GIF lue visuellement, nap.nationalacademies.org/books/9807/gif/R12.gif)</t>
  </si>
  <si>
    <t xml:space="preserve">https://www.nationalacademies.org/read/9807/chapter/1</t>
  </si>
  <si>
    <t xml:space="preserve">V2V item 1 (« absolute minimum value »)</t>
  </si>
  <si>
    <t xml:space="preserve">V2V-03</t>
  </si>
  <si>
    <t xml:space="preserve">National Research Council (1990) - même ouvrage, chapitre 3 The Maintenance and Repair Component of the Cost of Ownership, p. 17-19, et définitions p. 6-7 (images GIF lues visuellement, rouverture de R1-08, URL nap. redirigée vers www.)</t>
  </si>
  <si>
    <t xml:space="preserve">https://www.nationalacademies.org/read/9807/chapter/4</t>
  </si>
  <si>
    <t xml:space="preserve">V2V-04</t>
  </si>
  <si>
    <t xml:space="preserve">Le Figaro (A. Michel) - Comment assurer un bien exceptionnel ? (25/02/2020), coupure de presse du Groupe Mercure (rouverture de R1-26 : curl refusé, PDF obtenu par WebFetch puis pdftotext)</t>
  </si>
  <si>
    <t xml:space="preserve">presse nationale (propos d'un courtier)</t>
  </si>
  <si>
    <t xml:space="preserve">V2V item 2</t>
  </si>
  <si>
    <t xml:space="preserve">V2V-05</t>
  </si>
  <si>
    <t xml:space="preserve">France Épargne - Assurance château 2026 (21/11/2025, mis à jour le 25/05/2026) (rouverture de R1-27)</t>
  </si>
  <si>
    <t xml:space="preserve">site commercial de courtier</t>
  </si>
  <si>
    <t xml:space="preserve">V2V item 3</t>
  </si>
  <si>
    <t xml:space="preserve">V2V-06</t>
  </si>
  <si>
    <t xml:space="preserve">Harlow Consulting pour Historic Houses - VAT-Rebates for Repairs to Publicly Accessible Heritage Sites (janvier 2025), §3.4.2 p. 28-29 et p. 42 (rouverture de R1-05)</t>
  </si>
  <si>
    <t xml:space="preserve">rapport d'étude (association de propriétaires, Royaume-Uni)</t>
  </si>
  <si>
    <t xml:space="preserve">V2V item 4</t>
  </si>
  <si>
    <t xml:space="preserve">V2V-07</t>
  </si>
  <si>
    <t xml:space="preserve">La Demeure Historique - Note Dialogue national de Sécurité - Établissements patrimoniaux (27/05/2019, 3 p.) (rouverture de R1-01)</t>
  </si>
  <si>
    <t xml:space="preserve">note d'association</t>
  </si>
  <si>
    <t xml:space="preserve">V2V item 5</t>
  </si>
  <si>
    <t xml:space="preserve">V2V-08</t>
  </si>
  <si>
    <t xml:space="preserve">Sénat - L'essentiel sur le PLF 2026, avis sur le programme 175 Patrimoines (a25-144-21) (rouverture de R1-34)</t>
  </si>
  <si>
    <t xml:space="preserve">V2V item 6</t>
  </si>
  <si>
    <t xml:space="preserve">V2V-09</t>
  </si>
  <si>
    <t xml:space="preserve">Assemblée nationale - Avis n° 2043 tome III (PLF 2026, programme 175), passage sur les crédits déconcentrés d'intervention (rouverture de R1-33 pour contrôle croisé)</t>
  </si>
  <si>
    <t xml:space="preserve">V2V item 6 (divergence -13 % / -29 %)</t>
  </si>
  <si>
    <t xml:space="preserve">V2V-10</t>
  </si>
  <si>
    <t xml:space="preserve">Assemblée nationale - Question écrite n° 12985 (château d'Olhain), JO 17/02/2026 et réponse JO 28/04/2026 (rouverture de R1-28)</t>
  </si>
  <si>
    <t xml:space="preserve">V2V item 7</t>
  </si>
  <si>
    <t xml:space="preserve">V2V-11</t>
  </si>
  <si>
    <t xml:space="preserve">Service-public.gouv.fr - Quelle évolution pour votre facture d'électricité au 1er août ? (21/07/2026) (rouverture de R1-24)</t>
  </si>
  <si>
    <t xml:space="preserve">V2V item 8</t>
  </si>
  <si>
    <t xml:space="preserve">V2V-12</t>
  </si>
  <si>
    <t xml:space="preserve">Service-public.gouv.fr - Le prix repère de vente de gaz va augmenter de 6,6 % en novembre (12/10/2026) (rouverture de R1-25)</t>
  </si>
  <si>
    <t xml:space="preserve">V2V-13</t>
  </si>
  <si>
    <t xml:space="preserve">Service-public.gouv.fr - Smic, fiche F2300 (vérifiée le 01/06/2026) (rouverture de R2-01)</t>
  </si>
  <si>
    <t xml:space="preserve">V2V item 9</t>
  </si>
  <si>
    <t xml:space="preserve">V2V-14</t>
  </si>
  <si>
    <t xml:space="preserve">Entreprendre.service-public.gouv.fr - Réduction générale dégressive unique, fiche F24542 (vérifiée le 15/06/2026) (rouverture de R2-02)</t>
  </si>
  <si>
    <t xml:space="preserve">V2V-15</t>
  </si>
  <si>
    <t xml:space="preserve">URSSAF mon-entreprise - API publique /api/v1/evaluate, 3 calculs (1, 1,5 et 2,5 SMIC, CDI, effectif 10, règles au 01/07/2026), sans compte ni donnée personnelle (rouverture de R2-11)</t>
  </si>
  <si>
    <t xml:space="preserve">outil officiel de calcul</t>
  </si>
  <si>
    <t xml:space="preserve">V2V item 10</t>
  </si>
  <si>
    <t xml:space="preserve">V2V-16</t>
  </si>
  <si>
    <t xml:space="preserve">France.fr (Atout France) - Dans le secret des jardins de Villandry (17/01/2024) (rouverture de R2-15)</t>
  </si>
  <si>
    <t xml:space="preserve">site institutionnel tourisme</t>
  </si>
  <si>
    <t xml:space="preserve">V2V item 11</t>
  </si>
  <si>
    <t xml:space="preserve">V2V-17</t>
  </si>
  <si>
    <t xml:space="preserve">Guide des coûts de revient des matériels en cuma, Édition Est 2025-2026, fiche Tracteur 100-140 CV p. 49 (rouverture de R2-30, texte extrait par pdftotext)</t>
  </si>
  <si>
    <t xml:space="preserve">organisme professionnel agricole</t>
  </si>
  <si>
    <t xml:space="preserve">V2V item 12</t>
  </si>
  <si>
    <t xml:space="preserve">V2V-18</t>
  </si>
  <si>
    <t xml:space="preserve">Blenheim Palace Heritage Foundation - comptes au 31/03/2025, pages 9, 10, 29 et 43 (scan Companies House lu en image) (rouverture de R5-03)</t>
  </si>
  <si>
    <t xml:space="preserve">comptes audités (registre officiel)</t>
  </si>
  <si>
    <t xml:space="preserve">V2V item 13</t>
  </si>
  <si>
    <t xml:space="preserve">V2V-19</t>
  </si>
  <si>
    <t xml:space="preserve">Chatsworth House Trust - comptes au 31/03/2025, pages imprimées 11, 38 et 40 (PDF p. 13, 40 et 42, scan lu en image) (rouverture de R5-05)</t>
  </si>
  <si>
    <t xml:space="preserve">V2V item 14</t>
  </si>
  <si>
    <t xml:space="preserve">V2V-20</t>
  </si>
  <si>
    <t xml:space="preserve">Burghley House Preservation Trust - rapport et comptes au 31/01/2026, pages imprimées 24 à 26 et 39 (PDF p. 25 à 27 et 40, scan lu en image) (rouverture de R5-07)</t>
  </si>
  <si>
    <t xml:space="preserve">V2V item 15</t>
  </si>
  <si>
    <t xml:space="preserve">V2V-21</t>
  </si>
  <si>
    <t xml:space="preserve">Inosys Réseau Équin - Cas-type EQCE3 Centre équestre tout public Compétition, campagne 2025, tableau 9 Référentiel de produits 2025 (rouverture de R6-02)</t>
  </si>
  <si>
    <t xml:space="preserve">référence technico-économique</t>
  </si>
  <si>
    <t xml:space="preserve">V2V item 16</t>
  </si>
  <si>
    <t xml:space="preserve">V2V-22</t>
  </si>
  <si>
    <t xml:space="preserve">Haras de Jardy - plaquette Pensions chevaux de propriétaires (image JPG lue visuellement) (rouverture de R6-15)</t>
  </si>
  <si>
    <t xml:space="preserve">tarif public d'établissement équestre</t>
  </si>
  <si>
    <t xml:space="preserve">V2V item 17</t>
  </si>
  <si>
    <t xml:space="preserve">V2V-23</t>
  </si>
  <si>
    <t xml:space="preserve">Haras de Jardy - page Les pensions (recherche de l'unité de temps du tarif, absente)</t>
  </si>
  <si>
    <t xml:space="preserve">https://harasdejardy.com/les-pensions/</t>
  </si>
  <si>
    <t xml:space="preserve">site d'établissement équestre</t>
  </si>
  <si>
    <t xml:space="preserve">V2V-24</t>
  </si>
  <si>
    <t xml:space="preserve">Réseau Équin - Synthèse nationale 2023, repères technico-économiques 2021, p. 16 et tableau des 26 écuries de pension (rouverture de R6-03)</t>
  </si>
  <si>
    <t xml:space="preserve">V2V item 18</t>
  </si>
  <si>
    <t xml:space="preserve">V2V-25</t>
  </si>
  <si>
    <t xml:space="preserve">Ville de Paris - Avis d'appel public à candidature, centre équestre de la Cartoucherie (08/01/2021) (rouverture de R6-25)</t>
  </si>
  <si>
    <t xml:space="preserve">acte administratif</t>
  </si>
  <si>
    <t xml:space="preserve">V2V item 19</t>
  </si>
  <si>
    <t xml:space="preserve">V2V-26</t>
  </si>
  <si>
    <t xml:space="preserve">Mariages.net - annuaire Château mariage, compteur 1.382 résultats (WebFetch, curl refusé 403) (rouverture de R7-05)</t>
  </si>
  <si>
    <t xml:space="preserve">V2V item 20</t>
  </si>
  <si>
    <t xml:space="preserve">V2V-27</t>
  </si>
  <si>
    <t xml:space="preserve">Mariages.net - annuaire Domaine mariage, compteur 3.769 résultats (WebFetch, curl refusé 403) (rouverture de R7-06)</t>
  </si>
  <si>
    <t xml:space="preserve">V2V-28</t>
  </si>
  <si>
    <t xml:space="preserve">API Recherche d'entreprises - requête chateauform (Châteauform' France SIREN 402559595, finances 2025) (contrôle de R7-63)</t>
  </si>
  <si>
    <t xml:space="preserve">registre officiel (API publique)</t>
  </si>
  <si>
    <t xml:space="preserve">V2V item 21</t>
  </si>
  <si>
    <t xml:space="preserve">V2V-29</t>
  </si>
  <si>
    <t xml:space="preserve">UMIH-GNC - Observatoire mensuel des performances hôtelières, décembre 2025 (MKG_destination), tableaux départementaux cumulés (rouverture de R7-38)</t>
  </si>
  <si>
    <t xml:space="preserve">organisation professionnelle</t>
  </si>
  <si>
    <t xml:space="preserve">V2V item 22</t>
  </si>
  <si>
    <t xml:space="preserve">V2V-30</t>
  </si>
  <si>
    <t xml:space="preserve">L'Hôtellerie Restauration - L'hôtel Louise de la Vallière, un château comme à l'époque royale (18/10/2022) (rouverture de R7-41)</t>
  </si>
  <si>
    <t xml:space="preserve">V2V item 23</t>
  </si>
  <si>
    <t xml:space="preserve">V2V-31</t>
  </si>
  <si>
    <t xml:space="preserve">Centre des monuments nationaux - Grille tarifaire tournages et prises de vue CMN 2024 (rouverture de R7-12)</t>
  </si>
  <si>
    <t xml:space="preserve">V2V item 24</t>
  </si>
  <si>
    <t xml:space="preserve">V2V-32</t>
  </si>
  <si>
    <t xml:space="preserve">API Recherche d'entreprises - requête domaine des etangs, CP 16310 (rouverture de R4-08)</t>
  </si>
  <si>
    <t xml:space="preserve">V2V item 25</t>
  </si>
  <si>
    <t xml:space="preserve">V2V-33</t>
  </si>
  <si>
    <t xml:space="preserve">API Recherche d'entreprises - chateau + NAF 55.10Z + CA &gt;= 1 M€, pages 1 et 2 (50 premiers résultats sur 105) (rouverture de R4-34 et R4-35, calcul refait)</t>
  </si>
  <si>
    <t xml:space="preserve">V2V item 26</t>
  </si>
  <si>
    <t xml:space="preserve">V2V-34</t>
  </si>
  <si>
    <t xml:space="preserve">API Recherche d'entreprises - même requête, pages 3 à 5 (résultats 51 à 105, contrôle de sensibilité)</t>
  </si>
  <si>
    <t xml:space="preserve">https://recherche-entreprises.api.gouv.fr/search?q=chateau&amp;activite_principale=55.10Z&amp;ca_min=1000000&amp;per_page=25&amp;page=3</t>
  </si>
  <si>
    <t xml:space="preserve">V2V-35</t>
  </si>
  <si>
    <t xml:space="preserve">data.gouv.fr - Carte des loyers, indicateurs de loyers d'annonce par commune en 2025, page de présentation (rouverture de R8-22)</t>
  </si>
  <si>
    <t xml:space="preserve">V2V item 27</t>
  </si>
  <si>
    <t xml:space="preserve">V2V-36</t>
  </si>
  <si>
    <t xml:space="preserve">data.gouv.fr - fichier maisons pred-mai-mef-dhup.csv, lu en entier (34 900 communes) (rouverture de R8-23)</t>
  </si>
  <si>
    <t xml:space="preserve">V2V-37</t>
  </si>
  <si>
    <t xml:space="preserve">CAUE 74 - Références 2025, Réhabilitation ancienne ferme, Le Biot (rouverture de R8-24)</t>
  </si>
  <si>
    <t xml:space="preserve">organisme public de conseil</t>
  </si>
  <si>
    <t xml:space="preserve">V2V-38</t>
  </si>
  <si>
    <t xml:space="preserve">2025 NACUBO-Commonfund Study of Endowments - Summary and Key Insights (rouverture de R8-34)</t>
  </si>
  <si>
    <t xml:space="preserve">étude annuelle de référence</t>
  </si>
  <si>
    <t xml:space="preserve">V2V item 28</t>
  </si>
  <si>
    <t xml:space="preserve">V2V-39</t>
  </si>
  <si>
    <t xml:space="preserve">UBS - Global Investment Returns Yearbook 2025, page de présentation (WebFetch, curl refusé 403) (rouverture de R8-32)</t>
  </si>
  <si>
    <t xml:space="preserve">V2V-40</t>
  </si>
  <si>
    <t xml:space="preserve">Argos Index mid-market, 2e trimestre 2026 (rouverture de R8-35)</t>
  </si>
  <si>
    <t xml:space="preserve">indice de référence</t>
  </si>
  <si>
    <t xml:space="preserve">V2V-41</t>
  </si>
  <si>
    <t xml:space="preserve">Assemblée nationale - Question écrite n° 75244 (12e législature), transmission, 11/10/2005 (rouverture de R8-36)</t>
  </si>
  <si>
    <t xml:space="preserve">question parlementaire citant OSEO-BDPME</t>
  </si>
  <si>
    <t xml:space="preserve">V2V-42</t>
  </si>
  <si>
    <t xml:space="preserve">Service-public.gouv.fr - Prélèvements sociaux sur les revenus du patrimoine et de placements, F2329 (vérifiée le 30/06/2026) (rouverture de R3-16)</t>
  </si>
  <si>
    <t xml:space="preserve">V2V item 29</t>
  </si>
  <si>
    <t xml:space="preserve">V2V-43</t>
  </si>
  <si>
    <t xml:space="preserve">Entreprendre.service-public.gouv.fr - Revenus du dirigeant d'une société, F36065 (rouverture de R3-57)</t>
  </si>
  <si>
    <t xml:space="preserve">V2V-44</t>
  </si>
  <si>
    <t xml:space="preserve">Service-public.gouv.fr - IFI : personnes et biens concernés, F563 (vérifiée le 06/03/2026) (rouverture de R3-01)</t>
  </si>
  <si>
    <t xml:space="preserve">V2V-45</t>
  </si>
  <si>
    <t xml:space="preserve">Service-public.gouv.fr - Calcul de l'IFI, F138 (vérifiée le 06/03/2026) (rouverture de R3-15)</t>
  </si>
  <si>
    <t xml:space="preserve">V2V-46</t>
  </si>
  <si>
    <t xml:space="preserve">BOFiP - BOI-RFPI-SPEC-30-20-10-20181219, export PDF, § 105 (rouverture de R3-04)</t>
  </si>
  <si>
    <t xml:space="preserve">https://bofip.impots.gouv.fr/export/pdf/5746</t>
  </si>
  <si>
    <t xml:space="preserve">V2V-47</t>
  </si>
  <si>
    <t xml:space="preserve">Simon Associés - Lettre de la fiscalité février 2026, loi de finances pour 2026, taxe sur les holdings patrimoniales (rouverture de R3-18)</t>
  </si>
  <si>
    <t xml:space="preserve">V2V item 30</t>
  </si>
  <si>
    <t xml:space="preserve">V2V-48</t>
  </si>
  <si>
    <t xml:space="preserve">Banque de France - Projections macroéconomiques intermédiaires, 15 septembre 2026 (page HTML par WebFetch et PDF officiel /system/files/2026-09/Projections_macroeconomiques_Septembre_2026.pdf converti par pdftotext, curl refusé 403) (rouverture de D-01)</t>
  </si>
  <si>
    <t xml:space="preserve">V2V item 31</t>
  </si>
  <si>
    <t xml:space="preserve">V2V-49</t>
  </si>
  <si>
    <t xml:space="preserve">MySweetImmo (17/09/2026) citant Kretz Real Estate - pourquoi vendre un château peut prendre 2 ans (rouverture de D-02)</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</si>
</sst>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35.0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91"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0</v>
      </c>
      <c r="D34" s="14" t="n">
        <v>0</v>
      </c>
      <c r="E34" s="14" t="n">
        <v>0</v>
      </c>
      <c r="F34" s="2" t="s">
        <v>113</v>
      </c>
      <c r="G34" s="7" t="s">
        <v>25</v>
      </c>
      <c r="H34" s="2"/>
      <c r="I34" s="8" t="s">
        <v>114</v>
      </c>
      <c r="J34" s="2" t="s">
        <v>115</v>
      </c>
    </row>
    <row r="35" customFormat="false" ht="15" hidden="false" customHeight="false" outlineLevel="0" collapsed="false">
      <c r="A35" s="2" t="s">
        <v>118</v>
      </c>
      <c r="B35" s="2" t="s">
        <v>119</v>
      </c>
      <c r="C35" s="14" t="n">
        <v>1</v>
      </c>
      <c r="D35" s="14" t="n">
        <v>1</v>
      </c>
      <c r="E35" s="14" t="n">
        <v>1</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0</v>
      </c>
      <c r="D37" s="14" t="n">
        <v>0</v>
      </c>
      <c r="E37" s="14" t="n">
        <v>0</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1</v>
      </c>
      <c r="D39" s="14" t="n">
        <v>1</v>
      </c>
      <c r="E39" s="14" t="n">
        <v>1</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0</v>
      </c>
      <c r="D42" s="14" t="n">
        <v>0</v>
      </c>
      <c r="E42" s="14" t="n">
        <v>0</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1</v>
      </c>
      <c r="D45" s="14" t="n">
        <v>1</v>
      </c>
      <c r="E45" s="14" t="n">
        <v>1</v>
      </c>
      <c r="F45" s="2" t="s">
        <v>113</v>
      </c>
      <c r="G45" s="7" t="s">
        <v>25</v>
      </c>
      <c r="H45" s="2"/>
      <c r="I45" s="8" t="s">
        <v>114</v>
      </c>
      <c r="J45" s="2" t="s">
        <v>115</v>
      </c>
    </row>
    <row r="46" customFormat="false" ht="15" hidden="false" customHeight="false" outlineLevel="0" collapsed="false">
      <c r="A46" s="2" t="s">
        <v>140</v>
      </c>
      <c r="B46" s="2" t="s">
        <v>141</v>
      </c>
      <c r="C46" s="14" t="n">
        <v>0</v>
      </c>
      <c r="D46" s="14" t="n">
        <v>0</v>
      </c>
      <c r="E46" s="14" t="n">
        <v>0</v>
      </c>
      <c r="F46" s="2" t="s">
        <v>113</v>
      </c>
      <c r="G46" s="7" t="s">
        <v>25</v>
      </c>
      <c r="H46" s="2"/>
      <c r="I46" s="8" t="s">
        <v>114</v>
      </c>
      <c r="J46" s="2" t="s">
        <v>115</v>
      </c>
    </row>
    <row r="47" customFormat="false" ht="15" hidden="false" customHeight="false" outlineLevel="0" collapsed="false">
      <c r="A47" s="2" t="s">
        <v>142</v>
      </c>
      <c r="B47" s="2" t="s">
        <v>143</v>
      </c>
      <c r="C47" s="14" t="n">
        <v>0</v>
      </c>
      <c r="D47" s="14" t="n">
        <v>0</v>
      </c>
      <c r="E47" s="14" t="n">
        <v>0</v>
      </c>
      <c r="F47" s="2" t="s">
        <v>113</v>
      </c>
      <c r="G47" s="7" t="s">
        <v>25</v>
      </c>
      <c r="H47" s="2"/>
      <c r="I47" s="8" t="s">
        <v>114</v>
      </c>
      <c r="J47" s="2" t="s">
        <v>115</v>
      </c>
    </row>
    <row r="48" customFormat="false" ht="15" hidden="false" customHeight="false" outlineLevel="0" collapsed="false">
      <c r="A48" s="2" t="s">
        <v>144</v>
      </c>
      <c r="B48" s="2" t="s">
        <v>145</v>
      </c>
      <c r="C48" s="14" t="n">
        <v>1</v>
      </c>
      <c r="D48" s="14" t="n">
        <v>1</v>
      </c>
      <c r="E48" s="14" t="n">
        <v>1</v>
      </c>
      <c r="F48" s="2" t="s">
        <v>113</v>
      </c>
      <c r="G48" s="7" t="s">
        <v>25</v>
      </c>
      <c r="H48" s="2"/>
      <c r="I48" s="8" t="s">
        <v>114</v>
      </c>
      <c r="J48" s="2" t="s">
        <v>115</v>
      </c>
    </row>
    <row r="49" customFormat="false" ht="15" hidden="false" customHeight="false" outlineLevel="0" collapsed="false">
      <c r="A49" s="2" t="s">
        <v>146</v>
      </c>
      <c r="B49" s="2" t="s">
        <v>147</v>
      </c>
      <c r="C49" s="14" t="n">
        <v>1</v>
      </c>
      <c r="D49" s="14" t="n">
        <v>1</v>
      </c>
      <c r="E49" s="14" t="n">
        <v>1</v>
      </c>
      <c r="F49" s="2" t="s">
        <v>113</v>
      </c>
      <c r="G49" s="7" t="s">
        <v>25</v>
      </c>
      <c r="H49" s="2"/>
      <c r="I49" s="8" t="s">
        <v>114</v>
      </c>
      <c r="J49" s="2" t="s">
        <v>115</v>
      </c>
    </row>
    <row r="50" customFormat="false" ht="15" hidden="false" customHeight="false" outlineLevel="0" collapsed="false">
      <c r="A50" s="2" t="s">
        <v>148</v>
      </c>
      <c r="B50" s="2" t="s">
        <v>149</v>
      </c>
      <c r="C50" s="14" t="n">
        <v>0</v>
      </c>
      <c r="D50" s="14" t="n">
        <v>0</v>
      </c>
      <c r="E50" s="14" t="n">
        <v>0</v>
      </c>
      <c r="F50" s="2" t="s">
        <v>113</v>
      </c>
      <c r="G50" s="7" t="s">
        <v>25</v>
      </c>
      <c r="H50" s="2"/>
      <c r="I50" s="8" t="s">
        <v>150</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150</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150</v>
      </c>
      <c r="J52" s="2" t="s">
        <v>115</v>
      </c>
    </row>
    <row r="53" customFormat="false" ht="15" hidden="false" customHeight="false" outlineLevel="0" collapsed="false">
      <c r="A53" s="2" t="s">
        <v>155</v>
      </c>
      <c r="B53" s="2" t="s">
        <v>156</v>
      </c>
      <c r="C53" s="14" t="n">
        <v>0</v>
      </c>
      <c r="D53" s="14" t="n">
        <v>0</v>
      </c>
      <c r="E53" s="14" t="n">
        <v>0</v>
      </c>
      <c r="F53" s="2" t="s">
        <v>113</v>
      </c>
      <c r="G53" s="7" t="s">
        <v>25</v>
      </c>
      <c r="H53" s="2"/>
      <c r="I53" s="8" t="s">
        <v>150</v>
      </c>
      <c r="J53" s="2" t="s">
        <v>115</v>
      </c>
    </row>
    <row r="54" customFormat="false" ht="15" hidden="false" customHeight="false" outlineLevel="0" collapsed="false">
      <c r="A54" s="2" t="s">
        <v>157</v>
      </c>
      <c r="B54" s="2" t="s">
        <v>158</v>
      </c>
      <c r="C54" s="14" t="n">
        <v>0</v>
      </c>
      <c r="D54" s="14" t="n">
        <v>0</v>
      </c>
      <c r="E54" s="14" t="n">
        <v>0</v>
      </c>
      <c r="F54" s="2" t="s">
        <v>113</v>
      </c>
      <c r="G54" s="7" t="s">
        <v>25</v>
      </c>
      <c r="H54" s="2"/>
      <c r="I54" s="8" t="s">
        <v>150</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150</v>
      </c>
      <c r="J55" s="2" t="s">
        <v>115</v>
      </c>
    </row>
    <row r="56" customFormat="false" ht="15" hidden="false" customHeight="false" outlineLevel="0" collapsed="false">
      <c r="A56" s="2" t="s">
        <v>161</v>
      </c>
      <c r="B56" s="2" t="s">
        <v>162</v>
      </c>
      <c r="C56" s="14" t="n">
        <v>1</v>
      </c>
      <c r="D56" s="14" t="n">
        <v>1</v>
      </c>
      <c r="E56" s="14" t="n">
        <v>1</v>
      </c>
      <c r="F56" s="2" t="s">
        <v>113</v>
      </c>
      <c r="G56" s="7" t="s">
        <v>25</v>
      </c>
      <c r="H56" s="2"/>
      <c r="I56" s="8" t="s">
        <v>150</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150</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150</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150</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150</v>
      </c>
      <c r="J60" s="2" t="s">
        <v>115</v>
      </c>
    </row>
    <row r="61" customFormat="false" ht="15" hidden="false" customHeight="false" outlineLevel="0" collapsed="false">
      <c r="A61" s="2" t="s">
        <v>171</v>
      </c>
      <c r="B61" s="2" t="s">
        <v>172</v>
      </c>
      <c r="C61" s="14" t="n">
        <v>0</v>
      </c>
      <c r="D61" s="14" t="n">
        <v>0</v>
      </c>
      <c r="E61" s="14" t="n">
        <v>0</v>
      </c>
      <c r="F61" s="2" t="s">
        <v>113</v>
      </c>
      <c r="G61" s="7" t="s">
        <v>25</v>
      </c>
      <c r="H61" s="2"/>
      <c r="I61" s="8" t="s">
        <v>150</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150</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150</v>
      </c>
      <c r="J63" s="2" t="s">
        <v>115</v>
      </c>
    </row>
    <row r="64" customFormat="false" ht="15" hidden="false" customHeight="false" outlineLevel="0" collapsed="false">
      <c r="A64" s="2" t="s">
        <v>177</v>
      </c>
      <c r="B64" s="2" t="s">
        <v>178</v>
      </c>
      <c r="C64" s="14" t="n">
        <v>1</v>
      </c>
      <c r="D64" s="14" t="n">
        <v>1</v>
      </c>
      <c r="E64" s="14" t="n">
        <v>1</v>
      </c>
      <c r="F64" s="2" t="s">
        <v>113</v>
      </c>
      <c r="G64" s="7" t="s">
        <v>25</v>
      </c>
      <c r="H64" s="2"/>
      <c r="I64" s="8" t="s">
        <v>150</v>
      </c>
      <c r="J64" s="2" t="s">
        <v>115</v>
      </c>
    </row>
    <row r="65" customFormat="false" ht="15" hidden="false" customHeight="false" outlineLevel="0" collapsed="false">
      <c r="A65" s="2" t="s">
        <v>179</v>
      </c>
      <c r="B65" s="2" t="s">
        <v>180</v>
      </c>
      <c r="C65" s="14" t="n">
        <v>1</v>
      </c>
      <c r="D65" s="14" t="n">
        <v>1</v>
      </c>
      <c r="E65" s="14" t="n">
        <v>1</v>
      </c>
      <c r="F65" s="2" t="s">
        <v>113</v>
      </c>
      <c r="G65" s="7" t="s">
        <v>25</v>
      </c>
      <c r="H65" s="2"/>
      <c r="I65" s="8" t="s">
        <v>150</v>
      </c>
      <c r="J65" s="2" t="s">
        <v>115</v>
      </c>
    </row>
    <row r="66" customFormat="false" ht="15" hidden="false" customHeight="false" outlineLevel="0" collapsed="false">
      <c r="A66" s="2" t="s">
        <v>181</v>
      </c>
      <c r="B66" s="2" t="s">
        <v>182</v>
      </c>
      <c r="C66" s="14" t="n">
        <v>1</v>
      </c>
      <c r="D66" s="14" t="n">
        <v>1</v>
      </c>
      <c r="E66" s="14" t="n">
        <v>1</v>
      </c>
      <c r="F66" s="2" t="s">
        <v>113</v>
      </c>
      <c r="G66" s="7" t="s">
        <v>25</v>
      </c>
      <c r="H66" s="2"/>
      <c r="I66" s="8" t="s">
        <v>150</v>
      </c>
      <c r="J66" s="2" t="s">
        <v>115</v>
      </c>
    </row>
    <row r="67" customFormat="false" ht="15" hidden="false" customHeight="false" outlineLevel="0" collapsed="false">
      <c r="A67" s="2" t="s">
        <v>183</v>
      </c>
      <c r="B67" s="2" t="s">
        <v>184</v>
      </c>
      <c r="C67" s="14" t="n">
        <v>0</v>
      </c>
      <c r="D67" s="14" t="n">
        <v>0</v>
      </c>
      <c r="E67" s="14" t="n">
        <v>0</v>
      </c>
      <c r="F67" s="2" t="s">
        <v>113</v>
      </c>
      <c r="G67" s="7" t="s">
        <v>25</v>
      </c>
      <c r="H67" s="2"/>
      <c r="I67" s="8" t="s">
        <v>185</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185</v>
      </c>
      <c r="J68" s="2" t="s">
        <v>115</v>
      </c>
    </row>
    <row r="69" customFormat="false" ht="15" hidden="false" customHeight="false" outlineLevel="0" collapsed="false">
      <c r="A69" s="2" t="s">
        <v>188</v>
      </c>
      <c r="B69" s="2" t="s">
        <v>189</v>
      </c>
      <c r="C69" s="14" t="n">
        <v>1</v>
      </c>
      <c r="D69" s="14" t="n">
        <v>1</v>
      </c>
      <c r="E69" s="14" t="n">
        <v>1</v>
      </c>
      <c r="F69" s="2" t="s">
        <v>113</v>
      </c>
      <c r="G69" s="7" t="s">
        <v>25</v>
      </c>
      <c r="H69" s="2"/>
      <c r="I69" s="8" t="s">
        <v>185</v>
      </c>
      <c r="J69" s="2" t="s">
        <v>115</v>
      </c>
    </row>
    <row r="70" customFormat="false" ht="15" hidden="false" customHeight="false" outlineLevel="0" collapsed="false">
      <c r="A70" s="2" t="s">
        <v>190</v>
      </c>
      <c r="B70" s="2" t="s">
        <v>191</v>
      </c>
      <c r="C70" s="14" t="n">
        <v>1</v>
      </c>
      <c r="D70" s="14" t="n">
        <v>1</v>
      </c>
      <c r="E70" s="14" t="n">
        <v>1</v>
      </c>
      <c r="F70" s="2" t="s">
        <v>113</v>
      </c>
      <c r="G70" s="7" t="s">
        <v>25</v>
      </c>
      <c r="H70" s="2"/>
      <c r="I70" s="8" t="s">
        <v>185</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185</v>
      </c>
      <c r="J71" s="2" t="s">
        <v>115</v>
      </c>
    </row>
    <row r="72" customFormat="false" ht="15" hidden="false" customHeight="false" outlineLevel="0" collapsed="false">
      <c r="A72" s="2" t="s">
        <v>194</v>
      </c>
      <c r="B72" s="2" t="s">
        <v>195</v>
      </c>
      <c r="C72" s="14" t="n">
        <v>1</v>
      </c>
      <c r="D72" s="14" t="n">
        <v>1</v>
      </c>
      <c r="E72" s="14" t="n">
        <v>1</v>
      </c>
      <c r="F72" s="2" t="s">
        <v>113</v>
      </c>
      <c r="G72" s="7" t="s">
        <v>25</v>
      </c>
      <c r="H72" s="2"/>
      <c r="I72" s="8" t="s">
        <v>185</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185</v>
      </c>
      <c r="J73" s="2" t="s">
        <v>115</v>
      </c>
    </row>
    <row r="74" customFormat="false" ht="15" hidden="false" customHeight="false" outlineLevel="0" collapsed="false">
      <c r="A74" s="2" t="s">
        <v>198</v>
      </c>
      <c r="B74" s="2" t="s">
        <v>199</v>
      </c>
      <c r="C74" s="14" t="n">
        <v>0</v>
      </c>
      <c r="D74" s="14" t="n">
        <v>0</v>
      </c>
      <c r="E74" s="14" t="n">
        <v>0</v>
      </c>
      <c r="F74" s="2" t="s">
        <v>113</v>
      </c>
      <c r="G74" s="7" t="s">
        <v>25</v>
      </c>
      <c r="H74" s="2"/>
      <c r="I74" s="8" t="s">
        <v>185</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185</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185</v>
      </c>
      <c r="J76" s="2" t="s">
        <v>115</v>
      </c>
    </row>
    <row r="77" customFormat="false" ht="15" hidden="false" customHeight="false" outlineLevel="0" collapsed="false">
      <c r="A77" s="2" t="s">
        <v>204</v>
      </c>
      <c r="B77" s="2" t="s">
        <v>205</v>
      </c>
      <c r="C77" s="14" t="n">
        <v>0</v>
      </c>
      <c r="D77" s="14" t="n">
        <v>0</v>
      </c>
      <c r="E77" s="14" t="n">
        <v>0</v>
      </c>
      <c r="F77" s="2" t="s">
        <v>113</v>
      </c>
      <c r="G77" s="7" t="s">
        <v>25</v>
      </c>
      <c r="H77" s="2"/>
      <c r="I77" s="8" t="s">
        <v>185</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185</v>
      </c>
      <c r="J78" s="2" t="s">
        <v>115</v>
      </c>
    </row>
    <row r="79" customFormat="false" ht="15" hidden="false" customHeight="false" outlineLevel="0" collapsed="false">
      <c r="A79" s="2" t="s">
        <v>208</v>
      </c>
      <c r="B79" s="2" t="s">
        <v>209</v>
      </c>
      <c r="C79" s="14" t="n">
        <v>0</v>
      </c>
      <c r="D79" s="14" t="n">
        <v>0</v>
      </c>
      <c r="E79" s="14" t="n">
        <v>0</v>
      </c>
      <c r="F79" s="2" t="s">
        <v>113</v>
      </c>
      <c r="G79" s="7" t="s">
        <v>25</v>
      </c>
      <c r="H79" s="2"/>
      <c r="I79" s="8" t="s">
        <v>185</v>
      </c>
      <c r="J79" s="2" t="s">
        <v>115</v>
      </c>
    </row>
    <row r="80" customFormat="false" ht="15" hidden="false" customHeight="false" outlineLevel="0" collapsed="false">
      <c r="A80" s="2" t="s">
        <v>210</v>
      </c>
      <c r="B80" s="2" t="s">
        <v>211</v>
      </c>
      <c r="C80" s="14" t="n">
        <v>1</v>
      </c>
      <c r="D80" s="14" t="n">
        <v>1</v>
      </c>
      <c r="E80" s="14" t="n">
        <v>1</v>
      </c>
      <c r="F80" s="2" t="s">
        <v>113</v>
      </c>
      <c r="G80" s="7" t="s">
        <v>25</v>
      </c>
      <c r="H80" s="2"/>
      <c r="I80" s="8" t="s">
        <v>185</v>
      </c>
      <c r="J80" s="2" t="s">
        <v>115</v>
      </c>
    </row>
    <row r="81" customFormat="false" ht="15" hidden="false" customHeight="false" outlineLevel="0" collapsed="false">
      <c r="A81" s="2" t="s">
        <v>212</v>
      </c>
      <c r="B81" s="2" t="s">
        <v>213</v>
      </c>
      <c r="C81" s="14" t="n">
        <v>0</v>
      </c>
      <c r="D81" s="14" t="n">
        <v>0</v>
      </c>
      <c r="E81" s="14" t="n">
        <v>0</v>
      </c>
      <c r="F81" s="2" t="s">
        <v>113</v>
      </c>
      <c r="G81" s="7" t="s">
        <v>25</v>
      </c>
      <c r="H81" s="2"/>
      <c r="I81" s="8" t="s">
        <v>185</v>
      </c>
      <c r="J81" s="2" t="s">
        <v>115</v>
      </c>
    </row>
    <row r="82" customFormat="false" ht="15" hidden="false" customHeight="false" outlineLevel="0" collapsed="false">
      <c r="A82" s="2" t="s">
        <v>214</v>
      </c>
      <c r="B82" s="2" t="s">
        <v>215</v>
      </c>
      <c r="C82" s="14" t="n">
        <v>0</v>
      </c>
      <c r="D82" s="14" t="n">
        <v>0</v>
      </c>
      <c r="E82" s="14" t="n">
        <v>0</v>
      </c>
      <c r="F82" s="2" t="s">
        <v>113</v>
      </c>
      <c r="G82" s="7" t="s">
        <v>25</v>
      </c>
      <c r="H82" s="2"/>
      <c r="I82" s="8" t="s">
        <v>185</v>
      </c>
      <c r="J82" s="2" t="s">
        <v>115</v>
      </c>
    </row>
    <row r="83" customFormat="false" ht="15" hidden="false" customHeight="false" outlineLevel="0" collapsed="false">
      <c r="A83" s="2" t="s">
        <v>216</v>
      </c>
      <c r="B83" s="2" t="s">
        <v>217</v>
      </c>
      <c r="C83" s="14" t="n">
        <v>1</v>
      </c>
      <c r="D83" s="14" t="n">
        <v>1</v>
      </c>
      <c r="E83" s="14" t="n">
        <v>1</v>
      </c>
      <c r="F83" s="2" t="s">
        <v>113</v>
      </c>
      <c r="G83" s="7" t="s">
        <v>25</v>
      </c>
      <c r="H83" s="2"/>
      <c r="I83" s="8" t="s">
        <v>185</v>
      </c>
      <c r="J83" s="2" t="s">
        <v>115</v>
      </c>
    </row>
    <row r="84" customFormat="false" ht="15" hidden="false" customHeight="false" outlineLevel="0" collapsed="false">
      <c r="A84" s="2" t="s">
        <v>218</v>
      </c>
      <c r="B84" s="2" t="s">
        <v>219</v>
      </c>
      <c r="C84" s="14" t="n">
        <v>0</v>
      </c>
      <c r="D84" s="14" t="n">
        <v>0</v>
      </c>
      <c r="E84" s="14" t="n">
        <v>0</v>
      </c>
      <c r="F84" s="2" t="s">
        <v>113</v>
      </c>
      <c r="G84" s="7" t="s">
        <v>25</v>
      </c>
      <c r="H84" s="2"/>
      <c r="I84" s="8" t="s">
        <v>220</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220</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220</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220</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220</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220</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220</v>
      </c>
      <c r="J90" s="2" t="s">
        <v>115</v>
      </c>
    </row>
    <row r="91" customFormat="false" ht="15" hidden="false" customHeight="false" outlineLevel="0" collapsed="false">
      <c r="A91" s="2" t="s">
        <v>233</v>
      </c>
      <c r="B91" s="2" t="s">
        <v>234</v>
      </c>
      <c r="C91" s="14" t="n">
        <v>1</v>
      </c>
      <c r="D91" s="14" t="n">
        <v>1</v>
      </c>
      <c r="E91" s="14" t="n">
        <v>1</v>
      </c>
      <c r="F91" s="2" t="s">
        <v>113</v>
      </c>
      <c r="G91" s="7" t="s">
        <v>25</v>
      </c>
      <c r="H91" s="2"/>
      <c r="I91" s="8" t="s">
        <v>220</v>
      </c>
      <c r="J91" s="2" t="s">
        <v>115</v>
      </c>
    </row>
    <row r="92" customFormat="false" ht="15" hidden="false" customHeight="false" outlineLevel="0" collapsed="false">
      <c r="A92" s="2" t="s">
        <v>235</v>
      </c>
      <c r="B92" s="2" t="s">
        <v>236</v>
      </c>
      <c r="C92" s="14" t="n">
        <v>0</v>
      </c>
      <c r="D92" s="14" t="n">
        <v>0</v>
      </c>
      <c r="E92" s="14" t="n">
        <v>0</v>
      </c>
      <c r="F92" s="2" t="s">
        <v>113</v>
      </c>
      <c r="G92" s="7" t="s">
        <v>25</v>
      </c>
      <c r="H92" s="2"/>
      <c r="I92" s="8" t="s">
        <v>220</v>
      </c>
      <c r="J92" s="2" t="s">
        <v>115</v>
      </c>
    </row>
    <row r="93" customFormat="false" ht="15" hidden="false" customHeight="false" outlineLevel="0" collapsed="false">
      <c r="A93" s="2" t="s">
        <v>237</v>
      </c>
      <c r="B93" s="2" t="s">
        <v>238</v>
      </c>
      <c r="C93" s="14" t="n">
        <v>1</v>
      </c>
      <c r="D93" s="14" t="n">
        <v>1</v>
      </c>
      <c r="E93" s="14" t="n">
        <v>1</v>
      </c>
      <c r="F93" s="2" t="s">
        <v>113</v>
      </c>
      <c r="G93" s="7" t="s">
        <v>25</v>
      </c>
      <c r="H93" s="2"/>
      <c r="I93" s="8" t="s">
        <v>220</v>
      </c>
      <c r="J93" s="2" t="s">
        <v>115</v>
      </c>
    </row>
    <row r="94" customFormat="false" ht="15" hidden="false" customHeight="false" outlineLevel="0" collapsed="false">
      <c r="A94" s="2" t="s">
        <v>239</v>
      </c>
      <c r="B94" s="2" t="s">
        <v>240</v>
      </c>
      <c r="C94" s="14" t="n">
        <v>0</v>
      </c>
      <c r="D94" s="14" t="n">
        <v>0</v>
      </c>
      <c r="E94" s="14" t="n">
        <v>0</v>
      </c>
      <c r="F94" s="2" t="s">
        <v>113</v>
      </c>
      <c r="G94" s="7" t="s">
        <v>25</v>
      </c>
      <c r="H94" s="2"/>
      <c r="I94" s="8" t="s">
        <v>220</v>
      </c>
      <c r="J94" s="2" t="s">
        <v>115</v>
      </c>
    </row>
    <row r="95" customFormat="false" ht="15" hidden="false" customHeight="false" outlineLevel="0" collapsed="false">
      <c r="A95" s="2" t="s">
        <v>241</v>
      </c>
      <c r="B95" s="2" t="s">
        <v>242</v>
      </c>
      <c r="C95" s="14" t="n">
        <v>0</v>
      </c>
      <c r="D95" s="14" t="n">
        <v>0</v>
      </c>
      <c r="E95" s="14" t="n">
        <v>0</v>
      </c>
      <c r="F95" s="2" t="s">
        <v>113</v>
      </c>
      <c r="G95" s="7" t="s">
        <v>25</v>
      </c>
      <c r="H95" s="2"/>
      <c r="I95" s="8" t="s">
        <v>220</v>
      </c>
      <c r="J95" s="2" t="s">
        <v>115</v>
      </c>
    </row>
    <row r="96" customFormat="false" ht="15" hidden="false" customHeight="false" outlineLevel="0" collapsed="false">
      <c r="A96" s="2" t="s">
        <v>243</v>
      </c>
      <c r="B96" s="2" t="s">
        <v>244</v>
      </c>
      <c r="C96" s="14" t="n">
        <v>0</v>
      </c>
      <c r="D96" s="14" t="n">
        <v>0</v>
      </c>
      <c r="E96" s="14" t="n">
        <v>0</v>
      </c>
      <c r="F96" s="2" t="s">
        <v>113</v>
      </c>
      <c r="G96" s="7" t="s">
        <v>25</v>
      </c>
      <c r="H96" s="2"/>
      <c r="I96" s="8" t="s">
        <v>220</v>
      </c>
      <c r="J96" s="2" t="s">
        <v>115</v>
      </c>
    </row>
    <row r="97" customFormat="false" ht="15" hidden="false" customHeight="false" outlineLevel="0" collapsed="false">
      <c r="A97" s="2" t="s">
        <v>245</v>
      </c>
      <c r="B97" s="2" t="s">
        <v>246</v>
      </c>
      <c r="C97" s="14" t="n">
        <v>0</v>
      </c>
      <c r="D97" s="14" t="n">
        <v>0</v>
      </c>
      <c r="E97" s="14" t="n">
        <v>0</v>
      </c>
      <c r="F97" s="2" t="s">
        <v>113</v>
      </c>
      <c r="G97" s="7" t="s">
        <v>25</v>
      </c>
      <c r="H97" s="2"/>
      <c r="I97" s="8" t="s">
        <v>220</v>
      </c>
      <c r="J97" s="2" t="s">
        <v>115</v>
      </c>
    </row>
    <row r="98" customFormat="false" ht="15" hidden="false" customHeight="false" outlineLevel="0" collapsed="false">
      <c r="A98" s="2" t="s">
        <v>247</v>
      </c>
      <c r="B98" s="2" t="s">
        <v>248</v>
      </c>
      <c r="C98" s="14" t="n">
        <v>1</v>
      </c>
      <c r="D98" s="14" t="n">
        <v>1</v>
      </c>
      <c r="E98" s="14" t="n">
        <v>1</v>
      </c>
      <c r="F98" s="2" t="s">
        <v>113</v>
      </c>
      <c r="G98" s="7" t="s">
        <v>25</v>
      </c>
      <c r="H98" s="2"/>
      <c r="I98" s="8" t="s">
        <v>220</v>
      </c>
      <c r="J98" s="2" t="s">
        <v>115</v>
      </c>
    </row>
    <row r="99" customFormat="false" ht="15" hidden="false" customHeight="false" outlineLevel="0" collapsed="false">
      <c r="A99" s="2" t="s">
        <v>249</v>
      </c>
      <c r="B99" s="2" t="s">
        <v>250</v>
      </c>
      <c r="C99" s="14" t="n">
        <v>0</v>
      </c>
      <c r="D99" s="14" t="n">
        <v>0</v>
      </c>
      <c r="E99" s="14" t="n">
        <v>0</v>
      </c>
      <c r="F99" s="2" t="s">
        <v>113</v>
      </c>
      <c r="G99" s="7" t="s">
        <v>25</v>
      </c>
      <c r="H99" s="2"/>
      <c r="I99" s="8" t="s">
        <v>220</v>
      </c>
      <c r="J99" s="2" t="s">
        <v>115</v>
      </c>
    </row>
    <row r="100" customFormat="false" ht="15" hidden="false" customHeight="false" outlineLevel="0" collapsed="false">
      <c r="A100" s="2" t="s">
        <v>251</v>
      </c>
      <c r="B100" s="2" t="s">
        <v>252</v>
      </c>
      <c r="C100" s="14" t="n">
        <v>1</v>
      </c>
      <c r="D100" s="14" t="n">
        <v>1</v>
      </c>
      <c r="E100" s="14" t="n">
        <v>1</v>
      </c>
      <c r="F100" s="2" t="s">
        <v>113</v>
      </c>
      <c r="G100" s="7" t="s">
        <v>25</v>
      </c>
      <c r="H100" s="2"/>
      <c r="I100" s="8" t="s">
        <v>220</v>
      </c>
      <c r="J100" s="2" t="s">
        <v>115</v>
      </c>
    </row>
    <row r="101" customFormat="false" ht="15" hidden="false" customHeight="false" outlineLevel="0" collapsed="false">
      <c r="A101" s="2" t="s">
        <v>253</v>
      </c>
      <c r="B101" s="2" t="s">
        <v>254</v>
      </c>
      <c r="C101" s="14" t="n">
        <v>0</v>
      </c>
      <c r="D101" s="14" t="n">
        <v>0</v>
      </c>
      <c r="E101" s="14" t="n">
        <v>0</v>
      </c>
      <c r="F101" s="2" t="s">
        <v>113</v>
      </c>
      <c r="G101" s="7" t="s">
        <v>25</v>
      </c>
      <c r="H101" s="2"/>
      <c r="I101" s="8" t="s">
        <v>255</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255</v>
      </c>
      <c r="J102" s="2" t="s">
        <v>115</v>
      </c>
    </row>
    <row r="103" customFormat="false" ht="15" hidden="false" customHeight="false" outlineLevel="0" collapsed="false">
      <c r="A103" s="2" t="s">
        <v>258</v>
      </c>
      <c r="B103" s="2" t="s">
        <v>259</v>
      </c>
      <c r="C103" s="14" t="n">
        <v>1</v>
      </c>
      <c r="D103" s="14" t="n">
        <v>1</v>
      </c>
      <c r="E103" s="14" t="n">
        <v>1</v>
      </c>
      <c r="F103" s="2" t="s">
        <v>113</v>
      </c>
      <c r="G103" s="7" t="s">
        <v>25</v>
      </c>
      <c r="H103" s="2"/>
      <c r="I103" s="8" t="s">
        <v>255</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255</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255</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255</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255</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255</v>
      </c>
      <c r="J108" s="2" t="s">
        <v>115</v>
      </c>
    </row>
    <row r="109" customFormat="false" ht="15" hidden="false" customHeight="false" outlineLevel="0" collapsed="false">
      <c r="A109" s="2" t="s">
        <v>270</v>
      </c>
      <c r="B109" s="2" t="s">
        <v>271</v>
      </c>
      <c r="C109" s="14" t="n">
        <v>0</v>
      </c>
      <c r="D109" s="14" t="n">
        <v>0</v>
      </c>
      <c r="E109" s="14" t="n">
        <v>0</v>
      </c>
      <c r="F109" s="2" t="s">
        <v>113</v>
      </c>
      <c r="G109" s="7" t="s">
        <v>25</v>
      </c>
      <c r="H109" s="2"/>
      <c r="I109" s="8" t="s">
        <v>255</v>
      </c>
      <c r="J109" s="2" t="s">
        <v>115</v>
      </c>
    </row>
    <row r="110" customFormat="false" ht="15" hidden="false" customHeight="false" outlineLevel="0" collapsed="false">
      <c r="A110" s="2" t="s">
        <v>272</v>
      </c>
      <c r="B110" s="2" t="s">
        <v>273</v>
      </c>
      <c r="C110" s="14" t="n">
        <v>0</v>
      </c>
      <c r="D110" s="14" t="n">
        <v>0</v>
      </c>
      <c r="E110" s="14" t="n">
        <v>0</v>
      </c>
      <c r="F110" s="2" t="s">
        <v>113</v>
      </c>
      <c r="G110" s="7" t="s">
        <v>25</v>
      </c>
      <c r="H110" s="2"/>
      <c r="I110" s="8" t="s">
        <v>255</v>
      </c>
      <c r="J110" s="2" t="s">
        <v>115</v>
      </c>
    </row>
    <row r="111" customFormat="false" ht="15" hidden="false" customHeight="false" outlineLevel="0" collapsed="false">
      <c r="A111" s="2" t="s">
        <v>274</v>
      </c>
      <c r="B111" s="2" t="s">
        <v>275</v>
      </c>
      <c r="C111" s="14" t="n">
        <v>0</v>
      </c>
      <c r="D111" s="14" t="n">
        <v>0</v>
      </c>
      <c r="E111" s="14" t="n">
        <v>0</v>
      </c>
      <c r="F111" s="2" t="s">
        <v>113</v>
      </c>
      <c r="G111" s="7" t="s">
        <v>25</v>
      </c>
      <c r="H111" s="2"/>
      <c r="I111" s="8" t="s">
        <v>255</v>
      </c>
      <c r="J111" s="2" t="s">
        <v>115</v>
      </c>
    </row>
    <row r="112" customFormat="false" ht="15" hidden="false" customHeight="false" outlineLevel="0" collapsed="false">
      <c r="A112" s="2" t="s">
        <v>276</v>
      </c>
      <c r="B112" s="2" t="s">
        <v>277</v>
      </c>
      <c r="C112" s="14" t="n">
        <v>0</v>
      </c>
      <c r="D112" s="14" t="n">
        <v>0</v>
      </c>
      <c r="E112" s="14" t="n">
        <v>0</v>
      </c>
      <c r="F112" s="2" t="s">
        <v>113</v>
      </c>
      <c r="G112" s="7" t="s">
        <v>25</v>
      </c>
      <c r="H112" s="2"/>
      <c r="I112" s="8" t="s">
        <v>255</v>
      </c>
      <c r="J112" s="2" t="s">
        <v>115</v>
      </c>
    </row>
    <row r="113" customFormat="false" ht="15" hidden="false" customHeight="false" outlineLevel="0" collapsed="false">
      <c r="A113" s="2" t="s">
        <v>278</v>
      </c>
      <c r="B113" s="2" t="s">
        <v>279</v>
      </c>
      <c r="C113" s="14" t="n">
        <v>0</v>
      </c>
      <c r="D113" s="14" t="n">
        <v>0</v>
      </c>
      <c r="E113" s="14" t="n">
        <v>0</v>
      </c>
      <c r="F113" s="2" t="s">
        <v>113</v>
      </c>
      <c r="G113" s="7" t="s">
        <v>25</v>
      </c>
      <c r="H113" s="2"/>
      <c r="I113" s="8" t="s">
        <v>255</v>
      </c>
      <c r="J113" s="2" t="s">
        <v>115</v>
      </c>
    </row>
    <row r="114" customFormat="false" ht="15" hidden="false" customHeight="false" outlineLevel="0" collapsed="false">
      <c r="A114" s="2" t="s">
        <v>280</v>
      </c>
      <c r="B114" s="2" t="s">
        <v>281</v>
      </c>
      <c r="C114" s="14" t="n">
        <v>0</v>
      </c>
      <c r="D114" s="14" t="n">
        <v>0</v>
      </c>
      <c r="E114" s="14" t="n">
        <v>0</v>
      </c>
      <c r="F114" s="2" t="s">
        <v>113</v>
      </c>
      <c r="G114" s="7" t="s">
        <v>25</v>
      </c>
      <c r="H114" s="2"/>
      <c r="I114" s="8" t="s">
        <v>255</v>
      </c>
      <c r="J114" s="2" t="s">
        <v>115</v>
      </c>
    </row>
    <row r="115" customFormat="false" ht="15" hidden="false" customHeight="false" outlineLevel="0" collapsed="false">
      <c r="A115" s="2" t="s">
        <v>282</v>
      </c>
      <c r="B115" s="2" t="s">
        <v>283</v>
      </c>
      <c r="C115" s="14" t="n">
        <v>0</v>
      </c>
      <c r="D115" s="14" t="n">
        <v>0</v>
      </c>
      <c r="E115" s="14" t="n">
        <v>0</v>
      </c>
      <c r="F115" s="2" t="s">
        <v>113</v>
      </c>
      <c r="G115" s="7" t="s">
        <v>25</v>
      </c>
      <c r="H115" s="2"/>
      <c r="I115" s="8" t="s">
        <v>255</v>
      </c>
      <c r="J115" s="2" t="s">
        <v>115</v>
      </c>
    </row>
    <row r="116" customFormat="false" ht="15" hidden="false" customHeight="false" outlineLevel="0" collapsed="false">
      <c r="A116" s="2" t="s">
        <v>284</v>
      </c>
      <c r="B116" s="2" t="s">
        <v>285</v>
      </c>
      <c r="C116" s="14" t="n">
        <v>0</v>
      </c>
      <c r="D116" s="14" t="n">
        <v>0</v>
      </c>
      <c r="E116" s="14" t="n">
        <v>0</v>
      </c>
      <c r="F116" s="2" t="s">
        <v>113</v>
      </c>
      <c r="G116" s="7" t="s">
        <v>25</v>
      </c>
      <c r="H116" s="2"/>
      <c r="I116" s="8" t="s">
        <v>255</v>
      </c>
      <c r="J116" s="2" t="s">
        <v>115</v>
      </c>
    </row>
    <row r="117" customFormat="false" ht="15" hidden="false" customHeight="false" outlineLevel="0" collapsed="false">
      <c r="A117" s="2" t="s">
        <v>286</v>
      </c>
      <c r="B117" s="2" t="s">
        <v>287</v>
      </c>
      <c r="C117" s="14" t="n">
        <v>1</v>
      </c>
      <c r="D117" s="14" t="n">
        <v>1</v>
      </c>
      <c r="E117" s="14" t="n">
        <v>1</v>
      </c>
      <c r="F117" s="2" t="s">
        <v>113</v>
      </c>
      <c r="G117" s="7" t="s">
        <v>25</v>
      </c>
      <c r="H117" s="2"/>
      <c r="I117" s="8" t="s">
        <v>255</v>
      </c>
      <c r="J117" s="2" t="s">
        <v>115</v>
      </c>
    </row>
    <row r="118" customFormat="false" ht="15" hidden="false" customHeight="false" outlineLevel="0" collapsed="false">
      <c r="A118" s="2" t="s">
        <v>288</v>
      </c>
      <c r="B118" s="2" t="s">
        <v>289</v>
      </c>
      <c r="C118" s="14" t="n">
        <v>0</v>
      </c>
      <c r="D118" s="14" t="n">
        <v>0</v>
      </c>
      <c r="E118" s="14" t="n">
        <v>0</v>
      </c>
      <c r="F118" s="2" t="s">
        <v>113</v>
      </c>
      <c r="G118" s="7" t="s">
        <v>25</v>
      </c>
      <c r="H118" s="2"/>
      <c r="I118" s="8" t="s">
        <v>290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290</v>
      </c>
      <c r="J119" s="2" t="s">
        <v>115</v>
      </c>
    </row>
    <row r="120" customFormat="false" ht="15" hidden="false" customHeight="false" outlineLevel="0" collapsed="false">
      <c r="A120" s="2" t="s">
        <v>293</v>
      </c>
      <c r="B120" s="2" t="s">
        <v>294</v>
      </c>
      <c r="C120" s="14" t="n">
        <v>1</v>
      </c>
      <c r="D120" s="14" t="n">
        <v>1</v>
      </c>
      <c r="E120" s="14" t="n">
        <v>1</v>
      </c>
      <c r="F120" s="2" t="s">
        <v>113</v>
      </c>
      <c r="G120" s="7" t="s">
        <v>25</v>
      </c>
      <c r="H120" s="2"/>
      <c r="I120" s="8" t="s">
        <v>290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290</v>
      </c>
      <c r="J121" s="2" t="s">
        <v>115</v>
      </c>
    </row>
    <row r="122" customFormat="false" ht="15" hidden="false" customHeight="false" outlineLevel="0" collapsed="false">
      <c r="A122" s="2" t="s">
        <v>297</v>
      </c>
      <c r="B122" s="2" t="s">
        <v>298</v>
      </c>
      <c r="C122" s="14" t="n">
        <v>0</v>
      </c>
      <c r="D122" s="14" t="n">
        <v>0</v>
      </c>
      <c r="E122" s="14" t="n">
        <v>0</v>
      </c>
      <c r="F122" s="2" t="s">
        <v>113</v>
      </c>
      <c r="G122" s="7" t="s">
        <v>25</v>
      </c>
      <c r="H122" s="2"/>
      <c r="I122" s="8" t="s">
        <v>290</v>
      </c>
      <c r="J122" s="2" t="s">
        <v>115</v>
      </c>
    </row>
    <row r="123" customFormat="false" ht="15" hidden="false" customHeight="false" outlineLevel="0" collapsed="false">
      <c r="A123" s="2" t="s">
        <v>299</v>
      </c>
      <c r="B123" s="2" t="s">
        <v>300</v>
      </c>
      <c r="C123" s="14" t="n">
        <v>0</v>
      </c>
      <c r="D123" s="14" t="n">
        <v>0</v>
      </c>
      <c r="E123" s="14" t="n">
        <v>0</v>
      </c>
      <c r="F123" s="2" t="s">
        <v>113</v>
      </c>
      <c r="G123" s="7" t="s">
        <v>25</v>
      </c>
      <c r="H123" s="2"/>
      <c r="I123" s="8" t="s">
        <v>290</v>
      </c>
      <c r="J123" s="2" t="s">
        <v>115</v>
      </c>
    </row>
    <row r="124" customFormat="false" ht="15" hidden="false" customHeight="false" outlineLevel="0" collapsed="false">
      <c r="A124" s="2" t="s">
        <v>301</v>
      </c>
      <c r="B124" s="2" t="s">
        <v>302</v>
      </c>
      <c r="C124" s="14" t="n">
        <v>1</v>
      </c>
      <c r="D124" s="14" t="n">
        <v>1</v>
      </c>
      <c r="E124" s="14" t="n">
        <v>1</v>
      </c>
      <c r="F124" s="2" t="s">
        <v>113</v>
      </c>
      <c r="G124" s="7" t="s">
        <v>25</v>
      </c>
      <c r="H124" s="2"/>
      <c r="I124" s="8" t="s">
        <v>290</v>
      </c>
      <c r="J124" s="2" t="s">
        <v>115</v>
      </c>
    </row>
    <row r="125" customFormat="false" ht="15" hidden="false" customHeight="false" outlineLevel="0" collapsed="false">
      <c r="A125" s="2" t="s">
        <v>303</v>
      </c>
      <c r="B125" s="2" t="s">
        <v>304</v>
      </c>
      <c r="C125" s="14" t="n">
        <v>0</v>
      </c>
      <c r="D125" s="14" t="n">
        <v>0</v>
      </c>
      <c r="E125" s="14" t="n">
        <v>0</v>
      </c>
      <c r="F125" s="2" t="s">
        <v>113</v>
      </c>
      <c r="G125" s="7" t="s">
        <v>25</v>
      </c>
      <c r="H125" s="2"/>
      <c r="I125" s="8" t="s">
        <v>290</v>
      </c>
      <c r="J125" s="2" t="s">
        <v>115</v>
      </c>
    </row>
    <row r="126" customFormat="false" ht="15" hidden="false" customHeight="false" outlineLevel="0" collapsed="false">
      <c r="A126" s="2" t="s">
        <v>305</v>
      </c>
      <c r="B126" s="2" t="s">
        <v>306</v>
      </c>
      <c r="C126" s="14" t="n">
        <v>0</v>
      </c>
      <c r="D126" s="14" t="n">
        <v>0</v>
      </c>
      <c r="E126" s="14" t="n">
        <v>0</v>
      </c>
      <c r="F126" s="2" t="s">
        <v>113</v>
      </c>
      <c r="G126" s="7" t="s">
        <v>25</v>
      </c>
      <c r="H126" s="2"/>
      <c r="I126" s="8" t="s">
        <v>290</v>
      </c>
      <c r="J126" s="2" t="s">
        <v>115</v>
      </c>
    </row>
    <row r="127" customFormat="false" ht="15" hidden="false" customHeight="false" outlineLevel="0" collapsed="false">
      <c r="A127" s="2" t="s">
        <v>307</v>
      </c>
      <c r="B127" s="2" t="s">
        <v>308</v>
      </c>
      <c r="C127" s="14" t="n">
        <v>0</v>
      </c>
      <c r="D127" s="14" t="n">
        <v>0</v>
      </c>
      <c r="E127" s="14" t="n">
        <v>0</v>
      </c>
      <c r="F127" s="2" t="s">
        <v>113</v>
      </c>
      <c r="G127" s="7" t="s">
        <v>25</v>
      </c>
      <c r="H127" s="2"/>
      <c r="I127" s="8" t="s">
        <v>290</v>
      </c>
      <c r="J127" s="2" t="s">
        <v>115</v>
      </c>
    </row>
    <row r="128" customFormat="false" ht="15" hidden="false" customHeight="false" outlineLevel="0" collapsed="false">
      <c r="A128" s="2" t="s">
        <v>309</v>
      </c>
      <c r="B128" s="2" t="s">
        <v>310</v>
      </c>
      <c r="C128" s="14" t="n">
        <v>0</v>
      </c>
      <c r="D128" s="14" t="n">
        <v>0</v>
      </c>
      <c r="E128" s="14" t="n">
        <v>0</v>
      </c>
      <c r="F128" s="2" t="s">
        <v>113</v>
      </c>
      <c r="G128" s="7" t="s">
        <v>25</v>
      </c>
      <c r="H128" s="2"/>
      <c r="I128" s="8" t="s">
        <v>290</v>
      </c>
      <c r="J128" s="2" t="s">
        <v>115</v>
      </c>
    </row>
    <row r="129" customFormat="false" ht="15" hidden="false" customHeight="false" outlineLevel="0" collapsed="false">
      <c r="A129" s="2" t="s">
        <v>311</v>
      </c>
      <c r="B129" s="2" t="s">
        <v>312</v>
      </c>
      <c r="C129" s="14" t="n">
        <v>0</v>
      </c>
      <c r="D129" s="14" t="n">
        <v>0</v>
      </c>
      <c r="E129" s="14" t="n">
        <v>0</v>
      </c>
      <c r="F129" s="2" t="s">
        <v>113</v>
      </c>
      <c r="G129" s="7" t="s">
        <v>25</v>
      </c>
      <c r="H129" s="2"/>
      <c r="I129" s="8" t="s">
        <v>290</v>
      </c>
      <c r="J129" s="2" t="s">
        <v>115</v>
      </c>
    </row>
    <row r="130" customFormat="false" ht="15" hidden="false" customHeight="false" outlineLevel="0" collapsed="false">
      <c r="A130" s="2" t="s">
        <v>313</v>
      </c>
      <c r="B130" s="2" t="s">
        <v>314</v>
      </c>
      <c r="C130" s="14" t="n">
        <v>0</v>
      </c>
      <c r="D130" s="14" t="n">
        <v>0</v>
      </c>
      <c r="E130" s="14" t="n">
        <v>0</v>
      </c>
      <c r="F130" s="2" t="s">
        <v>113</v>
      </c>
      <c r="G130" s="7" t="s">
        <v>25</v>
      </c>
      <c r="H130" s="2"/>
      <c r="I130" s="8" t="s">
        <v>290</v>
      </c>
      <c r="J130" s="2" t="s">
        <v>115</v>
      </c>
    </row>
    <row r="131" customFormat="false" ht="15" hidden="false" customHeight="false" outlineLevel="0" collapsed="false">
      <c r="A131" s="2" t="s">
        <v>315</v>
      </c>
      <c r="B131" s="2" t="s">
        <v>316</v>
      </c>
      <c r="C131" s="14" t="n">
        <v>0</v>
      </c>
      <c r="D131" s="14" t="n">
        <v>0</v>
      </c>
      <c r="E131" s="14" t="n">
        <v>0</v>
      </c>
      <c r="F131" s="2" t="s">
        <v>113</v>
      </c>
      <c r="G131" s="7" t="s">
        <v>25</v>
      </c>
      <c r="H131" s="2"/>
      <c r="I131" s="8" t="s">
        <v>290</v>
      </c>
      <c r="J131" s="2" t="s">
        <v>115</v>
      </c>
    </row>
    <row r="132" customFormat="false" ht="15" hidden="false" customHeight="false" outlineLevel="0" collapsed="false">
      <c r="A132" s="2" t="s">
        <v>317</v>
      </c>
      <c r="B132" s="2" t="s">
        <v>318</v>
      </c>
      <c r="C132" s="14" t="n">
        <v>0</v>
      </c>
      <c r="D132" s="14" t="n">
        <v>0</v>
      </c>
      <c r="E132" s="14" t="n">
        <v>0</v>
      </c>
      <c r="F132" s="2" t="s">
        <v>113</v>
      </c>
      <c r="G132" s="7" t="s">
        <v>25</v>
      </c>
      <c r="H132" s="2"/>
      <c r="I132" s="8" t="s">
        <v>290</v>
      </c>
      <c r="J132" s="2" t="s">
        <v>115</v>
      </c>
    </row>
    <row r="133" customFormat="false" ht="15" hidden="false" customHeight="false" outlineLevel="0" collapsed="false">
      <c r="A133" s="2" t="s">
        <v>319</v>
      </c>
      <c r="B133" s="2" t="s">
        <v>320</v>
      </c>
      <c r="C133" s="14" t="n">
        <v>0</v>
      </c>
      <c r="D133" s="14" t="n">
        <v>0</v>
      </c>
      <c r="E133" s="14" t="n">
        <v>0</v>
      </c>
      <c r="F133" s="2" t="s">
        <v>113</v>
      </c>
      <c r="G133" s="7" t="s">
        <v>25</v>
      </c>
      <c r="H133" s="2"/>
      <c r="I133" s="8" t="s">
        <v>290</v>
      </c>
      <c r="J133" s="2" t="s">
        <v>115</v>
      </c>
    </row>
    <row r="134" customFormat="false" ht="15" hidden="false" customHeight="false" outlineLevel="0" collapsed="false">
      <c r="A134" s="2" t="s">
        <v>321</v>
      </c>
      <c r="B134" s="2" t="s">
        <v>322</v>
      </c>
      <c r="C134" s="14" t="n">
        <v>1</v>
      </c>
      <c r="D134" s="14" t="n">
        <v>1</v>
      </c>
      <c r="E134" s="14" t="n">
        <v>1</v>
      </c>
      <c r="F134" s="2" t="s">
        <v>113</v>
      </c>
      <c r="G134" s="7" t="s">
        <v>25</v>
      </c>
      <c r="H134" s="2"/>
      <c r="I134" s="8" t="s">
        <v>290</v>
      </c>
      <c r="J134" s="2" t="s">
        <v>115</v>
      </c>
    </row>
    <row r="135" customFormat="false" ht="15" hidden="false" customHeight="false" outlineLevel="0" collapsed="false">
      <c r="A135" s="2" t="s">
        <v>323</v>
      </c>
      <c r="B135" s="2" t="s">
        <v>324</v>
      </c>
      <c r="C135" s="14" t="n">
        <v>1</v>
      </c>
      <c r="D135" s="14" t="n">
        <v>1</v>
      </c>
      <c r="E135" s="14" t="n">
        <v>1</v>
      </c>
      <c r="F135" s="2" t="s">
        <v>113</v>
      </c>
      <c r="G135" s="7" t="s">
        <v>25</v>
      </c>
      <c r="H135" s="2"/>
      <c r="I135" s="8" t="s">
        <v>325</v>
      </c>
      <c r="J135" s="2" t="s">
        <v>115</v>
      </c>
    </row>
    <row r="136" customFormat="false" ht="15" hidden="false" customHeight="false" outlineLevel="0" collapsed="false">
      <c r="A136" s="2" t="s">
        <v>326</v>
      </c>
      <c r="B136" s="2" t="s">
        <v>327</v>
      </c>
      <c r="C136" s="14" t="n">
        <v>0</v>
      </c>
      <c r="D136" s="14" t="n">
        <v>0</v>
      </c>
      <c r="E136" s="14" t="n">
        <v>0</v>
      </c>
      <c r="F136" s="2" t="s">
        <v>113</v>
      </c>
      <c r="G136" s="7" t="s">
        <v>25</v>
      </c>
      <c r="H136" s="2"/>
      <c r="I136" s="8" t="s">
        <v>325</v>
      </c>
      <c r="J136" s="2" t="s">
        <v>115</v>
      </c>
    </row>
    <row r="137" customFormat="false" ht="15" hidden="false" customHeight="false" outlineLevel="0" collapsed="false">
      <c r="A137" s="2" t="s">
        <v>328</v>
      </c>
      <c r="B137" s="2" t="s">
        <v>329</v>
      </c>
      <c r="C137" s="14" t="n">
        <v>1</v>
      </c>
      <c r="D137" s="14" t="n">
        <v>1</v>
      </c>
      <c r="E137" s="14" t="n">
        <v>1</v>
      </c>
      <c r="F137" s="2" t="s">
        <v>113</v>
      </c>
      <c r="G137" s="7" t="s">
        <v>25</v>
      </c>
      <c r="H137" s="2"/>
      <c r="I137" s="8" t="s">
        <v>325</v>
      </c>
      <c r="J137" s="2" t="s">
        <v>115</v>
      </c>
    </row>
    <row r="138" customFormat="false" ht="15" hidden="false" customHeight="false" outlineLevel="0" collapsed="false">
      <c r="A138" s="2" t="s">
        <v>330</v>
      </c>
      <c r="B138" s="2" t="s">
        <v>331</v>
      </c>
      <c r="C138" s="14" t="n">
        <v>0</v>
      </c>
      <c r="D138" s="14" t="n">
        <v>0</v>
      </c>
      <c r="E138" s="14" t="n">
        <v>0</v>
      </c>
      <c r="F138" s="2" t="s">
        <v>113</v>
      </c>
      <c r="G138" s="7" t="s">
        <v>25</v>
      </c>
      <c r="H138" s="2"/>
      <c r="I138" s="8" t="s">
        <v>325</v>
      </c>
      <c r="J138" s="2" t="s">
        <v>115</v>
      </c>
    </row>
    <row r="139" customFormat="false" ht="15" hidden="false" customHeight="false" outlineLevel="0" collapsed="false">
      <c r="A139" s="2" t="s">
        <v>332</v>
      </c>
      <c r="B139" s="2" t="s">
        <v>333</v>
      </c>
      <c r="C139" s="14" t="n">
        <v>0</v>
      </c>
      <c r="D139" s="14" t="n">
        <v>0</v>
      </c>
      <c r="E139" s="14" t="n">
        <v>0</v>
      </c>
      <c r="F139" s="2" t="s">
        <v>113</v>
      </c>
      <c r="G139" s="7" t="s">
        <v>25</v>
      </c>
      <c r="H139" s="2"/>
      <c r="I139" s="8" t="s">
        <v>325</v>
      </c>
      <c r="J139" s="2" t="s">
        <v>115</v>
      </c>
    </row>
    <row r="140" customFormat="false" ht="15" hidden="false" customHeight="false" outlineLevel="0" collapsed="false">
      <c r="A140" s="2" t="s">
        <v>334</v>
      </c>
      <c r="B140" s="2" t="s">
        <v>335</v>
      </c>
      <c r="C140" s="14" t="n">
        <v>1</v>
      </c>
      <c r="D140" s="14" t="n">
        <v>1</v>
      </c>
      <c r="E140" s="14" t="n">
        <v>1</v>
      </c>
      <c r="F140" s="2" t="s">
        <v>113</v>
      </c>
      <c r="G140" s="7" t="s">
        <v>25</v>
      </c>
      <c r="H140" s="2"/>
      <c r="I140" s="8" t="s">
        <v>325</v>
      </c>
      <c r="J140" s="2" t="s">
        <v>115</v>
      </c>
    </row>
    <row r="141" customFormat="false" ht="15" hidden="false" customHeight="false" outlineLevel="0" collapsed="false">
      <c r="A141" s="2" t="s">
        <v>336</v>
      </c>
      <c r="B141" s="2" t="s">
        <v>337</v>
      </c>
      <c r="C141" s="14" t="n">
        <v>0</v>
      </c>
      <c r="D141" s="14" t="n">
        <v>0</v>
      </c>
      <c r="E141" s="14" t="n">
        <v>0</v>
      </c>
      <c r="F141" s="2" t="s">
        <v>113</v>
      </c>
      <c r="G141" s="7" t="s">
        <v>25</v>
      </c>
      <c r="H141" s="2"/>
      <c r="I141" s="8" t="s">
        <v>325</v>
      </c>
      <c r="J141" s="2" t="s">
        <v>115</v>
      </c>
    </row>
    <row r="142" customFormat="false" ht="15" hidden="false" customHeight="false" outlineLevel="0" collapsed="false">
      <c r="A142" s="2" t="s">
        <v>338</v>
      </c>
      <c r="B142" s="2" t="s">
        <v>339</v>
      </c>
      <c r="C142" s="14" t="n">
        <v>0</v>
      </c>
      <c r="D142" s="14" t="n">
        <v>0</v>
      </c>
      <c r="E142" s="14" t="n">
        <v>0</v>
      </c>
      <c r="F142" s="2" t="s">
        <v>113</v>
      </c>
      <c r="G142" s="7" t="s">
        <v>25</v>
      </c>
      <c r="H142" s="2"/>
      <c r="I142" s="8" t="s">
        <v>325</v>
      </c>
      <c r="J142" s="2" t="s">
        <v>115</v>
      </c>
    </row>
    <row r="143" customFormat="false" ht="15" hidden="false" customHeight="false" outlineLevel="0" collapsed="false">
      <c r="A143" s="2" t="s">
        <v>340</v>
      </c>
      <c r="B143" s="2" t="s">
        <v>341</v>
      </c>
      <c r="C143" s="14" t="n">
        <v>0</v>
      </c>
      <c r="D143" s="14" t="n">
        <v>0</v>
      </c>
      <c r="E143" s="14" t="n">
        <v>0</v>
      </c>
      <c r="F143" s="2" t="s">
        <v>113</v>
      </c>
      <c r="G143" s="7" t="s">
        <v>25</v>
      </c>
      <c r="H143" s="2"/>
      <c r="I143" s="8" t="s">
        <v>325</v>
      </c>
      <c r="J143" s="2" t="s">
        <v>115</v>
      </c>
    </row>
    <row r="144" customFormat="false" ht="15" hidden="false" customHeight="false" outlineLevel="0" collapsed="false">
      <c r="A144" s="2" t="s">
        <v>342</v>
      </c>
      <c r="B144" s="2" t="s">
        <v>343</v>
      </c>
      <c r="C144" s="14" t="n">
        <v>0</v>
      </c>
      <c r="D144" s="14" t="n">
        <v>0</v>
      </c>
      <c r="E144" s="14" t="n">
        <v>0</v>
      </c>
      <c r="F144" s="2" t="s">
        <v>113</v>
      </c>
      <c r="G144" s="7" t="s">
        <v>25</v>
      </c>
      <c r="H144" s="2"/>
      <c r="I144" s="8" t="s">
        <v>325</v>
      </c>
      <c r="J144" s="2" t="s">
        <v>115</v>
      </c>
    </row>
    <row r="145" customFormat="false" ht="15" hidden="false" customHeight="false" outlineLevel="0" collapsed="false">
      <c r="A145" s="2" t="s">
        <v>344</v>
      </c>
      <c r="B145" s="2" t="s">
        <v>345</v>
      </c>
      <c r="C145" s="14" t="n">
        <v>0</v>
      </c>
      <c r="D145" s="14" t="n">
        <v>0</v>
      </c>
      <c r="E145" s="14" t="n">
        <v>0</v>
      </c>
      <c r="F145" s="2" t="s">
        <v>113</v>
      </c>
      <c r="G145" s="7" t="s">
        <v>25</v>
      </c>
      <c r="H145" s="2"/>
      <c r="I145" s="8" t="s">
        <v>325</v>
      </c>
      <c r="J145" s="2" t="s">
        <v>115</v>
      </c>
    </row>
    <row r="146" customFormat="false" ht="15" hidden="false" customHeight="false" outlineLevel="0" collapsed="false">
      <c r="A146" s="2" t="s">
        <v>346</v>
      </c>
      <c r="B146" s="2" t="s">
        <v>347</v>
      </c>
      <c r="C146" s="14" t="n">
        <v>0</v>
      </c>
      <c r="D146" s="14" t="n">
        <v>0</v>
      </c>
      <c r="E146" s="14" t="n">
        <v>0</v>
      </c>
      <c r="F146" s="2" t="s">
        <v>113</v>
      </c>
      <c r="G146" s="7" t="s">
        <v>25</v>
      </c>
      <c r="H146" s="2"/>
      <c r="I146" s="8" t="s">
        <v>325</v>
      </c>
      <c r="J146" s="2" t="s">
        <v>115</v>
      </c>
    </row>
    <row r="147" customFormat="false" ht="15" hidden="false" customHeight="false" outlineLevel="0" collapsed="false">
      <c r="A147" s="2" t="s">
        <v>348</v>
      </c>
      <c r="B147" s="2" t="s">
        <v>349</v>
      </c>
      <c r="C147" s="14" t="n">
        <v>1</v>
      </c>
      <c r="D147" s="14" t="n">
        <v>1</v>
      </c>
      <c r="E147" s="14" t="n">
        <v>1</v>
      </c>
      <c r="F147" s="2" t="s">
        <v>113</v>
      </c>
      <c r="G147" s="7" t="s">
        <v>25</v>
      </c>
      <c r="H147" s="2"/>
      <c r="I147" s="8" t="s">
        <v>325</v>
      </c>
      <c r="J147" s="2" t="s">
        <v>115</v>
      </c>
    </row>
    <row r="148" customFormat="false" ht="15" hidden="false" customHeight="false" outlineLevel="0" collapsed="false">
      <c r="A148" s="2" t="s">
        <v>350</v>
      </c>
      <c r="B148" s="2" t="s">
        <v>351</v>
      </c>
      <c r="C148" s="14" t="n">
        <v>0</v>
      </c>
      <c r="D148" s="14" t="n">
        <v>0</v>
      </c>
      <c r="E148" s="14" t="n">
        <v>0</v>
      </c>
      <c r="F148" s="2" t="s">
        <v>113</v>
      </c>
      <c r="G148" s="7" t="s">
        <v>25</v>
      </c>
      <c r="H148" s="2"/>
      <c r="I148" s="8" t="s">
        <v>325</v>
      </c>
      <c r="J148" s="2" t="s">
        <v>115</v>
      </c>
    </row>
    <row r="149" customFormat="false" ht="15" hidden="false" customHeight="false" outlineLevel="0" collapsed="false">
      <c r="A149" s="2" t="s">
        <v>352</v>
      </c>
      <c r="B149" s="2" t="s">
        <v>353</v>
      </c>
      <c r="C149" s="14" t="n">
        <v>0</v>
      </c>
      <c r="D149" s="14" t="n">
        <v>0</v>
      </c>
      <c r="E149" s="14" t="n">
        <v>0</v>
      </c>
      <c r="F149" s="2" t="s">
        <v>113</v>
      </c>
      <c r="G149" s="7" t="s">
        <v>25</v>
      </c>
      <c r="H149" s="2"/>
      <c r="I149" s="8" t="s">
        <v>325</v>
      </c>
      <c r="J149" s="2" t="s">
        <v>115</v>
      </c>
    </row>
    <row r="150" customFormat="false" ht="15" hidden="false" customHeight="false" outlineLevel="0" collapsed="false">
      <c r="A150" s="2" t="s">
        <v>354</v>
      </c>
      <c r="B150" s="2" t="s">
        <v>355</v>
      </c>
      <c r="C150" s="14" t="n">
        <v>0</v>
      </c>
      <c r="D150" s="14" t="n">
        <v>0</v>
      </c>
      <c r="E150" s="14" t="n">
        <v>0</v>
      </c>
      <c r="F150" s="2" t="s">
        <v>113</v>
      </c>
      <c r="G150" s="7" t="s">
        <v>25</v>
      </c>
      <c r="H150" s="2"/>
      <c r="I150" s="8" t="s">
        <v>325</v>
      </c>
      <c r="J150" s="2" t="s">
        <v>115</v>
      </c>
    </row>
    <row r="151" customFormat="false" ht="15" hidden="false" customHeight="false" outlineLevel="0" collapsed="false">
      <c r="A151" s="2" t="s">
        <v>356</v>
      </c>
      <c r="B151" s="2" t="s">
        <v>357</v>
      </c>
      <c r="C151" s="14" t="n">
        <v>0</v>
      </c>
      <c r="D151" s="14" t="n">
        <v>0</v>
      </c>
      <c r="E151" s="14" t="n">
        <v>0</v>
      </c>
      <c r="F151" s="2" t="s">
        <v>113</v>
      </c>
      <c r="G151" s="7" t="s">
        <v>25</v>
      </c>
      <c r="H151" s="2"/>
      <c r="I151" s="8" t="s">
        <v>325</v>
      </c>
      <c r="J151" s="2" t="s">
        <v>115</v>
      </c>
    </row>
    <row r="152" customFormat="false" ht="15" hidden="false" customHeight="false" outlineLevel="0" collapsed="false">
      <c r="A152" s="2" t="s">
        <v>358</v>
      </c>
      <c r="B152" s="2" t="s">
        <v>359</v>
      </c>
      <c r="C152" s="14" t="n">
        <v>0</v>
      </c>
      <c r="D152" s="14" t="n">
        <v>0</v>
      </c>
      <c r="E152" s="14" t="n">
        <v>0</v>
      </c>
      <c r="F152" s="2" t="s">
        <v>113</v>
      </c>
      <c r="G152" s="7" t="s">
        <v>25</v>
      </c>
      <c r="H152" s="2"/>
      <c r="I152" s="8" t="s">
        <v>360</v>
      </c>
      <c r="J152" s="2" t="s">
        <v>115</v>
      </c>
    </row>
    <row r="153" customFormat="false" ht="15" hidden="false" customHeight="false" outlineLevel="0" collapsed="false">
      <c r="A153" s="2" t="s">
        <v>361</v>
      </c>
      <c r="B153" s="2" t="s">
        <v>362</v>
      </c>
      <c r="C153" s="14" t="n">
        <v>0</v>
      </c>
      <c r="D153" s="14" t="n">
        <v>0</v>
      </c>
      <c r="E153" s="14" t="n">
        <v>0</v>
      </c>
      <c r="F153" s="2" t="s">
        <v>113</v>
      </c>
      <c r="G153" s="7" t="s">
        <v>25</v>
      </c>
      <c r="H153" s="2"/>
      <c r="I153" s="8" t="s">
        <v>360</v>
      </c>
      <c r="J153" s="2" t="s">
        <v>115</v>
      </c>
    </row>
    <row r="154" customFormat="false" ht="15" hidden="false" customHeight="false" outlineLevel="0" collapsed="false">
      <c r="A154" s="2" t="s">
        <v>363</v>
      </c>
      <c r="B154" s="2" t="s">
        <v>364</v>
      </c>
      <c r="C154" s="14" t="n">
        <v>1</v>
      </c>
      <c r="D154" s="14" t="n">
        <v>1</v>
      </c>
      <c r="E154" s="14" t="n">
        <v>1</v>
      </c>
      <c r="F154" s="2" t="s">
        <v>113</v>
      </c>
      <c r="G154" s="7" t="s">
        <v>25</v>
      </c>
      <c r="H154" s="2"/>
      <c r="I154" s="8" t="s">
        <v>360</v>
      </c>
      <c r="J154" s="2" t="s">
        <v>115</v>
      </c>
    </row>
    <row r="155" customFormat="false" ht="15" hidden="false" customHeight="false" outlineLevel="0" collapsed="false">
      <c r="A155" s="2" t="s">
        <v>365</v>
      </c>
      <c r="B155" s="2" t="s">
        <v>366</v>
      </c>
      <c r="C155" s="14" t="n">
        <v>0</v>
      </c>
      <c r="D155" s="14" t="n">
        <v>0</v>
      </c>
      <c r="E155" s="14" t="n">
        <v>0</v>
      </c>
      <c r="F155" s="2" t="s">
        <v>113</v>
      </c>
      <c r="G155" s="7" t="s">
        <v>25</v>
      </c>
      <c r="H155" s="2"/>
      <c r="I155" s="8" t="s">
        <v>360</v>
      </c>
      <c r="J155" s="2" t="s">
        <v>115</v>
      </c>
    </row>
    <row r="156" customFormat="false" ht="15" hidden="false" customHeight="false" outlineLevel="0" collapsed="false">
      <c r="A156" s="2" t="s">
        <v>367</v>
      </c>
      <c r="B156" s="2" t="s">
        <v>368</v>
      </c>
      <c r="C156" s="14" t="n">
        <v>0</v>
      </c>
      <c r="D156" s="14" t="n">
        <v>0</v>
      </c>
      <c r="E156" s="14" t="n">
        <v>0</v>
      </c>
      <c r="F156" s="2" t="s">
        <v>113</v>
      </c>
      <c r="G156" s="7" t="s">
        <v>25</v>
      </c>
      <c r="H156" s="2"/>
      <c r="I156" s="8" t="s">
        <v>360</v>
      </c>
      <c r="J156" s="2" t="s">
        <v>115</v>
      </c>
    </row>
    <row r="157" customFormat="false" ht="15" hidden="false" customHeight="false" outlineLevel="0" collapsed="false">
      <c r="A157" s="2" t="s">
        <v>369</v>
      </c>
      <c r="B157" s="2" t="s">
        <v>370</v>
      </c>
      <c r="C157" s="14" t="n">
        <v>1</v>
      </c>
      <c r="D157" s="14" t="n">
        <v>1</v>
      </c>
      <c r="E157" s="14" t="n">
        <v>1</v>
      </c>
      <c r="F157" s="2" t="s">
        <v>113</v>
      </c>
      <c r="G157" s="7" t="s">
        <v>25</v>
      </c>
      <c r="H157" s="2"/>
      <c r="I157" s="8" t="s">
        <v>360</v>
      </c>
      <c r="J157" s="2" t="s">
        <v>115</v>
      </c>
    </row>
    <row r="158" customFormat="false" ht="15" hidden="false" customHeight="false" outlineLevel="0" collapsed="false">
      <c r="A158" s="2" t="s">
        <v>371</v>
      </c>
      <c r="B158" s="2" t="s">
        <v>372</v>
      </c>
      <c r="C158" s="14" t="n">
        <v>1</v>
      </c>
      <c r="D158" s="14" t="n">
        <v>1</v>
      </c>
      <c r="E158" s="14" t="n">
        <v>1</v>
      </c>
      <c r="F158" s="2" t="s">
        <v>113</v>
      </c>
      <c r="G158" s="7" t="s">
        <v>25</v>
      </c>
      <c r="H158" s="2"/>
      <c r="I158" s="8" t="s">
        <v>360</v>
      </c>
      <c r="J158" s="2" t="s">
        <v>115</v>
      </c>
    </row>
    <row r="159" customFormat="false" ht="15" hidden="false" customHeight="false" outlineLevel="0" collapsed="false">
      <c r="A159" s="2" t="s">
        <v>373</v>
      </c>
      <c r="B159" s="2" t="s">
        <v>374</v>
      </c>
      <c r="C159" s="14" t="n">
        <v>0</v>
      </c>
      <c r="D159" s="14" t="n">
        <v>0</v>
      </c>
      <c r="E159" s="14" t="n">
        <v>0</v>
      </c>
      <c r="F159" s="2" t="s">
        <v>113</v>
      </c>
      <c r="G159" s="7" t="s">
        <v>25</v>
      </c>
      <c r="H159" s="2"/>
      <c r="I159" s="8" t="s">
        <v>360</v>
      </c>
      <c r="J159" s="2" t="s">
        <v>115</v>
      </c>
    </row>
    <row r="160" customFormat="false" ht="15" hidden="false" customHeight="false" outlineLevel="0" collapsed="false">
      <c r="A160" s="2" t="s">
        <v>375</v>
      </c>
      <c r="B160" s="2" t="s">
        <v>376</v>
      </c>
      <c r="C160" s="14" t="n">
        <v>0</v>
      </c>
      <c r="D160" s="14" t="n">
        <v>0</v>
      </c>
      <c r="E160" s="14" t="n">
        <v>0</v>
      </c>
      <c r="F160" s="2" t="s">
        <v>113</v>
      </c>
      <c r="G160" s="7" t="s">
        <v>25</v>
      </c>
      <c r="H160" s="2"/>
      <c r="I160" s="8" t="s">
        <v>360</v>
      </c>
      <c r="J160" s="2" t="s">
        <v>115</v>
      </c>
    </row>
    <row r="161" customFormat="false" ht="15" hidden="false" customHeight="false" outlineLevel="0" collapsed="false">
      <c r="A161" s="2" t="s">
        <v>377</v>
      </c>
      <c r="B161" s="2" t="s">
        <v>378</v>
      </c>
      <c r="C161" s="14" t="n">
        <v>0</v>
      </c>
      <c r="D161" s="14" t="n">
        <v>0</v>
      </c>
      <c r="E161" s="14" t="n">
        <v>0</v>
      </c>
      <c r="F161" s="2" t="s">
        <v>113</v>
      </c>
      <c r="G161" s="7" t="s">
        <v>25</v>
      </c>
      <c r="H161" s="2"/>
      <c r="I161" s="8" t="s">
        <v>360</v>
      </c>
      <c r="J161" s="2" t="s">
        <v>115</v>
      </c>
    </row>
    <row r="162" customFormat="false" ht="15" hidden="false" customHeight="false" outlineLevel="0" collapsed="false">
      <c r="A162" s="2" t="s">
        <v>379</v>
      </c>
      <c r="B162" s="2" t="s">
        <v>380</v>
      </c>
      <c r="C162" s="14" t="n">
        <v>1</v>
      </c>
      <c r="D162" s="14" t="n">
        <v>1</v>
      </c>
      <c r="E162" s="14" t="n">
        <v>1</v>
      </c>
      <c r="F162" s="2" t="s">
        <v>113</v>
      </c>
      <c r="G162" s="7" t="s">
        <v>25</v>
      </c>
      <c r="H162" s="2"/>
      <c r="I162" s="8" t="s">
        <v>360</v>
      </c>
      <c r="J162" s="2" t="s">
        <v>115</v>
      </c>
    </row>
    <row r="163" customFormat="false" ht="15" hidden="false" customHeight="false" outlineLevel="0" collapsed="false">
      <c r="A163" s="2" t="s">
        <v>381</v>
      </c>
      <c r="B163" s="2" t="s">
        <v>382</v>
      </c>
      <c r="C163" s="14" t="n">
        <v>1</v>
      </c>
      <c r="D163" s="14" t="n">
        <v>1</v>
      </c>
      <c r="E163" s="14" t="n">
        <v>1</v>
      </c>
      <c r="F163" s="2" t="s">
        <v>113</v>
      </c>
      <c r="G163" s="7" t="s">
        <v>25</v>
      </c>
      <c r="H163" s="2"/>
      <c r="I163" s="8" t="s">
        <v>360</v>
      </c>
      <c r="J163" s="2" t="s">
        <v>115</v>
      </c>
    </row>
    <row r="164" customFormat="false" ht="15" hidden="false" customHeight="false" outlineLevel="0" collapsed="false">
      <c r="A164" s="2" t="s">
        <v>383</v>
      </c>
      <c r="B164" s="2" t="s">
        <v>384</v>
      </c>
      <c r="C164" s="14" t="n">
        <v>1</v>
      </c>
      <c r="D164" s="14" t="n">
        <v>1</v>
      </c>
      <c r="E164" s="14" t="n">
        <v>1</v>
      </c>
      <c r="F164" s="2" t="s">
        <v>113</v>
      </c>
      <c r="G164" s="7" t="s">
        <v>25</v>
      </c>
      <c r="H164" s="2"/>
      <c r="I164" s="8" t="s">
        <v>360</v>
      </c>
      <c r="J164" s="2" t="s">
        <v>115</v>
      </c>
    </row>
    <row r="165" customFormat="false" ht="15" hidden="false" customHeight="false" outlineLevel="0" collapsed="false">
      <c r="A165" s="2" t="s">
        <v>385</v>
      </c>
      <c r="B165" s="2" t="s">
        <v>386</v>
      </c>
      <c r="C165" s="14" t="n">
        <v>0</v>
      </c>
      <c r="D165" s="14" t="n">
        <v>0</v>
      </c>
      <c r="E165" s="14" t="n">
        <v>0</v>
      </c>
      <c r="F165" s="2" t="s">
        <v>113</v>
      </c>
      <c r="G165" s="7" t="s">
        <v>25</v>
      </c>
      <c r="H165" s="2"/>
      <c r="I165" s="8" t="s">
        <v>360</v>
      </c>
      <c r="J165" s="2" t="s">
        <v>115</v>
      </c>
    </row>
    <row r="166" customFormat="false" ht="15" hidden="false" customHeight="false" outlineLevel="0" collapsed="false">
      <c r="A166" s="2" t="s">
        <v>387</v>
      </c>
      <c r="B166" s="2" t="s">
        <v>388</v>
      </c>
      <c r="C166" s="14" t="n">
        <v>0</v>
      </c>
      <c r="D166" s="14" t="n">
        <v>0</v>
      </c>
      <c r="E166" s="14" t="n">
        <v>0</v>
      </c>
      <c r="F166" s="2" t="s">
        <v>113</v>
      </c>
      <c r="G166" s="7" t="s">
        <v>25</v>
      </c>
      <c r="H166" s="2"/>
      <c r="I166" s="8" t="s">
        <v>360</v>
      </c>
      <c r="J166" s="2" t="s">
        <v>115</v>
      </c>
    </row>
    <row r="167" customFormat="false" ht="15" hidden="false" customHeight="false" outlineLevel="0" collapsed="false">
      <c r="A167" s="2" t="s">
        <v>389</v>
      </c>
      <c r="B167" s="2" t="s">
        <v>390</v>
      </c>
      <c r="C167" s="14" t="n">
        <v>1</v>
      </c>
      <c r="D167" s="14" t="n">
        <v>1</v>
      </c>
      <c r="E167" s="14" t="n">
        <v>1</v>
      </c>
      <c r="F167" s="2" t="s">
        <v>113</v>
      </c>
      <c r="G167" s="7" t="s">
        <v>25</v>
      </c>
      <c r="H167" s="2"/>
      <c r="I167" s="8" t="s">
        <v>360</v>
      </c>
      <c r="J167" s="2" t="s">
        <v>115</v>
      </c>
    </row>
    <row r="168" customFormat="false" ht="15" hidden="false" customHeight="false" outlineLevel="0" collapsed="false">
      <c r="A168" s="2" t="s">
        <v>391</v>
      </c>
      <c r="B168" s="2" t="s">
        <v>392</v>
      </c>
      <c r="C168" s="14" t="n">
        <v>1</v>
      </c>
      <c r="D168" s="14" t="n">
        <v>1</v>
      </c>
      <c r="E168" s="14" t="n">
        <v>1</v>
      </c>
      <c r="F168" s="2" t="s">
        <v>113</v>
      </c>
      <c r="G168" s="7" t="s">
        <v>25</v>
      </c>
      <c r="H168" s="2"/>
      <c r="I168" s="8" t="s">
        <v>360</v>
      </c>
      <c r="J168" s="2" t="s">
        <v>115</v>
      </c>
    </row>
    <row r="169" customFormat="false" ht="46.25" hidden="false" customHeight="false" outlineLevel="0" collapsed="false">
      <c r="A169" s="2" t="s">
        <v>393</v>
      </c>
      <c r="B169" s="2" t="s">
        <v>394</v>
      </c>
      <c r="C169" s="9" t="n">
        <v>0.15</v>
      </c>
      <c r="D169" s="9" t="n">
        <v>0.3</v>
      </c>
      <c r="E169" s="9" t="n">
        <v>0.486</v>
      </c>
      <c r="F169" s="2" t="s">
        <v>46</v>
      </c>
      <c r="G169" s="11" t="s">
        <v>41</v>
      </c>
      <c r="H169" s="2" t="s">
        <v>395</v>
      </c>
      <c r="I169" s="8" t="s">
        <v>396</v>
      </c>
      <c r="J169" s="2" t="s">
        <v>115</v>
      </c>
    </row>
    <row r="170" customFormat="false" ht="15" hidden="false" customHeight="false" outlineLevel="0" collapsed="false">
      <c r="A170" s="5" t="s">
        <v>397</v>
      </c>
    </row>
    <row r="171" customFormat="false" ht="23.85" hidden="false" customHeight="false" outlineLevel="0" collapsed="false">
      <c r="A171" s="2" t="s">
        <v>398</v>
      </c>
      <c r="B171" s="2" t="s">
        <v>399</v>
      </c>
      <c r="C171" s="6" t="n">
        <v>170000</v>
      </c>
      <c r="D171" s="6" t="n">
        <v>170000</v>
      </c>
      <c r="E171" s="6" t="n">
        <v>170000</v>
      </c>
      <c r="F171" s="2" t="s">
        <v>400</v>
      </c>
      <c r="G171" s="11" t="s">
        <v>41</v>
      </c>
      <c r="H171" s="2" t="s">
        <v>401</v>
      </c>
      <c r="I171" s="8" t="s">
        <v>402</v>
      </c>
      <c r="J171" s="2" t="s">
        <v>403</v>
      </c>
    </row>
    <row r="172" customFormat="false" ht="23.85" hidden="false" customHeight="false" outlineLevel="0" collapsed="false">
      <c r="A172" s="2" t="s">
        <v>404</v>
      </c>
      <c r="B172" s="2" t="s">
        <v>405</v>
      </c>
      <c r="C172" s="6" t="n">
        <v>500000</v>
      </c>
      <c r="D172" s="6" t="n">
        <v>500000</v>
      </c>
      <c r="E172" s="6" t="n">
        <v>500000</v>
      </c>
      <c r="F172" s="2" t="s">
        <v>400</v>
      </c>
      <c r="G172" s="11" t="s">
        <v>41</v>
      </c>
      <c r="H172" s="2" t="s">
        <v>401</v>
      </c>
      <c r="I172" s="8" t="s">
        <v>406</v>
      </c>
      <c r="J172" s="2" t="s">
        <v>403</v>
      </c>
    </row>
    <row r="173" customFormat="false" ht="15" hidden="false" customHeight="false" outlineLevel="0" collapsed="false">
      <c r="A173" s="2" t="s">
        <v>407</v>
      </c>
      <c r="B173" s="2" t="s">
        <v>408</v>
      </c>
      <c r="C173" s="6" t="n">
        <v>665000</v>
      </c>
      <c r="D173" s="6" t="n">
        <v>665000</v>
      </c>
      <c r="E173" s="6" t="n">
        <v>665000</v>
      </c>
      <c r="F173" s="2" t="s">
        <v>400</v>
      </c>
      <c r="G173" s="11" t="s">
        <v>41</v>
      </c>
      <c r="H173" s="2" t="s">
        <v>401</v>
      </c>
      <c r="I173" s="8" t="s">
        <v>409</v>
      </c>
      <c r="J173" s="2" t="s">
        <v>403</v>
      </c>
    </row>
    <row r="174" customFormat="false" ht="15" hidden="false" customHeight="false" outlineLevel="0" collapsed="false">
      <c r="A174" s="2" t="s">
        <v>410</v>
      </c>
      <c r="B174" s="2" t="s">
        <v>411</v>
      </c>
      <c r="C174" s="6" t="n">
        <v>15</v>
      </c>
      <c r="D174" s="6" t="n">
        <v>30</v>
      </c>
      <c r="E174" s="6" t="n">
        <v>60</v>
      </c>
      <c r="F174" s="2" t="s">
        <v>412</v>
      </c>
      <c r="G174" s="7" t="s">
        <v>25</v>
      </c>
      <c r="H174" s="2"/>
      <c r="I174" s="8" t="s">
        <v>413</v>
      </c>
      <c r="J174" s="2" t="s">
        <v>403</v>
      </c>
    </row>
    <row r="175" customFormat="false" ht="15" hidden="false" customHeight="false" outlineLevel="0" collapsed="false">
      <c r="A175" s="2" t="s">
        <v>414</v>
      </c>
      <c r="B175" s="2" t="s">
        <v>415</v>
      </c>
      <c r="C175" s="6" t="n">
        <v>300</v>
      </c>
      <c r="D175" s="6" t="n">
        <v>500</v>
      </c>
      <c r="E175" s="6" t="n">
        <v>900</v>
      </c>
      <c r="F175" s="2" t="s">
        <v>416</v>
      </c>
      <c r="G175" s="11" t="s">
        <v>41</v>
      </c>
      <c r="H175" s="2" t="s">
        <v>417</v>
      </c>
      <c r="I175" s="8" t="s">
        <v>418</v>
      </c>
      <c r="J175" s="2" t="s">
        <v>403</v>
      </c>
    </row>
    <row r="176" customFormat="false" ht="35.05" hidden="false" customHeight="false" outlineLevel="0" collapsed="false">
      <c r="A176" s="2" t="s">
        <v>419</v>
      </c>
      <c r="B176" s="2" t="s">
        <v>420</v>
      </c>
      <c r="C176" s="6" t="n">
        <v>2900</v>
      </c>
      <c r="D176" s="6" t="n">
        <v>4000</v>
      </c>
      <c r="E176" s="6" t="n">
        <v>5500</v>
      </c>
      <c r="F176" s="2" t="s">
        <v>421</v>
      </c>
      <c r="G176" s="11" t="s">
        <v>41</v>
      </c>
      <c r="H176" s="2" t="s">
        <v>422</v>
      </c>
      <c r="I176" s="8" t="s">
        <v>423</v>
      </c>
      <c r="J176" s="2" t="s">
        <v>403</v>
      </c>
    </row>
    <row r="177" customFormat="false" ht="15" hidden="false" customHeight="false" outlineLevel="0" collapsed="false">
      <c r="A177" s="2" t="s">
        <v>424</v>
      </c>
      <c r="B177" s="2" t="s">
        <v>425</v>
      </c>
      <c r="C177" s="6" t="n">
        <v>20</v>
      </c>
      <c r="D177" s="6" t="n">
        <v>35</v>
      </c>
      <c r="E177" s="6" t="n">
        <v>60</v>
      </c>
      <c r="F177" s="2" t="s">
        <v>426</v>
      </c>
      <c r="G177" s="7" t="s">
        <v>25</v>
      </c>
      <c r="H177" s="2" t="s">
        <v>427</v>
      </c>
      <c r="I177" s="8" t="s">
        <v>428</v>
      </c>
      <c r="J177" s="2" t="s">
        <v>403</v>
      </c>
    </row>
    <row r="178" customFormat="false" ht="15" hidden="false" customHeight="false" outlineLevel="0" collapsed="false">
      <c r="A178" s="2" t="s">
        <v>429</v>
      </c>
      <c r="B178" s="2" t="s">
        <v>430</v>
      </c>
      <c r="C178" s="14" t="n">
        <v>25</v>
      </c>
      <c r="D178" s="14" t="n">
        <v>20</v>
      </c>
      <c r="E178" s="14" t="n">
        <v>15</v>
      </c>
      <c r="F178" s="2" t="s">
        <v>431</v>
      </c>
      <c r="G178" s="7" t="s">
        <v>25</v>
      </c>
      <c r="H178" s="2" t="s">
        <v>427</v>
      </c>
      <c r="I178" s="8"/>
      <c r="J178" s="2" t="s">
        <v>403</v>
      </c>
    </row>
    <row r="179" customFormat="false" ht="15" hidden="false" customHeight="false" outlineLevel="0" collapsed="false">
      <c r="A179" s="2" t="s">
        <v>432</v>
      </c>
      <c r="B179" s="2" t="s">
        <v>433</v>
      </c>
      <c r="C179" s="9" t="n">
        <v>0.04</v>
      </c>
      <c r="D179" s="9" t="n">
        <v>0.06</v>
      </c>
      <c r="E179" s="9" t="n">
        <v>0.08</v>
      </c>
      <c r="F179" s="2" t="s">
        <v>99</v>
      </c>
      <c r="G179" s="7" t="s">
        <v>25</v>
      </c>
      <c r="H179" s="2" t="s">
        <v>401</v>
      </c>
      <c r="I179" s="8"/>
      <c r="J179" s="2" t="s">
        <v>403</v>
      </c>
    </row>
    <row r="180" customFormat="false" ht="15" hidden="false" customHeight="false" outlineLevel="0" collapsed="false">
      <c r="A180" s="2" t="s">
        <v>434</v>
      </c>
      <c r="B180" s="2" t="s">
        <v>435</v>
      </c>
      <c r="C180" s="14" t="n">
        <v>12</v>
      </c>
      <c r="D180" s="14" t="n">
        <v>10</v>
      </c>
      <c r="E180" s="14" t="n">
        <v>8</v>
      </c>
      <c r="F180" s="2" t="s">
        <v>431</v>
      </c>
      <c r="G180" s="12" t="s">
        <v>47</v>
      </c>
      <c r="H180" s="2" t="s">
        <v>401</v>
      </c>
      <c r="I180" s="8" t="s">
        <v>436</v>
      </c>
      <c r="J180" s="2" t="s">
        <v>403</v>
      </c>
    </row>
    <row r="181" customFormat="false" ht="23.85" hidden="false" customHeight="false" outlineLevel="0" collapsed="false">
      <c r="A181" s="2" t="s">
        <v>437</v>
      </c>
      <c r="B181" s="2" t="s">
        <v>438</v>
      </c>
      <c r="C181" s="6" t="n">
        <v>3000</v>
      </c>
      <c r="D181" s="6" t="n">
        <v>5000</v>
      </c>
      <c r="E181" s="6" t="n">
        <v>8000</v>
      </c>
      <c r="F181" s="2" t="s">
        <v>439</v>
      </c>
      <c r="G181" s="7" t="s">
        <v>25</v>
      </c>
      <c r="H181" s="2" t="s">
        <v>427</v>
      </c>
      <c r="I181" s="8" t="s">
        <v>440</v>
      </c>
      <c r="J181" s="2" t="s">
        <v>403</v>
      </c>
    </row>
    <row r="182" customFormat="false" ht="15" hidden="false" customHeight="false" outlineLevel="0" collapsed="false">
      <c r="A182" s="2" t="s">
        <v>441</v>
      </c>
      <c r="B182" s="2" t="s">
        <v>442</v>
      </c>
      <c r="C182" s="6" t="n">
        <v>150</v>
      </c>
      <c r="D182" s="6" t="n">
        <v>180</v>
      </c>
      <c r="E182" s="6" t="n">
        <v>250</v>
      </c>
      <c r="F182" s="2" t="s">
        <v>76</v>
      </c>
      <c r="G182" s="11" t="s">
        <v>41</v>
      </c>
      <c r="H182" s="2" t="s">
        <v>443</v>
      </c>
      <c r="I182" s="8" t="s">
        <v>444</v>
      </c>
      <c r="J182" s="2" t="s">
        <v>403</v>
      </c>
    </row>
    <row r="183" customFormat="false" ht="15" hidden="false" customHeight="false" outlineLevel="0" collapsed="false">
      <c r="A183" s="2" t="s">
        <v>445</v>
      </c>
      <c r="B183" s="2" t="s">
        <v>446</v>
      </c>
      <c r="C183" s="14" t="n">
        <v>35</v>
      </c>
      <c r="D183" s="14" t="n">
        <v>30</v>
      </c>
      <c r="E183" s="14" t="n">
        <v>25</v>
      </c>
      <c r="F183" s="2" t="s">
        <v>431</v>
      </c>
      <c r="G183" s="12" t="s">
        <v>47</v>
      </c>
      <c r="H183" s="2" t="s">
        <v>443</v>
      </c>
      <c r="I183" s="8" t="s">
        <v>447</v>
      </c>
      <c r="J183" s="2" t="s">
        <v>403</v>
      </c>
    </row>
    <row r="184" customFormat="false" ht="15" hidden="false" customHeight="false" outlineLevel="0" collapsed="false">
      <c r="A184" s="2" t="s">
        <v>448</v>
      </c>
      <c r="B184" s="2" t="s">
        <v>449</v>
      </c>
      <c r="C184" s="6" t="n">
        <v>500</v>
      </c>
      <c r="D184" s="6" t="n">
        <v>800</v>
      </c>
      <c r="E184" s="6" t="n">
        <v>1500</v>
      </c>
      <c r="F184" s="2" t="s">
        <v>439</v>
      </c>
      <c r="G184" s="7" t="s">
        <v>25</v>
      </c>
      <c r="H184" s="2" t="s">
        <v>427</v>
      </c>
      <c r="I184" s="8"/>
      <c r="J184" s="2" t="s">
        <v>403</v>
      </c>
    </row>
    <row r="185" customFormat="false" ht="23.85" hidden="false" customHeight="false" outlineLevel="0" collapsed="false">
      <c r="A185" s="2" t="s">
        <v>450</v>
      </c>
      <c r="B185" s="2" t="s">
        <v>451</v>
      </c>
      <c r="C185" s="6" t="n">
        <v>120</v>
      </c>
      <c r="D185" s="6" t="n">
        <v>180</v>
      </c>
      <c r="E185" s="6" t="n">
        <v>250</v>
      </c>
      <c r="F185" s="2" t="s">
        <v>412</v>
      </c>
      <c r="G185" s="11" t="s">
        <v>41</v>
      </c>
      <c r="H185" s="2" t="s">
        <v>452</v>
      </c>
      <c r="I185" s="8" t="s">
        <v>453</v>
      </c>
      <c r="J185" s="2" t="s">
        <v>403</v>
      </c>
    </row>
    <row r="186" customFormat="false" ht="15" hidden="false" customHeight="false" outlineLevel="0" collapsed="false">
      <c r="A186" s="2" t="s">
        <v>454</v>
      </c>
      <c r="B186" s="2" t="s">
        <v>455</v>
      </c>
      <c r="C186" s="6" t="n">
        <v>8</v>
      </c>
      <c r="D186" s="6" t="n">
        <v>12</v>
      </c>
      <c r="E186" s="6" t="n">
        <v>18</v>
      </c>
      <c r="F186" s="2" t="s">
        <v>76</v>
      </c>
      <c r="G186" s="11" t="s">
        <v>41</v>
      </c>
      <c r="H186" s="2" t="s">
        <v>443</v>
      </c>
      <c r="I186" s="8" t="s">
        <v>456</v>
      </c>
      <c r="J186" s="2" t="s">
        <v>403</v>
      </c>
    </row>
    <row r="187" customFormat="false" ht="15" hidden="false" customHeight="false" outlineLevel="0" collapsed="false">
      <c r="A187" s="2" t="s">
        <v>457</v>
      </c>
      <c r="B187" s="2" t="s">
        <v>458</v>
      </c>
      <c r="C187" s="14" t="n">
        <v>12</v>
      </c>
      <c r="D187" s="14" t="n">
        <v>10</v>
      </c>
      <c r="E187" s="14" t="n">
        <v>8</v>
      </c>
      <c r="F187" s="2" t="s">
        <v>431</v>
      </c>
      <c r="G187" s="7" t="s">
        <v>25</v>
      </c>
      <c r="H187" s="2"/>
      <c r="I187" s="8" t="s">
        <v>459</v>
      </c>
      <c r="J187" s="2" t="s">
        <v>403</v>
      </c>
    </row>
    <row r="188" customFormat="false" ht="23.85" hidden="false" customHeight="false" outlineLevel="0" collapsed="false">
      <c r="A188" s="2" t="s">
        <v>460</v>
      </c>
      <c r="B188" s="2" t="s">
        <v>461</v>
      </c>
      <c r="C188" s="6" t="n">
        <v>6</v>
      </c>
      <c r="D188" s="6" t="n">
        <v>12</v>
      </c>
      <c r="E188" s="6" t="n">
        <v>25</v>
      </c>
      <c r="F188" s="2" t="s">
        <v>412</v>
      </c>
      <c r="G188" s="7" t="s">
        <v>25</v>
      </c>
      <c r="H188" s="2"/>
      <c r="I188" s="8" t="s">
        <v>462</v>
      </c>
      <c r="J188" s="2" t="s">
        <v>403</v>
      </c>
    </row>
    <row r="189" customFormat="false" ht="15" hidden="false" customHeight="false" outlineLevel="0" collapsed="false">
      <c r="A189" s="5" t="s">
        <v>463</v>
      </c>
    </row>
    <row r="190" customFormat="false" ht="35.05" hidden="false" customHeight="false" outlineLevel="0" collapsed="false">
      <c r="A190" s="2" t="s">
        <v>464</v>
      </c>
      <c r="B190" s="2" t="s">
        <v>465</v>
      </c>
      <c r="C190" s="6" t="n">
        <v>72400</v>
      </c>
      <c r="D190" s="6" t="n">
        <v>70000</v>
      </c>
      <c r="E190" s="6" t="n">
        <v>68800</v>
      </c>
      <c r="F190" s="2" t="s">
        <v>466</v>
      </c>
      <c r="G190" s="11" t="s">
        <v>41</v>
      </c>
      <c r="H190" s="2" t="s">
        <v>467</v>
      </c>
      <c r="I190" s="8" t="s">
        <v>468</v>
      </c>
      <c r="J190" s="2" t="s">
        <v>469</v>
      </c>
    </row>
    <row r="191" customFormat="false" ht="46.25" hidden="false" customHeight="false" outlineLevel="0" collapsed="false">
      <c r="A191" s="2" t="s">
        <v>470</v>
      </c>
      <c r="B191" s="2" t="s">
        <v>471</v>
      </c>
      <c r="C191" s="14" t="n">
        <v>60</v>
      </c>
      <c r="D191" s="14" t="n">
        <v>50</v>
      </c>
      <c r="E191" s="14" t="n">
        <v>0</v>
      </c>
      <c r="F191" s="2" t="s">
        <v>472</v>
      </c>
      <c r="G191" s="7" t="s">
        <v>25</v>
      </c>
      <c r="H191" s="2" t="s">
        <v>473</v>
      </c>
      <c r="I191" s="8" t="s">
        <v>474</v>
      </c>
      <c r="J191" s="2" t="s">
        <v>469</v>
      </c>
    </row>
    <row r="192" customFormat="false" ht="15" hidden="false" customHeight="false" outlineLevel="0" collapsed="false">
      <c r="A192" s="2" t="s">
        <v>475</v>
      </c>
      <c r="B192" s="2" t="s">
        <v>476</v>
      </c>
      <c r="C192" s="9" t="n">
        <v>0.05</v>
      </c>
      <c r="D192" s="9" t="n">
        <v>0.1</v>
      </c>
      <c r="E192" s="9" t="n">
        <v>0.15</v>
      </c>
      <c r="F192" s="2" t="s">
        <v>477</v>
      </c>
      <c r="G192" s="7" t="s">
        <v>25</v>
      </c>
      <c r="H192" s="2"/>
      <c r="I192" s="8"/>
      <c r="J192" s="2" t="s">
        <v>469</v>
      </c>
    </row>
    <row r="193" customFormat="false" ht="23.85" hidden="false" customHeight="false" outlineLevel="0" collapsed="false">
      <c r="A193" s="2" t="s">
        <v>478</v>
      </c>
      <c r="B193" s="2" t="s">
        <v>479</v>
      </c>
      <c r="C193" s="9" t="n">
        <v>0.4</v>
      </c>
      <c r="D193" s="9" t="n">
        <v>0.25</v>
      </c>
      <c r="E193" s="9" t="n">
        <v>0</v>
      </c>
      <c r="F193" s="2" t="s">
        <v>46</v>
      </c>
      <c r="G193" s="7" t="s">
        <v>25</v>
      </c>
      <c r="H193" s="2" t="s">
        <v>480</v>
      </c>
      <c r="I193" s="8" t="s">
        <v>481</v>
      </c>
      <c r="J193" s="2" t="s">
        <v>469</v>
      </c>
    </row>
    <row r="194" customFormat="false" ht="46.25" hidden="false" customHeight="false" outlineLevel="0" collapsed="false">
      <c r="A194" s="2" t="s">
        <v>482</v>
      </c>
      <c r="B194" s="2" t="s">
        <v>483</v>
      </c>
      <c r="C194" s="9" t="n">
        <v>0.12</v>
      </c>
      <c r="D194" s="9" t="n">
        <v>0.1</v>
      </c>
      <c r="E194" s="9" t="n">
        <v>0.08</v>
      </c>
      <c r="F194" s="2" t="s">
        <v>46</v>
      </c>
      <c r="G194" s="11" t="s">
        <v>41</v>
      </c>
      <c r="H194" s="2" t="s">
        <v>484</v>
      </c>
      <c r="I194" s="8" t="s">
        <v>485</v>
      </c>
      <c r="J194" s="2" t="s">
        <v>469</v>
      </c>
    </row>
    <row r="195" customFormat="false" ht="35.05" hidden="false" customHeight="false" outlineLevel="0" collapsed="false">
      <c r="A195" s="2" t="s">
        <v>486</v>
      </c>
      <c r="B195" s="2" t="s">
        <v>487</v>
      </c>
      <c r="C195" s="6" t="n">
        <v>100000</v>
      </c>
      <c r="D195" s="6" t="n">
        <v>300000</v>
      </c>
      <c r="E195" s="6" t="n">
        <v>600000</v>
      </c>
      <c r="F195" s="2" t="s">
        <v>488</v>
      </c>
      <c r="G195" s="7" t="s">
        <v>25</v>
      </c>
      <c r="H195" s="2" t="s">
        <v>489</v>
      </c>
      <c r="I195" s="8" t="s">
        <v>490</v>
      </c>
      <c r="J195" s="2" t="s">
        <v>469</v>
      </c>
    </row>
    <row r="196" customFormat="false" ht="15" hidden="false" customHeight="false" outlineLevel="0" collapsed="false">
      <c r="A196" s="2" t="s">
        <v>491</v>
      </c>
      <c r="B196" s="2" t="s">
        <v>492</v>
      </c>
      <c r="C196" s="9" t="n">
        <v>0.2</v>
      </c>
      <c r="D196" s="9" t="n">
        <v>0.22</v>
      </c>
      <c r="E196" s="9" t="n">
        <v>0.22</v>
      </c>
      <c r="F196" s="2" t="s">
        <v>46</v>
      </c>
      <c r="G196" s="12" t="s">
        <v>47</v>
      </c>
      <c r="H196" s="2" t="s">
        <v>493</v>
      </c>
      <c r="I196" s="8" t="s">
        <v>494</v>
      </c>
      <c r="J196" s="2" t="s">
        <v>469</v>
      </c>
    </row>
    <row r="197" customFormat="false" ht="15" hidden="false" customHeight="false" outlineLevel="0" collapsed="false">
      <c r="A197" s="2" t="s">
        <v>495</v>
      </c>
      <c r="B197" s="2" t="s">
        <v>496</v>
      </c>
      <c r="C197" s="6" t="n">
        <v>5000</v>
      </c>
      <c r="D197" s="6" t="n">
        <v>10000</v>
      </c>
      <c r="E197" s="6" t="n">
        <v>20000</v>
      </c>
      <c r="F197" s="2" t="s">
        <v>497</v>
      </c>
      <c r="G197" s="7" t="s">
        <v>25</v>
      </c>
      <c r="H197" s="2" t="s">
        <v>498</v>
      </c>
      <c r="I197" s="8"/>
      <c r="J197" s="2" t="s">
        <v>469</v>
      </c>
    </row>
    <row r="198" customFormat="false" ht="35.05" hidden="false" customHeight="false" outlineLevel="0" collapsed="false">
      <c r="A198" s="2" t="s">
        <v>499</v>
      </c>
      <c r="B198" s="2" t="s">
        <v>500</v>
      </c>
      <c r="C198" s="6" t="n">
        <v>45000</v>
      </c>
      <c r="D198" s="6" t="n">
        <v>30000</v>
      </c>
      <c r="E198" s="6" t="n">
        <v>20000</v>
      </c>
      <c r="F198" s="2" t="s">
        <v>501</v>
      </c>
      <c r="G198" s="11" t="s">
        <v>41</v>
      </c>
      <c r="H198" s="2" t="s">
        <v>502</v>
      </c>
      <c r="I198" s="8" t="s">
        <v>503</v>
      </c>
      <c r="J198" s="2" t="s">
        <v>469</v>
      </c>
    </row>
    <row r="199" customFormat="false" ht="35.05" hidden="false" customHeight="false" outlineLevel="0" collapsed="false">
      <c r="A199" s="2" t="s">
        <v>504</v>
      </c>
      <c r="B199" s="2" t="s">
        <v>505</v>
      </c>
      <c r="C199" s="14" t="n">
        <v>6</v>
      </c>
      <c r="D199" s="14" t="n">
        <v>3</v>
      </c>
      <c r="E199" s="14" t="n">
        <v>2</v>
      </c>
      <c r="F199" s="2" t="s">
        <v>506</v>
      </c>
      <c r="G199" s="7" t="s">
        <v>25</v>
      </c>
      <c r="H199" s="2" t="s">
        <v>507</v>
      </c>
      <c r="I199" s="8" t="s">
        <v>508</v>
      </c>
      <c r="J199" s="2" t="s">
        <v>469</v>
      </c>
    </row>
    <row r="200" customFormat="false" ht="15" hidden="false" customHeight="false" outlineLevel="0" collapsed="false">
      <c r="A200" s="2" t="s">
        <v>509</v>
      </c>
      <c r="B200" s="2" t="s">
        <v>510</v>
      </c>
      <c r="C200" s="9" t="n">
        <v>0.1</v>
      </c>
      <c r="D200" s="9" t="n">
        <v>0.15</v>
      </c>
      <c r="E200" s="9" t="n">
        <v>0.2</v>
      </c>
      <c r="F200" s="2" t="s">
        <v>46</v>
      </c>
      <c r="G200" s="7" t="s">
        <v>25</v>
      </c>
      <c r="H200" s="2" t="s">
        <v>511</v>
      </c>
      <c r="I200" s="8" t="s">
        <v>512</v>
      </c>
      <c r="J200" s="2" t="s">
        <v>469</v>
      </c>
    </row>
    <row r="201" customFormat="false" ht="15" hidden="false" customHeight="false" outlineLevel="0" collapsed="false">
      <c r="A201" s="5" t="s">
        <v>513</v>
      </c>
    </row>
    <row r="202" customFormat="false" ht="15" hidden="false" customHeight="false" outlineLevel="0" collapsed="false">
      <c r="A202" s="2" t="s">
        <v>514</v>
      </c>
      <c r="B202" s="2" t="s">
        <v>515</v>
      </c>
      <c r="C202" s="9" t="n">
        <v>0.3</v>
      </c>
      <c r="D202" s="9" t="n">
        <v>0.35</v>
      </c>
      <c r="E202" s="9" t="n">
        <v>0.4</v>
      </c>
      <c r="F202" s="2" t="s">
        <v>46</v>
      </c>
      <c r="G202" s="7" t="s">
        <v>25</v>
      </c>
      <c r="H202" s="2"/>
      <c r="I202" s="8"/>
      <c r="J202" s="2" t="s">
        <v>516</v>
      </c>
    </row>
    <row r="203" customFormat="false" ht="15" hidden="false" customHeight="false" outlineLevel="0" collapsed="false">
      <c r="A203" s="2" t="s">
        <v>517</v>
      </c>
      <c r="B203" s="2" t="s">
        <v>518</v>
      </c>
      <c r="C203" s="9" t="n">
        <v>0.9</v>
      </c>
      <c r="D203" s="9" t="n">
        <v>0.6</v>
      </c>
      <c r="E203" s="9" t="n">
        <v>0.4</v>
      </c>
      <c r="F203" s="2" t="s">
        <v>46</v>
      </c>
      <c r="G203" s="7" t="s">
        <v>25</v>
      </c>
      <c r="H203" s="2"/>
      <c r="I203" s="8"/>
      <c r="J203" s="2" t="s">
        <v>516</v>
      </c>
    </row>
    <row r="204" customFormat="false" ht="23.85" hidden="false" customHeight="false" outlineLevel="0" collapsed="false">
      <c r="A204" s="2" t="s">
        <v>519</v>
      </c>
      <c r="B204" s="2" t="s">
        <v>520</v>
      </c>
      <c r="C204" s="6" t="n">
        <v>350000</v>
      </c>
      <c r="D204" s="6" t="n">
        <v>500000</v>
      </c>
      <c r="E204" s="6" t="n">
        <v>700000</v>
      </c>
      <c r="F204" s="2" t="s">
        <v>521</v>
      </c>
      <c r="G204" s="12" t="s">
        <v>47</v>
      </c>
      <c r="H204" s="2" t="s">
        <v>522</v>
      </c>
      <c r="I204" s="8" t="s">
        <v>523</v>
      </c>
      <c r="J204" s="2" t="s">
        <v>516</v>
      </c>
    </row>
    <row r="205" customFormat="false" ht="15" hidden="false" customHeight="false" outlineLevel="0" collapsed="false">
      <c r="A205" s="2" t="s">
        <v>524</v>
      </c>
      <c r="B205" s="2" t="s">
        <v>525</v>
      </c>
      <c r="C205" s="14" t="n">
        <v>15</v>
      </c>
      <c r="D205" s="14" t="n">
        <v>15</v>
      </c>
      <c r="E205" s="14" t="n">
        <v>15</v>
      </c>
      <c r="F205" s="2" t="s">
        <v>472</v>
      </c>
      <c r="G205" s="7" t="s">
        <v>25</v>
      </c>
      <c r="H205" s="2"/>
      <c r="I205" s="8"/>
      <c r="J205" s="2" t="s">
        <v>516</v>
      </c>
    </row>
    <row r="206" customFormat="false" ht="15" hidden="false" customHeight="false" outlineLevel="0" collapsed="false">
      <c r="A206" s="2" t="s">
        <v>526</v>
      </c>
      <c r="B206" s="2" t="s">
        <v>527</v>
      </c>
      <c r="C206" s="6" t="n">
        <v>34000</v>
      </c>
      <c r="D206" s="6" t="n">
        <v>38000</v>
      </c>
      <c r="E206" s="6" t="n">
        <v>42000</v>
      </c>
      <c r="F206" s="2" t="s">
        <v>528</v>
      </c>
      <c r="G206" s="11" t="s">
        <v>41</v>
      </c>
      <c r="H206" s="2" t="s">
        <v>529</v>
      </c>
      <c r="I206" s="8" t="s">
        <v>530</v>
      </c>
      <c r="J206" s="2" t="s">
        <v>516</v>
      </c>
    </row>
    <row r="207" customFormat="false" ht="35.05" hidden="false" customHeight="false" outlineLevel="0" collapsed="false">
      <c r="A207" s="2" t="s">
        <v>531</v>
      </c>
      <c r="B207" s="2" t="s">
        <v>532</v>
      </c>
      <c r="C207" s="14" t="n">
        <v>1.2</v>
      </c>
      <c r="D207" s="14" t="n">
        <v>1.65</v>
      </c>
      <c r="E207" s="14" t="n">
        <v>1.9</v>
      </c>
      <c r="F207" s="2" t="s">
        <v>533</v>
      </c>
      <c r="G207" s="11" t="s">
        <v>41</v>
      </c>
      <c r="H207" s="2" t="s">
        <v>534</v>
      </c>
      <c r="I207" s="8" t="s">
        <v>535</v>
      </c>
      <c r="J207" s="2" t="s">
        <v>516</v>
      </c>
    </row>
    <row r="208" customFormat="false" ht="15" hidden="false" customHeight="false" outlineLevel="0" collapsed="false">
      <c r="A208" s="2" t="s">
        <v>536</v>
      </c>
      <c r="B208" s="2" t="s">
        <v>537</v>
      </c>
      <c r="C208" s="6" t="n">
        <v>184</v>
      </c>
      <c r="D208" s="6" t="n">
        <v>130</v>
      </c>
      <c r="E208" s="6" t="n">
        <v>102</v>
      </c>
      <c r="F208" s="2" t="s">
        <v>538</v>
      </c>
      <c r="G208" s="12" t="s">
        <v>47</v>
      </c>
      <c r="H208" s="2" t="s">
        <v>539</v>
      </c>
      <c r="I208" s="8" t="s">
        <v>540</v>
      </c>
      <c r="J208" s="2" t="s">
        <v>516</v>
      </c>
    </row>
    <row r="209" customFormat="false" ht="15" hidden="false" customHeight="false" outlineLevel="0" collapsed="false">
      <c r="A209" s="5" t="s">
        <v>541</v>
      </c>
    </row>
    <row r="210" customFormat="false" ht="35.05" hidden="false" customHeight="false" outlineLevel="0" collapsed="false">
      <c r="A210" s="2" t="s">
        <v>542</v>
      </c>
      <c r="B210" s="2" t="s">
        <v>543</v>
      </c>
      <c r="C210" s="9" t="n">
        <v>0.03</v>
      </c>
      <c r="D210" s="9" t="n">
        <v>0.0275</v>
      </c>
      <c r="E210" s="9" t="n">
        <v>0.025</v>
      </c>
      <c r="F210" s="2" t="s">
        <v>544</v>
      </c>
      <c r="G210" s="11" t="s">
        <v>41</v>
      </c>
      <c r="H210" s="2" t="s">
        <v>545</v>
      </c>
      <c r="I210" s="8" t="s">
        <v>546</v>
      </c>
      <c r="J210" s="2" t="s">
        <v>547</v>
      </c>
    </row>
    <row r="211" customFormat="false" ht="23.85" hidden="false" customHeight="false" outlineLevel="0" collapsed="false">
      <c r="A211" s="2" t="s">
        <v>548</v>
      </c>
      <c r="B211" s="2" t="s">
        <v>549</v>
      </c>
      <c r="C211" s="6" t="n">
        <v>0.45</v>
      </c>
      <c r="D211" s="6" t="n">
        <v>0.396</v>
      </c>
      <c r="E211" s="6" t="n">
        <v>0.33</v>
      </c>
      <c r="F211" s="2" t="s">
        <v>550</v>
      </c>
      <c r="G211" s="11" t="s">
        <v>41</v>
      </c>
      <c r="H211" s="2" t="s">
        <v>551</v>
      </c>
      <c r="I211" s="8" t="s">
        <v>552</v>
      </c>
      <c r="J211" s="2" t="s">
        <v>547</v>
      </c>
    </row>
    <row r="212" customFormat="false" ht="15" hidden="false" customHeight="false" outlineLevel="0" collapsed="false">
      <c r="A212" s="5" t="s">
        <v>553</v>
      </c>
    </row>
    <row r="213" customFormat="false" ht="23.85" hidden="false" customHeight="false" outlineLevel="0" collapsed="false">
      <c r="A213" s="2" t="s">
        <v>554</v>
      </c>
      <c r="B213" s="2" t="s">
        <v>555</v>
      </c>
      <c r="C213" s="6" t="n">
        <v>100</v>
      </c>
      <c r="D213" s="6" t="n">
        <v>75</v>
      </c>
      <c r="E213" s="6" t="n">
        <v>50</v>
      </c>
      <c r="F213" s="2" t="s">
        <v>412</v>
      </c>
      <c r="G213" s="7" t="s">
        <v>25</v>
      </c>
      <c r="H213" s="2" t="s">
        <v>556</v>
      </c>
      <c r="I213" s="8" t="s">
        <v>557</v>
      </c>
      <c r="J213" s="2" t="s">
        <v>558</v>
      </c>
    </row>
    <row r="214" customFormat="false" ht="23.85" hidden="false" customHeight="false" outlineLevel="0" collapsed="false">
      <c r="A214" s="2" t="s">
        <v>559</v>
      </c>
      <c r="B214" s="2" t="s">
        <v>560</v>
      </c>
      <c r="C214" s="14" t="n">
        <v>10</v>
      </c>
      <c r="D214" s="14" t="n">
        <v>5</v>
      </c>
      <c r="E214" s="14" t="n">
        <v>0</v>
      </c>
      <c r="F214" s="2" t="s">
        <v>561</v>
      </c>
      <c r="G214" s="7" t="s">
        <v>25</v>
      </c>
      <c r="H214" s="2" t="s">
        <v>562</v>
      </c>
      <c r="I214" s="8" t="s">
        <v>563</v>
      </c>
      <c r="J214" s="2" t="s">
        <v>558</v>
      </c>
    </row>
    <row r="215" customFormat="false" ht="15" hidden="false" customHeight="false" outlineLevel="0" collapsed="false">
      <c r="A215" s="2" t="s">
        <v>564</v>
      </c>
      <c r="B215" s="2" t="s">
        <v>565</v>
      </c>
      <c r="C215" s="6" t="n">
        <v>6000</v>
      </c>
      <c r="D215" s="6" t="n">
        <v>3000</v>
      </c>
      <c r="E215" s="6" t="n">
        <v>1500</v>
      </c>
      <c r="F215" s="2" t="s">
        <v>412</v>
      </c>
      <c r="G215" s="11" t="s">
        <v>41</v>
      </c>
      <c r="H215" s="2" t="s">
        <v>566</v>
      </c>
      <c r="I215" s="8" t="s">
        <v>567</v>
      </c>
      <c r="J215" s="2" t="s">
        <v>558</v>
      </c>
    </row>
    <row r="216" customFormat="false" ht="15" hidden="false" customHeight="false" outlineLevel="0" collapsed="false">
      <c r="A216" s="5" t="s">
        <v>568</v>
      </c>
    </row>
    <row r="217" customFormat="false" ht="15" hidden="false" customHeight="false" outlineLevel="0" collapsed="false">
      <c r="A217" s="2" t="s">
        <v>569</v>
      </c>
      <c r="B217" s="2" t="s">
        <v>570</v>
      </c>
      <c r="C217" s="14" t="n">
        <v>30</v>
      </c>
      <c r="D217" s="14" t="n">
        <v>30</v>
      </c>
      <c r="E217" s="14" t="n">
        <v>30</v>
      </c>
      <c r="F217" s="2" t="s">
        <v>571</v>
      </c>
      <c r="G217" s="7" t="s">
        <v>25</v>
      </c>
      <c r="H217" s="2"/>
      <c r="I217" s="8"/>
      <c r="J217" s="2" t="s">
        <v>572</v>
      </c>
    </row>
    <row r="218" customFormat="false" ht="15" hidden="false" customHeight="false" outlineLevel="0" collapsed="false">
      <c r="A218" s="2" t="s">
        <v>573</v>
      </c>
      <c r="B218" s="2" t="s">
        <v>574</v>
      </c>
      <c r="C218" s="6" t="n">
        <v>4300</v>
      </c>
      <c r="D218" s="6" t="n">
        <v>4545</v>
      </c>
      <c r="E218" s="6" t="n">
        <v>5300</v>
      </c>
      <c r="F218" s="2" t="s">
        <v>416</v>
      </c>
      <c r="G218" s="11" t="s">
        <v>41</v>
      </c>
      <c r="H218" s="2" t="s">
        <v>575</v>
      </c>
      <c r="I218" s="8" t="s">
        <v>576</v>
      </c>
      <c r="J218" s="2" t="s">
        <v>572</v>
      </c>
    </row>
    <row r="219" customFormat="false" ht="15" hidden="false" customHeight="false" outlineLevel="0" collapsed="false">
      <c r="A219" s="2" t="s">
        <v>577</v>
      </c>
      <c r="B219" s="2" t="s">
        <v>578</v>
      </c>
      <c r="C219" s="6" t="n">
        <v>2122</v>
      </c>
      <c r="D219" s="6" t="n">
        <v>2238</v>
      </c>
      <c r="E219" s="6" t="n">
        <v>2500</v>
      </c>
      <c r="F219" s="2" t="s">
        <v>579</v>
      </c>
      <c r="G219" s="11" t="s">
        <v>41</v>
      </c>
      <c r="H219" s="2" t="s">
        <v>575</v>
      </c>
      <c r="I219" s="8" t="s">
        <v>580</v>
      </c>
      <c r="J219" s="2" t="s">
        <v>572</v>
      </c>
    </row>
    <row r="220" customFormat="false" ht="15" hidden="false" customHeight="false" outlineLevel="0" collapsed="false">
      <c r="A220" s="2" t="s">
        <v>581</v>
      </c>
      <c r="B220" s="2" t="s">
        <v>582</v>
      </c>
      <c r="C220" s="9" t="n">
        <v>0.92</v>
      </c>
      <c r="D220" s="9" t="n">
        <v>0.85</v>
      </c>
      <c r="E220" s="9" t="n">
        <v>0.7</v>
      </c>
      <c r="F220" s="2" t="s">
        <v>46</v>
      </c>
      <c r="G220" s="7" t="s">
        <v>25</v>
      </c>
      <c r="H220" s="2" t="s">
        <v>583</v>
      </c>
      <c r="I220" s="8"/>
      <c r="J220" s="2" t="s">
        <v>572</v>
      </c>
    </row>
    <row r="221" customFormat="false" ht="46.25" hidden="false" customHeight="false" outlineLevel="0" collapsed="false">
      <c r="A221" s="2" t="s">
        <v>584</v>
      </c>
      <c r="B221" s="2" t="s">
        <v>585</v>
      </c>
      <c r="C221" s="6" t="n">
        <v>874</v>
      </c>
      <c r="D221" s="6" t="n">
        <v>700</v>
      </c>
      <c r="E221" s="6" t="n">
        <v>450</v>
      </c>
      <c r="F221" s="2" t="s">
        <v>586</v>
      </c>
      <c r="G221" s="11" t="s">
        <v>41</v>
      </c>
      <c r="H221" s="2" t="s">
        <v>587</v>
      </c>
      <c r="I221" s="8" t="s">
        <v>588</v>
      </c>
      <c r="J221" s="2" t="s">
        <v>572</v>
      </c>
    </row>
    <row r="222" customFormat="false" ht="15" hidden="false" customHeight="false" outlineLevel="0" collapsed="false">
      <c r="A222" s="2" t="s">
        <v>589</v>
      </c>
      <c r="B222" s="2" t="s">
        <v>590</v>
      </c>
      <c r="C222" s="14" t="n">
        <v>20</v>
      </c>
      <c r="D222" s="14" t="n">
        <v>20</v>
      </c>
      <c r="E222" s="14" t="n">
        <v>20</v>
      </c>
      <c r="F222" s="2" t="s">
        <v>571</v>
      </c>
      <c r="G222" s="7" t="s">
        <v>25</v>
      </c>
      <c r="H222" s="2"/>
      <c r="I222" s="8"/>
      <c r="J222" s="2" t="s">
        <v>572</v>
      </c>
    </row>
    <row r="223" customFormat="false" ht="15" hidden="false" customHeight="false" outlineLevel="0" collapsed="false">
      <c r="A223" s="2" t="s">
        <v>591</v>
      </c>
      <c r="B223" s="2" t="s">
        <v>592</v>
      </c>
      <c r="C223" s="6" t="n">
        <v>100</v>
      </c>
      <c r="D223" s="6" t="n">
        <v>150</v>
      </c>
      <c r="E223" s="6" t="n">
        <v>250</v>
      </c>
      <c r="F223" s="2" t="s">
        <v>416</v>
      </c>
      <c r="G223" s="7" t="s">
        <v>25</v>
      </c>
      <c r="H223" s="2"/>
      <c r="I223" s="8"/>
      <c r="J223" s="2" t="s">
        <v>572</v>
      </c>
    </row>
    <row r="224" customFormat="false" ht="35.05" hidden="false" customHeight="false" outlineLevel="0" collapsed="false">
      <c r="A224" s="2" t="s">
        <v>593</v>
      </c>
      <c r="B224" s="2" t="s">
        <v>594</v>
      </c>
      <c r="C224" s="6" t="n">
        <v>1176</v>
      </c>
      <c r="D224" s="6" t="n">
        <v>600</v>
      </c>
      <c r="E224" s="6" t="n">
        <v>0</v>
      </c>
      <c r="F224" s="2" t="s">
        <v>416</v>
      </c>
      <c r="G224" s="11" t="s">
        <v>41</v>
      </c>
      <c r="H224" s="2" t="s">
        <v>595</v>
      </c>
      <c r="I224" s="8" t="s">
        <v>596</v>
      </c>
      <c r="J224" s="2" t="s">
        <v>572</v>
      </c>
    </row>
    <row r="225" customFormat="false" ht="15" hidden="false" customHeight="false" outlineLevel="0" collapsed="false">
      <c r="A225" s="2" t="s">
        <v>597</v>
      </c>
      <c r="B225" s="2" t="s">
        <v>598</v>
      </c>
      <c r="C225" s="14" t="n">
        <v>30</v>
      </c>
      <c r="D225" s="14" t="n">
        <v>30</v>
      </c>
      <c r="E225" s="14" t="n">
        <v>30</v>
      </c>
      <c r="F225" s="2" t="s">
        <v>599</v>
      </c>
      <c r="G225" s="7" t="s">
        <v>25</v>
      </c>
      <c r="H225" s="2"/>
      <c r="I225" s="8"/>
      <c r="J225" s="2" t="s">
        <v>572</v>
      </c>
    </row>
    <row r="226" customFormat="false" ht="15" hidden="false" customHeight="false" outlineLevel="0" collapsed="false">
      <c r="A226" s="2" t="s">
        <v>600</v>
      </c>
      <c r="B226" s="2" t="s">
        <v>601</v>
      </c>
      <c r="C226" s="6" t="n">
        <v>1500</v>
      </c>
      <c r="D226" s="6" t="n">
        <v>1800</v>
      </c>
      <c r="E226" s="6" t="n">
        <v>2100</v>
      </c>
      <c r="F226" s="2" t="s">
        <v>579</v>
      </c>
      <c r="G226" s="11" t="s">
        <v>41</v>
      </c>
      <c r="H226" s="2" t="s">
        <v>602</v>
      </c>
      <c r="I226" s="8" t="s">
        <v>603</v>
      </c>
      <c r="J226" s="2" t="s">
        <v>572</v>
      </c>
    </row>
    <row r="227" customFormat="false" ht="15" hidden="false" customHeight="false" outlineLevel="0" collapsed="false">
      <c r="A227" s="2" t="s">
        <v>604</v>
      </c>
      <c r="B227" s="2" t="s">
        <v>605</v>
      </c>
      <c r="C227" s="9" t="n">
        <v>0.92</v>
      </c>
      <c r="D227" s="9" t="n">
        <v>0.85</v>
      </c>
      <c r="E227" s="9" t="n">
        <v>0.7</v>
      </c>
      <c r="F227" s="2" t="s">
        <v>46</v>
      </c>
      <c r="G227" s="7" t="s">
        <v>25</v>
      </c>
      <c r="H227" s="2" t="s">
        <v>583</v>
      </c>
      <c r="I227" s="8" t="s">
        <v>606</v>
      </c>
      <c r="J227" s="2" t="s">
        <v>572</v>
      </c>
    </row>
    <row r="228" customFormat="false" ht="23.85" hidden="false" customHeight="false" outlineLevel="0" collapsed="false">
      <c r="A228" s="2" t="s">
        <v>607</v>
      </c>
      <c r="B228" s="2" t="s">
        <v>608</v>
      </c>
      <c r="C228" s="6" t="n">
        <v>220</v>
      </c>
      <c r="D228" s="6" t="n">
        <v>183</v>
      </c>
      <c r="E228" s="6" t="n">
        <v>150</v>
      </c>
      <c r="F228" s="2" t="s">
        <v>586</v>
      </c>
      <c r="G228" s="11" t="s">
        <v>41</v>
      </c>
      <c r="H228" s="2" t="s">
        <v>609</v>
      </c>
      <c r="I228" s="8" t="s">
        <v>610</v>
      </c>
      <c r="J228" s="2" t="s">
        <v>572</v>
      </c>
    </row>
    <row r="229" customFormat="false" ht="23.85" hidden="false" customHeight="false" outlineLevel="0" collapsed="false">
      <c r="A229" s="2" t="s">
        <v>611</v>
      </c>
      <c r="B229" s="2" t="s">
        <v>612</v>
      </c>
      <c r="C229" s="14" t="n">
        <v>30</v>
      </c>
      <c r="D229" s="14" t="n">
        <v>30</v>
      </c>
      <c r="E229" s="14" t="n">
        <v>30</v>
      </c>
      <c r="F229" s="2" t="s">
        <v>571</v>
      </c>
      <c r="G229" s="7" t="s">
        <v>25</v>
      </c>
      <c r="H229" s="2"/>
      <c r="I229" s="8" t="s">
        <v>613</v>
      </c>
      <c r="J229" s="2" t="s">
        <v>572</v>
      </c>
    </row>
    <row r="230" customFormat="false" ht="23.85" hidden="false" customHeight="false" outlineLevel="0" collapsed="false">
      <c r="A230" s="2" t="s">
        <v>614</v>
      </c>
      <c r="B230" s="2" t="s">
        <v>615</v>
      </c>
      <c r="C230" s="6" t="n">
        <v>2862</v>
      </c>
      <c r="D230" s="6" t="n">
        <v>3018</v>
      </c>
      <c r="E230" s="6" t="n">
        <v>3600</v>
      </c>
      <c r="F230" s="2" t="s">
        <v>416</v>
      </c>
      <c r="G230" s="11" t="s">
        <v>41</v>
      </c>
      <c r="H230" s="2" t="s">
        <v>616</v>
      </c>
      <c r="I230" s="8" t="s">
        <v>617</v>
      </c>
      <c r="J230" s="2" t="s">
        <v>572</v>
      </c>
    </row>
    <row r="231" customFormat="false" ht="15" hidden="false" customHeight="false" outlineLevel="0" collapsed="false">
      <c r="A231" s="2" t="s">
        <v>618</v>
      </c>
      <c r="B231" s="2" t="s">
        <v>619</v>
      </c>
      <c r="C231" s="6" t="n">
        <v>847</v>
      </c>
      <c r="D231" s="6" t="n">
        <v>893</v>
      </c>
      <c r="E231" s="6" t="n">
        <v>1000</v>
      </c>
      <c r="F231" s="2" t="s">
        <v>579</v>
      </c>
      <c r="G231" s="11" t="s">
        <v>41</v>
      </c>
      <c r="H231" s="2" t="s">
        <v>575</v>
      </c>
      <c r="I231" s="8" t="s">
        <v>620</v>
      </c>
      <c r="J231" s="2" t="s">
        <v>572</v>
      </c>
    </row>
    <row r="232" customFormat="false" ht="15" hidden="false" customHeight="false" outlineLevel="0" collapsed="false">
      <c r="A232" s="2" t="s">
        <v>621</v>
      </c>
      <c r="B232" s="2" t="s">
        <v>622</v>
      </c>
      <c r="C232" s="9" t="n">
        <v>0.92</v>
      </c>
      <c r="D232" s="9" t="n">
        <v>0.85</v>
      </c>
      <c r="E232" s="9" t="n">
        <v>0.75</v>
      </c>
      <c r="F232" s="2" t="s">
        <v>46</v>
      </c>
      <c r="G232" s="7" t="s">
        <v>25</v>
      </c>
      <c r="H232" s="2" t="s">
        <v>583</v>
      </c>
      <c r="I232" s="8" t="s">
        <v>623</v>
      </c>
      <c r="J232" s="2" t="s">
        <v>572</v>
      </c>
    </row>
    <row r="233" customFormat="false" ht="15" hidden="false" customHeight="false" outlineLevel="0" collapsed="false">
      <c r="A233" s="2" t="s">
        <v>624</v>
      </c>
      <c r="B233" s="2" t="s">
        <v>625</v>
      </c>
      <c r="C233" s="6" t="n">
        <v>401</v>
      </c>
      <c r="D233" s="6" t="n">
        <v>368</v>
      </c>
      <c r="E233" s="6" t="n">
        <v>334</v>
      </c>
      <c r="F233" s="2" t="s">
        <v>586</v>
      </c>
      <c r="G233" s="12" t="s">
        <v>47</v>
      </c>
      <c r="H233" s="2" t="s">
        <v>626</v>
      </c>
      <c r="I233" s="8" t="s">
        <v>627</v>
      </c>
      <c r="J233" s="2" t="s">
        <v>572</v>
      </c>
    </row>
    <row r="234" customFormat="false" ht="23.85" hidden="false" customHeight="false" outlineLevel="0" collapsed="false">
      <c r="A234" s="2" t="s">
        <v>628</v>
      </c>
      <c r="B234" s="2" t="s">
        <v>629</v>
      </c>
      <c r="C234" s="6" t="n">
        <v>30000</v>
      </c>
      <c r="D234" s="6" t="n">
        <v>21100</v>
      </c>
      <c r="E234" s="6" t="n">
        <v>0</v>
      </c>
      <c r="F234" s="2" t="s">
        <v>497</v>
      </c>
      <c r="G234" s="11" t="s">
        <v>41</v>
      </c>
      <c r="H234" s="2" t="s">
        <v>630</v>
      </c>
      <c r="I234" s="8" t="s">
        <v>631</v>
      </c>
      <c r="J234" s="2" t="s">
        <v>572</v>
      </c>
    </row>
    <row r="235" customFormat="false" ht="15" hidden="false" customHeight="false" outlineLevel="0" collapsed="false">
      <c r="A235" s="5" t="s">
        <v>632</v>
      </c>
    </row>
    <row r="236" customFormat="false" ht="15" hidden="false" customHeight="false" outlineLevel="0" collapsed="false">
      <c r="A236" s="2" t="s">
        <v>633</v>
      </c>
      <c r="B236" s="2" t="s">
        <v>634</v>
      </c>
      <c r="C236" s="6" t="n">
        <v>60000</v>
      </c>
      <c r="D236" s="6" t="n">
        <v>60000</v>
      </c>
      <c r="E236" s="6" t="n">
        <v>60000</v>
      </c>
      <c r="F236" s="2" t="s">
        <v>488</v>
      </c>
      <c r="G236" s="7" t="s">
        <v>25</v>
      </c>
      <c r="H236" s="2"/>
      <c r="I236" s="8"/>
      <c r="J236" s="2" t="s">
        <v>635</v>
      </c>
    </row>
    <row r="237" customFormat="false" ht="15" hidden="false" customHeight="false" outlineLevel="0" collapsed="false">
      <c r="A237" s="2" t="s">
        <v>636</v>
      </c>
      <c r="B237" s="2" t="s">
        <v>637</v>
      </c>
      <c r="C237" s="6" t="n">
        <v>9000</v>
      </c>
      <c r="D237" s="6" t="n">
        <v>12000</v>
      </c>
      <c r="E237" s="6" t="n">
        <v>15000</v>
      </c>
      <c r="F237" s="2" t="s">
        <v>497</v>
      </c>
      <c r="G237" s="7" t="s">
        <v>25</v>
      </c>
      <c r="H237" s="2"/>
      <c r="I237" s="8"/>
      <c r="J237" s="2" t="s">
        <v>635</v>
      </c>
    </row>
    <row r="238" customFormat="false" ht="15" hidden="false" customHeight="false" outlineLevel="0" collapsed="false">
      <c r="A238" s="2" t="s">
        <v>638</v>
      </c>
      <c r="B238" s="2" t="s">
        <v>639</v>
      </c>
      <c r="C238" s="9" t="n">
        <v>0.9</v>
      </c>
      <c r="D238" s="9" t="n">
        <v>0.6</v>
      </c>
      <c r="E238" s="9" t="n">
        <v>0.2</v>
      </c>
      <c r="F238" s="2" t="s">
        <v>46</v>
      </c>
      <c r="G238" s="7" t="s">
        <v>25</v>
      </c>
      <c r="H238" s="2"/>
      <c r="I238" s="8"/>
      <c r="J238" s="2" t="s">
        <v>635</v>
      </c>
    </row>
    <row r="239" customFormat="false" ht="15" hidden="false" customHeight="false" outlineLevel="0" collapsed="false">
      <c r="A239" s="2" t="s">
        <v>640</v>
      </c>
      <c r="B239" s="2" t="s">
        <v>641</v>
      </c>
      <c r="C239" s="14" t="n">
        <v>18</v>
      </c>
      <c r="D239" s="14" t="n">
        <v>18</v>
      </c>
      <c r="E239" s="14" t="n">
        <v>18</v>
      </c>
      <c r="F239" s="2" t="s">
        <v>642</v>
      </c>
      <c r="G239" s="7" t="s">
        <v>25</v>
      </c>
      <c r="H239" s="2"/>
      <c r="I239" s="8"/>
      <c r="J239" s="2" t="s">
        <v>635</v>
      </c>
    </row>
    <row r="240" customFormat="false" ht="15" hidden="false" customHeight="false" outlineLevel="0" collapsed="false">
      <c r="A240" s="2" t="s">
        <v>643</v>
      </c>
      <c r="B240" s="2" t="s">
        <v>644</v>
      </c>
      <c r="C240" s="6" t="n">
        <v>2400</v>
      </c>
      <c r="D240" s="6" t="n">
        <v>2000</v>
      </c>
      <c r="E240" s="6" t="n">
        <v>1500</v>
      </c>
      <c r="F240" s="2" t="s">
        <v>645</v>
      </c>
      <c r="G240" s="11" t="s">
        <v>41</v>
      </c>
      <c r="H240" s="2" t="s">
        <v>646</v>
      </c>
      <c r="I240" s="8" t="s">
        <v>647</v>
      </c>
      <c r="J240" s="2" t="s">
        <v>635</v>
      </c>
    </row>
    <row r="241" customFormat="false" ht="23.85" hidden="false" customHeight="false" outlineLevel="0" collapsed="false">
      <c r="A241" s="2" t="s">
        <v>648</v>
      </c>
      <c r="B241" s="2" t="s">
        <v>649</v>
      </c>
      <c r="C241" s="6" t="n">
        <v>250000</v>
      </c>
      <c r="D241" s="6" t="n">
        <v>400000</v>
      </c>
      <c r="E241" s="6" t="n">
        <v>600000</v>
      </c>
      <c r="F241" s="2" t="s">
        <v>488</v>
      </c>
      <c r="G241" s="7" t="s">
        <v>25</v>
      </c>
      <c r="H241" s="2" t="s">
        <v>650</v>
      </c>
      <c r="I241" s="8" t="s">
        <v>651</v>
      </c>
      <c r="J241" s="2" t="s">
        <v>635</v>
      </c>
    </row>
    <row r="242" customFormat="false" ht="15" hidden="false" customHeight="false" outlineLevel="0" collapsed="false">
      <c r="A242" s="2" t="s">
        <v>652</v>
      </c>
      <c r="B242" s="2" t="s">
        <v>653</v>
      </c>
      <c r="C242" s="6" t="n">
        <v>22000</v>
      </c>
      <c r="D242" s="6" t="n">
        <v>30000</v>
      </c>
      <c r="E242" s="6" t="n">
        <v>40000</v>
      </c>
      <c r="F242" s="2" t="s">
        <v>497</v>
      </c>
      <c r="G242" s="7" t="s">
        <v>25</v>
      </c>
      <c r="H242" s="2" t="s">
        <v>654</v>
      </c>
      <c r="I242" s="8" t="s">
        <v>655</v>
      </c>
      <c r="J242" s="2" t="s">
        <v>635</v>
      </c>
    </row>
    <row r="243" customFormat="false" ht="35.05" hidden="false" customHeight="false" outlineLevel="0" collapsed="false">
      <c r="A243" s="2" t="s">
        <v>656</v>
      </c>
      <c r="B243" s="2" t="s">
        <v>657</v>
      </c>
      <c r="C243" s="14" t="n">
        <v>14</v>
      </c>
      <c r="D243" s="14" t="n">
        <v>10</v>
      </c>
      <c r="E243" s="14" t="n">
        <v>5</v>
      </c>
      <c r="F243" s="2" t="s">
        <v>658</v>
      </c>
      <c r="G243" s="7" t="s">
        <v>25</v>
      </c>
      <c r="H243" s="2" t="s">
        <v>659</v>
      </c>
      <c r="I243" s="8" t="s">
        <v>660</v>
      </c>
      <c r="J243" s="2" t="s">
        <v>635</v>
      </c>
    </row>
    <row r="244" customFormat="false" ht="23.85" hidden="false" customHeight="false" outlineLevel="0" collapsed="false">
      <c r="A244" s="2" t="s">
        <v>661</v>
      </c>
      <c r="B244" s="2" t="s">
        <v>662</v>
      </c>
      <c r="C244" s="6" t="n">
        <v>10000</v>
      </c>
      <c r="D244" s="6" t="n">
        <v>6500</v>
      </c>
      <c r="E244" s="6" t="n">
        <v>4500</v>
      </c>
      <c r="F244" s="2" t="s">
        <v>663</v>
      </c>
      <c r="G244" s="11" t="s">
        <v>41</v>
      </c>
      <c r="H244" s="2" t="s">
        <v>664</v>
      </c>
      <c r="I244" s="8" t="s">
        <v>665</v>
      </c>
      <c r="J244" s="2" t="s">
        <v>635</v>
      </c>
    </row>
    <row r="245" customFormat="false" ht="15" hidden="false" customHeight="false" outlineLevel="0" collapsed="false">
      <c r="A245" s="2" t="s">
        <v>666</v>
      </c>
      <c r="B245" s="2" t="s">
        <v>667</v>
      </c>
      <c r="C245" s="9" t="n">
        <v>0.25</v>
      </c>
      <c r="D245" s="9" t="n">
        <v>0.3</v>
      </c>
      <c r="E245" s="9" t="n">
        <v>0.35</v>
      </c>
      <c r="F245" s="2" t="s">
        <v>46</v>
      </c>
      <c r="G245" s="7" t="s">
        <v>25</v>
      </c>
      <c r="H245" s="2"/>
      <c r="I245" s="8"/>
      <c r="J245" s="2" t="s">
        <v>635</v>
      </c>
    </row>
    <row r="246" customFormat="false" ht="23.85" hidden="false" customHeight="false" outlineLevel="0" collapsed="false">
      <c r="A246" s="2" t="s">
        <v>668</v>
      </c>
      <c r="B246" s="2" t="s">
        <v>669</v>
      </c>
      <c r="C246" s="6" t="n">
        <v>0</v>
      </c>
      <c r="D246" s="6" t="n">
        <v>600000</v>
      </c>
      <c r="E246" s="6" t="n">
        <v>800000</v>
      </c>
      <c r="F246" s="2" t="s">
        <v>670</v>
      </c>
      <c r="G246" s="11" t="s">
        <v>41</v>
      </c>
      <c r="H246" s="2" t="s">
        <v>671</v>
      </c>
      <c r="I246" s="8" t="s">
        <v>672</v>
      </c>
      <c r="J246" s="2" t="s">
        <v>635</v>
      </c>
    </row>
    <row r="247" customFormat="false" ht="15" hidden="false" customHeight="false" outlineLevel="0" collapsed="false">
      <c r="A247" s="2" t="s">
        <v>673</v>
      </c>
      <c r="B247" s="2" t="s">
        <v>674</v>
      </c>
      <c r="C247" s="6" t="n">
        <v>4000</v>
      </c>
      <c r="D247" s="6" t="n">
        <v>6000</v>
      </c>
      <c r="E247" s="6" t="n">
        <v>9000</v>
      </c>
      <c r="F247" s="2" t="s">
        <v>497</v>
      </c>
      <c r="G247" s="7" t="s">
        <v>25</v>
      </c>
      <c r="H247" s="2"/>
      <c r="I247" s="8"/>
      <c r="J247" s="2" t="s">
        <v>635</v>
      </c>
    </row>
    <row r="248" customFormat="false" ht="15" hidden="false" customHeight="false" outlineLevel="0" collapsed="false">
      <c r="A248" s="2" t="s">
        <v>675</v>
      </c>
      <c r="B248" s="2" t="s">
        <v>676</v>
      </c>
      <c r="C248" s="6" t="n">
        <v>6000</v>
      </c>
      <c r="D248" s="6" t="n">
        <v>3500</v>
      </c>
      <c r="E248" s="6" t="n">
        <v>2500</v>
      </c>
      <c r="F248" s="2" t="s">
        <v>677</v>
      </c>
      <c r="G248" s="7" t="s">
        <v>25</v>
      </c>
      <c r="H248" s="2"/>
      <c r="I248" s="8" t="s">
        <v>678</v>
      </c>
      <c r="J248" s="2" t="s">
        <v>635</v>
      </c>
    </row>
    <row r="249" customFormat="false" ht="15" hidden="false" customHeight="false" outlineLevel="0" collapsed="false">
      <c r="A249" s="2" t="s">
        <v>679</v>
      </c>
      <c r="B249" s="2" t="s">
        <v>680</v>
      </c>
      <c r="C249" s="14" t="n">
        <v>30</v>
      </c>
      <c r="D249" s="14" t="n">
        <v>23</v>
      </c>
      <c r="E249" s="14" t="n">
        <v>15</v>
      </c>
      <c r="F249" s="2" t="s">
        <v>506</v>
      </c>
      <c r="G249" s="11" t="s">
        <v>41</v>
      </c>
      <c r="H249" s="2" t="s">
        <v>681</v>
      </c>
      <c r="I249" s="8" t="s">
        <v>682</v>
      </c>
      <c r="J249" s="2" t="s">
        <v>635</v>
      </c>
    </row>
    <row r="250" customFormat="false" ht="15" hidden="false" customHeight="false" outlineLevel="0" collapsed="false">
      <c r="A250" s="2" t="s">
        <v>683</v>
      </c>
      <c r="B250" s="2" t="s">
        <v>684</v>
      </c>
      <c r="C250" s="9" t="n">
        <v>0.25</v>
      </c>
      <c r="D250" s="9" t="n">
        <v>0.3</v>
      </c>
      <c r="E250" s="9" t="n">
        <v>0.35</v>
      </c>
      <c r="F250" s="2" t="s">
        <v>46</v>
      </c>
      <c r="G250" s="7" t="s">
        <v>25</v>
      </c>
      <c r="H250" s="2"/>
      <c r="I250" s="8"/>
      <c r="J250" s="2" t="s">
        <v>635</v>
      </c>
    </row>
    <row r="251" customFormat="false" ht="15" hidden="false" customHeight="false" outlineLevel="0" collapsed="false">
      <c r="A251" s="2" t="s">
        <v>685</v>
      </c>
      <c r="B251" s="2" t="s">
        <v>686</v>
      </c>
      <c r="C251" s="6" t="n">
        <v>1600</v>
      </c>
      <c r="D251" s="6" t="n">
        <v>1800</v>
      </c>
      <c r="E251" s="6" t="n">
        <v>2200</v>
      </c>
      <c r="F251" s="2" t="s">
        <v>687</v>
      </c>
      <c r="G251" s="11" t="s">
        <v>41</v>
      </c>
      <c r="H251" s="2" t="s">
        <v>671</v>
      </c>
      <c r="I251" s="8"/>
      <c r="J251" s="2" t="s">
        <v>635</v>
      </c>
    </row>
    <row r="252" customFormat="false" ht="15" hidden="false" customHeight="false" outlineLevel="0" collapsed="false">
      <c r="A252" s="2" t="s">
        <v>688</v>
      </c>
      <c r="B252" s="2" t="s">
        <v>689</v>
      </c>
      <c r="C252" s="9" t="n">
        <v>0.15</v>
      </c>
      <c r="D252" s="9" t="n">
        <v>0.2</v>
      </c>
      <c r="E252" s="9" t="n">
        <v>0.25</v>
      </c>
      <c r="F252" s="2" t="s">
        <v>690</v>
      </c>
      <c r="G252" s="7" t="s">
        <v>25</v>
      </c>
      <c r="H252" s="2"/>
      <c r="I252" s="8"/>
      <c r="J252" s="2" t="s">
        <v>635</v>
      </c>
    </row>
    <row r="253" customFormat="false" ht="35.05" hidden="false" customHeight="false" outlineLevel="0" collapsed="false">
      <c r="A253" s="2" t="s">
        <v>691</v>
      </c>
      <c r="B253" s="2" t="s">
        <v>692</v>
      </c>
      <c r="C253" s="6" t="n">
        <v>10.9</v>
      </c>
      <c r="D253" s="6" t="n">
        <v>8</v>
      </c>
      <c r="E253" s="6" t="n">
        <v>6.8</v>
      </c>
      <c r="F253" s="2" t="s">
        <v>693</v>
      </c>
      <c r="G253" s="12" t="s">
        <v>47</v>
      </c>
      <c r="H253" s="2" t="s">
        <v>694</v>
      </c>
      <c r="I253" s="8" t="s">
        <v>695</v>
      </c>
      <c r="J253" s="2" t="s">
        <v>635</v>
      </c>
    </row>
    <row r="254" customFormat="false" ht="15" hidden="false" customHeight="false" outlineLevel="0" collapsed="false">
      <c r="A254" s="2" t="s">
        <v>696</v>
      </c>
      <c r="B254" s="2" t="s">
        <v>697</v>
      </c>
      <c r="C254" s="14" t="n">
        <v>800</v>
      </c>
      <c r="D254" s="14" t="n">
        <v>600</v>
      </c>
      <c r="E254" s="14" t="n">
        <v>400</v>
      </c>
      <c r="F254" s="2" t="s">
        <v>698</v>
      </c>
      <c r="G254" s="7" t="s">
        <v>25</v>
      </c>
      <c r="H254" s="2"/>
      <c r="I254" s="8"/>
      <c r="J254" s="2" t="s">
        <v>635</v>
      </c>
    </row>
    <row r="255" customFormat="false" ht="15" hidden="false" customHeight="false" outlineLevel="0" collapsed="false">
      <c r="A255" s="2" t="s">
        <v>699</v>
      </c>
      <c r="B255" s="2" t="s">
        <v>700</v>
      </c>
      <c r="C255" s="9" t="n">
        <v>0.03</v>
      </c>
      <c r="D255" s="9" t="n">
        <v>0.05</v>
      </c>
      <c r="E255" s="9" t="n">
        <v>0.1</v>
      </c>
      <c r="F255" s="2" t="s">
        <v>46</v>
      </c>
      <c r="G255" s="7" t="s">
        <v>25</v>
      </c>
      <c r="H255" s="2"/>
      <c r="I255" s="8"/>
      <c r="J255" s="2" t="s">
        <v>635</v>
      </c>
    </row>
    <row r="256" customFormat="false" ht="23.85" hidden="false" customHeight="false" outlineLevel="0" collapsed="false">
      <c r="A256" s="2" t="s">
        <v>701</v>
      </c>
      <c r="B256" s="2" t="s">
        <v>702</v>
      </c>
      <c r="C256" s="14" t="n">
        <v>40</v>
      </c>
      <c r="D256" s="14" t="n">
        <v>20</v>
      </c>
      <c r="E256" s="14" t="n">
        <v>0</v>
      </c>
      <c r="F256" s="2" t="s">
        <v>703</v>
      </c>
      <c r="G256" s="7" t="s">
        <v>25</v>
      </c>
      <c r="H256" s="2" t="s">
        <v>704</v>
      </c>
      <c r="I256" s="8" t="s">
        <v>705</v>
      </c>
      <c r="J256" s="2" t="s">
        <v>635</v>
      </c>
    </row>
    <row r="257" customFormat="false" ht="15" hidden="false" customHeight="false" outlineLevel="0" collapsed="false">
      <c r="A257" s="2" t="s">
        <v>706</v>
      </c>
      <c r="B257" s="2" t="s">
        <v>707</v>
      </c>
      <c r="C257" s="9" t="n">
        <v>0.45</v>
      </c>
      <c r="D257" s="9" t="n">
        <v>0.35</v>
      </c>
      <c r="E257" s="9" t="n">
        <v>0.25</v>
      </c>
      <c r="F257" s="2" t="s">
        <v>46</v>
      </c>
      <c r="G257" s="7" t="s">
        <v>25</v>
      </c>
      <c r="H257" s="2"/>
      <c r="I257" s="8"/>
      <c r="J257" s="2" t="s">
        <v>635</v>
      </c>
    </row>
    <row r="258" customFormat="false" ht="15" hidden="false" customHeight="false" outlineLevel="0" collapsed="false">
      <c r="A258" s="2" t="s">
        <v>708</v>
      </c>
      <c r="B258" s="2" t="s">
        <v>709</v>
      </c>
      <c r="C258" s="14" t="n">
        <v>25</v>
      </c>
      <c r="D258" s="14" t="n">
        <v>20</v>
      </c>
      <c r="E258" s="14" t="n">
        <v>15</v>
      </c>
      <c r="F258" s="2" t="s">
        <v>710</v>
      </c>
      <c r="G258" s="7" t="s">
        <v>25</v>
      </c>
      <c r="H258" s="2"/>
      <c r="I258" s="8"/>
      <c r="J258" s="2" t="s">
        <v>635</v>
      </c>
    </row>
    <row r="259" customFormat="false" ht="15" hidden="false" customHeight="false" outlineLevel="0" collapsed="false">
      <c r="A259" s="2" t="s">
        <v>711</v>
      </c>
      <c r="B259" s="2" t="s">
        <v>712</v>
      </c>
      <c r="C259" s="6" t="n">
        <v>100</v>
      </c>
      <c r="D259" s="6" t="n">
        <v>95</v>
      </c>
      <c r="E259" s="6" t="n">
        <v>85</v>
      </c>
      <c r="F259" s="2" t="s">
        <v>713</v>
      </c>
      <c r="G259" s="12" t="s">
        <v>47</v>
      </c>
      <c r="H259" s="2" t="s">
        <v>714</v>
      </c>
      <c r="I259" s="8"/>
      <c r="J259" s="2" t="s">
        <v>635</v>
      </c>
    </row>
    <row r="260" customFormat="false" ht="15" hidden="false" customHeight="false" outlineLevel="0" collapsed="false">
      <c r="A260" s="2" t="s">
        <v>715</v>
      </c>
      <c r="B260" s="2" t="s">
        <v>716</v>
      </c>
      <c r="C260" s="6" t="n">
        <v>20000</v>
      </c>
      <c r="D260" s="6" t="n">
        <v>20000</v>
      </c>
      <c r="E260" s="6" t="n">
        <v>20000</v>
      </c>
      <c r="F260" s="2" t="s">
        <v>488</v>
      </c>
      <c r="G260" s="7" t="s">
        <v>25</v>
      </c>
      <c r="H260" s="2"/>
      <c r="I260" s="8"/>
      <c r="J260" s="2" t="s">
        <v>635</v>
      </c>
    </row>
    <row r="261" customFormat="false" ht="15" hidden="false" customHeight="false" outlineLevel="0" collapsed="false">
      <c r="A261" s="2" t="s">
        <v>717</v>
      </c>
      <c r="B261" s="2" t="s">
        <v>718</v>
      </c>
      <c r="C261" s="9" t="n">
        <v>0.95</v>
      </c>
      <c r="D261" s="9" t="n">
        <v>0.8</v>
      </c>
      <c r="E261" s="9" t="n">
        <v>0.5</v>
      </c>
      <c r="F261" s="2" t="s">
        <v>46</v>
      </c>
      <c r="G261" s="7" t="s">
        <v>25</v>
      </c>
      <c r="H261" s="2"/>
      <c r="I261" s="8"/>
      <c r="J261" s="2" t="s">
        <v>635</v>
      </c>
    </row>
    <row r="262" customFormat="false" ht="15" hidden="false" customHeight="false" outlineLevel="0" collapsed="false">
      <c r="A262" s="2" t="s">
        <v>719</v>
      </c>
      <c r="B262" s="2" t="s">
        <v>720</v>
      </c>
      <c r="C262" s="14" t="n">
        <v>25</v>
      </c>
      <c r="D262" s="14" t="n">
        <v>20</v>
      </c>
      <c r="E262" s="14" t="n">
        <v>15</v>
      </c>
      <c r="F262" s="2" t="s">
        <v>642</v>
      </c>
      <c r="G262" s="7" t="s">
        <v>25</v>
      </c>
      <c r="H262" s="2"/>
      <c r="I262" s="8"/>
      <c r="J262" s="2" t="s">
        <v>635</v>
      </c>
    </row>
    <row r="263" customFormat="false" ht="15" hidden="false" customHeight="false" outlineLevel="0" collapsed="false">
      <c r="A263" s="2" t="s">
        <v>721</v>
      </c>
      <c r="B263" s="2" t="s">
        <v>722</v>
      </c>
      <c r="C263" s="6" t="n">
        <v>460</v>
      </c>
      <c r="D263" s="6" t="n">
        <v>375</v>
      </c>
      <c r="E263" s="6" t="n">
        <v>290</v>
      </c>
      <c r="F263" s="2" t="s">
        <v>645</v>
      </c>
      <c r="G263" s="11" t="s">
        <v>41</v>
      </c>
      <c r="H263" s="2" t="s">
        <v>723</v>
      </c>
      <c r="I263" s="8" t="s">
        <v>724</v>
      </c>
      <c r="J263" s="2" t="s">
        <v>635</v>
      </c>
    </row>
    <row r="264" customFormat="false" ht="15" hidden="false" customHeight="false" outlineLevel="0" collapsed="false">
      <c r="A264" s="2" t="s">
        <v>725</v>
      </c>
      <c r="B264" s="2" t="s">
        <v>726</v>
      </c>
      <c r="C264" s="9" t="n">
        <v>0.02</v>
      </c>
      <c r="D264" s="9" t="n">
        <v>0.025</v>
      </c>
      <c r="E264" s="9" t="n">
        <v>0.035</v>
      </c>
      <c r="F264" s="2" t="s">
        <v>99</v>
      </c>
      <c r="G264" s="7" t="s">
        <v>25</v>
      </c>
      <c r="H264" s="2"/>
      <c r="I264" s="8"/>
      <c r="J264" s="2" t="s">
        <v>635</v>
      </c>
    </row>
    <row r="265" customFormat="false" ht="23.85" hidden="false" customHeight="false" outlineLevel="0" collapsed="false">
      <c r="A265" s="2" t="s">
        <v>727</v>
      </c>
      <c r="B265" s="2" t="s">
        <v>728</v>
      </c>
      <c r="C265" s="14" t="n">
        <v>6</v>
      </c>
      <c r="D265" s="14" t="n">
        <v>2</v>
      </c>
      <c r="E265" s="14" t="n">
        <v>0</v>
      </c>
      <c r="F265" s="2" t="s">
        <v>703</v>
      </c>
      <c r="G265" s="7" t="s">
        <v>25</v>
      </c>
      <c r="H265" s="2" t="s">
        <v>729</v>
      </c>
      <c r="I265" s="8" t="s">
        <v>730</v>
      </c>
      <c r="J265" s="2" t="s">
        <v>635</v>
      </c>
    </row>
    <row r="266" customFormat="false" ht="23.85" hidden="false" customHeight="false" outlineLevel="0" collapsed="false">
      <c r="A266" s="2" t="s">
        <v>731</v>
      </c>
      <c r="B266" s="2" t="s">
        <v>732</v>
      </c>
      <c r="C266" s="6" t="n">
        <v>5500</v>
      </c>
      <c r="D266" s="6" t="n">
        <v>3500</v>
      </c>
      <c r="E266" s="6" t="n">
        <v>2500</v>
      </c>
      <c r="F266" s="2" t="s">
        <v>733</v>
      </c>
      <c r="G266" s="12" t="s">
        <v>47</v>
      </c>
      <c r="H266" s="2" t="s">
        <v>734</v>
      </c>
      <c r="I266" s="8" t="s">
        <v>735</v>
      </c>
      <c r="J266" s="2" t="s">
        <v>635</v>
      </c>
    </row>
    <row r="267" customFormat="false" ht="15" hidden="false" customHeight="false" outlineLevel="0" collapsed="false">
      <c r="A267" s="2" t="s">
        <v>736</v>
      </c>
      <c r="B267" s="2" t="s">
        <v>737</v>
      </c>
      <c r="C267" s="9" t="n">
        <v>0.15</v>
      </c>
      <c r="D267" s="9" t="n">
        <v>0.15</v>
      </c>
      <c r="E267" s="9" t="n">
        <v>0.15</v>
      </c>
      <c r="F267" s="2" t="s">
        <v>46</v>
      </c>
      <c r="G267" s="7" t="s">
        <v>25</v>
      </c>
      <c r="H267" s="2"/>
      <c r="I267" s="8"/>
      <c r="J267" s="2" t="s">
        <v>635</v>
      </c>
    </row>
    <row r="268" customFormat="false" ht="15" hidden="false" customHeight="false" outlineLevel="0" collapsed="false">
      <c r="A268" s="5" t="s">
        <v>738</v>
      </c>
    </row>
    <row r="269" customFormat="false" ht="15" hidden="false" customHeight="false" outlineLevel="0" collapsed="false">
      <c r="A269" s="2" t="s">
        <v>739</v>
      </c>
      <c r="B269" s="2" t="s">
        <v>740</v>
      </c>
      <c r="C269" s="6" t="n">
        <v>0</v>
      </c>
      <c r="D269" s="6" t="n">
        <v>0</v>
      </c>
      <c r="E269" s="6" t="n">
        <v>0</v>
      </c>
      <c r="F269" s="2" t="s">
        <v>528</v>
      </c>
      <c r="G269" s="7" t="s">
        <v>25</v>
      </c>
      <c r="H269" s="2"/>
      <c r="I269" s="8"/>
      <c r="J269" s="2" t="s">
        <v>741</v>
      </c>
    </row>
    <row r="270" customFormat="false" ht="15" hidden="false" customHeight="false" outlineLevel="0" collapsed="false">
      <c r="A270" s="2" t="s">
        <v>742</v>
      </c>
      <c r="B270" s="2" t="s">
        <v>743</v>
      </c>
      <c r="C270" s="6" t="n">
        <v>0</v>
      </c>
      <c r="D270" s="6" t="n">
        <v>0</v>
      </c>
      <c r="E270" s="6" t="n">
        <v>0</v>
      </c>
      <c r="F270" s="2" t="s">
        <v>528</v>
      </c>
      <c r="G270" s="7" t="s">
        <v>25</v>
      </c>
      <c r="H270" s="2"/>
      <c r="I270" s="8"/>
      <c r="J270" s="2" t="s">
        <v>741</v>
      </c>
    </row>
    <row r="271" customFormat="false" ht="35.05" hidden="false" customHeight="false" outlineLevel="0" collapsed="false">
      <c r="A271" s="2" t="s">
        <v>744</v>
      </c>
      <c r="B271" s="2" t="s">
        <v>745</v>
      </c>
      <c r="C271" s="6" t="n">
        <v>62277</v>
      </c>
      <c r="D271" s="6" t="n">
        <v>79253</v>
      </c>
      <c r="E271" s="6" t="n">
        <v>96730</v>
      </c>
      <c r="F271" s="2" t="s">
        <v>528</v>
      </c>
      <c r="G271" s="11" t="s">
        <v>41</v>
      </c>
      <c r="H271" s="2" t="s">
        <v>746</v>
      </c>
      <c r="I271" s="8" t="s">
        <v>747</v>
      </c>
      <c r="J271" s="2" t="s">
        <v>741</v>
      </c>
    </row>
    <row r="272" customFormat="false" ht="15" hidden="false" customHeight="false" outlineLevel="0" collapsed="false">
      <c r="A272" s="2" t="s">
        <v>748</v>
      </c>
      <c r="B272" s="2" t="s">
        <v>749</v>
      </c>
      <c r="C272" s="6" t="n">
        <v>37863</v>
      </c>
      <c r="D272" s="6" t="n">
        <v>40776</v>
      </c>
      <c r="E272" s="6" t="n">
        <v>43688</v>
      </c>
      <c r="F272" s="2" t="s">
        <v>528</v>
      </c>
      <c r="G272" s="11" t="s">
        <v>41</v>
      </c>
      <c r="H272" s="2" t="s">
        <v>750</v>
      </c>
      <c r="I272" s="8"/>
      <c r="J272" s="2" t="s">
        <v>741</v>
      </c>
    </row>
    <row r="273" customFormat="false" ht="46.25" hidden="false" customHeight="false" outlineLevel="0" collapsed="false">
      <c r="A273" s="2" t="s">
        <v>751</v>
      </c>
      <c r="B273" s="2" t="s">
        <v>752</v>
      </c>
      <c r="C273" s="6" t="n">
        <v>79253</v>
      </c>
      <c r="D273" s="6" t="n">
        <v>96730</v>
      </c>
      <c r="E273" s="6" t="n">
        <v>115000</v>
      </c>
      <c r="F273" s="2" t="s">
        <v>528</v>
      </c>
      <c r="G273" s="11" t="s">
        <v>41</v>
      </c>
      <c r="H273" s="2" t="s">
        <v>529</v>
      </c>
      <c r="I273" s="8" t="s">
        <v>753</v>
      </c>
      <c r="J273" s="2" t="s">
        <v>741</v>
      </c>
    </row>
    <row r="274" customFormat="false" ht="23.85" hidden="false" customHeight="false" outlineLevel="0" collapsed="false">
      <c r="A274" s="2" t="s">
        <v>754</v>
      </c>
      <c r="B274" s="2" t="s">
        <v>755</v>
      </c>
      <c r="C274" s="6" t="n">
        <v>50000</v>
      </c>
      <c r="D274" s="6" t="n">
        <v>58251</v>
      </c>
      <c r="E274" s="6" t="n">
        <v>66000</v>
      </c>
      <c r="F274" s="2" t="s">
        <v>528</v>
      </c>
      <c r="G274" s="11" t="s">
        <v>41</v>
      </c>
      <c r="H274" s="2" t="s">
        <v>750</v>
      </c>
      <c r="I274" s="8" t="s">
        <v>756</v>
      </c>
      <c r="J274" s="2" t="s">
        <v>741</v>
      </c>
    </row>
    <row r="275" customFormat="false" ht="35.05" hidden="false" customHeight="false" outlineLevel="0" collapsed="false">
      <c r="A275" s="2" t="s">
        <v>757</v>
      </c>
      <c r="B275" s="2" t="s">
        <v>758</v>
      </c>
      <c r="C275" s="6" t="n">
        <v>40479</v>
      </c>
      <c r="D275" s="6" t="n">
        <v>44289</v>
      </c>
      <c r="E275" s="6" t="n">
        <v>48000</v>
      </c>
      <c r="F275" s="2" t="s">
        <v>528</v>
      </c>
      <c r="G275" s="11" t="s">
        <v>41</v>
      </c>
      <c r="H275" s="2" t="s">
        <v>759</v>
      </c>
      <c r="I275" s="8" t="s">
        <v>747</v>
      </c>
      <c r="J275" s="2" t="s">
        <v>741</v>
      </c>
    </row>
    <row r="276" customFormat="false" ht="35.05" hidden="false" customHeight="false" outlineLevel="0" collapsed="false">
      <c r="A276" s="2" t="s">
        <v>760</v>
      </c>
      <c r="B276" s="2" t="s">
        <v>761</v>
      </c>
      <c r="C276" s="6" t="n">
        <v>32531</v>
      </c>
      <c r="D276" s="6" t="n">
        <v>36566</v>
      </c>
      <c r="E276" s="6" t="n">
        <v>40479</v>
      </c>
      <c r="F276" s="2" t="s">
        <v>528</v>
      </c>
      <c r="G276" s="11" t="s">
        <v>41</v>
      </c>
      <c r="H276" s="2" t="s">
        <v>529</v>
      </c>
      <c r="I276" s="8" t="s">
        <v>747</v>
      </c>
      <c r="J276" s="2" t="s">
        <v>741</v>
      </c>
    </row>
    <row r="277" customFormat="false" ht="35.05" hidden="false" customHeight="false" outlineLevel="0" collapsed="false">
      <c r="A277" s="2" t="s">
        <v>762</v>
      </c>
      <c r="B277" s="2" t="s">
        <v>763</v>
      </c>
      <c r="C277" s="6" t="n">
        <v>44289</v>
      </c>
      <c r="D277" s="6" t="n">
        <v>53470</v>
      </c>
      <c r="E277" s="6" t="n">
        <v>62277</v>
      </c>
      <c r="F277" s="2" t="s">
        <v>528</v>
      </c>
      <c r="G277" s="11" t="s">
        <v>41</v>
      </c>
      <c r="H277" s="2" t="s">
        <v>746</v>
      </c>
      <c r="I277" s="8" t="s">
        <v>747</v>
      </c>
      <c r="J277" s="2" t="s">
        <v>741</v>
      </c>
    </row>
    <row r="278" customFormat="false" ht="46.25" hidden="false" customHeight="false" outlineLevel="0" collapsed="false">
      <c r="A278" s="2" t="s">
        <v>764</v>
      </c>
      <c r="B278" s="2" t="s">
        <v>765</v>
      </c>
      <c r="C278" s="6" t="n">
        <v>28346</v>
      </c>
      <c r="D278" s="13" t="n">
        <v>32531</v>
      </c>
      <c r="E278" s="6" t="n">
        <v>36566</v>
      </c>
      <c r="F278" s="2" t="s">
        <v>528</v>
      </c>
      <c r="G278" s="11" t="s">
        <v>41</v>
      </c>
      <c r="H278" s="2" t="s">
        <v>746</v>
      </c>
      <c r="I278" s="8" t="s">
        <v>766</v>
      </c>
      <c r="J278" s="2" t="s">
        <v>741</v>
      </c>
    </row>
    <row r="279" customFormat="false" ht="23.85" hidden="false" customHeight="false" outlineLevel="0" collapsed="false">
      <c r="A279" s="2" t="s">
        <v>767</v>
      </c>
      <c r="B279" s="2" t="s">
        <v>768</v>
      </c>
      <c r="C279" s="6" t="n">
        <v>29125</v>
      </c>
      <c r="D279" s="6" t="n">
        <v>32038</v>
      </c>
      <c r="E279" s="6" t="n">
        <v>34950</v>
      </c>
      <c r="F279" s="2" t="s">
        <v>528</v>
      </c>
      <c r="G279" s="11" t="s">
        <v>41</v>
      </c>
      <c r="H279" s="2" t="s">
        <v>750</v>
      </c>
      <c r="I279" s="8" t="s">
        <v>769</v>
      </c>
      <c r="J279" s="2" t="s">
        <v>741</v>
      </c>
    </row>
    <row r="280" customFormat="false" ht="35.05" hidden="false" customHeight="false" outlineLevel="0" collapsed="false">
      <c r="A280" s="2" t="s">
        <v>770</v>
      </c>
      <c r="B280" s="2" t="s">
        <v>771</v>
      </c>
      <c r="C280" s="6" t="n">
        <v>28346</v>
      </c>
      <c r="D280" s="6" t="n">
        <v>32531</v>
      </c>
      <c r="E280" s="6" t="n">
        <v>36566</v>
      </c>
      <c r="F280" s="2" t="s">
        <v>528</v>
      </c>
      <c r="G280" s="11" t="s">
        <v>41</v>
      </c>
      <c r="H280" s="2" t="s">
        <v>772</v>
      </c>
      <c r="I280" s="8" t="s">
        <v>747</v>
      </c>
      <c r="J280" s="2" t="s">
        <v>741</v>
      </c>
    </row>
    <row r="281" customFormat="false" ht="35.05" hidden="false" customHeight="false" outlineLevel="0" collapsed="false">
      <c r="A281" s="2" t="s">
        <v>773</v>
      </c>
      <c r="B281" s="2" t="s">
        <v>774</v>
      </c>
      <c r="C281" s="6" t="n">
        <v>36566</v>
      </c>
      <c r="D281" s="6" t="n">
        <v>40479</v>
      </c>
      <c r="E281" s="6" t="n">
        <v>44289</v>
      </c>
      <c r="F281" s="2" t="s">
        <v>528</v>
      </c>
      <c r="G281" s="11" t="s">
        <v>41</v>
      </c>
      <c r="H281" s="2" t="s">
        <v>759</v>
      </c>
      <c r="I281" s="8" t="s">
        <v>747</v>
      </c>
      <c r="J281" s="2" t="s">
        <v>741</v>
      </c>
    </row>
    <row r="282" customFormat="false" ht="35.05" hidden="false" customHeight="false" outlineLevel="0" collapsed="false">
      <c r="A282" s="2" t="s">
        <v>775</v>
      </c>
      <c r="B282" s="2" t="s">
        <v>776</v>
      </c>
      <c r="C282" s="6" t="n">
        <v>23853</v>
      </c>
      <c r="D282" s="6" t="n">
        <v>23973</v>
      </c>
      <c r="E282" s="6" t="n">
        <v>28216</v>
      </c>
      <c r="F282" s="2" t="s">
        <v>528</v>
      </c>
      <c r="G282" s="11" t="s">
        <v>41</v>
      </c>
      <c r="H282" s="2" t="s">
        <v>759</v>
      </c>
      <c r="I282" s="8" t="s">
        <v>747</v>
      </c>
      <c r="J282" s="2" t="s">
        <v>741</v>
      </c>
    </row>
    <row r="283" customFormat="false" ht="15" hidden="false" customHeight="false" outlineLevel="0" collapsed="false">
      <c r="A283" s="5" t="s">
        <v>777</v>
      </c>
    </row>
    <row r="284" customFormat="false" ht="46.25" hidden="false" customHeight="false" outlineLevel="0" collapsed="false">
      <c r="A284" s="2" t="s">
        <v>778</v>
      </c>
      <c r="B284" s="2" t="s">
        <v>779</v>
      </c>
      <c r="C284" s="14" t="n">
        <v>0</v>
      </c>
      <c r="D284" s="14" t="n">
        <v>0</v>
      </c>
      <c r="E284" s="14" t="n">
        <v>0</v>
      </c>
      <c r="F284" s="2" t="s">
        <v>780</v>
      </c>
      <c r="G284" s="7" t="s">
        <v>25</v>
      </c>
      <c r="H284" s="2" t="s">
        <v>427</v>
      </c>
      <c r="I284" s="8" t="s">
        <v>781</v>
      </c>
      <c r="J284" s="2" t="s">
        <v>782</v>
      </c>
    </row>
    <row r="285" customFormat="false" ht="46.25" hidden="false" customHeight="false" outlineLevel="0" collapsed="false">
      <c r="A285" s="2" t="s">
        <v>783</v>
      </c>
      <c r="B285" s="2" t="s">
        <v>784</v>
      </c>
      <c r="C285" s="14" t="n">
        <v>0</v>
      </c>
      <c r="D285" s="14" t="n">
        <v>0</v>
      </c>
      <c r="E285" s="14" t="n">
        <v>0</v>
      </c>
      <c r="F285" s="2" t="s">
        <v>780</v>
      </c>
      <c r="G285" s="7" t="s">
        <v>25</v>
      </c>
      <c r="H285" s="2" t="s">
        <v>427</v>
      </c>
      <c r="I285" s="8" t="s">
        <v>781</v>
      </c>
      <c r="J285" s="2" t="s">
        <v>782</v>
      </c>
    </row>
    <row r="286" customFormat="false" ht="46.25" hidden="false" customHeight="false" outlineLevel="0" collapsed="false">
      <c r="A286" s="2" t="s">
        <v>785</v>
      </c>
      <c r="B286" s="2" t="s">
        <v>786</v>
      </c>
      <c r="C286" s="14" t="n">
        <v>0</v>
      </c>
      <c r="D286" s="14" t="n">
        <v>0</v>
      </c>
      <c r="E286" s="14" t="n">
        <v>0</v>
      </c>
      <c r="F286" s="2" t="s">
        <v>780</v>
      </c>
      <c r="G286" s="7" t="s">
        <v>25</v>
      </c>
      <c r="H286" s="2" t="s">
        <v>427</v>
      </c>
      <c r="I286" s="8" t="s">
        <v>781</v>
      </c>
      <c r="J286" s="2" t="s">
        <v>782</v>
      </c>
    </row>
    <row r="287" customFormat="false" ht="46.25" hidden="false" customHeight="false" outlineLevel="0" collapsed="false">
      <c r="A287" s="2" t="s">
        <v>787</v>
      </c>
      <c r="B287" s="2" t="s">
        <v>788</v>
      </c>
      <c r="C287" s="14" t="n">
        <v>0</v>
      </c>
      <c r="D287" s="14" t="n">
        <v>0</v>
      </c>
      <c r="E287" s="14" t="n">
        <v>0</v>
      </c>
      <c r="F287" s="2" t="s">
        <v>780</v>
      </c>
      <c r="G287" s="7" t="s">
        <v>25</v>
      </c>
      <c r="H287" s="2" t="s">
        <v>427</v>
      </c>
      <c r="I287" s="8" t="s">
        <v>781</v>
      </c>
      <c r="J287" s="2" t="s">
        <v>782</v>
      </c>
    </row>
    <row r="288" customFormat="false" ht="46.25" hidden="false" customHeight="false" outlineLevel="0" collapsed="false">
      <c r="A288" s="2" t="s">
        <v>789</v>
      </c>
      <c r="B288" s="2" t="s">
        <v>790</v>
      </c>
      <c r="C288" s="14" t="n">
        <v>0</v>
      </c>
      <c r="D288" s="14" t="n">
        <v>0</v>
      </c>
      <c r="E288" s="14" t="n">
        <v>0</v>
      </c>
      <c r="F288" s="2" t="s">
        <v>780</v>
      </c>
      <c r="G288" s="7" t="s">
        <v>25</v>
      </c>
      <c r="H288" s="2" t="s">
        <v>427</v>
      </c>
      <c r="I288" s="8" t="s">
        <v>781</v>
      </c>
      <c r="J288" s="2" t="s">
        <v>782</v>
      </c>
    </row>
    <row r="289" customFormat="false" ht="46.25" hidden="false" customHeight="false" outlineLevel="0" collapsed="false">
      <c r="A289" s="2" t="s">
        <v>791</v>
      </c>
      <c r="B289" s="2" t="s">
        <v>792</v>
      </c>
      <c r="C289" s="14" t="n">
        <v>0</v>
      </c>
      <c r="D289" s="14" t="n">
        <v>0</v>
      </c>
      <c r="E289" s="14" t="n">
        <v>0</v>
      </c>
      <c r="F289" s="2" t="s">
        <v>780</v>
      </c>
      <c r="G289" s="7" t="s">
        <v>25</v>
      </c>
      <c r="H289" s="2" t="s">
        <v>427</v>
      </c>
      <c r="I289" s="8" t="s">
        <v>781</v>
      </c>
      <c r="J289" s="2" t="s">
        <v>782</v>
      </c>
    </row>
    <row r="290" customFormat="false" ht="46.25" hidden="false" customHeight="false" outlineLevel="0" collapsed="false">
      <c r="A290" s="2" t="s">
        <v>793</v>
      </c>
      <c r="B290" s="2" t="s">
        <v>794</v>
      </c>
      <c r="C290" s="14" t="n">
        <v>1</v>
      </c>
      <c r="D290" s="14" t="n">
        <v>1</v>
      </c>
      <c r="E290" s="14" t="n">
        <v>1</v>
      </c>
      <c r="F290" s="2" t="s">
        <v>780</v>
      </c>
      <c r="G290" s="7" t="s">
        <v>25</v>
      </c>
      <c r="H290" s="2" t="s">
        <v>795</v>
      </c>
      <c r="I290" s="8" t="s">
        <v>781</v>
      </c>
      <c r="J290" s="2" t="s">
        <v>782</v>
      </c>
    </row>
    <row r="291" customFormat="false" ht="46.25" hidden="false" customHeight="false" outlineLevel="0" collapsed="false">
      <c r="A291" s="2" t="s">
        <v>796</v>
      </c>
      <c r="B291" s="2" t="s">
        <v>797</v>
      </c>
      <c r="C291" s="14" t="n">
        <v>0.5</v>
      </c>
      <c r="D291" s="14" t="n">
        <v>0.5</v>
      </c>
      <c r="E291" s="14" t="n">
        <v>0.5</v>
      </c>
      <c r="F291" s="2" t="s">
        <v>780</v>
      </c>
      <c r="G291" s="7" t="s">
        <v>25</v>
      </c>
      <c r="H291" s="2" t="s">
        <v>427</v>
      </c>
      <c r="I291" s="8" t="s">
        <v>781</v>
      </c>
      <c r="J291" s="2" t="s">
        <v>782</v>
      </c>
    </row>
    <row r="292" customFormat="false" ht="46.25" hidden="false" customHeight="false" outlineLevel="0" collapsed="false">
      <c r="A292" s="2" t="s">
        <v>798</v>
      </c>
      <c r="B292" s="2" t="s">
        <v>799</v>
      </c>
      <c r="C292" s="14" t="n">
        <v>0</v>
      </c>
      <c r="D292" s="14" t="n">
        <v>0</v>
      </c>
      <c r="E292" s="14" t="n">
        <v>0</v>
      </c>
      <c r="F292" s="2" t="s">
        <v>780</v>
      </c>
      <c r="G292" s="7" t="s">
        <v>25</v>
      </c>
      <c r="H292" s="2" t="s">
        <v>427</v>
      </c>
      <c r="I292" s="8" t="s">
        <v>781</v>
      </c>
      <c r="J292" s="2" t="s">
        <v>782</v>
      </c>
    </row>
    <row r="293" customFormat="false" ht="46.25" hidden="false" customHeight="false" outlineLevel="0" collapsed="false">
      <c r="A293" s="2" t="s">
        <v>800</v>
      </c>
      <c r="B293" s="2" t="s">
        <v>801</v>
      </c>
      <c r="C293" s="14" t="n">
        <v>0.6</v>
      </c>
      <c r="D293" s="14" t="n">
        <v>0.6</v>
      </c>
      <c r="E293" s="14" t="n">
        <v>0.6</v>
      </c>
      <c r="F293" s="2" t="s">
        <v>780</v>
      </c>
      <c r="G293" s="7" t="s">
        <v>25</v>
      </c>
      <c r="H293" s="2" t="s">
        <v>427</v>
      </c>
      <c r="I293" s="8" t="s">
        <v>781</v>
      </c>
      <c r="J293" s="2" t="s">
        <v>782</v>
      </c>
    </row>
    <row r="294" customFormat="false" ht="46.25" hidden="false" customHeight="false" outlineLevel="0" collapsed="false">
      <c r="A294" s="2" t="s">
        <v>802</v>
      </c>
      <c r="B294" s="2" t="s">
        <v>803</v>
      </c>
      <c r="C294" s="14" t="n">
        <v>0</v>
      </c>
      <c r="D294" s="14" t="n">
        <v>0</v>
      </c>
      <c r="E294" s="14" t="n">
        <v>0</v>
      </c>
      <c r="F294" s="2" t="s">
        <v>780</v>
      </c>
      <c r="G294" s="7" t="s">
        <v>25</v>
      </c>
      <c r="H294" s="2" t="s">
        <v>427</v>
      </c>
      <c r="I294" s="8" t="s">
        <v>781</v>
      </c>
      <c r="J294" s="2" t="s">
        <v>782</v>
      </c>
    </row>
    <row r="295" customFormat="false" ht="46.25" hidden="false" customHeight="false" outlineLevel="0" collapsed="false">
      <c r="A295" s="2" t="s">
        <v>804</v>
      </c>
      <c r="B295" s="2" t="s">
        <v>805</v>
      </c>
      <c r="C295" s="14" t="n">
        <v>1</v>
      </c>
      <c r="D295" s="14" t="n">
        <v>1</v>
      </c>
      <c r="E295" s="14" t="n">
        <v>1</v>
      </c>
      <c r="F295" s="2" t="s">
        <v>780</v>
      </c>
      <c r="G295" s="7" t="s">
        <v>25</v>
      </c>
      <c r="H295" s="2" t="s">
        <v>427</v>
      </c>
      <c r="I295" s="8" t="s">
        <v>781</v>
      </c>
      <c r="J295" s="2" t="s">
        <v>782</v>
      </c>
    </row>
    <row r="296" customFormat="false" ht="46.25" hidden="false" customHeight="false" outlineLevel="0" collapsed="false">
      <c r="A296" s="2" t="s">
        <v>806</v>
      </c>
      <c r="B296" s="2" t="s">
        <v>807</v>
      </c>
      <c r="C296" s="14" t="n">
        <v>1</v>
      </c>
      <c r="D296" s="14" t="n">
        <v>1</v>
      </c>
      <c r="E296" s="14" t="n">
        <v>1</v>
      </c>
      <c r="F296" s="2" t="s">
        <v>780</v>
      </c>
      <c r="G296" s="7" t="s">
        <v>25</v>
      </c>
      <c r="H296" s="2" t="s">
        <v>427</v>
      </c>
      <c r="I296" s="8" t="s">
        <v>781</v>
      </c>
      <c r="J296" s="2" t="s">
        <v>782</v>
      </c>
    </row>
    <row r="297" customFormat="false" ht="46.25" hidden="false" customHeight="false" outlineLevel="0" collapsed="false">
      <c r="A297" s="2" t="s">
        <v>808</v>
      </c>
      <c r="B297" s="2" t="s">
        <v>809</v>
      </c>
      <c r="C297" s="14" t="n">
        <v>1</v>
      </c>
      <c r="D297" s="14" t="n">
        <v>1</v>
      </c>
      <c r="E297" s="14" t="n">
        <v>1</v>
      </c>
      <c r="F297" s="2" t="s">
        <v>780</v>
      </c>
      <c r="G297" s="7" t="s">
        <v>25</v>
      </c>
      <c r="H297" s="2" t="s">
        <v>427</v>
      </c>
      <c r="I297" s="8" t="s">
        <v>781</v>
      </c>
      <c r="J297" s="2" t="s">
        <v>782</v>
      </c>
    </row>
    <row r="298" customFormat="false" ht="46.25" hidden="false" customHeight="false" outlineLevel="0" collapsed="false">
      <c r="A298" s="2" t="s">
        <v>810</v>
      </c>
      <c r="B298" s="2" t="s">
        <v>811</v>
      </c>
      <c r="C298" s="14" t="n">
        <v>1</v>
      </c>
      <c r="D298" s="14" t="n">
        <v>1</v>
      </c>
      <c r="E298" s="14" t="n">
        <v>1</v>
      </c>
      <c r="F298" s="2" t="s">
        <v>780</v>
      </c>
      <c r="G298" s="7" t="s">
        <v>25</v>
      </c>
      <c r="H298" s="2" t="s">
        <v>427</v>
      </c>
      <c r="I298" s="8" t="s">
        <v>781</v>
      </c>
      <c r="J298" s="2" t="s">
        <v>782</v>
      </c>
    </row>
    <row r="299" customFormat="false" ht="46.25" hidden="false" customHeight="false" outlineLevel="0" collapsed="false">
      <c r="A299" s="2" t="s">
        <v>812</v>
      </c>
      <c r="B299" s="2" t="s">
        <v>813</v>
      </c>
      <c r="C299" s="14" t="n">
        <v>1</v>
      </c>
      <c r="D299" s="14" t="n">
        <v>1</v>
      </c>
      <c r="E299" s="14" t="n">
        <v>1</v>
      </c>
      <c r="F299" s="2" t="s">
        <v>780</v>
      </c>
      <c r="G299" s="7" t="s">
        <v>25</v>
      </c>
      <c r="H299" s="2" t="s">
        <v>427</v>
      </c>
      <c r="I299" s="8" t="s">
        <v>781</v>
      </c>
      <c r="J299" s="2" t="s">
        <v>782</v>
      </c>
    </row>
    <row r="300" customFormat="false" ht="46.25" hidden="false" customHeight="false" outlineLevel="0" collapsed="false">
      <c r="A300" s="2" t="s">
        <v>814</v>
      </c>
      <c r="B300" s="2" t="s">
        <v>815</v>
      </c>
      <c r="C300" s="14" t="n">
        <v>2</v>
      </c>
      <c r="D300" s="14" t="n">
        <v>2</v>
      </c>
      <c r="E300" s="14" t="n">
        <v>2</v>
      </c>
      <c r="F300" s="2" t="s">
        <v>780</v>
      </c>
      <c r="G300" s="7" t="s">
        <v>25</v>
      </c>
      <c r="H300" s="2" t="s">
        <v>795</v>
      </c>
      <c r="I300" s="8" t="s">
        <v>781</v>
      </c>
      <c r="J300" s="2" t="s">
        <v>782</v>
      </c>
    </row>
    <row r="301" customFormat="false" ht="46.25" hidden="false" customHeight="false" outlineLevel="0" collapsed="false">
      <c r="A301" s="2" t="s">
        <v>816</v>
      </c>
      <c r="B301" s="2" t="s">
        <v>817</v>
      </c>
      <c r="C301" s="14" t="n">
        <v>1</v>
      </c>
      <c r="D301" s="14" t="n">
        <v>1</v>
      </c>
      <c r="E301" s="14" t="n">
        <v>1</v>
      </c>
      <c r="F301" s="2" t="s">
        <v>780</v>
      </c>
      <c r="G301" s="7" t="s">
        <v>25</v>
      </c>
      <c r="H301" s="2" t="s">
        <v>427</v>
      </c>
      <c r="I301" s="8" t="s">
        <v>781</v>
      </c>
      <c r="J301" s="2" t="s">
        <v>782</v>
      </c>
    </row>
    <row r="302" customFormat="false" ht="46.25" hidden="false" customHeight="false" outlineLevel="0" collapsed="false">
      <c r="A302" s="2" t="s">
        <v>818</v>
      </c>
      <c r="B302" s="2" t="s">
        <v>819</v>
      </c>
      <c r="C302" s="14" t="n">
        <v>1</v>
      </c>
      <c r="D302" s="14" t="n">
        <v>1</v>
      </c>
      <c r="E302" s="14" t="n">
        <v>1</v>
      </c>
      <c r="F302" s="2" t="s">
        <v>780</v>
      </c>
      <c r="G302" s="7" t="s">
        <v>25</v>
      </c>
      <c r="H302" s="2" t="s">
        <v>427</v>
      </c>
      <c r="I302" s="8" t="s">
        <v>781</v>
      </c>
      <c r="J302" s="2" t="s">
        <v>782</v>
      </c>
    </row>
    <row r="303" customFormat="false" ht="46.25" hidden="false" customHeight="false" outlineLevel="0" collapsed="false">
      <c r="A303" s="2" t="s">
        <v>820</v>
      </c>
      <c r="B303" s="2" t="s">
        <v>821</v>
      </c>
      <c r="C303" s="14" t="n">
        <v>1</v>
      </c>
      <c r="D303" s="14" t="n">
        <v>1</v>
      </c>
      <c r="E303" s="14" t="n">
        <v>1</v>
      </c>
      <c r="F303" s="2" t="s">
        <v>780</v>
      </c>
      <c r="G303" s="7" t="s">
        <v>25</v>
      </c>
      <c r="H303" s="2" t="s">
        <v>427</v>
      </c>
      <c r="I303" s="8" t="s">
        <v>781</v>
      </c>
      <c r="J303" s="2" t="s">
        <v>782</v>
      </c>
    </row>
    <row r="304" customFormat="false" ht="46.25" hidden="false" customHeight="false" outlineLevel="0" collapsed="false">
      <c r="A304" s="2" t="s">
        <v>822</v>
      </c>
      <c r="B304" s="2" t="s">
        <v>823</v>
      </c>
      <c r="C304" s="14" t="n">
        <v>1</v>
      </c>
      <c r="D304" s="14" t="n">
        <v>1</v>
      </c>
      <c r="E304" s="14" t="n">
        <v>1</v>
      </c>
      <c r="F304" s="2" t="s">
        <v>780</v>
      </c>
      <c r="G304" s="7" t="s">
        <v>25</v>
      </c>
      <c r="H304" s="2" t="s">
        <v>427</v>
      </c>
      <c r="I304" s="8" t="s">
        <v>781</v>
      </c>
      <c r="J304" s="2" t="s">
        <v>782</v>
      </c>
    </row>
    <row r="305" customFormat="false" ht="46.25" hidden="false" customHeight="false" outlineLevel="0" collapsed="false">
      <c r="A305" s="2" t="s">
        <v>824</v>
      </c>
      <c r="B305" s="2" t="s">
        <v>825</v>
      </c>
      <c r="C305" s="14" t="n">
        <v>2</v>
      </c>
      <c r="D305" s="14" t="n">
        <v>2</v>
      </c>
      <c r="E305" s="14" t="n">
        <v>2</v>
      </c>
      <c r="F305" s="2" t="s">
        <v>780</v>
      </c>
      <c r="G305" s="7" t="s">
        <v>25</v>
      </c>
      <c r="H305" s="2" t="s">
        <v>427</v>
      </c>
      <c r="I305" s="8" t="s">
        <v>781</v>
      </c>
      <c r="J305" s="2" t="s">
        <v>782</v>
      </c>
    </row>
    <row r="306" customFormat="false" ht="46.25" hidden="false" customHeight="false" outlineLevel="0" collapsed="false">
      <c r="A306" s="2" t="s">
        <v>826</v>
      </c>
      <c r="B306" s="2" t="s">
        <v>827</v>
      </c>
      <c r="C306" s="14" t="n">
        <v>1</v>
      </c>
      <c r="D306" s="14" t="n">
        <v>1</v>
      </c>
      <c r="E306" s="14" t="n">
        <v>1</v>
      </c>
      <c r="F306" s="2" t="s">
        <v>780</v>
      </c>
      <c r="G306" s="7" t="s">
        <v>25</v>
      </c>
      <c r="H306" s="2" t="s">
        <v>427</v>
      </c>
      <c r="I306" s="8" t="s">
        <v>781</v>
      </c>
      <c r="J306" s="2" t="s">
        <v>782</v>
      </c>
    </row>
    <row r="307" customFormat="false" ht="46.25" hidden="false" customHeight="false" outlineLevel="0" collapsed="false">
      <c r="A307" s="2" t="s">
        <v>828</v>
      </c>
      <c r="B307" s="2" t="s">
        <v>829</v>
      </c>
      <c r="C307" s="14" t="n">
        <v>1</v>
      </c>
      <c r="D307" s="14" t="n">
        <v>1</v>
      </c>
      <c r="E307" s="14" t="n">
        <v>1</v>
      </c>
      <c r="F307" s="2" t="s">
        <v>780</v>
      </c>
      <c r="G307" s="7" t="s">
        <v>25</v>
      </c>
      <c r="H307" s="2" t="s">
        <v>427</v>
      </c>
      <c r="I307" s="8" t="s">
        <v>781</v>
      </c>
      <c r="J307" s="2" t="s">
        <v>782</v>
      </c>
    </row>
    <row r="308" customFormat="false" ht="46.25" hidden="false" customHeight="false" outlineLevel="0" collapsed="false">
      <c r="A308" s="2" t="s">
        <v>830</v>
      </c>
      <c r="B308" s="2" t="s">
        <v>831</v>
      </c>
      <c r="C308" s="14" t="n">
        <v>2</v>
      </c>
      <c r="D308" s="14" t="n">
        <v>2</v>
      </c>
      <c r="E308" s="14" t="n">
        <v>2</v>
      </c>
      <c r="F308" s="2" t="s">
        <v>780</v>
      </c>
      <c r="G308" s="7" t="s">
        <v>25</v>
      </c>
      <c r="H308" s="2" t="s">
        <v>427</v>
      </c>
      <c r="I308" s="8" t="s">
        <v>781</v>
      </c>
      <c r="J308" s="2" t="s">
        <v>782</v>
      </c>
    </row>
    <row r="309" customFormat="false" ht="46.25" hidden="false" customHeight="false" outlineLevel="0" collapsed="false">
      <c r="A309" s="2" t="s">
        <v>832</v>
      </c>
      <c r="B309" s="2" t="s">
        <v>833</v>
      </c>
      <c r="C309" s="14" t="n">
        <v>2</v>
      </c>
      <c r="D309" s="14" t="n">
        <v>2</v>
      </c>
      <c r="E309" s="14" t="n">
        <v>2</v>
      </c>
      <c r="F309" s="2" t="s">
        <v>780</v>
      </c>
      <c r="G309" s="7" t="s">
        <v>25</v>
      </c>
      <c r="H309" s="2" t="s">
        <v>427</v>
      </c>
      <c r="I309" s="8" t="s">
        <v>781</v>
      </c>
      <c r="J309" s="2" t="s">
        <v>782</v>
      </c>
    </row>
    <row r="310" customFormat="false" ht="57.45" hidden="false" customHeight="false" outlineLevel="0" collapsed="false">
      <c r="A310" s="2" t="s">
        <v>834</v>
      </c>
      <c r="B310" s="2" t="s">
        <v>835</v>
      </c>
      <c r="C310" s="14" t="n">
        <v>16</v>
      </c>
      <c r="D310" s="14" t="n">
        <v>16</v>
      </c>
      <c r="E310" s="14" t="n">
        <v>16</v>
      </c>
      <c r="F310" s="2" t="s">
        <v>780</v>
      </c>
      <c r="G310" s="11" t="s">
        <v>41</v>
      </c>
      <c r="H310" s="2" t="s">
        <v>836</v>
      </c>
      <c r="I310" s="8" t="s">
        <v>837</v>
      </c>
      <c r="J310" s="2" t="s">
        <v>782</v>
      </c>
    </row>
    <row r="311" customFormat="false" ht="46.25" hidden="false" customHeight="false" outlineLevel="0" collapsed="false">
      <c r="A311" s="2" t="s">
        <v>838</v>
      </c>
      <c r="B311" s="2" t="s">
        <v>839</v>
      </c>
      <c r="C311" s="14" t="n">
        <v>2</v>
      </c>
      <c r="D311" s="14" t="n">
        <v>2</v>
      </c>
      <c r="E311" s="14" t="n">
        <v>2</v>
      </c>
      <c r="F311" s="2" t="s">
        <v>780</v>
      </c>
      <c r="G311" s="7" t="s">
        <v>25</v>
      </c>
      <c r="H311" s="2" t="s">
        <v>427</v>
      </c>
      <c r="I311" s="8" t="s">
        <v>781</v>
      </c>
      <c r="J311" s="2" t="s">
        <v>782</v>
      </c>
    </row>
    <row r="312" customFormat="false" ht="46.25" hidden="false" customHeight="false" outlineLevel="0" collapsed="false">
      <c r="A312" s="2" t="s">
        <v>840</v>
      </c>
      <c r="B312" s="2" t="s">
        <v>841</v>
      </c>
      <c r="C312" s="14" t="n">
        <v>1</v>
      </c>
      <c r="D312" s="14" t="n">
        <v>1</v>
      </c>
      <c r="E312" s="14" t="n">
        <v>1</v>
      </c>
      <c r="F312" s="2" t="s">
        <v>780</v>
      </c>
      <c r="G312" s="7" t="s">
        <v>25</v>
      </c>
      <c r="H312" s="2" t="s">
        <v>427</v>
      </c>
      <c r="I312" s="8" t="s">
        <v>781</v>
      </c>
      <c r="J312" s="2" t="s">
        <v>782</v>
      </c>
    </row>
    <row r="313" customFormat="false" ht="46.25" hidden="false" customHeight="false" outlineLevel="0" collapsed="false">
      <c r="A313" s="2" t="s">
        <v>842</v>
      </c>
      <c r="B313" s="2" t="s">
        <v>843</v>
      </c>
      <c r="C313" s="14" t="n">
        <v>1.5</v>
      </c>
      <c r="D313" s="14" t="n">
        <v>1.5</v>
      </c>
      <c r="E313" s="14" t="n">
        <v>1.5</v>
      </c>
      <c r="F313" s="2" t="s">
        <v>780</v>
      </c>
      <c r="G313" s="7" t="s">
        <v>25</v>
      </c>
      <c r="H313" s="2" t="s">
        <v>427</v>
      </c>
      <c r="I313" s="8" t="s">
        <v>781</v>
      </c>
      <c r="J313" s="2" t="s">
        <v>782</v>
      </c>
    </row>
    <row r="314" customFormat="false" ht="15" hidden="false" customHeight="false" outlineLevel="0" collapsed="false">
      <c r="A314" s="5" t="s">
        <v>844</v>
      </c>
    </row>
    <row r="315" customFormat="false" ht="15" hidden="false" customHeight="false" outlineLevel="0" collapsed="false">
      <c r="A315" s="2" t="s">
        <v>845</v>
      </c>
      <c r="B315" s="2" t="s">
        <v>846</v>
      </c>
      <c r="C315" s="14" t="n">
        <v>4</v>
      </c>
      <c r="D315" s="14" t="n">
        <v>4</v>
      </c>
      <c r="E315" s="14" t="n">
        <v>4</v>
      </c>
      <c r="F315" s="2" t="s">
        <v>431</v>
      </c>
      <c r="G315" s="7" t="s">
        <v>25</v>
      </c>
      <c r="H315" s="2" t="s">
        <v>847</v>
      </c>
      <c r="I315" s="8" t="s">
        <v>848</v>
      </c>
      <c r="J315" s="2" t="s">
        <v>849</v>
      </c>
    </row>
    <row r="316" customFormat="false" ht="35.05" hidden="false" customHeight="false" outlineLevel="0" collapsed="false">
      <c r="A316" s="2" t="s">
        <v>850</v>
      </c>
      <c r="B316" s="2" t="s">
        <v>851</v>
      </c>
      <c r="C316" s="9" t="n">
        <v>0.035</v>
      </c>
      <c r="D316" s="9" t="n">
        <v>0.03</v>
      </c>
      <c r="E316" s="9" t="n">
        <v>0.0225</v>
      </c>
      <c r="F316" s="2" t="s">
        <v>99</v>
      </c>
      <c r="G316" s="11" t="s">
        <v>41</v>
      </c>
      <c r="H316" s="2" t="s">
        <v>852</v>
      </c>
      <c r="I316" s="8" t="s">
        <v>853</v>
      </c>
      <c r="J316" s="2" t="s">
        <v>849</v>
      </c>
    </row>
    <row r="317" customFormat="false" ht="23.85" hidden="false" customHeight="false" outlineLevel="0" collapsed="false">
      <c r="A317" s="2" t="s">
        <v>854</v>
      </c>
      <c r="B317" s="2" t="s">
        <v>855</v>
      </c>
      <c r="C317" s="9" t="n">
        <v>0.01</v>
      </c>
      <c r="D317" s="9" t="n">
        <v>0.0185</v>
      </c>
      <c r="E317" s="9" t="n">
        <v>0.03</v>
      </c>
      <c r="F317" s="2" t="s">
        <v>99</v>
      </c>
      <c r="G317" s="11" t="s">
        <v>41</v>
      </c>
      <c r="H317" s="2" t="s">
        <v>856</v>
      </c>
      <c r="I317" s="8" t="s">
        <v>857</v>
      </c>
      <c r="J317" s="2" t="s">
        <v>849</v>
      </c>
    </row>
    <row r="318" customFormat="false" ht="35.05" hidden="false" customHeight="false" outlineLevel="0" collapsed="false">
      <c r="A318" s="2" t="s">
        <v>858</v>
      </c>
      <c r="B318" s="2" t="s">
        <v>859</v>
      </c>
      <c r="C318" s="9" t="n">
        <v>0.009</v>
      </c>
      <c r="D318" s="9" t="n">
        <v>0.02</v>
      </c>
      <c r="E318" s="9" t="n">
        <v>0.0285</v>
      </c>
      <c r="F318" s="2" t="s">
        <v>99</v>
      </c>
      <c r="G318" s="11" t="s">
        <v>41</v>
      </c>
      <c r="H318" s="2" t="s">
        <v>860</v>
      </c>
      <c r="I318" s="8" t="s">
        <v>861</v>
      </c>
      <c r="J318" s="2" t="s">
        <v>849</v>
      </c>
    </row>
    <row r="319" customFormat="false" ht="15" hidden="false" customHeight="false" outlineLevel="0" collapsed="false">
      <c r="A319" s="2" t="s">
        <v>862</v>
      </c>
      <c r="B319" s="2" t="s">
        <v>863</v>
      </c>
      <c r="C319" s="9" t="n">
        <v>0.005</v>
      </c>
      <c r="D319" s="9" t="n">
        <v>0</v>
      </c>
      <c r="E319" s="9" t="n">
        <v>-0.005</v>
      </c>
      <c r="F319" s="2" t="s">
        <v>99</v>
      </c>
      <c r="G319" s="7" t="s">
        <v>25</v>
      </c>
      <c r="H319" s="2"/>
      <c r="I319" s="8"/>
      <c r="J319" s="2" t="s">
        <v>849</v>
      </c>
    </row>
    <row r="320" customFormat="false" ht="35.05" hidden="false" customHeight="false" outlineLevel="0" collapsed="false">
      <c r="A320" s="2" t="s">
        <v>864</v>
      </c>
      <c r="B320" s="2" t="s">
        <v>865</v>
      </c>
      <c r="C320" s="9" t="n">
        <v>0</v>
      </c>
      <c r="D320" s="9" t="n">
        <v>0.005</v>
      </c>
      <c r="E320" s="9" t="n">
        <v>0.01</v>
      </c>
      <c r="F320" s="2" t="s">
        <v>99</v>
      </c>
      <c r="G320" s="11" t="s">
        <v>41</v>
      </c>
      <c r="H320" s="2" t="s">
        <v>866</v>
      </c>
      <c r="I320" s="8" t="s">
        <v>867</v>
      </c>
      <c r="J320" s="2" t="s">
        <v>849</v>
      </c>
    </row>
    <row r="321" customFormat="false" ht="35.05" hidden="false" customHeight="false" outlineLevel="0" collapsed="false">
      <c r="A321" s="2" t="s">
        <v>868</v>
      </c>
      <c r="B321" s="2" t="s">
        <v>869</v>
      </c>
      <c r="C321" s="9" t="n">
        <v>0.005</v>
      </c>
      <c r="D321" s="9" t="n">
        <v>0.0075</v>
      </c>
      <c r="E321" s="9" t="n">
        <v>0.0125</v>
      </c>
      <c r="F321" s="2" t="s">
        <v>99</v>
      </c>
      <c r="G321" s="11" t="s">
        <v>41</v>
      </c>
      <c r="H321" s="2" t="s">
        <v>870</v>
      </c>
      <c r="I321" s="8" t="s">
        <v>871</v>
      </c>
      <c r="J321" s="2" t="s">
        <v>849</v>
      </c>
    </row>
    <row r="322" customFormat="false" ht="15" hidden="false" customHeight="false" outlineLevel="0" collapsed="false">
      <c r="A322" s="2" t="s">
        <v>872</v>
      </c>
      <c r="B322" s="2" t="s">
        <v>873</v>
      </c>
      <c r="C322" s="9" t="n">
        <v>0.02</v>
      </c>
      <c r="D322" s="9" t="n">
        <v>0.02</v>
      </c>
      <c r="E322" s="9" t="n">
        <v>0.02</v>
      </c>
      <c r="F322" s="2" t="s">
        <v>99</v>
      </c>
      <c r="G322" s="11" t="s">
        <v>41</v>
      </c>
      <c r="H322" s="2" t="s">
        <v>874</v>
      </c>
      <c r="I322" s="8" t="s">
        <v>875</v>
      </c>
      <c r="J322" s="2" t="s">
        <v>849</v>
      </c>
    </row>
    <row r="323" customFormat="false" ht="23.85" hidden="false" customHeight="false" outlineLevel="0" collapsed="false">
      <c r="A323" s="2" t="s">
        <v>876</v>
      </c>
      <c r="B323" s="2" t="s">
        <v>877</v>
      </c>
      <c r="C323" s="9" t="n">
        <v>0.45</v>
      </c>
      <c r="D323" s="9" t="n">
        <v>0.45</v>
      </c>
      <c r="E323" s="9" t="n">
        <v>0.45</v>
      </c>
      <c r="F323" s="2" t="s">
        <v>46</v>
      </c>
      <c r="G323" s="7" t="s">
        <v>25</v>
      </c>
      <c r="H323" s="2" t="s">
        <v>878</v>
      </c>
      <c r="I323" s="8" t="s">
        <v>879</v>
      </c>
      <c r="J323" s="2" t="s">
        <v>849</v>
      </c>
    </row>
    <row r="324" customFormat="false" ht="15" hidden="false" customHeight="false" outlineLevel="0" collapsed="false">
      <c r="A324" s="2" t="s">
        <v>880</v>
      </c>
      <c r="B324" s="2" t="s">
        <v>881</v>
      </c>
      <c r="C324" s="9" t="n">
        <v>0.5</v>
      </c>
      <c r="D324" s="9" t="n">
        <v>0.5</v>
      </c>
      <c r="E324" s="9" t="n">
        <v>0.5</v>
      </c>
      <c r="F324" s="2" t="s">
        <v>46</v>
      </c>
      <c r="G324" s="12" t="s">
        <v>47</v>
      </c>
      <c r="H324" s="2" t="s">
        <v>882</v>
      </c>
      <c r="I324" s="8"/>
      <c r="J324" s="2" t="s">
        <v>849</v>
      </c>
    </row>
    <row r="325" customFormat="false" ht="15" hidden="false" customHeight="false" outlineLevel="0" collapsed="false">
      <c r="A325" s="2" t="s">
        <v>883</v>
      </c>
      <c r="B325" s="2" t="s">
        <v>884</v>
      </c>
      <c r="C325" s="9" t="n">
        <v>0.45</v>
      </c>
      <c r="D325" s="9" t="n">
        <v>0.41</v>
      </c>
      <c r="E325" s="9" t="n">
        <v>0.3</v>
      </c>
      <c r="F325" s="2" t="s">
        <v>46</v>
      </c>
      <c r="G325" s="7" t="s">
        <v>25</v>
      </c>
      <c r="H325" s="2" t="s">
        <v>885</v>
      </c>
      <c r="I325" s="8"/>
      <c r="J325" s="2" t="s">
        <v>849</v>
      </c>
    </row>
    <row r="326" customFormat="false" ht="15" hidden="false" customHeight="false" outlineLevel="0" collapsed="false">
      <c r="A326" s="2" t="s">
        <v>886</v>
      </c>
      <c r="B326" s="2" t="s">
        <v>887</v>
      </c>
      <c r="C326" s="9" t="n">
        <v>1</v>
      </c>
      <c r="D326" s="9" t="n">
        <v>1</v>
      </c>
      <c r="E326" s="9" t="n">
        <v>1</v>
      </c>
      <c r="F326" s="2" t="s">
        <v>46</v>
      </c>
      <c r="G326" s="7" t="s">
        <v>25</v>
      </c>
      <c r="H326" s="2"/>
      <c r="I326" s="8"/>
      <c r="J326" s="2" t="s">
        <v>849</v>
      </c>
    </row>
    <row r="327" customFormat="false" ht="15" hidden="false" customHeight="false" outlineLevel="0" collapsed="false">
      <c r="A327" s="2" t="s">
        <v>888</v>
      </c>
      <c r="B327" s="2" t="s">
        <v>889</v>
      </c>
      <c r="C327" s="9" t="n">
        <v>0.4</v>
      </c>
      <c r="D327" s="9" t="n">
        <v>0.4</v>
      </c>
      <c r="E327" s="9" t="n">
        <v>0.4</v>
      </c>
      <c r="F327" s="2" t="s">
        <v>46</v>
      </c>
      <c r="G327" s="7" t="s">
        <v>25</v>
      </c>
      <c r="H327" s="2"/>
      <c r="I327" s="8"/>
      <c r="J327" s="2" t="s">
        <v>849</v>
      </c>
    </row>
    <row r="328" customFormat="false" ht="15" hidden="false" customHeight="false" outlineLevel="0" collapsed="false">
      <c r="A328" s="2" t="s">
        <v>890</v>
      </c>
      <c r="B328" s="2" t="s">
        <v>891</v>
      </c>
      <c r="C328" s="9" t="n">
        <v>0.75</v>
      </c>
      <c r="D328" s="9" t="n">
        <v>0.75</v>
      </c>
      <c r="E328" s="9" t="n">
        <v>0.75</v>
      </c>
      <c r="F328" s="2" t="s">
        <v>46</v>
      </c>
      <c r="G328" s="7" t="s">
        <v>25</v>
      </c>
      <c r="H328" s="2"/>
      <c r="I328" s="8"/>
      <c r="J328" s="2" t="s">
        <v>849</v>
      </c>
    </row>
    <row r="329" customFormat="false" ht="35.05" hidden="false" customHeight="false" outlineLevel="0" collapsed="false">
      <c r="A329" s="2" t="s">
        <v>892</v>
      </c>
      <c r="B329" s="2" t="s">
        <v>893</v>
      </c>
      <c r="C329" s="9" t="n">
        <v>0.1</v>
      </c>
      <c r="D329" s="9" t="n">
        <v>0.1</v>
      </c>
      <c r="E329" s="9" t="n">
        <v>0.1</v>
      </c>
      <c r="F329" s="2" t="s">
        <v>46</v>
      </c>
      <c r="G329" s="11" t="s">
        <v>41</v>
      </c>
      <c r="H329" s="2" t="s">
        <v>894</v>
      </c>
      <c r="I329" s="8" t="s">
        <v>895</v>
      </c>
      <c r="J329" s="2" t="s">
        <v>849</v>
      </c>
    </row>
    <row r="330" customFormat="false" ht="15" hidden="false" customHeight="false" outlineLevel="0" collapsed="false">
      <c r="A330" s="2" t="s">
        <v>896</v>
      </c>
      <c r="B330" s="2" t="s">
        <v>897</v>
      </c>
      <c r="C330" s="9" t="n">
        <v>0</v>
      </c>
      <c r="D330" s="9" t="n">
        <v>0</v>
      </c>
      <c r="E330" s="9" t="n">
        <v>0</v>
      </c>
      <c r="F330" s="2" t="s">
        <v>99</v>
      </c>
      <c r="G330" s="7" t="s">
        <v>25</v>
      </c>
      <c r="H330" s="2"/>
      <c r="I330" s="8" t="s">
        <v>898</v>
      </c>
      <c r="J330" s="2" t="s">
        <v>849</v>
      </c>
    </row>
    <row r="331" customFormat="false" ht="15" hidden="false" customHeight="false" outlineLevel="0" collapsed="false">
      <c r="A331" s="5" t="s">
        <v>899</v>
      </c>
    </row>
    <row r="332" customFormat="false" ht="15" hidden="false" customHeight="false" outlineLevel="0" collapsed="false">
      <c r="A332" s="2" t="s">
        <v>900</v>
      </c>
      <c r="B332" s="2" t="s">
        <v>901</v>
      </c>
      <c r="C332" s="6" t="n">
        <v>400000</v>
      </c>
      <c r="D332" s="6" t="n">
        <v>400000</v>
      </c>
      <c r="E332" s="6" t="n">
        <v>400000</v>
      </c>
      <c r="F332" s="2" t="s">
        <v>497</v>
      </c>
      <c r="G332" s="7" t="s">
        <v>25</v>
      </c>
      <c r="H332" s="2"/>
      <c r="I332" s="8"/>
      <c r="J332" s="2" t="s">
        <v>902</v>
      </c>
    </row>
    <row r="333" customFormat="false" ht="15" hidden="false" customHeight="false" outlineLevel="0" collapsed="false">
      <c r="A333" s="2" t="s">
        <v>903</v>
      </c>
      <c r="B333" s="2" t="s">
        <v>904</v>
      </c>
      <c r="C333" s="14" t="n">
        <v>10</v>
      </c>
      <c r="D333" s="14" t="n">
        <v>10</v>
      </c>
      <c r="E333" s="14" t="n">
        <v>10</v>
      </c>
      <c r="F333" s="2" t="s">
        <v>431</v>
      </c>
      <c r="G333" s="7" t="s">
        <v>25</v>
      </c>
      <c r="H333" s="2"/>
      <c r="I333" s="8"/>
      <c r="J333" s="2" t="s">
        <v>902</v>
      </c>
    </row>
    <row r="334" customFormat="false" ht="35.05" hidden="false" customHeight="false" outlineLevel="0" collapsed="false">
      <c r="A334" s="2" t="s">
        <v>905</v>
      </c>
      <c r="B334" s="2" t="s">
        <v>906</v>
      </c>
      <c r="C334" s="6" t="n">
        <v>15000000</v>
      </c>
      <c r="D334" s="6" t="n">
        <v>15000000</v>
      </c>
      <c r="E334" s="6" t="n">
        <v>15000000</v>
      </c>
      <c r="F334" s="2" t="s">
        <v>488</v>
      </c>
      <c r="G334" s="7" t="s">
        <v>25</v>
      </c>
      <c r="H334" s="2"/>
      <c r="I334" s="8" t="s">
        <v>907</v>
      </c>
      <c r="J334" s="2" t="s">
        <v>902</v>
      </c>
    </row>
    <row r="335" customFormat="false" ht="15" hidden="false" customHeight="false" outlineLevel="0" collapsed="false">
      <c r="A335" s="2" t="s">
        <v>908</v>
      </c>
      <c r="B335" s="2" t="s">
        <v>909</v>
      </c>
      <c r="C335" s="6" t="n">
        <v>400000</v>
      </c>
      <c r="D335" s="6" t="n">
        <v>400000</v>
      </c>
      <c r="E335" s="6" t="n">
        <v>400000</v>
      </c>
      <c r="F335" s="2" t="s">
        <v>488</v>
      </c>
      <c r="G335" s="7" t="s">
        <v>25</v>
      </c>
      <c r="H335" s="2"/>
      <c r="I335" s="8"/>
      <c r="J335" s="2" t="s">
        <v>902</v>
      </c>
    </row>
    <row r="336" customFormat="false" ht="15" hidden="false" customHeight="false" outlineLevel="0" collapsed="false">
      <c r="A336" s="2" t="s">
        <v>910</v>
      </c>
      <c r="B336" s="2" t="s">
        <v>911</v>
      </c>
      <c r="C336" s="6" t="n">
        <v>1000000</v>
      </c>
      <c r="D336" s="6" t="n">
        <v>1000000</v>
      </c>
      <c r="E336" s="6" t="n">
        <v>1000000</v>
      </c>
      <c r="F336" s="2" t="s">
        <v>497</v>
      </c>
      <c r="G336" s="7" t="s">
        <v>25</v>
      </c>
      <c r="H336" s="2"/>
      <c r="I336" s="8"/>
      <c r="J336" s="2" t="s">
        <v>902</v>
      </c>
    </row>
    <row r="337" customFormat="false" ht="15" hidden="false" customHeight="false" outlineLevel="0" collapsed="false">
      <c r="A337" s="2" t="s">
        <v>912</v>
      </c>
      <c r="B337" s="2" t="s">
        <v>913</v>
      </c>
      <c r="C337" s="14" t="n">
        <v>10</v>
      </c>
      <c r="D337" s="14" t="n">
        <v>10</v>
      </c>
      <c r="E337" s="14" t="n">
        <v>10</v>
      </c>
      <c r="F337" s="2" t="s">
        <v>431</v>
      </c>
      <c r="G337" s="7" t="s">
        <v>25</v>
      </c>
      <c r="H337" s="2"/>
      <c r="I337" s="8"/>
      <c r="J337" s="2" t="s">
        <v>902</v>
      </c>
    </row>
    <row r="338" customFormat="false" ht="35.05" hidden="false" customHeight="false" outlineLevel="0" collapsed="false">
      <c r="A338" s="2" t="s">
        <v>914</v>
      </c>
      <c r="B338" s="2" t="s">
        <v>915</v>
      </c>
      <c r="C338" s="6" t="n">
        <v>60000000</v>
      </c>
      <c r="D338" s="6" t="n">
        <v>60000000</v>
      </c>
      <c r="E338" s="6" t="n">
        <v>60000000</v>
      </c>
      <c r="F338" s="2" t="s">
        <v>488</v>
      </c>
      <c r="G338" s="7" t="s">
        <v>25</v>
      </c>
      <c r="H338" s="2"/>
      <c r="I338" s="8" t="s">
        <v>916</v>
      </c>
      <c r="J338" s="2" t="s">
        <v>902</v>
      </c>
    </row>
    <row r="339" customFormat="false" ht="15" hidden="false" customHeight="false" outlineLevel="0" collapsed="false">
      <c r="A339" s="2" t="s">
        <v>917</v>
      </c>
      <c r="B339" s="2" t="s">
        <v>918</v>
      </c>
      <c r="C339" s="6" t="n">
        <v>1500000</v>
      </c>
      <c r="D339" s="6" t="n">
        <v>1500000</v>
      </c>
      <c r="E339" s="6" t="n">
        <v>1500000</v>
      </c>
      <c r="F339" s="2" t="s">
        <v>488</v>
      </c>
      <c r="G339" s="7" t="s">
        <v>25</v>
      </c>
      <c r="H339" s="2"/>
      <c r="I339" s="8"/>
      <c r="J339" s="2" t="s">
        <v>902</v>
      </c>
    </row>
    <row r="340" customFormat="false" ht="15" hidden="false" customHeight="false" outlineLevel="0" collapsed="false">
      <c r="A340" s="2" t="s">
        <v>919</v>
      </c>
      <c r="B340" s="2" t="s">
        <v>920</v>
      </c>
      <c r="C340" s="6" t="n">
        <v>0</v>
      </c>
      <c r="D340" s="6" t="n">
        <v>0</v>
      </c>
      <c r="E340" s="6" t="n">
        <v>0</v>
      </c>
      <c r="F340" s="2" t="s">
        <v>497</v>
      </c>
      <c r="G340" s="7" t="s">
        <v>25</v>
      </c>
      <c r="H340" s="2"/>
      <c r="I340" s="8"/>
      <c r="J340" s="2" t="s">
        <v>902</v>
      </c>
    </row>
    <row r="341" customFormat="false" ht="15" hidden="false" customHeight="false" outlineLevel="0" collapsed="false">
      <c r="A341" s="2" t="s">
        <v>921</v>
      </c>
      <c r="B341" s="2" t="s">
        <v>922</v>
      </c>
      <c r="C341" s="14" t="n">
        <v>0</v>
      </c>
      <c r="D341" s="14" t="n">
        <v>0</v>
      </c>
      <c r="E341" s="14" t="n">
        <v>0</v>
      </c>
      <c r="F341" s="2" t="s">
        <v>431</v>
      </c>
      <c r="G341" s="7" t="s">
        <v>25</v>
      </c>
      <c r="H341" s="2"/>
      <c r="I341" s="8"/>
      <c r="J341" s="2" t="s">
        <v>902</v>
      </c>
    </row>
    <row r="342" customFormat="false" ht="35.05" hidden="false" customHeight="false" outlineLevel="0" collapsed="false">
      <c r="A342" s="2" t="s">
        <v>923</v>
      </c>
      <c r="B342" s="2" t="s">
        <v>924</v>
      </c>
      <c r="C342" s="6" t="n">
        <v>210000000</v>
      </c>
      <c r="D342" s="6" t="n">
        <v>210000000</v>
      </c>
      <c r="E342" s="6" t="n">
        <v>210000000</v>
      </c>
      <c r="F342" s="2" t="s">
        <v>488</v>
      </c>
      <c r="G342" s="7" t="s">
        <v>25</v>
      </c>
      <c r="H342" s="2"/>
      <c r="I342" s="8" t="s">
        <v>925</v>
      </c>
      <c r="J342" s="2" t="s">
        <v>902</v>
      </c>
    </row>
    <row r="343" customFormat="false" ht="23.85" hidden="false" customHeight="false" outlineLevel="0" collapsed="false">
      <c r="A343" s="2" t="s">
        <v>926</v>
      </c>
      <c r="B343" s="2" t="s">
        <v>927</v>
      </c>
      <c r="C343" s="6" t="n">
        <v>4000000</v>
      </c>
      <c r="D343" s="6" t="n">
        <v>4000000</v>
      </c>
      <c r="E343" s="6" t="n">
        <v>4000000</v>
      </c>
      <c r="F343" s="2" t="s">
        <v>488</v>
      </c>
      <c r="G343" s="7" t="s">
        <v>25</v>
      </c>
      <c r="H343" s="2"/>
      <c r="I343" s="8" t="s">
        <v>928</v>
      </c>
      <c r="J343" s="2" t="s">
        <v>902</v>
      </c>
    </row>
    <row r="344" customFormat="false" ht="15" hidden="false" customHeight="false" outlineLevel="0" collapsed="false">
      <c r="A344" s="2" t="s">
        <v>929</v>
      </c>
      <c r="B344" s="2" t="s">
        <v>930</v>
      </c>
      <c r="C344" s="14" t="n">
        <v>0</v>
      </c>
      <c r="D344" s="14" t="n">
        <v>0</v>
      </c>
      <c r="E344" s="14" t="n">
        <v>0</v>
      </c>
      <c r="F344" s="2" t="s">
        <v>931</v>
      </c>
      <c r="G344" s="7" t="s">
        <v>25</v>
      </c>
      <c r="H344" s="2"/>
      <c r="I344" s="8"/>
      <c r="J344" s="2" t="s">
        <v>902</v>
      </c>
    </row>
    <row r="345" customFormat="false" ht="15" hidden="false" customHeight="false" outlineLevel="0" collapsed="false">
      <c r="A345" s="2" t="s">
        <v>932</v>
      </c>
      <c r="B345" s="2" t="s">
        <v>933</v>
      </c>
      <c r="C345" s="9" t="n">
        <v>0.3</v>
      </c>
      <c r="D345" s="9" t="n">
        <v>0.3</v>
      </c>
      <c r="E345" s="9" t="n">
        <v>0.3</v>
      </c>
      <c r="F345" s="2" t="s">
        <v>46</v>
      </c>
      <c r="G345" s="7" t="s">
        <v>25</v>
      </c>
      <c r="H345" s="2"/>
      <c r="I345" s="8" t="s">
        <v>934</v>
      </c>
      <c r="J345" s="2" t="s">
        <v>902</v>
      </c>
    </row>
    <row r="346" customFormat="false" ht="15" hidden="false" customHeight="false" outlineLevel="0" collapsed="false">
      <c r="A346" s="2" t="s">
        <v>935</v>
      </c>
      <c r="B346" s="2" t="s">
        <v>936</v>
      </c>
      <c r="C346" s="14" t="n">
        <v>1</v>
      </c>
      <c r="D346" s="14" t="n">
        <v>1</v>
      </c>
      <c r="E346" s="14" t="n">
        <v>1</v>
      </c>
      <c r="F346" s="2" t="s">
        <v>431</v>
      </c>
      <c r="G346" s="7" t="s">
        <v>25</v>
      </c>
      <c r="H346" s="2"/>
      <c r="I346" s="8"/>
      <c r="J346" s="2" t="s">
        <v>902</v>
      </c>
    </row>
    <row r="347" customFormat="false" ht="23.85" hidden="false" customHeight="false" outlineLevel="0" collapsed="false">
      <c r="A347" s="2" t="s">
        <v>937</v>
      </c>
      <c r="B347" s="2" t="s">
        <v>938</v>
      </c>
      <c r="C347" s="9" t="n">
        <v>0.1</v>
      </c>
      <c r="D347" s="9" t="n">
        <v>0.1</v>
      </c>
      <c r="E347" s="9" t="n">
        <v>0.1</v>
      </c>
      <c r="F347" s="2" t="s">
        <v>46</v>
      </c>
      <c r="G347" s="7" t="s">
        <v>25</v>
      </c>
      <c r="H347" s="2"/>
      <c r="I347" s="8" t="s">
        <v>939</v>
      </c>
      <c r="J347" s="2" t="s">
        <v>902</v>
      </c>
    </row>
    <row r="348" customFormat="false" ht="35.05" hidden="false" customHeight="false" outlineLevel="0" collapsed="false">
      <c r="A348" s="2" t="s">
        <v>940</v>
      </c>
      <c r="B348" s="2" t="s">
        <v>941</v>
      </c>
      <c r="C348" s="9" t="n">
        <v>0.8</v>
      </c>
      <c r="D348" s="9" t="n">
        <v>0.8</v>
      </c>
      <c r="E348" s="9" t="n">
        <v>0.8</v>
      </c>
      <c r="F348" s="2" t="s">
        <v>46</v>
      </c>
      <c r="G348" s="7" t="s">
        <v>25</v>
      </c>
      <c r="H348" s="2" t="s">
        <v>942</v>
      </c>
      <c r="I348" s="8" t="s">
        <v>943</v>
      </c>
      <c r="J348" s="2" t="s">
        <v>902</v>
      </c>
    </row>
    <row r="349" customFormat="false" ht="23.85" hidden="false" customHeight="false" outlineLevel="0" collapsed="false">
      <c r="A349" s="2" t="s">
        <v>944</v>
      </c>
      <c r="B349" s="2" t="s">
        <v>945</v>
      </c>
      <c r="C349" s="14" t="n">
        <v>0</v>
      </c>
      <c r="D349" s="14" t="n">
        <v>0</v>
      </c>
      <c r="E349" s="14" t="n">
        <v>0</v>
      </c>
      <c r="F349" s="2" t="s">
        <v>931</v>
      </c>
      <c r="G349" s="7" t="s">
        <v>25</v>
      </c>
      <c r="H349" s="2"/>
      <c r="I349" s="8" t="s">
        <v>946</v>
      </c>
      <c r="J349" s="2" t="s">
        <v>902</v>
      </c>
    </row>
    <row r="350" customFormat="false" ht="35.05" hidden="false" customHeight="false" outlineLevel="0" collapsed="false">
      <c r="A350" s="2" t="s">
        <v>947</v>
      </c>
      <c r="B350" s="2" t="s">
        <v>948</v>
      </c>
      <c r="C350" s="14" t="n">
        <v>1</v>
      </c>
      <c r="D350" s="14" t="n">
        <v>1</v>
      </c>
      <c r="E350" s="14" t="n">
        <v>1</v>
      </c>
      <c r="F350" s="2" t="s">
        <v>931</v>
      </c>
      <c r="G350" s="7" t="s">
        <v>25</v>
      </c>
      <c r="H350" s="2"/>
      <c r="I350" s="8" t="s">
        <v>949</v>
      </c>
      <c r="J350" s="2" t="s">
        <v>902</v>
      </c>
    </row>
    <row r="351" customFormat="false" ht="15" hidden="false" customHeight="false" outlineLevel="0" collapsed="false">
      <c r="A351" s="2" t="s">
        <v>950</v>
      </c>
      <c r="B351" s="2" t="s">
        <v>951</v>
      </c>
      <c r="C351" s="9" t="n">
        <v>0.04</v>
      </c>
      <c r="D351" s="9" t="n">
        <v>0.04</v>
      </c>
      <c r="E351" s="9" t="n">
        <v>0.04</v>
      </c>
      <c r="F351" s="2" t="s">
        <v>46</v>
      </c>
      <c r="G351" s="7" t="s">
        <v>25</v>
      </c>
      <c r="H351" s="2"/>
      <c r="I351" s="8"/>
      <c r="J351" s="2" t="s">
        <v>902</v>
      </c>
    </row>
    <row r="352" customFormat="false" ht="15" hidden="false" customHeight="false" outlineLevel="0" collapsed="false">
      <c r="A352" s="2" t="s">
        <v>952</v>
      </c>
      <c r="B352" s="2" t="s">
        <v>953</v>
      </c>
      <c r="C352" s="14" t="n">
        <v>0</v>
      </c>
      <c r="D352" s="14" t="n">
        <v>0</v>
      </c>
      <c r="E352" s="14" t="n">
        <v>0</v>
      </c>
      <c r="F352" s="2" t="s">
        <v>931</v>
      </c>
      <c r="G352" s="7" t="s">
        <v>25</v>
      </c>
      <c r="H352" s="2"/>
      <c r="I352" s="8"/>
      <c r="J352" s="2" t="s">
        <v>902</v>
      </c>
    </row>
    <row r="353" customFormat="false" ht="15" hidden="false" customHeight="false" outlineLevel="0" collapsed="false">
      <c r="A353" s="5" t="s">
        <v>954</v>
      </c>
    </row>
    <row r="354" customFormat="false" ht="35.05" hidden="false" customHeight="false" outlineLevel="0" collapsed="false">
      <c r="A354" s="2" t="s">
        <v>955</v>
      </c>
      <c r="B354" s="2" t="s">
        <v>956</v>
      </c>
      <c r="C354" s="14" t="n">
        <v>0.4</v>
      </c>
      <c r="D354" s="14" t="n">
        <v>0.4</v>
      </c>
      <c r="E354" s="14" t="n">
        <v>0.4</v>
      </c>
      <c r="F354" s="2" t="s">
        <v>113</v>
      </c>
      <c r="G354" s="7" t="s">
        <v>25</v>
      </c>
      <c r="H354" s="2"/>
      <c r="I354" s="8" t="s">
        <v>957</v>
      </c>
      <c r="J354" s="2" t="s">
        <v>958</v>
      </c>
    </row>
    <row r="355" customFormat="false" ht="35.05" hidden="false" customHeight="false" outlineLevel="0" collapsed="false">
      <c r="A355" s="2" t="s">
        <v>959</v>
      </c>
      <c r="B355" s="2" t="s">
        <v>960</v>
      </c>
      <c r="C355" s="14" t="n">
        <v>0.333</v>
      </c>
      <c r="D355" s="14" t="n">
        <v>0.333</v>
      </c>
      <c r="E355" s="14" t="n">
        <v>0.333</v>
      </c>
      <c r="F355" s="2" t="s">
        <v>113</v>
      </c>
      <c r="G355" s="7" t="s">
        <v>25</v>
      </c>
      <c r="H355" s="2"/>
      <c r="I355" s="8" t="s">
        <v>957</v>
      </c>
      <c r="J355" s="2" t="s">
        <v>958</v>
      </c>
    </row>
    <row r="356" customFormat="false" ht="35.05" hidden="false" customHeight="false" outlineLevel="0" collapsed="false">
      <c r="A356" s="2" t="s">
        <v>961</v>
      </c>
      <c r="B356" s="2" t="s">
        <v>962</v>
      </c>
      <c r="C356" s="14" t="n">
        <v>0.267</v>
      </c>
      <c r="D356" s="14" t="n">
        <v>0.267</v>
      </c>
      <c r="E356" s="14" t="n">
        <v>0.267</v>
      </c>
      <c r="F356" s="2" t="s">
        <v>113</v>
      </c>
      <c r="G356" s="7" t="s">
        <v>25</v>
      </c>
      <c r="H356" s="2"/>
      <c r="I356" s="8" t="s">
        <v>957</v>
      </c>
      <c r="J356" s="2" t="s">
        <v>958</v>
      </c>
    </row>
    <row r="357" customFormat="false" ht="35.05" hidden="false" customHeight="false" outlineLevel="0" collapsed="false">
      <c r="A357" s="2" t="s">
        <v>963</v>
      </c>
      <c r="B357" s="2" t="s">
        <v>964</v>
      </c>
      <c r="C357" s="14" t="n">
        <v>0.25</v>
      </c>
      <c r="D357" s="14" t="n">
        <v>0.25</v>
      </c>
      <c r="E357" s="14" t="n">
        <v>0.25</v>
      </c>
      <c r="F357" s="2" t="s">
        <v>113</v>
      </c>
      <c r="G357" s="7" t="s">
        <v>25</v>
      </c>
      <c r="H357" s="2"/>
      <c r="I357" s="8" t="s">
        <v>957</v>
      </c>
      <c r="J357" s="2" t="s">
        <v>958</v>
      </c>
    </row>
    <row r="358" customFormat="false" ht="35.05" hidden="false" customHeight="false" outlineLevel="0" collapsed="false">
      <c r="A358" s="2" t="s">
        <v>965</v>
      </c>
      <c r="B358" s="2" t="s">
        <v>966</v>
      </c>
      <c r="C358" s="14" t="n">
        <v>0.4</v>
      </c>
      <c r="D358" s="14" t="n">
        <v>0.4</v>
      </c>
      <c r="E358" s="14" t="n">
        <v>0.4</v>
      </c>
      <c r="F358" s="2" t="s">
        <v>113</v>
      </c>
      <c r="G358" s="7" t="s">
        <v>25</v>
      </c>
      <c r="H358" s="2"/>
      <c r="I358" s="8" t="s">
        <v>957</v>
      </c>
      <c r="J358" s="2" t="s">
        <v>958</v>
      </c>
    </row>
    <row r="359" customFormat="false" ht="35.05" hidden="false" customHeight="false" outlineLevel="0" collapsed="false">
      <c r="A359" s="2" t="s">
        <v>967</v>
      </c>
      <c r="B359" s="2" t="s">
        <v>968</v>
      </c>
      <c r="C359" s="14" t="n">
        <v>0</v>
      </c>
      <c r="D359" s="14" t="n">
        <v>0</v>
      </c>
      <c r="E359" s="14" t="n">
        <v>0</v>
      </c>
      <c r="F359" s="2" t="s">
        <v>113</v>
      </c>
      <c r="G359" s="7" t="s">
        <v>25</v>
      </c>
      <c r="H359" s="2"/>
      <c r="I359" s="8" t="s">
        <v>957</v>
      </c>
      <c r="J359" s="2" t="s">
        <v>958</v>
      </c>
    </row>
    <row r="360" customFormat="false" ht="35.05" hidden="false" customHeight="false" outlineLevel="0" collapsed="false">
      <c r="A360" s="2" t="s">
        <v>969</v>
      </c>
      <c r="B360" s="2" t="s">
        <v>970</v>
      </c>
      <c r="C360" s="14" t="n">
        <v>0.5</v>
      </c>
      <c r="D360" s="14" t="n">
        <v>0.5</v>
      </c>
      <c r="E360" s="14" t="n">
        <v>0.5</v>
      </c>
      <c r="F360" s="2" t="s">
        <v>113</v>
      </c>
      <c r="G360" s="7" t="s">
        <v>25</v>
      </c>
      <c r="H360" s="2"/>
      <c r="I360" s="8" t="s">
        <v>957</v>
      </c>
      <c r="J360" s="2" t="s">
        <v>958</v>
      </c>
    </row>
    <row r="361" customFormat="false" ht="15" hidden="false" customHeight="false" outlineLevel="0" collapsed="false">
      <c r="A361" s="2" t="s">
        <v>971</v>
      </c>
      <c r="B361" s="2" t="s">
        <v>972</v>
      </c>
      <c r="C361" s="14" t="n">
        <v>1</v>
      </c>
      <c r="D361" s="14" t="n">
        <v>1</v>
      </c>
      <c r="E361" s="14" t="n">
        <v>1</v>
      </c>
      <c r="F361" s="2" t="s">
        <v>113</v>
      </c>
      <c r="G361" s="7" t="s">
        <v>25</v>
      </c>
      <c r="H361" s="2"/>
      <c r="I361" s="8" t="s">
        <v>973</v>
      </c>
      <c r="J361" s="2" t="s">
        <v>958</v>
      </c>
    </row>
    <row r="362" customFormat="false" ht="15" hidden="false" customHeight="false" outlineLevel="0" collapsed="false">
      <c r="A362" s="2" t="s">
        <v>974</v>
      </c>
      <c r="B362" s="2" t="s">
        <v>975</v>
      </c>
      <c r="C362" s="14" t="n">
        <v>1</v>
      </c>
      <c r="D362" s="14" t="n">
        <v>1</v>
      </c>
      <c r="E362" s="14" t="n">
        <v>1</v>
      </c>
      <c r="F362" s="2" t="s">
        <v>113</v>
      </c>
      <c r="G362" s="7" t="s">
        <v>25</v>
      </c>
      <c r="H362" s="2"/>
      <c r="I362" s="8" t="s">
        <v>973</v>
      </c>
      <c r="J362" s="2" t="s">
        <v>958</v>
      </c>
    </row>
    <row r="363" customFormat="false" ht="15" hidden="false" customHeight="false" outlineLevel="0" collapsed="false">
      <c r="A363" s="2" t="s">
        <v>976</v>
      </c>
      <c r="B363" s="2" t="s">
        <v>977</v>
      </c>
      <c r="C363" s="14" t="n">
        <v>1</v>
      </c>
      <c r="D363" s="14" t="n">
        <v>1</v>
      </c>
      <c r="E363" s="14" t="n">
        <v>1</v>
      </c>
      <c r="F363" s="2" t="s">
        <v>113</v>
      </c>
      <c r="G363" s="7" t="s">
        <v>25</v>
      </c>
      <c r="H363" s="2"/>
      <c r="I363" s="8" t="s">
        <v>973</v>
      </c>
      <c r="J363" s="2" t="s">
        <v>958</v>
      </c>
    </row>
    <row r="364" customFormat="false" ht="15" hidden="false" customHeight="false" outlineLevel="0" collapsed="false">
      <c r="A364" s="2" t="s">
        <v>978</v>
      </c>
      <c r="B364" s="2" t="s">
        <v>979</v>
      </c>
      <c r="C364" s="14" t="n">
        <v>1</v>
      </c>
      <c r="D364" s="14" t="n">
        <v>1</v>
      </c>
      <c r="E364" s="14" t="n">
        <v>1</v>
      </c>
      <c r="F364" s="2" t="s">
        <v>113</v>
      </c>
      <c r="G364" s="7" t="s">
        <v>25</v>
      </c>
      <c r="H364" s="2"/>
      <c r="I364" s="8" t="s">
        <v>973</v>
      </c>
      <c r="J364" s="2" t="s">
        <v>958</v>
      </c>
    </row>
    <row r="365" customFormat="false" ht="15" hidden="false" customHeight="false" outlineLevel="0" collapsed="false">
      <c r="A365" s="2" t="s">
        <v>980</v>
      </c>
      <c r="B365" s="2" t="s">
        <v>981</v>
      </c>
      <c r="C365" s="14" t="n">
        <v>1</v>
      </c>
      <c r="D365" s="14" t="n">
        <v>1</v>
      </c>
      <c r="E365" s="14" t="n">
        <v>1</v>
      </c>
      <c r="F365" s="2" t="s">
        <v>113</v>
      </c>
      <c r="G365" s="7" t="s">
        <v>25</v>
      </c>
      <c r="H365" s="2"/>
      <c r="I365" s="8" t="s">
        <v>973</v>
      </c>
      <c r="J365" s="2" t="s">
        <v>958</v>
      </c>
    </row>
    <row r="366" customFormat="false" ht="15" hidden="false" customHeight="false" outlineLevel="0" collapsed="false">
      <c r="A366" s="2" t="s">
        <v>982</v>
      </c>
      <c r="B366" s="2" t="s">
        <v>983</v>
      </c>
      <c r="C366" s="14" t="n">
        <v>1</v>
      </c>
      <c r="D366" s="14" t="n">
        <v>1</v>
      </c>
      <c r="E366" s="14" t="n">
        <v>1</v>
      </c>
      <c r="F366" s="2" t="s">
        <v>113</v>
      </c>
      <c r="G366" s="7" t="s">
        <v>25</v>
      </c>
      <c r="H366" s="2"/>
      <c r="I366" s="8" t="s">
        <v>973</v>
      </c>
      <c r="J366" s="2" t="s">
        <v>958</v>
      </c>
    </row>
    <row r="367" customFormat="false" ht="15" hidden="false" customHeight="false" outlineLevel="0" collapsed="false">
      <c r="A367" s="2" t="s">
        <v>984</v>
      </c>
      <c r="B367" s="2" t="s">
        <v>985</v>
      </c>
      <c r="C367" s="14" t="n">
        <v>1</v>
      </c>
      <c r="D367" s="14" t="n">
        <v>1</v>
      </c>
      <c r="E367" s="14" t="n">
        <v>1</v>
      </c>
      <c r="F367" s="2" t="s">
        <v>113</v>
      </c>
      <c r="G367" s="7" t="s">
        <v>25</v>
      </c>
      <c r="H367" s="2"/>
      <c r="I367" s="8" t="s">
        <v>973</v>
      </c>
      <c r="J367" s="2" t="s">
        <v>958</v>
      </c>
    </row>
    <row r="368" customFormat="false" ht="23.85" hidden="false" customHeight="false" outlineLevel="0" collapsed="false">
      <c r="A368" s="2" t="s">
        <v>986</v>
      </c>
      <c r="B368" s="2" t="s">
        <v>987</v>
      </c>
      <c r="C368" s="14" t="n">
        <v>4</v>
      </c>
      <c r="D368" s="14" t="n">
        <v>4</v>
      </c>
      <c r="E368" s="14" t="n">
        <v>4</v>
      </c>
      <c r="F368" s="2" t="s">
        <v>113</v>
      </c>
      <c r="G368" s="7" t="s">
        <v>25</v>
      </c>
      <c r="H368" s="2"/>
      <c r="I368" s="8" t="s">
        <v>988</v>
      </c>
      <c r="J368" s="2" t="s">
        <v>958</v>
      </c>
    </row>
    <row r="369" customFormat="false" ht="23.85" hidden="false" customHeight="false" outlineLevel="0" collapsed="false">
      <c r="A369" s="2" t="s">
        <v>989</v>
      </c>
      <c r="B369" s="2" t="s">
        <v>990</v>
      </c>
      <c r="C369" s="14" t="n">
        <v>1.333</v>
      </c>
      <c r="D369" s="14" t="n">
        <v>1.333</v>
      </c>
      <c r="E369" s="14" t="n">
        <v>1.333</v>
      </c>
      <c r="F369" s="2" t="s">
        <v>113</v>
      </c>
      <c r="G369" s="7" t="s">
        <v>25</v>
      </c>
      <c r="H369" s="2"/>
      <c r="I369" s="8" t="s">
        <v>988</v>
      </c>
      <c r="J369" s="2" t="s">
        <v>958</v>
      </c>
    </row>
    <row r="370" customFormat="false" ht="23.85" hidden="false" customHeight="false" outlineLevel="0" collapsed="false">
      <c r="A370" s="2" t="s">
        <v>991</v>
      </c>
      <c r="B370" s="2" t="s">
        <v>992</v>
      </c>
      <c r="C370" s="14" t="n">
        <v>1.267</v>
      </c>
      <c r="D370" s="14" t="n">
        <v>1.267</v>
      </c>
      <c r="E370" s="14" t="n">
        <v>1.267</v>
      </c>
      <c r="F370" s="2" t="s">
        <v>113</v>
      </c>
      <c r="G370" s="7" t="s">
        <v>25</v>
      </c>
      <c r="H370" s="2"/>
      <c r="I370" s="8" t="s">
        <v>988</v>
      </c>
      <c r="J370" s="2" t="s">
        <v>958</v>
      </c>
    </row>
    <row r="371" customFormat="false" ht="23.85" hidden="false" customHeight="false" outlineLevel="0" collapsed="false">
      <c r="A371" s="2" t="s">
        <v>993</v>
      </c>
      <c r="B371" s="2" t="s">
        <v>994</v>
      </c>
      <c r="C371" s="14" t="n">
        <v>2</v>
      </c>
      <c r="D371" s="14" t="n">
        <v>2</v>
      </c>
      <c r="E371" s="14" t="n">
        <v>2</v>
      </c>
      <c r="F371" s="2" t="s">
        <v>113</v>
      </c>
      <c r="G371" s="7" t="s">
        <v>25</v>
      </c>
      <c r="H371" s="2"/>
      <c r="I371" s="8" t="s">
        <v>988</v>
      </c>
      <c r="J371" s="2" t="s">
        <v>958</v>
      </c>
    </row>
    <row r="372" customFormat="false" ht="23.85" hidden="false" customHeight="false" outlineLevel="0" collapsed="false">
      <c r="A372" s="2" t="s">
        <v>995</v>
      </c>
      <c r="B372" s="2" t="s">
        <v>996</v>
      </c>
      <c r="C372" s="14" t="n">
        <v>2</v>
      </c>
      <c r="D372" s="14" t="n">
        <v>2</v>
      </c>
      <c r="E372" s="14" t="n">
        <v>2</v>
      </c>
      <c r="F372" s="2" t="s">
        <v>113</v>
      </c>
      <c r="G372" s="7" t="s">
        <v>25</v>
      </c>
      <c r="H372" s="2"/>
      <c r="I372" s="8" t="s">
        <v>988</v>
      </c>
      <c r="J372" s="2" t="s">
        <v>958</v>
      </c>
    </row>
    <row r="373" customFormat="false" ht="23.85" hidden="false" customHeight="false" outlineLevel="0" collapsed="false">
      <c r="A373" s="2" t="s">
        <v>997</v>
      </c>
      <c r="B373" s="2" t="s">
        <v>998</v>
      </c>
      <c r="C373" s="14" t="n">
        <v>1</v>
      </c>
      <c r="D373" s="14" t="n">
        <v>1</v>
      </c>
      <c r="E373" s="14" t="n">
        <v>1</v>
      </c>
      <c r="F373" s="2" t="s">
        <v>113</v>
      </c>
      <c r="G373" s="7" t="s">
        <v>25</v>
      </c>
      <c r="H373" s="2"/>
      <c r="I373" s="8" t="s">
        <v>988</v>
      </c>
      <c r="J373" s="2" t="s">
        <v>958</v>
      </c>
    </row>
    <row r="374" customFormat="false" ht="23.85" hidden="false" customHeight="false" outlineLevel="0" collapsed="false">
      <c r="A374" s="2" t="s">
        <v>999</v>
      </c>
      <c r="B374" s="2" t="s">
        <v>1000</v>
      </c>
      <c r="C374" s="14" t="n">
        <v>1.5</v>
      </c>
      <c r="D374" s="14" t="n">
        <v>1.5</v>
      </c>
      <c r="E374" s="14" t="n">
        <v>1.5</v>
      </c>
      <c r="F374" s="2" t="s">
        <v>113</v>
      </c>
      <c r="G374" s="7" t="s">
        <v>25</v>
      </c>
      <c r="H374" s="2"/>
      <c r="I374" s="8" t="s">
        <v>988</v>
      </c>
      <c r="J374" s="2" t="s">
        <v>958</v>
      </c>
    </row>
    <row r="375" customFormat="false" ht="15" hidden="false" customHeight="false" outlineLevel="0" collapsed="false">
      <c r="A375" s="5" t="s">
        <v>1001</v>
      </c>
    </row>
    <row r="376" customFormat="false" ht="23.85" hidden="false" customHeight="false" outlineLevel="0" collapsed="false">
      <c r="A376" s="2" t="s">
        <v>1002</v>
      </c>
      <c r="B376" s="2" t="s">
        <v>1003</v>
      </c>
      <c r="C376" s="6" t="n">
        <v>1200000</v>
      </c>
      <c r="D376" s="6" t="n">
        <v>1200000</v>
      </c>
      <c r="E376" s="6" t="n">
        <v>1200000</v>
      </c>
      <c r="F376" s="2" t="s">
        <v>488</v>
      </c>
      <c r="G376" s="7" t="s">
        <v>25</v>
      </c>
      <c r="H376" s="2" t="s">
        <v>1004</v>
      </c>
      <c r="I376" s="8" t="s">
        <v>1005</v>
      </c>
      <c r="J376" s="2" t="s">
        <v>1006</v>
      </c>
    </row>
    <row r="377" customFormat="false" ht="15" hidden="false" customHeight="false" outlineLevel="0" collapsed="false">
      <c r="A377" s="2" t="s">
        <v>1007</v>
      </c>
      <c r="B377" s="2" t="s">
        <v>1008</v>
      </c>
      <c r="C377" s="6" t="n">
        <v>3500000</v>
      </c>
      <c r="D377" s="6" t="n">
        <v>3500000</v>
      </c>
      <c r="E377" s="6" t="n">
        <v>3500000</v>
      </c>
      <c r="F377" s="2" t="s">
        <v>488</v>
      </c>
      <c r="G377" s="7" t="s">
        <v>25</v>
      </c>
      <c r="H377" s="2" t="s">
        <v>1004</v>
      </c>
      <c r="I377" s="8"/>
      <c r="J377" s="2" t="s">
        <v>1006</v>
      </c>
    </row>
    <row r="378" customFormat="false" ht="15" hidden="false" customHeight="false" outlineLevel="0" collapsed="false">
      <c r="A378" s="2" t="s">
        <v>1009</v>
      </c>
      <c r="B378" s="2" t="s">
        <v>1010</v>
      </c>
      <c r="C378" s="6" t="n">
        <v>9000000</v>
      </c>
      <c r="D378" s="6" t="n">
        <v>9000000</v>
      </c>
      <c r="E378" s="6" t="n">
        <v>9000000</v>
      </c>
      <c r="F378" s="2" t="s">
        <v>488</v>
      </c>
      <c r="G378" s="7" t="s">
        <v>25</v>
      </c>
      <c r="H378" s="2" t="s">
        <v>1004</v>
      </c>
      <c r="I378" s="8"/>
      <c r="J378" s="2" t="s">
        <v>1006</v>
      </c>
    </row>
    <row r="379" customFormat="false" ht="15" hidden="false" customHeight="false" outlineLevel="0" collapsed="false">
      <c r="A379" s="2" t="s">
        <v>1011</v>
      </c>
      <c r="B379" s="2" t="s">
        <v>1012</v>
      </c>
      <c r="C379" s="14" t="n">
        <v>25</v>
      </c>
      <c r="D379" s="14" t="n">
        <v>20</v>
      </c>
      <c r="E379" s="14" t="n">
        <v>15</v>
      </c>
      <c r="F379" s="2" t="s">
        <v>431</v>
      </c>
      <c r="G379" s="7" t="s">
        <v>25</v>
      </c>
      <c r="H379" s="2"/>
      <c r="I379" s="8"/>
      <c r="J379" s="2" t="s">
        <v>1006</v>
      </c>
    </row>
    <row r="380" customFormat="false" ht="15" hidden="false" customHeight="false" outlineLevel="0" collapsed="false">
      <c r="A380" s="2" t="s">
        <v>1013</v>
      </c>
      <c r="B380" s="2" t="s">
        <v>1014</v>
      </c>
      <c r="C380" s="9" t="n">
        <v>0.5</v>
      </c>
      <c r="D380" s="9" t="n">
        <v>0.7</v>
      </c>
      <c r="E380" s="9" t="n">
        <v>0.8</v>
      </c>
      <c r="F380" s="2" t="s">
        <v>46</v>
      </c>
      <c r="G380" s="7" t="s">
        <v>25</v>
      </c>
      <c r="H380" s="2"/>
      <c r="I380" s="8"/>
      <c r="J380" s="2" t="s">
        <v>1006</v>
      </c>
    </row>
    <row r="381" customFormat="false" ht="23.85" hidden="false" customHeight="false" outlineLevel="0" collapsed="false">
      <c r="A381" s="2" t="s">
        <v>1015</v>
      </c>
      <c r="B381" s="2" t="s">
        <v>1016</v>
      </c>
      <c r="C381" s="9" t="n">
        <v>0.035</v>
      </c>
      <c r="D381" s="9" t="n">
        <v>0.042</v>
      </c>
      <c r="E381" s="9" t="n">
        <v>0.055</v>
      </c>
      <c r="F381" s="2" t="s">
        <v>99</v>
      </c>
      <c r="G381" s="11" t="s">
        <v>41</v>
      </c>
      <c r="H381" s="2" t="s">
        <v>1017</v>
      </c>
      <c r="I381" s="8" t="s">
        <v>1018</v>
      </c>
      <c r="J381" s="2" t="s">
        <v>1006</v>
      </c>
    </row>
    <row r="382" customFormat="false" ht="15" hidden="false" customHeight="false" outlineLevel="0" collapsed="false">
      <c r="A382" s="5" t="s">
        <v>1019</v>
      </c>
    </row>
    <row r="383" customFormat="false" ht="15" hidden="false" customHeight="false" outlineLevel="0" collapsed="false">
      <c r="A383" s="2" t="s">
        <v>1020</v>
      </c>
      <c r="B383" s="2" t="s">
        <v>1021</v>
      </c>
      <c r="C383" s="14" t="n">
        <v>12</v>
      </c>
      <c r="D383" s="14" t="n">
        <v>12</v>
      </c>
      <c r="E383" s="14" t="n">
        <v>12</v>
      </c>
      <c r="F383" s="2" t="s">
        <v>561</v>
      </c>
      <c r="G383" s="7" t="s">
        <v>25</v>
      </c>
      <c r="H383" s="2"/>
      <c r="I383" s="8"/>
      <c r="J383" s="2" t="s">
        <v>1022</v>
      </c>
    </row>
    <row r="384" customFormat="false" ht="15" hidden="false" customHeight="false" outlineLevel="0" collapsed="false">
      <c r="A384" s="2" t="s">
        <v>1023</v>
      </c>
      <c r="B384" s="2" t="s">
        <v>1024</v>
      </c>
      <c r="C384" s="14" t="n">
        <v>0.5</v>
      </c>
      <c r="D384" s="14" t="n">
        <v>0.5</v>
      </c>
      <c r="E384" s="14" t="n">
        <v>0.5</v>
      </c>
      <c r="F384" s="2" t="s">
        <v>561</v>
      </c>
      <c r="G384" s="7" t="s">
        <v>25</v>
      </c>
      <c r="H384" s="2"/>
      <c r="I384" s="8"/>
      <c r="J384" s="2" t="s">
        <v>1022</v>
      </c>
    </row>
    <row r="385" customFormat="false" ht="15" hidden="false" customHeight="false" outlineLevel="0" collapsed="false">
      <c r="A385" s="2" t="s">
        <v>1025</v>
      </c>
      <c r="B385" s="2" t="s">
        <v>1026</v>
      </c>
      <c r="C385" s="14" t="n">
        <v>2.5</v>
      </c>
      <c r="D385" s="14" t="n">
        <v>2.5</v>
      </c>
      <c r="E385" s="14" t="n">
        <v>2.5</v>
      </c>
      <c r="F385" s="2" t="s">
        <v>561</v>
      </c>
      <c r="G385" s="7" t="s">
        <v>25</v>
      </c>
      <c r="H385" s="2"/>
      <c r="I385" s="8"/>
      <c r="J385" s="2" t="s">
        <v>1022</v>
      </c>
    </row>
    <row r="386" customFormat="false" ht="15" hidden="false" customHeight="false" outlineLevel="0" collapsed="false">
      <c r="A386" s="2" t="s">
        <v>1027</v>
      </c>
      <c r="B386" s="2" t="s">
        <v>1028</v>
      </c>
      <c r="C386" s="14" t="n">
        <v>35</v>
      </c>
      <c r="D386" s="14" t="n">
        <v>35</v>
      </c>
      <c r="E386" s="14" t="n">
        <v>35</v>
      </c>
      <c r="F386" s="2" t="s">
        <v>561</v>
      </c>
      <c r="G386" s="7" t="s">
        <v>25</v>
      </c>
      <c r="H386" s="2"/>
      <c r="I386" s="8"/>
      <c r="J386" s="2" t="s">
        <v>1022</v>
      </c>
    </row>
    <row r="387" customFormat="false" ht="15" hidden="false" customHeight="false" outlineLevel="0" collapsed="false">
      <c r="A387" s="2" t="s">
        <v>1029</v>
      </c>
      <c r="B387" s="2" t="s">
        <v>1030</v>
      </c>
      <c r="C387" s="14" t="n">
        <v>3000</v>
      </c>
      <c r="D387" s="14" t="n">
        <v>3000</v>
      </c>
      <c r="E387" s="14" t="n">
        <v>3000</v>
      </c>
      <c r="F387" s="2" t="s">
        <v>1031</v>
      </c>
      <c r="G387" s="11" t="s">
        <v>41</v>
      </c>
      <c r="H387" s="2"/>
      <c r="I387" s="8" t="s">
        <v>1032</v>
      </c>
      <c r="J387" s="2" t="s">
        <v>1022</v>
      </c>
    </row>
    <row r="388" customFormat="false" ht="15" hidden="false" customHeight="false" outlineLevel="0" collapsed="false">
      <c r="A388" s="2" t="s">
        <v>1033</v>
      </c>
      <c r="B388" s="2" t="s">
        <v>1034</v>
      </c>
      <c r="C388" s="14" t="n">
        <v>60</v>
      </c>
      <c r="D388" s="14" t="n">
        <v>60</v>
      </c>
      <c r="E388" s="14" t="n">
        <v>60</v>
      </c>
      <c r="F388" s="2" t="s">
        <v>1035</v>
      </c>
      <c r="G388" s="11" t="s">
        <v>41</v>
      </c>
      <c r="H388" s="2"/>
      <c r="I388" s="8" t="s">
        <v>1036</v>
      </c>
      <c r="J388" s="2" t="s">
        <v>1022</v>
      </c>
    </row>
    <row r="389" customFormat="false" ht="15" hidden="false" customHeight="false" outlineLevel="0" collapsed="false">
      <c r="A389" s="2" t="s">
        <v>1037</v>
      </c>
      <c r="B389" s="2" t="s">
        <v>1038</v>
      </c>
      <c r="C389" s="14" t="n">
        <v>12</v>
      </c>
      <c r="D389" s="14" t="n">
        <v>12</v>
      </c>
      <c r="E389" s="14" t="n">
        <v>12</v>
      </c>
      <c r="F389" s="2" t="s">
        <v>571</v>
      </c>
      <c r="G389" s="7" t="s">
        <v>25</v>
      </c>
      <c r="H389" s="2"/>
      <c r="I389" s="8"/>
      <c r="J389" s="2" t="s">
        <v>1022</v>
      </c>
    </row>
    <row r="390" customFormat="false" ht="15" hidden="false" customHeight="false" outlineLevel="0" collapsed="false">
      <c r="A390" s="2" t="s">
        <v>1039</v>
      </c>
      <c r="B390" s="2" t="s">
        <v>1040</v>
      </c>
      <c r="C390" s="14" t="n">
        <v>4</v>
      </c>
      <c r="D390" s="14" t="n">
        <v>4</v>
      </c>
      <c r="E390" s="14" t="n">
        <v>4</v>
      </c>
      <c r="F390" s="2" t="s">
        <v>599</v>
      </c>
      <c r="G390" s="7" t="s">
        <v>25</v>
      </c>
      <c r="H390" s="2"/>
      <c r="I390" s="8" t="s">
        <v>1041</v>
      </c>
      <c r="J390" s="2" t="s">
        <v>1022</v>
      </c>
    </row>
    <row r="391" customFormat="false" ht="23.85" hidden="false" customHeight="false" outlineLevel="0" collapsed="false">
      <c r="A391" s="2" t="s">
        <v>1042</v>
      </c>
      <c r="B391" s="2" t="s">
        <v>1043</v>
      </c>
      <c r="C391" s="14" t="n">
        <v>900</v>
      </c>
      <c r="D391" s="14" t="n">
        <v>900</v>
      </c>
      <c r="E391" s="14" t="n">
        <v>900</v>
      </c>
      <c r="F391" s="2" t="s">
        <v>698</v>
      </c>
      <c r="G391" s="7" t="s">
        <v>25</v>
      </c>
      <c r="H391" s="2"/>
      <c r="I391" s="8" t="s">
        <v>1044</v>
      </c>
      <c r="J391" s="2" t="s">
        <v>1022</v>
      </c>
    </row>
    <row r="392" customFormat="false" ht="15" hidden="false" customHeight="false" outlineLevel="0" collapsed="false">
      <c r="A392" s="2" t="s">
        <v>1045</v>
      </c>
      <c r="B392" s="2" t="s">
        <v>1046</v>
      </c>
      <c r="C392" s="14" t="n">
        <v>600</v>
      </c>
      <c r="D392" s="14" t="n">
        <v>600</v>
      </c>
      <c r="E392" s="14" t="n">
        <v>600</v>
      </c>
      <c r="F392" s="2" t="s">
        <v>698</v>
      </c>
      <c r="G392" s="7" t="s">
        <v>25</v>
      </c>
      <c r="H392" s="2"/>
      <c r="I392" s="8"/>
      <c r="J392" s="2" t="s">
        <v>1022</v>
      </c>
    </row>
    <row r="393" customFormat="false" ht="46.25" hidden="false" customHeight="false" outlineLevel="0" collapsed="false">
      <c r="A393" s="2" t="s">
        <v>1047</v>
      </c>
      <c r="B393" s="2" t="s">
        <v>1048</v>
      </c>
      <c r="C393" s="14" t="n">
        <v>1800</v>
      </c>
      <c r="D393" s="14" t="n">
        <v>1800</v>
      </c>
      <c r="E393" s="14" t="n">
        <v>1800</v>
      </c>
      <c r="F393" s="2" t="s">
        <v>698</v>
      </c>
      <c r="G393" s="11" t="s">
        <v>41</v>
      </c>
      <c r="H393" s="2"/>
      <c r="I393" s="8" t="s">
        <v>1049</v>
      </c>
      <c r="J393" s="2" t="s">
        <v>1022</v>
      </c>
    </row>
    <row r="394" customFormat="false" ht="15" hidden="false" customHeight="false" outlineLevel="0" collapsed="false">
      <c r="A394" s="2" t="s">
        <v>1050</v>
      </c>
      <c r="B394" s="2" t="s">
        <v>1051</v>
      </c>
      <c r="C394" s="14" t="n">
        <v>0</v>
      </c>
      <c r="D394" s="14" t="n">
        <v>0</v>
      </c>
      <c r="E394" s="14" t="n">
        <v>0</v>
      </c>
      <c r="F394" s="2" t="s">
        <v>698</v>
      </c>
      <c r="G394" s="7" t="s">
        <v>25</v>
      </c>
      <c r="H394" s="2"/>
      <c r="I394" s="8"/>
      <c r="J394" s="2" t="s">
        <v>1022</v>
      </c>
    </row>
    <row r="395" customFormat="false" ht="15" hidden="false" customHeight="false" outlineLevel="0" collapsed="false">
      <c r="A395" s="2" t="s">
        <v>1052</v>
      </c>
      <c r="B395" s="2" t="s">
        <v>1053</v>
      </c>
      <c r="C395" s="14" t="n">
        <v>1800</v>
      </c>
      <c r="D395" s="14" t="n">
        <v>1800</v>
      </c>
      <c r="E395" s="14" t="n">
        <v>1800</v>
      </c>
      <c r="F395" s="2" t="s">
        <v>698</v>
      </c>
      <c r="G395" s="7" t="s">
        <v>25</v>
      </c>
      <c r="H395" s="2"/>
      <c r="I395" s="8" t="s">
        <v>1054</v>
      </c>
      <c r="J395" s="2" t="s">
        <v>1022</v>
      </c>
    </row>
    <row r="396" customFormat="false" ht="57.45" hidden="false" customHeight="false" outlineLevel="0" collapsed="false">
      <c r="A396" s="2" t="s">
        <v>1055</v>
      </c>
      <c r="B396" s="2" t="s">
        <v>1056</v>
      </c>
      <c r="C396" s="14" t="n">
        <v>1200</v>
      </c>
      <c r="D396" s="14" t="n">
        <v>1200</v>
      </c>
      <c r="E396" s="14" t="n">
        <v>1200</v>
      </c>
      <c r="F396" s="2" t="s">
        <v>698</v>
      </c>
      <c r="G396" s="11" t="s">
        <v>41</v>
      </c>
      <c r="H396" s="2"/>
      <c r="I396" s="8" t="s">
        <v>1057</v>
      </c>
      <c r="J396" s="2" t="s">
        <v>1022</v>
      </c>
    </row>
    <row r="397" customFormat="false" ht="15" hidden="false" customHeight="false" outlineLevel="0" collapsed="false">
      <c r="A397" s="2" t="s">
        <v>1058</v>
      </c>
      <c r="B397" s="2" t="s">
        <v>1059</v>
      </c>
      <c r="C397" s="14" t="n">
        <v>30</v>
      </c>
      <c r="D397" s="14" t="n">
        <v>30</v>
      </c>
      <c r="E397" s="14" t="n">
        <v>30</v>
      </c>
      <c r="F397" s="2" t="s">
        <v>561</v>
      </c>
      <c r="G397" s="7" t="s">
        <v>25</v>
      </c>
      <c r="H397" s="2"/>
      <c r="I397" s="8"/>
      <c r="J397" s="2" t="s">
        <v>1022</v>
      </c>
    </row>
    <row r="398" customFormat="false" ht="15" hidden="false" customHeight="false" outlineLevel="0" collapsed="false">
      <c r="A398" s="2" t="s">
        <v>1060</v>
      </c>
      <c r="B398" s="2" t="s">
        <v>1061</v>
      </c>
      <c r="C398" s="14" t="n">
        <v>2</v>
      </c>
      <c r="D398" s="14" t="n">
        <v>2</v>
      </c>
      <c r="E398" s="14" t="n">
        <v>2</v>
      </c>
      <c r="F398" s="2" t="s">
        <v>561</v>
      </c>
      <c r="G398" s="7" t="s">
        <v>25</v>
      </c>
      <c r="H398" s="2"/>
      <c r="I398" s="8"/>
      <c r="J398" s="2" t="s">
        <v>1022</v>
      </c>
    </row>
    <row r="399" customFormat="false" ht="15" hidden="false" customHeight="false" outlineLevel="0" collapsed="false">
      <c r="A399" s="2" t="s">
        <v>1062</v>
      </c>
      <c r="B399" s="2" t="s">
        <v>1063</v>
      </c>
      <c r="C399" s="14" t="n">
        <v>8</v>
      </c>
      <c r="D399" s="14" t="n">
        <v>8</v>
      </c>
      <c r="E399" s="14" t="n">
        <v>8</v>
      </c>
      <c r="F399" s="2" t="s">
        <v>561</v>
      </c>
      <c r="G399" s="7" t="s">
        <v>25</v>
      </c>
      <c r="H399" s="2"/>
      <c r="I399" s="8"/>
      <c r="J399" s="2" t="s">
        <v>1022</v>
      </c>
    </row>
    <row r="400" customFormat="false" ht="15" hidden="false" customHeight="false" outlineLevel="0" collapsed="false">
      <c r="A400" s="2" t="s">
        <v>1064</v>
      </c>
      <c r="B400" s="2" t="s">
        <v>1065</v>
      </c>
      <c r="C400" s="14" t="n">
        <v>80</v>
      </c>
      <c r="D400" s="14" t="n">
        <v>80</v>
      </c>
      <c r="E400" s="14" t="n">
        <v>80</v>
      </c>
      <c r="F400" s="2" t="s">
        <v>561</v>
      </c>
      <c r="G400" s="7" t="s">
        <v>25</v>
      </c>
      <c r="H400" s="2"/>
      <c r="I400" s="8"/>
      <c r="J400" s="2" t="s">
        <v>1022</v>
      </c>
    </row>
    <row r="401" customFormat="false" ht="15" hidden="false" customHeight="false" outlineLevel="0" collapsed="false">
      <c r="A401" s="2" t="s">
        <v>1066</v>
      </c>
      <c r="B401" s="2" t="s">
        <v>1067</v>
      </c>
      <c r="C401" s="14" t="n">
        <v>7000</v>
      </c>
      <c r="D401" s="14" t="n">
        <v>7000</v>
      </c>
      <c r="E401" s="14" t="n">
        <v>7000</v>
      </c>
      <c r="F401" s="2" t="s">
        <v>1031</v>
      </c>
      <c r="G401" s="11" t="s">
        <v>41</v>
      </c>
      <c r="H401" s="2"/>
      <c r="I401" s="8" t="s">
        <v>1068</v>
      </c>
      <c r="J401" s="2" t="s">
        <v>1022</v>
      </c>
    </row>
    <row r="402" customFormat="false" ht="15" hidden="false" customHeight="false" outlineLevel="0" collapsed="false">
      <c r="A402" s="2" t="s">
        <v>1069</v>
      </c>
      <c r="B402" s="2" t="s">
        <v>1070</v>
      </c>
      <c r="C402" s="14" t="n">
        <v>130</v>
      </c>
      <c r="D402" s="14" t="n">
        <v>130</v>
      </c>
      <c r="E402" s="14" t="n">
        <v>130</v>
      </c>
      <c r="F402" s="2" t="s">
        <v>1035</v>
      </c>
      <c r="G402" s="11" t="s">
        <v>41</v>
      </c>
      <c r="H402" s="2"/>
      <c r="I402" s="8"/>
      <c r="J402" s="2" t="s">
        <v>1022</v>
      </c>
    </row>
    <row r="403" customFormat="false" ht="15" hidden="false" customHeight="false" outlineLevel="0" collapsed="false">
      <c r="A403" s="2" t="s">
        <v>1071</v>
      </c>
      <c r="B403" s="2" t="s">
        <v>1072</v>
      </c>
      <c r="C403" s="14" t="n">
        <v>40</v>
      </c>
      <c r="D403" s="14" t="n">
        <v>40</v>
      </c>
      <c r="E403" s="14" t="n">
        <v>40</v>
      </c>
      <c r="F403" s="2" t="s">
        <v>571</v>
      </c>
      <c r="G403" s="7" t="s">
        <v>25</v>
      </c>
      <c r="H403" s="2"/>
      <c r="I403" s="8"/>
      <c r="J403" s="2" t="s">
        <v>1022</v>
      </c>
    </row>
    <row r="404" customFormat="false" ht="15" hidden="false" customHeight="false" outlineLevel="0" collapsed="false">
      <c r="A404" s="2" t="s">
        <v>1073</v>
      </c>
      <c r="B404" s="2" t="s">
        <v>1074</v>
      </c>
      <c r="C404" s="14" t="n">
        <v>8</v>
      </c>
      <c r="D404" s="14" t="n">
        <v>8</v>
      </c>
      <c r="E404" s="14" t="n">
        <v>8</v>
      </c>
      <c r="F404" s="2" t="s">
        <v>599</v>
      </c>
      <c r="G404" s="7" t="s">
        <v>25</v>
      </c>
      <c r="H404" s="2"/>
      <c r="I404" s="8"/>
      <c r="J404" s="2" t="s">
        <v>1022</v>
      </c>
    </row>
    <row r="405" customFormat="false" ht="15" hidden="false" customHeight="false" outlineLevel="0" collapsed="false">
      <c r="A405" s="2" t="s">
        <v>1075</v>
      </c>
      <c r="B405" s="2" t="s">
        <v>1076</v>
      </c>
      <c r="C405" s="14" t="n">
        <v>2000</v>
      </c>
      <c r="D405" s="14" t="n">
        <v>2000</v>
      </c>
      <c r="E405" s="14" t="n">
        <v>2000</v>
      </c>
      <c r="F405" s="2" t="s">
        <v>698</v>
      </c>
      <c r="G405" s="7" t="s">
        <v>25</v>
      </c>
      <c r="H405" s="2"/>
      <c r="I405" s="8" t="s">
        <v>1077</v>
      </c>
      <c r="J405" s="2" t="s">
        <v>1022</v>
      </c>
    </row>
    <row r="406" customFormat="false" ht="15" hidden="false" customHeight="false" outlineLevel="0" collapsed="false">
      <c r="A406" s="2" t="s">
        <v>1078</v>
      </c>
      <c r="B406" s="2" t="s">
        <v>1079</v>
      </c>
      <c r="C406" s="14" t="n">
        <v>2500</v>
      </c>
      <c r="D406" s="14" t="n">
        <v>2500</v>
      </c>
      <c r="E406" s="14" t="n">
        <v>2500</v>
      </c>
      <c r="F406" s="2" t="s">
        <v>698</v>
      </c>
      <c r="G406" s="7" t="s">
        <v>25</v>
      </c>
      <c r="H406" s="2"/>
      <c r="I406" s="8"/>
      <c r="J406" s="2" t="s">
        <v>1022</v>
      </c>
    </row>
    <row r="407" customFormat="false" ht="46.25" hidden="false" customHeight="false" outlineLevel="0" collapsed="false">
      <c r="A407" s="2" t="s">
        <v>1080</v>
      </c>
      <c r="B407" s="2" t="s">
        <v>1081</v>
      </c>
      <c r="C407" s="14" t="n">
        <v>4000</v>
      </c>
      <c r="D407" s="14" t="n">
        <v>4000</v>
      </c>
      <c r="E407" s="14" t="n">
        <v>4000</v>
      </c>
      <c r="F407" s="2" t="s">
        <v>698</v>
      </c>
      <c r="G407" s="11" t="s">
        <v>41</v>
      </c>
      <c r="H407" s="2"/>
      <c r="I407" s="8" t="s">
        <v>1082</v>
      </c>
      <c r="J407" s="2" t="s">
        <v>1022</v>
      </c>
    </row>
    <row r="408" customFormat="false" ht="15" hidden="false" customHeight="false" outlineLevel="0" collapsed="false">
      <c r="A408" s="2" t="s">
        <v>1083</v>
      </c>
      <c r="B408" s="2" t="s">
        <v>1084</v>
      </c>
      <c r="C408" s="14" t="n">
        <v>1500</v>
      </c>
      <c r="D408" s="14" t="n">
        <v>1500</v>
      </c>
      <c r="E408" s="14" t="n">
        <v>1500</v>
      </c>
      <c r="F408" s="2" t="s">
        <v>698</v>
      </c>
      <c r="G408" s="7" t="s">
        <v>25</v>
      </c>
      <c r="H408" s="2"/>
      <c r="I408" s="8"/>
      <c r="J408" s="2" t="s">
        <v>1022</v>
      </c>
    </row>
    <row r="409" customFormat="false" ht="15" hidden="false" customHeight="false" outlineLevel="0" collapsed="false">
      <c r="A409" s="2" t="s">
        <v>1085</v>
      </c>
      <c r="B409" s="2" t="s">
        <v>1086</v>
      </c>
      <c r="C409" s="14" t="n">
        <v>7100</v>
      </c>
      <c r="D409" s="14" t="n">
        <v>7100</v>
      </c>
      <c r="E409" s="14" t="n">
        <v>7100</v>
      </c>
      <c r="F409" s="2" t="s">
        <v>698</v>
      </c>
      <c r="G409" s="7" t="s">
        <v>25</v>
      </c>
      <c r="H409" s="2"/>
      <c r="I409" s="8" t="s">
        <v>1087</v>
      </c>
      <c r="J409" s="2" t="s">
        <v>1022</v>
      </c>
    </row>
    <row r="410" customFormat="false" ht="46.25" hidden="false" customHeight="false" outlineLevel="0" collapsed="false">
      <c r="A410" s="2" t="s">
        <v>1088</v>
      </c>
      <c r="B410" s="2" t="s">
        <v>1089</v>
      </c>
      <c r="C410" s="14" t="n">
        <v>3300</v>
      </c>
      <c r="D410" s="14" t="n">
        <v>3300</v>
      </c>
      <c r="E410" s="14" t="n">
        <v>3300</v>
      </c>
      <c r="F410" s="2" t="s">
        <v>698</v>
      </c>
      <c r="G410" s="11" t="s">
        <v>41</v>
      </c>
      <c r="H410" s="2"/>
      <c r="I410" s="8" t="s">
        <v>1090</v>
      </c>
      <c r="J410" s="2" t="s">
        <v>1022</v>
      </c>
    </row>
    <row r="411" customFormat="false" ht="15" hidden="false" customHeight="false" outlineLevel="0" collapsed="false">
      <c r="A411" s="2" t="s">
        <v>1091</v>
      </c>
      <c r="B411" s="2" t="s">
        <v>1092</v>
      </c>
      <c r="C411" s="14" t="n">
        <v>120</v>
      </c>
      <c r="D411" s="14" t="n">
        <v>120</v>
      </c>
      <c r="E411" s="14" t="n">
        <v>120</v>
      </c>
      <c r="F411" s="2" t="s">
        <v>561</v>
      </c>
      <c r="G411" s="7" t="s">
        <v>25</v>
      </c>
      <c r="H411" s="2"/>
      <c r="I411" s="8"/>
      <c r="J411" s="2" t="s">
        <v>1022</v>
      </c>
    </row>
    <row r="412" customFormat="false" ht="15" hidden="false" customHeight="false" outlineLevel="0" collapsed="false">
      <c r="A412" s="2" t="s">
        <v>1093</v>
      </c>
      <c r="B412" s="2" t="s">
        <v>1094</v>
      </c>
      <c r="C412" s="14" t="n">
        <v>10</v>
      </c>
      <c r="D412" s="14" t="n">
        <v>10</v>
      </c>
      <c r="E412" s="14" t="n">
        <v>10</v>
      </c>
      <c r="F412" s="2" t="s">
        <v>561</v>
      </c>
      <c r="G412" s="7" t="s">
        <v>25</v>
      </c>
      <c r="H412" s="2"/>
      <c r="I412" s="8"/>
      <c r="J412" s="2" t="s">
        <v>1022</v>
      </c>
    </row>
    <row r="413" customFormat="false" ht="15" hidden="false" customHeight="false" outlineLevel="0" collapsed="false">
      <c r="A413" s="2" t="s">
        <v>1095</v>
      </c>
      <c r="B413" s="2" t="s">
        <v>1096</v>
      </c>
      <c r="C413" s="14" t="n">
        <v>50</v>
      </c>
      <c r="D413" s="14" t="n">
        <v>50</v>
      </c>
      <c r="E413" s="14" t="n">
        <v>50</v>
      </c>
      <c r="F413" s="2" t="s">
        <v>561</v>
      </c>
      <c r="G413" s="7" t="s">
        <v>25</v>
      </c>
      <c r="H413" s="2"/>
      <c r="I413" s="8"/>
      <c r="J413" s="2" t="s">
        <v>1022</v>
      </c>
    </row>
    <row r="414" customFormat="false" ht="15" hidden="false" customHeight="false" outlineLevel="0" collapsed="false">
      <c r="A414" s="2" t="s">
        <v>1097</v>
      </c>
      <c r="B414" s="2" t="s">
        <v>1098</v>
      </c>
      <c r="C414" s="14" t="n">
        <v>120</v>
      </c>
      <c r="D414" s="14" t="n">
        <v>120</v>
      </c>
      <c r="E414" s="14" t="n">
        <v>120</v>
      </c>
      <c r="F414" s="2" t="s">
        <v>561</v>
      </c>
      <c r="G414" s="7" t="s">
        <v>25</v>
      </c>
      <c r="H414" s="2"/>
      <c r="I414" s="8"/>
      <c r="J414" s="2" t="s">
        <v>1022</v>
      </c>
    </row>
    <row r="415" customFormat="false" ht="15" hidden="false" customHeight="false" outlineLevel="0" collapsed="false">
      <c r="A415" s="2" t="s">
        <v>1099</v>
      </c>
      <c r="B415" s="2" t="s">
        <v>1100</v>
      </c>
      <c r="C415" s="14" t="n">
        <v>10000</v>
      </c>
      <c r="D415" s="14" t="n">
        <v>10000</v>
      </c>
      <c r="E415" s="14" t="n">
        <v>10000</v>
      </c>
      <c r="F415" s="2" t="s">
        <v>1031</v>
      </c>
      <c r="G415" s="11" t="s">
        <v>41</v>
      </c>
      <c r="H415" s="2"/>
      <c r="I415" s="8" t="s">
        <v>1101</v>
      </c>
      <c r="J415" s="2" t="s">
        <v>1022</v>
      </c>
    </row>
    <row r="416" customFormat="false" ht="15" hidden="false" customHeight="false" outlineLevel="0" collapsed="false">
      <c r="A416" s="2" t="s">
        <v>1102</v>
      </c>
      <c r="B416" s="2" t="s">
        <v>1103</v>
      </c>
      <c r="C416" s="14" t="n">
        <v>260</v>
      </c>
      <c r="D416" s="14" t="n">
        <v>260</v>
      </c>
      <c r="E416" s="14" t="n">
        <v>260</v>
      </c>
      <c r="F416" s="2" t="s">
        <v>1035</v>
      </c>
      <c r="G416" s="11" t="s">
        <v>41</v>
      </c>
      <c r="H416" s="2"/>
      <c r="I416" s="8"/>
      <c r="J416" s="2" t="s">
        <v>1022</v>
      </c>
    </row>
    <row r="417" customFormat="false" ht="15" hidden="false" customHeight="false" outlineLevel="0" collapsed="false">
      <c r="A417" s="2" t="s">
        <v>1104</v>
      </c>
      <c r="B417" s="2" t="s">
        <v>1105</v>
      </c>
      <c r="C417" s="14" t="n">
        <v>50</v>
      </c>
      <c r="D417" s="14" t="n">
        <v>50</v>
      </c>
      <c r="E417" s="14" t="n">
        <v>50</v>
      </c>
      <c r="F417" s="2" t="s">
        <v>571</v>
      </c>
      <c r="G417" s="7" t="s">
        <v>25</v>
      </c>
      <c r="H417" s="2"/>
      <c r="I417" s="8"/>
      <c r="J417" s="2" t="s">
        <v>1022</v>
      </c>
    </row>
    <row r="418" customFormat="false" ht="15" hidden="false" customHeight="false" outlineLevel="0" collapsed="false">
      <c r="A418" s="2" t="s">
        <v>1106</v>
      </c>
      <c r="B418" s="2" t="s">
        <v>1107</v>
      </c>
      <c r="C418" s="14" t="n">
        <v>12</v>
      </c>
      <c r="D418" s="14" t="n">
        <v>12</v>
      </c>
      <c r="E418" s="14" t="n">
        <v>12</v>
      </c>
      <c r="F418" s="2" t="s">
        <v>599</v>
      </c>
      <c r="G418" s="7" t="s">
        <v>25</v>
      </c>
      <c r="H418" s="2"/>
      <c r="I418" s="8"/>
      <c r="J418" s="2" t="s">
        <v>1022</v>
      </c>
    </row>
    <row r="419" customFormat="false" ht="15" hidden="false" customHeight="false" outlineLevel="0" collapsed="false">
      <c r="A419" s="2" t="s">
        <v>1108</v>
      </c>
      <c r="B419" s="2" t="s">
        <v>1109</v>
      </c>
      <c r="C419" s="14" t="n">
        <v>4500</v>
      </c>
      <c r="D419" s="14" t="n">
        <v>4500</v>
      </c>
      <c r="E419" s="14" t="n">
        <v>4500</v>
      </c>
      <c r="F419" s="2" t="s">
        <v>698</v>
      </c>
      <c r="G419" s="7" t="s">
        <v>25</v>
      </c>
      <c r="H419" s="2"/>
      <c r="I419" s="8" t="s">
        <v>1110</v>
      </c>
      <c r="J419" s="2" t="s">
        <v>1022</v>
      </c>
    </row>
    <row r="420" customFormat="false" ht="15" hidden="false" customHeight="false" outlineLevel="0" collapsed="false">
      <c r="A420" s="2" t="s">
        <v>1111</v>
      </c>
      <c r="B420" s="2" t="s">
        <v>1112</v>
      </c>
      <c r="C420" s="14" t="n">
        <v>4000</v>
      </c>
      <c r="D420" s="14" t="n">
        <v>4000</v>
      </c>
      <c r="E420" s="14" t="n">
        <v>4000</v>
      </c>
      <c r="F420" s="2" t="s">
        <v>698</v>
      </c>
      <c r="G420" s="7" t="s">
        <v>25</v>
      </c>
      <c r="H420" s="2"/>
      <c r="I420" s="8"/>
      <c r="J420" s="2" t="s">
        <v>1022</v>
      </c>
    </row>
    <row r="421" customFormat="false" ht="46.25" hidden="false" customHeight="false" outlineLevel="0" collapsed="false">
      <c r="A421" s="2" t="s">
        <v>1113</v>
      </c>
      <c r="B421" s="2" t="s">
        <v>1114</v>
      </c>
      <c r="C421" s="14" t="n">
        <v>6200</v>
      </c>
      <c r="D421" s="14" t="n">
        <v>6200</v>
      </c>
      <c r="E421" s="14" t="n">
        <v>6200</v>
      </c>
      <c r="F421" s="2" t="s">
        <v>698</v>
      </c>
      <c r="G421" s="11" t="s">
        <v>41</v>
      </c>
      <c r="H421" s="2"/>
      <c r="I421" s="8" t="s">
        <v>1115</v>
      </c>
      <c r="J421" s="2" t="s">
        <v>1022</v>
      </c>
    </row>
    <row r="422" customFormat="false" ht="15" hidden="false" customHeight="false" outlineLevel="0" collapsed="false">
      <c r="A422" s="2" t="s">
        <v>1116</v>
      </c>
      <c r="B422" s="2" t="s">
        <v>1117</v>
      </c>
      <c r="C422" s="14" t="n">
        <v>1500</v>
      </c>
      <c r="D422" s="14" t="n">
        <v>1500</v>
      </c>
      <c r="E422" s="14" t="n">
        <v>1500</v>
      </c>
      <c r="F422" s="2" t="s">
        <v>698</v>
      </c>
      <c r="G422" s="7" t="s">
        <v>25</v>
      </c>
      <c r="H422" s="2"/>
      <c r="I422" s="8"/>
      <c r="J422" s="2" t="s">
        <v>1022</v>
      </c>
    </row>
    <row r="423" customFormat="false" ht="15" hidden="false" customHeight="false" outlineLevel="0" collapsed="false">
      <c r="A423" s="2" t="s">
        <v>1118</v>
      </c>
      <c r="B423" s="2" t="s">
        <v>1119</v>
      </c>
      <c r="C423" s="14" t="n">
        <v>7500</v>
      </c>
      <c r="D423" s="14" t="n">
        <v>7500</v>
      </c>
      <c r="E423" s="14" t="n">
        <v>7500</v>
      </c>
      <c r="F423" s="2" t="s">
        <v>698</v>
      </c>
      <c r="G423" s="7" t="s">
        <v>25</v>
      </c>
      <c r="H423" s="2"/>
      <c r="I423" s="8"/>
      <c r="J423" s="2" t="s">
        <v>1022</v>
      </c>
    </row>
    <row r="424" customFormat="false" ht="46.25" hidden="false" customHeight="false" outlineLevel="0" collapsed="false">
      <c r="A424" s="2" t="s">
        <v>1120</v>
      </c>
      <c r="B424" s="2" t="s">
        <v>1121</v>
      </c>
      <c r="C424" s="14" t="n">
        <v>6000</v>
      </c>
      <c r="D424" s="14" t="n">
        <v>6000</v>
      </c>
      <c r="E424" s="14" t="n">
        <v>6000</v>
      </c>
      <c r="F424" s="2" t="s">
        <v>698</v>
      </c>
      <c r="G424" s="11" t="s">
        <v>41</v>
      </c>
      <c r="H424" s="2"/>
      <c r="I424" s="8" t="s">
        <v>1122</v>
      </c>
      <c r="J424" s="2" t="s">
        <v>1022</v>
      </c>
    </row>
    <row r="425" customFormat="false" ht="15" hidden="false" customHeight="false" outlineLevel="0" collapsed="false">
      <c r="A425" s="5" t="s">
        <v>1123</v>
      </c>
    </row>
    <row r="426" customFormat="false" ht="15" hidden="false" customHeight="false" outlineLevel="0" collapsed="false">
      <c r="A426" s="2" t="s">
        <v>1124</v>
      </c>
      <c r="B426" s="2" t="s">
        <v>1125</v>
      </c>
      <c r="C426" s="14" t="n">
        <v>0</v>
      </c>
      <c r="D426" s="14" t="n">
        <v>0</v>
      </c>
      <c r="E426" s="14" t="n">
        <v>0</v>
      </c>
      <c r="F426" s="2" t="s">
        <v>1126</v>
      </c>
      <c r="G426" s="7" t="s">
        <v>25</v>
      </c>
      <c r="H426" s="2"/>
      <c r="I426" s="8" t="s">
        <v>1127</v>
      </c>
      <c r="J426" s="2" t="s">
        <v>1128</v>
      </c>
    </row>
    <row r="427" customFormat="false" ht="15" hidden="false" customHeight="false" outlineLevel="0" collapsed="false">
      <c r="A427" s="2" t="s">
        <v>1129</v>
      </c>
      <c r="B427" s="2" t="s">
        <v>1130</v>
      </c>
      <c r="C427" s="14" t="n">
        <v>0</v>
      </c>
      <c r="D427" s="14" t="n">
        <v>0</v>
      </c>
      <c r="E427" s="14" t="n">
        <v>0</v>
      </c>
      <c r="F427" s="2" t="s">
        <v>1126</v>
      </c>
      <c r="G427" s="7" t="s">
        <v>25</v>
      </c>
      <c r="H427" s="2"/>
      <c r="I427" s="8" t="s">
        <v>1127</v>
      </c>
      <c r="J427" s="2" t="s">
        <v>1128</v>
      </c>
    </row>
    <row r="428" customFormat="false" ht="15" hidden="false" customHeight="false" outlineLevel="0" collapsed="false">
      <c r="A428" s="2" t="s">
        <v>1131</v>
      </c>
      <c r="B428" s="2" t="s">
        <v>1132</v>
      </c>
      <c r="C428" s="14" t="n">
        <v>0</v>
      </c>
      <c r="D428" s="14" t="n">
        <v>0</v>
      </c>
      <c r="E428" s="14" t="n">
        <v>0</v>
      </c>
      <c r="F428" s="2" t="s">
        <v>1126</v>
      </c>
      <c r="G428" s="7" t="s">
        <v>25</v>
      </c>
      <c r="H428" s="2"/>
      <c r="I428" s="8" t="s">
        <v>1127</v>
      </c>
      <c r="J428" s="2" t="s">
        <v>1128</v>
      </c>
    </row>
    <row r="429" customFormat="false" ht="15" hidden="false" customHeight="false" outlineLevel="0" collapsed="false">
      <c r="A429" s="2" t="s">
        <v>1133</v>
      </c>
      <c r="B429" s="2" t="s">
        <v>1134</v>
      </c>
      <c r="C429" s="14" t="n">
        <v>3</v>
      </c>
      <c r="D429" s="14" t="n">
        <v>3</v>
      </c>
      <c r="E429" s="14" t="n">
        <v>3</v>
      </c>
      <c r="F429" s="2" t="s">
        <v>1126</v>
      </c>
      <c r="G429" s="7" t="s">
        <v>25</v>
      </c>
      <c r="H429" s="2"/>
      <c r="I429" s="8" t="s">
        <v>1127</v>
      </c>
      <c r="J429" s="2" t="s">
        <v>1128</v>
      </c>
    </row>
    <row r="430" customFormat="false" ht="15" hidden="false" customHeight="false" outlineLevel="0" collapsed="false">
      <c r="A430" s="2" t="s">
        <v>1135</v>
      </c>
      <c r="B430" s="2" t="s">
        <v>1136</v>
      </c>
      <c r="C430" s="14" t="n">
        <v>99</v>
      </c>
      <c r="D430" s="14" t="n">
        <v>99</v>
      </c>
      <c r="E430" s="14" t="n">
        <v>99</v>
      </c>
      <c r="F430" s="2" t="s">
        <v>1126</v>
      </c>
      <c r="G430" s="7" t="s">
        <v>25</v>
      </c>
      <c r="H430" s="2"/>
      <c r="I430" s="8" t="s">
        <v>1127</v>
      </c>
      <c r="J430" s="2" t="s">
        <v>1128</v>
      </c>
    </row>
    <row r="431" customFormat="false" ht="15" hidden="false" customHeight="false" outlineLevel="0" collapsed="false">
      <c r="A431" s="2" t="s">
        <v>1137</v>
      </c>
      <c r="B431" s="2" t="s">
        <v>1138</v>
      </c>
      <c r="C431" s="14" t="n">
        <v>0</v>
      </c>
      <c r="D431" s="14" t="n">
        <v>0</v>
      </c>
      <c r="E431" s="14" t="n">
        <v>0</v>
      </c>
      <c r="F431" s="2" t="s">
        <v>1126</v>
      </c>
      <c r="G431" s="7" t="s">
        <v>25</v>
      </c>
      <c r="H431" s="2"/>
      <c r="I431" s="8" t="s">
        <v>1127</v>
      </c>
      <c r="J431" s="2" t="s">
        <v>1128</v>
      </c>
    </row>
    <row r="432" customFormat="false" ht="15" hidden="false" customHeight="false" outlineLevel="0" collapsed="false">
      <c r="A432" s="2" t="s">
        <v>1139</v>
      </c>
      <c r="B432" s="2" t="s">
        <v>1140</v>
      </c>
      <c r="C432" s="14" t="n">
        <v>99</v>
      </c>
      <c r="D432" s="14" t="n">
        <v>99</v>
      </c>
      <c r="E432" s="14" t="n">
        <v>99</v>
      </c>
      <c r="F432" s="2" t="s">
        <v>1126</v>
      </c>
      <c r="G432" s="7" t="s">
        <v>25</v>
      </c>
      <c r="H432" s="2"/>
      <c r="I432" s="8" t="s">
        <v>1127</v>
      </c>
      <c r="J432" s="2" t="s">
        <v>1128</v>
      </c>
    </row>
    <row r="433" customFormat="false" ht="15" hidden="false" customHeight="false" outlineLevel="0" collapsed="false">
      <c r="A433" s="2" t="s">
        <v>1141</v>
      </c>
      <c r="B433" s="2" t="s">
        <v>1142</v>
      </c>
      <c r="C433" s="14" t="n">
        <v>0</v>
      </c>
      <c r="D433" s="14" t="n">
        <v>0</v>
      </c>
      <c r="E433" s="14" t="n">
        <v>0</v>
      </c>
      <c r="F433" s="2" t="s">
        <v>1126</v>
      </c>
      <c r="G433" s="7" t="s">
        <v>25</v>
      </c>
      <c r="H433" s="2"/>
      <c r="I433" s="8" t="s">
        <v>1127</v>
      </c>
      <c r="J433" s="2" t="s">
        <v>1128</v>
      </c>
    </row>
    <row r="434" customFormat="false" ht="15" hidden="false" customHeight="false" outlineLevel="0" collapsed="false">
      <c r="A434" s="2" t="s">
        <v>1143</v>
      </c>
      <c r="B434" s="2" t="s">
        <v>1144</v>
      </c>
      <c r="C434" s="14" t="n">
        <v>1</v>
      </c>
      <c r="D434" s="14" t="n">
        <v>1</v>
      </c>
      <c r="E434" s="14" t="n">
        <v>1</v>
      </c>
      <c r="F434" s="2" t="s">
        <v>1126</v>
      </c>
      <c r="G434" s="7" t="s">
        <v>25</v>
      </c>
      <c r="H434" s="2"/>
      <c r="I434" s="8" t="s">
        <v>1127</v>
      </c>
      <c r="J434" s="2" t="s">
        <v>1128</v>
      </c>
    </row>
    <row r="435" customFormat="false" ht="15" hidden="false" customHeight="false" outlineLevel="0" collapsed="false">
      <c r="A435" s="2" t="s">
        <v>1145</v>
      </c>
      <c r="B435" s="2" t="s">
        <v>1146</v>
      </c>
      <c r="C435" s="14" t="n">
        <v>0</v>
      </c>
      <c r="D435" s="14" t="n">
        <v>0</v>
      </c>
      <c r="E435" s="14" t="n">
        <v>0</v>
      </c>
      <c r="F435" s="2" t="s">
        <v>1126</v>
      </c>
      <c r="G435" s="7" t="s">
        <v>25</v>
      </c>
      <c r="H435" s="2"/>
      <c r="I435" s="8" t="s">
        <v>1127</v>
      </c>
      <c r="J435" s="2" t="s">
        <v>1128</v>
      </c>
    </row>
    <row r="436" customFormat="false" ht="15" hidden="false" customHeight="false" outlineLevel="0" collapsed="false">
      <c r="A436" s="2" t="s">
        <v>1147</v>
      </c>
      <c r="B436" s="2" t="s">
        <v>1148</v>
      </c>
      <c r="C436" s="14" t="n">
        <v>0.7</v>
      </c>
      <c r="D436" s="14" t="n">
        <v>0.7</v>
      </c>
      <c r="E436" s="14" t="n">
        <v>0.7</v>
      </c>
      <c r="F436" s="2" t="s">
        <v>1126</v>
      </c>
      <c r="G436" s="7" t="s">
        <v>25</v>
      </c>
      <c r="H436" s="2"/>
      <c r="I436" s="8" t="s">
        <v>1127</v>
      </c>
      <c r="J436" s="2" t="s">
        <v>1128</v>
      </c>
    </row>
    <row r="437" customFormat="false" ht="15" hidden="false" customHeight="false" outlineLevel="0" collapsed="false">
      <c r="A437" s="2" t="s">
        <v>1149</v>
      </c>
      <c r="B437" s="2" t="s">
        <v>1150</v>
      </c>
      <c r="C437" s="14" t="n">
        <v>0.7</v>
      </c>
      <c r="D437" s="14" t="n">
        <v>0.7</v>
      </c>
      <c r="E437" s="14" t="n">
        <v>0.7</v>
      </c>
      <c r="F437" s="2" t="s">
        <v>1126</v>
      </c>
      <c r="G437" s="7" t="s">
        <v>25</v>
      </c>
      <c r="H437" s="2"/>
      <c r="I437" s="8" t="s">
        <v>1127</v>
      </c>
      <c r="J437" s="2" t="s">
        <v>1128</v>
      </c>
    </row>
    <row r="438" customFormat="false" ht="15" hidden="false" customHeight="false" outlineLevel="0" collapsed="false">
      <c r="A438" s="2" t="s">
        <v>1151</v>
      </c>
      <c r="B438" s="2" t="s">
        <v>1152</v>
      </c>
      <c r="C438" s="14" t="n">
        <v>0.7</v>
      </c>
      <c r="D438" s="14" t="n">
        <v>0.7</v>
      </c>
      <c r="E438" s="14" t="n">
        <v>0.7</v>
      </c>
      <c r="F438" s="2" t="s">
        <v>1126</v>
      </c>
      <c r="G438" s="7" t="s">
        <v>25</v>
      </c>
      <c r="H438" s="2"/>
      <c r="I438" s="8" t="s">
        <v>1127</v>
      </c>
      <c r="J438" s="2" t="s">
        <v>1128</v>
      </c>
    </row>
    <row r="439" customFormat="false" ht="15" hidden="false" customHeight="false" outlineLevel="0" collapsed="false">
      <c r="A439" s="2" t="s">
        <v>1153</v>
      </c>
      <c r="B439" s="2" t="s">
        <v>1154</v>
      </c>
      <c r="C439" s="14" t="n">
        <v>1</v>
      </c>
      <c r="D439" s="14" t="n">
        <v>1</v>
      </c>
      <c r="E439" s="14" t="n">
        <v>1</v>
      </c>
      <c r="F439" s="2" t="s">
        <v>1126</v>
      </c>
      <c r="G439" s="7" t="s">
        <v>25</v>
      </c>
      <c r="H439" s="2"/>
      <c r="I439" s="8" t="s">
        <v>1127</v>
      </c>
      <c r="J439" s="2" t="s">
        <v>1128</v>
      </c>
    </row>
    <row r="440" customFormat="false" ht="15" hidden="false" customHeight="false" outlineLevel="0" collapsed="false">
      <c r="A440" s="2" t="s">
        <v>1155</v>
      </c>
      <c r="B440" s="2" t="s">
        <v>1156</v>
      </c>
      <c r="C440" s="14" t="n">
        <v>0</v>
      </c>
      <c r="D440" s="14" t="n">
        <v>0</v>
      </c>
      <c r="E440" s="14" t="n">
        <v>0</v>
      </c>
      <c r="F440" s="2" t="s">
        <v>1126</v>
      </c>
      <c r="G440" s="7" t="s">
        <v>25</v>
      </c>
      <c r="H440" s="2"/>
      <c r="I440" s="8" t="s">
        <v>1157</v>
      </c>
      <c r="J440" s="2" t="s">
        <v>1128</v>
      </c>
    </row>
    <row r="441" customFormat="false" ht="15" hidden="false" customHeight="false" outlineLevel="0" collapsed="false">
      <c r="A441" s="2" t="s">
        <v>1158</v>
      </c>
      <c r="B441" s="2" t="s">
        <v>1159</v>
      </c>
      <c r="C441" s="14" t="n">
        <v>0</v>
      </c>
      <c r="D441" s="14" t="n">
        <v>0</v>
      </c>
      <c r="E441" s="14" t="n">
        <v>0</v>
      </c>
      <c r="F441" s="2" t="s">
        <v>1126</v>
      </c>
      <c r="G441" s="7" t="s">
        <v>25</v>
      </c>
      <c r="H441" s="2"/>
      <c r="I441" s="8" t="s">
        <v>1157</v>
      </c>
      <c r="J441" s="2" t="s">
        <v>1128</v>
      </c>
    </row>
    <row r="442" customFormat="false" ht="15" hidden="false" customHeight="false" outlineLevel="0" collapsed="false">
      <c r="A442" s="2" t="s">
        <v>1160</v>
      </c>
      <c r="B442" s="2" t="s">
        <v>1161</v>
      </c>
      <c r="C442" s="14" t="n">
        <v>0</v>
      </c>
      <c r="D442" s="14" t="n">
        <v>0</v>
      </c>
      <c r="E442" s="14" t="n">
        <v>0</v>
      </c>
      <c r="F442" s="2" t="s">
        <v>1126</v>
      </c>
      <c r="G442" s="7" t="s">
        <v>25</v>
      </c>
      <c r="H442" s="2"/>
      <c r="I442" s="8" t="s">
        <v>1157</v>
      </c>
      <c r="J442" s="2" t="s">
        <v>1128</v>
      </c>
    </row>
    <row r="443" customFormat="false" ht="15" hidden="false" customHeight="false" outlineLevel="0" collapsed="false">
      <c r="A443" s="2" t="s">
        <v>1162</v>
      </c>
      <c r="B443" s="2" t="s">
        <v>1163</v>
      </c>
      <c r="C443" s="14" t="n">
        <v>99</v>
      </c>
      <c r="D443" s="14" t="n">
        <v>99</v>
      </c>
      <c r="E443" s="14" t="n">
        <v>99</v>
      </c>
      <c r="F443" s="2" t="s">
        <v>1126</v>
      </c>
      <c r="G443" s="7" t="s">
        <v>25</v>
      </c>
      <c r="H443" s="2"/>
      <c r="I443" s="8" t="s">
        <v>1157</v>
      </c>
      <c r="J443" s="2" t="s">
        <v>1128</v>
      </c>
    </row>
    <row r="444" customFormat="false" ht="15" hidden="false" customHeight="false" outlineLevel="0" collapsed="false">
      <c r="A444" s="2" t="s">
        <v>1164</v>
      </c>
      <c r="B444" s="2" t="s">
        <v>1165</v>
      </c>
      <c r="C444" s="14" t="n">
        <v>99</v>
      </c>
      <c r="D444" s="14" t="n">
        <v>99</v>
      </c>
      <c r="E444" s="14" t="n">
        <v>99</v>
      </c>
      <c r="F444" s="2" t="s">
        <v>1126</v>
      </c>
      <c r="G444" s="7" t="s">
        <v>25</v>
      </c>
      <c r="H444" s="2"/>
      <c r="I444" s="8" t="s">
        <v>1157</v>
      </c>
      <c r="J444" s="2" t="s">
        <v>1128</v>
      </c>
    </row>
    <row r="445" customFormat="false" ht="15" hidden="false" customHeight="false" outlineLevel="0" collapsed="false">
      <c r="A445" s="2" t="s">
        <v>1166</v>
      </c>
      <c r="B445" s="2" t="s">
        <v>1167</v>
      </c>
      <c r="C445" s="14" t="n">
        <v>0</v>
      </c>
      <c r="D445" s="14" t="n">
        <v>0</v>
      </c>
      <c r="E445" s="14" t="n">
        <v>0</v>
      </c>
      <c r="F445" s="2" t="s">
        <v>1126</v>
      </c>
      <c r="G445" s="7" t="s">
        <v>25</v>
      </c>
      <c r="H445" s="2"/>
      <c r="I445" s="8" t="s">
        <v>1157</v>
      </c>
      <c r="J445" s="2" t="s">
        <v>1128</v>
      </c>
    </row>
    <row r="446" customFormat="false" ht="15" hidden="false" customHeight="false" outlineLevel="0" collapsed="false">
      <c r="A446" s="2" t="s">
        <v>1168</v>
      </c>
      <c r="B446" s="2" t="s">
        <v>1169</v>
      </c>
      <c r="C446" s="14" t="n">
        <v>99</v>
      </c>
      <c r="D446" s="14" t="n">
        <v>99</v>
      </c>
      <c r="E446" s="14" t="n">
        <v>99</v>
      </c>
      <c r="F446" s="2" t="s">
        <v>1126</v>
      </c>
      <c r="G446" s="7" t="s">
        <v>25</v>
      </c>
      <c r="H446" s="2"/>
      <c r="I446" s="8" t="s">
        <v>1157</v>
      </c>
      <c r="J446" s="2" t="s">
        <v>1128</v>
      </c>
    </row>
    <row r="447" customFormat="false" ht="15" hidden="false" customHeight="false" outlineLevel="0" collapsed="false">
      <c r="A447" s="2" t="s">
        <v>1170</v>
      </c>
      <c r="B447" s="2" t="s">
        <v>1171</v>
      </c>
      <c r="C447" s="14" t="n">
        <v>0</v>
      </c>
      <c r="D447" s="14" t="n">
        <v>0</v>
      </c>
      <c r="E447" s="14" t="n">
        <v>0</v>
      </c>
      <c r="F447" s="2" t="s">
        <v>1126</v>
      </c>
      <c r="G447" s="7" t="s">
        <v>25</v>
      </c>
      <c r="H447" s="2"/>
      <c r="I447" s="8" t="s">
        <v>1157</v>
      </c>
      <c r="J447" s="2" t="s">
        <v>1128</v>
      </c>
    </row>
    <row r="448" customFormat="false" ht="15" hidden="false" customHeight="false" outlineLevel="0" collapsed="false">
      <c r="A448" s="2" t="s">
        <v>1172</v>
      </c>
      <c r="B448" s="2" t="s">
        <v>1173</v>
      </c>
      <c r="C448" s="14" t="n">
        <v>1</v>
      </c>
      <c r="D448" s="14" t="n">
        <v>1</v>
      </c>
      <c r="E448" s="14" t="n">
        <v>1</v>
      </c>
      <c r="F448" s="2" t="s">
        <v>1126</v>
      </c>
      <c r="G448" s="7" t="s">
        <v>25</v>
      </c>
      <c r="H448" s="2"/>
      <c r="I448" s="8" t="s">
        <v>1157</v>
      </c>
      <c r="J448" s="2" t="s">
        <v>1128</v>
      </c>
    </row>
    <row r="449" customFormat="false" ht="15" hidden="false" customHeight="false" outlineLevel="0" collapsed="false">
      <c r="A449" s="2" t="s">
        <v>1174</v>
      </c>
      <c r="B449" s="2" t="s">
        <v>1175</v>
      </c>
      <c r="C449" s="14" t="n">
        <v>0</v>
      </c>
      <c r="D449" s="14" t="n">
        <v>0</v>
      </c>
      <c r="E449" s="14" t="n">
        <v>0</v>
      </c>
      <c r="F449" s="2" t="s">
        <v>1126</v>
      </c>
      <c r="G449" s="7" t="s">
        <v>25</v>
      </c>
      <c r="H449" s="2"/>
      <c r="I449" s="8" t="s">
        <v>1157</v>
      </c>
      <c r="J449" s="2" t="s">
        <v>1128</v>
      </c>
    </row>
    <row r="450" customFormat="false" ht="15" hidden="false" customHeight="false" outlineLevel="0" collapsed="false">
      <c r="A450" s="2" t="s">
        <v>1176</v>
      </c>
      <c r="B450" s="2" t="s">
        <v>1177</v>
      </c>
      <c r="C450" s="14" t="n">
        <v>1</v>
      </c>
      <c r="D450" s="14" t="n">
        <v>1</v>
      </c>
      <c r="E450" s="14" t="n">
        <v>1</v>
      </c>
      <c r="F450" s="2" t="s">
        <v>1126</v>
      </c>
      <c r="G450" s="7" t="s">
        <v>25</v>
      </c>
      <c r="H450" s="2"/>
      <c r="I450" s="8" t="s">
        <v>1157</v>
      </c>
      <c r="J450" s="2" t="s">
        <v>1128</v>
      </c>
    </row>
    <row r="451" customFormat="false" ht="15" hidden="false" customHeight="false" outlineLevel="0" collapsed="false">
      <c r="A451" s="2" t="s">
        <v>1178</v>
      </c>
      <c r="B451" s="2" t="s">
        <v>1179</v>
      </c>
      <c r="C451" s="14" t="n">
        <v>1</v>
      </c>
      <c r="D451" s="14" t="n">
        <v>1</v>
      </c>
      <c r="E451" s="14" t="n">
        <v>1</v>
      </c>
      <c r="F451" s="2" t="s">
        <v>1126</v>
      </c>
      <c r="G451" s="7" t="s">
        <v>25</v>
      </c>
      <c r="H451" s="2"/>
      <c r="I451" s="8" t="s">
        <v>1157</v>
      </c>
      <c r="J451" s="2" t="s">
        <v>1128</v>
      </c>
    </row>
    <row r="452" customFormat="false" ht="15" hidden="false" customHeight="false" outlineLevel="0" collapsed="false">
      <c r="A452" s="2" t="s">
        <v>1180</v>
      </c>
      <c r="B452" s="2" t="s">
        <v>1181</v>
      </c>
      <c r="C452" s="14" t="n">
        <v>1</v>
      </c>
      <c r="D452" s="14" t="n">
        <v>1</v>
      </c>
      <c r="E452" s="14" t="n">
        <v>1</v>
      </c>
      <c r="F452" s="2" t="s">
        <v>1126</v>
      </c>
      <c r="G452" s="7" t="s">
        <v>25</v>
      </c>
      <c r="H452" s="2"/>
      <c r="I452" s="8" t="s">
        <v>1157</v>
      </c>
      <c r="J452" s="2" t="s">
        <v>1128</v>
      </c>
    </row>
    <row r="453" customFormat="false" ht="15" hidden="false" customHeight="false" outlineLevel="0" collapsed="false">
      <c r="A453" s="2" t="s">
        <v>1182</v>
      </c>
      <c r="B453" s="2" t="s">
        <v>1183</v>
      </c>
      <c r="C453" s="14" t="n">
        <v>1</v>
      </c>
      <c r="D453" s="14" t="n">
        <v>1</v>
      </c>
      <c r="E453" s="14" t="n">
        <v>1</v>
      </c>
      <c r="F453" s="2" t="s">
        <v>1126</v>
      </c>
      <c r="G453" s="7" t="s">
        <v>25</v>
      </c>
      <c r="H453" s="2"/>
      <c r="I453" s="8" t="s">
        <v>1157</v>
      </c>
      <c r="J453" s="2" t="s">
        <v>1128</v>
      </c>
    </row>
    <row r="454" customFormat="false" ht="23.85" hidden="false" customHeight="false" outlineLevel="0" collapsed="false">
      <c r="A454" s="2" t="s">
        <v>1184</v>
      </c>
      <c r="B454" s="2" t="s">
        <v>1185</v>
      </c>
      <c r="C454" s="14" t="n">
        <v>0</v>
      </c>
      <c r="D454" s="14" t="n">
        <v>0</v>
      </c>
      <c r="E454" s="14" t="n">
        <v>0</v>
      </c>
      <c r="F454" s="2" t="s">
        <v>1126</v>
      </c>
      <c r="G454" s="7" t="s">
        <v>25</v>
      </c>
      <c r="H454" s="2"/>
      <c r="I454" s="8" t="s">
        <v>1186</v>
      </c>
      <c r="J454" s="2" t="s">
        <v>1128</v>
      </c>
    </row>
    <row r="455" customFormat="false" ht="23.85" hidden="false" customHeight="false" outlineLevel="0" collapsed="false">
      <c r="A455" s="2" t="s">
        <v>1187</v>
      </c>
      <c r="B455" s="2" t="s">
        <v>1188</v>
      </c>
      <c r="C455" s="14" t="n">
        <v>0</v>
      </c>
      <c r="D455" s="14" t="n">
        <v>0</v>
      </c>
      <c r="E455" s="14" t="n">
        <v>0</v>
      </c>
      <c r="F455" s="2" t="s">
        <v>1126</v>
      </c>
      <c r="G455" s="7" t="s">
        <v>25</v>
      </c>
      <c r="H455" s="2"/>
      <c r="I455" s="8" t="s">
        <v>1186</v>
      </c>
      <c r="J455" s="2" t="s">
        <v>1128</v>
      </c>
    </row>
    <row r="456" customFormat="false" ht="23.85" hidden="false" customHeight="false" outlineLevel="0" collapsed="false">
      <c r="A456" s="2" t="s">
        <v>1189</v>
      </c>
      <c r="B456" s="2" t="s">
        <v>1190</v>
      </c>
      <c r="C456" s="14" t="n">
        <v>5</v>
      </c>
      <c r="D456" s="14" t="n">
        <v>5</v>
      </c>
      <c r="E456" s="14" t="n">
        <v>5</v>
      </c>
      <c r="F456" s="2" t="s">
        <v>1126</v>
      </c>
      <c r="G456" s="7" t="s">
        <v>25</v>
      </c>
      <c r="H456" s="2"/>
      <c r="I456" s="8" t="s">
        <v>1186</v>
      </c>
      <c r="J456" s="2" t="s">
        <v>1128</v>
      </c>
    </row>
    <row r="457" customFormat="false" ht="23.85" hidden="false" customHeight="false" outlineLevel="0" collapsed="false">
      <c r="A457" s="2" t="s">
        <v>1191</v>
      </c>
      <c r="B457" s="2" t="s">
        <v>1192</v>
      </c>
      <c r="C457" s="14" t="n">
        <v>99</v>
      </c>
      <c r="D457" s="14" t="n">
        <v>99</v>
      </c>
      <c r="E457" s="14" t="n">
        <v>99</v>
      </c>
      <c r="F457" s="2" t="s">
        <v>1126</v>
      </c>
      <c r="G457" s="7" t="s">
        <v>25</v>
      </c>
      <c r="H457" s="2"/>
      <c r="I457" s="8" t="s">
        <v>1186</v>
      </c>
      <c r="J457" s="2" t="s">
        <v>1128</v>
      </c>
    </row>
    <row r="458" customFormat="false" ht="23.85" hidden="false" customHeight="false" outlineLevel="0" collapsed="false">
      <c r="A458" s="2" t="s">
        <v>1193</v>
      </c>
      <c r="B458" s="2" t="s">
        <v>1194</v>
      </c>
      <c r="C458" s="14" t="n">
        <v>99</v>
      </c>
      <c r="D458" s="14" t="n">
        <v>99</v>
      </c>
      <c r="E458" s="14" t="n">
        <v>99</v>
      </c>
      <c r="F458" s="2" t="s">
        <v>1126</v>
      </c>
      <c r="G458" s="7" t="s">
        <v>25</v>
      </c>
      <c r="H458" s="2"/>
      <c r="I458" s="8" t="s">
        <v>1186</v>
      </c>
      <c r="J458" s="2" t="s">
        <v>1128</v>
      </c>
    </row>
    <row r="459" customFormat="false" ht="23.85" hidden="false" customHeight="false" outlineLevel="0" collapsed="false">
      <c r="A459" s="2" t="s">
        <v>1195</v>
      </c>
      <c r="B459" s="2" t="s">
        <v>1196</v>
      </c>
      <c r="C459" s="14" t="n">
        <v>0</v>
      </c>
      <c r="D459" s="14" t="n">
        <v>0</v>
      </c>
      <c r="E459" s="14" t="n">
        <v>0</v>
      </c>
      <c r="F459" s="2" t="s">
        <v>1126</v>
      </c>
      <c r="G459" s="7" t="s">
        <v>25</v>
      </c>
      <c r="H459" s="2"/>
      <c r="I459" s="8" t="s">
        <v>1186</v>
      </c>
      <c r="J459" s="2" t="s">
        <v>1128</v>
      </c>
    </row>
    <row r="460" customFormat="false" ht="23.85" hidden="false" customHeight="false" outlineLevel="0" collapsed="false">
      <c r="A460" s="2" t="s">
        <v>1197</v>
      </c>
      <c r="B460" s="2" t="s">
        <v>1198</v>
      </c>
      <c r="C460" s="14" t="n">
        <v>99</v>
      </c>
      <c r="D460" s="14" t="n">
        <v>99</v>
      </c>
      <c r="E460" s="14" t="n">
        <v>99</v>
      </c>
      <c r="F460" s="2" t="s">
        <v>1126</v>
      </c>
      <c r="G460" s="7" t="s">
        <v>25</v>
      </c>
      <c r="H460" s="2"/>
      <c r="I460" s="8" t="s">
        <v>1186</v>
      </c>
      <c r="J460" s="2" t="s">
        <v>1128</v>
      </c>
    </row>
    <row r="461" customFormat="false" ht="23.85" hidden="false" customHeight="false" outlineLevel="0" collapsed="false">
      <c r="A461" s="2" t="s">
        <v>1199</v>
      </c>
      <c r="B461" s="2" t="s">
        <v>1200</v>
      </c>
      <c r="C461" s="14" t="n">
        <v>0</v>
      </c>
      <c r="D461" s="14" t="n">
        <v>0</v>
      </c>
      <c r="E461" s="14" t="n">
        <v>0</v>
      </c>
      <c r="F461" s="2" t="s">
        <v>1126</v>
      </c>
      <c r="G461" s="7" t="s">
        <v>25</v>
      </c>
      <c r="H461" s="2"/>
      <c r="I461" s="8" t="s">
        <v>1186</v>
      </c>
      <c r="J461" s="2" t="s">
        <v>1128</v>
      </c>
    </row>
    <row r="462" customFormat="false" ht="23.85" hidden="false" customHeight="false" outlineLevel="0" collapsed="false">
      <c r="A462" s="2" t="s">
        <v>1201</v>
      </c>
      <c r="B462" s="2" t="s">
        <v>1202</v>
      </c>
      <c r="C462" s="14" t="n">
        <v>1</v>
      </c>
      <c r="D462" s="14" t="n">
        <v>1</v>
      </c>
      <c r="E462" s="14" t="n">
        <v>1</v>
      </c>
      <c r="F462" s="2" t="s">
        <v>1126</v>
      </c>
      <c r="G462" s="7" t="s">
        <v>25</v>
      </c>
      <c r="H462" s="2"/>
      <c r="I462" s="8" t="s">
        <v>1186</v>
      </c>
      <c r="J462" s="2" t="s">
        <v>1128</v>
      </c>
    </row>
    <row r="463" customFormat="false" ht="23.85" hidden="false" customHeight="false" outlineLevel="0" collapsed="false">
      <c r="A463" s="2" t="s">
        <v>1203</v>
      </c>
      <c r="B463" s="2" t="s">
        <v>1204</v>
      </c>
      <c r="C463" s="14" t="n">
        <v>0</v>
      </c>
      <c r="D463" s="14" t="n">
        <v>0</v>
      </c>
      <c r="E463" s="14" t="n">
        <v>0</v>
      </c>
      <c r="F463" s="2" t="s">
        <v>1126</v>
      </c>
      <c r="G463" s="7" t="s">
        <v>25</v>
      </c>
      <c r="H463" s="2"/>
      <c r="I463" s="8" t="s">
        <v>1186</v>
      </c>
      <c r="J463" s="2" t="s">
        <v>1128</v>
      </c>
    </row>
    <row r="464" customFormat="false" ht="23.85" hidden="false" customHeight="false" outlineLevel="0" collapsed="false">
      <c r="A464" s="2" t="s">
        <v>1205</v>
      </c>
      <c r="B464" s="2" t="s">
        <v>1206</v>
      </c>
      <c r="C464" s="14" t="n">
        <v>1</v>
      </c>
      <c r="D464" s="14" t="n">
        <v>1</v>
      </c>
      <c r="E464" s="14" t="n">
        <v>1</v>
      </c>
      <c r="F464" s="2" t="s">
        <v>1126</v>
      </c>
      <c r="G464" s="7" t="s">
        <v>25</v>
      </c>
      <c r="H464" s="2"/>
      <c r="I464" s="8" t="s">
        <v>1186</v>
      </c>
      <c r="J464" s="2" t="s">
        <v>1128</v>
      </c>
    </row>
    <row r="465" customFormat="false" ht="23.85" hidden="false" customHeight="false" outlineLevel="0" collapsed="false">
      <c r="A465" s="2" t="s">
        <v>1207</v>
      </c>
      <c r="B465" s="2" t="s">
        <v>1208</v>
      </c>
      <c r="C465" s="14" t="n">
        <v>1</v>
      </c>
      <c r="D465" s="14" t="n">
        <v>1</v>
      </c>
      <c r="E465" s="14" t="n">
        <v>1</v>
      </c>
      <c r="F465" s="2" t="s">
        <v>1126</v>
      </c>
      <c r="G465" s="7" t="s">
        <v>25</v>
      </c>
      <c r="H465" s="2"/>
      <c r="I465" s="8" t="s">
        <v>1186</v>
      </c>
      <c r="J465" s="2" t="s">
        <v>1128</v>
      </c>
    </row>
    <row r="466" customFormat="false" ht="23.85" hidden="false" customHeight="false" outlineLevel="0" collapsed="false">
      <c r="A466" s="2" t="s">
        <v>1209</v>
      </c>
      <c r="B466" s="2" t="s">
        <v>1210</v>
      </c>
      <c r="C466" s="14" t="n">
        <v>1</v>
      </c>
      <c r="D466" s="14" t="n">
        <v>1</v>
      </c>
      <c r="E466" s="14" t="n">
        <v>1</v>
      </c>
      <c r="F466" s="2" t="s">
        <v>1126</v>
      </c>
      <c r="G466" s="7" t="s">
        <v>25</v>
      </c>
      <c r="H466" s="2"/>
      <c r="I466" s="8" t="s">
        <v>1186</v>
      </c>
      <c r="J466" s="2" t="s">
        <v>1128</v>
      </c>
    </row>
    <row r="467" customFormat="false" ht="23.85" hidden="false" customHeight="false" outlineLevel="0" collapsed="false">
      <c r="A467" s="2" t="s">
        <v>1211</v>
      </c>
      <c r="B467" s="2" t="s">
        <v>1212</v>
      </c>
      <c r="C467" s="14" t="n">
        <v>1</v>
      </c>
      <c r="D467" s="14" t="n">
        <v>1</v>
      </c>
      <c r="E467" s="14" t="n">
        <v>1</v>
      </c>
      <c r="F467" s="2" t="s">
        <v>1126</v>
      </c>
      <c r="G467" s="7" t="s">
        <v>25</v>
      </c>
      <c r="H467" s="2"/>
      <c r="I467" s="8" t="s">
        <v>1186</v>
      </c>
      <c r="J467" s="2" t="s">
        <v>1128</v>
      </c>
    </row>
    <row r="468" customFormat="false" ht="23.85" hidden="false" customHeight="false" outlineLevel="0" collapsed="false">
      <c r="A468" s="2" t="s">
        <v>1213</v>
      </c>
      <c r="B468" s="2" t="s">
        <v>1214</v>
      </c>
      <c r="C468" s="14" t="n">
        <v>6</v>
      </c>
      <c r="D468" s="14" t="n">
        <v>6</v>
      </c>
      <c r="E468" s="14" t="n">
        <v>6</v>
      </c>
      <c r="F468" s="2" t="s">
        <v>1126</v>
      </c>
      <c r="G468" s="7" t="s">
        <v>25</v>
      </c>
      <c r="H468" s="2"/>
      <c r="I468" s="8" t="s">
        <v>1215</v>
      </c>
      <c r="J468" s="2" t="s">
        <v>1128</v>
      </c>
    </row>
    <row r="469" customFormat="false" ht="23.85" hidden="false" customHeight="false" outlineLevel="0" collapsed="false">
      <c r="A469" s="2" t="s">
        <v>1216</v>
      </c>
      <c r="B469" s="2" t="s">
        <v>1217</v>
      </c>
      <c r="C469" s="14" t="n">
        <v>600000</v>
      </c>
      <c r="D469" s="14" t="n">
        <v>600000</v>
      </c>
      <c r="E469" s="14" t="n">
        <v>600000</v>
      </c>
      <c r="F469" s="2" t="s">
        <v>1126</v>
      </c>
      <c r="G469" s="7" t="s">
        <v>25</v>
      </c>
      <c r="H469" s="2"/>
      <c r="I469" s="8" t="s">
        <v>1215</v>
      </c>
      <c r="J469" s="2" t="s">
        <v>1128</v>
      </c>
    </row>
    <row r="470" customFormat="false" ht="23.85" hidden="false" customHeight="false" outlineLevel="0" collapsed="false">
      <c r="A470" s="2" t="s">
        <v>1218</v>
      </c>
      <c r="B470" s="2" t="s">
        <v>1219</v>
      </c>
      <c r="C470" s="14" t="n">
        <v>5</v>
      </c>
      <c r="D470" s="14" t="n">
        <v>5</v>
      </c>
      <c r="E470" s="14" t="n">
        <v>5</v>
      </c>
      <c r="F470" s="2" t="s">
        <v>1126</v>
      </c>
      <c r="G470" s="7" t="s">
        <v>25</v>
      </c>
      <c r="H470" s="2"/>
      <c r="I470" s="8" t="s">
        <v>1215</v>
      </c>
      <c r="J470" s="2" t="s">
        <v>1128</v>
      </c>
    </row>
    <row r="471" customFormat="false" ht="23.85" hidden="false" customHeight="false" outlineLevel="0" collapsed="false">
      <c r="A471" s="2" t="s">
        <v>1220</v>
      </c>
      <c r="B471" s="2" t="s">
        <v>1221</v>
      </c>
      <c r="C471" s="14" t="n">
        <v>3</v>
      </c>
      <c r="D471" s="14" t="n">
        <v>3</v>
      </c>
      <c r="E471" s="14" t="n">
        <v>3</v>
      </c>
      <c r="F471" s="2" t="s">
        <v>1126</v>
      </c>
      <c r="G471" s="7" t="s">
        <v>25</v>
      </c>
      <c r="H471" s="2"/>
      <c r="I471" s="8" t="s">
        <v>1215</v>
      </c>
      <c r="J471" s="2" t="s">
        <v>1128</v>
      </c>
    </row>
    <row r="472" customFormat="false" ht="23.85" hidden="false" customHeight="false" outlineLevel="0" collapsed="false">
      <c r="A472" s="2" t="s">
        <v>1222</v>
      </c>
      <c r="B472" s="2" t="s">
        <v>1223</v>
      </c>
      <c r="C472" s="14" t="n">
        <v>99</v>
      </c>
      <c r="D472" s="14" t="n">
        <v>99</v>
      </c>
      <c r="E472" s="14" t="n">
        <v>99</v>
      </c>
      <c r="F472" s="2" t="s">
        <v>1126</v>
      </c>
      <c r="G472" s="7" t="s">
        <v>25</v>
      </c>
      <c r="H472" s="2"/>
      <c r="I472" s="8" t="s">
        <v>1215</v>
      </c>
      <c r="J472" s="2" t="s">
        <v>1128</v>
      </c>
    </row>
    <row r="473" customFormat="false" ht="23.85" hidden="false" customHeight="false" outlineLevel="0" collapsed="false">
      <c r="A473" s="2" t="s">
        <v>1224</v>
      </c>
      <c r="B473" s="2" t="s">
        <v>1225</v>
      </c>
      <c r="C473" s="14" t="n">
        <v>0</v>
      </c>
      <c r="D473" s="14" t="n">
        <v>0</v>
      </c>
      <c r="E473" s="14" t="n">
        <v>0</v>
      </c>
      <c r="F473" s="2" t="s">
        <v>1126</v>
      </c>
      <c r="G473" s="7" t="s">
        <v>25</v>
      </c>
      <c r="H473" s="2"/>
      <c r="I473" s="8" t="s">
        <v>1215</v>
      </c>
      <c r="J473" s="2" t="s">
        <v>1128</v>
      </c>
    </row>
    <row r="474" customFormat="false" ht="23.85" hidden="false" customHeight="false" outlineLevel="0" collapsed="false">
      <c r="A474" s="2" t="s">
        <v>1226</v>
      </c>
      <c r="B474" s="2" t="s">
        <v>1227</v>
      </c>
      <c r="C474" s="14" t="n">
        <v>99</v>
      </c>
      <c r="D474" s="14" t="n">
        <v>99</v>
      </c>
      <c r="E474" s="14" t="n">
        <v>99</v>
      </c>
      <c r="F474" s="2" t="s">
        <v>1126</v>
      </c>
      <c r="G474" s="7" t="s">
        <v>25</v>
      </c>
      <c r="H474" s="2"/>
      <c r="I474" s="8" t="s">
        <v>1215</v>
      </c>
      <c r="J474" s="2" t="s">
        <v>1128</v>
      </c>
    </row>
    <row r="475" customFormat="false" ht="23.85" hidden="false" customHeight="false" outlineLevel="0" collapsed="false">
      <c r="A475" s="2" t="s">
        <v>1228</v>
      </c>
      <c r="B475" s="2" t="s">
        <v>1229</v>
      </c>
      <c r="C475" s="14" t="n">
        <v>0</v>
      </c>
      <c r="D475" s="14" t="n">
        <v>0</v>
      </c>
      <c r="E475" s="14" t="n">
        <v>0</v>
      </c>
      <c r="F475" s="2" t="s">
        <v>1126</v>
      </c>
      <c r="G475" s="7" t="s">
        <v>25</v>
      </c>
      <c r="H475" s="2"/>
      <c r="I475" s="8" t="s">
        <v>1215</v>
      </c>
      <c r="J475" s="2" t="s">
        <v>1128</v>
      </c>
    </row>
    <row r="476" customFormat="false" ht="23.85" hidden="false" customHeight="false" outlineLevel="0" collapsed="false">
      <c r="A476" s="2" t="s">
        <v>1230</v>
      </c>
      <c r="B476" s="2" t="s">
        <v>1231</v>
      </c>
      <c r="C476" s="14" t="n">
        <v>1</v>
      </c>
      <c r="D476" s="14" t="n">
        <v>1</v>
      </c>
      <c r="E476" s="14" t="n">
        <v>1</v>
      </c>
      <c r="F476" s="2" t="s">
        <v>1126</v>
      </c>
      <c r="G476" s="7" t="s">
        <v>25</v>
      </c>
      <c r="H476" s="2"/>
      <c r="I476" s="8" t="s">
        <v>1215</v>
      </c>
      <c r="J476" s="2" t="s">
        <v>1128</v>
      </c>
    </row>
    <row r="477" customFormat="false" ht="23.85" hidden="false" customHeight="false" outlineLevel="0" collapsed="false">
      <c r="A477" s="2" t="s">
        <v>1232</v>
      </c>
      <c r="B477" s="2" t="s">
        <v>1233</v>
      </c>
      <c r="C477" s="14" t="n">
        <v>0.01</v>
      </c>
      <c r="D477" s="14" t="n">
        <v>0.01</v>
      </c>
      <c r="E477" s="14" t="n">
        <v>0.01</v>
      </c>
      <c r="F477" s="2" t="s">
        <v>1126</v>
      </c>
      <c r="G477" s="7" t="s">
        <v>25</v>
      </c>
      <c r="H477" s="2"/>
      <c r="I477" s="8" t="s">
        <v>1215</v>
      </c>
      <c r="J477" s="2" t="s">
        <v>1128</v>
      </c>
    </row>
    <row r="478" customFormat="false" ht="23.85" hidden="false" customHeight="false" outlineLevel="0" collapsed="false">
      <c r="A478" s="2" t="s">
        <v>1234</v>
      </c>
      <c r="B478" s="2" t="s">
        <v>1235</v>
      </c>
      <c r="C478" s="14" t="n">
        <v>0.7</v>
      </c>
      <c r="D478" s="14" t="n">
        <v>0.7</v>
      </c>
      <c r="E478" s="14" t="n">
        <v>0.7</v>
      </c>
      <c r="F478" s="2" t="s">
        <v>1126</v>
      </c>
      <c r="G478" s="7" t="s">
        <v>25</v>
      </c>
      <c r="H478" s="2"/>
      <c r="I478" s="8" t="s">
        <v>1215</v>
      </c>
      <c r="J478" s="2" t="s">
        <v>1128</v>
      </c>
    </row>
    <row r="479" customFormat="false" ht="23.85" hidden="false" customHeight="false" outlineLevel="0" collapsed="false">
      <c r="A479" s="2" t="s">
        <v>1236</v>
      </c>
      <c r="B479" s="2" t="s">
        <v>1237</v>
      </c>
      <c r="C479" s="14" t="n">
        <v>0.7</v>
      </c>
      <c r="D479" s="14" t="n">
        <v>0.7</v>
      </c>
      <c r="E479" s="14" t="n">
        <v>0.7</v>
      </c>
      <c r="F479" s="2" t="s">
        <v>1126</v>
      </c>
      <c r="G479" s="7" t="s">
        <v>25</v>
      </c>
      <c r="H479" s="2"/>
      <c r="I479" s="8" t="s">
        <v>1215</v>
      </c>
      <c r="J479" s="2" t="s">
        <v>1128</v>
      </c>
    </row>
    <row r="480" customFormat="false" ht="23.85" hidden="false" customHeight="false" outlineLevel="0" collapsed="false">
      <c r="A480" s="2" t="s">
        <v>1238</v>
      </c>
      <c r="B480" s="2" t="s">
        <v>1239</v>
      </c>
      <c r="C480" s="14" t="n">
        <v>0.7</v>
      </c>
      <c r="D480" s="14" t="n">
        <v>0.7</v>
      </c>
      <c r="E480" s="14" t="n">
        <v>0.7</v>
      </c>
      <c r="F480" s="2" t="s">
        <v>1126</v>
      </c>
      <c r="G480" s="7" t="s">
        <v>25</v>
      </c>
      <c r="H480" s="2"/>
      <c r="I480" s="8" t="s">
        <v>1215</v>
      </c>
      <c r="J480" s="2" t="s">
        <v>1128</v>
      </c>
    </row>
    <row r="481" customFormat="false" ht="23.85" hidden="false" customHeight="false" outlineLevel="0" collapsed="false">
      <c r="A481" s="2" t="s">
        <v>1240</v>
      </c>
      <c r="B481" s="2" t="s">
        <v>1241</v>
      </c>
      <c r="C481" s="14" t="n">
        <v>1</v>
      </c>
      <c r="D481" s="14" t="n">
        <v>1</v>
      </c>
      <c r="E481" s="14" t="n">
        <v>1</v>
      </c>
      <c r="F481" s="2" t="s">
        <v>1126</v>
      </c>
      <c r="G481" s="7" t="s">
        <v>25</v>
      </c>
      <c r="H481" s="2"/>
      <c r="I481" s="8" t="s">
        <v>1215</v>
      </c>
      <c r="J481" s="2" t="s">
        <v>1128</v>
      </c>
    </row>
    <row r="482" customFormat="false" ht="15" hidden="false" customHeight="false" outlineLevel="0" collapsed="false">
      <c r="A482" s="2" t="s">
        <v>1242</v>
      </c>
      <c r="B482" s="2" t="s">
        <v>1243</v>
      </c>
      <c r="C482" s="14" t="n">
        <v>0</v>
      </c>
      <c r="D482" s="14" t="n">
        <v>0</v>
      </c>
      <c r="E482" s="14" t="n">
        <v>0</v>
      </c>
      <c r="F482" s="2" t="s">
        <v>1126</v>
      </c>
      <c r="G482" s="7" t="s">
        <v>25</v>
      </c>
      <c r="H482" s="2"/>
      <c r="I482" s="8" t="s">
        <v>1244</v>
      </c>
      <c r="J482" s="2" t="s">
        <v>1128</v>
      </c>
    </row>
    <row r="483" customFormat="false" ht="15" hidden="false" customHeight="false" outlineLevel="0" collapsed="false">
      <c r="A483" s="2" t="s">
        <v>1245</v>
      </c>
      <c r="B483" s="2" t="s">
        <v>1246</v>
      </c>
      <c r="C483" s="14" t="n">
        <v>0</v>
      </c>
      <c r="D483" s="14" t="n">
        <v>0</v>
      </c>
      <c r="E483" s="14" t="n">
        <v>0</v>
      </c>
      <c r="F483" s="2" t="s">
        <v>1126</v>
      </c>
      <c r="G483" s="7" t="s">
        <v>25</v>
      </c>
      <c r="H483" s="2"/>
      <c r="I483" s="8" t="s">
        <v>1244</v>
      </c>
      <c r="J483" s="2" t="s">
        <v>1128</v>
      </c>
    </row>
    <row r="484" customFormat="false" ht="15" hidden="false" customHeight="false" outlineLevel="0" collapsed="false">
      <c r="A484" s="2" t="s">
        <v>1247</v>
      </c>
      <c r="B484" s="2" t="s">
        <v>1248</v>
      </c>
      <c r="C484" s="14" t="n">
        <v>0</v>
      </c>
      <c r="D484" s="14" t="n">
        <v>0</v>
      </c>
      <c r="E484" s="14" t="n">
        <v>0</v>
      </c>
      <c r="F484" s="2" t="s">
        <v>1126</v>
      </c>
      <c r="G484" s="7" t="s">
        <v>25</v>
      </c>
      <c r="H484" s="2"/>
      <c r="I484" s="8" t="s">
        <v>1244</v>
      </c>
      <c r="J484" s="2" t="s">
        <v>1128</v>
      </c>
    </row>
    <row r="485" customFormat="false" ht="15" hidden="false" customHeight="false" outlineLevel="0" collapsed="false">
      <c r="A485" s="2" t="s">
        <v>1249</v>
      </c>
      <c r="B485" s="2" t="s">
        <v>1250</v>
      </c>
      <c r="C485" s="14" t="n">
        <v>99</v>
      </c>
      <c r="D485" s="14" t="n">
        <v>99</v>
      </c>
      <c r="E485" s="14" t="n">
        <v>99</v>
      </c>
      <c r="F485" s="2" t="s">
        <v>1126</v>
      </c>
      <c r="G485" s="7" t="s">
        <v>25</v>
      </c>
      <c r="H485" s="2"/>
      <c r="I485" s="8" t="s">
        <v>1244</v>
      </c>
      <c r="J485" s="2" t="s">
        <v>1128</v>
      </c>
    </row>
    <row r="486" customFormat="false" ht="15" hidden="false" customHeight="false" outlineLevel="0" collapsed="false">
      <c r="A486" s="2" t="s">
        <v>1251</v>
      </c>
      <c r="B486" s="2" t="s">
        <v>1252</v>
      </c>
      <c r="C486" s="14" t="n">
        <v>99</v>
      </c>
      <c r="D486" s="14" t="n">
        <v>99</v>
      </c>
      <c r="E486" s="14" t="n">
        <v>99</v>
      </c>
      <c r="F486" s="2" t="s">
        <v>1126</v>
      </c>
      <c r="G486" s="7" t="s">
        <v>25</v>
      </c>
      <c r="H486" s="2"/>
      <c r="I486" s="8" t="s">
        <v>1244</v>
      </c>
      <c r="J486" s="2" t="s">
        <v>1128</v>
      </c>
    </row>
    <row r="487" customFormat="false" ht="15" hidden="false" customHeight="false" outlineLevel="0" collapsed="false">
      <c r="A487" s="2" t="s">
        <v>1253</v>
      </c>
      <c r="B487" s="2" t="s">
        <v>1254</v>
      </c>
      <c r="C487" s="14" t="n">
        <v>0</v>
      </c>
      <c r="D487" s="14" t="n">
        <v>0</v>
      </c>
      <c r="E487" s="14" t="n">
        <v>0</v>
      </c>
      <c r="F487" s="2" t="s">
        <v>1126</v>
      </c>
      <c r="G487" s="7" t="s">
        <v>25</v>
      </c>
      <c r="H487" s="2"/>
      <c r="I487" s="8" t="s">
        <v>1244</v>
      </c>
      <c r="J487" s="2" t="s">
        <v>1128</v>
      </c>
    </row>
    <row r="488" customFormat="false" ht="15" hidden="false" customHeight="false" outlineLevel="0" collapsed="false">
      <c r="A488" s="2" t="s">
        <v>1255</v>
      </c>
      <c r="B488" s="2" t="s">
        <v>1256</v>
      </c>
      <c r="C488" s="14" t="n">
        <v>4</v>
      </c>
      <c r="D488" s="14" t="n">
        <v>4</v>
      </c>
      <c r="E488" s="14" t="n">
        <v>4</v>
      </c>
      <c r="F488" s="2" t="s">
        <v>1126</v>
      </c>
      <c r="G488" s="7" t="s">
        <v>25</v>
      </c>
      <c r="H488" s="2"/>
      <c r="I488" s="8" t="s">
        <v>1244</v>
      </c>
      <c r="J488" s="2" t="s">
        <v>1128</v>
      </c>
    </row>
    <row r="489" customFormat="false" ht="15" hidden="false" customHeight="false" outlineLevel="0" collapsed="false">
      <c r="A489" s="2" t="s">
        <v>1257</v>
      </c>
      <c r="B489" s="2" t="s">
        <v>1258</v>
      </c>
      <c r="C489" s="14" t="n">
        <v>6</v>
      </c>
      <c r="D489" s="14" t="n">
        <v>6</v>
      </c>
      <c r="E489" s="14" t="n">
        <v>6</v>
      </c>
      <c r="F489" s="2" t="s">
        <v>1126</v>
      </c>
      <c r="G489" s="7" t="s">
        <v>25</v>
      </c>
      <c r="H489" s="2"/>
      <c r="I489" s="8" t="s">
        <v>1244</v>
      </c>
      <c r="J489" s="2" t="s">
        <v>1128</v>
      </c>
    </row>
    <row r="490" customFormat="false" ht="15" hidden="false" customHeight="false" outlineLevel="0" collapsed="false">
      <c r="A490" s="2" t="s">
        <v>1259</v>
      </c>
      <c r="B490" s="2" t="s">
        <v>1260</v>
      </c>
      <c r="C490" s="14" t="n">
        <v>2</v>
      </c>
      <c r="D490" s="14" t="n">
        <v>2</v>
      </c>
      <c r="E490" s="14" t="n">
        <v>2</v>
      </c>
      <c r="F490" s="2" t="s">
        <v>1126</v>
      </c>
      <c r="G490" s="7" t="s">
        <v>25</v>
      </c>
      <c r="H490" s="2"/>
      <c r="I490" s="8" t="s">
        <v>1244</v>
      </c>
      <c r="J490" s="2" t="s">
        <v>1128</v>
      </c>
    </row>
    <row r="491" customFormat="false" ht="15" hidden="false" customHeight="false" outlineLevel="0" collapsed="false">
      <c r="A491" s="2" t="s">
        <v>1261</v>
      </c>
      <c r="B491" s="2" t="s">
        <v>1262</v>
      </c>
      <c r="C491" s="14" t="n">
        <v>0</v>
      </c>
      <c r="D491" s="14" t="n">
        <v>0</v>
      </c>
      <c r="E491" s="14" t="n">
        <v>0</v>
      </c>
      <c r="F491" s="2" t="s">
        <v>1126</v>
      </c>
      <c r="G491" s="7" t="s">
        <v>25</v>
      </c>
      <c r="H491" s="2"/>
      <c r="I491" s="8" t="s">
        <v>1244</v>
      </c>
      <c r="J491" s="2" t="s">
        <v>1128</v>
      </c>
    </row>
    <row r="492" customFormat="false" ht="15" hidden="false" customHeight="false" outlineLevel="0" collapsed="false">
      <c r="A492" s="2" t="s">
        <v>1263</v>
      </c>
      <c r="B492" s="2" t="s">
        <v>1264</v>
      </c>
      <c r="C492" s="14" t="n">
        <v>1</v>
      </c>
      <c r="D492" s="14" t="n">
        <v>1</v>
      </c>
      <c r="E492" s="14" t="n">
        <v>1</v>
      </c>
      <c r="F492" s="2" t="s">
        <v>1126</v>
      </c>
      <c r="G492" s="7" t="s">
        <v>25</v>
      </c>
      <c r="H492" s="2"/>
      <c r="I492" s="8" t="s">
        <v>1244</v>
      </c>
      <c r="J492" s="2" t="s">
        <v>1128</v>
      </c>
    </row>
    <row r="493" customFormat="false" ht="15" hidden="false" customHeight="false" outlineLevel="0" collapsed="false">
      <c r="A493" s="2" t="s">
        <v>1265</v>
      </c>
      <c r="B493" s="2" t="s">
        <v>1266</v>
      </c>
      <c r="C493" s="14" t="n">
        <v>1</v>
      </c>
      <c r="D493" s="14" t="n">
        <v>1</v>
      </c>
      <c r="E493" s="14" t="n">
        <v>1</v>
      </c>
      <c r="F493" s="2" t="s">
        <v>1126</v>
      </c>
      <c r="G493" s="7" t="s">
        <v>25</v>
      </c>
      <c r="H493" s="2"/>
      <c r="I493" s="8" t="s">
        <v>1244</v>
      </c>
      <c r="J493" s="2" t="s">
        <v>1128</v>
      </c>
    </row>
    <row r="494" customFormat="false" ht="15" hidden="false" customHeight="false" outlineLevel="0" collapsed="false">
      <c r="A494" s="2" t="s">
        <v>1267</v>
      </c>
      <c r="B494" s="2" t="s">
        <v>1268</v>
      </c>
      <c r="C494" s="14" t="n">
        <v>1</v>
      </c>
      <c r="D494" s="14" t="n">
        <v>1</v>
      </c>
      <c r="E494" s="14" t="n">
        <v>1</v>
      </c>
      <c r="F494" s="2" t="s">
        <v>1126</v>
      </c>
      <c r="G494" s="7" t="s">
        <v>25</v>
      </c>
      <c r="H494" s="2"/>
      <c r="I494" s="8" t="s">
        <v>1244</v>
      </c>
      <c r="J494" s="2" t="s">
        <v>1128</v>
      </c>
    </row>
    <row r="495" customFormat="false" ht="15" hidden="false" customHeight="false" outlineLevel="0" collapsed="false">
      <c r="A495" s="2" t="s">
        <v>1269</v>
      </c>
      <c r="B495" s="2" t="s">
        <v>1270</v>
      </c>
      <c r="C495" s="14" t="n">
        <v>1</v>
      </c>
      <c r="D495" s="14" t="n">
        <v>1</v>
      </c>
      <c r="E495" s="14" t="n">
        <v>1</v>
      </c>
      <c r="F495" s="2" t="s">
        <v>1126</v>
      </c>
      <c r="G495" s="7" t="s">
        <v>25</v>
      </c>
      <c r="H495" s="2"/>
      <c r="I495" s="8" t="s">
        <v>1244</v>
      </c>
      <c r="J495" s="2" t="s">
        <v>1128</v>
      </c>
    </row>
    <row r="496" customFormat="false" ht="23.85" hidden="false" customHeight="false" outlineLevel="0" collapsed="false">
      <c r="A496" s="2" t="s">
        <v>1271</v>
      </c>
      <c r="B496" s="2" t="s">
        <v>1272</v>
      </c>
      <c r="C496" s="14" t="n">
        <v>0</v>
      </c>
      <c r="D496" s="14" t="n">
        <v>0</v>
      </c>
      <c r="E496" s="14" t="n">
        <v>0</v>
      </c>
      <c r="F496" s="2" t="s">
        <v>1126</v>
      </c>
      <c r="G496" s="7" t="s">
        <v>25</v>
      </c>
      <c r="H496" s="2"/>
      <c r="I496" s="8" t="s">
        <v>1273</v>
      </c>
      <c r="J496" s="2" t="s">
        <v>1128</v>
      </c>
    </row>
    <row r="497" customFormat="false" ht="23.85" hidden="false" customHeight="false" outlineLevel="0" collapsed="false">
      <c r="A497" s="2" t="s">
        <v>1274</v>
      </c>
      <c r="B497" s="2" t="s">
        <v>1275</v>
      </c>
      <c r="C497" s="14" t="n">
        <v>0</v>
      </c>
      <c r="D497" s="14" t="n">
        <v>0</v>
      </c>
      <c r="E497" s="14" t="n">
        <v>0</v>
      </c>
      <c r="F497" s="2" t="s">
        <v>1126</v>
      </c>
      <c r="G497" s="7" t="s">
        <v>25</v>
      </c>
      <c r="H497" s="2"/>
      <c r="I497" s="8" t="s">
        <v>1273</v>
      </c>
      <c r="J497" s="2" t="s">
        <v>1128</v>
      </c>
    </row>
    <row r="498" customFormat="false" ht="23.85" hidden="false" customHeight="false" outlineLevel="0" collapsed="false">
      <c r="A498" s="2" t="s">
        <v>1276</v>
      </c>
      <c r="B498" s="2" t="s">
        <v>1277</v>
      </c>
      <c r="C498" s="14" t="n">
        <v>0</v>
      </c>
      <c r="D498" s="14" t="n">
        <v>0</v>
      </c>
      <c r="E498" s="14" t="n">
        <v>0</v>
      </c>
      <c r="F498" s="2" t="s">
        <v>1126</v>
      </c>
      <c r="G498" s="7" t="s">
        <v>25</v>
      </c>
      <c r="H498" s="2"/>
      <c r="I498" s="8" t="s">
        <v>1273</v>
      </c>
      <c r="J498" s="2" t="s">
        <v>1128</v>
      </c>
    </row>
    <row r="499" customFormat="false" ht="23.85" hidden="false" customHeight="false" outlineLevel="0" collapsed="false">
      <c r="A499" s="2" t="s">
        <v>1278</v>
      </c>
      <c r="B499" s="2" t="s">
        <v>1279</v>
      </c>
      <c r="C499" s="14" t="n">
        <v>99</v>
      </c>
      <c r="D499" s="14" t="n">
        <v>99</v>
      </c>
      <c r="E499" s="14" t="n">
        <v>99</v>
      </c>
      <c r="F499" s="2" t="s">
        <v>1126</v>
      </c>
      <c r="G499" s="7" t="s">
        <v>25</v>
      </c>
      <c r="H499" s="2"/>
      <c r="I499" s="8" t="s">
        <v>1273</v>
      </c>
      <c r="J499" s="2" t="s">
        <v>1128</v>
      </c>
    </row>
    <row r="500" customFormat="false" ht="23.85" hidden="false" customHeight="false" outlineLevel="0" collapsed="false">
      <c r="A500" s="2" t="s">
        <v>1280</v>
      </c>
      <c r="B500" s="2" t="s">
        <v>1281</v>
      </c>
      <c r="C500" s="14" t="n">
        <v>2</v>
      </c>
      <c r="D500" s="14" t="n">
        <v>2</v>
      </c>
      <c r="E500" s="14" t="n">
        <v>2</v>
      </c>
      <c r="F500" s="2" t="s">
        <v>1126</v>
      </c>
      <c r="G500" s="7" t="s">
        <v>25</v>
      </c>
      <c r="H500" s="2"/>
      <c r="I500" s="8" t="s">
        <v>1273</v>
      </c>
      <c r="J500" s="2" t="s">
        <v>1128</v>
      </c>
    </row>
    <row r="501" customFormat="false" ht="23.85" hidden="false" customHeight="false" outlineLevel="0" collapsed="false">
      <c r="A501" s="2" t="s">
        <v>1282</v>
      </c>
      <c r="B501" s="2" t="s">
        <v>1283</v>
      </c>
      <c r="C501" s="14" t="n">
        <v>-0.01</v>
      </c>
      <c r="D501" s="14" t="n">
        <v>-0.01</v>
      </c>
      <c r="E501" s="14" t="n">
        <v>-0.01</v>
      </c>
      <c r="F501" s="2" t="s">
        <v>1126</v>
      </c>
      <c r="G501" s="7" t="s">
        <v>25</v>
      </c>
      <c r="H501" s="2"/>
      <c r="I501" s="8" t="s">
        <v>1273</v>
      </c>
      <c r="J501" s="2" t="s">
        <v>1128</v>
      </c>
    </row>
    <row r="502" customFormat="false" ht="23.85" hidden="false" customHeight="false" outlineLevel="0" collapsed="false">
      <c r="A502" s="2" t="s">
        <v>1284</v>
      </c>
      <c r="B502" s="2" t="s">
        <v>1285</v>
      </c>
      <c r="C502" s="14" t="n">
        <v>99</v>
      </c>
      <c r="D502" s="14" t="n">
        <v>99</v>
      </c>
      <c r="E502" s="14" t="n">
        <v>99</v>
      </c>
      <c r="F502" s="2" t="s">
        <v>1126</v>
      </c>
      <c r="G502" s="7" t="s">
        <v>25</v>
      </c>
      <c r="H502" s="2"/>
      <c r="I502" s="8" t="s">
        <v>1273</v>
      </c>
      <c r="J502" s="2" t="s">
        <v>1128</v>
      </c>
    </row>
    <row r="503" customFormat="false" ht="23.85" hidden="false" customHeight="false" outlineLevel="0" collapsed="false">
      <c r="A503" s="2" t="s">
        <v>1286</v>
      </c>
      <c r="B503" s="2" t="s">
        <v>1287</v>
      </c>
      <c r="C503" s="14" t="n">
        <v>0</v>
      </c>
      <c r="D503" s="14" t="n">
        <v>0</v>
      </c>
      <c r="E503" s="14" t="n">
        <v>0</v>
      </c>
      <c r="F503" s="2" t="s">
        <v>1126</v>
      </c>
      <c r="G503" s="7" t="s">
        <v>25</v>
      </c>
      <c r="H503" s="2"/>
      <c r="I503" s="8" t="s">
        <v>1273</v>
      </c>
      <c r="J503" s="2" t="s">
        <v>1128</v>
      </c>
    </row>
    <row r="504" customFormat="false" ht="23.85" hidden="false" customHeight="false" outlineLevel="0" collapsed="false">
      <c r="A504" s="2" t="s">
        <v>1288</v>
      </c>
      <c r="B504" s="2" t="s">
        <v>1289</v>
      </c>
      <c r="C504" s="14" t="n">
        <v>1</v>
      </c>
      <c r="D504" s="14" t="n">
        <v>1</v>
      </c>
      <c r="E504" s="14" t="n">
        <v>1</v>
      </c>
      <c r="F504" s="2" t="s">
        <v>1126</v>
      </c>
      <c r="G504" s="7" t="s">
        <v>25</v>
      </c>
      <c r="H504" s="2"/>
      <c r="I504" s="8" t="s">
        <v>1273</v>
      </c>
      <c r="J504" s="2" t="s">
        <v>1128</v>
      </c>
    </row>
    <row r="505" customFormat="false" ht="23.85" hidden="false" customHeight="false" outlineLevel="0" collapsed="false">
      <c r="A505" s="2" t="s">
        <v>1290</v>
      </c>
      <c r="B505" s="2" t="s">
        <v>1291</v>
      </c>
      <c r="C505" s="14" t="n">
        <v>0</v>
      </c>
      <c r="D505" s="14" t="n">
        <v>0</v>
      </c>
      <c r="E505" s="14" t="n">
        <v>0</v>
      </c>
      <c r="F505" s="2" t="s">
        <v>1126</v>
      </c>
      <c r="G505" s="7" t="s">
        <v>25</v>
      </c>
      <c r="H505" s="2"/>
      <c r="I505" s="8" t="s">
        <v>1273</v>
      </c>
      <c r="J505" s="2" t="s">
        <v>1128</v>
      </c>
    </row>
    <row r="506" customFormat="false" ht="23.85" hidden="false" customHeight="false" outlineLevel="0" collapsed="false">
      <c r="A506" s="2" t="s">
        <v>1292</v>
      </c>
      <c r="B506" s="2" t="s">
        <v>1293</v>
      </c>
      <c r="C506" s="14" t="n">
        <v>1</v>
      </c>
      <c r="D506" s="14" t="n">
        <v>1</v>
      </c>
      <c r="E506" s="14" t="n">
        <v>1</v>
      </c>
      <c r="F506" s="2" t="s">
        <v>1126</v>
      </c>
      <c r="G506" s="7" t="s">
        <v>25</v>
      </c>
      <c r="H506" s="2"/>
      <c r="I506" s="8" t="s">
        <v>1273</v>
      </c>
      <c r="J506" s="2" t="s">
        <v>1128</v>
      </c>
    </row>
    <row r="507" customFormat="false" ht="23.85" hidden="false" customHeight="false" outlineLevel="0" collapsed="false">
      <c r="A507" s="2" t="s">
        <v>1294</v>
      </c>
      <c r="B507" s="2" t="s">
        <v>1295</v>
      </c>
      <c r="C507" s="14" t="n">
        <v>1</v>
      </c>
      <c r="D507" s="14" t="n">
        <v>1</v>
      </c>
      <c r="E507" s="14" t="n">
        <v>1</v>
      </c>
      <c r="F507" s="2" t="s">
        <v>1126</v>
      </c>
      <c r="G507" s="7" t="s">
        <v>25</v>
      </c>
      <c r="H507" s="2"/>
      <c r="I507" s="8" t="s">
        <v>1273</v>
      </c>
      <c r="J507" s="2" t="s">
        <v>1128</v>
      </c>
    </row>
    <row r="508" customFormat="false" ht="23.85" hidden="false" customHeight="false" outlineLevel="0" collapsed="false">
      <c r="A508" s="2" t="s">
        <v>1296</v>
      </c>
      <c r="B508" s="2" t="s">
        <v>1297</v>
      </c>
      <c r="C508" s="14" t="n">
        <v>1</v>
      </c>
      <c r="D508" s="14" t="n">
        <v>1</v>
      </c>
      <c r="E508" s="14" t="n">
        <v>1</v>
      </c>
      <c r="F508" s="2" t="s">
        <v>1126</v>
      </c>
      <c r="G508" s="7" t="s">
        <v>25</v>
      </c>
      <c r="H508" s="2"/>
      <c r="I508" s="8" t="s">
        <v>1273</v>
      </c>
      <c r="J508" s="2" t="s">
        <v>1128</v>
      </c>
    </row>
    <row r="509" customFormat="false" ht="23.85" hidden="false" customHeight="false" outlineLevel="0" collapsed="false">
      <c r="A509" s="2" t="s">
        <v>1298</v>
      </c>
      <c r="B509" s="2" t="s">
        <v>1299</v>
      </c>
      <c r="C509" s="14" t="n">
        <v>1</v>
      </c>
      <c r="D509" s="14" t="n">
        <v>1</v>
      </c>
      <c r="E509" s="14" t="n">
        <v>1</v>
      </c>
      <c r="F509" s="2" t="s">
        <v>1126</v>
      </c>
      <c r="G509" s="7" t="s">
        <v>25</v>
      </c>
      <c r="H509" s="2"/>
      <c r="I509" s="8" t="s">
        <v>1273</v>
      </c>
      <c r="J509" s="2" t="s">
        <v>1128</v>
      </c>
    </row>
    <row r="510" customFormat="false" ht="15" hidden="false" customHeight="false" outlineLevel="0" collapsed="false">
      <c r="A510" s="2" t="s">
        <v>1300</v>
      </c>
      <c r="B510" s="2" t="s">
        <v>1301</v>
      </c>
      <c r="C510" s="14" t="n">
        <v>0</v>
      </c>
      <c r="D510" s="14" t="n">
        <v>0</v>
      </c>
      <c r="E510" s="14" t="n">
        <v>0</v>
      </c>
      <c r="F510" s="2" t="s">
        <v>1126</v>
      </c>
      <c r="G510" s="7" t="s">
        <v>25</v>
      </c>
      <c r="H510" s="2"/>
      <c r="I510" s="8" t="s">
        <v>1302</v>
      </c>
      <c r="J510" s="2" t="s">
        <v>1128</v>
      </c>
    </row>
    <row r="511" customFormat="false" ht="15" hidden="false" customHeight="false" outlineLevel="0" collapsed="false">
      <c r="A511" s="2" t="s">
        <v>1303</v>
      </c>
      <c r="B511" s="2" t="s">
        <v>1304</v>
      </c>
      <c r="C511" s="14" t="n">
        <v>0</v>
      </c>
      <c r="D511" s="14" t="n">
        <v>0</v>
      </c>
      <c r="E511" s="14" t="n">
        <v>0</v>
      </c>
      <c r="F511" s="2" t="s">
        <v>1126</v>
      </c>
      <c r="G511" s="7" t="s">
        <v>25</v>
      </c>
      <c r="H511" s="2"/>
      <c r="I511" s="8" t="s">
        <v>1302</v>
      </c>
      <c r="J511" s="2" t="s">
        <v>1128</v>
      </c>
    </row>
    <row r="512" customFormat="false" ht="15" hidden="false" customHeight="false" outlineLevel="0" collapsed="false">
      <c r="A512" s="2" t="s">
        <v>1305</v>
      </c>
      <c r="B512" s="2" t="s">
        <v>1306</v>
      </c>
      <c r="C512" s="14" t="n">
        <v>0</v>
      </c>
      <c r="D512" s="14" t="n">
        <v>0</v>
      </c>
      <c r="E512" s="14" t="n">
        <v>0</v>
      </c>
      <c r="F512" s="2" t="s">
        <v>1126</v>
      </c>
      <c r="G512" s="7" t="s">
        <v>25</v>
      </c>
      <c r="H512" s="2"/>
      <c r="I512" s="8" t="s">
        <v>1302</v>
      </c>
      <c r="J512" s="2" t="s">
        <v>1128</v>
      </c>
    </row>
    <row r="513" customFormat="false" ht="15" hidden="false" customHeight="false" outlineLevel="0" collapsed="false">
      <c r="A513" s="2" t="s">
        <v>1307</v>
      </c>
      <c r="B513" s="2" t="s">
        <v>1308</v>
      </c>
      <c r="C513" s="14" t="n">
        <v>99</v>
      </c>
      <c r="D513" s="14" t="n">
        <v>99</v>
      </c>
      <c r="E513" s="14" t="n">
        <v>99</v>
      </c>
      <c r="F513" s="2" t="s">
        <v>1126</v>
      </c>
      <c r="G513" s="7" t="s">
        <v>25</v>
      </c>
      <c r="H513" s="2"/>
      <c r="I513" s="8" t="s">
        <v>1302</v>
      </c>
      <c r="J513" s="2" t="s">
        <v>1128</v>
      </c>
    </row>
    <row r="514" customFormat="false" ht="15" hidden="false" customHeight="false" outlineLevel="0" collapsed="false">
      <c r="A514" s="2" t="s">
        <v>1309</v>
      </c>
      <c r="B514" s="2" t="s">
        <v>1310</v>
      </c>
      <c r="C514" s="14" t="n">
        <v>99</v>
      </c>
      <c r="D514" s="14" t="n">
        <v>99</v>
      </c>
      <c r="E514" s="14" t="n">
        <v>99</v>
      </c>
      <c r="F514" s="2" t="s">
        <v>1126</v>
      </c>
      <c r="G514" s="7" t="s">
        <v>25</v>
      </c>
      <c r="H514" s="2"/>
      <c r="I514" s="8" t="s">
        <v>1302</v>
      </c>
      <c r="J514" s="2" t="s">
        <v>1128</v>
      </c>
    </row>
    <row r="515" customFormat="false" ht="15" hidden="false" customHeight="false" outlineLevel="0" collapsed="false">
      <c r="A515" s="2" t="s">
        <v>1311</v>
      </c>
      <c r="B515" s="2" t="s">
        <v>1312</v>
      </c>
      <c r="C515" s="14" t="n">
        <v>0</v>
      </c>
      <c r="D515" s="14" t="n">
        <v>0</v>
      </c>
      <c r="E515" s="14" t="n">
        <v>0</v>
      </c>
      <c r="F515" s="2" t="s">
        <v>1126</v>
      </c>
      <c r="G515" s="7" t="s">
        <v>25</v>
      </c>
      <c r="H515" s="2"/>
      <c r="I515" s="8" t="s">
        <v>1302</v>
      </c>
      <c r="J515" s="2" t="s">
        <v>1128</v>
      </c>
    </row>
    <row r="516" customFormat="false" ht="15" hidden="false" customHeight="false" outlineLevel="0" collapsed="false">
      <c r="A516" s="2" t="s">
        <v>1313</v>
      </c>
      <c r="B516" s="2" t="s">
        <v>1314</v>
      </c>
      <c r="C516" s="14" t="n">
        <v>99</v>
      </c>
      <c r="D516" s="14" t="n">
        <v>99</v>
      </c>
      <c r="E516" s="14" t="n">
        <v>99</v>
      </c>
      <c r="F516" s="2" t="s">
        <v>1126</v>
      </c>
      <c r="G516" s="7" t="s">
        <v>25</v>
      </c>
      <c r="H516" s="2"/>
      <c r="I516" s="8" t="s">
        <v>1302</v>
      </c>
      <c r="J516" s="2" t="s">
        <v>1128</v>
      </c>
    </row>
    <row r="517" customFormat="false" ht="15" hidden="false" customHeight="false" outlineLevel="0" collapsed="false">
      <c r="A517" s="2" t="s">
        <v>1315</v>
      </c>
      <c r="B517" s="2" t="s">
        <v>1316</v>
      </c>
      <c r="C517" s="14" t="n">
        <v>0</v>
      </c>
      <c r="D517" s="14" t="n">
        <v>0</v>
      </c>
      <c r="E517" s="14" t="n">
        <v>0</v>
      </c>
      <c r="F517" s="2" t="s">
        <v>1126</v>
      </c>
      <c r="G517" s="7" t="s">
        <v>25</v>
      </c>
      <c r="H517" s="2"/>
      <c r="I517" s="8" t="s">
        <v>1302</v>
      </c>
      <c r="J517" s="2" t="s">
        <v>1128</v>
      </c>
    </row>
    <row r="518" customFormat="false" ht="15" hidden="false" customHeight="false" outlineLevel="0" collapsed="false">
      <c r="A518" s="2" t="s">
        <v>1317</v>
      </c>
      <c r="B518" s="2" t="s">
        <v>1318</v>
      </c>
      <c r="C518" s="14" t="n">
        <v>1</v>
      </c>
      <c r="D518" s="14" t="n">
        <v>1</v>
      </c>
      <c r="E518" s="14" t="n">
        <v>1</v>
      </c>
      <c r="F518" s="2" t="s">
        <v>1126</v>
      </c>
      <c r="G518" s="7" t="s">
        <v>25</v>
      </c>
      <c r="H518" s="2"/>
      <c r="I518" s="8" t="s">
        <v>1302</v>
      </c>
      <c r="J518" s="2" t="s">
        <v>1128</v>
      </c>
    </row>
    <row r="519" customFormat="false" ht="15" hidden="false" customHeight="false" outlineLevel="0" collapsed="false">
      <c r="A519" s="2" t="s">
        <v>1319</v>
      </c>
      <c r="B519" s="2" t="s">
        <v>1320</v>
      </c>
      <c r="C519" s="14" t="n">
        <v>0.01</v>
      </c>
      <c r="D519" s="14" t="n">
        <v>0.01</v>
      </c>
      <c r="E519" s="14" t="n">
        <v>0.01</v>
      </c>
      <c r="F519" s="2" t="s">
        <v>1126</v>
      </c>
      <c r="G519" s="7" t="s">
        <v>25</v>
      </c>
      <c r="H519" s="2"/>
      <c r="I519" s="8" t="s">
        <v>1302</v>
      </c>
      <c r="J519" s="2" t="s">
        <v>1128</v>
      </c>
    </row>
    <row r="520" customFormat="false" ht="15" hidden="false" customHeight="false" outlineLevel="0" collapsed="false">
      <c r="A520" s="2" t="s">
        <v>1321</v>
      </c>
      <c r="B520" s="2" t="s">
        <v>1322</v>
      </c>
      <c r="C520" s="14" t="n">
        <v>1</v>
      </c>
      <c r="D520" s="14" t="n">
        <v>1</v>
      </c>
      <c r="E520" s="14" t="n">
        <v>1</v>
      </c>
      <c r="F520" s="2" t="s">
        <v>1126</v>
      </c>
      <c r="G520" s="7" t="s">
        <v>25</v>
      </c>
      <c r="H520" s="2"/>
      <c r="I520" s="8" t="s">
        <v>1302</v>
      </c>
      <c r="J520" s="2" t="s">
        <v>1128</v>
      </c>
    </row>
    <row r="521" customFormat="false" ht="15" hidden="false" customHeight="false" outlineLevel="0" collapsed="false">
      <c r="A521" s="2" t="s">
        <v>1323</v>
      </c>
      <c r="B521" s="2" t="s">
        <v>1324</v>
      </c>
      <c r="C521" s="14" t="n">
        <v>1</v>
      </c>
      <c r="D521" s="14" t="n">
        <v>1</v>
      </c>
      <c r="E521" s="14" t="n">
        <v>1</v>
      </c>
      <c r="F521" s="2" t="s">
        <v>1126</v>
      </c>
      <c r="G521" s="7" t="s">
        <v>25</v>
      </c>
      <c r="H521" s="2"/>
      <c r="I521" s="8" t="s">
        <v>1302</v>
      </c>
      <c r="J521" s="2" t="s">
        <v>1128</v>
      </c>
    </row>
    <row r="522" customFormat="false" ht="15" hidden="false" customHeight="false" outlineLevel="0" collapsed="false">
      <c r="A522" s="2" t="s">
        <v>1325</v>
      </c>
      <c r="B522" s="2" t="s">
        <v>1326</v>
      </c>
      <c r="C522" s="14" t="n">
        <v>1</v>
      </c>
      <c r="D522" s="14" t="n">
        <v>1</v>
      </c>
      <c r="E522" s="14" t="n">
        <v>1</v>
      </c>
      <c r="F522" s="2" t="s">
        <v>1126</v>
      </c>
      <c r="G522" s="7" t="s">
        <v>25</v>
      </c>
      <c r="H522" s="2"/>
      <c r="I522" s="8" t="s">
        <v>1302</v>
      </c>
      <c r="J522" s="2" t="s">
        <v>1128</v>
      </c>
    </row>
    <row r="523" customFormat="false" ht="15" hidden="false" customHeight="false" outlineLevel="0" collapsed="false">
      <c r="A523" s="2" t="s">
        <v>1327</v>
      </c>
      <c r="B523" s="2" t="s">
        <v>1328</v>
      </c>
      <c r="C523" s="14" t="n">
        <v>1</v>
      </c>
      <c r="D523" s="14" t="n">
        <v>1</v>
      </c>
      <c r="E523" s="14" t="n">
        <v>1</v>
      </c>
      <c r="F523" s="2" t="s">
        <v>1126</v>
      </c>
      <c r="G523" s="7" t="s">
        <v>25</v>
      </c>
      <c r="H523" s="2"/>
      <c r="I523" s="8" t="s">
        <v>1302</v>
      </c>
      <c r="J523" s="2" t="s">
        <v>1128</v>
      </c>
    </row>
    <row r="524" customFormat="false" ht="15" hidden="false" customHeight="false" outlineLevel="0" collapsed="false">
      <c r="A524" s="2" t="s">
        <v>1329</v>
      </c>
      <c r="B524" s="2" t="s">
        <v>1330</v>
      </c>
      <c r="C524" s="14" t="n">
        <v>6</v>
      </c>
      <c r="D524" s="14" t="n">
        <v>6</v>
      </c>
      <c r="E524" s="14" t="n">
        <v>6</v>
      </c>
      <c r="F524" s="2" t="s">
        <v>1126</v>
      </c>
      <c r="G524" s="7" t="s">
        <v>25</v>
      </c>
      <c r="H524" s="2"/>
      <c r="I524" s="8" t="s">
        <v>1331</v>
      </c>
      <c r="J524" s="2" t="s">
        <v>1128</v>
      </c>
    </row>
    <row r="525" customFormat="false" ht="15" hidden="false" customHeight="false" outlineLevel="0" collapsed="false">
      <c r="A525" s="2" t="s">
        <v>1332</v>
      </c>
      <c r="B525" s="2" t="s">
        <v>1333</v>
      </c>
      <c r="C525" s="14" t="n">
        <v>600000</v>
      </c>
      <c r="D525" s="14" t="n">
        <v>600000</v>
      </c>
      <c r="E525" s="14" t="n">
        <v>600000</v>
      </c>
      <c r="F525" s="2" t="s">
        <v>1126</v>
      </c>
      <c r="G525" s="7" t="s">
        <v>25</v>
      </c>
      <c r="H525" s="2"/>
      <c r="I525" s="8" t="s">
        <v>1331</v>
      </c>
      <c r="J525" s="2" t="s">
        <v>1128</v>
      </c>
    </row>
    <row r="526" customFormat="false" ht="15" hidden="false" customHeight="false" outlineLevel="0" collapsed="false">
      <c r="A526" s="2" t="s">
        <v>1334</v>
      </c>
      <c r="B526" s="2" t="s">
        <v>1335</v>
      </c>
      <c r="C526" s="14" t="n">
        <v>0</v>
      </c>
      <c r="D526" s="14" t="n">
        <v>0</v>
      </c>
      <c r="E526" s="14" t="n">
        <v>0</v>
      </c>
      <c r="F526" s="2" t="s">
        <v>1126</v>
      </c>
      <c r="G526" s="7" t="s">
        <v>25</v>
      </c>
      <c r="H526" s="2"/>
      <c r="I526" s="8" t="s">
        <v>1331</v>
      </c>
      <c r="J526" s="2" t="s">
        <v>1128</v>
      </c>
    </row>
    <row r="527" customFormat="false" ht="15" hidden="false" customHeight="false" outlineLevel="0" collapsed="false">
      <c r="A527" s="2" t="s">
        <v>1336</v>
      </c>
      <c r="B527" s="2" t="s">
        <v>1337</v>
      </c>
      <c r="C527" s="14" t="n">
        <v>99</v>
      </c>
      <c r="D527" s="14" t="n">
        <v>99</v>
      </c>
      <c r="E527" s="14" t="n">
        <v>99</v>
      </c>
      <c r="F527" s="2" t="s">
        <v>1126</v>
      </c>
      <c r="G527" s="7" t="s">
        <v>25</v>
      </c>
      <c r="H527" s="2"/>
      <c r="I527" s="8" t="s">
        <v>1331</v>
      </c>
      <c r="J527" s="2" t="s">
        <v>1128</v>
      </c>
    </row>
    <row r="528" customFormat="false" ht="15" hidden="false" customHeight="false" outlineLevel="0" collapsed="false">
      <c r="A528" s="2" t="s">
        <v>1338</v>
      </c>
      <c r="B528" s="2" t="s">
        <v>1339</v>
      </c>
      <c r="C528" s="14" t="n">
        <v>99</v>
      </c>
      <c r="D528" s="14" t="n">
        <v>99</v>
      </c>
      <c r="E528" s="14" t="n">
        <v>99</v>
      </c>
      <c r="F528" s="2" t="s">
        <v>1126</v>
      </c>
      <c r="G528" s="7" t="s">
        <v>25</v>
      </c>
      <c r="H528" s="2"/>
      <c r="I528" s="8" t="s">
        <v>1331</v>
      </c>
      <c r="J528" s="2" t="s">
        <v>1128</v>
      </c>
    </row>
    <row r="529" customFormat="false" ht="15" hidden="false" customHeight="false" outlineLevel="0" collapsed="false">
      <c r="A529" s="2" t="s">
        <v>1340</v>
      </c>
      <c r="B529" s="2" t="s">
        <v>1341</v>
      </c>
      <c r="C529" s="14" t="n">
        <v>0</v>
      </c>
      <c r="D529" s="14" t="n">
        <v>0</v>
      </c>
      <c r="E529" s="14" t="n">
        <v>0</v>
      </c>
      <c r="F529" s="2" t="s">
        <v>1126</v>
      </c>
      <c r="G529" s="7" t="s">
        <v>25</v>
      </c>
      <c r="H529" s="2"/>
      <c r="I529" s="8" t="s">
        <v>1331</v>
      </c>
      <c r="J529" s="2" t="s">
        <v>1128</v>
      </c>
    </row>
    <row r="530" customFormat="false" ht="15" hidden="false" customHeight="false" outlineLevel="0" collapsed="false">
      <c r="A530" s="2" t="s">
        <v>1342</v>
      </c>
      <c r="B530" s="2" t="s">
        <v>1343</v>
      </c>
      <c r="C530" s="14" t="n">
        <v>99</v>
      </c>
      <c r="D530" s="14" t="n">
        <v>99</v>
      </c>
      <c r="E530" s="14" t="n">
        <v>99</v>
      </c>
      <c r="F530" s="2" t="s">
        <v>1126</v>
      </c>
      <c r="G530" s="7" t="s">
        <v>25</v>
      </c>
      <c r="H530" s="2"/>
      <c r="I530" s="8" t="s">
        <v>1331</v>
      </c>
      <c r="J530" s="2" t="s">
        <v>1128</v>
      </c>
    </row>
    <row r="531" customFormat="false" ht="15" hidden="false" customHeight="false" outlineLevel="0" collapsed="false">
      <c r="A531" s="2" t="s">
        <v>1344</v>
      </c>
      <c r="B531" s="2" t="s">
        <v>1345</v>
      </c>
      <c r="C531" s="14" t="n">
        <v>0</v>
      </c>
      <c r="D531" s="14" t="n">
        <v>0</v>
      </c>
      <c r="E531" s="14" t="n">
        <v>0</v>
      </c>
      <c r="F531" s="2" t="s">
        <v>1126</v>
      </c>
      <c r="G531" s="7" t="s">
        <v>25</v>
      </c>
      <c r="H531" s="2"/>
      <c r="I531" s="8" t="s">
        <v>1331</v>
      </c>
      <c r="J531" s="2" t="s">
        <v>1128</v>
      </c>
    </row>
    <row r="532" customFormat="false" ht="15" hidden="false" customHeight="false" outlineLevel="0" collapsed="false">
      <c r="A532" s="2" t="s">
        <v>1346</v>
      </c>
      <c r="B532" s="2" t="s">
        <v>1347</v>
      </c>
      <c r="C532" s="14" t="n">
        <v>1</v>
      </c>
      <c r="D532" s="14" t="n">
        <v>1</v>
      </c>
      <c r="E532" s="14" t="n">
        <v>1</v>
      </c>
      <c r="F532" s="2" t="s">
        <v>1126</v>
      </c>
      <c r="G532" s="7" t="s">
        <v>25</v>
      </c>
      <c r="H532" s="2"/>
      <c r="I532" s="8" t="s">
        <v>1331</v>
      </c>
      <c r="J532" s="2" t="s">
        <v>1128</v>
      </c>
    </row>
    <row r="533" customFormat="false" ht="15" hidden="false" customHeight="false" outlineLevel="0" collapsed="false">
      <c r="A533" s="2" t="s">
        <v>1348</v>
      </c>
      <c r="B533" s="2" t="s">
        <v>1349</v>
      </c>
      <c r="C533" s="14" t="n">
        <v>0</v>
      </c>
      <c r="D533" s="14" t="n">
        <v>0</v>
      </c>
      <c r="E533" s="14" t="n">
        <v>0</v>
      </c>
      <c r="F533" s="2" t="s">
        <v>1126</v>
      </c>
      <c r="G533" s="7" t="s">
        <v>25</v>
      </c>
      <c r="H533" s="2"/>
      <c r="I533" s="8" t="s">
        <v>1331</v>
      </c>
      <c r="J533" s="2" t="s">
        <v>1128</v>
      </c>
    </row>
    <row r="534" customFormat="false" ht="15" hidden="false" customHeight="false" outlineLevel="0" collapsed="false">
      <c r="A534" s="2" t="s">
        <v>1350</v>
      </c>
      <c r="B534" s="2" t="s">
        <v>1351</v>
      </c>
      <c r="C534" s="14" t="n">
        <v>1</v>
      </c>
      <c r="D534" s="14" t="n">
        <v>1</v>
      </c>
      <c r="E534" s="14" t="n">
        <v>1</v>
      </c>
      <c r="F534" s="2" t="s">
        <v>1126</v>
      </c>
      <c r="G534" s="7" t="s">
        <v>25</v>
      </c>
      <c r="H534" s="2"/>
      <c r="I534" s="8" t="s">
        <v>1331</v>
      </c>
      <c r="J534" s="2" t="s">
        <v>1128</v>
      </c>
    </row>
    <row r="535" customFormat="false" ht="15" hidden="false" customHeight="false" outlineLevel="0" collapsed="false">
      <c r="A535" s="2" t="s">
        <v>1352</v>
      </c>
      <c r="B535" s="2" t="s">
        <v>1353</v>
      </c>
      <c r="C535" s="14" t="n">
        <v>1</v>
      </c>
      <c r="D535" s="14" t="n">
        <v>1</v>
      </c>
      <c r="E535" s="14" t="n">
        <v>1</v>
      </c>
      <c r="F535" s="2" t="s">
        <v>1126</v>
      </c>
      <c r="G535" s="7" t="s">
        <v>25</v>
      </c>
      <c r="H535" s="2"/>
      <c r="I535" s="8" t="s">
        <v>1331</v>
      </c>
      <c r="J535" s="2" t="s">
        <v>1128</v>
      </c>
    </row>
    <row r="536" customFormat="false" ht="15" hidden="false" customHeight="false" outlineLevel="0" collapsed="false">
      <c r="A536" s="2" t="s">
        <v>1354</v>
      </c>
      <c r="B536" s="2" t="s">
        <v>1355</v>
      </c>
      <c r="C536" s="14" t="n">
        <v>1</v>
      </c>
      <c r="D536" s="14" t="n">
        <v>1</v>
      </c>
      <c r="E536" s="14" t="n">
        <v>1</v>
      </c>
      <c r="F536" s="2" t="s">
        <v>1126</v>
      </c>
      <c r="G536" s="7" t="s">
        <v>25</v>
      </c>
      <c r="H536" s="2"/>
      <c r="I536" s="8" t="s">
        <v>1331</v>
      </c>
      <c r="J536" s="2" t="s">
        <v>1128</v>
      </c>
    </row>
    <row r="537" customFormat="false" ht="15" hidden="false" customHeight="false" outlineLevel="0" collapsed="false">
      <c r="A537" s="2" t="s">
        <v>1356</v>
      </c>
      <c r="B537" s="2" t="s">
        <v>1357</v>
      </c>
      <c r="C537" s="14" t="n">
        <v>1.3</v>
      </c>
      <c r="D537" s="14" t="n">
        <v>1.3</v>
      </c>
      <c r="E537" s="14" t="n">
        <v>1.3</v>
      </c>
      <c r="F537" s="2" t="s">
        <v>1126</v>
      </c>
      <c r="G537" s="7" t="s">
        <v>25</v>
      </c>
      <c r="H537" s="2"/>
      <c r="I537" s="8" t="s">
        <v>1331</v>
      </c>
      <c r="J537" s="2" t="s">
        <v>1128</v>
      </c>
    </row>
    <row r="538" customFormat="false" ht="15" hidden="false" customHeight="false" outlineLevel="0" collapsed="false">
      <c r="A538" s="5" t="s">
        <v>1358</v>
      </c>
    </row>
    <row r="539" customFormat="false" ht="15" hidden="false" customHeight="false" outlineLevel="0" collapsed="false">
      <c r="A539" s="2" t="s">
        <v>1359</v>
      </c>
      <c r="B539" s="2" t="s">
        <v>1360</v>
      </c>
      <c r="C539" s="6" t="n">
        <v>1500</v>
      </c>
      <c r="D539" s="6" t="n">
        <v>2500</v>
      </c>
      <c r="E539" s="6" t="n">
        <v>4000</v>
      </c>
      <c r="F539" s="2" t="s">
        <v>24</v>
      </c>
      <c r="G539" s="7" t="s">
        <v>25</v>
      </c>
      <c r="H539" s="2" t="s">
        <v>1361</v>
      </c>
      <c r="I539" s="8" t="s">
        <v>1362</v>
      </c>
      <c r="J539" s="2" t="s">
        <v>1363</v>
      </c>
    </row>
    <row r="540" customFormat="false" ht="15" hidden="false" customHeight="false" outlineLevel="0" collapsed="false">
      <c r="A540" s="2" t="s">
        <v>1364</v>
      </c>
      <c r="B540" s="2" t="s">
        <v>1365</v>
      </c>
      <c r="C540" s="14" t="n">
        <v>15000</v>
      </c>
      <c r="D540" s="14" t="n">
        <v>20000</v>
      </c>
      <c r="E540" s="14" t="n">
        <v>30000</v>
      </c>
      <c r="F540" s="2" t="s">
        <v>1366</v>
      </c>
      <c r="G540" s="7" t="s">
        <v>25</v>
      </c>
      <c r="H540" s="2"/>
      <c r="I540" s="8"/>
      <c r="J540" s="2" t="s">
        <v>1363</v>
      </c>
    </row>
    <row r="541" customFormat="false" ht="15" hidden="false" customHeight="false" outlineLevel="0" collapsed="false">
      <c r="A541" s="2" t="s">
        <v>1367</v>
      </c>
      <c r="B541" s="2" t="s">
        <v>1368</v>
      </c>
      <c r="C541" s="14" t="n">
        <v>350</v>
      </c>
      <c r="D541" s="14" t="n">
        <v>450</v>
      </c>
      <c r="E541" s="14" t="n">
        <v>560</v>
      </c>
      <c r="F541" s="2" t="s">
        <v>698</v>
      </c>
      <c r="G541" s="7" t="s">
        <v>25</v>
      </c>
      <c r="H541" s="2" t="s">
        <v>63</v>
      </c>
      <c r="I541" s="8" t="s">
        <v>1369</v>
      </c>
      <c r="J541" s="2" t="s">
        <v>1363</v>
      </c>
    </row>
    <row r="542" customFormat="false" ht="15" hidden="false" customHeight="false" outlineLevel="0" collapsed="false">
      <c r="A542" s="2" t="s">
        <v>1370</v>
      </c>
      <c r="B542" s="2" t="s">
        <v>1371</v>
      </c>
      <c r="C542" s="6" t="n">
        <v>4000</v>
      </c>
      <c r="D542" s="6" t="n">
        <v>7000</v>
      </c>
      <c r="E542" s="6" t="n">
        <v>12000</v>
      </c>
      <c r="F542" s="2" t="s">
        <v>24</v>
      </c>
      <c r="G542" s="7" t="s">
        <v>25</v>
      </c>
      <c r="H542" s="2"/>
      <c r="I542" s="8"/>
      <c r="J542" s="2" t="s">
        <v>1363</v>
      </c>
    </row>
    <row r="543" customFormat="false" ht="15" hidden="false" customHeight="false" outlineLevel="0" collapsed="false">
      <c r="A543" s="2" t="s">
        <v>1372</v>
      </c>
      <c r="B543" s="2" t="s">
        <v>1373</v>
      </c>
      <c r="C543" s="14" t="n">
        <v>40000</v>
      </c>
      <c r="D543" s="14" t="n">
        <v>60000</v>
      </c>
      <c r="E543" s="14" t="n">
        <v>90000</v>
      </c>
      <c r="F543" s="2" t="s">
        <v>1366</v>
      </c>
      <c r="G543" s="7" t="s">
        <v>25</v>
      </c>
      <c r="H543" s="2"/>
      <c r="I543" s="8"/>
      <c r="J543" s="2" t="s">
        <v>1363</v>
      </c>
    </row>
    <row r="544" customFormat="false" ht="15" hidden="false" customHeight="false" outlineLevel="0" collapsed="false">
      <c r="A544" s="2" t="s">
        <v>1374</v>
      </c>
      <c r="B544" s="2" t="s">
        <v>1375</v>
      </c>
      <c r="C544" s="14" t="n">
        <v>800</v>
      </c>
      <c r="D544" s="14" t="n">
        <v>1000</v>
      </c>
      <c r="E544" s="14" t="n">
        <v>1200</v>
      </c>
      <c r="F544" s="2" t="s">
        <v>698</v>
      </c>
      <c r="G544" s="7" t="s">
        <v>25</v>
      </c>
      <c r="H544" s="2" t="s">
        <v>63</v>
      </c>
      <c r="I544" s="8" t="s">
        <v>1376</v>
      </c>
      <c r="J544" s="2" t="s">
        <v>1363</v>
      </c>
    </row>
    <row r="545" customFormat="false" ht="15" hidden="false" customHeight="false" outlineLevel="0" collapsed="false">
      <c r="A545" s="2" t="s">
        <v>1377</v>
      </c>
      <c r="B545" s="2" t="s">
        <v>1378</v>
      </c>
      <c r="C545" s="6" t="n">
        <v>10000</v>
      </c>
      <c r="D545" s="6" t="n">
        <v>18000</v>
      </c>
      <c r="E545" s="6" t="n">
        <v>30000</v>
      </c>
      <c r="F545" s="2" t="s">
        <v>24</v>
      </c>
      <c r="G545" s="7" t="s">
        <v>25</v>
      </c>
      <c r="H545" s="2"/>
      <c r="I545" s="8"/>
      <c r="J545" s="2" t="s">
        <v>1363</v>
      </c>
    </row>
    <row r="546" customFormat="false" ht="15" hidden="false" customHeight="false" outlineLevel="0" collapsed="false">
      <c r="A546" s="2" t="s">
        <v>1379</v>
      </c>
      <c r="B546" s="2" t="s">
        <v>1380</v>
      </c>
      <c r="C546" s="14" t="n">
        <v>100000</v>
      </c>
      <c r="D546" s="14" t="n">
        <v>150000</v>
      </c>
      <c r="E546" s="14" t="n">
        <v>220000</v>
      </c>
      <c r="F546" s="2" t="s">
        <v>1366</v>
      </c>
      <c r="G546" s="7" t="s">
        <v>25</v>
      </c>
      <c r="H546" s="2"/>
      <c r="I546" s="8"/>
      <c r="J546" s="2" t="s">
        <v>1363</v>
      </c>
    </row>
    <row r="547" customFormat="false" ht="15" hidden="false" customHeight="false" outlineLevel="0" collapsed="false">
      <c r="A547" s="2" t="s">
        <v>1381</v>
      </c>
      <c r="B547" s="2" t="s">
        <v>1382</v>
      </c>
      <c r="C547" s="14" t="n">
        <v>1350</v>
      </c>
      <c r="D547" s="14" t="n">
        <v>1800</v>
      </c>
      <c r="E547" s="14" t="n">
        <v>2250</v>
      </c>
      <c r="F547" s="2" t="s">
        <v>698</v>
      </c>
      <c r="G547" s="7" t="s">
        <v>25</v>
      </c>
      <c r="H547" s="2" t="s">
        <v>63</v>
      </c>
      <c r="I547" s="8" t="s">
        <v>1383</v>
      </c>
      <c r="J547" s="2" t="s">
        <v>1363</v>
      </c>
    </row>
    <row r="548" customFormat="false" ht="23.85" hidden="false" customHeight="false" outlineLevel="0" collapsed="false">
      <c r="A548" s="2" t="s">
        <v>1384</v>
      </c>
      <c r="B548" s="2" t="s">
        <v>1385</v>
      </c>
      <c r="C548" s="14" t="n">
        <v>150</v>
      </c>
      <c r="D548" s="14" t="n">
        <v>220</v>
      </c>
      <c r="E548" s="14" t="n">
        <v>300</v>
      </c>
      <c r="F548" s="2" t="s">
        <v>1386</v>
      </c>
      <c r="G548" s="7" t="s">
        <v>25</v>
      </c>
      <c r="H548" s="2" t="s">
        <v>1387</v>
      </c>
      <c r="I548" s="8" t="s">
        <v>1388</v>
      </c>
      <c r="J548" s="2" t="s">
        <v>1363</v>
      </c>
    </row>
    <row r="549" customFormat="false" ht="15" hidden="false" customHeight="false" outlineLevel="0" collapsed="false">
      <c r="A549" s="2" t="s">
        <v>1389</v>
      </c>
      <c r="B549" s="2" t="s">
        <v>1390</v>
      </c>
      <c r="C549" s="14" t="n">
        <v>15</v>
      </c>
      <c r="D549" s="14" t="n">
        <v>30</v>
      </c>
      <c r="E549" s="14" t="n">
        <v>50</v>
      </c>
      <c r="F549" s="2" t="s">
        <v>1386</v>
      </c>
      <c r="G549" s="7" t="s">
        <v>25</v>
      </c>
      <c r="H549" s="2"/>
      <c r="I549" s="8" t="s">
        <v>1391</v>
      </c>
      <c r="J549" s="2" t="s">
        <v>1363</v>
      </c>
    </row>
    <row r="550" customFormat="false" ht="35.05" hidden="false" customHeight="false" outlineLevel="0" collapsed="false">
      <c r="A550" s="2" t="s">
        <v>1392</v>
      </c>
      <c r="B550" s="2" t="s">
        <v>1393</v>
      </c>
      <c r="C550" s="15" t="n">
        <v>0.1</v>
      </c>
      <c r="D550" s="15" t="n">
        <v>0.15</v>
      </c>
      <c r="E550" s="15" t="n">
        <v>0.2</v>
      </c>
      <c r="F550" s="2" t="s">
        <v>1394</v>
      </c>
      <c r="G550" s="12" t="s">
        <v>47</v>
      </c>
      <c r="H550" s="2" t="s">
        <v>1395</v>
      </c>
      <c r="I550" s="8" t="s">
        <v>1396</v>
      </c>
      <c r="J550" s="2" t="s">
        <v>1363</v>
      </c>
    </row>
    <row r="551" customFormat="false" ht="23.85" hidden="false" customHeight="false" outlineLevel="0" collapsed="false">
      <c r="A551" s="2" t="s">
        <v>1397</v>
      </c>
      <c r="B551" s="2" t="s">
        <v>1398</v>
      </c>
      <c r="C551" s="15" t="n">
        <v>0.2</v>
      </c>
      <c r="D551" s="15" t="n">
        <v>0.238</v>
      </c>
      <c r="E551" s="15" t="n">
        <v>0.28</v>
      </c>
      <c r="F551" s="2" t="s">
        <v>1394</v>
      </c>
      <c r="G551" s="11" t="s">
        <v>41</v>
      </c>
      <c r="H551" s="2" t="s">
        <v>1399</v>
      </c>
      <c r="I551" s="8" t="s">
        <v>1400</v>
      </c>
      <c r="J551" s="2" t="s">
        <v>1363</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1401</v>
      </c>
    </row>
    <row r="2" customFormat="false" ht="54" hidden="false" customHeight="true" outlineLevel="0" collapsed="false">
      <c r="A2" s="3" t="s">
        <v>1402</v>
      </c>
      <c r="B2" s="3"/>
      <c r="C2" s="3"/>
      <c r="D2" s="3"/>
      <c r="E2" s="3"/>
      <c r="F2" s="3"/>
      <c r="G2" s="3"/>
      <c r="H2" s="3"/>
      <c r="I2" s="3"/>
      <c r="J2" s="3"/>
      <c r="K2" s="3"/>
      <c r="L2" s="3"/>
      <c r="M2" s="3"/>
    </row>
    <row r="4" customFormat="false" ht="23.85" hidden="false" customHeight="false" outlineLevel="0" collapsed="false">
      <c r="A4" s="4" t="s">
        <v>1403</v>
      </c>
      <c r="B4" s="4" t="s">
        <v>12</v>
      </c>
      <c r="C4" s="4" t="s">
        <v>1404</v>
      </c>
      <c r="D4" s="4" t="s">
        <v>1405</v>
      </c>
      <c r="E4" s="4" t="s">
        <v>1406</v>
      </c>
      <c r="F4" s="4" t="s">
        <v>1407</v>
      </c>
      <c r="G4" s="4" t="s">
        <v>1408</v>
      </c>
      <c r="H4" s="4" t="s">
        <v>1409</v>
      </c>
      <c r="I4" s="4" t="s">
        <v>1410</v>
      </c>
      <c r="J4" s="4" t="s">
        <v>1411</v>
      </c>
      <c r="K4" s="4" t="s">
        <v>1412</v>
      </c>
      <c r="L4" s="4" t="s">
        <v>1413</v>
      </c>
      <c r="M4" s="4" t="s">
        <v>1414</v>
      </c>
    </row>
    <row r="5" customFormat="false" ht="15" hidden="false" customHeight="false" outlineLevel="0" collapsed="false">
      <c r="A5" s="2" t="s">
        <v>1415</v>
      </c>
      <c r="B5" s="2" t="s">
        <v>1416</v>
      </c>
      <c r="C5" s="2" t="s">
        <v>1417</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1418</v>
      </c>
      <c r="B6" s="2" t="s">
        <v>1419</v>
      </c>
      <c r="C6" s="2" t="s">
        <v>1420</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1421</v>
      </c>
      <c r="B7" s="2" t="s">
        <v>1422</v>
      </c>
      <c r="C7" s="2" t="s">
        <v>1420</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1423</v>
      </c>
      <c r="B8" s="2" t="s">
        <v>1424</v>
      </c>
      <c r="C8" s="2" t="s">
        <v>1420</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1425</v>
      </c>
      <c r="B9" s="2" t="s">
        <v>1426</v>
      </c>
      <c r="C9" s="2" t="s">
        <v>1420</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1427</v>
      </c>
      <c r="B10" s="2" t="s">
        <v>1428</v>
      </c>
      <c r="C10" s="2" t="s">
        <v>1429</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1430</v>
      </c>
      <c r="B11" s="2" t="s">
        <v>1431</v>
      </c>
      <c r="C11" s="2" t="s">
        <v>1429</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1432</v>
      </c>
      <c r="B12" s="2" t="s">
        <v>1433</v>
      </c>
      <c r="C12" s="2" t="s">
        <v>1429</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1434</v>
      </c>
      <c r="B13" s="2" t="s">
        <v>1435</v>
      </c>
      <c r="C13" s="2" t="s">
        <v>1429</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453536</v>
      </c>
      <c r="L13" s="17" t="n">
        <f aca="false">S3_etp_jardin*cout_jardinier</f>
        <v>520496</v>
      </c>
      <c r="M13" s="17" t="n">
        <f aca="false">S3_etp_jardin*cout_jardinier_def</f>
        <v>585056</v>
      </c>
    </row>
    <row r="14" customFormat="false" ht="15" hidden="false" customHeight="false" outlineLevel="0" collapsed="false">
      <c r="A14" s="2" t="s">
        <v>1436</v>
      </c>
      <c r="B14" s="2" t="s">
        <v>1437</v>
      </c>
      <c r="C14" s="2" t="s">
        <v>1429</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1438</v>
      </c>
      <c r="B15" s="2" t="s">
        <v>1439</v>
      </c>
      <c r="C15" s="2" t="s">
        <v>1429</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1440</v>
      </c>
      <c r="B16" s="2" t="s">
        <v>1441</v>
      </c>
      <c r="C16" s="2" t="s">
        <v>1429</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1442</v>
      </c>
      <c r="B17" s="2" t="s">
        <v>1443</v>
      </c>
      <c r="C17" s="2" t="s">
        <v>1429</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1444</v>
      </c>
      <c r="B18" s="2" t="s">
        <v>1445</v>
      </c>
      <c r="C18" s="2" t="s">
        <v>1429</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1446</v>
      </c>
      <c r="B19" s="2" t="s">
        <v>1447</v>
      </c>
      <c r="C19" s="2" t="s">
        <v>1429</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1448</v>
      </c>
      <c r="B20" s="2" t="s">
        <v>1449</v>
      </c>
      <c r="C20" s="2" t="s">
        <v>1450</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1451</v>
      </c>
      <c r="B21" s="2" t="s">
        <v>1452</v>
      </c>
      <c r="C21" s="2" t="s">
        <v>1450</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1453</v>
      </c>
      <c r="B22" s="2" t="s">
        <v>1454</v>
      </c>
      <c r="C22" s="2" t="s">
        <v>1450</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1455</v>
      </c>
      <c r="B23" s="2" t="s">
        <v>1456</v>
      </c>
      <c r="C23" s="2" t="s">
        <v>1450</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1457</v>
      </c>
      <c r="B24" s="2" t="s">
        <v>1458</v>
      </c>
      <c r="C24" s="2" t="s">
        <v>1450</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1459</v>
      </c>
      <c r="B25" s="2" t="s">
        <v>1460</v>
      </c>
      <c r="C25" s="2" t="s">
        <v>1461</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1462</v>
      </c>
      <c r="B26" s="2" t="s">
        <v>1463</v>
      </c>
      <c r="C26" s="2" t="s">
        <v>1461</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599</v>
      </c>
      <c r="B27" s="2" t="s">
        <v>1464</v>
      </c>
      <c r="C27" s="2" t="s">
        <v>1465</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1466</v>
      </c>
      <c r="B28" s="2" t="s">
        <v>1467</v>
      </c>
      <c r="C28" s="2" t="s">
        <v>1465</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1468</v>
      </c>
      <c r="B29" s="2" t="s">
        <v>1469</v>
      </c>
      <c r="C29" s="2" t="s">
        <v>1470</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1471</v>
      </c>
      <c r="B30" s="2" t="s">
        <v>1472</v>
      </c>
      <c r="C30" s="2" t="s">
        <v>1470</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1473</v>
      </c>
      <c r="B31" s="2" t="s">
        <v>1474</v>
      </c>
      <c r="C31" s="2" t="s">
        <v>1470</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1475</v>
      </c>
      <c r="B32" s="2" t="s">
        <v>1476</v>
      </c>
      <c r="C32" s="2" t="s">
        <v>1470</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1477</v>
      </c>
      <c r="B33" s="2" t="s">
        <v>1478</v>
      </c>
      <c r="C33" s="2" t="s">
        <v>1479</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1480</v>
      </c>
      <c r="B34" s="2" t="s">
        <v>1481</v>
      </c>
      <c r="C34" s="2" t="s">
        <v>1479</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1482</v>
      </c>
      <c r="B35" s="2" t="s">
        <v>1483</v>
      </c>
      <c r="C35" s="2" t="s">
        <v>1484</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1485</v>
      </c>
      <c r="B36" s="2" t="s">
        <v>1486</v>
      </c>
      <c r="C36" s="2" t="s">
        <v>1484</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1487</v>
      </c>
      <c r="B37" s="2" t="s">
        <v>1488</v>
      </c>
      <c r="C37" s="2" t="s">
        <v>1484</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1489</v>
      </c>
      <c r="B38" s="2" t="s">
        <v>1490</v>
      </c>
      <c r="C38" s="2" t="s">
        <v>1491</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1492</v>
      </c>
      <c r="B39" s="2" t="s">
        <v>1493</v>
      </c>
      <c r="C39" s="2" t="s">
        <v>1491</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1494</v>
      </c>
      <c r="B40" s="2" t="s">
        <v>1495</v>
      </c>
      <c r="C40" s="2" t="s">
        <v>1429</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969906.5</v>
      </c>
      <c r="L40" s="17" t="n">
        <f aca="false">L10+L11+L12+L13+L14+L15+L16+L17+L18+L19</f>
        <v>1110195.5</v>
      </c>
      <c r="M40" s="17" t="n">
        <f aca="false">M10+M11+M12+M13+M14+M15+M16+M17+M18+M19</f>
        <v>1252936</v>
      </c>
    </row>
    <row r="41" customFormat="false" ht="15" hidden="false" customHeight="false" outlineLevel="0" collapsed="false">
      <c r="A41" s="2" t="s">
        <v>1496</v>
      </c>
      <c r="B41" s="2" t="s">
        <v>1497</v>
      </c>
      <c r="C41" s="2" t="s">
        <v>1429</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29.5</v>
      </c>
      <c r="L41" s="17" t="n">
        <f aca="false">S3_etp_direction+S3_etp_admin+S3_etp_chef_jardinier+S3_etp_jardin+S3_etp_entretien+S3_etp_agricole+S3_etp_soigneur+S3_etp_resp_ecurie+S3_etp_gouvernance+S3_etp_maison</f>
        <v>29.5</v>
      </c>
      <c r="M41" s="17" t="n">
        <f aca="false">S3_etp_direction+S3_etp_admin+S3_etp_chef_jardinier+S3_etp_jardin+S3_etp_entretien+S3_etp_agricole+S3_etp_soigneur+S3_etp_resp_ecurie+S3_etp_gouvernance+S3_etp_maison</f>
        <v>29.5</v>
      </c>
    </row>
    <row r="42" customFormat="false" ht="15" hidden="false" customHeight="false" outlineLevel="0" collapsed="false">
      <c r="A42" s="2" t="s">
        <v>1498</v>
      </c>
      <c r="B42" s="18" t="s">
        <v>1499</v>
      </c>
      <c r="C42" s="2" t="s">
        <v>1500</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1501971.5</v>
      </c>
      <c r="L42" s="19" t="n">
        <f aca="false">L6+L9+L40+L20+L21+L22+L24+L26+L27+L29+L30+L31+L32+L33+L34+L35+L36+L37+L38+L39</f>
        <v>2136835.5</v>
      </c>
      <c r="M42" s="19" t="n">
        <f aca="false">M6+M9+M40+M20+M21+M22+M24+M26+M27+M29+M30+M31+M32+M33+M34+M35+M36+M37+M38+M39</f>
        <v>3208626</v>
      </c>
    </row>
    <row r="43" customFormat="false" ht="15" hidden="false" customHeight="false" outlineLevel="0" collapsed="false">
      <c r="A43" s="2" t="s">
        <v>1501</v>
      </c>
      <c r="B43" s="18" t="s">
        <v>1502</v>
      </c>
      <c r="C43" s="2" t="s">
        <v>1500</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1503</v>
      </c>
      <c r="B44" s="2" t="s">
        <v>1504</v>
      </c>
      <c r="C44" s="2" t="s">
        <v>1505</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30039.43</v>
      </c>
      <c r="L44" s="17" t="n">
        <f aca="false">L42*taux_imprevus</f>
        <v>64105.065</v>
      </c>
      <c r="M44" s="17" t="n">
        <f aca="false">M42*taux_imprevus_def</f>
        <v>160431.3</v>
      </c>
    </row>
    <row r="45" customFormat="false" ht="15" hidden="false" customHeight="false" outlineLevel="0" collapsed="false">
      <c r="A45" s="2" t="s">
        <v>1506</v>
      </c>
      <c r="B45" s="2" t="s">
        <v>1507</v>
      </c>
      <c r="C45" s="2" t="s">
        <v>1508</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41901.3347619048</v>
      </c>
      <c r="L45" s="17" t="n">
        <f aca="false">(L42+L43)*taux_invest_futurs</f>
        <v>137645.92</v>
      </c>
      <c r="M45" s="17" t="n">
        <f aca="false">(M42+M43)*taux_invest_futurs_def</f>
        <v>353557.56</v>
      </c>
    </row>
    <row r="46" customFormat="false" ht="15" hidden="false" customHeight="false" outlineLevel="0" collapsed="false">
      <c r="A46" s="2" t="s">
        <v>1509</v>
      </c>
      <c r="B46" s="18" t="s">
        <v>1510</v>
      </c>
      <c r="C46" s="2" t="s">
        <v>1500</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2167007.50285714</v>
      </c>
      <c r="L46" s="19" t="n">
        <f aca="false">L42+L43+L44+L45</f>
        <v>3642898.985</v>
      </c>
      <c r="M46" s="19" t="n">
        <f aca="false">M42+M43+M44+M45</f>
        <v>6406614.86</v>
      </c>
    </row>
    <row r="47" customFormat="false" ht="15" hidden="false" customHeight="false" outlineLevel="0" collapsed="false">
      <c r="A47" s="2" t="s">
        <v>1511</v>
      </c>
      <c r="B47" s="2" t="s">
        <v>1512</v>
      </c>
      <c r="C47" s="2" t="s">
        <v>1513</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969906.5</v>
      </c>
      <c r="L47" s="17" t="n">
        <f aca="false">L40</f>
        <v>1110195.5</v>
      </c>
      <c r="M47" s="17" t="n">
        <f aca="false">M40</f>
        <v>1252936</v>
      </c>
    </row>
    <row r="48" customFormat="false" ht="15" hidden="false" customHeight="false" outlineLevel="0" collapsed="false">
      <c r="A48" s="2" t="s">
        <v>1514</v>
      </c>
      <c r="B48" s="2" t="s">
        <v>1515</v>
      </c>
      <c r="C48" s="2" t="s">
        <v>1513</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1516</v>
      </c>
      <c r="B49" s="2" t="s">
        <v>1517</v>
      </c>
      <c r="C49" s="2" t="s">
        <v>1513</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0.447578745676332</v>
      </c>
      <c r="L49" s="20" t="n">
        <f aca="false">L47/L46</f>
        <v>0.304756048567732</v>
      </c>
      <c r="M49" s="20" t="n">
        <f aca="false">M47/M46</f>
        <v>0.195569115262846</v>
      </c>
    </row>
    <row r="50" customFormat="false" ht="15" hidden="false" customHeight="false" outlineLevel="0" collapsed="false">
      <c r="A50" s="2" t="s">
        <v>1518</v>
      </c>
      <c r="B50" s="2" t="s">
        <v>1519</v>
      </c>
      <c r="C50" s="2" t="s">
        <v>1513</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0.338715947698492</v>
      </c>
      <c r="L50" s="20" t="n">
        <f aca="false">L48/L46</f>
        <v>0.470796062987731</v>
      </c>
      <c r="M50" s="20" t="n">
        <f aca="false">M48/M46</f>
        <v>0.564416634840447</v>
      </c>
    </row>
    <row r="51" customFormat="false" ht="15" hidden="false" customHeight="false" outlineLevel="0" collapsed="false">
      <c r="A51" s="2" t="s">
        <v>1520</v>
      </c>
      <c r="B51" s="2" t="s">
        <v>1521</v>
      </c>
      <c r="C51" s="2" t="s">
        <v>1513</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2047605.52365079</v>
      </c>
      <c r="L51" s="17" t="n">
        <f aca="false">L46-(L6+L7+L8+L32+L45)*0.1/1.1-(L9+L20+L21+L22+L23+L24+L25+L26+L27+L28+L29+L30+L31+L38+L39)*0.2/1.2</f>
        <v>3399473.21954545</v>
      </c>
      <c r="M51" s="17" t="n">
        <f aca="false">M46-(M6+M7+M8+M32+M45)*0.1/1.1-(M9+M20+M21+M22+M23+M24+M25+M26+M27+M28+M29+M30+M31+M38+M39)*0.2/1.2</f>
        <v>5932283.86969697</v>
      </c>
    </row>
    <row r="52" customFormat="false" ht="15" hidden="false" customHeight="false" outlineLevel="0" collapsed="false">
      <c r="A52" s="2" t="s">
        <v>1522</v>
      </c>
      <c r="B52" s="2" t="s">
        <v>1523</v>
      </c>
      <c r="C52" s="2" t="s">
        <v>1513</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254.942059159664</v>
      </c>
      <c r="L52" s="17" t="n">
        <f aca="false">L46/(S3_surf_chateau+S3_surf_dep)</f>
        <v>428.576351176471</v>
      </c>
      <c r="M52" s="17" t="n">
        <f aca="false">M46/(S3_surf_chateau+S3_surf_dep)</f>
        <v>753.719395294118</v>
      </c>
    </row>
    <row r="53" customFormat="false" ht="15" hidden="false" customHeight="false" outlineLevel="0" collapsed="false">
      <c r="A53" s="2" t="s">
        <v>1524</v>
      </c>
      <c r="B53" s="2" t="s">
        <v>1525</v>
      </c>
      <c r="C53" s="2" t="s">
        <v>1513</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0.071049426323185</v>
      </c>
      <c r="L53" s="20" t="n">
        <f aca="false">L46/L5</f>
        <v>0.080063713956044</v>
      </c>
      <c r="M53" s="20" t="n">
        <f aca="false">M46/M5</f>
        <v>0.0928494907246377</v>
      </c>
    </row>
    <row r="54" customFormat="false" ht="15" hidden="false" customHeight="false" outlineLevel="0" collapsed="false">
      <c r="A54" s="2" t="s">
        <v>1526</v>
      </c>
      <c r="B54" s="2" t="s">
        <v>1527</v>
      </c>
      <c r="C54" s="2" t="s">
        <v>1006</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1528</v>
      </c>
      <c r="B55" s="18" t="s">
        <v>1529</v>
      </c>
      <c r="C55" s="2" t="s">
        <v>1006</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2440040.66220684</v>
      </c>
      <c r="L55" s="19" t="n">
        <f aca="false">L46+L54</f>
        <v>4114710.73034042</v>
      </c>
      <c r="M55" s="19" t="n">
        <f aca="false">M46+M54</f>
        <v>7123919.16275464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1530</v>
      </c>
    </row>
    <row r="2" customFormat="false" ht="54" hidden="false" customHeight="true" outlineLevel="0" collapsed="false">
      <c r="A2" s="3" t="s">
        <v>1531</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1532</v>
      </c>
      <c r="B5" s="2" t="s">
        <v>1533</v>
      </c>
      <c r="C5" s="2" t="s">
        <v>1534</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1535</v>
      </c>
      <c r="B6" s="2" t="s">
        <v>1536</v>
      </c>
      <c r="C6" s="2" t="s">
        <v>1534</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1537</v>
      </c>
      <c r="B7" s="2" t="s">
        <v>1538</v>
      </c>
      <c r="C7" s="2" t="s">
        <v>1534</v>
      </c>
      <c r="D7" s="16" t="n">
        <v>0</v>
      </c>
      <c r="E7" s="17" t="n">
        <f aca="false">E5-E6</f>
        <v>23574</v>
      </c>
      <c r="F7" s="17" t="n">
        <f aca="false">F5-F6</f>
        <v>-703.5</v>
      </c>
      <c r="G7" s="17" t="n">
        <f aca="false">G5-G6</f>
        <v>-40320</v>
      </c>
    </row>
    <row r="8" customFormat="false" ht="15" hidden="false" customHeight="false" outlineLevel="0" collapsed="false">
      <c r="A8" s="2" t="s">
        <v>1539</v>
      </c>
      <c r="B8" s="2" t="s">
        <v>1540</v>
      </c>
      <c r="C8" s="2" t="s">
        <v>1541</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1542</v>
      </c>
      <c r="B9" s="2" t="s">
        <v>1543</v>
      </c>
      <c r="C9" s="2" t="s">
        <v>1541</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1544</v>
      </c>
      <c r="B10" s="2" t="s">
        <v>1545</v>
      </c>
      <c r="C10" s="2" t="s">
        <v>1541</v>
      </c>
      <c r="D10" s="16" t="n">
        <v>0</v>
      </c>
      <c r="E10" s="17" t="n">
        <f aca="false">E8-E9</f>
        <v>101901.6</v>
      </c>
      <c r="F10" s="17" t="n">
        <f aca="false">F8-F9</f>
        <v>20781</v>
      </c>
      <c r="G10" s="17" t="n">
        <f aca="false">G8-G9</f>
        <v>-98100</v>
      </c>
    </row>
    <row r="11" customFormat="false" ht="15" hidden="false" customHeight="false" outlineLevel="0" collapsed="false">
      <c r="A11" s="2" t="s">
        <v>1546</v>
      </c>
      <c r="B11" s="2" t="s">
        <v>1547</v>
      </c>
      <c r="C11" s="2" t="s">
        <v>1548</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1549</v>
      </c>
      <c r="B12" s="2" t="s">
        <v>1550</v>
      </c>
      <c r="C12" s="2" t="s">
        <v>1548</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1551</v>
      </c>
      <c r="B13" s="2" t="s">
        <v>1552</v>
      </c>
      <c r="C13" s="2" t="s">
        <v>1553</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1554</v>
      </c>
      <c r="B14" s="2" t="s">
        <v>1555</v>
      </c>
      <c r="C14" s="2" t="s">
        <v>1553</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1556</v>
      </c>
      <c r="B15" s="2" t="s">
        <v>1557</v>
      </c>
      <c r="C15" s="2" t="s">
        <v>1558</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1559</v>
      </c>
      <c r="B16" s="2" t="s">
        <v>1560</v>
      </c>
      <c r="C16" s="2" t="s">
        <v>1561</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1562</v>
      </c>
      <c r="B17" s="2" t="s">
        <v>1563</v>
      </c>
      <c r="C17" s="2" t="s">
        <v>1561</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1564</v>
      </c>
      <c r="B18" s="2" t="s">
        <v>1565</v>
      </c>
      <c r="C18" s="2" t="s">
        <v>1561</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1566</v>
      </c>
      <c r="B19" s="2" t="s">
        <v>1567</v>
      </c>
      <c r="C19" s="2" t="s">
        <v>1561</v>
      </c>
      <c r="D19" s="16" t="n">
        <v>0</v>
      </c>
      <c r="E19" s="17" t="n">
        <f aca="false">E16-E17-E18</f>
        <v>78000</v>
      </c>
      <c r="F19" s="17" t="n">
        <f aca="false">F16-F17-F18</f>
        <v>5500</v>
      </c>
      <c r="G19" s="17" t="n">
        <f aca="false">G16-G17-G18</f>
        <v>-46375</v>
      </c>
    </row>
    <row r="20" customFormat="false" ht="15" hidden="false" customHeight="false" outlineLevel="0" collapsed="false">
      <c r="A20" s="2" t="s">
        <v>1568</v>
      </c>
      <c r="B20" s="2" t="s">
        <v>1569</v>
      </c>
      <c r="C20" s="2" t="s">
        <v>1561</v>
      </c>
      <c r="D20" s="16" t="n">
        <v>0</v>
      </c>
      <c r="E20" s="17" t="n">
        <f aca="false">evt_capex_fav</f>
        <v>250000</v>
      </c>
      <c r="F20" s="17" t="n">
        <f aca="false">evt_capex</f>
        <v>400000</v>
      </c>
      <c r="G20" s="17" t="n">
        <f aca="false">evt_capex_def</f>
        <v>600000</v>
      </c>
    </row>
    <row r="21" customFormat="false" ht="15" hidden="false" customHeight="false" outlineLevel="0" collapsed="false">
      <c r="A21" s="2" t="s">
        <v>1570</v>
      </c>
      <c r="B21" s="2" t="s">
        <v>1571</v>
      </c>
      <c r="C21" s="2" t="s">
        <v>1572</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1573</v>
      </c>
      <c r="B22" s="2" t="s">
        <v>1574</v>
      </c>
      <c r="C22" s="2" t="s">
        <v>1575</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1576</v>
      </c>
      <c r="B23" s="2" t="s">
        <v>1577</v>
      </c>
      <c r="C23" s="2" t="s">
        <v>1575</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1578</v>
      </c>
      <c r="B24" s="2" t="s">
        <v>1579</v>
      </c>
      <c r="C24" s="2" t="s">
        <v>1580</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1581</v>
      </c>
      <c r="B25" s="2" t="s">
        <v>1582</v>
      </c>
      <c r="C25" s="2" t="s">
        <v>1580</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1583</v>
      </c>
      <c r="B26" s="2" t="s">
        <v>1584</v>
      </c>
      <c r="C26" s="2" t="s">
        <v>1580</v>
      </c>
      <c r="D26" s="16" t="n">
        <v>0</v>
      </c>
      <c r="E26" s="17" t="n">
        <f aca="false">gite_capex_fav</f>
        <v>0</v>
      </c>
      <c r="F26" s="17" t="n">
        <f aca="false">gite_capex</f>
        <v>600000</v>
      </c>
      <c r="G26" s="17" t="n">
        <f aca="false">gite_capex_def</f>
        <v>800000</v>
      </c>
    </row>
    <row r="27" customFormat="false" ht="15" hidden="false" customHeight="false" outlineLevel="0" collapsed="false">
      <c r="A27" s="2" t="s">
        <v>1585</v>
      </c>
      <c r="B27" s="2" t="s">
        <v>1586</v>
      </c>
      <c r="C27" s="2" t="s">
        <v>1587</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1588</v>
      </c>
      <c r="B28" s="2" t="s">
        <v>1589</v>
      </c>
      <c r="C28" s="2" t="s">
        <v>1587</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1590</v>
      </c>
      <c r="B29" s="2" t="s">
        <v>1591</v>
      </c>
      <c r="C29" s="2" t="s">
        <v>1587</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1592</v>
      </c>
      <c r="B30" s="2" t="s">
        <v>1593</v>
      </c>
      <c r="C30" s="2" t="s">
        <v>1587</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1594</v>
      </c>
      <c r="B31" s="2" t="s">
        <v>1595</v>
      </c>
      <c r="C31" s="2" t="s">
        <v>1596</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1597</v>
      </c>
      <c r="B32" s="2" t="s">
        <v>1598</v>
      </c>
      <c r="C32" s="2" t="s">
        <v>1599</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1600</v>
      </c>
      <c r="B33" s="2" t="s">
        <v>1601</v>
      </c>
      <c r="C33" s="2" t="s">
        <v>1602</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1603</v>
      </c>
      <c r="B34" s="2" t="s">
        <v>1604</v>
      </c>
      <c r="C34" s="2" t="s">
        <v>1605</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1606</v>
      </c>
      <c r="B35" s="2" t="s">
        <v>1607</v>
      </c>
      <c r="C35" s="2" t="s">
        <v>1608</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1609</v>
      </c>
      <c r="B36" s="2" t="s">
        <v>1610</v>
      </c>
      <c r="C36" s="2" t="s">
        <v>1608</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1611</v>
      </c>
      <c r="B37" s="2" t="s">
        <v>1612</v>
      </c>
      <c r="C37" s="2" t="s">
        <v>1608</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1613</v>
      </c>
      <c r="B38" s="2" t="s">
        <v>1614</v>
      </c>
      <c r="C38" s="2" t="s">
        <v>1608</v>
      </c>
      <c r="D38" s="16" t="n">
        <v>0</v>
      </c>
      <c r="E38" s="17" t="n">
        <f aca="false">E35-E36-E37</f>
        <v>622842</v>
      </c>
      <c r="F38" s="17" t="n">
        <f aca="false">F35-F36-F37</f>
        <v>-387780</v>
      </c>
      <c r="G38" s="17" t="n">
        <f aca="false">G35-G36-G37</f>
        <v>-1095402</v>
      </c>
    </row>
    <row r="39" customFormat="false" ht="15" hidden="false" customHeight="false" outlineLevel="0" collapsed="false">
      <c r="A39" s="2" t="s">
        <v>1615</v>
      </c>
      <c r="B39" s="2" t="s">
        <v>1616</v>
      </c>
      <c r="C39" s="2" t="s">
        <v>1608</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1617</v>
      </c>
      <c r="B40" s="2" t="s">
        <v>1618</v>
      </c>
      <c r="C40" s="2" t="s">
        <v>1619</v>
      </c>
      <c r="D40" s="16" t="n">
        <v>0</v>
      </c>
      <c r="E40" s="17" t="n">
        <f aca="false">anc_chambres_fav*anc_ca_chambre_fav*anc_taux_loyer_fav</f>
        <v>521280</v>
      </c>
      <c r="F40" s="17" t="n">
        <f aca="false">anc_chambres*anc_ca_chambre*anc_taux_loyer</f>
        <v>350000</v>
      </c>
      <c r="G40" s="17" t="n">
        <f aca="false">anc_chambres_def*anc_ca_chambre_def*anc_taux_loyer_def</f>
        <v>0</v>
      </c>
    </row>
    <row r="41" customFormat="false" ht="15" hidden="false" customHeight="false" outlineLevel="0" collapsed="false">
      <c r="A41" s="2" t="s">
        <v>1620</v>
      </c>
      <c r="B41" s="2" t="s">
        <v>1621</v>
      </c>
      <c r="C41" s="2" t="s">
        <v>1619</v>
      </c>
      <c r="D41" s="16" t="n">
        <v>0</v>
      </c>
      <c r="E41" s="17" t="n">
        <f aca="false">anc_part_transferee_fav*(bud_chauffage_S2_fav+bud_hors_gel_S2_fav+bud_electricite_S2_fav+bud_bati_courant_S2_fav)</f>
        <v>25520</v>
      </c>
      <c r="F41" s="17" t="n">
        <f aca="false">anc_part_transferee*(bud_chauffage_S2+bud_hors_gel_S2+bud_electricite_S2+bud_bati_courant_S2)</f>
        <v>35491.875</v>
      </c>
      <c r="G41" s="17" t="n">
        <f aca="false">anc_part_transferee_def*(bud_chauffage_S2_def+bud_hors_gel_S2_def+bud_electricite_S2_def+bud_bati_courant_S2_def)</f>
        <v>0</v>
      </c>
    </row>
    <row r="42" customFormat="false" ht="15" hidden="false" customHeight="false" outlineLevel="0" collapsed="false">
      <c r="A42" s="2" t="s">
        <v>1622</v>
      </c>
      <c r="B42" s="2" t="s">
        <v>1623</v>
      </c>
      <c r="C42" s="2" t="s">
        <v>1619</v>
      </c>
      <c r="D42" s="16" t="n">
        <v>0</v>
      </c>
      <c r="E42" s="17" t="n">
        <f aca="false">E40*(1-anc_frais_bailleur_fav)+E41</f>
        <v>520736</v>
      </c>
      <c r="F42" s="17" t="n">
        <f aca="false">F40*(1-anc_frais_bailleur)+F41</f>
        <v>350491.875</v>
      </c>
      <c r="G42" s="17" t="n">
        <f aca="false">G40*(1-anc_frais_bailleur_def)+G41</f>
        <v>0</v>
      </c>
    </row>
    <row r="43" customFormat="false" ht="15" hidden="false" customHeight="false" outlineLevel="0" collapsed="false">
      <c r="A43" s="2" t="s">
        <v>1624</v>
      </c>
      <c r="B43" s="2" t="s">
        <v>1625</v>
      </c>
      <c r="C43" s="2" t="s">
        <v>1626</v>
      </c>
      <c r="D43" s="16" t="n">
        <v>0</v>
      </c>
      <c r="E43" s="17" t="n">
        <f aca="false">lux_semaines_fav*lux_prix_semaine_fav</f>
        <v>270000</v>
      </c>
      <c r="F43" s="17" t="n">
        <f aca="false">lux_semaines*lux_prix_semaine</f>
        <v>90000</v>
      </c>
      <c r="G43" s="17" t="n">
        <f aca="false">lux_semaines_def*lux_prix_semaine_def</f>
        <v>40000</v>
      </c>
    </row>
    <row r="44" customFormat="false" ht="15" hidden="false" customHeight="false" outlineLevel="0" collapsed="false">
      <c r="A44" s="2" t="s">
        <v>1627</v>
      </c>
      <c r="B44" s="2" t="s">
        <v>1628</v>
      </c>
      <c r="C44" s="2" t="s">
        <v>1626</v>
      </c>
      <c r="D44" s="16" t="n">
        <v>0</v>
      </c>
      <c r="E44" s="17" t="n">
        <f aca="false">E43*(1-lux_commission_fav-lux_var_fav)-lux_fixe_fav-lux_capex_fav*taux_renouv_capex_fav</f>
        <v>182000</v>
      </c>
      <c r="F44" s="17" t="n">
        <f aca="false">F43*(1-lux_commission-lux_var)-lux_fixe-lux_capex*taux_renouv_capex</f>
        <v>39200</v>
      </c>
      <c r="G44" s="17" t="n">
        <f aca="false">G43*(1-lux_commission_def-lux_var_def)-lux_fixe_def-lux_capex_def*taux_renouv_capex_def</f>
        <v>-17800</v>
      </c>
    </row>
    <row r="45" customFormat="false" ht="15" hidden="false" customHeight="false" outlineLevel="0" collapsed="false">
      <c r="A45" s="2" t="s">
        <v>1629</v>
      </c>
      <c r="B45" s="2" t="s">
        <v>1630</v>
      </c>
      <c r="C45" s="2" t="s">
        <v>1631</v>
      </c>
      <c r="D45" s="16" t="n">
        <v>0</v>
      </c>
      <c r="E45" s="17" t="n">
        <f aca="false">1000000*dot_taux_net_fav</f>
        <v>30000</v>
      </c>
      <c r="F45" s="17" t="n">
        <f aca="false">1000000*dot_taux_net</f>
        <v>27500</v>
      </c>
      <c r="G45" s="17" t="n">
        <f aca="false">1000000*dot_taux_net_def</f>
        <v>25000</v>
      </c>
    </row>
    <row r="46" customFormat="false" ht="15" hidden="false" customHeight="false" outlineLevel="0" collapsed="false">
      <c r="A46" s="2" t="s">
        <v>1632</v>
      </c>
      <c r="B46" s="2" t="s">
        <v>1633</v>
      </c>
      <c r="C46" s="2" t="s">
        <v>1634</v>
      </c>
      <c r="D46" s="16" t="n">
        <v>0</v>
      </c>
      <c r="E46" s="17" t="n">
        <f aca="false">1000000*ent_conversion_fav</f>
        <v>450000</v>
      </c>
      <c r="F46" s="17" t="n">
        <f aca="false">1000000*ent_conversion</f>
        <v>396000</v>
      </c>
      <c r="G46"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1635</v>
      </c>
    </row>
    <row r="2" customFormat="false" ht="54" hidden="false" customHeight="true" outlineLevel="0" collapsed="false">
      <c r="A2" s="3" t="s">
        <v>1636</v>
      </c>
      <c r="B2" s="3"/>
      <c r="C2" s="3"/>
      <c r="D2" s="3"/>
      <c r="E2" s="3"/>
      <c r="F2" s="3"/>
      <c r="G2" s="3"/>
    </row>
    <row r="4" customFormat="false" ht="23.85" hidden="false" customHeight="false" outlineLevel="0" collapsed="false">
      <c r="A4" s="4" t="s">
        <v>1403</v>
      </c>
      <c r="B4" s="4" t="s">
        <v>12</v>
      </c>
      <c r="C4" s="4" t="s">
        <v>1404</v>
      </c>
      <c r="D4" s="4" t="s">
        <v>1405</v>
      </c>
      <c r="E4" s="4" t="s">
        <v>13</v>
      </c>
      <c r="F4" s="4" t="s">
        <v>14</v>
      </c>
      <c r="G4" s="4" t="s">
        <v>15</v>
      </c>
    </row>
    <row r="5" customFormat="false" ht="15" hidden="false" customHeight="false" outlineLevel="0" collapsed="false">
      <c r="A5" s="2" t="s">
        <v>1637</v>
      </c>
      <c r="B5" s="2" t="s">
        <v>1638</v>
      </c>
      <c r="C5" s="2" t="s">
        <v>1639</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cfg_M1_ANC_fav*mot_anc_cn_fav+cfg_M1_LUX_fav*mot_lux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cfg_M1_ANC*mot_anc_cn+cfg_M1_LUX*mot_lux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cfg_M1_ANC_def*mot_anc_cn_def+cfg_M1_LUX_def*mot_lux_cn_def</f>
        <v>-30739.25</v>
      </c>
    </row>
    <row r="6" customFormat="false" ht="15" hidden="false" customHeight="false" outlineLevel="0" collapsed="false">
      <c r="A6" s="2" t="s">
        <v>1640</v>
      </c>
      <c r="B6" s="2" t="s">
        <v>1641</v>
      </c>
      <c r="C6" s="2" t="s">
        <v>1639</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1642</v>
      </c>
      <c r="B7" s="2" t="s">
        <v>1643</v>
      </c>
      <c r="C7" s="2" t="s">
        <v>1639</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1644</v>
      </c>
      <c r="B8" s="2" t="s">
        <v>1645</v>
      </c>
      <c r="C8" s="2" t="s">
        <v>1639</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1646</v>
      </c>
      <c r="B9" s="2" t="s">
        <v>1647</v>
      </c>
      <c r="C9" s="2" t="s">
        <v>1639</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1648</v>
      </c>
      <c r="B10" s="2" t="s">
        <v>1649</v>
      </c>
      <c r="C10" s="2" t="s">
        <v>1639</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1650</v>
      </c>
      <c r="B11" s="2" t="s">
        <v>1651</v>
      </c>
      <c r="C11" s="2" t="s">
        <v>1639</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1652</v>
      </c>
      <c r="B12" s="2" t="s">
        <v>1653</v>
      </c>
      <c r="C12" s="2" t="s">
        <v>1639</v>
      </c>
      <c r="D12" s="16" t="n">
        <v>0</v>
      </c>
      <c r="E12" s="17" t="n">
        <f aca="false">cfg_M1_EVT_fav*mot_evt_inv_fav+cfg_M1_GITE_fav*mot_gite_inv_fav+cfg_M1_LOG_fav*mot_log_inv_fav+cfg_M1_STOCK_fav*stock_capex_fav+cfg_M1_AUTO_fav*auto_capex_fav+cfg_M1_HOTEL_fav*mot_hot_inv_fav+cfg_M1_LUX_fav*lux_capex_fav</f>
        <v>1300000</v>
      </c>
      <c r="F12" s="17" t="n">
        <f aca="false">cfg_M1_EVT*mot_evt_inv+cfg_M1_GITE*mot_gite_inv+cfg_M1_LOG*mot_log_inv+cfg_M1_STOCK*stock_capex+cfg_M1_AUTO*auto_capex+cfg_M1_HOTEL*mot_hot_inv+cfg_M1_LUX*lux_capex</f>
        <v>1100000</v>
      </c>
      <c r="G12" s="17" t="n">
        <f aca="false">cfg_M1_EVT_def*mot_evt_inv_def+cfg_M1_GITE_def*mot_gite_inv_def+cfg_M1_LOG_def*mot_log_inv_def+cfg_M1_STOCK_def*stock_capex_def+cfg_M1_AUTO_def*auto_capex_def+cfg_M1_HOTEL_def*mot_hot_inv_def+cfg_M1_LUX_def*lux_capex_def</f>
        <v>900000</v>
      </c>
    </row>
    <row r="13" customFormat="false" ht="15" hidden="false" customHeight="false" outlineLevel="0" collapsed="false">
      <c r="A13" s="2" t="s">
        <v>1654</v>
      </c>
      <c r="B13" s="2" t="s">
        <v>1655</v>
      </c>
      <c r="C13" s="2" t="s">
        <v>1639</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cfg_M1_ANC_fav*mot_anc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cfg_M1_ANC*mot_anc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cfg_M1_ANC_def*mot_anc_cn_def)/G5,0)</f>
        <v>0</v>
      </c>
    </row>
    <row r="14" customFormat="false" ht="15" hidden="false" customHeight="false" outlineLevel="0" collapsed="false">
      <c r="A14" s="2" t="s">
        <v>1656</v>
      </c>
      <c r="B14" s="2" t="s">
        <v>1657</v>
      </c>
      <c r="C14" s="2" t="s">
        <v>1658</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cfg_M2_ANC_fav*mot_anc_cn_fav+cfg_M2_LUX_fav*mot_lux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cfg_M2_ANC*mot_anc_cn+cfg_M2_LUX*mot_lux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cfg_M2_ANC_def*mot_anc_cn_def+cfg_M2_LUX_def*mot_lux_cn_def</f>
        <v>-89739.25</v>
      </c>
    </row>
    <row r="15" customFormat="false" ht="15" hidden="false" customHeight="false" outlineLevel="0" collapsed="false">
      <c r="A15" s="2" t="s">
        <v>1659</v>
      </c>
      <c r="B15" s="2" t="s">
        <v>1660</v>
      </c>
      <c r="C15" s="2" t="s">
        <v>1658</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1661</v>
      </c>
      <c r="B16" s="2" t="s">
        <v>1662</v>
      </c>
      <c r="C16" s="2" t="s">
        <v>1658</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1663</v>
      </c>
      <c r="B17" s="2" t="s">
        <v>1664</v>
      </c>
      <c r="C17" s="2" t="s">
        <v>1658</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1665</v>
      </c>
      <c r="B18" s="2" t="s">
        <v>1666</v>
      </c>
      <c r="C18" s="2" t="s">
        <v>1658</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1667</v>
      </c>
      <c r="B19" s="2" t="s">
        <v>1668</v>
      </c>
      <c r="C19" s="2" t="s">
        <v>1658</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1669</v>
      </c>
      <c r="B20" s="2" t="s">
        <v>1670</v>
      </c>
      <c r="C20" s="2" t="s">
        <v>1658</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1671</v>
      </c>
      <c r="B21" s="2" t="s">
        <v>1672</v>
      </c>
      <c r="C21" s="2" t="s">
        <v>1658</v>
      </c>
      <c r="D21" s="16" t="n">
        <v>0</v>
      </c>
      <c r="E21" s="17" t="n">
        <f aca="false">cfg_M2_EVT_fav*mot_evt_inv_fav+cfg_M2_GITE_fav*mot_gite_inv_fav+cfg_M2_LOG_fav*mot_log_inv_fav+cfg_M2_STOCK_fav*stock_capex_fav+cfg_M2_AUTO_fav*auto_capex_fav+cfg_M2_HOTEL_fav*mot_hot_inv_fav+cfg_M2_LUX_fav*lux_capex_fav</f>
        <v>1550000</v>
      </c>
      <c r="F21" s="17" t="n">
        <f aca="false">cfg_M2_EVT*mot_evt_inv+cfg_M2_GITE*mot_gite_inv+cfg_M2_LOG*mot_log_inv+cfg_M2_STOCK*stock_capex+cfg_M2_AUTO*auto_capex+cfg_M2_HOTEL*mot_hot_inv+cfg_M2_LUX*lux_capex</f>
        <v>2100000</v>
      </c>
      <c r="G21" s="17" t="n">
        <f aca="false">cfg_M2_EVT_def*mot_evt_inv_def+cfg_M2_GITE_def*mot_gite_inv_def+cfg_M2_LOG_def*mot_log_inv_def+cfg_M2_STOCK_def*stock_capex_def+cfg_M2_AUTO_def*auto_capex_def+cfg_M2_HOTEL_def*mot_hot_inv_def+cfg_M2_LUX_def*lux_capex_def</f>
        <v>2300000</v>
      </c>
    </row>
    <row r="22" customFormat="false" ht="15" hidden="false" customHeight="false" outlineLevel="0" collapsed="false">
      <c r="A22" s="2" t="s">
        <v>1673</v>
      </c>
      <c r="B22" s="2" t="s">
        <v>1674</v>
      </c>
      <c r="C22" s="2" t="s">
        <v>1658</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cfg_M2_ANC_fav*mot_anc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cfg_M2_ANC*mot_anc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cfg_M2_ANC_def*mot_anc_cn_def)/G14,0)</f>
        <v>0</v>
      </c>
    </row>
    <row r="23" customFormat="false" ht="15" hidden="false" customHeight="false" outlineLevel="0" collapsed="false">
      <c r="A23" s="2" t="s">
        <v>1675</v>
      </c>
      <c r="B23" s="2" t="s">
        <v>1676</v>
      </c>
      <c r="C23" s="2" t="s">
        <v>1677</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cfg_M3_ANC_fav*mot_anc_cn_fav+cfg_M3_LUX_fav*mot_lux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cfg_M3_ANC*mot_anc_cn+cfg_M3_LUX*mot_lux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cfg_M3_ANC_def*mot_anc_cn_def+cfg_M3_LUX_def*mot_lux_cn_def</f>
        <v>-102900</v>
      </c>
    </row>
    <row r="24" customFormat="false" ht="15" hidden="false" customHeight="false" outlineLevel="0" collapsed="false">
      <c r="A24" s="2" t="s">
        <v>1678</v>
      </c>
      <c r="B24" s="2" t="s">
        <v>1679</v>
      </c>
      <c r="C24" s="2" t="s">
        <v>1677</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1680</v>
      </c>
      <c r="B25" s="2" t="s">
        <v>1681</v>
      </c>
      <c r="C25" s="2" t="s">
        <v>1677</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1682</v>
      </c>
      <c r="B26" s="2" t="s">
        <v>1683</v>
      </c>
      <c r="C26" s="2" t="s">
        <v>1677</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1684</v>
      </c>
      <c r="B27" s="2" t="s">
        <v>1685</v>
      </c>
      <c r="C27" s="2" t="s">
        <v>1677</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1686</v>
      </c>
      <c r="B28" s="2" t="s">
        <v>1687</v>
      </c>
      <c r="C28" s="2" t="s">
        <v>1677</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1688</v>
      </c>
      <c r="B29" s="2" t="s">
        <v>1689</v>
      </c>
      <c r="C29" s="2" t="s">
        <v>1677</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1690</v>
      </c>
      <c r="B30" s="2" t="s">
        <v>1691</v>
      </c>
      <c r="C30" s="2" t="s">
        <v>1677</v>
      </c>
      <c r="D30" s="16" t="n">
        <v>0</v>
      </c>
      <c r="E30" s="17" t="n">
        <f aca="false">cfg_M3_EVT_fav*mot_evt_inv_fav+cfg_M3_GITE_fav*mot_gite_inv_fav+cfg_M3_LOG_fav*mot_log_inv_fav+cfg_M3_STOCK_fav*stock_capex_fav+cfg_M3_AUTO_fav*auto_capex_fav+cfg_M3_HOTEL_fav*mot_hot_inv_fav+cfg_M3_LUX_fav*lux_capex_fav</f>
        <v>0</v>
      </c>
      <c r="F30" s="17" t="n">
        <f aca="false">cfg_M3_EVT*mot_evt_inv+cfg_M3_GITE*mot_gite_inv+cfg_M3_LOG*mot_log_inv+cfg_M3_STOCK*stock_capex+cfg_M3_AUTO*auto_capex+cfg_M3_HOTEL*mot_hot_inv+cfg_M3_LUX*lux_capex</f>
        <v>0</v>
      </c>
      <c r="G30" s="17" t="n">
        <f aca="false">cfg_M3_EVT_def*mot_evt_inv_def+cfg_M3_GITE_def*mot_gite_inv_def+cfg_M3_LOG_def*mot_log_inv_def+cfg_M3_STOCK_def*stock_capex_def+cfg_M3_AUTO_def*auto_capex_def+cfg_M3_HOTEL_def*mot_hot_inv_def+cfg_M3_LUX_def*lux_capex_def</f>
        <v>0</v>
      </c>
    </row>
    <row r="31" customFormat="false" ht="15" hidden="false" customHeight="false" outlineLevel="0" collapsed="false">
      <c r="A31" s="2" t="s">
        <v>1692</v>
      </c>
      <c r="B31" s="2" t="s">
        <v>1693</v>
      </c>
      <c r="C31" s="2" t="s">
        <v>1677</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cfg_M3_ANC_fav*mot_anc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cfg_M3_ANC*mot_anc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cfg_M3_ANC_def*mot_anc_cn_def)/G23,0)</f>
        <v>0</v>
      </c>
    </row>
    <row r="32" customFormat="false" ht="15" hidden="false" customHeight="false" outlineLevel="0" collapsed="false">
      <c r="A32" s="2" t="s">
        <v>1694</v>
      </c>
      <c r="B32" s="2" t="s">
        <v>1695</v>
      </c>
      <c r="C32" s="2" t="s">
        <v>1696</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cfg_M4_ANC_fav*mot_anc_cn_fav+cfg_M4_LUX_fav*mot_lux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cfg_M4_ANC*mot_anc_cn+cfg_M4_LUX*mot_lux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cfg_M4_ANC_def*mot_anc_cn_def+cfg_M4_LUX_def*mot_lux_cn_def</f>
        <v>-1180597</v>
      </c>
    </row>
    <row r="33" customFormat="false" ht="15" hidden="false" customHeight="false" outlineLevel="0" collapsed="false">
      <c r="A33" s="2" t="s">
        <v>1697</v>
      </c>
      <c r="B33" s="2" t="s">
        <v>1698</v>
      </c>
      <c r="C33" s="2" t="s">
        <v>1696</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1699</v>
      </c>
      <c r="B34" s="2" t="s">
        <v>1700</v>
      </c>
      <c r="C34" s="2" t="s">
        <v>1696</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1701</v>
      </c>
      <c r="B35" s="2" t="s">
        <v>1702</v>
      </c>
      <c r="C35" s="2" t="s">
        <v>1696</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1703</v>
      </c>
      <c r="B36" s="2" t="s">
        <v>1704</v>
      </c>
      <c r="C36" s="2" t="s">
        <v>1696</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1705</v>
      </c>
      <c r="B37" s="2" t="s">
        <v>1706</v>
      </c>
      <c r="C37" s="2" t="s">
        <v>1696</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1707</v>
      </c>
      <c r="B38" s="2" t="s">
        <v>1708</v>
      </c>
      <c r="C38" s="2" t="s">
        <v>1696</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1709</v>
      </c>
      <c r="B39" s="2" t="s">
        <v>1710</v>
      </c>
      <c r="C39" s="2" t="s">
        <v>1696</v>
      </c>
      <c r="D39" s="16" t="n">
        <v>0</v>
      </c>
      <c r="E39" s="17" t="n">
        <f aca="false">cfg_M4_EVT_fav*mot_evt_inv_fav+cfg_M4_GITE_fav*mot_gite_inv_fav+cfg_M4_LOG_fav*mot_log_inv_fav+cfg_M4_STOCK_fav*stock_capex_fav+cfg_M4_AUTO_fav*auto_capex_fav+cfg_M4_HOTEL_fav*mot_hot_inv_fav+cfg_M4_LUX_fav*lux_capex_fav</f>
        <v>5500000</v>
      </c>
      <c r="F39" s="17" t="n">
        <f aca="false">cfg_M4_EVT*mot_evt_inv+cfg_M4_GITE*mot_gite_inv+cfg_M4_LOG*mot_log_inv+cfg_M4_STOCK*stock_capex+cfg_M4_AUTO*auto_capex+cfg_M4_HOTEL*mot_hot_inv+cfg_M4_LUX*lux_capex</f>
        <v>7900000</v>
      </c>
      <c r="G39" s="17" t="n">
        <f aca="false">cfg_M4_EVT_def*mot_evt_inv_def+cfg_M4_GITE_def*mot_gite_inv_def+cfg_M4_LOG_def*mot_log_inv_def+cfg_M4_STOCK_def*stock_capex_def+cfg_M4_AUTO_def*auto_capex_def+cfg_M4_HOTEL_def*mot_hot_inv_def+cfg_M4_LUX_def*lux_capex_def</f>
        <v>11100000</v>
      </c>
    </row>
    <row r="40" customFormat="false" ht="15" hidden="false" customHeight="false" outlineLevel="0" collapsed="false">
      <c r="A40" s="2" t="s">
        <v>1711</v>
      </c>
      <c r="B40" s="2" t="s">
        <v>1712</v>
      </c>
      <c r="C40" s="2" t="s">
        <v>1696</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cfg_M4_ANC_fav*mot_anc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cfg_M4_ANC*mot_anc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cfg_M4_ANC_def*mot_anc_cn_def)/G32,0)</f>
        <v>0</v>
      </c>
    </row>
    <row r="41" customFormat="false" ht="15" hidden="false" customHeight="false" outlineLevel="0" collapsed="false">
      <c r="A41" s="2" t="s">
        <v>1713</v>
      </c>
      <c r="B41" s="2" t="s">
        <v>1714</v>
      </c>
      <c r="C41" s="2" t="s">
        <v>1715</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cfg_M5_ANC_fav*mot_anc_cn_fav+cfg_M5_LUX_fav*mot_lux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cfg_M5_ANC*mot_anc_cn+cfg_M5_LUX*mot_lux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cfg_M5_ANC_def*mot_anc_cn_def+cfg_M5_LUX_def*mot_lux_cn_def</f>
        <v>-38820</v>
      </c>
    </row>
    <row r="42" customFormat="false" ht="15" hidden="false" customHeight="false" outlineLevel="0" collapsed="false">
      <c r="A42" s="2" t="s">
        <v>1716</v>
      </c>
      <c r="B42" s="2" t="s">
        <v>1717</v>
      </c>
      <c r="C42" s="2" t="s">
        <v>1715</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1718</v>
      </c>
      <c r="B43" s="2" t="s">
        <v>1719</v>
      </c>
      <c r="C43" s="2" t="s">
        <v>1715</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1720</v>
      </c>
      <c r="B44" s="2" t="s">
        <v>1721</v>
      </c>
      <c r="C44" s="2" t="s">
        <v>1715</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1722</v>
      </c>
      <c r="B45" s="2" t="s">
        <v>1723</v>
      </c>
      <c r="C45" s="2" t="s">
        <v>1715</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1724</v>
      </c>
      <c r="B46" s="2" t="s">
        <v>1725</v>
      </c>
      <c r="C46" s="2" t="s">
        <v>1715</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1726</v>
      </c>
      <c r="B47" s="2" t="s">
        <v>1727</v>
      </c>
      <c r="C47" s="2" t="s">
        <v>1715</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1728</v>
      </c>
      <c r="B48" s="2" t="s">
        <v>1729</v>
      </c>
      <c r="C48" s="2" t="s">
        <v>1715</v>
      </c>
      <c r="D48" s="16" t="n">
        <v>0</v>
      </c>
      <c r="E48" s="17" t="n">
        <f aca="false">cfg_M5_EVT_fav*mot_evt_inv_fav+cfg_M5_GITE_fav*mot_gite_inv_fav+cfg_M5_LOG_fav*mot_log_inv_fav+cfg_M5_STOCK_fav*stock_capex_fav+cfg_M5_AUTO_fav*auto_capex_fav+cfg_M5_HOTEL_fav*mot_hot_inv_fav+cfg_M5_LUX_fav*lux_capex_fav</f>
        <v>0</v>
      </c>
      <c r="F48" s="17" t="n">
        <f aca="false">cfg_M5_EVT*mot_evt_inv+cfg_M5_GITE*mot_gite_inv+cfg_M5_LOG*mot_log_inv+cfg_M5_STOCK*stock_capex+cfg_M5_AUTO*auto_capex+cfg_M5_HOTEL*mot_hot_inv+cfg_M5_LUX*lux_capex</f>
        <v>0</v>
      </c>
      <c r="G48" s="17" t="n">
        <f aca="false">cfg_M5_EVT_def*mot_evt_inv_def+cfg_M5_GITE_def*mot_gite_inv_def+cfg_M5_LOG_def*mot_log_inv_def+cfg_M5_STOCK_def*stock_capex_def+cfg_M5_AUTO_def*auto_capex_def+cfg_M5_HOTEL_def*mot_hot_inv_def+cfg_M5_LUX_def*lux_capex_def</f>
        <v>0</v>
      </c>
    </row>
    <row r="49" customFormat="false" ht="15" hidden="false" customHeight="false" outlineLevel="0" collapsed="false">
      <c r="A49" s="2" t="s">
        <v>1730</v>
      </c>
      <c r="B49" s="2" t="s">
        <v>1731</v>
      </c>
      <c r="C49" s="2" t="s">
        <v>1715</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cfg_M5_ANC_fav*mot_anc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cfg_M5_ANC*mot_anc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cfg_M5_ANC_def*mot_anc_cn_def)/G41,0)</f>
        <v>0</v>
      </c>
    </row>
    <row r="50" customFormat="false" ht="15" hidden="false" customHeight="false" outlineLevel="0" collapsed="false">
      <c r="A50" s="2" t="s">
        <v>1732</v>
      </c>
      <c r="B50" s="2" t="s">
        <v>1733</v>
      </c>
      <c r="C50" s="2" t="s">
        <v>1734</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cfg_M6_ANC_fav*mot_anc_cn_fav+cfg_M6_LUX_fav*mot_lux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cfg_M6_ANC*mot_anc_cn+cfg_M6_LUX*mot_lux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cfg_M6_ANC_def*mot_anc_cn_def+cfg_M6_LUX_def*mot_lux_cn_def</f>
        <v>-38820</v>
      </c>
    </row>
    <row r="51" customFormat="false" ht="15" hidden="false" customHeight="false" outlineLevel="0" collapsed="false">
      <c r="A51" s="2" t="s">
        <v>1735</v>
      </c>
      <c r="B51" s="2" t="s">
        <v>1736</v>
      </c>
      <c r="C51" s="2" t="s">
        <v>1734</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1737</v>
      </c>
      <c r="B52" s="2" t="s">
        <v>1738</v>
      </c>
      <c r="C52" s="2" t="s">
        <v>1734</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1739</v>
      </c>
      <c r="B53" s="2" t="s">
        <v>1740</v>
      </c>
      <c r="C53" s="2" t="s">
        <v>1734</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1741</v>
      </c>
      <c r="B54" s="2" t="s">
        <v>1742</v>
      </c>
      <c r="C54" s="2" t="s">
        <v>1734</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1743</v>
      </c>
      <c r="B55" s="2" t="s">
        <v>1744</v>
      </c>
      <c r="C55" s="2" t="s">
        <v>1734</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1745</v>
      </c>
      <c r="B56" s="2" t="s">
        <v>1746</v>
      </c>
      <c r="C56" s="2" t="s">
        <v>1734</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1747</v>
      </c>
      <c r="B57" s="2" t="s">
        <v>1748</v>
      </c>
      <c r="C57" s="2" t="s">
        <v>1734</v>
      </c>
      <c r="D57" s="16" t="n">
        <v>0</v>
      </c>
      <c r="E57" s="17" t="n">
        <f aca="false">cfg_M6_EVT_fav*mot_evt_inv_fav+cfg_M6_GITE_fav*mot_gite_inv_fav+cfg_M6_LOG_fav*mot_log_inv_fav+cfg_M6_STOCK_fav*stock_capex_fav+cfg_M6_AUTO_fav*auto_capex_fav+cfg_M6_HOTEL_fav*mot_hot_inv_fav+cfg_M6_LUX_fav*lux_capex_fav</f>
        <v>0</v>
      </c>
      <c r="F57" s="17" t="n">
        <f aca="false">cfg_M6_EVT*mot_evt_inv+cfg_M6_GITE*mot_gite_inv+cfg_M6_LOG*mot_log_inv+cfg_M6_STOCK*stock_capex+cfg_M6_AUTO*auto_capex+cfg_M6_HOTEL*mot_hot_inv+cfg_M6_LUX*lux_capex</f>
        <v>0</v>
      </c>
      <c r="G57" s="17" t="n">
        <f aca="false">cfg_M6_EVT_def*mot_evt_inv_def+cfg_M6_GITE_def*mot_gite_inv_def+cfg_M6_LOG_def*mot_log_inv_def+cfg_M6_STOCK_def*stock_capex_def+cfg_M6_AUTO_def*auto_capex_def+cfg_M6_HOTEL_def*mot_hot_inv_def+cfg_M6_LUX_def*lux_capex_def</f>
        <v>0</v>
      </c>
    </row>
    <row r="58" customFormat="false" ht="15" hidden="false" customHeight="false" outlineLevel="0" collapsed="false">
      <c r="A58" s="2" t="s">
        <v>1749</v>
      </c>
      <c r="B58" s="2" t="s">
        <v>1750</v>
      </c>
      <c r="C58" s="2" t="s">
        <v>1734</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cfg_M6_ANC_fav*mot_anc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cfg_M6_ANC*mot_anc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cfg_M6_ANC_def*mot_anc_cn_def)/G50,0)</f>
        <v>0</v>
      </c>
    </row>
    <row r="59" customFormat="false" ht="15" hidden="false" customHeight="false" outlineLevel="0" collapsed="false">
      <c r="A59" s="2" t="s">
        <v>1751</v>
      </c>
      <c r="B59" s="2" t="s">
        <v>1752</v>
      </c>
      <c r="C59" s="2" t="s">
        <v>1753</v>
      </c>
      <c r="D59" s="16" t="n">
        <v>0</v>
      </c>
      <c r="E59" s="17" t="n">
        <f aca="false">cfg_M7_EQ_STD_fav*mot_eq_std_cn_fav+cfg_M7_EQ_HDG_fav*mot_eq_hdg_cn_fav+cfg_M7_EQ_PRO_fav*mot_eq_pro_cn_fav+cfg_M7_EQ_RET_fav*mot_eq_ret_cn_fav+cfg_M7_REPRO_fav*mot_repro_cn_fav+cfg_M7_EVT_fav*mot_evt_cn_fav+cfg_M7_TOURN_fav*mot_tourn_cn_fav+cfg_M7_SEMJ_fav*mot_semj_cn_fav+cfg_M7_GITE_fav*mot_gite_cn_fav+cfg_M7_LOG_fav*mot_log_cn_fav+cfg_M7_STOCK_fav*mot_stock_cn_fav+cfg_M7_AUTO_fav*mot_auto_cn_fav+cfg_M7_PV_fav*mot_pv_cn_fav+cfg_M7_BOIS_fav*mot_bois_cn_fav+cfg_M7_HOTEL_fav*mot_hot_cn_fav+cfg_M7_ANC_fav*mot_anc_cn_fav+cfg_M7_LUX_fav*mot_lux_cn_fav</f>
        <v>615200</v>
      </c>
      <c r="F59" s="17" t="n">
        <f aca="false">cfg_M7_EQ_STD*mot_eq_std_cn+cfg_M7_EQ_HDG*mot_eq_hdg_cn+cfg_M7_EQ_PRO*mot_eq_pro_cn+cfg_M7_EQ_RET*mot_eq_ret_cn+cfg_M7_REPRO*mot_repro_cn+cfg_M7_EVT*mot_evt_cn+cfg_M7_TOURN*mot_tourn_cn+cfg_M7_SEMJ*mot_semj_cn+cfg_M7_GITE*mot_gite_cn+cfg_M7_LOG*mot_log_cn+cfg_M7_STOCK*mot_stock_cn+cfg_M7_AUTO*mot_auto_cn+cfg_M7_PV*mot_pv_cn+cfg_M7_BOIS*mot_bois_cn+cfg_M7_HOTEL*mot_hot_cn+cfg_M7_ANC*mot_anc_cn+cfg_M7_LUX*mot_lux_cn</f>
        <v>377839.875</v>
      </c>
      <c r="G59" s="17" t="n">
        <f aca="false">cfg_M7_EQ_STD_def*mot_eq_std_cn_def+cfg_M7_EQ_HDG_def*mot_eq_hdg_cn_def+cfg_M7_EQ_PRO_def*mot_eq_pro_cn_def+cfg_M7_EQ_RET_def*mot_eq_ret_cn_def+cfg_M7_REPRO_def*mot_repro_cn_def+cfg_M7_EVT_def*mot_evt_cn_def+cfg_M7_TOURN_def*mot_tourn_cn_def+cfg_M7_SEMJ_def*mot_semj_cn_def+cfg_M7_GITE_def*mot_gite_cn_def+cfg_M7_LOG_def*mot_log_cn_def+cfg_M7_STOCK_def*mot_stock_cn_def+cfg_M7_AUTO_def*mot_auto_cn_def+cfg_M7_PV_def*mot_pv_cn_def+cfg_M7_BOIS_def*mot_bois_cn_def+cfg_M7_HOTEL_def*mot_hot_cn_def+cfg_M7_ANC_def*mot_anc_cn_def+cfg_M7_LUX_def*mot_lux_cn_def</f>
        <v>-4800</v>
      </c>
    </row>
    <row r="60" customFormat="false" ht="15" hidden="false" customHeight="false" outlineLevel="0" collapsed="false">
      <c r="A60" s="2" t="s">
        <v>1754</v>
      </c>
      <c r="B60" s="2" t="s">
        <v>1755</v>
      </c>
      <c r="C60" s="2" t="s">
        <v>1753</v>
      </c>
      <c r="D60" s="16" t="n">
        <v>0</v>
      </c>
      <c r="E60" s="17" t="n">
        <f aca="false">IF(E59&gt;0,E59*(1-fuite_fiscale_fav),E59)</f>
        <v>522920</v>
      </c>
      <c r="F60" s="17" t="n">
        <f aca="false">IF(F59&gt;0,F59*(1-fuite_fiscale),F59)</f>
        <v>264487.9125</v>
      </c>
      <c r="G60" s="17" t="n">
        <f aca="false">IF(G59&gt;0,G59*(1-fuite_fiscale_def),G59)</f>
        <v>-4800</v>
      </c>
    </row>
    <row r="61" customFormat="false" ht="15" hidden="false" customHeight="false" outlineLevel="0" collapsed="false">
      <c r="A61" s="2" t="s">
        <v>1756</v>
      </c>
      <c r="B61" s="2" t="s">
        <v>1757</v>
      </c>
      <c r="C61" s="2" t="s">
        <v>1753</v>
      </c>
      <c r="D61" s="16" t="n">
        <v>0</v>
      </c>
      <c r="E61" s="17" t="n">
        <f aca="false">bud_total_besoin_S2_fav</f>
        <v>776849.622857143</v>
      </c>
      <c r="F61" s="17" t="n">
        <f aca="false">bud_total_besoin_S2</f>
        <v>1239355.685</v>
      </c>
      <c r="G61" s="17" t="n">
        <f aca="false">bud_total_besoin_S2_def</f>
        <v>2057962.37</v>
      </c>
    </row>
    <row r="62" customFormat="false" ht="15" hidden="false" customHeight="false" outlineLevel="0" collapsed="false">
      <c r="A62" s="2" t="s">
        <v>1758</v>
      </c>
      <c r="B62" s="2" t="s">
        <v>1759</v>
      </c>
      <c r="C62" s="2" t="s">
        <v>1753</v>
      </c>
      <c r="D62" s="16" t="n">
        <v>0</v>
      </c>
      <c r="E62" s="20" t="n">
        <f aca="false">E60/E61</f>
        <v>0.673128987405277</v>
      </c>
      <c r="F62" s="20" t="n">
        <f aca="false">F60/F61</f>
        <v>0.213407592107023</v>
      </c>
      <c r="G62" s="20" t="n">
        <f aca="false">G60/G61</f>
        <v>-0.00233240416344445</v>
      </c>
    </row>
    <row r="63" customFormat="false" ht="15" hidden="false" customHeight="false" outlineLevel="0" collapsed="false">
      <c r="A63" s="2" t="s">
        <v>1760</v>
      </c>
      <c r="B63" s="2" t="s">
        <v>1761</v>
      </c>
      <c r="C63" s="2" t="s">
        <v>1753</v>
      </c>
      <c r="D63" s="16" t="n">
        <v>0</v>
      </c>
      <c r="E63" s="17" t="n">
        <f aca="false">MAX(0,E61-E60)</f>
        <v>253929.622857143</v>
      </c>
      <c r="F63" s="17" t="n">
        <f aca="false">MAX(0,F61-F60)</f>
        <v>974867.7725</v>
      </c>
      <c r="G63" s="17" t="n">
        <f aca="false">MAX(0,G61-G60)</f>
        <v>2062762.37</v>
      </c>
    </row>
    <row r="64" customFormat="false" ht="15" hidden="false" customHeight="false" outlineLevel="0" collapsed="false">
      <c r="A64" s="2" t="s">
        <v>1762</v>
      </c>
      <c r="B64" s="2" t="s">
        <v>1763</v>
      </c>
      <c r="C64" s="2" t="s">
        <v>1753</v>
      </c>
      <c r="D64" s="16" t="n">
        <v>0</v>
      </c>
      <c r="E64" s="17" t="n">
        <f aca="false">E63/dot_taux_net_fav</f>
        <v>8464320.76190476</v>
      </c>
      <c r="F64" s="17" t="n">
        <f aca="false">F63/dot_taux_net</f>
        <v>35449737.1818182</v>
      </c>
      <c r="G64" s="17" t="n">
        <f aca="false">G63/dot_taux_net_def</f>
        <v>82510494.8</v>
      </c>
    </row>
    <row r="65" customFormat="false" ht="15" hidden="false" customHeight="false" outlineLevel="0" collapsed="false">
      <c r="A65" s="2" t="s">
        <v>1764</v>
      </c>
      <c r="B65" s="2" t="s">
        <v>1765</v>
      </c>
      <c r="C65" s="2" t="s">
        <v>1753</v>
      </c>
      <c r="D65" s="16" t="n">
        <v>0</v>
      </c>
      <c r="E65" s="17" t="n">
        <f aca="false">E63/ent_conversion_fav</f>
        <v>564288.050793651</v>
      </c>
      <c r="F65" s="17" t="n">
        <f aca="false">F63/ent_conversion</f>
        <v>2461787.30429293</v>
      </c>
      <c r="G65" s="17" t="n">
        <f aca="false">G63/ent_conversion_def</f>
        <v>6250795.06060606</v>
      </c>
    </row>
    <row r="66" customFormat="false" ht="15" hidden="false" customHeight="false" outlineLevel="0" collapsed="false">
      <c r="A66" s="2" t="s">
        <v>1766</v>
      </c>
      <c r="B66" s="2" t="s">
        <v>1767</v>
      </c>
      <c r="C66" s="2" t="s">
        <v>1753</v>
      </c>
      <c r="D66" s="16" t="n">
        <v>0</v>
      </c>
      <c r="E66" s="17" t="n">
        <f aca="false">cfg_M7_EVT_fav*mot_evt_inv_fav+cfg_M7_GITE_fav*mot_gite_inv_fav+cfg_M7_LOG_fav*mot_log_inv_fav+cfg_M7_STOCK_fav*stock_capex_fav+cfg_M7_AUTO_fav*auto_capex_fav+cfg_M7_HOTEL_fav*mot_hot_inv_fav+cfg_M7_LUX_fav*lux_capex_fav</f>
        <v>0</v>
      </c>
      <c r="F66" s="17" t="n">
        <f aca="false">cfg_M7_EVT*mot_evt_inv+cfg_M7_GITE*mot_gite_inv+cfg_M7_LOG*mot_log_inv+cfg_M7_STOCK*stock_capex+cfg_M7_AUTO*auto_capex+cfg_M7_HOTEL*mot_hot_inv+cfg_M7_LUX*lux_capex</f>
        <v>0</v>
      </c>
      <c r="G66" s="17" t="n">
        <f aca="false">cfg_M7_EVT_def*mot_evt_inv_def+cfg_M7_GITE_def*mot_gite_inv_def+cfg_M7_LOG_def*mot_log_inv_def+cfg_M7_STOCK_def*stock_capex_def+cfg_M7_AUTO_def*auto_capex_def+cfg_M7_HOTEL_def*mot_hot_inv_def+cfg_M7_LUX_def*lux_capex_def</f>
        <v>0</v>
      </c>
    </row>
    <row r="67" customFormat="false" ht="15" hidden="false" customHeight="false" outlineLevel="0" collapsed="false">
      <c r="A67" s="2" t="s">
        <v>1768</v>
      </c>
      <c r="B67" s="2" t="s">
        <v>1769</v>
      </c>
      <c r="C67" s="2" t="s">
        <v>1753</v>
      </c>
      <c r="D67" s="16" t="n">
        <v>0</v>
      </c>
      <c r="E67" s="20" t="n">
        <f aca="false">IF(E59&gt;0,(cfg_M7_EQ_STD_fav*mot_eq_std_cn_fav+cfg_M7_EQ_HDG_fav*mot_eq_hdg_cn_fav+cfg_M7_EQ_PRO_fav*mot_eq_pro_cn_fav+cfg_M7_EQ_RET_fav*mot_eq_ret_cn_fav+cfg_M7_REPRO_fav*mot_repro_cn_fav+cfg_M7_LOG_fav*mot_log_cn_fav+cfg_M7_STOCK_fav*mot_stock_cn_fav+cfg_M7_AUTO_fav*mot_auto_cn_fav+cfg_M7_PV_fav*mot_pv_cn_fav+cfg_M7_BOIS_fav*mot_bois_cn_fav+cfg_M7_HOTEL_fav*mot_hot_cn_fav+cfg_M7_ANC_fav*mot_anc_cn_fav)/E59,0)</f>
        <v>1</v>
      </c>
      <c r="F67" s="20" t="n">
        <f aca="false">IF(F59&gt;0,(cfg_M7_EQ_STD*mot_eq_std_cn+cfg_M7_EQ_HDG*mot_eq_hdg_cn+cfg_M7_EQ_PRO*mot_eq_pro_cn+cfg_M7_EQ_RET*mot_eq_ret_cn+cfg_M7_REPRO*mot_repro_cn+cfg_M7_LOG*mot_log_cn+cfg_M7_STOCK*mot_stock_cn+cfg_M7_AUTO*mot_auto_cn+cfg_M7_PV*mot_pv_cn+cfg_M7_BOIS*mot_bois_cn+cfg_M7_HOTEL*mot_hot_cn+cfg_M7_ANC*mot_anc_cn)/F59,0)</f>
        <v>1</v>
      </c>
      <c r="G67" s="20" t="n">
        <f aca="false">IF(G59&gt;0,(cfg_M7_EQ_STD_def*mot_eq_std_cn_def+cfg_M7_EQ_HDG_def*mot_eq_hdg_cn_def+cfg_M7_EQ_PRO_def*mot_eq_pro_cn_def+cfg_M7_EQ_RET_def*mot_eq_ret_cn_def+cfg_M7_REPRO_def*mot_repro_cn_def+cfg_M7_LOG_def*mot_log_cn_def+cfg_M7_STOCK_def*mot_stock_cn_def+cfg_M7_AUTO_def*mot_auto_cn_def+cfg_M7_PV_def*mot_pv_cn_def+cfg_M7_BOIS_def*mot_bois_cn_def+cfg_M7_HOTEL_def*mot_hot_cn_def+cfg_M7_ANC_def*mot_anc_cn_def)/G59,0)</f>
        <v>0</v>
      </c>
    </row>
    <row r="68" customFormat="false" ht="15" hidden="false" customHeight="false" outlineLevel="0" collapsed="false">
      <c r="A68" s="2" t="s">
        <v>1770</v>
      </c>
      <c r="B68" s="2" t="s">
        <v>1771</v>
      </c>
      <c r="C68" s="2" t="s">
        <v>1772</v>
      </c>
      <c r="D68" s="16" t="n">
        <v>0</v>
      </c>
      <c r="E68" s="17" t="n">
        <f aca="false">cfg_M8_EQ_STD_fav*mot_eq_std_cn_fav+cfg_M8_EQ_HDG_fav*mot_eq_hdg_cn_fav+cfg_M8_EQ_PRO_fav*mot_eq_pro_cn_fav+cfg_M8_EQ_RET_fav*mot_eq_ret_cn_fav+cfg_M8_REPRO_fav*mot_repro_cn_fav+cfg_M8_EVT_fav*mot_evt_cn_fav+cfg_M8_TOURN_fav*mot_tourn_cn_fav+cfg_M8_SEMJ_fav*mot_semj_cn_fav+cfg_M8_GITE_fav*mot_gite_cn_fav+cfg_M8_LOG_fav*mot_log_cn_fav+cfg_M8_STOCK_fav*mot_stock_cn_fav+cfg_M8_AUTO_fav*mot_auto_cn_fav+cfg_M8_PV_fav*mot_pv_cn_fav+cfg_M8_BOIS_fav*mot_bois_cn_fav+cfg_M8_HOTEL_fav*mot_hot_cn_fav+cfg_M8_ANC_fav*mot_anc_cn_fav+cfg_M8_LUX_fav*mot_lux_cn_fav</f>
        <v>410449.93</v>
      </c>
      <c r="F68" s="17" t="n">
        <f aca="false">cfg_M8_EQ_STD*mot_eq_std_cn+cfg_M8_EQ_HDG*mot_eq_hdg_cn+cfg_M8_EQ_PRO*mot_eq_pro_cn+cfg_M8_EQ_RET*mot_eq_ret_cn+cfg_M8_REPRO*mot_repro_cn+cfg_M8_EVT*mot_evt_cn+cfg_M8_TOURN*mot_tourn_cn+cfg_M8_SEMJ*mot_semj_cn+cfg_M8_GITE*mot_gite_cn+cfg_M8_LOG*mot_log_cn+cfg_M8_STOCK*mot_stock_cn+cfg_M8_AUTO*mot_auto_cn+cfg_M8_PV*mot_pv_cn+cfg_M8_BOIS*mot_bois_cn+cfg_M8_HOTEL*mot_hot_cn+cfg_M8_ANC*mot_anc_cn+cfg_M8_LUX*mot_lux_cn</f>
        <v>109370.5</v>
      </c>
      <c r="G68" s="17" t="n">
        <f aca="false">cfg_M8_EQ_STD_def*mot_eq_std_cn_def+cfg_M8_EQ_HDG_def*mot_eq_hdg_cn_def+cfg_M8_EQ_PRO_def*mot_eq_pro_cn_def+cfg_M8_EQ_RET_def*mot_eq_ret_cn_def+cfg_M8_REPRO_def*mot_repro_cn_def+cfg_M8_EVT_def*mot_evt_cn_def+cfg_M8_TOURN_def*mot_tourn_cn_def+cfg_M8_SEMJ_def*mot_semj_cn_def+cfg_M8_GITE_def*mot_gite_cn_def+cfg_M8_LOG_def*mot_log_cn_def+cfg_M8_STOCK_def*mot_stock_cn_def+cfg_M8_AUTO_def*mot_auto_cn_def+cfg_M8_PV_def*mot_pv_cn_def+cfg_M8_BOIS_def*mot_bois_cn_def+cfg_M8_HOTEL_def*mot_hot_cn_def+cfg_M8_ANC_def*mot_anc_cn_def+cfg_M8_LUX_def*mot_lux_cn_def</f>
        <v>-48539.25</v>
      </c>
    </row>
    <row r="69" customFormat="false" ht="15" hidden="false" customHeight="false" outlineLevel="0" collapsed="false">
      <c r="A69" s="2" t="s">
        <v>1773</v>
      </c>
      <c r="B69" s="2" t="s">
        <v>1774</v>
      </c>
      <c r="C69" s="2" t="s">
        <v>1772</v>
      </c>
      <c r="D69" s="16" t="n">
        <v>0</v>
      </c>
      <c r="E69" s="17" t="n">
        <f aca="false">IF(E68&gt;0,E68*(1-fuite_fiscale_fav),E68)</f>
        <v>348882.4405</v>
      </c>
      <c r="F69" s="17" t="n">
        <f aca="false">IF(F68&gt;0,F68*(1-fuite_fiscale),F68)</f>
        <v>76559.35</v>
      </c>
      <c r="G69" s="17" t="n">
        <f aca="false">IF(G68&gt;0,G68*(1-fuite_fiscale_def),G68)</f>
        <v>-48539.25</v>
      </c>
    </row>
    <row r="70" customFormat="false" ht="15" hidden="false" customHeight="false" outlineLevel="0" collapsed="false">
      <c r="A70" s="2" t="s">
        <v>1775</v>
      </c>
      <c r="B70" s="2" t="s">
        <v>1776</v>
      </c>
      <c r="C70" s="2" t="s">
        <v>1772</v>
      </c>
      <c r="D70" s="16" t="n">
        <v>0</v>
      </c>
      <c r="E70" s="17" t="n">
        <f aca="false">bud_total_besoin_S2_fav</f>
        <v>776849.622857143</v>
      </c>
      <c r="F70" s="17" t="n">
        <f aca="false">bud_total_besoin_S2</f>
        <v>1239355.685</v>
      </c>
      <c r="G70" s="17" t="n">
        <f aca="false">bud_total_besoin_S2_def</f>
        <v>2057962.37</v>
      </c>
    </row>
    <row r="71" customFormat="false" ht="15" hidden="false" customHeight="false" outlineLevel="0" collapsed="false">
      <c r="A71" s="2" t="s">
        <v>1777</v>
      </c>
      <c r="B71" s="2" t="s">
        <v>1778</v>
      </c>
      <c r="C71" s="2" t="s">
        <v>1772</v>
      </c>
      <c r="D71" s="16" t="n">
        <v>0</v>
      </c>
      <c r="E71" s="20" t="n">
        <f aca="false">E69/E70</f>
        <v>0.449099066582358</v>
      </c>
      <c r="F71" s="20" t="n">
        <f aca="false">F69/F70</f>
        <v>0.0617735093537736</v>
      </c>
      <c r="G71" s="20" t="n">
        <f aca="false">G69/G70</f>
        <v>-0.0235860726646814</v>
      </c>
    </row>
    <row r="72" customFormat="false" ht="15" hidden="false" customHeight="false" outlineLevel="0" collapsed="false">
      <c r="A72" s="2" t="s">
        <v>1779</v>
      </c>
      <c r="B72" s="2" t="s">
        <v>1780</v>
      </c>
      <c r="C72" s="2" t="s">
        <v>1772</v>
      </c>
      <c r="D72" s="16" t="n">
        <v>0</v>
      </c>
      <c r="E72" s="17" t="n">
        <f aca="false">MAX(0,E70-E69)</f>
        <v>427967.182357143</v>
      </c>
      <c r="F72" s="17" t="n">
        <f aca="false">MAX(0,F70-F69)</f>
        <v>1162796.335</v>
      </c>
      <c r="G72" s="17" t="n">
        <f aca="false">MAX(0,G70-G69)</f>
        <v>2106501.62</v>
      </c>
    </row>
    <row r="73" customFormat="false" ht="15" hidden="false" customHeight="false" outlineLevel="0" collapsed="false">
      <c r="A73" s="2" t="s">
        <v>1781</v>
      </c>
      <c r="B73" s="2" t="s">
        <v>1782</v>
      </c>
      <c r="C73" s="2" t="s">
        <v>1772</v>
      </c>
      <c r="D73" s="16" t="n">
        <v>0</v>
      </c>
      <c r="E73" s="17" t="n">
        <f aca="false">E72/dot_taux_net_fav</f>
        <v>14265572.7452381</v>
      </c>
      <c r="F73" s="17" t="n">
        <f aca="false">F72/dot_taux_net</f>
        <v>42283503.0909091</v>
      </c>
      <c r="G73" s="17" t="n">
        <f aca="false">G72/dot_taux_net_def</f>
        <v>84260064.8</v>
      </c>
    </row>
    <row r="74" customFormat="false" ht="15" hidden="false" customHeight="false" outlineLevel="0" collapsed="false">
      <c r="A74" s="2" t="s">
        <v>1783</v>
      </c>
      <c r="B74" s="2" t="s">
        <v>1784</v>
      </c>
      <c r="C74" s="2" t="s">
        <v>1772</v>
      </c>
      <c r="D74" s="16" t="n">
        <v>0</v>
      </c>
      <c r="E74" s="17" t="n">
        <f aca="false">E72/ent_conversion_fav</f>
        <v>951038.183015873</v>
      </c>
      <c r="F74" s="17" t="n">
        <f aca="false">F72/ent_conversion</f>
        <v>2936354.38131313</v>
      </c>
      <c r="G74" s="17" t="n">
        <f aca="false">G72/ent_conversion_def</f>
        <v>6383338.24242424</v>
      </c>
    </row>
    <row r="75" customFormat="false" ht="15" hidden="false" customHeight="false" outlineLevel="0" collapsed="false">
      <c r="A75" s="2" t="s">
        <v>1785</v>
      </c>
      <c r="B75" s="2" t="s">
        <v>1786</v>
      </c>
      <c r="C75" s="2" t="s">
        <v>1772</v>
      </c>
      <c r="D75" s="16" t="n">
        <v>0</v>
      </c>
      <c r="E75" s="17" t="n">
        <f aca="false">cfg_M8_EVT_fav*mot_evt_inv_fav+cfg_M8_GITE_fav*mot_gite_inv_fav+cfg_M8_LOG_fav*mot_log_inv_fav+cfg_M8_STOCK_fav*stock_capex_fav+cfg_M8_AUTO_fav*auto_capex_fav+cfg_M8_HOTEL_fav*mot_hot_inv_fav+cfg_M8_LUX_fav*lux_capex_fav</f>
        <v>1400000</v>
      </c>
      <c r="F75" s="17" t="n">
        <f aca="false">cfg_M8_EVT*mot_evt_inv+cfg_M8_GITE*mot_gite_inv+cfg_M8_LOG*mot_log_inv+cfg_M8_STOCK*stock_capex+cfg_M8_AUTO*auto_capex+cfg_M8_HOTEL*mot_hot_inv+cfg_M8_LUX*lux_capex</f>
        <v>1400000</v>
      </c>
      <c r="G75" s="17" t="n">
        <f aca="false">cfg_M8_EVT_def*mot_evt_inv_def+cfg_M8_GITE_def*mot_gite_inv_def+cfg_M8_LOG_def*mot_log_inv_def+cfg_M8_STOCK_def*stock_capex_def+cfg_M8_AUTO_def*auto_capex_def+cfg_M8_HOTEL_def*mot_hot_inv_def+cfg_M8_LUX_def*lux_capex_def</f>
        <v>1500000</v>
      </c>
    </row>
    <row r="76" customFormat="false" ht="15" hidden="false" customHeight="false" outlineLevel="0" collapsed="false">
      <c r="A76" s="2" t="s">
        <v>1787</v>
      </c>
      <c r="B76" s="2" t="s">
        <v>1788</v>
      </c>
      <c r="C76" s="2" t="s">
        <v>1772</v>
      </c>
      <c r="D76" s="16" t="n">
        <v>0</v>
      </c>
      <c r="E76" s="20" t="n">
        <f aca="false">IF(E68&gt;0,(cfg_M8_EQ_STD_fav*mot_eq_std_cn_fav+cfg_M8_EQ_HDG_fav*mot_eq_hdg_cn_fav+cfg_M8_EQ_PRO_fav*mot_eq_pro_cn_fav+cfg_M8_EQ_RET_fav*mot_eq_ret_cn_fav+cfg_M8_REPRO_fav*mot_repro_cn_fav+cfg_M8_LOG_fav*mot_log_cn_fav+cfg_M8_STOCK_fav*mot_stock_cn_fav+cfg_M8_AUTO_fav*mot_auto_cn_fav+cfg_M8_PV_fav*mot_pv_cn_fav+cfg_M8_BOIS_fav*mot_bois_cn_fav+cfg_M8_HOTEL_fav*mot_hot_cn_fav+cfg_M8_ANC_fav*mot_anc_cn_fav)/E68,0)</f>
        <v>0.488244522297762</v>
      </c>
      <c r="F76" s="20" t="n">
        <f aca="false">IF(F68&gt;0,(cfg_M8_EQ_STD*mot_eq_std_cn+cfg_M8_EQ_HDG*mot_eq_hdg_cn+cfg_M8_EQ_PRO*mot_eq_pro_cn+cfg_M8_EQ_RET*mot_eq_ret_cn+cfg_M8_REPRO*mot_repro_cn+cfg_M8_LOG*mot_log_cn+cfg_M8_STOCK*mot_stock_cn+cfg_M8_AUTO*mot_auto_cn+cfg_M8_PV*mot_pv_cn+cfg_M8_BOIS*mot_bois_cn+cfg_M8_HOTEL*mot_hot_cn+cfg_M8_ANC*mot_anc_cn)/F68,0)</f>
        <v>0.587183015529782</v>
      </c>
      <c r="G76" s="20" t="n">
        <f aca="false">IF(G68&gt;0,(cfg_M8_EQ_STD_def*mot_eq_std_cn_def+cfg_M8_EQ_HDG_def*mot_eq_hdg_cn_def+cfg_M8_EQ_PRO_def*mot_eq_pro_cn_def+cfg_M8_EQ_RET_def*mot_eq_ret_cn_def+cfg_M8_REPRO_def*mot_repro_cn_def+cfg_M8_LOG_def*mot_log_cn_def+cfg_M8_STOCK_def*mot_stock_cn_def+cfg_M8_AUTO_def*mot_auto_cn_def+cfg_M8_PV_def*mot_pv_cn_def+cfg_M8_BOIS_def*mot_bois_cn_def+cfg_M8_HOTEL_def*mot_hot_cn_def+cfg_M8_ANC_def*mot_anc_cn_def)/G68,0)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1789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1</v>
      </c>
      <c r="G12" s="22" t="n">
        <f aca="false">pilotage_actif*IF(F43&lt;flex_seuil*bud_total_besoin_S2,1,0)</f>
        <v>1</v>
      </c>
      <c r="H12" s="22" t="n">
        <f aca="false">pilotage_actif*IF(G43&lt;flex_seuil*bud_total_besoin_S2,1,0)</f>
        <v>1</v>
      </c>
      <c r="I12" s="22" t="n">
        <f aca="false">pilotage_actif*IF(H43&lt;flex_seuil*bud_total_besoin_S2,1,0)</f>
        <v>1</v>
      </c>
      <c r="J12" s="22" t="n">
        <f aca="false">pilotage_actif*IF(I43&lt;flex_seuil*bud_total_besoin_S2,1,0)</f>
        <v>1</v>
      </c>
      <c r="K12" s="22" t="n">
        <f aca="false">pilotage_actif*IF(J43&lt;flex_seuil*bud_total_besoin_S2,1,0)</f>
        <v>1</v>
      </c>
      <c r="L12" s="22" t="n">
        <f aca="false">pilotage_actif*IF(K43&lt;flex_seuil*bud_total_besoin_S2,1,0)</f>
        <v>1</v>
      </c>
      <c r="M12" s="22" t="n">
        <f aca="false">pilotage_actif*IF(L43&lt;flex_seuil*bud_total_besoin_S2,1,0)</f>
        <v>1</v>
      </c>
      <c r="N12" s="22" t="n">
        <f aca="false">pilotage_actif*IF(M43&lt;flex_seuil*bud_total_besoin_S2,1,0)</f>
        <v>1</v>
      </c>
      <c r="O12" s="22" t="n">
        <f aca="false">pilotage_actif*IF(N43&lt;flex_seuil*bud_total_besoin_S2,1,0)</f>
        <v>1</v>
      </c>
      <c r="P12" s="22" t="n">
        <f aca="false">pilotage_actif*IF(O43&lt;flex_seuil*bud_total_besoin_S2,1,0)</f>
        <v>1</v>
      </c>
      <c r="Q12" s="22" t="n">
        <f aca="false">pilotage_actif*IF(P43&lt;flex_seuil*bud_total_besoin_S2,1,0)</f>
        <v>1</v>
      </c>
      <c r="R12" s="22" t="n">
        <f aca="false">pilotage_actif*IF(Q43&lt;flex_seuil*bud_total_besoin_S2,1,0)</f>
        <v>1</v>
      </c>
      <c r="S12" s="22" t="n">
        <f aca="false">pilotage_actif*IF(R43&lt;flex_seuil*bud_total_besoin_S2,1,0)</f>
        <v>1</v>
      </c>
      <c r="T12" s="22" t="n">
        <f aca="false">pilotage_actif*IF(S43&lt;flex_seuil*bud_total_besoin_S2,1,0)</f>
        <v>1</v>
      </c>
      <c r="U12" s="22" t="n">
        <f aca="false">pilotage_actif*IF(T43&lt;flex_seuil*bud_total_besoin_S2,1,0)</f>
        <v>1</v>
      </c>
      <c r="V12" s="22" t="n">
        <f aca="false">pilotage_actif*IF(U43&lt;flex_seuil*bud_total_besoin_S2,1,0)</f>
        <v>1</v>
      </c>
      <c r="W12" s="22" t="n">
        <f aca="false">pilotage_actif*IF(V43&lt;flex_seuil*bud_total_besoin_S2,1,0)</f>
        <v>1</v>
      </c>
      <c r="X12" s="22" t="n">
        <f aca="false">pilotage_actif*IF(W43&lt;flex_seuil*bud_total_besoin_S2,1,0)</f>
        <v>1</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887669.435136481</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1180901.43791669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1296619.2809594</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1359924.73529181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1408373.87354921</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380429.757915635</v>
      </c>
      <c r="I22" s="17" t="n">
        <f aca="false">MAX(0,H22+I17-I19-I20)</f>
        <v>703420.978426026</v>
      </c>
      <c r="J22" s="17" t="n">
        <f aca="false">MAX(0,I22+J17-J19-J20)</f>
        <v>1028834.63309024</v>
      </c>
      <c r="K22" s="17" t="n">
        <f aca="false">MAX(0,J22+K17-K19-K20)</f>
        <v>1356688.89016445</v>
      </c>
      <c r="L22" s="17" t="n">
        <f aca="false">MAX(0,K22+L17-L19-L20)</f>
        <v>506100.616250011</v>
      </c>
      <c r="M22" s="17" t="n">
        <f aca="false">MAX(0,L22+M17-M19-M20)</f>
        <v>838891.128982285</v>
      </c>
      <c r="N22" s="17" t="n">
        <f aca="false">MAX(0,M22+N17-N19-N20)</f>
        <v>1174177.57056005</v>
      </c>
      <c r="O22" s="17" t="n">
        <f aca="false">MAX(0,N22+O17-O19-O20)</f>
        <v>1511978.66044965</v>
      </c>
      <c r="P22" s="17" t="n">
        <f aca="false">MAX(0,O22+P17-P19-P20)</f>
        <v>555693.977554027</v>
      </c>
      <c r="Q22" s="17" t="n">
        <f aca="false">MAX(0,P22+Q17-Q19-Q20)</f>
        <v>898581.085103276</v>
      </c>
      <c r="R22" s="17" t="n">
        <f aca="false">MAX(0,Q22+R17-R19-R20)</f>
        <v>1244039.84595915</v>
      </c>
      <c r="S22" s="17" t="n">
        <f aca="false">MAX(0,R22+S17-S19-S20)</f>
        <v>1592089.54752143</v>
      </c>
      <c r="T22" s="17" t="n">
        <f aca="false">MAX(0,S22+T17-T19-T20)</f>
        <v>582824.886553632</v>
      </c>
      <c r="U22" s="17" t="n">
        <f aca="false">MAX(0,T22+U17-U19-U20)</f>
        <v>936114.911435067</v>
      </c>
      <c r="V22" s="17" t="n">
        <f aca="false">MAX(0,U22+V17-V19-V20)</f>
        <v>1292054.61150311</v>
      </c>
      <c r="W22" s="17" t="n">
        <f aca="false">MAX(0,V22+W17-W19-W20)</f>
        <v>1650663.85932167</v>
      </c>
      <c r="X22" s="17" t="n">
        <f aca="false">MAX(0,W22+X17-X19-X20)</f>
        <v>603588.80294966</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123935.5685</v>
      </c>
      <c r="G34" s="17" t="n">
        <f aca="false">G12*flex_taux*bud_total_besoin_S2</f>
        <v>123935.5685</v>
      </c>
      <c r="H34" s="17" t="n">
        <f aca="false">H12*flex_taux*bud_total_besoin_S2</f>
        <v>123935.5685</v>
      </c>
      <c r="I34" s="17" t="n">
        <f aca="false">I12*flex_taux*bud_total_besoin_S2</f>
        <v>123935.5685</v>
      </c>
      <c r="J34" s="17" t="n">
        <f aca="false">J12*flex_taux*bud_total_besoin_S2</f>
        <v>123935.5685</v>
      </c>
      <c r="K34" s="17" t="n">
        <f aca="false">K12*flex_taux*bud_total_besoin_S2</f>
        <v>123935.5685</v>
      </c>
      <c r="L34" s="17" t="n">
        <f aca="false">L12*flex_taux*bud_total_besoin_S2</f>
        <v>123935.5685</v>
      </c>
      <c r="M34" s="17" t="n">
        <f aca="false">M12*flex_taux*bud_total_besoin_S2</f>
        <v>123935.5685</v>
      </c>
      <c r="N34" s="17" t="n">
        <f aca="false">N12*flex_taux*bud_total_besoin_S2</f>
        <v>123935.5685</v>
      </c>
      <c r="O34" s="17" t="n">
        <f aca="false">O12*flex_taux*bud_total_besoin_S2</f>
        <v>123935.5685</v>
      </c>
      <c r="P34" s="17" t="n">
        <f aca="false">P12*flex_taux*bud_total_besoin_S2</f>
        <v>123935.5685</v>
      </c>
      <c r="Q34" s="17" t="n">
        <f aca="false">Q12*flex_taux*bud_total_besoin_S2</f>
        <v>123935.5685</v>
      </c>
      <c r="R34" s="17" t="n">
        <f aca="false">R12*flex_taux*bud_total_besoin_S2</f>
        <v>123935.5685</v>
      </c>
      <c r="S34" s="17" t="n">
        <f aca="false">S12*flex_taux*bud_total_besoin_S2</f>
        <v>123935.5685</v>
      </c>
      <c r="T34" s="17" t="n">
        <f aca="false">T12*flex_taux*bud_total_besoin_S2</f>
        <v>123935.5685</v>
      </c>
      <c r="U34" s="17" t="n">
        <f aca="false">U12*flex_taux*bud_total_besoin_S2</f>
        <v>123935.5685</v>
      </c>
      <c r="V34" s="17" t="n">
        <f aca="false">V12*flex_taux*bud_total_besoin_S2</f>
        <v>123935.5685</v>
      </c>
      <c r="W34" s="17" t="n">
        <f aca="false">W12*flex_taux*bud_total_besoin_S2</f>
        <v>123935.5685</v>
      </c>
      <c r="X34" s="17" t="n">
        <f aca="false">X12*flex_taux*bud_total_besoin_S2</f>
        <v>123935.5685</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1091092.00675547</v>
      </c>
      <c r="G35" s="17" t="n">
        <f aca="false">G13+G14+G15+G16+G17+G21+G32-G29-G23-G33-G34</f>
        <v>1085164.36900049</v>
      </c>
      <c r="H35" s="17" t="n">
        <f aca="false">H13+H14+H15+H16+H17+H21+H32-H29-H23-H33-H34</f>
        <v>1091582.0910209</v>
      </c>
      <c r="I35" s="17" t="n">
        <f aca="false">I13+I14+I15+I16+I17+I21+I32-I29-I23-I33-I34</f>
        <v>1098066.24661377</v>
      </c>
      <c r="J35" s="17" t="n">
        <f aca="false">J13+J14+J15+J16+J17+J21+J32-J29-J23-J33-J34</f>
        <v>1104617.76242718</v>
      </c>
      <c r="K35" s="17" t="n">
        <f aca="false">K13+K14+K15+K16+K17+K21+K32-K29-K23-K33-K34</f>
        <v>1111237.58074264</v>
      </c>
      <c r="L35" s="17" t="n">
        <f aca="false">L13+L14+L15+L16+L17+L21+L32-L29-L23-L33-L34</f>
        <v>1117926.65976297</v>
      </c>
      <c r="M35" s="17" t="n">
        <f aca="false">M13+M14+M15+M16+M17+M21+M32-M29-M23-M33-M34</f>
        <v>1124685.97390569</v>
      </c>
      <c r="N35" s="17" t="n">
        <f aca="false">N13+N14+N15+N16+N17+N21+N32-N29-N23-N33-N34</f>
        <v>1131516.51410195</v>
      </c>
      <c r="O35" s="17" t="n">
        <f aca="false">O13+O14+O15+O16+O17+O21+O32-O29-O23-O33-O34</f>
        <v>1138419.28810119</v>
      </c>
      <c r="P35" s="17" t="n">
        <f aca="false">P13+P14+P15+P16+P17+P21+P32-P29-P23-P33-P34</f>
        <v>1145395.32078164</v>
      </c>
      <c r="Q35" s="17" t="n">
        <f aca="false">Q13+Q14+Q15+Q16+Q17+Q21+Q32-Q29-Q23-Q33-Q34</f>
        <v>1152445.65446665</v>
      </c>
      <c r="R35" s="17" t="n">
        <f aca="false">R13+R14+R15+R16+R17+R21+R32-R29-R23-R33-R34</f>
        <v>1159571.34924721</v>
      </c>
      <c r="S35" s="17" t="n">
        <f aca="false">S13+S14+S15+S16+S17+S21+S32-S29-S23-S33-S34</f>
        <v>1166773.48331049</v>
      </c>
      <c r="T35" s="17" t="n">
        <f aca="false">T13+T14+T15+T16+T17+T21+T32-T29-T23-T33-T34</f>
        <v>1174053.15327472</v>
      </c>
      <c r="U35" s="17" t="n">
        <f aca="false">U13+U14+U15+U16+U17+U21+U32-U29-U23-U33-U34</f>
        <v>1181411.47453049</v>
      </c>
      <c r="V35" s="17" t="n">
        <f aca="false">V13+V14+V15+V16+V17+V21+V32-V29-V23-V33-V34</f>
        <v>1188849.58158849</v>
      </c>
      <c r="W35" s="17" t="n">
        <f aca="false">W13+W14+W15+W16+W17+W21+W32-W29-W23-W33-W34</f>
        <v>1196368.628434</v>
      </c>
      <c r="X35" s="17" t="n">
        <f aca="false">X13+X14+X15+X16+X17+X21+X32-X29-X23-X33-X34</f>
        <v>1203969.78888809</v>
      </c>
    </row>
    <row r="36" customFormat="false" ht="15" hidden="false" customHeight="false" outlineLevel="0" collapsed="false">
      <c r="A36" s="2" t="s">
        <v>1877</v>
      </c>
      <c r="B36" s="2" t="s">
        <v>1878</v>
      </c>
      <c r="C36" s="2" t="s">
        <v>1832</v>
      </c>
      <c r="E36" s="17" t="n">
        <f aca="false">IF(AND(E$3&lt;=0,E$3&lt;=st_central_div_fin),0*IF(E11=1,0.5,1),0)</f>
        <v>0</v>
      </c>
      <c r="F36" s="17" t="n">
        <f aca="false">IF(AND(F$3&lt;=0,F$3&lt;=st_central_div_fin),0*IF(F11=1,0.5,1),0)</f>
        <v>0</v>
      </c>
      <c r="G36" s="17" t="n">
        <f aca="false">IF(AND(G$3&lt;=0,G$3&lt;=st_central_div_fin),0*IF(G11=1,0.5,1),0)</f>
        <v>0</v>
      </c>
      <c r="H36" s="17" t="n">
        <f aca="false">IF(AND(H$3&lt;=0,H$3&lt;=st_central_div_fin),0*IF(H11=1,0.5,1),0)</f>
        <v>0</v>
      </c>
      <c r="I36" s="17" t="n">
        <f aca="false">IF(AND(I$3&lt;=0,I$3&lt;=st_central_div_fin),0*IF(I11=1,0.5,1),0)</f>
        <v>0</v>
      </c>
      <c r="J36" s="17" t="n">
        <f aca="false">IF(AND(J$3&lt;=0,J$3&lt;=st_central_div_fin),0*IF(J11=1,0.5,1),0)</f>
        <v>0</v>
      </c>
      <c r="K36" s="17" t="n">
        <f aca="false">IF(AND(K$3&lt;=0,K$3&lt;=st_central_div_fin),0*IF(K11=1,0.5,1),0)</f>
        <v>0</v>
      </c>
      <c r="L36" s="17" t="n">
        <f aca="false">IF(AND(L$3&lt;=0,L$3&lt;=st_central_div_fin),0*IF(L11=1,0.5,1),0)</f>
        <v>0</v>
      </c>
      <c r="M36" s="17" t="n">
        <f aca="false">IF(AND(M$3&lt;=0,M$3&lt;=st_central_div_fin),0*IF(M11=1,0.5,1),0)</f>
        <v>0</v>
      </c>
      <c r="N36" s="17" t="n">
        <f aca="false">IF(AND(N$3&lt;=0,N$3&lt;=st_central_div_fin),0*IF(N11=1,0.5,1),0)</f>
        <v>0</v>
      </c>
      <c r="O36" s="17" t="n">
        <f aca="false">IF(AND(O$3&lt;=0,O$3&lt;=st_central_div_fin),0*IF(O11=1,0.5,1),0)</f>
        <v>0</v>
      </c>
      <c r="P36" s="17" t="n">
        <f aca="false">IF(AND(P$3&lt;=0,P$3&lt;=st_central_div_fin),0*IF(P11=1,0.5,1),0)</f>
        <v>0</v>
      </c>
      <c r="Q36" s="17" t="n">
        <f aca="false">IF(AND(Q$3&lt;=0,Q$3&lt;=st_central_div_fin),0*IF(Q11=1,0.5,1),0)</f>
        <v>0</v>
      </c>
      <c r="R36" s="17" t="n">
        <f aca="false">IF(AND(R$3&lt;=0,R$3&lt;=st_central_div_fin),0*IF(R11=1,0.5,1),0)</f>
        <v>0</v>
      </c>
      <c r="S36" s="17" t="n">
        <f aca="false">IF(AND(S$3&lt;=0,S$3&lt;=st_central_div_fin),0*IF(S11=1,0.5,1),0)</f>
        <v>0</v>
      </c>
      <c r="T36" s="17" t="n">
        <f aca="false">IF(AND(T$3&lt;=0,T$3&lt;=st_central_div_fin),0*IF(T11=1,0.5,1),0)</f>
        <v>0</v>
      </c>
      <c r="U36" s="17" t="n">
        <f aca="false">IF(AND(U$3&lt;=0,U$3&lt;=st_central_div_fin),0*IF(U11=1,0.5,1),0)</f>
        <v>0</v>
      </c>
      <c r="V36" s="17" t="n">
        <f aca="false">IF(AND(V$3&lt;=0,V$3&lt;=st_central_div_fin),0*IF(V11=1,0.5,1),0)</f>
        <v>0</v>
      </c>
      <c r="W36" s="17" t="n">
        <f aca="false">IF(AND(W$3&lt;=0,W$3&lt;=st_central_div_fin),0*IF(W11=1,0.5,1),0)</f>
        <v>0</v>
      </c>
      <c r="X36" s="17" t="n">
        <f aca="false">IF(AND(X$3&lt;=0,X$3&lt;=st_central_div_fin),0*IF(X11=1,0.5,1),0)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dot_taux_net*0</f>
        <v>0</v>
      </c>
      <c r="E38" s="17" t="n">
        <f aca="false">lissage_depense*D38+(1-lissage_depense)*dot_taux_net*MAX(0,D42)</f>
        <v>0</v>
      </c>
      <c r="F38" s="17" t="n">
        <f aca="false">lissage_depense*E38+(1-lissage_depense)*dot_taux_net*MAX(0,E42)</f>
        <v>0</v>
      </c>
      <c r="G38" s="17" t="n">
        <f aca="false">lissage_depense*F38+(1-lissage_depense)*dot_taux_net*MAX(0,F42)</f>
        <v>0</v>
      </c>
      <c r="H38" s="17" t="n">
        <f aca="false">lissage_depense*G38+(1-lissage_depense)*dot_taux_net*MAX(0,G42)</f>
        <v>0</v>
      </c>
      <c r="I38" s="17" t="n">
        <f aca="false">lissage_depense*H38+(1-lissage_depense)*dot_taux_net*MAX(0,H42)</f>
        <v>0</v>
      </c>
      <c r="J38" s="17" t="n">
        <f aca="false">lissage_depense*I38+(1-lissage_depense)*dot_taux_net*MAX(0,I42)</f>
        <v>0</v>
      </c>
      <c r="K38" s="17" t="n">
        <f aca="false">lissage_depense*J38+(1-lissage_depense)*dot_taux_net*MAX(0,J42)</f>
        <v>0</v>
      </c>
      <c r="L38" s="17" t="n">
        <f aca="false">lissage_depense*K38+(1-lissage_depense)*dot_taux_net*MAX(0,K42)</f>
        <v>0</v>
      </c>
      <c r="M38" s="17" t="n">
        <f aca="false">lissage_depense*L38+(1-lissage_depense)*dot_taux_net*MAX(0,L42)</f>
        <v>0</v>
      </c>
      <c r="N38" s="17" t="n">
        <f aca="false">lissage_depense*M38+(1-lissage_depense)*dot_taux_net*MAX(0,M42)</f>
        <v>0</v>
      </c>
      <c r="O38" s="17" t="n">
        <f aca="false">lissage_depense*N38+(1-lissage_depense)*dot_taux_net*MAX(0,N42)</f>
        <v>0</v>
      </c>
      <c r="P38" s="17" t="n">
        <f aca="false">lissage_depense*O38+(1-lissage_depense)*dot_taux_net*MAX(0,O42)</f>
        <v>0</v>
      </c>
      <c r="Q38" s="17" t="n">
        <f aca="false">lissage_depense*P38+(1-lissage_depense)*dot_taux_net*MAX(0,P42)</f>
        <v>0</v>
      </c>
      <c r="R38" s="17" t="n">
        <f aca="false">lissage_depense*Q38+(1-lissage_depense)*dot_taux_net*MAX(0,Q42)</f>
        <v>0</v>
      </c>
      <c r="S38" s="17" t="n">
        <f aca="false">lissage_depense*R38+(1-lissage_depense)*dot_taux_net*MAX(0,R42)</f>
        <v>0</v>
      </c>
      <c r="T38" s="17" t="n">
        <f aca="false">lissage_depense*S38+(1-lissage_depense)*dot_taux_net*MAX(0,S42)</f>
        <v>0</v>
      </c>
      <c r="U38" s="17" t="n">
        <f aca="false">lissage_depense*T38+(1-lissage_depense)*dot_taux_net*MAX(0,T42)</f>
        <v>0</v>
      </c>
      <c r="V38" s="17" t="n">
        <f aca="false">lissage_depense*U38+(1-lissage_depense)*dot_taux_net*MAX(0,U42)</f>
        <v>0</v>
      </c>
      <c r="W38" s="17" t="n">
        <f aca="false">lissage_depense*V38+(1-lissage_depense)*dot_taux_net*MAX(0,V42)</f>
        <v>0</v>
      </c>
      <c r="X38" s="17" t="n">
        <f aca="false">lissage_depense*W38+(1-lissage_depense)*dot_taux_net*MAX(0,W42)</f>
        <v>0</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0</v>
      </c>
      <c r="P39" s="17" t="n">
        <f aca="false">MIN(MAX(0,P35-P36),IF(P12=1,MAX(P38,retrait_urgence*MAX(0,O42)),P38))</f>
        <v>0</v>
      </c>
      <c r="Q39" s="17" t="n">
        <f aca="false">MIN(MAX(0,Q35-Q36),IF(Q12=1,MAX(Q38,retrait_urgence*MAX(0,P42)),Q38))</f>
        <v>0</v>
      </c>
      <c r="R39" s="17" t="n">
        <f aca="false">MIN(MAX(0,R35-R36),IF(R12=1,MAX(R38,retrait_urgence*MAX(0,Q42)),R38))</f>
        <v>0</v>
      </c>
      <c r="S39" s="17" t="n">
        <f aca="false">MIN(MAX(0,S35-S36),IF(S12=1,MAX(S38,retrait_urgence*MAX(0,R42)),S38))</f>
        <v>0</v>
      </c>
      <c r="T39" s="17" t="n">
        <f aca="false">MIN(MAX(0,T35-T36),IF(T12=1,MAX(T38,retrait_urgence*MAX(0,S42)),T38))</f>
        <v>0</v>
      </c>
      <c r="U39" s="17" t="n">
        <f aca="false">MIN(MAX(0,U35-U36),IF(U12=1,MAX(U38,retrait_urgence*MAX(0,T42)),U38))</f>
        <v>0</v>
      </c>
      <c r="V39" s="17" t="n">
        <f aca="false">MIN(MAX(0,V35-V36),IF(V12=1,MAX(V38,retrait_urgence*MAX(0,U42)),V38))</f>
        <v>0</v>
      </c>
      <c r="W39" s="17" t="n">
        <f aca="false">MIN(MAX(0,W35-W36),IF(W12=1,MAX(W38,retrait_urgence*MAX(0,V42)),W38))</f>
        <v>0</v>
      </c>
      <c r="X39" s="17" t="n">
        <f aca="false">MIN(MAX(0,X35-X36),IF(X12=1,MAX(X38,retrait_urgence*MAX(0,W42)),X38))</f>
        <v>0</v>
      </c>
    </row>
    <row r="40" customFormat="false" ht="15" hidden="false" customHeight="false" outlineLevel="0" collapsed="false">
      <c r="A40" s="2" t="s">
        <v>1885</v>
      </c>
      <c r="B40" s="18" t="s">
        <v>1886</v>
      </c>
      <c r="C40" s="2" t="s">
        <v>1832</v>
      </c>
      <c r="E40" s="23" t="n">
        <f aca="false">E36+E39-E35</f>
        <v>-1225931.7740625</v>
      </c>
      <c r="F40" s="23" t="n">
        <f aca="false">F36+F39-F35</f>
        <v>-1091092.00675547</v>
      </c>
      <c r="G40" s="23" t="n">
        <f aca="false">G36+G39-G35</f>
        <v>-1085164.36900049</v>
      </c>
      <c r="H40" s="23" t="n">
        <f aca="false">H36+H39-H35</f>
        <v>-1091582.0910209</v>
      </c>
      <c r="I40" s="23" t="n">
        <f aca="false">I36+I39-I35</f>
        <v>-1098066.24661377</v>
      </c>
      <c r="J40" s="23" t="n">
        <f aca="false">J36+J39-J35</f>
        <v>-1104617.76242718</v>
      </c>
      <c r="K40" s="23" t="n">
        <f aca="false">K36+K39-K35</f>
        <v>-1111237.58074264</v>
      </c>
      <c r="L40" s="23" t="n">
        <f aca="false">L36+L39-L35</f>
        <v>-1117926.65976297</v>
      </c>
      <c r="M40" s="23" t="n">
        <f aca="false">M36+M39-M35</f>
        <v>-1124685.97390569</v>
      </c>
      <c r="N40" s="23" t="n">
        <f aca="false">N36+N39-N35</f>
        <v>-1131516.51410195</v>
      </c>
      <c r="O40" s="23" t="n">
        <f aca="false">O36+O39-O35</f>
        <v>-1138419.28810119</v>
      </c>
      <c r="P40" s="23" t="n">
        <f aca="false">P36+P39-P35</f>
        <v>-1145395.32078164</v>
      </c>
      <c r="Q40" s="23" t="n">
        <f aca="false">Q36+Q39-Q35</f>
        <v>-1152445.65446665</v>
      </c>
      <c r="R40" s="23" t="n">
        <f aca="false">R36+R39-R35</f>
        <v>-1159571.34924721</v>
      </c>
      <c r="S40" s="23" t="n">
        <f aca="false">S36+S39-S35</f>
        <v>-1166773.48331049</v>
      </c>
      <c r="T40" s="23" t="n">
        <f aca="false">T36+T39-T35</f>
        <v>-1174053.15327472</v>
      </c>
      <c r="U40" s="23" t="n">
        <f aca="false">U36+U39-U35</f>
        <v>-1181411.47453049</v>
      </c>
      <c r="V40" s="23" t="n">
        <f aca="false">V36+V39-V35</f>
        <v>-1188849.58158849</v>
      </c>
      <c r="W40" s="23" t="n">
        <f aca="false">W36+W39-W35</f>
        <v>-1196368.628434</v>
      </c>
      <c r="X40" s="23" t="n">
        <f aca="false">X36+X39-X35</f>
        <v>-1203969.78888809</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0</f>
        <v>0</v>
      </c>
      <c r="E42" s="23" t="n">
        <f aca="false">MAX(0,D42)*(1+E37)-E39+E41-E31</f>
        <v>0</v>
      </c>
      <c r="F42" s="23" t="n">
        <f aca="false">MAX(0,E42)*(1+F37)-F39+F41-F31</f>
        <v>0</v>
      </c>
      <c r="G42" s="23" t="n">
        <f aca="false">MAX(0,F42)*(1+G37)-G39+G41-G31</f>
        <v>0</v>
      </c>
      <c r="H42" s="23" t="n">
        <f aca="false">MAX(0,G42)*(1+H37)-H39+H41-H31</f>
        <v>0</v>
      </c>
      <c r="I42" s="23" t="n">
        <f aca="false">MAX(0,H42)*(1+I37)-I39+I41-I31</f>
        <v>0</v>
      </c>
      <c r="J42" s="23" t="n">
        <f aca="false">MAX(0,I42)*(1+J37)-J39+J41-J31</f>
        <v>0</v>
      </c>
      <c r="K42" s="23" t="n">
        <f aca="false">MAX(0,J42)*(1+K37)-K39+K41-K31</f>
        <v>0</v>
      </c>
      <c r="L42" s="23" t="n">
        <f aca="false">MAX(0,K42)*(1+L37)-L39+L41-L31</f>
        <v>0</v>
      </c>
      <c r="M42" s="23" t="n">
        <f aca="false">MAX(0,L42)*(1+M37)-M39+M41-M31</f>
        <v>0</v>
      </c>
      <c r="N42" s="23" t="n">
        <f aca="false">MAX(0,M42)*(1+N37)-N39+N41-N31</f>
        <v>0</v>
      </c>
      <c r="O42" s="23" t="n">
        <f aca="false">MAX(0,N42)*(1+O37)-O39+O41-O31</f>
        <v>0</v>
      </c>
      <c r="P42" s="23" t="n">
        <f aca="false">MAX(0,O42)*(1+P37)-P39+P41-P31</f>
        <v>0</v>
      </c>
      <c r="Q42" s="23" t="n">
        <f aca="false">MAX(0,P42)*(1+Q37)-Q39+Q41-Q31</f>
        <v>0</v>
      </c>
      <c r="R42" s="23" t="n">
        <f aca="false">MAX(0,Q42)*(1+R37)-R39+R41-R31</f>
        <v>0</v>
      </c>
      <c r="S42" s="23" t="n">
        <f aca="false">MAX(0,R42)*(1+S37)-S39+S41-S31</f>
        <v>0</v>
      </c>
      <c r="T42" s="23" t="n">
        <f aca="false">MAX(0,S42)*(1+T37)-T39+T41-T31</f>
        <v>0</v>
      </c>
      <c r="U42" s="23" t="n">
        <f aca="false">MAX(0,T42)*(1+U37)-U39+U41-U31</f>
        <v>0</v>
      </c>
      <c r="V42" s="23" t="n">
        <f aca="false">MAX(0,U42)*(1+V37)-V39+V41-V31</f>
        <v>0</v>
      </c>
      <c r="W42" s="23" t="n">
        <f aca="false">MAX(0,V42)*(1+W37)-W39+W41-W31</f>
        <v>0</v>
      </c>
      <c r="X42" s="23" t="n">
        <f aca="false">MAX(0,W42)*(1+X37)-X39+X41-X31</f>
        <v>0</v>
      </c>
    </row>
    <row r="43" customFormat="false" ht="15" hidden="false" customHeight="false" outlineLevel="0" collapsed="false">
      <c r="A43" s="2" t="s">
        <v>1891</v>
      </c>
      <c r="B43" s="18" t="s">
        <v>1892</v>
      </c>
      <c r="C43" s="2" t="s">
        <v>1832</v>
      </c>
      <c r="D43" s="23" t="n">
        <f aca="false">S2_sol_reserve0</f>
        <v>1500000</v>
      </c>
      <c r="E43" s="23" t="n">
        <f aca="false">D43*(1+taux_reserve)+E40-E41-(E30-E31)</f>
        <v>-825931.7740625</v>
      </c>
      <c r="F43" s="23" t="n">
        <f aca="false">E43*(1+taux_reserve)+F40-F41-(F30-F31)</f>
        <v>-1917023.78081797</v>
      </c>
      <c r="G43" s="23" t="n">
        <f aca="false">F43*(1+taux_reserve)+G40-G41-(G30-G31)</f>
        <v>-3002188.14981846</v>
      </c>
      <c r="H43" s="23" t="n">
        <f aca="false">G43*(1+taux_reserve)+H40-H41-(H30-H31)</f>
        <v>-4093770.24083935</v>
      </c>
      <c r="I43" s="23" t="n">
        <f aca="false">H43*(1+taux_reserve)+I40-I41-(I30-I31)</f>
        <v>-5191836.48745313</v>
      </c>
      <c r="J43" s="23" t="n">
        <f aca="false">I43*(1+taux_reserve)+J40-J41-(J30-J31)</f>
        <v>-6296454.24988031</v>
      </c>
      <c r="K43" s="23" t="n">
        <f aca="false">J43*(1+taux_reserve)+K40-K41-(K30-K31)</f>
        <v>-7407691.83062295</v>
      </c>
      <c r="L43" s="23" t="n">
        <f aca="false">K43*(1+taux_reserve)+L40-L41-(L30-L31)</f>
        <v>-8525618.49038591</v>
      </c>
      <c r="M43" s="23" t="n">
        <f aca="false">L43*(1+taux_reserve)+M40-M41-(M30-M31)</f>
        <v>-9650304.4642916</v>
      </c>
      <c r="N43" s="23" t="n">
        <f aca="false">M43*(1+taux_reserve)+N40-N41-(N30-N31)</f>
        <v>-10781820.9783935</v>
      </c>
      <c r="O43" s="23" t="n">
        <f aca="false">N43*(1+taux_reserve)+O40-O41-(O30-O31)</f>
        <v>-11920240.2664947</v>
      </c>
      <c r="P43" s="23" t="n">
        <f aca="false">O43*(1+taux_reserve)+P40-P41-(P30-P31)</f>
        <v>-13065635.5872764</v>
      </c>
      <c r="Q43" s="23" t="n">
        <f aca="false">P43*(1+taux_reserve)+Q40-Q41-(Q30-Q31)</f>
        <v>-14218081.241743</v>
      </c>
      <c r="R43" s="23" t="n">
        <f aca="false">Q43*(1+taux_reserve)+R40-R41-(R30-R31)</f>
        <v>-15377652.5909902</v>
      </c>
      <c r="S43" s="23" t="n">
        <f aca="false">R43*(1+taux_reserve)+S40-S41-(S30-S31)</f>
        <v>-16544426.0743007</v>
      </c>
      <c r="T43" s="23" t="n">
        <f aca="false">S43*(1+taux_reserve)+T40-T41-(T30-T31)</f>
        <v>-17718479.2275755</v>
      </c>
      <c r="U43" s="23" t="n">
        <f aca="false">T43*(1+taux_reserve)+U40-U41-(U30-U31)</f>
        <v>-18899890.7021059</v>
      </c>
      <c r="V43" s="23" t="n">
        <f aca="false">U43*(1+taux_reserve)+V40-V41-(V30-V31)</f>
        <v>-20088740.2836944</v>
      </c>
      <c r="W43" s="23" t="n">
        <f aca="false">V43*(1+taux_reserve)+W40-W41-(W30-W31)</f>
        <v>-21285108.9121284</v>
      </c>
      <c r="X43" s="23" t="n">
        <f aca="false">W43*(1+taux_reserve)+X40-X41-(X30-X31)</f>
        <v>-22489078.7010165</v>
      </c>
    </row>
    <row r="44" customFormat="false" ht="15" hidden="false" customHeight="false" outlineLevel="0" collapsed="false">
      <c r="A44" s="2" t="s">
        <v>1893</v>
      </c>
      <c r="B44" s="18" t="s">
        <v>1894</v>
      </c>
      <c r="C44" s="2" t="s">
        <v>1832</v>
      </c>
      <c r="E44" s="23" t="n">
        <f aca="false">E43+E22</f>
        <v>-512451.2975</v>
      </c>
      <c r="F44" s="23" t="n">
        <f aca="false">F43+F22</f>
        <v>-1287711.72411875</v>
      </c>
      <c r="G44" s="23" t="n">
        <f aca="false">G43+G22</f>
        <v>-2054675.7761315</v>
      </c>
      <c r="H44" s="23" t="n">
        <f aca="false">H43+H22</f>
        <v>-3713340.48292372</v>
      </c>
      <c r="I44" s="23" t="n">
        <f aca="false">I43+I22</f>
        <v>-4488415.5090271</v>
      </c>
      <c r="J44" s="23" t="n">
        <f aca="false">J43+J22</f>
        <v>-5267619.61679007</v>
      </c>
      <c r="K44" s="23" t="n">
        <f aca="false">K43+K22</f>
        <v>-6051002.9404585</v>
      </c>
      <c r="L44" s="23" t="n">
        <f aca="false">L43+L22</f>
        <v>-8019517.8741359</v>
      </c>
      <c r="M44" s="23" t="n">
        <f aca="false">M43+M22</f>
        <v>-8811413.33530931</v>
      </c>
      <c r="N44" s="23" t="n">
        <f aca="false">N43+N22</f>
        <v>-9607643.40783349</v>
      </c>
      <c r="O44" s="23" t="n">
        <f aca="false">O43+O22</f>
        <v>-10408261.6060451</v>
      </c>
      <c r="P44" s="23" t="n">
        <f aca="false">P43+P22</f>
        <v>-12509941.6097223</v>
      </c>
      <c r="Q44" s="23" t="n">
        <f aca="false">Q43+Q22</f>
        <v>-13319500.1566398</v>
      </c>
      <c r="R44" s="23" t="n">
        <f aca="false">R43+R22</f>
        <v>-14133612.7450311</v>
      </c>
      <c r="S44" s="23" t="n">
        <f aca="false">S43+S22</f>
        <v>-14952336.5267793</v>
      </c>
      <c r="T44" s="23" t="n">
        <f aca="false">T43+T22</f>
        <v>-17135654.3410218</v>
      </c>
      <c r="U44" s="23" t="n">
        <f aca="false">U43+U22</f>
        <v>-17963775.7906709</v>
      </c>
      <c r="V44" s="23" t="n">
        <f aca="false">V43+V22</f>
        <v>-18796685.6721913</v>
      </c>
      <c r="W44" s="23" t="n">
        <f aca="false">W43+W22</f>
        <v>-19634445.0528068</v>
      </c>
      <c r="X44" s="23" t="n">
        <f aca="false">X43+X22</f>
        <v>-21885489.8980669</v>
      </c>
    </row>
    <row r="45" customFormat="false" ht="15" hidden="false" customHeight="false" outlineLevel="0" collapsed="false">
      <c r="A45" s="2" t="s">
        <v>1895</v>
      </c>
      <c r="B45" s="18" t="s">
        <v>1896</v>
      </c>
      <c r="C45" s="2" t="s">
        <v>46</v>
      </c>
      <c r="E45" s="24" t="n">
        <f aca="false">(E29+E38)/E18</f>
        <v>0.0157739749074053</v>
      </c>
      <c r="F45" s="24" t="n">
        <f aca="false">(F29+F38)/F18</f>
        <v>0.0294276547888573</v>
      </c>
      <c r="G45" s="24" t="n">
        <f aca="false">(G29+G38)/G18</f>
        <v>0.0390387832136779</v>
      </c>
      <c r="H45" s="24" t="n">
        <f aca="false">(H29+H38)/H18</f>
        <v>0.0388406709832166</v>
      </c>
      <c r="I45" s="24" t="n">
        <f aca="false">(I29+I38)/I18</f>
        <v>0.0386425396320134</v>
      </c>
      <c r="J45" s="24" t="n">
        <f aca="false">(J29+J38)/J18</f>
        <v>0.0384443924748825</v>
      </c>
      <c r="K45" s="24" t="n">
        <f aca="false">(K29+K38)/K18</f>
        <v>0.038246232870601</v>
      </c>
      <c r="L45" s="24" t="n">
        <f aca="false">(L29+L38)/L18</f>
        <v>0.0380480642226443</v>
      </c>
      <c r="M45" s="24" t="n">
        <f aca="false">(M29+M38)/M18</f>
        <v>0.0378498899799212</v>
      </c>
      <c r="N45" s="24" t="n">
        <f aca="false">(N29+N38)/N18</f>
        <v>0.0376517136375064</v>
      </c>
      <c r="O45" s="24" t="n">
        <f aca="false">(O29+O38)/O18</f>
        <v>0.0374535387373705</v>
      </c>
      <c r="P45" s="24" t="n">
        <f aca="false">(P29+P38)/P18</f>
        <v>0.0372553688691071</v>
      </c>
      <c r="Q45" s="24" t="n">
        <f aca="false">(Q29+Q38)/Q18</f>
        <v>0.0370572076706569</v>
      </c>
      <c r="R45" s="24" t="n">
        <f aca="false">(R29+R38)/R18</f>
        <v>0.0368590588290261</v>
      </c>
      <c r="S45" s="24" t="n">
        <f aca="false">(S29+S38)/S18</f>
        <v>0.0366609260810009</v>
      </c>
      <c r="T45" s="24" t="n">
        <f aca="false">(T29+T38)/T18</f>
        <v>0.0364628132138564</v>
      </c>
      <c r="U45" s="24" t="n">
        <f aca="false">(U29+U38)/U18</f>
        <v>0.0362647240660584</v>
      </c>
      <c r="V45" s="24" t="n">
        <f aca="false">(V29+V38)/V18</f>
        <v>0.0360666625279589</v>
      </c>
      <c r="W45" s="24" t="n">
        <f aca="false">(W29+W38)/W18</f>
        <v>0.0358686325424834</v>
      </c>
      <c r="X45" s="24" t="n">
        <f aca="false">(X29+X38)/X18</f>
        <v>0.0356706381058104</v>
      </c>
    </row>
    <row r="46" customFormat="false" ht="15" hidden="false" customHeight="false" outlineLevel="0" collapsed="false">
      <c r="A46" s="2" t="s">
        <v>1897</v>
      </c>
      <c r="B46" s="18" t="s">
        <v>1898</v>
      </c>
      <c r="C46" s="2" t="s">
        <v>1815</v>
      </c>
      <c r="E46" s="25" t="n">
        <f aca="false">IF(E38&gt;=E35,1,0)</f>
        <v>0</v>
      </c>
      <c r="F46" s="25" t="n">
        <f aca="false">IF(F38&gt;=F35,1,0)</f>
        <v>0</v>
      </c>
      <c r="G46" s="25" t="n">
        <f aca="false">IF(G38&gt;=G35,1,0)</f>
        <v>0</v>
      </c>
      <c r="H46" s="25" t="n">
        <f aca="false">IF(H38&gt;=H35,1,0)</f>
        <v>0</v>
      </c>
      <c r="I46" s="25" t="n">
        <f aca="false">IF(I38&gt;=I35,1,0)</f>
        <v>0</v>
      </c>
      <c r="J46" s="25" t="n">
        <f aca="false">IF(J38&gt;=J35,1,0)</f>
        <v>0</v>
      </c>
      <c r="K46" s="25" t="n">
        <f aca="false">IF(K38&gt;=K35,1,0)</f>
        <v>0</v>
      </c>
      <c r="L46" s="25" t="n">
        <f aca="false">IF(L38&gt;=L35,1,0)</f>
        <v>0</v>
      </c>
      <c r="M46" s="25" t="n">
        <f aca="false">IF(M38&gt;=M35,1,0)</f>
        <v>0</v>
      </c>
      <c r="N46" s="25" t="n">
        <f aca="false">IF(N38&gt;=N35,1,0)</f>
        <v>0</v>
      </c>
      <c r="O46" s="25" t="n">
        <f aca="false">IF(O38&gt;=O35,1,0)</f>
        <v>0</v>
      </c>
      <c r="P46" s="25" t="n">
        <f aca="false">IF(P38&gt;=P35,1,0)</f>
        <v>0</v>
      </c>
      <c r="Q46" s="25" t="n">
        <f aca="false">IF(Q38&gt;=Q35,1,0)</f>
        <v>0</v>
      </c>
      <c r="R46" s="25" t="n">
        <f aca="false">IF(R38&gt;=R35,1,0)</f>
        <v>0</v>
      </c>
      <c r="S46" s="25" t="n">
        <f aca="false">IF(S38&gt;=S35,1,0)</f>
        <v>0</v>
      </c>
      <c r="T46" s="25" t="n">
        <f aca="false">IF(T38&gt;=T35,1,0)</f>
        <v>0</v>
      </c>
      <c r="U46" s="25" t="n">
        <f aca="false">IF(U38&gt;=U35,1,0)</f>
        <v>0</v>
      </c>
      <c r="V46" s="25" t="n">
        <f aca="false">IF(V38&gt;=V35,1,0)</f>
        <v>0</v>
      </c>
      <c r="W46" s="25" t="n">
        <f aca="false">IF(W38&gt;=W35,1,0)</f>
        <v>0</v>
      </c>
      <c r="X46" s="25" t="n">
        <f aca="false">IF(X38&gt;=X35,1,0)</f>
        <v>0</v>
      </c>
    </row>
    <row r="47" customFormat="false" ht="15" hidden="false" customHeight="false" outlineLevel="0" collapsed="false">
      <c r="A47" s="2" t="s">
        <v>1899</v>
      </c>
      <c r="B47" s="18" t="s">
        <v>1900</v>
      </c>
      <c r="C47" s="2" t="s">
        <v>1815</v>
      </c>
      <c r="E47" s="25" t="n">
        <f aca="false">IF(E43&lt;0,1,0)</f>
        <v>1</v>
      </c>
      <c r="F47" s="25" t="n">
        <f aca="false">IF(F43&lt;0,1,0)</f>
        <v>1</v>
      </c>
      <c r="G47" s="25" t="n">
        <f aca="false">IF(G43&lt;0,1,0)</f>
        <v>1</v>
      </c>
      <c r="H47" s="25" t="n">
        <f aca="false">IF(H43&lt;0,1,0)</f>
        <v>1</v>
      </c>
      <c r="I47" s="25" t="n">
        <f aca="false">IF(I43&lt;0,1,0)</f>
        <v>1</v>
      </c>
      <c r="J47" s="25" t="n">
        <f aca="false">IF(J43&lt;0,1,0)</f>
        <v>1</v>
      </c>
      <c r="K47" s="25" t="n">
        <f aca="false">IF(K43&lt;0,1,0)</f>
        <v>1</v>
      </c>
      <c r="L47" s="25" t="n">
        <f aca="false">IF(L43&lt;0,1,0)</f>
        <v>1</v>
      </c>
      <c r="M47" s="25" t="n">
        <f aca="false">IF(M43&lt;0,1,0)</f>
        <v>1</v>
      </c>
      <c r="N47" s="25" t="n">
        <f aca="false">IF(N43&lt;0,1,0)</f>
        <v>1</v>
      </c>
      <c r="O47" s="25" t="n">
        <f aca="false">IF(O43&lt;0,1,0)</f>
        <v>1</v>
      </c>
      <c r="P47" s="25" t="n">
        <f aca="false">IF(P43&lt;0,1,0)</f>
        <v>1</v>
      </c>
      <c r="Q47" s="25" t="n">
        <f aca="false">IF(Q43&lt;0,1,0)</f>
        <v>1</v>
      </c>
      <c r="R47" s="25" t="n">
        <f aca="false">IF(R43&lt;0,1,0)</f>
        <v>1</v>
      </c>
      <c r="S47" s="25" t="n">
        <f aca="false">IF(S43&lt;0,1,0)</f>
        <v>1</v>
      </c>
      <c r="T47" s="25" t="n">
        <f aca="false">IF(T43&lt;0,1,0)</f>
        <v>1</v>
      </c>
      <c r="U47" s="25" t="n">
        <f aca="false">IF(U43&lt;0,1,0)</f>
        <v>1</v>
      </c>
      <c r="V47" s="25" t="n">
        <f aca="false">IF(V43&lt;0,1,0)</f>
        <v>1</v>
      </c>
      <c r="W47" s="25" t="n">
        <f aca="false">IF(W43&lt;0,1,0)</f>
        <v>1</v>
      </c>
      <c r="X47" s="25" t="n">
        <f aca="false">IF(X43&lt;0,1,0)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(bud_chauffage_S2+bud_hors_gel_S2+bud_electricite_S2)*E7*IF(AND(E$3&gt;=st_central_energie_debut,E$3&lt;=st_central_energie_fin),st_central_energie_mult,1)</f>
        <v>52815.6</v>
      </c>
      <c r="F14" s="17" t="n">
        <f aca="false">(bud_chauffage_S2+bud_hors_gel_S2+bud_electricite_S2)*F7*IF(AND(F$3&gt;=st_central_energie_debut,F$3&lt;=st_central_energie_fin),st_central_energie_mult,1)</f>
        <v>53871.912</v>
      </c>
      <c r="G14" s="17" t="n">
        <f aca="false">(bud_chauffage_S2+bud_hors_gel_S2+bud_electricite_S2)*G7*IF(AND(G$3&gt;=st_central_energie_debut,G$3&lt;=st_central_energie_fin),st_central_energie_mult,1)</f>
        <v>54949.35024</v>
      </c>
      <c r="H14" s="17" t="n">
        <f aca="false">(bud_chauffage_S2+bud_hors_gel_S2+bud_electricite_S2)*H7*IF(AND(H$3&gt;=st_central_energie_debut,H$3&lt;=st_central_energie_fin),st_central_energie_mult,1)</f>
        <v>56048.3372448</v>
      </c>
      <c r="I14" s="17" t="n">
        <f aca="false">(bud_chauffage_S2+bud_hors_gel_S2+bud_electricite_S2)*I7*IF(AND(I$3&gt;=st_central_energie_debut,I$3&lt;=st_central_energie_fin),st_central_energie_mult,1)</f>
        <v>57169.303989696</v>
      </c>
      <c r="J14" s="17" t="n">
        <f aca="false">(bud_chauffage_S2+bud_hors_gel_S2+bud_electricite_S2)*J7*IF(AND(J$3&gt;=st_central_energie_debut,J$3&lt;=st_central_energie_fin),st_central_energie_mult,1)</f>
        <v>58312.6900694899</v>
      </c>
      <c r="K14" s="17" t="n">
        <f aca="false">(bud_chauffage_S2+bud_hors_gel_S2+bud_electricite_S2)*K7*IF(AND(K$3&gt;=st_central_energie_debut,K$3&lt;=st_central_energie_fin),st_central_energie_mult,1)</f>
        <v>59478.9438708797</v>
      </c>
      <c r="L14" s="17" t="n">
        <f aca="false">(bud_chauffage_S2+bud_hors_gel_S2+bud_electricite_S2)*L7*IF(AND(L$3&gt;=st_central_energie_debut,L$3&lt;=st_central_energie_fin),st_central_energie_mult,1)</f>
        <v>60668.5227482973</v>
      </c>
      <c r="M14" s="17" t="n">
        <f aca="false">(bud_chauffage_S2+bud_hors_gel_S2+bud_electricite_S2)*M7*IF(AND(M$3&gt;=st_central_energie_debut,M$3&lt;=st_central_energie_fin),st_central_energie_mult,1)</f>
        <v>61881.8932032633</v>
      </c>
      <c r="N14" s="17" t="n">
        <f aca="false">(bud_chauffage_S2+bud_hors_gel_S2+bud_electricite_S2)*N7*IF(AND(N$3&gt;=st_central_energie_debut,N$3&lt;=st_central_energie_fin),st_central_energie_mult,1)</f>
        <v>63119.5310673285</v>
      </c>
      <c r="O14" s="17" t="n">
        <f aca="false">(bud_chauffage_S2+bud_hors_gel_S2+bud_electricite_S2)*O7*IF(AND(O$3&gt;=st_central_energie_debut,O$3&lt;=st_central_energie_fin),st_central_energie_mult,1)</f>
        <v>64381.9216886751</v>
      </c>
      <c r="P14" s="17" t="n">
        <f aca="false">(bud_chauffage_S2+bud_hors_gel_S2+bud_electricite_S2)*P7*IF(AND(P$3&gt;=st_central_energie_debut,P$3&lt;=st_central_energie_fin),st_central_energie_mult,1)</f>
        <v>65669.5601224486</v>
      </c>
      <c r="Q14" s="17" t="n">
        <f aca="false">(bud_chauffage_S2+bud_hors_gel_S2+bud_electricite_S2)*Q7*IF(AND(Q$3&gt;=st_central_energie_debut,Q$3&lt;=st_central_energie_fin),st_central_energie_mult,1)</f>
        <v>66982.9513248976</v>
      </c>
      <c r="R14" s="17" t="n">
        <f aca="false">(bud_chauffage_S2+bud_hors_gel_S2+bud_electricite_S2)*R7*IF(AND(R$3&gt;=st_central_energie_debut,R$3&lt;=st_central_energie_fin),st_central_energie_mult,1)</f>
        <v>68322.6103513955</v>
      </c>
      <c r="S14" s="17" t="n">
        <f aca="false">(bud_chauffage_S2+bud_hors_gel_S2+bud_electricite_S2)*S7*IF(AND(S$3&gt;=st_central_energie_debut,S$3&lt;=st_central_energie_fin),st_central_energie_mult,1)</f>
        <v>69689.0625584235</v>
      </c>
      <c r="T14" s="17" t="n">
        <f aca="false">(bud_chauffage_S2+bud_hors_gel_S2+bud_electricite_S2)*T7*IF(AND(T$3&gt;=st_central_energie_debut,T$3&lt;=st_central_energie_fin),st_central_energie_mult,1)</f>
        <v>71082.8438095919</v>
      </c>
      <c r="U14" s="17" t="n">
        <f aca="false">(bud_chauffage_S2+bud_hors_gel_S2+bud_electricite_S2)*U7*IF(AND(U$3&gt;=st_central_energie_debut,U$3&lt;=st_central_energie_fin),st_central_energie_mult,1)</f>
        <v>72504.5006857838</v>
      </c>
      <c r="V14" s="17" t="n">
        <f aca="false">(bud_chauffage_S2+bud_hors_gel_S2+bud_electricite_S2)*V7*IF(AND(V$3&gt;=st_central_energie_debut,V$3&lt;=st_central_energie_fin),st_central_energie_mult,1)</f>
        <v>73954.5906994994</v>
      </c>
      <c r="W14" s="17" t="n">
        <f aca="false">(bud_chauffage_S2+bud_hors_gel_S2+bud_electricite_S2)*W7*IF(AND(W$3&gt;=st_central_energie_debut,W$3&lt;=st_central_energie_fin),st_central_energie_mult,1)</f>
        <v>75433.6825134894</v>
      </c>
      <c r="X14" s="17" t="n">
        <f aca="false">(bud_chauffage_S2+bud_hors_gel_S2+bud_electricite_S2)*X7*IF(AND(X$3&gt;=st_central_energie_debut,X$3&lt;=st_central_energie_fin),st_central_energie_mult,1)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1268099.19305212</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1306572.29625107</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1346212.64226341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1387055.64429141</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1429137.78994523</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(S2_ech_log*mot_log_cn+S2_ech_stock*mot_stock_cn+S2_ech_pv*mot_pv_cn+S2_ech_bois*mot_bois_cn)*E24*E9*IF(E$3&gt;=st_central_debut_mult,st_central_mult_A,1)*IF(E11=1,1-0.05,IF(E11=2,1-0.02,1))</f>
        <v>21930.4</v>
      </c>
      <c r="F25" s="17" t="n">
        <f aca="false">(S2_ech_log*mot_log_cn+S2_ech_stock*mot_stock_cn+S2_ech_pv*mot_pv_cn+S2_ech_bois*mot_bois_cn)*F24*F9*IF(F$3&gt;=st_central_debut_mult,st_central_mult_A,1)*IF(F11=1,1-0.05,IF(F11=2,1-0.02,1))</f>
        <v>41119.5</v>
      </c>
      <c r="G25" s="17" t="n">
        <f aca="false">(S2_ech_log*mot_log_cn+S2_ech_stock*mot_stock_cn+S2_ech_pv*mot_pv_cn+S2_ech_bois*mot_bois_cn)*G24*G9*IF(G$3&gt;=st_central_debut_mult,st_central_mult_A,1)*IF(G11=1,1-0.05,IF(G11=2,1-0.02,1))</f>
        <v>54826</v>
      </c>
      <c r="H25" s="17" t="n">
        <f aca="false">(S2_ech_log*mot_log_cn+S2_ech_stock*mot_stock_cn+S2_ech_pv*mot_pv_cn+S2_ech_bois*mot_bois_cn)*H24*H9*IF(H$3&gt;=st_central_debut_mult,st_central_mult_A,1)*IF(H11=1,1-0.05,IF(H11=2,1-0.02,1))</f>
        <v>54826</v>
      </c>
      <c r="I25" s="17" t="n">
        <f aca="false">(S2_ech_log*mot_log_cn+S2_ech_stock*mot_stock_cn+S2_ech_pv*mot_pv_cn+S2_ech_bois*mot_bois_cn)*I24*I9*IF(I$3&gt;=st_central_debut_mult,st_central_mult_A,1)*IF(I11=1,1-0.05,IF(I11=2,1-0.02,1))</f>
        <v>54826</v>
      </c>
      <c r="J25" s="17" t="n">
        <f aca="false">(S2_ech_log*mot_log_cn+S2_ech_stock*mot_stock_cn+S2_ech_pv*mot_pv_cn+S2_ech_bois*mot_bois_cn)*J24*J9*IF(J$3&gt;=st_central_debut_mult,st_central_mult_A,1)*IF(J11=1,1-0.05,IF(J11=2,1-0.02,1))</f>
        <v>54826</v>
      </c>
      <c r="K25" s="17" t="n">
        <f aca="false">(S2_ech_log*mot_log_cn+S2_ech_stock*mot_stock_cn+S2_ech_pv*mot_pv_cn+S2_ech_bois*mot_bois_cn)*K24*K9*IF(K$3&gt;=st_central_debut_mult,st_central_mult_A,1)*IF(K11=1,1-0.05,IF(K11=2,1-0.02,1))</f>
        <v>54826</v>
      </c>
      <c r="L25" s="17" t="n">
        <f aca="false">(S2_ech_log*mot_log_cn+S2_ech_stock*mot_stock_cn+S2_ech_pv*mot_pv_cn+S2_ech_bois*mot_bois_cn)*L24*L9*IF(L$3&gt;=st_central_debut_mult,st_central_mult_A,1)*IF(L11=1,1-0.05,IF(L11=2,1-0.02,1))</f>
        <v>54826</v>
      </c>
      <c r="M25" s="17" t="n">
        <f aca="false">(S2_ech_log*mot_log_cn+S2_ech_stock*mot_stock_cn+S2_ech_pv*mot_pv_cn+S2_ech_bois*mot_bois_cn)*M24*M9*IF(M$3&gt;=st_central_debut_mult,st_central_mult_A,1)*IF(M11=1,1-0.05,IF(M11=2,1-0.02,1))</f>
        <v>54826</v>
      </c>
      <c r="N25" s="17" t="n">
        <f aca="false">(S2_ech_log*mot_log_cn+S2_ech_stock*mot_stock_cn+S2_ech_pv*mot_pv_cn+S2_ech_bois*mot_bois_cn)*N24*N9*IF(N$3&gt;=st_central_debut_mult,st_central_mult_A,1)*IF(N11=1,1-0.05,IF(N11=2,1-0.02,1))</f>
        <v>54826</v>
      </c>
      <c r="O25" s="17" t="n">
        <f aca="false">(S2_ech_log*mot_log_cn+S2_ech_stock*mot_stock_cn+S2_ech_pv*mot_pv_cn+S2_ech_bois*mot_bois_cn)*O24*O9*IF(O$3&gt;=st_central_debut_mult,st_central_mult_A,1)*IF(O11=1,1-0.05,IF(O11=2,1-0.02,1))</f>
        <v>54826</v>
      </c>
      <c r="P25" s="17" t="n">
        <f aca="false">(S2_ech_log*mot_log_cn+S2_ech_stock*mot_stock_cn+S2_ech_pv*mot_pv_cn+S2_ech_bois*mot_bois_cn)*P24*P9*IF(P$3&gt;=st_central_debut_mult,st_central_mult_A,1)*IF(P11=1,1-0.05,IF(P11=2,1-0.02,1))</f>
        <v>54826</v>
      </c>
      <c r="Q25" s="17" t="n">
        <f aca="false">(S2_ech_log*mot_log_cn+S2_ech_stock*mot_stock_cn+S2_ech_pv*mot_pv_cn+S2_ech_bois*mot_bois_cn)*Q24*Q9*IF(Q$3&gt;=st_central_debut_mult,st_central_mult_A,1)*IF(Q11=1,1-0.05,IF(Q11=2,1-0.02,1))</f>
        <v>54826</v>
      </c>
      <c r="R25" s="17" t="n">
        <f aca="false">(S2_ech_log*mot_log_cn+S2_ech_stock*mot_stock_cn+S2_ech_pv*mot_pv_cn+S2_ech_bois*mot_bois_cn)*R24*R9*IF(R$3&gt;=st_central_debut_mult,st_central_mult_A,1)*IF(R11=1,1-0.05,IF(R11=2,1-0.02,1))</f>
        <v>54826</v>
      </c>
      <c r="S25" s="17" t="n">
        <f aca="false">(S2_ech_log*mot_log_cn+S2_ech_stock*mot_stock_cn+S2_ech_pv*mot_pv_cn+S2_ech_bois*mot_bois_cn)*S24*S9*IF(S$3&gt;=st_central_debut_mult,st_central_mult_A,1)*IF(S11=1,1-0.05,IF(S11=2,1-0.02,1))</f>
        <v>54826</v>
      </c>
      <c r="T25" s="17" t="n">
        <f aca="false">(S2_ech_log*mot_log_cn+S2_ech_stock*mot_stock_cn+S2_ech_pv*mot_pv_cn+S2_ech_bois*mot_bois_cn)*T24*T9*IF(T$3&gt;=st_central_debut_mult,st_central_mult_A,1)*IF(T11=1,1-0.05,IF(T11=2,1-0.02,1))</f>
        <v>54826</v>
      </c>
      <c r="U25" s="17" t="n">
        <f aca="false">(S2_ech_log*mot_log_cn+S2_ech_stock*mot_stock_cn+S2_ech_pv*mot_pv_cn+S2_ech_bois*mot_bois_cn)*U24*U9*IF(U$3&gt;=st_central_debut_mult,st_central_mult_A,1)*IF(U11=1,1-0.05,IF(U11=2,1-0.02,1))</f>
        <v>54826</v>
      </c>
      <c r="V25" s="17" t="n">
        <f aca="false">(S2_ech_log*mot_log_cn+S2_ech_stock*mot_stock_cn+S2_ech_pv*mot_pv_cn+S2_ech_bois*mot_bois_cn)*V24*V9*IF(V$3&gt;=st_central_debut_mult,st_central_mult_A,1)*IF(V11=1,1-0.05,IF(V11=2,1-0.02,1))</f>
        <v>54826</v>
      </c>
      <c r="W25" s="17" t="n">
        <f aca="false">(S2_ech_log*mot_log_cn+S2_ech_stock*mot_stock_cn+S2_ech_pv*mot_pv_cn+S2_ech_bois*mot_bois_cn)*W24*W9*IF(W$3&gt;=st_central_debut_mult,st_central_mult_A,1)*IF(W11=1,1-0.05,IF(W11=2,1-0.02,1))</f>
        <v>54826</v>
      </c>
      <c r="X25" s="17" t="n">
        <f aca="false">(S2_ech_log*mot_log_cn+S2_ech_stock*mot_stock_cn+S2_ech_pv*mot_pv_cn+S2_ech_bois*mot_bois_cn)*X24*X9*IF(X$3&gt;=st_central_debut_mult,st_central_mult_A,1)*IF(X11=1,1-0.05,IF(X11=2,1-0.02,1))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(S2_ech_eq_std*mot_eq_std_cn+S2_ech_eq_ret*mot_eq_ret_cn)*E24*E9*IF(E$3&gt;=st_central_debut_mult,st_central_mult_B,1)*IF(E11=1,1-0.15,IF(E11=2,1-0.05,1))</f>
        <v>3757.8</v>
      </c>
      <c r="F26" s="17" t="n">
        <f aca="false">(S2_ech_eq_std*mot_eq_std_cn+S2_ech_eq_ret*mot_eq_ret_cn)*F24*F9*IF(F$3&gt;=st_central_debut_mult,st_central_mult_B,1)*IF(F11=1,1-0.15,IF(F11=2,1-0.05,1))</f>
        <v>7045.875</v>
      </c>
      <c r="G26" s="17" t="n">
        <f aca="false">(S2_ech_eq_std*mot_eq_std_cn+S2_ech_eq_ret*mot_eq_ret_cn)*G24*G9*IF(G$3&gt;=st_central_debut_mult,st_central_mult_B,1)*IF(G11=1,1-0.15,IF(G11=2,1-0.05,1))</f>
        <v>9394.5</v>
      </c>
      <c r="H26" s="17" t="n">
        <f aca="false">(S2_ech_eq_std*mot_eq_std_cn+S2_ech_eq_ret*mot_eq_ret_cn)*H24*H9*IF(H$3&gt;=st_central_debut_mult,st_central_mult_B,1)*IF(H11=1,1-0.15,IF(H11=2,1-0.05,1))</f>
        <v>9394.5</v>
      </c>
      <c r="I26" s="17" t="n">
        <f aca="false">(S2_ech_eq_std*mot_eq_std_cn+S2_ech_eq_ret*mot_eq_ret_cn)*I24*I9*IF(I$3&gt;=st_central_debut_mult,st_central_mult_B,1)*IF(I11=1,1-0.15,IF(I11=2,1-0.05,1))</f>
        <v>9394.5</v>
      </c>
      <c r="J26" s="17" t="n">
        <f aca="false">(S2_ech_eq_std*mot_eq_std_cn+S2_ech_eq_ret*mot_eq_ret_cn)*J24*J9*IF(J$3&gt;=st_central_debut_mult,st_central_mult_B,1)*IF(J11=1,1-0.15,IF(J11=2,1-0.05,1))</f>
        <v>9394.5</v>
      </c>
      <c r="K26" s="17" t="n">
        <f aca="false">(S2_ech_eq_std*mot_eq_std_cn+S2_ech_eq_ret*mot_eq_ret_cn)*K24*K9*IF(K$3&gt;=st_central_debut_mult,st_central_mult_B,1)*IF(K11=1,1-0.15,IF(K11=2,1-0.05,1))</f>
        <v>9394.5</v>
      </c>
      <c r="L26" s="17" t="n">
        <f aca="false">(S2_ech_eq_std*mot_eq_std_cn+S2_ech_eq_ret*mot_eq_ret_cn)*L24*L9*IF(L$3&gt;=st_central_debut_mult,st_central_mult_B,1)*IF(L11=1,1-0.15,IF(L11=2,1-0.05,1))</f>
        <v>9394.5</v>
      </c>
      <c r="M26" s="17" t="n">
        <f aca="false">(S2_ech_eq_std*mot_eq_std_cn+S2_ech_eq_ret*mot_eq_ret_cn)*M24*M9*IF(M$3&gt;=st_central_debut_mult,st_central_mult_B,1)*IF(M11=1,1-0.15,IF(M11=2,1-0.05,1))</f>
        <v>9394.5</v>
      </c>
      <c r="N26" s="17" t="n">
        <f aca="false">(S2_ech_eq_std*mot_eq_std_cn+S2_ech_eq_ret*mot_eq_ret_cn)*N24*N9*IF(N$3&gt;=st_central_debut_mult,st_central_mult_B,1)*IF(N11=1,1-0.15,IF(N11=2,1-0.05,1))</f>
        <v>9394.5</v>
      </c>
      <c r="O26" s="17" t="n">
        <f aca="false">(S2_ech_eq_std*mot_eq_std_cn+S2_ech_eq_ret*mot_eq_ret_cn)*O24*O9*IF(O$3&gt;=st_central_debut_mult,st_central_mult_B,1)*IF(O11=1,1-0.15,IF(O11=2,1-0.05,1))</f>
        <v>9394.5</v>
      </c>
      <c r="P26" s="17" t="n">
        <f aca="false">(S2_ech_eq_std*mot_eq_std_cn+S2_ech_eq_ret*mot_eq_ret_cn)*P24*P9*IF(P$3&gt;=st_central_debut_mult,st_central_mult_B,1)*IF(P11=1,1-0.15,IF(P11=2,1-0.05,1))</f>
        <v>9394.5</v>
      </c>
      <c r="Q26" s="17" t="n">
        <f aca="false">(S2_ech_eq_std*mot_eq_std_cn+S2_ech_eq_ret*mot_eq_ret_cn)*Q24*Q9*IF(Q$3&gt;=st_central_debut_mult,st_central_mult_B,1)*IF(Q11=1,1-0.15,IF(Q11=2,1-0.05,1))</f>
        <v>9394.5</v>
      </c>
      <c r="R26" s="17" t="n">
        <f aca="false">(S2_ech_eq_std*mot_eq_std_cn+S2_ech_eq_ret*mot_eq_ret_cn)*R24*R9*IF(R$3&gt;=st_central_debut_mult,st_central_mult_B,1)*IF(R11=1,1-0.15,IF(R11=2,1-0.05,1))</f>
        <v>9394.5</v>
      </c>
      <c r="S26" s="17" t="n">
        <f aca="false">(S2_ech_eq_std*mot_eq_std_cn+S2_ech_eq_ret*mot_eq_ret_cn)*S24*S9*IF(S$3&gt;=st_central_debut_mult,st_central_mult_B,1)*IF(S11=1,1-0.15,IF(S11=2,1-0.05,1))</f>
        <v>9394.5</v>
      </c>
      <c r="T26" s="17" t="n">
        <f aca="false">(S2_ech_eq_std*mot_eq_std_cn+S2_ech_eq_ret*mot_eq_ret_cn)*T24*T9*IF(T$3&gt;=st_central_debut_mult,st_central_mult_B,1)*IF(T11=1,1-0.15,IF(T11=2,1-0.05,1))</f>
        <v>9394.5</v>
      </c>
      <c r="U26" s="17" t="n">
        <f aca="false">(S2_ech_eq_std*mot_eq_std_cn+S2_ech_eq_ret*mot_eq_ret_cn)*U24*U9*IF(U$3&gt;=st_central_debut_mult,st_central_mult_B,1)*IF(U11=1,1-0.15,IF(U11=2,1-0.05,1))</f>
        <v>9394.5</v>
      </c>
      <c r="V26" s="17" t="n">
        <f aca="false">(S2_ech_eq_std*mot_eq_std_cn+S2_ech_eq_ret*mot_eq_ret_cn)*V24*V9*IF(V$3&gt;=st_central_debut_mult,st_central_mult_B,1)*IF(V11=1,1-0.15,IF(V11=2,1-0.05,1))</f>
        <v>9394.5</v>
      </c>
      <c r="W26" s="17" t="n">
        <f aca="false">(S2_ech_eq_std*mot_eq_std_cn+S2_ech_eq_ret*mot_eq_ret_cn)*W24*W9*IF(W$3&gt;=st_central_debut_mult,st_central_mult_B,1)*IF(W11=1,1-0.15,IF(W11=2,1-0.05,1))</f>
        <v>9394.5</v>
      </c>
      <c r="X26" s="17" t="n">
        <f aca="false">(S2_ech_eq_std*mot_eq_std_cn+S2_ech_eq_ret*mot_eq_ret_cn)*X24*X9*IF(X$3&gt;=st_central_debut_mult,st_central_mult_B,1)*IF(X11=1,1-0.15,IF(X11=2,1-0.05,1))</f>
        <v>9394.5</v>
      </c>
    </row>
    <row r="27" customFormat="false" ht="15" hidden="false" customHeight="false" outlineLevel="0" collapsed="false">
      <c r="A27" s="2" t="s">
        <v>1859</v>
      </c>
      <c r="B27" s="2" t="s">
        <v>1860</v>
      </c>
      <c r="C27" s="2" t="s">
        <v>1832</v>
      </c>
      <c r="E27" s="17" t="n">
        <f aca="false">(S2_ech_tourn*mot_tourn_cn)*E24*E9*IF(E$3&gt;=st_central_debut_mult,st_central_mult_C,1)*IF(E11=1,1-0.8,IF(E11=2,1-0.3,1))</f>
        <v>2380</v>
      </c>
      <c r="F27" s="17" t="n">
        <f aca="false">(S2_ech_tourn*mot_tourn_cn)*F24*F9*IF(F$3&gt;=st_central_debut_mult,st_central_mult_C,1)*IF(F11=1,1-0.8,IF(F11=2,1-0.3,1))</f>
        <v>4462.5</v>
      </c>
      <c r="G27" s="17" t="n">
        <f aca="false">(S2_ech_tourn*mot_tourn_cn)*G24*G9*IF(G$3&gt;=st_central_debut_mult,st_central_mult_C,1)*IF(G11=1,1-0.8,IF(G11=2,1-0.3,1))</f>
        <v>5950</v>
      </c>
      <c r="H27" s="17" t="n">
        <f aca="false">(S2_ech_tourn*mot_tourn_cn)*H24*H9*IF(H$3&gt;=st_central_debut_mult,st_central_mult_C,1)*IF(H11=1,1-0.8,IF(H11=2,1-0.3,1))</f>
        <v>5950</v>
      </c>
      <c r="I27" s="17" t="n">
        <f aca="false">(S2_ech_tourn*mot_tourn_cn)*I24*I9*IF(I$3&gt;=st_central_debut_mult,st_central_mult_C,1)*IF(I11=1,1-0.8,IF(I11=2,1-0.3,1))</f>
        <v>5950</v>
      </c>
      <c r="J27" s="17" t="n">
        <f aca="false">(S2_ech_tourn*mot_tourn_cn)*J24*J9*IF(J$3&gt;=st_central_debut_mult,st_central_mult_C,1)*IF(J11=1,1-0.8,IF(J11=2,1-0.3,1))</f>
        <v>5950</v>
      </c>
      <c r="K27" s="17" t="n">
        <f aca="false">(S2_ech_tourn*mot_tourn_cn)*K24*K9*IF(K$3&gt;=st_central_debut_mult,st_central_mult_C,1)*IF(K11=1,1-0.8,IF(K11=2,1-0.3,1))</f>
        <v>5950</v>
      </c>
      <c r="L27" s="17" t="n">
        <f aca="false">(S2_ech_tourn*mot_tourn_cn)*L24*L9*IF(L$3&gt;=st_central_debut_mult,st_central_mult_C,1)*IF(L11=1,1-0.8,IF(L11=2,1-0.3,1))</f>
        <v>5950</v>
      </c>
      <c r="M27" s="17" t="n">
        <f aca="false">(S2_ech_tourn*mot_tourn_cn)*M24*M9*IF(M$3&gt;=st_central_debut_mult,st_central_mult_C,1)*IF(M11=1,1-0.8,IF(M11=2,1-0.3,1))</f>
        <v>5950</v>
      </c>
      <c r="N27" s="17" t="n">
        <f aca="false">(S2_ech_tourn*mot_tourn_cn)*N24*N9*IF(N$3&gt;=st_central_debut_mult,st_central_mult_C,1)*IF(N11=1,1-0.8,IF(N11=2,1-0.3,1))</f>
        <v>5950</v>
      </c>
      <c r="O27" s="17" t="n">
        <f aca="false">(S2_ech_tourn*mot_tourn_cn)*O24*O9*IF(O$3&gt;=st_central_debut_mult,st_central_mult_C,1)*IF(O11=1,1-0.8,IF(O11=2,1-0.3,1))</f>
        <v>5950</v>
      </c>
      <c r="P27" s="17" t="n">
        <f aca="false">(S2_ech_tourn*mot_tourn_cn)*P24*P9*IF(P$3&gt;=st_central_debut_mult,st_central_mult_C,1)*IF(P11=1,1-0.8,IF(P11=2,1-0.3,1))</f>
        <v>5950</v>
      </c>
      <c r="Q27" s="17" t="n">
        <f aca="false">(S2_ech_tourn*mot_tourn_cn)*Q24*Q9*IF(Q$3&gt;=st_central_debut_mult,st_central_mult_C,1)*IF(Q11=1,1-0.8,IF(Q11=2,1-0.3,1))</f>
        <v>5950</v>
      </c>
      <c r="R27" s="17" t="n">
        <f aca="false">(S2_ech_tourn*mot_tourn_cn)*R24*R9*IF(R$3&gt;=st_central_debut_mult,st_central_mult_C,1)*IF(R11=1,1-0.8,IF(R11=2,1-0.3,1))</f>
        <v>5950</v>
      </c>
      <c r="S27" s="17" t="n">
        <f aca="false">(S2_ech_tourn*mot_tourn_cn)*S24*S9*IF(S$3&gt;=st_central_debut_mult,st_central_mult_C,1)*IF(S11=1,1-0.8,IF(S11=2,1-0.3,1))</f>
        <v>5950</v>
      </c>
      <c r="T27" s="17" t="n">
        <f aca="false">(S2_ech_tourn*mot_tourn_cn)*T24*T9*IF(T$3&gt;=st_central_debut_mult,st_central_mult_C,1)*IF(T11=1,1-0.8,IF(T11=2,1-0.3,1))</f>
        <v>5950</v>
      </c>
      <c r="U27" s="17" t="n">
        <f aca="false">(S2_ech_tourn*mot_tourn_cn)*U24*U9*IF(U$3&gt;=st_central_debut_mult,st_central_mult_C,1)*IF(U11=1,1-0.8,IF(U11=2,1-0.3,1))</f>
        <v>5950</v>
      </c>
      <c r="V27" s="17" t="n">
        <f aca="false">(S2_ech_tourn*mot_tourn_cn)*V24*V9*IF(V$3&gt;=st_central_debut_mult,st_central_mult_C,1)*IF(V11=1,1-0.8,IF(V11=2,1-0.3,1))</f>
        <v>5950</v>
      </c>
      <c r="W27" s="17" t="n">
        <f aca="false">(S2_ech_tourn*mot_tourn_cn)*W24*W9*IF(W$3&gt;=st_central_debut_mult,st_central_mult_C,1)*IF(W11=1,1-0.8,IF(W11=2,1-0.3,1))</f>
        <v>5950</v>
      </c>
      <c r="X27" s="17" t="n">
        <f aca="false">(S2_ech_tourn*mot_tourn_cn)*X24*X9*IF(X$3&gt;=st_central_debut_mult,st_central_mult_C,1)*IF(X11=1,1-0.8,IF(X11=2,1-0.3,1))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IF(AND(E$3&lt;=S2_sol_div_annees,E$3&lt;=st_central_div_fin),S2_sol_div*IF(E11=1,0.5,1),0)</f>
        <v>1000000</v>
      </c>
      <c r="F36" s="17" t="n">
        <f aca="false">IF(AND(F$3&lt;=S2_sol_div_annees,F$3&lt;=st_central_div_fin),S2_sol_div*IF(F11=1,0.5,1),0)</f>
        <v>1000000</v>
      </c>
      <c r="G36" s="17" t="n">
        <f aca="false">IF(AND(G$3&lt;=S2_sol_div_annees,G$3&lt;=st_central_div_fin),S2_sol_div*IF(G11=1,0.5,1),0)</f>
        <v>1000000</v>
      </c>
      <c r="H36" s="17" t="n">
        <f aca="false">IF(AND(H$3&lt;=S2_sol_div_annees,H$3&lt;=st_central_div_fin),S2_sol_div*IF(H11=1,0.5,1),0)</f>
        <v>1000000</v>
      </c>
      <c r="I36" s="17" t="n">
        <f aca="false">IF(AND(I$3&lt;=S2_sol_div_annees,I$3&lt;=st_central_div_fin),S2_sol_div*IF(I11=1,0.5,1),0)</f>
        <v>1000000</v>
      </c>
      <c r="J36" s="17" t="n">
        <f aca="false">IF(AND(J$3&lt;=S2_sol_div_annees,J$3&lt;=st_central_div_fin),S2_sol_div*IF(J11=1,0.5,1),0)</f>
        <v>1000000</v>
      </c>
      <c r="K36" s="17" t="n">
        <f aca="false">IF(AND(K$3&lt;=S2_sol_div_annees,K$3&lt;=st_central_div_fin),S2_sol_div*IF(K11=1,0.5,1),0)</f>
        <v>1000000</v>
      </c>
      <c r="L36" s="17" t="n">
        <f aca="false">IF(AND(L$3&lt;=S2_sol_div_annees,L$3&lt;=st_central_div_fin),S2_sol_div*IF(L11=1,0.5,1),0)</f>
        <v>1000000</v>
      </c>
      <c r="M36" s="17" t="n">
        <f aca="false">IF(AND(M$3&lt;=S2_sol_div_annees,M$3&lt;=st_central_div_fin),S2_sol_div*IF(M11=1,0.5,1),0)</f>
        <v>1000000</v>
      </c>
      <c r="N36" s="17" t="n">
        <f aca="false">IF(AND(N$3&lt;=S2_sol_div_annees,N$3&lt;=st_central_div_fin),S2_sol_div*IF(N11=1,0.5,1),0)</f>
        <v>1000000</v>
      </c>
      <c r="O36" s="17" t="n">
        <f aca="false">IF(AND(O$3&lt;=S2_sol_div_annees,O$3&lt;=st_central_div_fin),S2_sol_div*IF(O11=1,0.5,1),0)</f>
        <v>0</v>
      </c>
      <c r="P36" s="17" t="n">
        <f aca="false">IF(AND(P$3&lt;=S2_sol_div_annees,P$3&lt;=st_central_div_fin),S2_sol_div*IF(P11=1,0.5,1),0)</f>
        <v>0</v>
      </c>
      <c r="Q36" s="17" t="n">
        <f aca="false">IF(AND(Q$3&lt;=S2_sol_div_annees,Q$3&lt;=st_central_div_fin),S2_sol_div*IF(Q11=1,0.5,1),0)</f>
        <v>0</v>
      </c>
      <c r="R36" s="17" t="n">
        <f aca="false">IF(AND(R$3&lt;=S2_sol_div_annees,R$3&lt;=st_central_div_fin),S2_sol_div*IF(R11=1,0.5,1),0)</f>
        <v>0</v>
      </c>
      <c r="S36" s="17" t="n">
        <f aca="false">IF(AND(S$3&lt;=S2_sol_div_annees,S$3&lt;=st_central_div_fin),S2_sol_div*IF(S11=1,0.5,1),0)</f>
        <v>0</v>
      </c>
      <c r="T36" s="17" t="n">
        <f aca="false">IF(AND(T$3&lt;=S2_sol_div_annees,T$3&lt;=st_central_div_fin),S2_sol_div*IF(T11=1,0.5,1),0)</f>
        <v>0</v>
      </c>
      <c r="U36" s="17" t="n">
        <f aca="false">IF(AND(U$3&lt;=S2_sol_div_annees,U$3&lt;=st_central_div_fin),S2_sol_div*IF(U11=1,0.5,1),0)</f>
        <v>0</v>
      </c>
      <c r="V36" s="17" t="n">
        <f aca="false">IF(AND(V$3&lt;=S2_sol_div_annees,V$3&lt;=st_central_div_fin),S2_sol_div*IF(V11=1,0.5,1),0)</f>
        <v>0</v>
      </c>
      <c r="W36" s="17" t="n">
        <f aca="false">IF(AND(W$3&lt;=S2_sol_div_annees,W$3&lt;=st_central_div_fin),S2_sol_div*IF(W11=1,0.5,1),0)</f>
        <v>0</v>
      </c>
      <c r="X36" s="17" t="n">
        <f aca="false">IF(AND(X$3&lt;=S2_sol_div_annees,X$3&lt;=st_central_div_fin),S2_sol_div*IF(X11=1,0.5,1),0)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1733280.87733115</v>
      </c>
      <c r="K38" s="17" t="n">
        <f aca="false">lissage_depense*J38+(1-lissage_depense)*dot_taux_net*MAX(0,J42)</f>
        <v>1765847.81535695</v>
      </c>
      <c r="L38" s="17" t="n">
        <f aca="false">lissage_depense*K38+(1-lissage_depense)*dot_taux_net*MAX(0,K42)</f>
        <v>1801984.60686152</v>
      </c>
      <c r="M38" s="17" t="n">
        <f aca="false">lissage_depense*L38+(1-lissage_depense)*dot_taux_net*MAX(0,L42)</f>
        <v>1841242.988447</v>
      </c>
      <c r="N38" s="17" t="n">
        <f aca="false">lissage_depense*M38+(1-lissage_depense)*dot_taux_net*MAX(0,M42)</f>
        <v>1883271.93432089</v>
      </c>
      <c r="O38" s="17" t="n">
        <f aca="false">lissage_depense*N38+(1-lissage_depense)*dot_taux_net*MAX(0,N42)</f>
        <v>1927798.43087259</v>
      </c>
      <c r="P38" s="17" t="n">
        <f aca="false">lissage_depense*O38+(1-lissage_depense)*dot_taux_net*MAX(0,O42)</f>
        <v>1969112.10290512</v>
      </c>
      <c r="Q38" s="17" t="n">
        <f aca="false">lissage_depense*P38+(1-lissage_depense)*dot_taux_net*MAX(0,P42)</f>
        <v>2007987.9213863</v>
      </c>
      <c r="R38" s="17" t="n">
        <f aca="false">lissage_depense*Q38+(1-lissage_depense)*dot_taux_net*MAX(0,Q42)</f>
        <v>2045049.4266168</v>
      </c>
      <c r="S38" s="17" t="n">
        <f aca="false">lissage_depense*R38+(1-lissage_depense)*dot_taux_net*MAX(0,R42)</f>
        <v>2080799.11543882</v>
      </c>
      <c r="T38" s="17" t="n">
        <f aca="false">lissage_depense*S38+(1-lissage_depense)*dot_taux_net*MAX(0,S42)</f>
        <v>2115642.75393585</v>
      </c>
      <c r="U38" s="17" t="n">
        <f aca="false">lissage_depense*T38+(1-lissage_depense)*dot_taux_net*MAX(0,T42)</f>
        <v>2149908.83061125</v>
      </c>
      <c r="V38" s="17" t="n">
        <f aca="false">lissage_depense*U38+(1-lissage_depense)*dot_taux_net*MAX(0,U42)</f>
        <v>2183864.12203877</v>
      </c>
      <c r="W38" s="17" t="n">
        <f aca="false">lissage_depense*V38+(1-lissage_depense)*dot_taux_net*MAX(0,V42)</f>
        <v>2217726.1485818</v>
      </c>
      <c r="X38" s="17" t="n">
        <f aca="false">lissage_depense*W38+(1-lissage_depense)*dot_taux_net*MAX(0,W42)</f>
        <v>2251673.14226161</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67163310.999493</v>
      </c>
      <c r="J42" s="23" t="n">
        <f aca="false">MAX(0,I42)*(1+J37)-J39+J41-J31</f>
        <v>68949656.9985506</v>
      </c>
      <c r="K42" s="23" t="n">
        <f aca="false">MAX(0,J42)*(1+K37)-K39+K41-K31</f>
        <v>70782973.5592645</v>
      </c>
      <c r="L42" s="23" t="n">
        <f aca="false">MAX(0,K42)*(1+L37)-L39+L41-L31</f>
        <v>72664600.5377795</v>
      </c>
      <c r="M42" s="23" t="n">
        <f aca="false">MAX(0,L42)*(1+M37)-M39+M41-M31</f>
        <v>74595917.0115072</v>
      </c>
      <c r="N42" s="23" t="n">
        <f aca="false">MAX(0,M42)*(1+N37)-N39+N41-N31</f>
        <v>76578342.4392504</v>
      </c>
      <c r="O42" s="23" t="n">
        <f aca="false">MAX(0,N42)*(1+O37)-O39+O41-O31</f>
        <v>77613337.8558268</v>
      </c>
      <c r="P42" s="23" t="n">
        <f aca="false">MAX(0,O42)*(1+P37)-P39+P41-P31</f>
        <v>78672407.1022199</v>
      </c>
      <c r="Q42" s="23" t="n">
        <f aca="false">MAX(0,P42)*(1+Q37)-Q39+Q41-Q31</f>
        <v>79756198.0923199</v>
      </c>
      <c r="R42" s="23" t="n">
        <f aca="false">MAX(0,Q42)*(1+R37)-R39+R41-R31</f>
        <v>80865377.1173423</v>
      </c>
      <c r="S42" s="23" t="n">
        <f aca="false">MAX(0,R42)*(1+S37)-S39+S41-S31</f>
        <v>82000629.379052</v>
      </c>
      <c r="T42" s="23" t="n">
        <f aca="false">MAX(0,S42)*(1+T37)-T39+T41-T31</f>
        <v>83162659.5386489</v>
      </c>
      <c r="U42" s="23" t="n">
        <f aca="false">MAX(0,T42)*(1+U37)-U39+U41-U31</f>
        <v>84352192.2817778</v>
      </c>
      <c r="V42" s="23" t="n">
        <f aca="false">MAX(0,U42)*(1+V37)-V39+V41-V31</f>
        <v>85569972.9001427</v>
      </c>
      <c r="W42" s="23" t="n">
        <f aca="false">MAX(0,V42)*(1+W37)-W39+W41-W31</f>
        <v>86816767.890213</v>
      </c>
      <c r="X42" s="23" t="n">
        <f aca="false">MAX(0,W42)*(1+X37)-X39+X41-X31</f>
        <v>88093365.5695313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1.37986270048885</v>
      </c>
      <c r="J45" s="24" t="n">
        <f aca="false">(J29+J38)/J18</f>
        <v>1.39503665840119</v>
      </c>
      <c r="K45" s="24" t="n">
        <f aca="false">(K29+K38)/K18</f>
        <v>1.41320389741999</v>
      </c>
      <c r="L45" s="24" t="n">
        <f aca="false">(L29+L38)/L18</f>
        <v>1.43387325429709</v>
      </c>
      <c r="M45" s="24" t="n">
        <f aca="false">(M29+M38)/M18</f>
        <v>1.45665621659093</v>
      </c>
      <c r="N45" s="24" t="n">
        <f aca="false">(N29+N38)/N18</f>
        <v>1.48124605217421</v>
      </c>
      <c r="O45" s="24" t="n">
        <f aca="false">(O29+O38)/O18</f>
        <v>1.50740119090558</v>
      </c>
      <c r="P45" s="24" t="n">
        <f aca="false">(P29+P38)/P18</f>
        <v>1.530760428247</v>
      </c>
      <c r="Q45" s="24" t="n">
        <f aca="false">(Q29+Q38)/Q18</f>
        <v>1.55194747806273</v>
      </c>
      <c r="R45" s="24" t="n">
        <f aca="false">(R29+R38)/R18</f>
        <v>1.57145992638804</v>
      </c>
      <c r="S45" s="24" t="n">
        <f aca="false">(S29+S38)/S18</f>
        <v>1.58969496583346</v>
      </c>
      <c r="T45" s="24" t="n">
        <f aca="false">(T29+T38)/T18</f>
        <v>1.60696988555931</v>
      </c>
      <c r="U45" s="24" t="n">
        <f aca="false">(U29+U38)/U18</f>
        <v>1.62353838524641</v>
      </c>
      <c r="V45" s="24" t="n">
        <f aca="false">(V29+V38)/V18</f>
        <v>1.63960356390165</v>
      </c>
      <c r="W45" s="24" t="n">
        <f aca="false">(W29+W38)/W18</f>
        <v>1.65532826104607</v>
      </c>
      <c r="X45" s="24" t="n">
        <f aca="false">(X29+X38)/X18</f>
        <v>1.67084328982427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1902</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IF(st_ca30_crise_an&gt;0,IF(E$3=st_ca30_crise_an,1,IF(E$3=st_ca30_crise_an+1,2,0)),0)</f>
        <v>0</v>
      </c>
      <c r="F11" s="22" t="n">
        <f aca="false">IF(st_ca30_crise_an&gt;0,IF(F$3=st_ca30_crise_an,1,IF(F$3=st_ca30_crise_an+1,2,0)),0)</f>
        <v>0</v>
      </c>
      <c r="G11" s="22" t="n">
        <f aca="false">IF(st_ca30_crise_an&gt;0,IF(G$3=st_ca30_crise_an,1,IF(G$3=st_ca30_crise_an+1,2,0)),0)</f>
        <v>0</v>
      </c>
      <c r="H11" s="22" t="n">
        <f aca="false">IF(st_ca30_crise_an&gt;0,IF(H$3=st_ca30_crise_an,1,IF(H$3=st_ca30_crise_an+1,2,0)),0)</f>
        <v>0</v>
      </c>
      <c r="I11" s="22" t="n">
        <f aca="false">IF(st_ca30_crise_an&gt;0,IF(I$3=st_ca30_crise_an,1,IF(I$3=st_ca30_crise_an+1,2,0)),0)</f>
        <v>0</v>
      </c>
      <c r="J11" s="22" t="n">
        <f aca="false">IF(st_ca30_crise_an&gt;0,IF(J$3=st_ca30_crise_an,1,IF(J$3=st_ca30_crise_an+1,2,0)),0)</f>
        <v>0</v>
      </c>
      <c r="K11" s="22" t="n">
        <f aca="false">IF(st_ca30_crise_an&gt;0,IF(K$3=st_ca30_crise_an,1,IF(K$3=st_ca30_crise_an+1,2,0)),0)</f>
        <v>0</v>
      </c>
      <c r="L11" s="22" t="n">
        <f aca="false">IF(st_ca30_crise_an&gt;0,IF(L$3=st_ca30_crise_an,1,IF(L$3=st_ca30_crise_an+1,2,0)),0)</f>
        <v>0</v>
      </c>
      <c r="M11" s="22" t="n">
        <f aca="false">IF(st_ca30_crise_an&gt;0,IF(M$3=st_ca30_crise_an,1,IF(M$3=st_ca30_crise_an+1,2,0)),0)</f>
        <v>0</v>
      </c>
      <c r="N11" s="22" t="n">
        <f aca="false">IF(st_ca30_crise_an&gt;0,IF(N$3=st_ca30_crise_an,1,IF(N$3=st_ca30_crise_an+1,2,0)),0)</f>
        <v>0</v>
      </c>
      <c r="O11" s="22" t="n">
        <f aca="false">IF(st_ca30_crise_an&gt;0,IF(O$3=st_ca30_crise_an,1,IF(O$3=st_ca30_crise_an+1,2,0)),0)</f>
        <v>0</v>
      </c>
      <c r="P11" s="22" t="n">
        <f aca="false">IF(st_ca30_crise_an&gt;0,IF(P$3=st_ca30_crise_an,1,IF(P$3=st_ca30_crise_an+1,2,0)),0)</f>
        <v>0</v>
      </c>
      <c r="Q11" s="22" t="n">
        <f aca="false">IF(st_ca30_crise_an&gt;0,IF(Q$3=st_ca30_crise_an,1,IF(Q$3=st_ca30_crise_an+1,2,0)),0)</f>
        <v>0</v>
      </c>
      <c r="R11" s="22" t="n">
        <f aca="false">IF(st_ca30_crise_an&gt;0,IF(R$3=st_ca30_crise_an,1,IF(R$3=st_ca30_crise_an+1,2,0)),0)</f>
        <v>0</v>
      </c>
      <c r="S11" s="22" t="n">
        <f aca="false">IF(st_ca30_crise_an&gt;0,IF(S$3=st_ca30_crise_an,1,IF(S$3=st_ca30_crise_an+1,2,0)),0)</f>
        <v>0</v>
      </c>
      <c r="T11" s="22" t="n">
        <f aca="false">IF(st_ca30_crise_an&gt;0,IF(T$3=st_ca30_crise_an,1,IF(T$3=st_ca30_crise_an+1,2,0)),0)</f>
        <v>0</v>
      </c>
      <c r="U11" s="22" t="n">
        <f aca="false">IF(st_ca30_crise_an&gt;0,IF(U$3=st_ca30_crise_an,1,IF(U$3=st_ca30_crise_an+1,2,0)),0)</f>
        <v>0</v>
      </c>
      <c r="V11" s="22" t="n">
        <f aca="false">IF(st_ca30_crise_an&gt;0,IF(V$3=st_ca30_crise_an,1,IF(V$3=st_ca30_crise_an+1,2,0)),0)</f>
        <v>0</v>
      </c>
      <c r="W11" s="22" t="n">
        <f aca="false">IF(st_ca30_crise_an&gt;0,IF(W$3=st_ca30_crise_an,1,IF(W$3=st_ca30_crise_an+1,2,0)),0)</f>
        <v>0</v>
      </c>
      <c r="X11" s="22" t="n">
        <f aca="false">IF(st_ca30_crise_an&gt;0,IF(X$3=st_ca30_crise_an,1,IF(X$3=st_ca30_crise_an+1,2,0)),0)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(bud_chauffage_S2+bud_hors_gel_S2+bud_electricite_S2)*E7*IF(AND(E$3&gt;=st_ca30_energie_debut,E$3&lt;=st_ca30_energie_fin),st_ca30_energie_mult,1)</f>
        <v>52815.6</v>
      </c>
      <c r="F14" s="17" t="n">
        <f aca="false">(bud_chauffage_S2+bud_hors_gel_S2+bud_electricite_S2)*F7*IF(AND(F$3&gt;=st_ca30_energie_debut,F$3&lt;=st_ca30_energie_fin),st_ca30_energie_mult,1)</f>
        <v>53871.912</v>
      </c>
      <c r="G14" s="17" t="n">
        <f aca="false">(bud_chauffage_S2+bud_hors_gel_S2+bud_electricite_S2)*G7*IF(AND(G$3&gt;=st_ca30_energie_debut,G$3&lt;=st_ca30_energie_fin),st_ca30_energie_mult,1)</f>
        <v>54949.35024</v>
      </c>
      <c r="H14" s="17" t="n">
        <f aca="false">(bud_chauffage_S2+bud_hors_gel_S2+bud_electricite_S2)*H7*IF(AND(H$3&gt;=st_ca30_energie_debut,H$3&lt;=st_ca30_energie_fin),st_ca30_energie_mult,1)</f>
        <v>56048.3372448</v>
      </c>
      <c r="I14" s="17" t="n">
        <f aca="false">(bud_chauffage_S2+bud_hors_gel_S2+bud_electricite_S2)*I7*IF(AND(I$3&gt;=st_ca30_energie_debut,I$3&lt;=st_ca30_energie_fin),st_ca30_energie_mult,1)</f>
        <v>57169.303989696</v>
      </c>
      <c r="J14" s="17" t="n">
        <f aca="false">(bud_chauffage_S2+bud_hors_gel_S2+bud_electricite_S2)*J7*IF(AND(J$3&gt;=st_ca30_energie_debut,J$3&lt;=st_ca30_energie_fin),st_ca30_energie_mult,1)</f>
        <v>58312.6900694899</v>
      </c>
      <c r="K14" s="17" t="n">
        <f aca="false">(bud_chauffage_S2+bud_hors_gel_S2+bud_electricite_S2)*K7*IF(AND(K$3&gt;=st_ca30_energie_debut,K$3&lt;=st_ca30_energie_fin),st_ca30_energie_mult,1)</f>
        <v>59478.9438708797</v>
      </c>
      <c r="L14" s="17" t="n">
        <f aca="false">(bud_chauffage_S2+bud_hors_gel_S2+bud_electricite_S2)*L7*IF(AND(L$3&gt;=st_ca30_energie_debut,L$3&lt;=st_ca30_energie_fin),st_ca30_energie_mult,1)</f>
        <v>60668.5227482973</v>
      </c>
      <c r="M14" s="17" t="n">
        <f aca="false">(bud_chauffage_S2+bud_hors_gel_S2+bud_electricite_S2)*M7*IF(AND(M$3&gt;=st_ca30_energie_debut,M$3&lt;=st_ca30_energie_fin),st_ca30_energie_mult,1)</f>
        <v>61881.8932032633</v>
      </c>
      <c r="N14" s="17" t="n">
        <f aca="false">(bud_chauffage_S2+bud_hors_gel_S2+bud_electricite_S2)*N7*IF(AND(N$3&gt;=st_ca30_energie_debut,N$3&lt;=st_ca30_energie_fin),st_ca30_energie_mult,1)</f>
        <v>63119.5310673285</v>
      </c>
      <c r="O14" s="17" t="n">
        <f aca="false">(bud_chauffage_S2+bud_hors_gel_S2+bud_electricite_S2)*O7*IF(AND(O$3&gt;=st_ca30_energie_debut,O$3&lt;=st_ca30_energie_fin),st_ca30_energie_mult,1)</f>
        <v>64381.9216886751</v>
      </c>
      <c r="P14" s="17" t="n">
        <f aca="false">(bud_chauffage_S2+bud_hors_gel_S2+bud_electricite_S2)*P7*IF(AND(P$3&gt;=st_ca30_energie_debut,P$3&lt;=st_ca30_energie_fin),st_ca30_energie_mult,1)</f>
        <v>65669.5601224486</v>
      </c>
      <c r="Q14" s="17" t="n">
        <f aca="false">(bud_chauffage_S2+bud_hors_gel_S2+bud_electricite_S2)*Q7*IF(AND(Q$3&gt;=st_ca30_energie_debut,Q$3&lt;=st_ca30_energie_fin),st_ca30_energie_mult,1)</f>
        <v>66982.9513248976</v>
      </c>
      <c r="R14" s="17" t="n">
        <f aca="false">(bud_chauffage_S2+bud_hors_gel_S2+bud_electricite_S2)*R7*IF(AND(R$3&gt;=st_ca30_energie_debut,R$3&lt;=st_ca30_energie_fin),st_ca30_energie_mult,1)</f>
        <v>68322.6103513955</v>
      </c>
      <c r="S14" s="17" t="n">
        <f aca="false">(bud_chauffage_S2+bud_hors_gel_S2+bud_electricite_S2)*S7*IF(AND(S$3&gt;=st_ca30_energie_debut,S$3&lt;=st_ca30_energie_fin),st_ca30_energie_mult,1)</f>
        <v>69689.0625584235</v>
      </c>
      <c r="T14" s="17" t="n">
        <f aca="false">(bud_chauffage_S2+bud_hors_gel_S2+bud_electricite_S2)*T7*IF(AND(T$3&gt;=st_ca30_energie_debut,T$3&lt;=st_ca30_energie_fin),st_ca30_energie_mult,1)</f>
        <v>71082.8438095919</v>
      </c>
      <c r="U14" s="17" t="n">
        <f aca="false">(bud_chauffage_S2+bud_hors_gel_S2+bud_electricite_S2)*U7*IF(AND(U$3&gt;=st_ca30_energie_debut,U$3&lt;=st_ca30_energie_fin),st_ca30_energie_mult,1)</f>
        <v>72504.5006857838</v>
      </c>
      <c r="V14" s="17" t="n">
        <f aca="false">(bud_chauffage_S2+bud_hors_gel_S2+bud_electricite_S2)*V7*IF(AND(V$3&gt;=st_ca30_energie_debut,V$3&lt;=st_ca30_energie_fin),st_ca30_energie_mult,1)</f>
        <v>73954.5906994994</v>
      </c>
      <c r="W14" s="17" t="n">
        <f aca="false">(bud_chauffage_S2+bud_hors_gel_S2+bud_electricite_S2)*W7*IF(AND(W$3&gt;=st_ca30_energie_debut,W$3&lt;=st_ca30_energie_fin),st_ca30_energie_mult,1)</f>
        <v>75433.6825134894</v>
      </c>
      <c r="X14" s="17" t="n">
        <f aca="false">(bud_chauffage_S2+bud_hors_gel_S2+bud_electricite_S2)*X7*IF(AND(X$3&gt;=st_ca30_energie_debut,X$3&lt;=st_ca30_energie_fin),st_ca30_energie_mult,1)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IF(MOD(E$3,campagne_periode)=0,(D22+E17)*st_ca30_mult_campagne*(1-E12*flex_report),0)</f>
        <v>0</v>
      </c>
      <c r="F19" s="17" t="n">
        <f aca="false">IF(MOD(F$3,campagne_periode)=0,(E22+F17)*st_ca30_mult_campagne*(1-F12*flex_report),0)</f>
        <v>0</v>
      </c>
      <c r="G19" s="17" t="n">
        <f aca="false">IF(MOD(G$3,campagne_periode)=0,(F22+G17)*st_ca30_mult_campagne*(1-G12*flex_report),0)</f>
        <v>0</v>
      </c>
      <c r="H19" s="17" t="n">
        <f aca="false">IF(MOD(H$3,campagne_periode)=0,(G22+H17)*st_ca30_mult_campagne*(1-H12*flex_report),0)</f>
        <v>1268099.19305212</v>
      </c>
      <c r="I19" s="17" t="n">
        <f aca="false">IF(MOD(I$3,campagne_periode)=0,(H22+I17)*st_ca30_mult_campagne*(1-I12*flex_report),0)</f>
        <v>0</v>
      </c>
      <c r="J19" s="17" t="n">
        <f aca="false">IF(MOD(J$3,campagne_periode)=0,(I22+J17)*st_ca30_mult_campagne*(1-J12*flex_report),0)</f>
        <v>0</v>
      </c>
      <c r="K19" s="17" t="n">
        <f aca="false">IF(MOD(K$3,campagne_periode)=0,(J22+K17)*st_ca30_mult_campagne*(1-K12*flex_report),0)</f>
        <v>0</v>
      </c>
      <c r="L19" s="17" t="n">
        <f aca="false">IF(MOD(L$3,campagne_periode)=0,(K22+L17)*st_ca30_mult_campagne*(1-L12*flex_report),0)</f>
        <v>1306572.29625107</v>
      </c>
      <c r="M19" s="17" t="n">
        <f aca="false">IF(MOD(M$3,campagne_periode)=0,(L22+M17)*st_ca30_mult_campagne*(1-M12*flex_report),0)</f>
        <v>0</v>
      </c>
      <c r="N19" s="17" t="n">
        <f aca="false">IF(MOD(N$3,campagne_periode)=0,(M22+N17)*st_ca30_mult_campagne*(1-N12*flex_report),0)</f>
        <v>0</v>
      </c>
      <c r="O19" s="17" t="n">
        <f aca="false">IF(MOD(O$3,campagne_periode)=0,(N22+O17)*st_ca30_mult_campagne*(1-O12*flex_report),0)</f>
        <v>0</v>
      </c>
      <c r="P19" s="17" t="n">
        <f aca="false">IF(MOD(P$3,campagne_periode)=0,(O22+P17)*st_ca30_mult_campagne*(1-P12*flex_report),0)</f>
        <v>1346212.64226341</v>
      </c>
      <c r="Q19" s="17" t="n">
        <f aca="false">IF(MOD(Q$3,campagne_periode)=0,(P22+Q17)*st_ca30_mult_campagne*(1-Q12*flex_report),0)</f>
        <v>0</v>
      </c>
      <c r="R19" s="17" t="n">
        <f aca="false">IF(MOD(R$3,campagne_periode)=0,(Q22+R17)*st_ca30_mult_campagne*(1-R12*flex_report),0)</f>
        <v>0</v>
      </c>
      <c r="S19" s="17" t="n">
        <f aca="false">IF(MOD(S$3,campagne_periode)=0,(R22+S17)*st_ca30_mult_campagne*(1-S12*flex_report),0)</f>
        <v>0</v>
      </c>
      <c r="T19" s="17" t="n">
        <f aca="false">IF(MOD(T$3,campagne_periode)=0,(S22+T17)*st_ca30_mult_campagne*(1-T12*flex_report),0)</f>
        <v>1387055.64429141</v>
      </c>
      <c r="U19" s="17" t="n">
        <f aca="false">IF(MOD(U$3,campagne_periode)=0,(T22+U17)*st_ca30_mult_campagne*(1-U12*flex_report),0)</f>
        <v>0</v>
      </c>
      <c r="V19" s="17" t="n">
        <f aca="false">IF(MOD(V$3,campagne_periode)=0,(U22+V17)*st_ca30_mult_campagne*(1-V12*flex_report),0)</f>
        <v>0</v>
      </c>
      <c r="W19" s="17" t="n">
        <f aca="false">IF(MOD(W$3,campagne_periode)=0,(V22+W17)*st_ca30_mult_campagne*(1-W12*flex_report),0)</f>
        <v>0</v>
      </c>
      <c r="X19" s="17" t="n">
        <f aca="false">IF(MOD(X$3,campagne_periode)=0,(W22+X17)*st_ca30_mult_campagne*(1-X12*flex_report),0)</f>
        <v>1429137.78994523</v>
      </c>
    </row>
    <row r="20" customFormat="false" ht="15" hidden="false" customHeight="false" outlineLevel="0" collapsed="false">
      <c r="A20" s="2" t="s">
        <v>1845</v>
      </c>
      <c r="B20" s="2" t="s">
        <v>1846</v>
      </c>
      <c r="C20" s="2" t="s">
        <v>1832</v>
      </c>
      <c r="E20" s="17" t="n">
        <f aca="false">IF(E$3=st_ca30_choc_trav_an,st_ca30_choc_trav_montant,0)</f>
        <v>0</v>
      </c>
      <c r="F20" s="17" t="n">
        <f aca="false">IF(F$3=st_ca30_choc_trav_an,st_ca30_choc_trav_montant,0)</f>
        <v>0</v>
      </c>
      <c r="G20" s="17" t="n">
        <f aca="false">IF(G$3=st_ca30_choc_trav_an,st_ca30_choc_trav_montant,0)</f>
        <v>0</v>
      </c>
      <c r="H20" s="17" t="n">
        <f aca="false">IF(H$3=st_ca30_choc_trav_an,st_ca30_choc_trav_montant,0)</f>
        <v>0</v>
      </c>
      <c r="I20" s="17" t="n">
        <f aca="false">IF(I$3=st_ca30_choc_trav_an,st_ca30_choc_trav_montant,0)</f>
        <v>0</v>
      </c>
      <c r="J20" s="17" t="n">
        <f aca="false">IF(J$3=st_ca30_choc_trav_an,st_ca30_choc_trav_montant,0)</f>
        <v>0</v>
      </c>
      <c r="K20" s="17" t="n">
        <f aca="false">IF(K$3=st_ca30_choc_trav_an,st_ca30_choc_trav_montant,0)</f>
        <v>0</v>
      </c>
      <c r="L20" s="17" t="n">
        <f aca="false">IF(L$3=st_ca30_choc_trav_an,st_ca30_choc_trav_montant,0)</f>
        <v>0</v>
      </c>
      <c r="M20" s="17" t="n">
        <f aca="false">IF(M$3=st_ca30_choc_trav_an,st_ca30_choc_trav_montant,0)</f>
        <v>0</v>
      </c>
      <c r="N20" s="17" t="n">
        <f aca="false">IF(N$3=st_ca30_choc_trav_an,st_ca30_choc_trav_montant,0)</f>
        <v>0</v>
      </c>
      <c r="O20" s="17" t="n">
        <f aca="false">IF(O$3=st_ca30_choc_trav_an,st_ca30_choc_trav_montant,0)</f>
        <v>0</v>
      </c>
      <c r="P20" s="17" t="n">
        <f aca="false">IF(P$3=st_ca30_choc_trav_an,st_ca30_choc_trav_montant,0)</f>
        <v>0</v>
      </c>
      <c r="Q20" s="17" t="n">
        <f aca="false">IF(Q$3=st_ca30_choc_trav_an,st_ca30_choc_trav_montant,0)</f>
        <v>0</v>
      </c>
      <c r="R20" s="17" t="n">
        <f aca="false">IF(R$3=st_ca30_choc_trav_an,st_ca30_choc_trav_montant,0)</f>
        <v>0</v>
      </c>
      <c r="S20" s="17" t="n">
        <f aca="false">IF(S$3=st_ca30_choc_trav_an,st_ca30_choc_trav_montant,0)</f>
        <v>0</v>
      </c>
      <c r="T20" s="17" t="n">
        <f aca="false">IF(T$3=st_ca30_choc_trav_an,st_ca30_choc_trav_montant,0)</f>
        <v>0</v>
      </c>
      <c r="U20" s="17" t="n">
        <f aca="false">IF(U$3=st_ca30_choc_trav_an,st_ca30_choc_trav_montant,0)</f>
        <v>0</v>
      </c>
      <c r="V20" s="17" t="n">
        <f aca="false">IF(V$3=st_ca30_choc_trav_an,st_ca30_choc_trav_montant,0)</f>
        <v>0</v>
      </c>
      <c r="W20" s="17" t="n">
        <f aca="false">IF(W$3=st_ca30_choc_trav_an,st_ca30_choc_trav_montant,0)</f>
        <v>0</v>
      </c>
      <c r="X20" s="17" t="n">
        <f aca="false">IF(X$3=st_ca30_choc_trav_an,st_ca30_choc_trav_montant,0)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(S2_ech_log*mot_log_cn+S2_ech_stock*mot_stock_cn+S2_ech_pv*mot_pv_cn+S2_ech_bois*mot_bois_cn)*E24*E9*IF(E$3&gt;=st_ca30_debut_mult,st_ca30_mult_A,1)*IF(E11=1,1-0.05,IF(E11=2,1-0.02,1))</f>
        <v>21930.4</v>
      </c>
      <c r="F25" s="17" t="n">
        <f aca="false">(S2_ech_log*mot_log_cn+S2_ech_stock*mot_stock_cn+S2_ech_pv*mot_pv_cn+S2_ech_bois*mot_bois_cn)*F24*F9*IF(F$3&gt;=st_ca30_debut_mult,st_ca30_mult_A,1)*IF(F11=1,1-0.05,IF(F11=2,1-0.02,1))</f>
        <v>41119.5</v>
      </c>
      <c r="G25" s="17" t="n">
        <f aca="false">(S2_ech_log*mot_log_cn+S2_ech_stock*mot_stock_cn+S2_ech_pv*mot_pv_cn+S2_ech_bois*mot_bois_cn)*G24*G9*IF(G$3&gt;=st_ca30_debut_mult,st_ca30_mult_A,1)*IF(G11=1,1-0.05,IF(G11=2,1-0.02,1))</f>
        <v>38378.2</v>
      </c>
      <c r="H25" s="17" t="n">
        <f aca="false">(S2_ech_log*mot_log_cn+S2_ech_stock*mot_stock_cn+S2_ech_pv*mot_pv_cn+S2_ech_bois*mot_bois_cn)*H24*H9*IF(H$3&gt;=st_ca30_debut_mult,st_ca30_mult_A,1)*IF(H11=1,1-0.05,IF(H11=2,1-0.02,1))</f>
        <v>38378.2</v>
      </c>
      <c r="I25" s="17" t="n">
        <f aca="false">(S2_ech_log*mot_log_cn+S2_ech_stock*mot_stock_cn+S2_ech_pv*mot_pv_cn+S2_ech_bois*mot_bois_cn)*I24*I9*IF(I$3&gt;=st_ca30_debut_mult,st_ca30_mult_A,1)*IF(I11=1,1-0.05,IF(I11=2,1-0.02,1))</f>
        <v>38378.2</v>
      </c>
      <c r="J25" s="17" t="n">
        <f aca="false">(S2_ech_log*mot_log_cn+S2_ech_stock*mot_stock_cn+S2_ech_pv*mot_pv_cn+S2_ech_bois*mot_bois_cn)*J24*J9*IF(J$3&gt;=st_ca30_debut_mult,st_ca30_mult_A,1)*IF(J11=1,1-0.05,IF(J11=2,1-0.02,1))</f>
        <v>38378.2</v>
      </c>
      <c r="K25" s="17" t="n">
        <f aca="false">(S2_ech_log*mot_log_cn+S2_ech_stock*mot_stock_cn+S2_ech_pv*mot_pv_cn+S2_ech_bois*mot_bois_cn)*K24*K9*IF(K$3&gt;=st_ca30_debut_mult,st_ca30_mult_A,1)*IF(K11=1,1-0.05,IF(K11=2,1-0.02,1))</f>
        <v>38378.2</v>
      </c>
      <c r="L25" s="17" t="n">
        <f aca="false">(S2_ech_log*mot_log_cn+S2_ech_stock*mot_stock_cn+S2_ech_pv*mot_pv_cn+S2_ech_bois*mot_bois_cn)*L24*L9*IF(L$3&gt;=st_ca30_debut_mult,st_ca30_mult_A,1)*IF(L11=1,1-0.05,IF(L11=2,1-0.02,1))</f>
        <v>38378.2</v>
      </c>
      <c r="M25" s="17" t="n">
        <f aca="false">(S2_ech_log*mot_log_cn+S2_ech_stock*mot_stock_cn+S2_ech_pv*mot_pv_cn+S2_ech_bois*mot_bois_cn)*M24*M9*IF(M$3&gt;=st_ca30_debut_mult,st_ca30_mult_A,1)*IF(M11=1,1-0.05,IF(M11=2,1-0.02,1))</f>
        <v>38378.2</v>
      </c>
      <c r="N25" s="17" t="n">
        <f aca="false">(S2_ech_log*mot_log_cn+S2_ech_stock*mot_stock_cn+S2_ech_pv*mot_pv_cn+S2_ech_bois*mot_bois_cn)*N24*N9*IF(N$3&gt;=st_ca30_debut_mult,st_ca30_mult_A,1)*IF(N11=1,1-0.05,IF(N11=2,1-0.02,1))</f>
        <v>38378.2</v>
      </c>
      <c r="O25" s="17" t="n">
        <f aca="false">(S2_ech_log*mot_log_cn+S2_ech_stock*mot_stock_cn+S2_ech_pv*mot_pv_cn+S2_ech_bois*mot_bois_cn)*O24*O9*IF(O$3&gt;=st_ca30_debut_mult,st_ca30_mult_A,1)*IF(O11=1,1-0.05,IF(O11=2,1-0.02,1))</f>
        <v>38378.2</v>
      </c>
      <c r="P25" s="17" t="n">
        <f aca="false">(S2_ech_log*mot_log_cn+S2_ech_stock*mot_stock_cn+S2_ech_pv*mot_pv_cn+S2_ech_bois*mot_bois_cn)*P24*P9*IF(P$3&gt;=st_ca30_debut_mult,st_ca30_mult_A,1)*IF(P11=1,1-0.05,IF(P11=2,1-0.02,1))</f>
        <v>38378.2</v>
      </c>
      <c r="Q25" s="17" t="n">
        <f aca="false">(S2_ech_log*mot_log_cn+S2_ech_stock*mot_stock_cn+S2_ech_pv*mot_pv_cn+S2_ech_bois*mot_bois_cn)*Q24*Q9*IF(Q$3&gt;=st_ca30_debut_mult,st_ca30_mult_A,1)*IF(Q11=1,1-0.05,IF(Q11=2,1-0.02,1))</f>
        <v>38378.2</v>
      </c>
      <c r="R25" s="17" t="n">
        <f aca="false">(S2_ech_log*mot_log_cn+S2_ech_stock*mot_stock_cn+S2_ech_pv*mot_pv_cn+S2_ech_bois*mot_bois_cn)*R24*R9*IF(R$3&gt;=st_ca30_debut_mult,st_ca30_mult_A,1)*IF(R11=1,1-0.05,IF(R11=2,1-0.02,1))</f>
        <v>38378.2</v>
      </c>
      <c r="S25" s="17" t="n">
        <f aca="false">(S2_ech_log*mot_log_cn+S2_ech_stock*mot_stock_cn+S2_ech_pv*mot_pv_cn+S2_ech_bois*mot_bois_cn)*S24*S9*IF(S$3&gt;=st_ca30_debut_mult,st_ca30_mult_A,1)*IF(S11=1,1-0.05,IF(S11=2,1-0.02,1))</f>
        <v>38378.2</v>
      </c>
      <c r="T25" s="17" t="n">
        <f aca="false">(S2_ech_log*mot_log_cn+S2_ech_stock*mot_stock_cn+S2_ech_pv*mot_pv_cn+S2_ech_bois*mot_bois_cn)*T24*T9*IF(T$3&gt;=st_ca30_debut_mult,st_ca30_mult_A,1)*IF(T11=1,1-0.05,IF(T11=2,1-0.02,1))</f>
        <v>38378.2</v>
      </c>
      <c r="U25" s="17" t="n">
        <f aca="false">(S2_ech_log*mot_log_cn+S2_ech_stock*mot_stock_cn+S2_ech_pv*mot_pv_cn+S2_ech_bois*mot_bois_cn)*U24*U9*IF(U$3&gt;=st_ca30_debut_mult,st_ca30_mult_A,1)*IF(U11=1,1-0.05,IF(U11=2,1-0.02,1))</f>
        <v>38378.2</v>
      </c>
      <c r="V25" s="17" t="n">
        <f aca="false">(S2_ech_log*mot_log_cn+S2_ech_stock*mot_stock_cn+S2_ech_pv*mot_pv_cn+S2_ech_bois*mot_bois_cn)*V24*V9*IF(V$3&gt;=st_ca30_debut_mult,st_ca30_mult_A,1)*IF(V11=1,1-0.05,IF(V11=2,1-0.02,1))</f>
        <v>38378.2</v>
      </c>
      <c r="W25" s="17" t="n">
        <f aca="false">(S2_ech_log*mot_log_cn+S2_ech_stock*mot_stock_cn+S2_ech_pv*mot_pv_cn+S2_ech_bois*mot_bois_cn)*W24*W9*IF(W$3&gt;=st_ca30_debut_mult,st_ca30_mult_A,1)*IF(W11=1,1-0.05,IF(W11=2,1-0.02,1))</f>
        <v>38378.2</v>
      </c>
      <c r="X25" s="17" t="n">
        <f aca="false">(S2_ech_log*mot_log_cn+S2_ech_stock*mot_stock_cn+S2_ech_pv*mot_pv_cn+S2_ech_bois*mot_bois_cn)*X24*X9*IF(X$3&gt;=st_ca30_debut_mult,st_ca30_mult_A,1)*IF(X11=1,1-0.05,IF(X11=2,1-0.02,1))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(S2_ech_eq_std*mot_eq_std_cn+S2_ech_eq_ret*mot_eq_ret_cn)*E24*E9*IF(E$3&gt;=st_ca30_debut_mult,st_ca30_mult_B,1)*IF(E11=1,1-0.15,IF(E11=2,1-0.05,1))</f>
        <v>3757.8</v>
      </c>
      <c r="F26" s="17" t="n">
        <f aca="false">(S2_ech_eq_std*mot_eq_std_cn+S2_ech_eq_ret*mot_eq_ret_cn)*F24*F9*IF(F$3&gt;=st_ca30_debut_mult,st_ca30_mult_B,1)*IF(F11=1,1-0.15,IF(F11=2,1-0.05,1))</f>
        <v>7045.875</v>
      </c>
      <c r="G26" s="17" t="n">
        <f aca="false">(S2_ech_eq_std*mot_eq_std_cn+S2_ech_eq_ret*mot_eq_ret_cn)*G24*G9*IF(G$3&gt;=st_ca30_debut_mult,st_ca30_mult_B,1)*IF(G11=1,1-0.15,IF(G11=2,1-0.05,1))</f>
        <v>6576.15</v>
      </c>
      <c r="H26" s="17" t="n">
        <f aca="false">(S2_ech_eq_std*mot_eq_std_cn+S2_ech_eq_ret*mot_eq_ret_cn)*H24*H9*IF(H$3&gt;=st_ca30_debut_mult,st_ca30_mult_B,1)*IF(H11=1,1-0.15,IF(H11=2,1-0.05,1))</f>
        <v>6576.15</v>
      </c>
      <c r="I26" s="17" t="n">
        <f aca="false">(S2_ech_eq_std*mot_eq_std_cn+S2_ech_eq_ret*mot_eq_ret_cn)*I24*I9*IF(I$3&gt;=st_ca30_debut_mult,st_ca30_mult_B,1)*IF(I11=1,1-0.15,IF(I11=2,1-0.05,1))</f>
        <v>6576.15</v>
      </c>
      <c r="J26" s="17" t="n">
        <f aca="false">(S2_ech_eq_std*mot_eq_std_cn+S2_ech_eq_ret*mot_eq_ret_cn)*J24*J9*IF(J$3&gt;=st_ca30_debut_mult,st_ca30_mult_B,1)*IF(J11=1,1-0.15,IF(J11=2,1-0.05,1))</f>
        <v>6576.15</v>
      </c>
      <c r="K26" s="17" t="n">
        <f aca="false">(S2_ech_eq_std*mot_eq_std_cn+S2_ech_eq_ret*mot_eq_ret_cn)*K24*K9*IF(K$3&gt;=st_ca30_debut_mult,st_ca30_mult_B,1)*IF(K11=1,1-0.15,IF(K11=2,1-0.05,1))</f>
        <v>6576.15</v>
      </c>
      <c r="L26" s="17" t="n">
        <f aca="false">(S2_ech_eq_std*mot_eq_std_cn+S2_ech_eq_ret*mot_eq_ret_cn)*L24*L9*IF(L$3&gt;=st_ca30_debut_mult,st_ca30_mult_B,1)*IF(L11=1,1-0.15,IF(L11=2,1-0.05,1))</f>
        <v>6576.15</v>
      </c>
      <c r="M26" s="17" t="n">
        <f aca="false">(S2_ech_eq_std*mot_eq_std_cn+S2_ech_eq_ret*mot_eq_ret_cn)*M24*M9*IF(M$3&gt;=st_ca30_debut_mult,st_ca30_mult_B,1)*IF(M11=1,1-0.15,IF(M11=2,1-0.05,1))</f>
        <v>6576.15</v>
      </c>
      <c r="N26" s="17" t="n">
        <f aca="false">(S2_ech_eq_std*mot_eq_std_cn+S2_ech_eq_ret*mot_eq_ret_cn)*N24*N9*IF(N$3&gt;=st_ca30_debut_mult,st_ca30_mult_B,1)*IF(N11=1,1-0.15,IF(N11=2,1-0.05,1))</f>
        <v>6576.15</v>
      </c>
      <c r="O26" s="17" t="n">
        <f aca="false">(S2_ech_eq_std*mot_eq_std_cn+S2_ech_eq_ret*mot_eq_ret_cn)*O24*O9*IF(O$3&gt;=st_ca30_debut_mult,st_ca30_mult_B,1)*IF(O11=1,1-0.15,IF(O11=2,1-0.05,1))</f>
        <v>6576.15</v>
      </c>
      <c r="P26" s="17" t="n">
        <f aca="false">(S2_ech_eq_std*mot_eq_std_cn+S2_ech_eq_ret*mot_eq_ret_cn)*P24*P9*IF(P$3&gt;=st_ca30_debut_mult,st_ca30_mult_B,1)*IF(P11=1,1-0.15,IF(P11=2,1-0.05,1))</f>
        <v>6576.15</v>
      </c>
      <c r="Q26" s="17" t="n">
        <f aca="false">(S2_ech_eq_std*mot_eq_std_cn+S2_ech_eq_ret*mot_eq_ret_cn)*Q24*Q9*IF(Q$3&gt;=st_ca30_debut_mult,st_ca30_mult_B,1)*IF(Q11=1,1-0.15,IF(Q11=2,1-0.05,1))</f>
        <v>6576.15</v>
      </c>
      <c r="R26" s="17" t="n">
        <f aca="false">(S2_ech_eq_std*mot_eq_std_cn+S2_ech_eq_ret*mot_eq_ret_cn)*R24*R9*IF(R$3&gt;=st_ca30_debut_mult,st_ca30_mult_B,1)*IF(R11=1,1-0.15,IF(R11=2,1-0.05,1))</f>
        <v>6576.15</v>
      </c>
      <c r="S26" s="17" t="n">
        <f aca="false">(S2_ech_eq_std*mot_eq_std_cn+S2_ech_eq_ret*mot_eq_ret_cn)*S24*S9*IF(S$3&gt;=st_ca30_debut_mult,st_ca30_mult_B,1)*IF(S11=1,1-0.15,IF(S11=2,1-0.05,1))</f>
        <v>6576.15</v>
      </c>
      <c r="T26" s="17" t="n">
        <f aca="false">(S2_ech_eq_std*mot_eq_std_cn+S2_ech_eq_ret*mot_eq_ret_cn)*T24*T9*IF(T$3&gt;=st_ca30_debut_mult,st_ca30_mult_B,1)*IF(T11=1,1-0.15,IF(T11=2,1-0.05,1))</f>
        <v>6576.15</v>
      </c>
      <c r="U26" s="17" t="n">
        <f aca="false">(S2_ech_eq_std*mot_eq_std_cn+S2_ech_eq_ret*mot_eq_ret_cn)*U24*U9*IF(U$3&gt;=st_ca30_debut_mult,st_ca30_mult_B,1)*IF(U11=1,1-0.15,IF(U11=2,1-0.05,1))</f>
        <v>6576.15</v>
      </c>
      <c r="V26" s="17" t="n">
        <f aca="false">(S2_ech_eq_std*mot_eq_std_cn+S2_ech_eq_ret*mot_eq_ret_cn)*V24*V9*IF(V$3&gt;=st_ca30_debut_mult,st_ca30_mult_B,1)*IF(V11=1,1-0.15,IF(V11=2,1-0.05,1))</f>
        <v>6576.15</v>
      </c>
      <c r="W26" s="17" t="n">
        <f aca="false">(S2_ech_eq_std*mot_eq_std_cn+S2_ech_eq_ret*mot_eq_ret_cn)*W24*W9*IF(W$3&gt;=st_ca30_debut_mult,st_ca30_mult_B,1)*IF(W11=1,1-0.15,IF(W11=2,1-0.05,1))</f>
        <v>6576.15</v>
      </c>
      <c r="X26" s="17" t="n">
        <f aca="false">(S2_ech_eq_std*mot_eq_std_cn+S2_ech_eq_ret*mot_eq_ret_cn)*X24*X9*IF(X$3&gt;=st_ca30_debut_mult,st_ca30_mult_B,1)*IF(X11=1,1-0.15,IF(X11=2,1-0.05,1))</f>
        <v>6576.15</v>
      </c>
    </row>
    <row r="27" customFormat="false" ht="15" hidden="false" customHeight="false" outlineLevel="0" collapsed="false">
      <c r="A27" s="2" t="s">
        <v>1859</v>
      </c>
      <c r="B27" s="2" t="s">
        <v>1860</v>
      </c>
      <c r="C27" s="2" t="s">
        <v>1832</v>
      </c>
      <c r="E27" s="17" t="n">
        <f aca="false">(S2_ech_tourn*mot_tourn_cn)*E24*E9*IF(E$3&gt;=st_ca30_debut_mult,st_ca30_mult_C,1)*IF(E11=1,1-0.8,IF(E11=2,1-0.3,1))</f>
        <v>2380</v>
      </c>
      <c r="F27" s="17" t="n">
        <f aca="false">(S2_ech_tourn*mot_tourn_cn)*F24*F9*IF(F$3&gt;=st_ca30_debut_mult,st_ca30_mult_C,1)*IF(F11=1,1-0.8,IF(F11=2,1-0.3,1))</f>
        <v>4462.5</v>
      </c>
      <c r="G27" s="17" t="n">
        <f aca="false">(S2_ech_tourn*mot_tourn_cn)*G24*G9*IF(G$3&gt;=st_ca30_debut_mult,st_ca30_mult_C,1)*IF(G11=1,1-0.8,IF(G11=2,1-0.3,1))</f>
        <v>4165</v>
      </c>
      <c r="H27" s="17" t="n">
        <f aca="false">(S2_ech_tourn*mot_tourn_cn)*H24*H9*IF(H$3&gt;=st_ca30_debut_mult,st_ca30_mult_C,1)*IF(H11=1,1-0.8,IF(H11=2,1-0.3,1))</f>
        <v>4165</v>
      </c>
      <c r="I27" s="17" t="n">
        <f aca="false">(S2_ech_tourn*mot_tourn_cn)*I24*I9*IF(I$3&gt;=st_ca30_debut_mult,st_ca30_mult_C,1)*IF(I11=1,1-0.8,IF(I11=2,1-0.3,1))</f>
        <v>4165</v>
      </c>
      <c r="J27" s="17" t="n">
        <f aca="false">(S2_ech_tourn*mot_tourn_cn)*J24*J9*IF(J$3&gt;=st_ca30_debut_mult,st_ca30_mult_C,1)*IF(J11=1,1-0.8,IF(J11=2,1-0.3,1))</f>
        <v>4165</v>
      </c>
      <c r="K27" s="17" t="n">
        <f aca="false">(S2_ech_tourn*mot_tourn_cn)*K24*K9*IF(K$3&gt;=st_ca30_debut_mult,st_ca30_mult_C,1)*IF(K11=1,1-0.8,IF(K11=2,1-0.3,1))</f>
        <v>4165</v>
      </c>
      <c r="L27" s="17" t="n">
        <f aca="false">(S2_ech_tourn*mot_tourn_cn)*L24*L9*IF(L$3&gt;=st_ca30_debut_mult,st_ca30_mult_C,1)*IF(L11=1,1-0.8,IF(L11=2,1-0.3,1))</f>
        <v>4165</v>
      </c>
      <c r="M27" s="17" t="n">
        <f aca="false">(S2_ech_tourn*mot_tourn_cn)*M24*M9*IF(M$3&gt;=st_ca30_debut_mult,st_ca30_mult_C,1)*IF(M11=1,1-0.8,IF(M11=2,1-0.3,1))</f>
        <v>4165</v>
      </c>
      <c r="N27" s="17" t="n">
        <f aca="false">(S2_ech_tourn*mot_tourn_cn)*N24*N9*IF(N$3&gt;=st_ca30_debut_mult,st_ca30_mult_C,1)*IF(N11=1,1-0.8,IF(N11=2,1-0.3,1))</f>
        <v>4165</v>
      </c>
      <c r="O27" s="17" t="n">
        <f aca="false">(S2_ech_tourn*mot_tourn_cn)*O24*O9*IF(O$3&gt;=st_ca30_debut_mult,st_ca30_mult_C,1)*IF(O11=1,1-0.8,IF(O11=2,1-0.3,1))</f>
        <v>4165</v>
      </c>
      <c r="P27" s="17" t="n">
        <f aca="false">(S2_ech_tourn*mot_tourn_cn)*P24*P9*IF(P$3&gt;=st_ca30_debut_mult,st_ca30_mult_C,1)*IF(P11=1,1-0.8,IF(P11=2,1-0.3,1))</f>
        <v>4165</v>
      </c>
      <c r="Q27" s="17" t="n">
        <f aca="false">(S2_ech_tourn*mot_tourn_cn)*Q24*Q9*IF(Q$3&gt;=st_ca30_debut_mult,st_ca30_mult_C,1)*IF(Q11=1,1-0.8,IF(Q11=2,1-0.3,1))</f>
        <v>4165</v>
      </c>
      <c r="R27" s="17" t="n">
        <f aca="false">(S2_ech_tourn*mot_tourn_cn)*R24*R9*IF(R$3&gt;=st_ca30_debut_mult,st_ca30_mult_C,1)*IF(R11=1,1-0.8,IF(R11=2,1-0.3,1))</f>
        <v>4165</v>
      </c>
      <c r="S27" s="17" t="n">
        <f aca="false">(S2_ech_tourn*mot_tourn_cn)*S24*S9*IF(S$3&gt;=st_ca30_debut_mult,st_ca30_mult_C,1)*IF(S11=1,1-0.8,IF(S11=2,1-0.3,1))</f>
        <v>4165</v>
      </c>
      <c r="T27" s="17" t="n">
        <f aca="false">(S2_ech_tourn*mot_tourn_cn)*T24*T9*IF(T$3&gt;=st_ca30_debut_mult,st_ca30_mult_C,1)*IF(T11=1,1-0.8,IF(T11=2,1-0.3,1))</f>
        <v>4165</v>
      </c>
      <c r="U27" s="17" t="n">
        <f aca="false">(S2_ech_tourn*mot_tourn_cn)*U24*U9*IF(U$3&gt;=st_ca30_debut_mult,st_ca30_mult_C,1)*IF(U11=1,1-0.8,IF(U11=2,1-0.3,1))</f>
        <v>4165</v>
      </c>
      <c r="V27" s="17" t="n">
        <f aca="false">(S2_ech_tourn*mot_tourn_cn)*V24*V9*IF(V$3&gt;=st_ca30_debut_mult,st_ca30_mult_C,1)*IF(V11=1,1-0.8,IF(V11=2,1-0.3,1))</f>
        <v>4165</v>
      </c>
      <c r="W27" s="17" t="n">
        <f aca="false">(S2_ech_tourn*mot_tourn_cn)*W24*W9*IF(W$3&gt;=st_ca30_debut_mult,st_ca30_mult_C,1)*IF(W11=1,1-0.8,IF(W11=2,1-0.3,1))</f>
        <v>4165</v>
      </c>
      <c r="X27" s="17" t="n">
        <f aca="false">(S2_ech_tourn*mot_tourn_cn)*X24*X9*IF(X$3&gt;=st_ca30_debut_mult,st_ca30_mult_C,1)*IF(X11=1,1-0.8,IF(X11=2,1-0.3,1))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49119.35</v>
      </c>
      <c r="J28" s="17" t="n">
        <f aca="false">J25+J26+J27</f>
        <v>49119.35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34383.545</v>
      </c>
      <c r="J29" s="17" t="n">
        <f aca="false">IF(J28&gt;0,J28*(1-fuite_fiscale),J28)</f>
        <v>34383.545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1223835.74250049</v>
      </c>
      <c r="H35" s="17" t="n">
        <f aca="false">H13+H14+H15+H16+H17+H21+H32-H29-H23-H33-H34</f>
        <v>1230253.4645209</v>
      </c>
      <c r="I35" s="17" t="n">
        <f aca="false">I13+I14+I15+I16+I17+I21+I32-I29-I23-I33-I34</f>
        <v>1236737.62011377</v>
      </c>
      <c r="J35" s="17" t="n">
        <f aca="false">J13+J14+J15+J16+J17+J21+J32-J29-J23-J33-J34</f>
        <v>1243289.13592718</v>
      </c>
      <c r="K35" s="17" t="n">
        <f aca="false">K13+K14+K15+K16+K17+K21+K32-K29-K23-K33-K34</f>
        <v>1249908.95424264</v>
      </c>
      <c r="L35" s="17" t="n">
        <f aca="false">L13+L14+L15+L16+L17+L21+L32-L29-L23-L33-L34</f>
        <v>1256598.03326297</v>
      </c>
      <c r="M35" s="17" t="n">
        <f aca="false">M13+M14+M15+M16+M17+M21+M32-M29-M23-M33-M34</f>
        <v>1263357.34740569</v>
      </c>
      <c r="N35" s="17" t="n">
        <f aca="false">N13+N14+N15+N16+N17+N21+N32-N29-N23-N33-N34</f>
        <v>1270187.88760195</v>
      </c>
      <c r="O35" s="17" t="n">
        <f aca="false">O13+O14+O15+O16+O17+O21+O32-O29-O23-O33-O34</f>
        <v>1277090.66160119</v>
      </c>
      <c r="P35" s="17" t="n">
        <f aca="false">P13+P14+P15+P16+P17+P21+P32-P29-P23-P33-P34</f>
        <v>1284066.69428164</v>
      </c>
      <c r="Q35" s="17" t="n">
        <f aca="false">Q13+Q14+Q15+Q16+Q17+Q21+Q32-Q29-Q23-Q33-Q34</f>
        <v>1291117.02796665</v>
      </c>
      <c r="R35" s="17" t="n">
        <f aca="false">R13+R14+R15+R16+R17+R21+R32-R29-R23-R33-R34</f>
        <v>1298242.72274721</v>
      </c>
      <c r="S35" s="17" t="n">
        <f aca="false">S13+S14+S15+S16+S17+S21+S32-S29-S23-S33-S34</f>
        <v>1305444.85681049</v>
      </c>
      <c r="T35" s="17" t="n">
        <f aca="false">T13+T14+T15+T16+T17+T21+T32-T29-T23-T33-T34</f>
        <v>1312724.52677472</v>
      </c>
      <c r="U35" s="17" t="n">
        <f aca="false">U13+U14+U15+U16+U17+U21+U32-U29-U23-U33-U34</f>
        <v>1320082.84803049</v>
      </c>
      <c r="V35" s="17" t="n">
        <f aca="false">V13+V14+V15+V16+V17+V21+V32-V29-V23-V33-V34</f>
        <v>1327520.95508849</v>
      </c>
      <c r="W35" s="17" t="n">
        <f aca="false">W13+W14+W15+W16+W17+W21+W32-W29-W23-W33-W34</f>
        <v>1335040.001934</v>
      </c>
      <c r="X35" s="17" t="n">
        <f aca="false">X13+X14+X15+X16+X17+X21+X32-X29-X23-X33-X34</f>
        <v>1342641.16238809</v>
      </c>
    </row>
    <row r="36" customFormat="false" ht="15" hidden="false" customHeight="false" outlineLevel="0" collapsed="false">
      <c r="A36" s="2" t="s">
        <v>1877</v>
      </c>
      <c r="B36" s="2" t="s">
        <v>1878</v>
      </c>
      <c r="C36" s="2" t="s">
        <v>1832</v>
      </c>
      <c r="E36" s="17" t="n">
        <f aca="false">IF(AND(E$3&lt;=S2_sol_div_annees,E$3&lt;=st_ca30_div_fin),S2_sol_div*IF(E11=1,0.5,1),0)</f>
        <v>1000000</v>
      </c>
      <c r="F36" s="17" t="n">
        <f aca="false">IF(AND(F$3&lt;=S2_sol_div_annees,F$3&lt;=st_ca30_div_fin),S2_sol_div*IF(F11=1,0.5,1),0)</f>
        <v>1000000</v>
      </c>
      <c r="G36" s="17" t="n">
        <f aca="false">IF(AND(G$3&lt;=S2_sol_div_annees,G$3&lt;=st_ca30_div_fin),S2_sol_div*IF(G11=1,0.5,1),0)</f>
        <v>1000000</v>
      </c>
      <c r="H36" s="17" t="n">
        <f aca="false">IF(AND(H$3&lt;=S2_sol_div_annees,H$3&lt;=st_ca30_div_fin),S2_sol_div*IF(H11=1,0.5,1),0)</f>
        <v>1000000</v>
      </c>
      <c r="I36" s="17" t="n">
        <f aca="false">IF(AND(I$3&lt;=S2_sol_div_annees,I$3&lt;=st_ca30_div_fin),S2_sol_div*IF(I11=1,0.5,1),0)</f>
        <v>1000000</v>
      </c>
      <c r="J36" s="17" t="n">
        <f aca="false">IF(AND(J$3&lt;=S2_sol_div_annees,J$3&lt;=st_ca30_div_fin),S2_sol_div*IF(J11=1,0.5,1),0)</f>
        <v>1000000</v>
      </c>
      <c r="K36" s="17" t="n">
        <f aca="false">IF(AND(K$3&lt;=S2_sol_div_annees,K$3&lt;=st_ca30_div_fin),S2_sol_div*IF(K11=1,0.5,1),0)</f>
        <v>1000000</v>
      </c>
      <c r="L36" s="17" t="n">
        <f aca="false">IF(AND(L$3&lt;=S2_sol_div_annees,L$3&lt;=st_ca30_div_fin),S2_sol_div*IF(L11=1,0.5,1),0)</f>
        <v>1000000</v>
      </c>
      <c r="M36" s="17" t="n">
        <f aca="false">IF(AND(M$3&lt;=S2_sol_div_annees,M$3&lt;=st_ca30_div_fin),S2_sol_div*IF(M11=1,0.5,1),0)</f>
        <v>1000000</v>
      </c>
      <c r="N36" s="17" t="n">
        <f aca="false">IF(AND(N$3&lt;=S2_sol_div_annees,N$3&lt;=st_ca30_div_fin),S2_sol_div*IF(N11=1,0.5,1),0)</f>
        <v>1000000</v>
      </c>
      <c r="O36" s="17" t="n">
        <f aca="false">IF(AND(O$3&lt;=S2_sol_div_annees,O$3&lt;=st_ca30_div_fin),S2_sol_div*IF(O11=1,0.5,1),0)</f>
        <v>0</v>
      </c>
      <c r="P36" s="17" t="n">
        <f aca="false">IF(AND(P$3&lt;=S2_sol_div_annees,P$3&lt;=st_ca30_div_fin),S2_sol_div*IF(P11=1,0.5,1),0)</f>
        <v>0</v>
      </c>
      <c r="Q36" s="17" t="n">
        <f aca="false">IF(AND(Q$3&lt;=S2_sol_div_annees,Q$3&lt;=st_ca30_div_fin),S2_sol_div*IF(Q11=1,0.5,1),0)</f>
        <v>0</v>
      </c>
      <c r="R36" s="17" t="n">
        <f aca="false">IF(AND(R$3&lt;=S2_sol_div_annees,R$3&lt;=st_ca30_div_fin),S2_sol_div*IF(R11=1,0.5,1),0)</f>
        <v>0</v>
      </c>
      <c r="S36" s="17" t="n">
        <f aca="false">IF(AND(S$3&lt;=S2_sol_div_annees,S$3&lt;=st_ca30_div_fin),S2_sol_div*IF(S11=1,0.5,1),0)</f>
        <v>0</v>
      </c>
      <c r="T36" s="17" t="n">
        <f aca="false">IF(AND(T$3&lt;=S2_sol_div_annees,T$3&lt;=st_ca30_div_fin),S2_sol_div*IF(T11=1,0.5,1),0)</f>
        <v>0</v>
      </c>
      <c r="U36" s="17" t="n">
        <f aca="false">IF(AND(U$3&lt;=S2_sol_div_annees,U$3&lt;=st_ca30_div_fin),S2_sol_div*IF(U11=1,0.5,1),0)</f>
        <v>0</v>
      </c>
      <c r="V36" s="17" t="n">
        <f aca="false">IF(AND(V$3&lt;=S2_sol_div_annees,V$3&lt;=st_ca30_div_fin),S2_sol_div*IF(V11=1,0.5,1),0)</f>
        <v>0</v>
      </c>
      <c r="W36" s="17" t="n">
        <f aca="false">IF(AND(W$3&lt;=S2_sol_div_annees,W$3&lt;=st_ca30_div_fin),S2_sol_div*IF(W11=1,0.5,1),0)</f>
        <v>0</v>
      </c>
      <c r="X36" s="17" t="n">
        <f aca="false">IF(AND(X$3&lt;=S2_sol_div_annees,X$3&lt;=st_ca30_div_fin),S2_sol_div*IF(X11=1,0.5,1),0)</f>
        <v>0</v>
      </c>
    </row>
    <row r="37" customFormat="false" ht="15" hidden="false" customHeight="false" outlineLevel="0" collapsed="false">
      <c r="A37" s="2" t="s">
        <v>1879</v>
      </c>
      <c r="B37" s="2" t="s">
        <v>1880</v>
      </c>
      <c r="C37" s="2" t="s">
        <v>46</v>
      </c>
      <c r="E37" s="20" t="n">
        <f aca="false">dot_rendement+st_ca30_dot_rdt_delta+IF(E11=1,-0.25,0)</f>
        <v>0.03</v>
      </c>
      <c r="F37" s="20" t="n">
        <f aca="false">dot_rendement+st_ca30_dot_rdt_delta+IF(F11=1,-0.25,0)</f>
        <v>0.03</v>
      </c>
      <c r="G37" s="20" t="n">
        <f aca="false">dot_rendement+st_ca30_dot_rdt_delta+IF(G11=1,-0.25,0)</f>
        <v>0.03</v>
      </c>
      <c r="H37" s="20" t="n">
        <f aca="false">dot_rendement+st_ca30_dot_rdt_delta+IF(H11=1,-0.25,0)</f>
        <v>0.03</v>
      </c>
      <c r="I37" s="20" t="n">
        <f aca="false">dot_rendement+st_ca30_dot_rdt_delta+IF(I11=1,-0.25,0)</f>
        <v>0.03</v>
      </c>
      <c r="J37" s="20" t="n">
        <f aca="false">dot_rendement+st_ca30_dot_rdt_delta+IF(J11=1,-0.25,0)</f>
        <v>0.03</v>
      </c>
      <c r="K37" s="20" t="n">
        <f aca="false">dot_rendement+st_ca30_dot_rdt_delta+IF(K11=1,-0.25,0)</f>
        <v>0.03</v>
      </c>
      <c r="L37" s="20" t="n">
        <f aca="false">dot_rendement+st_ca30_dot_rdt_delta+IF(L11=1,-0.25,0)</f>
        <v>0.03</v>
      </c>
      <c r="M37" s="20" t="n">
        <f aca="false">dot_rendement+st_ca30_dot_rdt_delta+IF(M11=1,-0.25,0)</f>
        <v>0.03</v>
      </c>
      <c r="N37" s="20" t="n">
        <f aca="false">dot_rendement+st_ca30_dot_rdt_delta+IF(N11=1,-0.25,0)</f>
        <v>0.03</v>
      </c>
      <c r="O37" s="20" t="n">
        <f aca="false">dot_rendement+st_ca30_dot_rdt_delta+IF(O11=1,-0.25,0)</f>
        <v>0.03</v>
      </c>
      <c r="P37" s="20" t="n">
        <f aca="false">dot_rendement+st_ca30_dot_rdt_delta+IF(P11=1,-0.25,0)</f>
        <v>0.03</v>
      </c>
      <c r="Q37" s="20" t="n">
        <f aca="false">dot_rendement+st_ca30_dot_rdt_delta+IF(Q11=1,-0.25,0)</f>
        <v>0.03</v>
      </c>
      <c r="R37" s="20" t="n">
        <f aca="false">dot_rendement+st_ca30_dot_rdt_delta+IF(R11=1,-0.25,0)</f>
        <v>0.03</v>
      </c>
      <c r="S37" s="20" t="n">
        <f aca="false">dot_rendement+st_ca30_dot_rdt_delta+IF(S11=1,-0.25,0)</f>
        <v>0.03</v>
      </c>
      <c r="T37" s="20" t="n">
        <f aca="false">dot_rendement+st_ca30_dot_rdt_delta+IF(T11=1,-0.25,0)</f>
        <v>0.03</v>
      </c>
      <c r="U37" s="20" t="n">
        <f aca="false">dot_rendement+st_ca30_dot_rdt_delta+IF(U11=1,-0.25,0)</f>
        <v>0.03</v>
      </c>
      <c r="V37" s="20" t="n">
        <f aca="false">dot_rendement+st_ca30_dot_rdt_delta+IF(V11=1,-0.25,0)</f>
        <v>0.03</v>
      </c>
      <c r="W37" s="20" t="n">
        <f aca="false">dot_rendement+st_ca30_dot_rdt_delta+IF(W11=1,-0.25,0)</f>
        <v>0.03</v>
      </c>
      <c r="X37" s="20" t="n">
        <f aca="false">dot_rendement+st_ca30_dot_rdt_delta+IF(X11=1,-0.25,0)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1681205.01262148</v>
      </c>
      <c r="I38" s="17" t="n">
        <f aca="false">lissage_depense*H38+(1-lissage_depense)*dot_taux_net*MAX(0,H42)</f>
        <v>1704623.9707376</v>
      </c>
      <c r="J38" s="17" t="n">
        <f aca="false">lissage_depense*I38+(1-lissage_depense)*dot_taux_net*MAX(0,I42)</f>
        <v>1732846.87913908</v>
      </c>
      <c r="K38" s="17" t="n">
        <f aca="false">lissage_depense*J38+(1-lissage_depense)*dot_taux_net*MAX(0,J42)</f>
        <v>1765161.54668914</v>
      </c>
      <c r="L38" s="17" t="n">
        <f aca="false">lissage_depense*K38+(1-lissage_depense)*dot_taux_net*MAX(0,K42)</f>
        <v>1801005.30278218</v>
      </c>
      <c r="M38" s="17" t="n">
        <f aca="false">lissage_depense*L38+(1-lissage_depense)*dot_taux_net*MAX(0,L42)</f>
        <v>1839935.3004366</v>
      </c>
      <c r="N38" s="17" t="n">
        <f aca="false">lissage_depense*M38+(1-lissage_depense)*dot_taux_net*MAX(0,M42)</f>
        <v>1881604.76489573</v>
      </c>
      <c r="O38" s="17" t="n">
        <f aca="false">lissage_depense*N38+(1-lissage_depense)*dot_taux_net*MAX(0,N42)</f>
        <v>1925743.99881761</v>
      </c>
      <c r="P38" s="17" t="n">
        <f aca="false">lissage_depense*O38+(1-lissage_depense)*dot_taux_net*MAX(0,O42)</f>
        <v>1966645.19292335</v>
      </c>
      <c r="Q38" s="17" t="n">
        <f aca="false">lissage_depense*P38+(1-lissage_depense)*dot_taux_net*MAX(0,P42)</f>
        <v>2005085.28120546</v>
      </c>
      <c r="R38" s="17" t="n">
        <f aca="false">lissage_depense*Q38+(1-lissage_depense)*dot_taux_net*MAX(0,Q42)</f>
        <v>2041689.28198334</v>
      </c>
      <c r="S38" s="17" t="n">
        <f aca="false">lissage_depense*R38+(1-lissage_depense)*dot_taux_net*MAX(0,R42)</f>
        <v>2076960.7793411</v>
      </c>
      <c r="T38" s="17" t="n">
        <f aca="false">lissage_depense*S38+(1-lissage_depense)*dot_taux_net*MAX(0,S42)</f>
        <v>2111306.31112749</v>
      </c>
      <c r="U38" s="17" t="n">
        <f aca="false">lissage_depense*T38+(1-lissage_depense)*dot_taux_net*MAX(0,T42)</f>
        <v>2145054.88228897</v>
      </c>
      <c r="V38" s="17" t="n">
        <f aca="false">lissage_depense*U38+(1-lissage_depense)*dot_taux_net*MAX(0,U42)</f>
        <v>2178473.5785556</v>
      </c>
      <c r="W38" s="17" t="n">
        <f aca="false">lissage_depense*V38+(1-lissage_depense)*dot_taux_net*MAX(0,V42)</f>
        <v>2211780.06049765</v>
      </c>
      <c r="X38" s="17" t="n">
        <f aca="false">lissage_depense*W38+(1-lissage_depense)*dot_taux_net*MAX(0,W42)</f>
        <v>2245152.56197025</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223835.742500491</v>
      </c>
      <c r="H39" s="17" t="n">
        <f aca="false">MIN(MAX(0,H35-H36),IF(H12=1,MAX(H38,retrait_urgence*MAX(0,G42)),H38))</f>
        <v>230253.464520895</v>
      </c>
      <c r="I39" s="17" t="n">
        <f aca="false">MIN(MAX(0,I35-I36),IF(I12=1,MAX(I38,retrait_urgence*MAX(0,H42)),I38))</f>
        <v>236737.620113773</v>
      </c>
      <c r="J39" s="17" t="n">
        <f aca="false">MIN(MAX(0,J35-J36),IF(J12=1,MAX(J38,retrait_urgence*MAX(0,I42)),J38))</f>
        <v>243289.135927184</v>
      </c>
      <c r="K39" s="17" t="n">
        <f aca="false">MIN(MAX(0,K35-K36),IF(K12=1,MAX(K38,retrait_urgence*MAX(0,J42)),K38))</f>
        <v>249908.954242637</v>
      </c>
      <c r="L39" s="17" t="n">
        <f aca="false">MIN(MAX(0,L35-L36),IF(L12=1,MAX(L38,retrait_urgence*MAX(0,K42)),L38))</f>
        <v>256598.033262966</v>
      </c>
      <c r="M39" s="17" t="n">
        <f aca="false">MIN(MAX(0,M35-M36),IF(M12=1,MAX(M38,retrait_urgence*MAX(0,L42)),M38))</f>
        <v>263357.347405686</v>
      </c>
      <c r="N39" s="17" t="n">
        <f aca="false">MIN(MAX(0,N35-N36),IF(N12=1,MAX(N38,retrait_urgence*MAX(0,M42)),N38))</f>
        <v>270187.887601946</v>
      </c>
      <c r="O39" s="17" t="n">
        <f aca="false">MIN(MAX(0,O35-O36),IF(O12=1,MAX(O38,retrait_urgence*MAX(0,N42)),O38))</f>
        <v>1277090.66160119</v>
      </c>
      <c r="P39" s="17" t="n">
        <f aca="false">MIN(MAX(0,P35-P36),IF(P12=1,MAX(P38,retrait_urgence*MAX(0,O42)),P38))</f>
        <v>1284066.69428164</v>
      </c>
      <c r="Q39" s="17" t="n">
        <f aca="false">MIN(MAX(0,Q35-Q36),IF(Q12=1,MAX(Q38,retrait_urgence*MAX(0,P42)),Q38))</f>
        <v>1291117.02796665</v>
      </c>
      <c r="R39" s="17" t="n">
        <f aca="false">MIN(MAX(0,R35-R36),IF(R12=1,MAX(R38,retrait_urgence*MAX(0,Q42)),R38))</f>
        <v>1298242.72274721</v>
      </c>
      <c r="S39" s="17" t="n">
        <f aca="false">MIN(MAX(0,S35-S36),IF(S12=1,MAX(S38,retrait_urgence*MAX(0,R42)),S38))</f>
        <v>1305444.85681049</v>
      </c>
      <c r="T39" s="17" t="n">
        <f aca="false">MIN(MAX(0,T35-T36),IF(T12=1,MAX(T38,retrait_urgence*MAX(0,S42)),T38))</f>
        <v>1312724.52677472</v>
      </c>
      <c r="U39" s="17" t="n">
        <f aca="false">MIN(MAX(0,U35-U36),IF(U12=1,MAX(U38,retrait_urgence*MAX(0,T42)),U38))</f>
        <v>1320082.84803049</v>
      </c>
      <c r="V39" s="17" t="n">
        <f aca="false">MIN(MAX(0,V35-V36),IF(V12=1,MAX(V38,retrait_urgence*MAX(0,U42)),V38))</f>
        <v>1327520.95508849</v>
      </c>
      <c r="W39" s="17" t="n">
        <f aca="false">MIN(MAX(0,W35-W36),IF(W12=1,MAX(W38,retrait_urgence*MAX(0,V42)),W38))</f>
        <v>1335040.001934</v>
      </c>
      <c r="X39" s="17" t="n">
        <f aca="false">MIN(MAX(0,X35-X36),IF(X12=1,MAX(X38,retrait_urgence*MAX(0,W42)),X38))</f>
        <v>1342641.16238809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63711624.8358835</v>
      </c>
      <c r="H42" s="23" t="n">
        <f aca="false">MAX(0,G42)*(1+H37)-H39+H41-H31</f>
        <v>65392720.1164391</v>
      </c>
      <c r="I42" s="23" t="n">
        <f aca="false">MAX(0,H42)*(1+I37)-I39+I41-I31</f>
        <v>67117764.0998185</v>
      </c>
      <c r="J42" s="23" t="n">
        <f aca="false">MAX(0,I42)*(1+J37)-J39+J41-J31</f>
        <v>68888007.8868859</v>
      </c>
      <c r="K42" s="23" t="n">
        <f aca="false">MAX(0,J42)*(1+K37)-K39+K41-K31</f>
        <v>70704739.1692498</v>
      </c>
      <c r="L42" s="23" t="n">
        <f aca="false">MAX(0,K42)*(1+L37)-L39+L41-L31</f>
        <v>72569283.3110643</v>
      </c>
      <c r="M42" s="23" t="n">
        <f aca="false">MAX(0,L42)*(1+M37)-M39+M41-M31</f>
        <v>74483004.4629906</v>
      </c>
      <c r="N42" s="23" t="n">
        <f aca="false">MAX(0,M42)*(1+N37)-N39+N41-N31</f>
        <v>76447306.7092784</v>
      </c>
      <c r="O42" s="23" t="n">
        <f aca="false">MAX(0,N42)*(1+O37)-O39+O41-O31</f>
        <v>77463635.2489555</v>
      </c>
      <c r="P42" s="23" t="n">
        <f aca="false">MAX(0,O42)*(1+P37)-P39+P41-P31</f>
        <v>78503477.6121426</v>
      </c>
      <c r="Q42" s="23" t="n">
        <f aca="false">MAX(0,P42)*(1+Q37)-Q39+Q41-Q31</f>
        <v>79567464.9125402</v>
      </c>
      <c r="R42" s="23" t="n">
        <f aca="false">MAX(0,Q42)*(1+R37)-R39+R41-R31</f>
        <v>80656246.1371692</v>
      </c>
      <c r="S42" s="23" t="n">
        <f aca="false">MAX(0,R42)*(1+S37)-S39+S41-S31</f>
        <v>81770488.6644738</v>
      </c>
      <c r="T42" s="23" t="n">
        <f aca="false">MAX(0,S42)*(1+T37)-T39+T41-T31</f>
        <v>82910878.7976333</v>
      </c>
      <c r="U42" s="23" t="n">
        <f aca="false">MAX(0,T42)*(1+U37)-U39+U41-U31</f>
        <v>84078122.3135318</v>
      </c>
      <c r="V42" s="23" t="n">
        <f aca="false">MAX(0,U42)*(1+V37)-V39+V41-V31</f>
        <v>85272945.0278493</v>
      </c>
      <c r="W42" s="23" t="n">
        <f aca="false">MAX(0,V42)*(1+W37)-W39+W41-W31</f>
        <v>86496093.3767507</v>
      </c>
      <c r="X42" s="23" t="n">
        <f aca="false">MAX(0,W42)*(1+X37)-X39+X41-X31</f>
        <v>87748335.0156652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1.34942486329474</v>
      </c>
      <c r="H45" s="24" t="n">
        <f aca="false">(H29+H38)/H18</f>
        <v>1.35658575915901</v>
      </c>
      <c r="I45" s="24" t="n">
        <f aca="false">(I29+I38)/I18</f>
        <v>1.36808949726044</v>
      </c>
      <c r="J45" s="24" t="n">
        <f aca="false">(J29+J38)/J18</f>
        <v>1.38316366196124</v>
      </c>
      <c r="K45" s="24" t="n">
        <f aca="false">(K29+K38)/K18</f>
        <v>1.40119567213104</v>
      </c>
      <c r="L45" s="24" t="n">
        <f aca="false">(L29+L38)/L18</f>
        <v>1.42170026178974</v>
      </c>
      <c r="M45" s="24" t="n">
        <f aca="false">(M29+M38)/M18</f>
        <v>1.44429358464777</v>
      </c>
      <c r="N45" s="24" t="n">
        <f aca="false">(N29+N38)/N18</f>
        <v>1.46867259393709</v>
      </c>
      <c r="O45" s="24" t="n">
        <f aca="false">(O29+O38)/O18</f>
        <v>1.49459862340523</v>
      </c>
      <c r="P45" s="24" t="n">
        <f aca="false">(P29+P38)/P18</f>
        <v>1.51771274963977</v>
      </c>
      <c r="Q45" s="24" t="n">
        <f aca="false">(Q29+Q38)/Q18</f>
        <v>1.53864047123031</v>
      </c>
      <c r="R45" s="24" t="n">
        <f aca="false">(R29+R38)/R18</f>
        <v>1.55788076314368</v>
      </c>
      <c r="S45" s="24" t="n">
        <f aca="false">(S29+S38)/S18</f>
        <v>1.57583189122433</v>
      </c>
      <c r="T45" s="24" t="n">
        <f aca="false">(T29+T38)/T18</f>
        <v>1.59281196593284</v>
      </c>
      <c r="U45" s="24" t="n">
        <f aca="false">(U29+U38)/U18</f>
        <v>1.6090753070755</v>
      </c>
      <c r="V45" s="24" t="n">
        <f aca="false">(V29+V38)/V18</f>
        <v>1.62482547301358</v>
      </c>
      <c r="W45" s="24" t="n">
        <f aca="false">(W29+W38)/W18</f>
        <v>1.64022563400971</v>
      </c>
      <c r="X45" s="24" t="n">
        <f aca="false">(X29+X38)/X18</f>
        <v>1.65540683093045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1903</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IF(st_crise_crise_an&gt;0,IF(E$3=st_crise_crise_an,1,IF(E$3=st_crise_crise_an+1,2,0)),0)</f>
        <v>0</v>
      </c>
      <c r="F11" s="22" t="n">
        <f aca="false">IF(st_crise_crise_an&gt;0,IF(F$3=st_crise_crise_an,1,IF(F$3=st_crise_crise_an+1,2,0)),0)</f>
        <v>0</v>
      </c>
      <c r="G11" s="22" t="n">
        <f aca="false">IF(st_crise_crise_an&gt;0,IF(G$3=st_crise_crise_an,1,IF(G$3=st_crise_crise_an+1,2,0)),0)</f>
        <v>0</v>
      </c>
      <c r="H11" s="22" t="n">
        <f aca="false">IF(st_crise_crise_an&gt;0,IF(H$3=st_crise_crise_an,1,IF(H$3=st_crise_crise_an+1,2,0)),0)</f>
        <v>0</v>
      </c>
      <c r="I11" s="22" t="n">
        <f aca="false">IF(st_crise_crise_an&gt;0,IF(I$3=st_crise_crise_an,1,IF(I$3=st_crise_crise_an+1,2,0)),0)</f>
        <v>1</v>
      </c>
      <c r="J11" s="22" t="n">
        <f aca="false">IF(st_crise_crise_an&gt;0,IF(J$3=st_crise_crise_an,1,IF(J$3=st_crise_crise_an+1,2,0)),0)</f>
        <v>2</v>
      </c>
      <c r="K11" s="22" t="n">
        <f aca="false">IF(st_crise_crise_an&gt;0,IF(K$3=st_crise_crise_an,1,IF(K$3=st_crise_crise_an+1,2,0)),0)</f>
        <v>0</v>
      </c>
      <c r="L11" s="22" t="n">
        <f aca="false">IF(st_crise_crise_an&gt;0,IF(L$3=st_crise_crise_an,1,IF(L$3=st_crise_crise_an+1,2,0)),0)</f>
        <v>0</v>
      </c>
      <c r="M11" s="22" t="n">
        <f aca="false">IF(st_crise_crise_an&gt;0,IF(M$3=st_crise_crise_an,1,IF(M$3=st_crise_crise_an+1,2,0)),0)</f>
        <v>0</v>
      </c>
      <c r="N11" s="22" t="n">
        <f aca="false">IF(st_crise_crise_an&gt;0,IF(N$3=st_crise_crise_an,1,IF(N$3=st_crise_crise_an+1,2,0)),0)</f>
        <v>0</v>
      </c>
      <c r="O11" s="22" t="n">
        <f aca="false">IF(st_crise_crise_an&gt;0,IF(O$3=st_crise_crise_an,1,IF(O$3=st_crise_crise_an+1,2,0)),0)</f>
        <v>0</v>
      </c>
      <c r="P11" s="22" t="n">
        <f aca="false">IF(st_crise_crise_an&gt;0,IF(P$3=st_crise_crise_an,1,IF(P$3=st_crise_crise_an+1,2,0)),0)</f>
        <v>0</v>
      </c>
      <c r="Q11" s="22" t="n">
        <f aca="false">IF(st_crise_crise_an&gt;0,IF(Q$3=st_crise_crise_an,1,IF(Q$3=st_crise_crise_an+1,2,0)),0)</f>
        <v>0</v>
      </c>
      <c r="R11" s="22" t="n">
        <f aca="false">IF(st_crise_crise_an&gt;0,IF(R$3=st_crise_crise_an,1,IF(R$3=st_crise_crise_an+1,2,0)),0)</f>
        <v>0</v>
      </c>
      <c r="S11" s="22" t="n">
        <f aca="false">IF(st_crise_crise_an&gt;0,IF(S$3=st_crise_crise_an,1,IF(S$3=st_crise_crise_an+1,2,0)),0)</f>
        <v>0</v>
      </c>
      <c r="T11" s="22" t="n">
        <f aca="false">IF(st_crise_crise_an&gt;0,IF(T$3=st_crise_crise_an,1,IF(T$3=st_crise_crise_an+1,2,0)),0)</f>
        <v>0</v>
      </c>
      <c r="U11" s="22" t="n">
        <f aca="false">IF(st_crise_crise_an&gt;0,IF(U$3=st_crise_crise_an,1,IF(U$3=st_crise_crise_an+1,2,0)),0)</f>
        <v>0</v>
      </c>
      <c r="V11" s="22" t="n">
        <f aca="false">IF(st_crise_crise_an&gt;0,IF(V$3=st_crise_crise_an,1,IF(V$3=st_crise_crise_an+1,2,0)),0)</f>
        <v>0</v>
      </c>
      <c r="W11" s="22" t="n">
        <f aca="false">IF(st_crise_crise_an&gt;0,IF(W$3=st_crise_crise_an,1,IF(W$3=st_crise_crise_an+1,2,0)),0)</f>
        <v>0</v>
      </c>
      <c r="X11" s="22" t="n">
        <f aca="false">IF(st_crise_crise_an&gt;0,IF(X$3=st_crise_crise_an,1,IF(X$3=st_crise_crise_an+1,2,0)),0)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(bud_chauffage_S2+bud_hors_gel_S2+bud_electricite_S2)*E7*IF(AND(E$3&gt;=st_crise_energie_debut,E$3&lt;=st_crise_energie_fin),st_crise_energie_mult,1)</f>
        <v>52815.6</v>
      </c>
      <c r="F14" s="17" t="n">
        <f aca="false">(bud_chauffage_S2+bud_hors_gel_S2+bud_electricite_S2)*F7*IF(AND(F$3&gt;=st_crise_energie_debut,F$3&lt;=st_crise_energie_fin),st_crise_energie_mult,1)</f>
        <v>53871.912</v>
      </c>
      <c r="G14" s="17" t="n">
        <f aca="false">(bud_chauffage_S2+bud_hors_gel_S2+bud_electricite_S2)*G7*IF(AND(G$3&gt;=st_crise_energie_debut,G$3&lt;=st_crise_energie_fin),st_crise_energie_mult,1)</f>
        <v>54949.35024</v>
      </c>
      <c r="H14" s="17" t="n">
        <f aca="false">(bud_chauffage_S2+bud_hors_gel_S2+bud_electricite_S2)*H7*IF(AND(H$3&gt;=st_crise_energie_debut,H$3&lt;=st_crise_energie_fin),st_crise_energie_mult,1)</f>
        <v>56048.3372448</v>
      </c>
      <c r="I14" s="17" t="n">
        <f aca="false">(bud_chauffage_S2+bud_hors_gel_S2+bud_electricite_S2)*I7*IF(AND(I$3&gt;=st_crise_energie_debut,I$3&lt;=st_crise_energie_fin),st_crise_energie_mult,1)</f>
        <v>57169.303989696</v>
      </c>
      <c r="J14" s="17" t="n">
        <f aca="false">(bud_chauffage_S2+bud_hors_gel_S2+bud_electricite_S2)*J7*IF(AND(J$3&gt;=st_crise_energie_debut,J$3&lt;=st_crise_energie_fin),st_crise_energie_mult,1)</f>
        <v>58312.6900694899</v>
      </c>
      <c r="K14" s="17" t="n">
        <f aca="false">(bud_chauffage_S2+bud_hors_gel_S2+bud_electricite_S2)*K7*IF(AND(K$3&gt;=st_crise_energie_debut,K$3&lt;=st_crise_energie_fin),st_crise_energie_mult,1)</f>
        <v>59478.9438708797</v>
      </c>
      <c r="L14" s="17" t="n">
        <f aca="false">(bud_chauffage_S2+bud_hors_gel_S2+bud_electricite_S2)*L7*IF(AND(L$3&gt;=st_crise_energie_debut,L$3&lt;=st_crise_energie_fin),st_crise_energie_mult,1)</f>
        <v>60668.5227482973</v>
      </c>
      <c r="M14" s="17" t="n">
        <f aca="false">(bud_chauffage_S2+bud_hors_gel_S2+bud_electricite_S2)*M7*IF(AND(M$3&gt;=st_crise_energie_debut,M$3&lt;=st_crise_energie_fin),st_crise_energie_mult,1)</f>
        <v>61881.8932032633</v>
      </c>
      <c r="N14" s="17" t="n">
        <f aca="false">(bud_chauffage_S2+bud_hors_gel_S2+bud_electricite_S2)*N7*IF(AND(N$3&gt;=st_crise_energie_debut,N$3&lt;=st_crise_energie_fin),st_crise_energie_mult,1)</f>
        <v>63119.5310673285</v>
      </c>
      <c r="O14" s="17" t="n">
        <f aca="false">(bud_chauffage_S2+bud_hors_gel_S2+bud_electricite_S2)*O7*IF(AND(O$3&gt;=st_crise_energie_debut,O$3&lt;=st_crise_energie_fin),st_crise_energie_mult,1)</f>
        <v>64381.9216886751</v>
      </c>
      <c r="P14" s="17" t="n">
        <f aca="false">(bud_chauffage_S2+bud_hors_gel_S2+bud_electricite_S2)*P7*IF(AND(P$3&gt;=st_crise_energie_debut,P$3&lt;=st_crise_energie_fin),st_crise_energie_mult,1)</f>
        <v>65669.5601224486</v>
      </c>
      <c r="Q14" s="17" t="n">
        <f aca="false">(bud_chauffage_S2+bud_hors_gel_S2+bud_electricite_S2)*Q7*IF(AND(Q$3&gt;=st_crise_energie_debut,Q$3&lt;=st_crise_energie_fin),st_crise_energie_mult,1)</f>
        <v>66982.9513248976</v>
      </c>
      <c r="R14" s="17" t="n">
        <f aca="false">(bud_chauffage_S2+bud_hors_gel_S2+bud_electricite_S2)*R7*IF(AND(R$3&gt;=st_crise_energie_debut,R$3&lt;=st_crise_energie_fin),st_crise_energie_mult,1)</f>
        <v>68322.6103513955</v>
      </c>
      <c r="S14" s="17" t="n">
        <f aca="false">(bud_chauffage_S2+bud_hors_gel_S2+bud_electricite_S2)*S7*IF(AND(S$3&gt;=st_crise_energie_debut,S$3&lt;=st_crise_energie_fin),st_crise_energie_mult,1)</f>
        <v>69689.0625584235</v>
      </c>
      <c r="T14" s="17" t="n">
        <f aca="false">(bud_chauffage_S2+bud_hors_gel_S2+bud_electricite_S2)*T7*IF(AND(T$3&gt;=st_crise_energie_debut,T$3&lt;=st_crise_energie_fin),st_crise_energie_mult,1)</f>
        <v>71082.8438095919</v>
      </c>
      <c r="U14" s="17" t="n">
        <f aca="false">(bud_chauffage_S2+bud_hors_gel_S2+bud_electricite_S2)*U7*IF(AND(U$3&gt;=st_crise_energie_debut,U$3&lt;=st_crise_energie_fin),st_crise_energie_mult,1)</f>
        <v>72504.5006857838</v>
      </c>
      <c r="V14" s="17" t="n">
        <f aca="false">(bud_chauffage_S2+bud_hors_gel_S2+bud_electricite_S2)*V7*IF(AND(V$3&gt;=st_crise_energie_debut,V$3&lt;=st_crise_energie_fin),st_crise_energie_mult,1)</f>
        <v>73954.5906994994</v>
      </c>
      <c r="W14" s="17" t="n">
        <f aca="false">(bud_chauffage_S2+bud_hors_gel_S2+bud_electricite_S2)*W7*IF(AND(W$3&gt;=st_crise_energie_debut,W$3&lt;=st_crise_energie_fin),st_crise_energie_mult,1)</f>
        <v>75433.6825134894</v>
      </c>
      <c r="X14" s="17" t="n">
        <f aca="false">(bud_chauffage_S2+bud_hors_gel_S2+bud_electricite_S2)*X7*IF(AND(X$3&gt;=st_crise_energie_debut,X$3&lt;=st_crise_energie_fin),st_crise_energie_mult,1)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IF(MOD(E$3,campagne_periode)=0,(D22+E17)*st_crise_mult_campagne*(1-E12*flex_report),0)</f>
        <v>0</v>
      </c>
      <c r="F19" s="17" t="n">
        <f aca="false">IF(MOD(F$3,campagne_periode)=0,(E22+F17)*st_crise_mult_campagne*(1-F12*flex_report),0)</f>
        <v>0</v>
      </c>
      <c r="G19" s="17" t="n">
        <f aca="false">IF(MOD(G$3,campagne_periode)=0,(F22+G17)*st_crise_mult_campagne*(1-G12*flex_report),0)</f>
        <v>0</v>
      </c>
      <c r="H19" s="17" t="n">
        <f aca="false">IF(MOD(H$3,campagne_periode)=0,(G22+H17)*st_crise_mult_campagne*(1-H12*flex_report),0)</f>
        <v>1268099.19305212</v>
      </c>
      <c r="I19" s="17" t="n">
        <f aca="false">IF(MOD(I$3,campagne_periode)=0,(H22+I17)*st_crise_mult_campagne*(1-I12*flex_report),0)</f>
        <v>0</v>
      </c>
      <c r="J19" s="17" t="n">
        <f aca="false">IF(MOD(J$3,campagne_periode)=0,(I22+J17)*st_crise_mult_campagne*(1-J12*flex_report),0)</f>
        <v>0</v>
      </c>
      <c r="K19" s="17" t="n">
        <f aca="false">IF(MOD(K$3,campagne_periode)=0,(J22+K17)*st_crise_mult_campagne*(1-K12*flex_report),0)</f>
        <v>0</v>
      </c>
      <c r="L19" s="17" t="n">
        <f aca="false">IF(MOD(L$3,campagne_periode)=0,(K22+L17)*st_crise_mult_campagne*(1-L12*flex_report),0)</f>
        <v>1306572.29625107</v>
      </c>
      <c r="M19" s="17" t="n">
        <f aca="false">IF(MOD(M$3,campagne_periode)=0,(L22+M17)*st_crise_mult_campagne*(1-M12*flex_report),0)</f>
        <v>0</v>
      </c>
      <c r="N19" s="17" t="n">
        <f aca="false">IF(MOD(N$3,campagne_periode)=0,(M22+N17)*st_crise_mult_campagne*(1-N12*flex_report),0)</f>
        <v>0</v>
      </c>
      <c r="O19" s="17" t="n">
        <f aca="false">IF(MOD(O$3,campagne_periode)=0,(N22+O17)*st_crise_mult_campagne*(1-O12*flex_report),0)</f>
        <v>0</v>
      </c>
      <c r="P19" s="17" t="n">
        <f aca="false">IF(MOD(P$3,campagne_periode)=0,(O22+P17)*st_crise_mult_campagne*(1-P12*flex_report),0)</f>
        <v>1346212.64226341</v>
      </c>
      <c r="Q19" s="17" t="n">
        <f aca="false">IF(MOD(Q$3,campagne_periode)=0,(P22+Q17)*st_crise_mult_campagne*(1-Q12*flex_report),0)</f>
        <v>0</v>
      </c>
      <c r="R19" s="17" t="n">
        <f aca="false">IF(MOD(R$3,campagne_periode)=0,(Q22+R17)*st_crise_mult_campagne*(1-R12*flex_report),0)</f>
        <v>0</v>
      </c>
      <c r="S19" s="17" t="n">
        <f aca="false">IF(MOD(S$3,campagne_periode)=0,(R22+S17)*st_crise_mult_campagne*(1-S12*flex_report),0)</f>
        <v>0</v>
      </c>
      <c r="T19" s="17" t="n">
        <f aca="false">IF(MOD(T$3,campagne_periode)=0,(S22+T17)*st_crise_mult_campagne*(1-T12*flex_report),0)</f>
        <v>1387055.64429141</v>
      </c>
      <c r="U19" s="17" t="n">
        <f aca="false">IF(MOD(U$3,campagne_periode)=0,(T22+U17)*st_crise_mult_campagne*(1-U12*flex_report),0)</f>
        <v>0</v>
      </c>
      <c r="V19" s="17" t="n">
        <f aca="false">IF(MOD(V$3,campagne_periode)=0,(U22+V17)*st_crise_mult_campagne*(1-V12*flex_report),0)</f>
        <v>0</v>
      </c>
      <c r="W19" s="17" t="n">
        <f aca="false">IF(MOD(W$3,campagne_periode)=0,(V22+W17)*st_crise_mult_campagne*(1-W12*flex_report),0)</f>
        <v>0</v>
      </c>
      <c r="X19" s="17" t="n">
        <f aca="false">IF(MOD(X$3,campagne_periode)=0,(W22+X17)*st_crise_mult_campagne*(1-X12*flex_report),0)</f>
        <v>1429137.78994523</v>
      </c>
    </row>
    <row r="20" customFormat="false" ht="15" hidden="false" customHeight="false" outlineLevel="0" collapsed="false">
      <c r="A20" s="2" t="s">
        <v>1845</v>
      </c>
      <c r="B20" s="2" t="s">
        <v>1846</v>
      </c>
      <c r="C20" s="2" t="s">
        <v>1832</v>
      </c>
      <c r="E20" s="17" t="n">
        <f aca="false">IF(E$3=st_crise_choc_trav_an,st_crise_choc_trav_montant,0)</f>
        <v>0</v>
      </c>
      <c r="F20" s="17" t="n">
        <f aca="false">IF(F$3=st_crise_choc_trav_an,st_crise_choc_trav_montant,0)</f>
        <v>0</v>
      </c>
      <c r="G20" s="17" t="n">
        <f aca="false">IF(G$3=st_crise_choc_trav_an,st_crise_choc_trav_montant,0)</f>
        <v>0</v>
      </c>
      <c r="H20" s="17" t="n">
        <f aca="false">IF(H$3=st_crise_choc_trav_an,st_crise_choc_trav_montant,0)</f>
        <v>0</v>
      </c>
      <c r="I20" s="17" t="n">
        <f aca="false">IF(I$3=st_crise_choc_trav_an,st_crise_choc_trav_montant,0)</f>
        <v>0</v>
      </c>
      <c r="J20" s="17" t="n">
        <f aca="false">IF(J$3=st_crise_choc_trav_an,st_crise_choc_trav_montant,0)</f>
        <v>0</v>
      </c>
      <c r="K20" s="17" t="n">
        <f aca="false">IF(K$3=st_crise_choc_trav_an,st_crise_choc_trav_montant,0)</f>
        <v>0</v>
      </c>
      <c r="L20" s="17" t="n">
        <f aca="false">IF(L$3=st_crise_choc_trav_an,st_crise_choc_trav_montant,0)</f>
        <v>0</v>
      </c>
      <c r="M20" s="17" t="n">
        <f aca="false">IF(M$3=st_crise_choc_trav_an,st_crise_choc_trav_montant,0)</f>
        <v>0</v>
      </c>
      <c r="N20" s="17" t="n">
        <f aca="false">IF(N$3=st_crise_choc_trav_an,st_crise_choc_trav_montant,0)</f>
        <v>0</v>
      </c>
      <c r="O20" s="17" t="n">
        <f aca="false">IF(O$3=st_crise_choc_trav_an,st_crise_choc_trav_montant,0)</f>
        <v>0</v>
      </c>
      <c r="P20" s="17" t="n">
        <f aca="false">IF(P$3=st_crise_choc_trav_an,st_crise_choc_trav_montant,0)</f>
        <v>0</v>
      </c>
      <c r="Q20" s="17" t="n">
        <f aca="false">IF(Q$3=st_crise_choc_trav_an,st_crise_choc_trav_montant,0)</f>
        <v>0</v>
      </c>
      <c r="R20" s="17" t="n">
        <f aca="false">IF(R$3=st_crise_choc_trav_an,st_crise_choc_trav_montant,0)</f>
        <v>0</v>
      </c>
      <c r="S20" s="17" t="n">
        <f aca="false">IF(S$3=st_crise_choc_trav_an,st_crise_choc_trav_montant,0)</f>
        <v>0</v>
      </c>
      <c r="T20" s="17" t="n">
        <f aca="false">IF(T$3=st_crise_choc_trav_an,st_crise_choc_trav_montant,0)</f>
        <v>0</v>
      </c>
      <c r="U20" s="17" t="n">
        <f aca="false">IF(U$3=st_crise_choc_trav_an,st_crise_choc_trav_montant,0)</f>
        <v>0</v>
      </c>
      <c r="V20" s="17" t="n">
        <f aca="false">IF(V$3=st_crise_choc_trav_an,st_crise_choc_trav_montant,0)</f>
        <v>0</v>
      </c>
      <c r="W20" s="17" t="n">
        <f aca="false">IF(W$3=st_crise_choc_trav_an,st_crise_choc_trav_montant,0)</f>
        <v>0</v>
      </c>
      <c r="X20" s="17" t="n">
        <f aca="false">IF(X$3=st_crise_choc_trav_an,st_crise_choc_trav_montant,0)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(S2_ech_log*mot_log_cn+S2_ech_stock*mot_stock_cn+S2_ech_pv*mot_pv_cn+S2_ech_bois*mot_bois_cn)*E24*E9*IF(E$3&gt;=st_crise_debut_mult,st_crise_mult_A,1)*IF(E11=1,1-0.05,IF(E11=2,1-0.02,1))</f>
        <v>21930.4</v>
      </c>
      <c r="F25" s="17" t="n">
        <f aca="false">(S2_ech_log*mot_log_cn+S2_ech_stock*mot_stock_cn+S2_ech_pv*mot_pv_cn+S2_ech_bois*mot_bois_cn)*F24*F9*IF(F$3&gt;=st_crise_debut_mult,st_crise_mult_A,1)*IF(F11=1,1-0.05,IF(F11=2,1-0.02,1))</f>
        <v>41119.5</v>
      </c>
      <c r="G25" s="17" t="n">
        <f aca="false">(S2_ech_log*mot_log_cn+S2_ech_stock*mot_stock_cn+S2_ech_pv*mot_pv_cn+S2_ech_bois*mot_bois_cn)*G24*G9*IF(G$3&gt;=st_crise_debut_mult,st_crise_mult_A,1)*IF(G11=1,1-0.05,IF(G11=2,1-0.02,1))</f>
        <v>54826</v>
      </c>
      <c r="H25" s="17" t="n">
        <f aca="false">(S2_ech_log*mot_log_cn+S2_ech_stock*mot_stock_cn+S2_ech_pv*mot_pv_cn+S2_ech_bois*mot_bois_cn)*H24*H9*IF(H$3&gt;=st_crise_debut_mult,st_crise_mult_A,1)*IF(H11=1,1-0.05,IF(H11=2,1-0.02,1))</f>
        <v>54826</v>
      </c>
      <c r="I25" s="17" t="n">
        <f aca="false">(S2_ech_log*mot_log_cn+S2_ech_stock*mot_stock_cn+S2_ech_pv*mot_pv_cn+S2_ech_bois*mot_bois_cn)*I24*I9*IF(I$3&gt;=st_crise_debut_mult,st_crise_mult_A,1)*IF(I11=1,1-0.05,IF(I11=2,1-0.02,1))</f>
        <v>52084.7</v>
      </c>
      <c r="J25" s="17" t="n">
        <f aca="false">(S2_ech_log*mot_log_cn+S2_ech_stock*mot_stock_cn+S2_ech_pv*mot_pv_cn+S2_ech_bois*mot_bois_cn)*J24*J9*IF(J$3&gt;=st_crise_debut_mult,st_crise_mult_A,1)*IF(J11=1,1-0.05,IF(J11=2,1-0.02,1))</f>
        <v>53729.48</v>
      </c>
      <c r="K25" s="17" t="n">
        <f aca="false">(S2_ech_log*mot_log_cn+S2_ech_stock*mot_stock_cn+S2_ech_pv*mot_pv_cn+S2_ech_bois*mot_bois_cn)*K24*K9*IF(K$3&gt;=st_crise_debut_mult,st_crise_mult_A,1)*IF(K11=1,1-0.05,IF(K11=2,1-0.02,1))</f>
        <v>54826</v>
      </c>
      <c r="L25" s="17" t="n">
        <f aca="false">(S2_ech_log*mot_log_cn+S2_ech_stock*mot_stock_cn+S2_ech_pv*mot_pv_cn+S2_ech_bois*mot_bois_cn)*L24*L9*IF(L$3&gt;=st_crise_debut_mult,st_crise_mult_A,1)*IF(L11=1,1-0.05,IF(L11=2,1-0.02,1))</f>
        <v>54826</v>
      </c>
      <c r="M25" s="17" t="n">
        <f aca="false">(S2_ech_log*mot_log_cn+S2_ech_stock*mot_stock_cn+S2_ech_pv*mot_pv_cn+S2_ech_bois*mot_bois_cn)*M24*M9*IF(M$3&gt;=st_crise_debut_mult,st_crise_mult_A,1)*IF(M11=1,1-0.05,IF(M11=2,1-0.02,1))</f>
        <v>54826</v>
      </c>
      <c r="N25" s="17" t="n">
        <f aca="false">(S2_ech_log*mot_log_cn+S2_ech_stock*mot_stock_cn+S2_ech_pv*mot_pv_cn+S2_ech_bois*mot_bois_cn)*N24*N9*IF(N$3&gt;=st_crise_debut_mult,st_crise_mult_A,1)*IF(N11=1,1-0.05,IF(N11=2,1-0.02,1))</f>
        <v>54826</v>
      </c>
      <c r="O25" s="17" t="n">
        <f aca="false">(S2_ech_log*mot_log_cn+S2_ech_stock*mot_stock_cn+S2_ech_pv*mot_pv_cn+S2_ech_bois*mot_bois_cn)*O24*O9*IF(O$3&gt;=st_crise_debut_mult,st_crise_mult_A,1)*IF(O11=1,1-0.05,IF(O11=2,1-0.02,1))</f>
        <v>54826</v>
      </c>
      <c r="P25" s="17" t="n">
        <f aca="false">(S2_ech_log*mot_log_cn+S2_ech_stock*mot_stock_cn+S2_ech_pv*mot_pv_cn+S2_ech_bois*mot_bois_cn)*P24*P9*IF(P$3&gt;=st_crise_debut_mult,st_crise_mult_A,1)*IF(P11=1,1-0.05,IF(P11=2,1-0.02,1))</f>
        <v>54826</v>
      </c>
      <c r="Q25" s="17" t="n">
        <f aca="false">(S2_ech_log*mot_log_cn+S2_ech_stock*mot_stock_cn+S2_ech_pv*mot_pv_cn+S2_ech_bois*mot_bois_cn)*Q24*Q9*IF(Q$3&gt;=st_crise_debut_mult,st_crise_mult_A,1)*IF(Q11=1,1-0.05,IF(Q11=2,1-0.02,1))</f>
        <v>54826</v>
      </c>
      <c r="R25" s="17" t="n">
        <f aca="false">(S2_ech_log*mot_log_cn+S2_ech_stock*mot_stock_cn+S2_ech_pv*mot_pv_cn+S2_ech_bois*mot_bois_cn)*R24*R9*IF(R$3&gt;=st_crise_debut_mult,st_crise_mult_A,1)*IF(R11=1,1-0.05,IF(R11=2,1-0.02,1))</f>
        <v>54826</v>
      </c>
      <c r="S25" s="17" t="n">
        <f aca="false">(S2_ech_log*mot_log_cn+S2_ech_stock*mot_stock_cn+S2_ech_pv*mot_pv_cn+S2_ech_bois*mot_bois_cn)*S24*S9*IF(S$3&gt;=st_crise_debut_mult,st_crise_mult_A,1)*IF(S11=1,1-0.05,IF(S11=2,1-0.02,1))</f>
        <v>54826</v>
      </c>
      <c r="T25" s="17" t="n">
        <f aca="false">(S2_ech_log*mot_log_cn+S2_ech_stock*mot_stock_cn+S2_ech_pv*mot_pv_cn+S2_ech_bois*mot_bois_cn)*T24*T9*IF(T$3&gt;=st_crise_debut_mult,st_crise_mult_A,1)*IF(T11=1,1-0.05,IF(T11=2,1-0.02,1))</f>
        <v>54826</v>
      </c>
      <c r="U25" s="17" t="n">
        <f aca="false">(S2_ech_log*mot_log_cn+S2_ech_stock*mot_stock_cn+S2_ech_pv*mot_pv_cn+S2_ech_bois*mot_bois_cn)*U24*U9*IF(U$3&gt;=st_crise_debut_mult,st_crise_mult_A,1)*IF(U11=1,1-0.05,IF(U11=2,1-0.02,1))</f>
        <v>54826</v>
      </c>
      <c r="V25" s="17" t="n">
        <f aca="false">(S2_ech_log*mot_log_cn+S2_ech_stock*mot_stock_cn+S2_ech_pv*mot_pv_cn+S2_ech_bois*mot_bois_cn)*V24*V9*IF(V$3&gt;=st_crise_debut_mult,st_crise_mult_A,1)*IF(V11=1,1-0.05,IF(V11=2,1-0.02,1))</f>
        <v>54826</v>
      </c>
      <c r="W25" s="17" t="n">
        <f aca="false">(S2_ech_log*mot_log_cn+S2_ech_stock*mot_stock_cn+S2_ech_pv*mot_pv_cn+S2_ech_bois*mot_bois_cn)*W24*W9*IF(W$3&gt;=st_crise_debut_mult,st_crise_mult_A,1)*IF(W11=1,1-0.05,IF(W11=2,1-0.02,1))</f>
        <v>54826</v>
      </c>
      <c r="X25" s="17" t="n">
        <f aca="false">(S2_ech_log*mot_log_cn+S2_ech_stock*mot_stock_cn+S2_ech_pv*mot_pv_cn+S2_ech_bois*mot_bois_cn)*X24*X9*IF(X$3&gt;=st_crise_debut_mult,st_crise_mult_A,1)*IF(X11=1,1-0.05,IF(X11=2,1-0.02,1))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(S2_ech_eq_std*mot_eq_std_cn+S2_ech_eq_ret*mot_eq_ret_cn)*E24*E9*IF(E$3&gt;=st_crise_debut_mult,st_crise_mult_B,1)*IF(E11=1,1-0.15,IF(E11=2,1-0.05,1))</f>
        <v>3757.8</v>
      </c>
      <c r="F26" s="17" t="n">
        <f aca="false">(S2_ech_eq_std*mot_eq_std_cn+S2_ech_eq_ret*mot_eq_ret_cn)*F24*F9*IF(F$3&gt;=st_crise_debut_mult,st_crise_mult_B,1)*IF(F11=1,1-0.15,IF(F11=2,1-0.05,1))</f>
        <v>7045.875</v>
      </c>
      <c r="G26" s="17" t="n">
        <f aca="false">(S2_ech_eq_std*mot_eq_std_cn+S2_ech_eq_ret*mot_eq_ret_cn)*G24*G9*IF(G$3&gt;=st_crise_debut_mult,st_crise_mult_B,1)*IF(G11=1,1-0.15,IF(G11=2,1-0.05,1))</f>
        <v>9394.5</v>
      </c>
      <c r="H26" s="17" t="n">
        <f aca="false">(S2_ech_eq_std*mot_eq_std_cn+S2_ech_eq_ret*mot_eq_ret_cn)*H24*H9*IF(H$3&gt;=st_crise_debut_mult,st_crise_mult_B,1)*IF(H11=1,1-0.15,IF(H11=2,1-0.05,1))</f>
        <v>9394.5</v>
      </c>
      <c r="I26" s="17" t="n">
        <f aca="false">(S2_ech_eq_std*mot_eq_std_cn+S2_ech_eq_ret*mot_eq_ret_cn)*I24*I9*IF(I$3&gt;=st_crise_debut_mult,st_crise_mult_B,1)*IF(I11=1,1-0.15,IF(I11=2,1-0.05,1))</f>
        <v>7985.325</v>
      </c>
      <c r="J26" s="17" t="n">
        <f aca="false">(S2_ech_eq_std*mot_eq_std_cn+S2_ech_eq_ret*mot_eq_ret_cn)*J24*J9*IF(J$3&gt;=st_crise_debut_mult,st_crise_mult_B,1)*IF(J11=1,1-0.15,IF(J11=2,1-0.05,1))</f>
        <v>8924.775</v>
      </c>
      <c r="K26" s="17" t="n">
        <f aca="false">(S2_ech_eq_std*mot_eq_std_cn+S2_ech_eq_ret*mot_eq_ret_cn)*K24*K9*IF(K$3&gt;=st_crise_debut_mult,st_crise_mult_B,1)*IF(K11=1,1-0.15,IF(K11=2,1-0.05,1))</f>
        <v>9394.5</v>
      </c>
      <c r="L26" s="17" t="n">
        <f aca="false">(S2_ech_eq_std*mot_eq_std_cn+S2_ech_eq_ret*mot_eq_ret_cn)*L24*L9*IF(L$3&gt;=st_crise_debut_mult,st_crise_mult_B,1)*IF(L11=1,1-0.15,IF(L11=2,1-0.05,1))</f>
        <v>9394.5</v>
      </c>
      <c r="M26" s="17" t="n">
        <f aca="false">(S2_ech_eq_std*mot_eq_std_cn+S2_ech_eq_ret*mot_eq_ret_cn)*M24*M9*IF(M$3&gt;=st_crise_debut_mult,st_crise_mult_B,1)*IF(M11=1,1-0.15,IF(M11=2,1-0.05,1))</f>
        <v>9394.5</v>
      </c>
      <c r="N26" s="17" t="n">
        <f aca="false">(S2_ech_eq_std*mot_eq_std_cn+S2_ech_eq_ret*mot_eq_ret_cn)*N24*N9*IF(N$3&gt;=st_crise_debut_mult,st_crise_mult_B,1)*IF(N11=1,1-0.15,IF(N11=2,1-0.05,1))</f>
        <v>9394.5</v>
      </c>
      <c r="O26" s="17" t="n">
        <f aca="false">(S2_ech_eq_std*mot_eq_std_cn+S2_ech_eq_ret*mot_eq_ret_cn)*O24*O9*IF(O$3&gt;=st_crise_debut_mult,st_crise_mult_B,1)*IF(O11=1,1-0.15,IF(O11=2,1-0.05,1))</f>
        <v>9394.5</v>
      </c>
      <c r="P26" s="17" t="n">
        <f aca="false">(S2_ech_eq_std*mot_eq_std_cn+S2_ech_eq_ret*mot_eq_ret_cn)*P24*P9*IF(P$3&gt;=st_crise_debut_mult,st_crise_mult_B,1)*IF(P11=1,1-0.15,IF(P11=2,1-0.05,1))</f>
        <v>9394.5</v>
      </c>
      <c r="Q26" s="17" t="n">
        <f aca="false">(S2_ech_eq_std*mot_eq_std_cn+S2_ech_eq_ret*mot_eq_ret_cn)*Q24*Q9*IF(Q$3&gt;=st_crise_debut_mult,st_crise_mult_B,1)*IF(Q11=1,1-0.15,IF(Q11=2,1-0.05,1))</f>
        <v>9394.5</v>
      </c>
      <c r="R26" s="17" t="n">
        <f aca="false">(S2_ech_eq_std*mot_eq_std_cn+S2_ech_eq_ret*mot_eq_ret_cn)*R24*R9*IF(R$3&gt;=st_crise_debut_mult,st_crise_mult_B,1)*IF(R11=1,1-0.15,IF(R11=2,1-0.05,1))</f>
        <v>9394.5</v>
      </c>
      <c r="S26" s="17" t="n">
        <f aca="false">(S2_ech_eq_std*mot_eq_std_cn+S2_ech_eq_ret*mot_eq_ret_cn)*S24*S9*IF(S$3&gt;=st_crise_debut_mult,st_crise_mult_B,1)*IF(S11=1,1-0.15,IF(S11=2,1-0.05,1))</f>
        <v>9394.5</v>
      </c>
      <c r="T26" s="17" t="n">
        <f aca="false">(S2_ech_eq_std*mot_eq_std_cn+S2_ech_eq_ret*mot_eq_ret_cn)*T24*T9*IF(T$3&gt;=st_crise_debut_mult,st_crise_mult_B,1)*IF(T11=1,1-0.15,IF(T11=2,1-0.05,1))</f>
        <v>9394.5</v>
      </c>
      <c r="U26" s="17" t="n">
        <f aca="false">(S2_ech_eq_std*mot_eq_std_cn+S2_ech_eq_ret*mot_eq_ret_cn)*U24*U9*IF(U$3&gt;=st_crise_debut_mult,st_crise_mult_B,1)*IF(U11=1,1-0.15,IF(U11=2,1-0.05,1))</f>
        <v>9394.5</v>
      </c>
      <c r="V26" s="17" t="n">
        <f aca="false">(S2_ech_eq_std*mot_eq_std_cn+S2_ech_eq_ret*mot_eq_ret_cn)*V24*V9*IF(V$3&gt;=st_crise_debut_mult,st_crise_mult_B,1)*IF(V11=1,1-0.15,IF(V11=2,1-0.05,1))</f>
        <v>9394.5</v>
      </c>
      <c r="W26" s="17" t="n">
        <f aca="false">(S2_ech_eq_std*mot_eq_std_cn+S2_ech_eq_ret*mot_eq_ret_cn)*W24*W9*IF(W$3&gt;=st_crise_debut_mult,st_crise_mult_B,1)*IF(W11=1,1-0.15,IF(W11=2,1-0.05,1))</f>
        <v>9394.5</v>
      </c>
      <c r="X26" s="17" t="n">
        <f aca="false">(S2_ech_eq_std*mot_eq_std_cn+S2_ech_eq_ret*mot_eq_ret_cn)*X24*X9*IF(X$3&gt;=st_crise_debut_mult,st_crise_mult_B,1)*IF(X11=1,1-0.15,IF(X11=2,1-0.05,1))</f>
        <v>9394.5</v>
      </c>
    </row>
    <row r="27" customFormat="false" ht="15" hidden="false" customHeight="false" outlineLevel="0" collapsed="false">
      <c r="A27" s="2" t="s">
        <v>1859</v>
      </c>
      <c r="B27" s="2" t="s">
        <v>1860</v>
      </c>
      <c r="C27" s="2" t="s">
        <v>1832</v>
      </c>
      <c r="E27" s="17" t="n">
        <f aca="false">(S2_ech_tourn*mot_tourn_cn)*E24*E9*IF(E$3&gt;=st_crise_debut_mult,st_crise_mult_C,1)*IF(E11=1,1-0.8,IF(E11=2,1-0.3,1))</f>
        <v>2380</v>
      </c>
      <c r="F27" s="17" t="n">
        <f aca="false">(S2_ech_tourn*mot_tourn_cn)*F24*F9*IF(F$3&gt;=st_crise_debut_mult,st_crise_mult_C,1)*IF(F11=1,1-0.8,IF(F11=2,1-0.3,1))</f>
        <v>4462.5</v>
      </c>
      <c r="G27" s="17" t="n">
        <f aca="false">(S2_ech_tourn*mot_tourn_cn)*G24*G9*IF(G$3&gt;=st_crise_debut_mult,st_crise_mult_C,1)*IF(G11=1,1-0.8,IF(G11=2,1-0.3,1))</f>
        <v>5950</v>
      </c>
      <c r="H27" s="17" t="n">
        <f aca="false">(S2_ech_tourn*mot_tourn_cn)*H24*H9*IF(H$3&gt;=st_crise_debut_mult,st_crise_mult_C,1)*IF(H11=1,1-0.8,IF(H11=2,1-0.3,1))</f>
        <v>5950</v>
      </c>
      <c r="I27" s="17" t="n">
        <f aca="false">(S2_ech_tourn*mot_tourn_cn)*I24*I9*IF(I$3&gt;=st_crise_debut_mult,st_crise_mult_C,1)*IF(I11=1,1-0.8,IF(I11=2,1-0.3,1))</f>
        <v>1190</v>
      </c>
      <c r="J27" s="17" t="n">
        <f aca="false">(S2_ech_tourn*mot_tourn_cn)*J24*J9*IF(J$3&gt;=st_crise_debut_mult,st_crise_mult_C,1)*IF(J11=1,1-0.8,IF(J11=2,1-0.3,1))</f>
        <v>4165</v>
      </c>
      <c r="K27" s="17" t="n">
        <f aca="false">(S2_ech_tourn*mot_tourn_cn)*K24*K9*IF(K$3&gt;=st_crise_debut_mult,st_crise_mult_C,1)*IF(K11=1,1-0.8,IF(K11=2,1-0.3,1))</f>
        <v>5950</v>
      </c>
      <c r="L27" s="17" t="n">
        <f aca="false">(S2_ech_tourn*mot_tourn_cn)*L24*L9*IF(L$3&gt;=st_crise_debut_mult,st_crise_mult_C,1)*IF(L11=1,1-0.8,IF(L11=2,1-0.3,1))</f>
        <v>5950</v>
      </c>
      <c r="M27" s="17" t="n">
        <f aca="false">(S2_ech_tourn*mot_tourn_cn)*M24*M9*IF(M$3&gt;=st_crise_debut_mult,st_crise_mult_C,1)*IF(M11=1,1-0.8,IF(M11=2,1-0.3,1))</f>
        <v>5950</v>
      </c>
      <c r="N27" s="17" t="n">
        <f aca="false">(S2_ech_tourn*mot_tourn_cn)*N24*N9*IF(N$3&gt;=st_crise_debut_mult,st_crise_mult_C,1)*IF(N11=1,1-0.8,IF(N11=2,1-0.3,1))</f>
        <v>5950</v>
      </c>
      <c r="O27" s="17" t="n">
        <f aca="false">(S2_ech_tourn*mot_tourn_cn)*O24*O9*IF(O$3&gt;=st_crise_debut_mult,st_crise_mult_C,1)*IF(O11=1,1-0.8,IF(O11=2,1-0.3,1))</f>
        <v>5950</v>
      </c>
      <c r="P27" s="17" t="n">
        <f aca="false">(S2_ech_tourn*mot_tourn_cn)*P24*P9*IF(P$3&gt;=st_crise_debut_mult,st_crise_mult_C,1)*IF(P11=1,1-0.8,IF(P11=2,1-0.3,1))</f>
        <v>5950</v>
      </c>
      <c r="Q27" s="17" t="n">
        <f aca="false">(S2_ech_tourn*mot_tourn_cn)*Q24*Q9*IF(Q$3&gt;=st_crise_debut_mult,st_crise_mult_C,1)*IF(Q11=1,1-0.8,IF(Q11=2,1-0.3,1))</f>
        <v>5950</v>
      </c>
      <c r="R27" s="17" t="n">
        <f aca="false">(S2_ech_tourn*mot_tourn_cn)*R24*R9*IF(R$3&gt;=st_crise_debut_mult,st_crise_mult_C,1)*IF(R11=1,1-0.8,IF(R11=2,1-0.3,1))</f>
        <v>5950</v>
      </c>
      <c r="S27" s="17" t="n">
        <f aca="false">(S2_ech_tourn*mot_tourn_cn)*S24*S9*IF(S$3&gt;=st_crise_debut_mult,st_crise_mult_C,1)*IF(S11=1,1-0.8,IF(S11=2,1-0.3,1))</f>
        <v>5950</v>
      </c>
      <c r="T27" s="17" t="n">
        <f aca="false">(S2_ech_tourn*mot_tourn_cn)*T24*T9*IF(T$3&gt;=st_crise_debut_mult,st_crise_mult_C,1)*IF(T11=1,1-0.8,IF(T11=2,1-0.3,1))</f>
        <v>5950</v>
      </c>
      <c r="U27" s="17" t="n">
        <f aca="false">(S2_ech_tourn*mot_tourn_cn)*U24*U9*IF(U$3&gt;=st_crise_debut_mult,st_crise_mult_C,1)*IF(U11=1,1-0.8,IF(U11=2,1-0.3,1))</f>
        <v>5950</v>
      </c>
      <c r="V27" s="17" t="n">
        <f aca="false">(S2_ech_tourn*mot_tourn_cn)*V24*V9*IF(V$3&gt;=st_crise_debut_mult,st_crise_mult_C,1)*IF(V11=1,1-0.8,IF(V11=2,1-0.3,1))</f>
        <v>5950</v>
      </c>
      <c r="W27" s="17" t="n">
        <f aca="false">(S2_ech_tourn*mot_tourn_cn)*W24*W9*IF(W$3&gt;=st_crise_debut_mult,st_crise_mult_C,1)*IF(W11=1,1-0.8,IF(W11=2,1-0.3,1))</f>
        <v>5950</v>
      </c>
      <c r="X27" s="17" t="n">
        <f aca="false">(S2_ech_tourn*mot_tourn_cn)*X24*X9*IF(X$3&gt;=st_crise_debut_mult,st_crise_mult_C,1)*IF(X11=1,1-0.8,IF(X11=2,1-0.3,1))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61260.025</v>
      </c>
      <c r="J28" s="17" t="n">
        <f aca="false">J25+J26+J27</f>
        <v>66819.255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42882.0175</v>
      </c>
      <c r="J29" s="17" t="n">
        <f aca="false">IF(J28&gt;0,J28*(1-fuite_fiscale),J28)</f>
        <v>46773.4785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1228239.14761377</v>
      </c>
      <c r="J35" s="17" t="n">
        <f aca="false">J13+J14+J15+J16+J17+J21+J32-J29-J23-J33-J34</f>
        <v>1230899.20242718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IF(AND(E$3&lt;=S2_sol_div_annees,E$3&lt;=st_crise_div_fin),S2_sol_div*IF(E11=1,0.5,1),0)</f>
        <v>1000000</v>
      </c>
      <c r="F36" s="17" t="n">
        <f aca="false">IF(AND(F$3&lt;=S2_sol_div_annees,F$3&lt;=st_crise_div_fin),S2_sol_div*IF(F11=1,0.5,1),0)</f>
        <v>1000000</v>
      </c>
      <c r="G36" s="17" t="n">
        <f aca="false">IF(AND(G$3&lt;=S2_sol_div_annees,G$3&lt;=st_crise_div_fin),S2_sol_div*IF(G11=1,0.5,1),0)</f>
        <v>1000000</v>
      </c>
      <c r="H36" s="17" t="n">
        <f aca="false">IF(AND(H$3&lt;=S2_sol_div_annees,H$3&lt;=st_crise_div_fin),S2_sol_div*IF(H11=1,0.5,1),0)</f>
        <v>1000000</v>
      </c>
      <c r="I36" s="17" t="n">
        <f aca="false">IF(AND(I$3&lt;=S2_sol_div_annees,I$3&lt;=st_crise_div_fin),S2_sol_div*IF(I11=1,0.5,1),0)</f>
        <v>500000</v>
      </c>
      <c r="J36" s="17" t="n">
        <f aca="false">IF(AND(J$3&lt;=S2_sol_div_annees,J$3&lt;=st_crise_div_fin),S2_sol_div*IF(J11=1,0.5,1),0)</f>
        <v>1000000</v>
      </c>
      <c r="K36" s="17" t="n">
        <f aca="false">IF(AND(K$3&lt;=S2_sol_div_annees,K$3&lt;=st_crise_div_fin),S2_sol_div*IF(K11=1,0.5,1),0)</f>
        <v>1000000</v>
      </c>
      <c r="L36" s="17" t="n">
        <f aca="false">IF(AND(L$3&lt;=S2_sol_div_annees,L$3&lt;=st_crise_div_fin),S2_sol_div*IF(L11=1,0.5,1),0)</f>
        <v>1000000</v>
      </c>
      <c r="M36" s="17" t="n">
        <f aca="false">IF(AND(M$3&lt;=S2_sol_div_annees,M$3&lt;=st_crise_div_fin),S2_sol_div*IF(M11=1,0.5,1),0)</f>
        <v>1000000</v>
      </c>
      <c r="N36" s="17" t="n">
        <f aca="false">IF(AND(N$3&lt;=S2_sol_div_annees,N$3&lt;=st_crise_div_fin),S2_sol_div*IF(N11=1,0.5,1),0)</f>
        <v>1000000</v>
      </c>
      <c r="O36" s="17" t="n">
        <f aca="false">IF(AND(O$3&lt;=S2_sol_div_annees,O$3&lt;=st_crise_div_fin),S2_sol_div*IF(O11=1,0.5,1),0)</f>
        <v>0</v>
      </c>
      <c r="P36" s="17" t="n">
        <f aca="false">IF(AND(P$3&lt;=S2_sol_div_annees,P$3&lt;=st_crise_div_fin),S2_sol_div*IF(P11=1,0.5,1),0)</f>
        <v>0</v>
      </c>
      <c r="Q36" s="17" t="n">
        <f aca="false">IF(AND(Q$3&lt;=S2_sol_div_annees,Q$3&lt;=st_crise_div_fin),S2_sol_div*IF(Q11=1,0.5,1),0)</f>
        <v>0</v>
      </c>
      <c r="R36" s="17" t="n">
        <f aca="false">IF(AND(R$3&lt;=S2_sol_div_annees,R$3&lt;=st_crise_div_fin),S2_sol_div*IF(R11=1,0.5,1),0)</f>
        <v>0</v>
      </c>
      <c r="S36" s="17" t="n">
        <f aca="false">IF(AND(S$3&lt;=S2_sol_div_annees,S$3&lt;=st_crise_div_fin),S2_sol_div*IF(S11=1,0.5,1),0)</f>
        <v>0</v>
      </c>
      <c r="T36" s="17" t="n">
        <f aca="false">IF(AND(T$3&lt;=S2_sol_div_annees,T$3&lt;=st_crise_div_fin),S2_sol_div*IF(T11=1,0.5,1),0)</f>
        <v>0</v>
      </c>
      <c r="U36" s="17" t="n">
        <f aca="false">IF(AND(U$3&lt;=S2_sol_div_annees,U$3&lt;=st_crise_div_fin),S2_sol_div*IF(U11=1,0.5,1),0)</f>
        <v>0</v>
      </c>
      <c r="V36" s="17" t="n">
        <f aca="false">IF(AND(V$3&lt;=S2_sol_div_annees,V$3&lt;=st_crise_div_fin),S2_sol_div*IF(V11=1,0.5,1),0)</f>
        <v>0</v>
      </c>
      <c r="W36" s="17" t="n">
        <f aca="false">IF(AND(W$3&lt;=S2_sol_div_annees,W$3&lt;=st_crise_div_fin),S2_sol_div*IF(W11=1,0.5,1),0)</f>
        <v>0</v>
      </c>
      <c r="X36" s="17" t="n">
        <f aca="false">IF(AND(X$3&lt;=S2_sol_div_annees,X$3&lt;=st_crise_div_fin),S2_sol_div*IF(X11=1,0.5,1),0)</f>
        <v>0</v>
      </c>
    </row>
    <row r="37" customFormat="false" ht="15" hidden="false" customHeight="false" outlineLevel="0" collapsed="false">
      <c r="A37" s="2" t="s">
        <v>1879</v>
      </c>
      <c r="B37" s="2" t="s">
        <v>1880</v>
      </c>
      <c r="C37" s="2" t="s">
        <v>46</v>
      </c>
      <c r="E37" s="20" t="n">
        <f aca="false">dot_rendement+st_crise_dot_rdt_delta+IF(E11=1,-0.25,0)</f>
        <v>0.03</v>
      </c>
      <c r="F37" s="20" t="n">
        <f aca="false">dot_rendement+st_crise_dot_rdt_delta+IF(F11=1,-0.25,0)</f>
        <v>0.03</v>
      </c>
      <c r="G37" s="20" t="n">
        <f aca="false">dot_rendement+st_crise_dot_rdt_delta+IF(G11=1,-0.25,0)</f>
        <v>0.03</v>
      </c>
      <c r="H37" s="20" t="n">
        <f aca="false">dot_rendement+st_crise_dot_rdt_delta+IF(H11=1,-0.25,0)</f>
        <v>0.03</v>
      </c>
      <c r="I37" s="20" t="n">
        <f aca="false">dot_rendement+st_crise_dot_rdt_delta+IF(I11=1,-0.25,0)</f>
        <v>-0.22</v>
      </c>
      <c r="J37" s="20" t="n">
        <f aca="false">dot_rendement+st_crise_dot_rdt_delta+IF(J11=1,-0.25,0)</f>
        <v>0.03</v>
      </c>
      <c r="K37" s="20" t="n">
        <f aca="false">dot_rendement+st_crise_dot_rdt_delta+IF(K11=1,-0.25,0)</f>
        <v>0.03</v>
      </c>
      <c r="L37" s="20" t="n">
        <f aca="false">dot_rendement+st_crise_dot_rdt_delta+IF(L11=1,-0.25,0)</f>
        <v>0.03</v>
      </c>
      <c r="M37" s="20" t="n">
        <f aca="false">dot_rendement+st_crise_dot_rdt_delta+IF(M11=1,-0.25,0)</f>
        <v>0.03</v>
      </c>
      <c r="N37" s="20" t="n">
        <f aca="false">dot_rendement+st_crise_dot_rdt_delta+IF(N11=1,-0.25,0)</f>
        <v>0.03</v>
      </c>
      <c r="O37" s="20" t="n">
        <f aca="false">dot_rendement+st_crise_dot_rdt_delta+IF(O11=1,-0.25,0)</f>
        <v>0.03</v>
      </c>
      <c r="P37" s="20" t="n">
        <f aca="false">dot_rendement+st_crise_dot_rdt_delta+IF(P11=1,-0.25,0)</f>
        <v>0.03</v>
      </c>
      <c r="Q37" s="20" t="n">
        <f aca="false">dot_rendement+st_crise_dot_rdt_delta+IF(Q11=1,-0.25,0)</f>
        <v>0.03</v>
      </c>
      <c r="R37" s="20" t="n">
        <f aca="false">dot_rendement+st_crise_dot_rdt_delta+IF(R11=1,-0.25,0)</f>
        <v>0.03</v>
      </c>
      <c r="S37" s="20" t="n">
        <f aca="false">dot_rendement+st_crise_dot_rdt_delta+IF(S11=1,-0.25,0)</f>
        <v>0.03</v>
      </c>
      <c r="T37" s="20" t="n">
        <f aca="false">dot_rendement+st_crise_dot_rdt_delta+IF(T11=1,-0.25,0)</f>
        <v>0.03</v>
      </c>
      <c r="U37" s="20" t="n">
        <f aca="false">dot_rendement+st_crise_dot_rdt_delta+IF(U11=1,-0.25,0)</f>
        <v>0.03</v>
      </c>
      <c r="V37" s="20" t="n">
        <f aca="false">dot_rendement+st_crise_dot_rdt_delta+IF(V11=1,-0.25,0)</f>
        <v>0.03</v>
      </c>
      <c r="W37" s="20" t="n">
        <f aca="false">dot_rendement+st_crise_dot_rdt_delta+IF(W11=1,-0.25,0)</f>
        <v>0.03</v>
      </c>
      <c r="X37" s="20" t="n">
        <f aca="false">dot_rendement+st_crise_dot_rdt_delta+IF(X11=1,-0.25,0)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1704853.33354243</v>
      </c>
      <c r="J38" s="17" t="n">
        <f aca="false">lissage_depense*I38+(1-lissage_depense)*dot_taux_net*MAX(0,I42)</f>
        <v>1640540.45052659</v>
      </c>
      <c r="K38" s="17" t="n">
        <f aca="false">lissage_depense*J38+(1-lissage_depense)*dot_taux_net*MAX(0,J42)</f>
        <v>1596119.93201136</v>
      </c>
      <c r="L38" s="17" t="n">
        <f aca="false">lissage_depense*K38+(1-lissage_depense)*dot_taux_net*MAX(0,K42)</f>
        <v>1567800.69202603</v>
      </c>
      <c r="M38" s="17" t="n">
        <f aca="false">lissage_depense*L38+(1-lissage_depense)*dot_taux_net*MAX(0,L42)</f>
        <v>1552542.20017484</v>
      </c>
      <c r="N38" s="17" t="n">
        <f aca="false">lissage_depense*M38+(1-lissage_depense)*dot_taux_net*MAX(0,M42)</f>
        <v>1547917.03760727</v>
      </c>
      <c r="O38" s="17" t="n">
        <f aca="false">lissage_depense*N38+(1-lissage_depense)*dot_taux_net*MAX(0,N42)</f>
        <v>1551988.41942293</v>
      </c>
      <c r="P38" s="17" t="n">
        <f aca="false">lissage_depense*O38+(1-lissage_depense)*dot_taux_net*MAX(0,O42)</f>
        <v>1557712.21684426</v>
      </c>
      <c r="Q38" s="17" t="n">
        <f aca="false">lissage_depense*P38+(1-lissage_depense)*dot_taux_net*MAX(0,P42)</f>
        <v>1564793.57932946</v>
      </c>
      <c r="R38" s="17" t="n">
        <f aca="false">lissage_depense*Q38+(1-lissage_depense)*dot_taux_net*MAX(0,Q42)</f>
        <v>1572997.28676692</v>
      </c>
      <c r="S38" s="17" t="n">
        <f aca="false">lissage_depense*R38+(1-lissage_depense)*dot_taux_net*MAX(0,R42)</f>
        <v>1582135.83736838</v>
      </c>
      <c r="T38" s="17" t="n">
        <f aca="false">lissage_depense*S38+(1-lissage_depense)*dot_taux_net*MAX(0,S42)</f>
        <v>1592059.91830323</v>
      </c>
      <c r="U38" s="17" t="n">
        <f aca="false">lissage_depense*T38+(1-lissage_depense)*dot_taux_net*MAX(0,T42)</f>
        <v>1602650.78253361</v>
      </c>
      <c r="V38" s="17" t="n">
        <f aca="false">lissage_depense*U38+(1-lissage_depense)*dot_taux_net*MAX(0,U42)</f>
        <v>1613814.15061798</v>
      </c>
      <c r="W38" s="17" t="n">
        <f aca="false">lissage_depense*V38+(1-lissage_depense)*dot_taux_net*MAX(0,V42)</f>
        <v>1625475.33249772</v>
      </c>
      <c r="X38" s="17" t="n">
        <f aca="false">lissage_depense*W38+(1-lissage_depense)*dot_taux_net*MAX(0,W42)</f>
        <v>1637575.32527847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215517.659520895</v>
      </c>
      <c r="I39" s="17" t="n">
        <f aca="false">MIN(MAX(0,I35-I36),IF(I12=1,MAX(I38,retrait_urgence*MAX(0,H42)),I38))</f>
        <v>728239.147613773</v>
      </c>
      <c r="J39" s="17" t="n">
        <f aca="false">MIN(MAX(0,J35-J36),IF(J12=1,MAX(J38,retrait_urgence*MAX(0,I42)),J38))</f>
        <v>230899.202427184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65422633.8005891</v>
      </c>
      <c r="I42" s="23" t="n">
        <f aca="false">MAX(0,H42)*(1+I37)-I39+I41-I31</f>
        <v>50301415.2168457</v>
      </c>
      <c r="J42" s="23" t="n">
        <f aca="false">MAX(0,I42)*(1+J37)-J39+J41-J31</f>
        <v>51579558.4709239</v>
      </c>
      <c r="K42" s="23" t="n">
        <f aca="false">MAX(0,J42)*(1+K37)-K39+K41-K31</f>
        <v>52891772.075809</v>
      </c>
      <c r="L42" s="23" t="n">
        <f aca="false">MAX(0,K42)*(1+L37)-L39+L41-L31</f>
        <v>54236663.0098203</v>
      </c>
      <c r="M42" s="23" t="n">
        <f aca="false">MAX(0,L42)*(1+M37)-M39+M41-M31</f>
        <v>55615141.3577092</v>
      </c>
      <c r="N42" s="23" t="n">
        <f aca="false">MAX(0,M42)*(1+N37)-N39+N41-N31</f>
        <v>57028143.5158385</v>
      </c>
      <c r="O42" s="23" t="n">
        <f aca="false">MAX(0,N42)*(1+O37)-O39+O41-O31</f>
        <v>57476632.9647125</v>
      </c>
      <c r="P42" s="23" t="n">
        <f aca="false">MAX(0,O42)*(1+P37)-P39+P41-P31</f>
        <v>57931601.0643722</v>
      </c>
      <c r="Q42" s="23" t="n">
        <f aca="false">MAX(0,P42)*(1+Q37)-Q39+Q41-Q31</f>
        <v>58393167.8733368</v>
      </c>
      <c r="R42" s="23" t="n">
        <f aca="false">MAX(0,Q42)*(1+R37)-R39+R41-R31</f>
        <v>58861455.9917897</v>
      </c>
      <c r="S42" s="23" t="n">
        <f aca="false">MAX(0,R42)*(1+S37)-S39+S41-S31</f>
        <v>59336590.6197329</v>
      </c>
      <c r="T42" s="23" t="n">
        <f aca="false">MAX(0,S42)*(1+T37)-T39+T41-T31</f>
        <v>59818699.6165501</v>
      </c>
      <c r="U42" s="23" t="n">
        <f aca="false">MAX(0,T42)*(1+U37)-U39+U41-U31</f>
        <v>60307913.5620161</v>
      </c>
      <c r="V42" s="23" t="n">
        <f aca="false">MAX(0,U42)*(1+V37)-V39+V41-V31</f>
        <v>60804365.8187881</v>
      </c>
      <c r="W42" s="23" t="n">
        <f aca="false">MAX(0,V42)*(1+W37)-W39+W41-W31</f>
        <v>61308192.5964178</v>
      </c>
      <c r="X42" s="23" t="n">
        <f aca="false">MAX(0,W42)*(1+X37)-X39+X41-X31</f>
        <v>61819533.0169222</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1.37495574694958</v>
      </c>
      <c r="J45" s="24" t="n">
        <f aca="false">(J29+J38)/J18</f>
        <v>1.32061517336517</v>
      </c>
      <c r="K45" s="24" t="n">
        <f aca="false">(K29+K38)/K18</f>
        <v>1.28104717810123</v>
      </c>
      <c r="L45" s="24" t="n">
        <f aca="false">(L29+L38)/L18</f>
        <v>1.25247336542294</v>
      </c>
      <c r="M45" s="24" t="n">
        <f aca="false">(M29+M38)/M18</f>
        <v>1.23419209454498</v>
      </c>
      <c r="N45" s="24" t="n">
        <f aca="false">(N29+N38)/N18</f>
        <v>1.22418469981518</v>
      </c>
      <c r="O45" s="24" t="n">
        <f aca="false">(O29+O38)/O18</f>
        <v>1.22084579427021</v>
      </c>
      <c r="P45" s="24" t="n">
        <f aca="false">(P29+P38)/P18</f>
        <v>1.21872750216174</v>
      </c>
      <c r="Q45" s="24" t="n">
        <f aca="false">(Q29+Q38)/Q18</f>
        <v>1.21758750033378</v>
      </c>
      <c r="R45" s="24" t="n">
        <f aca="false">(R29+R38)/R18</f>
        <v>1.2172329752355</v>
      </c>
      <c r="S45" s="24" t="n">
        <f aca="false">(S29+S38)/S18</f>
        <v>1.21751052982911</v>
      </c>
      <c r="T45" s="24" t="n">
        <f aca="false">(T29+T38)/T18</f>
        <v>1.21829814748351</v>
      </c>
      <c r="U45" s="24" t="n">
        <f aca="false">(U29+U38)/U18</f>
        <v>1.21949879379284</v>
      </c>
      <c r="V45" s="24" t="n">
        <f aca="false">(V29+V38)/V18</f>
        <v>1.2210353226015</v>
      </c>
      <c r="W45" s="24" t="n">
        <f aca="false">(W29+W38)/W18</f>
        <v>1.22284642048617</v>
      </c>
      <c r="X45" s="24" t="n">
        <f aca="false">(X29+X38)/X18</f>
        <v>1.22488337807515</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1904</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IF(st_travaux_crise_an&gt;0,IF(E$3=st_travaux_crise_an,1,IF(E$3=st_travaux_crise_an+1,2,0)),0)</f>
        <v>0</v>
      </c>
      <c r="F11" s="22" t="n">
        <f aca="false">IF(st_travaux_crise_an&gt;0,IF(F$3=st_travaux_crise_an,1,IF(F$3=st_travaux_crise_an+1,2,0)),0)</f>
        <v>0</v>
      </c>
      <c r="G11" s="22" t="n">
        <f aca="false">IF(st_travaux_crise_an&gt;0,IF(G$3=st_travaux_crise_an,1,IF(G$3=st_travaux_crise_an+1,2,0)),0)</f>
        <v>0</v>
      </c>
      <c r="H11" s="22" t="n">
        <f aca="false">IF(st_travaux_crise_an&gt;0,IF(H$3=st_travaux_crise_an,1,IF(H$3=st_travaux_crise_an+1,2,0)),0)</f>
        <v>0</v>
      </c>
      <c r="I11" s="22" t="n">
        <f aca="false">IF(st_travaux_crise_an&gt;0,IF(I$3=st_travaux_crise_an,1,IF(I$3=st_travaux_crise_an+1,2,0)),0)</f>
        <v>0</v>
      </c>
      <c r="J11" s="22" t="n">
        <f aca="false">IF(st_travaux_crise_an&gt;0,IF(J$3=st_travaux_crise_an,1,IF(J$3=st_travaux_crise_an+1,2,0)),0)</f>
        <v>0</v>
      </c>
      <c r="K11" s="22" t="n">
        <f aca="false">IF(st_travaux_crise_an&gt;0,IF(K$3=st_travaux_crise_an,1,IF(K$3=st_travaux_crise_an+1,2,0)),0)</f>
        <v>0</v>
      </c>
      <c r="L11" s="22" t="n">
        <f aca="false">IF(st_travaux_crise_an&gt;0,IF(L$3=st_travaux_crise_an,1,IF(L$3=st_travaux_crise_an+1,2,0)),0)</f>
        <v>0</v>
      </c>
      <c r="M11" s="22" t="n">
        <f aca="false">IF(st_travaux_crise_an&gt;0,IF(M$3=st_travaux_crise_an,1,IF(M$3=st_travaux_crise_an+1,2,0)),0)</f>
        <v>0</v>
      </c>
      <c r="N11" s="22" t="n">
        <f aca="false">IF(st_travaux_crise_an&gt;0,IF(N$3=st_travaux_crise_an,1,IF(N$3=st_travaux_crise_an+1,2,0)),0)</f>
        <v>0</v>
      </c>
      <c r="O11" s="22" t="n">
        <f aca="false">IF(st_travaux_crise_an&gt;0,IF(O$3=st_travaux_crise_an,1,IF(O$3=st_travaux_crise_an+1,2,0)),0)</f>
        <v>0</v>
      </c>
      <c r="P11" s="22" t="n">
        <f aca="false">IF(st_travaux_crise_an&gt;0,IF(P$3=st_travaux_crise_an,1,IF(P$3=st_travaux_crise_an+1,2,0)),0)</f>
        <v>0</v>
      </c>
      <c r="Q11" s="22" t="n">
        <f aca="false">IF(st_travaux_crise_an&gt;0,IF(Q$3=st_travaux_crise_an,1,IF(Q$3=st_travaux_crise_an+1,2,0)),0)</f>
        <v>0</v>
      </c>
      <c r="R11" s="22" t="n">
        <f aca="false">IF(st_travaux_crise_an&gt;0,IF(R$3=st_travaux_crise_an,1,IF(R$3=st_travaux_crise_an+1,2,0)),0)</f>
        <v>0</v>
      </c>
      <c r="S11" s="22" t="n">
        <f aca="false">IF(st_travaux_crise_an&gt;0,IF(S$3=st_travaux_crise_an,1,IF(S$3=st_travaux_crise_an+1,2,0)),0)</f>
        <v>0</v>
      </c>
      <c r="T11" s="22" t="n">
        <f aca="false">IF(st_travaux_crise_an&gt;0,IF(T$3=st_travaux_crise_an,1,IF(T$3=st_travaux_crise_an+1,2,0)),0)</f>
        <v>0</v>
      </c>
      <c r="U11" s="22" t="n">
        <f aca="false">IF(st_travaux_crise_an&gt;0,IF(U$3=st_travaux_crise_an,1,IF(U$3=st_travaux_crise_an+1,2,0)),0)</f>
        <v>0</v>
      </c>
      <c r="V11" s="22" t="n">
        <f aca="false">IF(st_travaux_crise_an&gt;0,IF(V$3=st_travaux_crise_an,1,IF(V$3=st_travaux_crise_an+1,2,0)),0)</f>
        <v>0</v>
      </c>
      <c r="W11" s="22" t="n">
        <f aca="false">IF(st_travaux_crise_an&gt;0,IF(W$3=st_travaux_crise_an,1,IF(W$3=st_travaux_crise_an+1,2,0)),0)</f>
        <v>0</v>
      </c>
      <c r="X11" s="22" t="n">
        <f aca="false">IF(st_travaux_crise_an&gt;0,IF(X$3=st_travaux_crise_an,1,IF(X$3=st_travaux_crise_an+1,2,0)),0)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(bud_chauffage_S2+bud_hors_gel_S2+bud_electricite_S2)*E7*IF(AND(E$3&gt;=st_travaux_energie_debut,E$3&lt;=st_travaux_energie_fin),st_travaux_energie_mult,1)</f>
        <v>52815.6</v>
      </c>
      <c r="F14" s="17" t="n">
        <f aca="false">(bud_chauffage_S2+bud_hors_gel_S2+bud_electricite_S2)*F7*IF(AND(F$3&gt;=st_travaux_energie_debut,F$3&lt;=st_travaux_energie_fin),st_travaux_energie_mult,1)</f>
        <v>53871.912</v>
      </c>
      <c r="G14" s="17" t="n">
        <f aca="false">(bud_chauffage_S2+bud_hors_gel_S2+bud_electricite_S2)*G7*IF(AND(G$3&gt;=st_travaux_energie_debut,G$3&lt;=st_travaux_energie_fin),st_travaux_energie_mult,1)</f>
        <v>54949.35024</v>
      </c>
      <c r="H14" s="17" t="n">
        <f aca="false">(bud_chauffage_S2+bud_hors_gel_S2+bud_electricite_S2)*H7*IF(AND(H$3&gt;=st_travaux_energie_debut,H$3&lt;=st_travaux_energie_fin),st_travaux_energie_mult,1)</f>
        <v>56048.3372448</v>
      </c>
      <c r="I14" s="17" t="n">
        <f aca="false">(bud_chauffage_S2+bud_hors_gel_S2+bud_electricite_S2)*I7*IF(AND(I$3&gt;=st_travaux_energie_debut,I$3&lt;=st_travaux_energie_fin),st_travaux_energie_mult,1)</f>
        <v>57169.303989696</v>
      </c>
      <c r="J14" s="17" t="n">
        <f aca="false">(bud_chauffage_S2+bud_hors_gel_S2+bud_electricite_S2)*J7*IF(AND(J$3&gt;=st_travaux_energie_debut,J$3&lt;=st_travaux_energie_fin),st_travaux_energie_mult,1)</f>
        <v>58312.6900694899</v>
      </c>
      <c r="K14" s="17" t="n">
        <f aca="false">(bud_chauffage_S2+bud_hors_gel_S2+bud_electricite_S2)*K7*IF(AND(K$3&gt;=st_travaux_energie_debut,K$3&lt;=st_travaux_energie_fin),st_travaux_energie_mult,1)</f>
        <v>59478.9438708797</v>
      </c>
      <c r="L14" s="17" t="n">
        <f aca="false">(bud_chauffage_S2+bud_hors_gel_S2+bud_electricite_S2)*L7*IF(AND(L$3&gt;=st_travaux_energie_debut,L$3&lt;=st_travaux_energie_fin),st_travaux_energie_mult,1)</f>
        <v>60668.5227482973</v>
      </c>
      <c r="M14" s="17" t="n">
        <f aca="false">(bud_chauffage_S2+bud_hors_gel_S2+bud_electricite_S2)*M7*IF(AND(M$3&gt;=st_travaux_energie_debut,M$3&lt;=st_travaux_energie_fin),st_travaux_energie_mult,1)</f>
        <v>61881.8932032633</v>
      </c>
      <c r="N14" s="17" t="n">
        <f aca="false">(bud_chauffage_S2+bud_hors_gel_S2+bud_electricite_S2)*N7*IF(AND(N$3&gt;=st_travaux_energie_debut,N$3&lt;=st_travaux_energie_fin),st_travaux_energie_mult,1)</f>
        <v>63119.5310673285</v>
      </c>
      <c r="O14" s="17" t="n">
        <f aca="false">(bud_chauffage_S2+bud_hors_gel_S2+bud_electricite_S2)*O7*IF(AND(O$3&gt;=st_travaux_energie_debut,O$3&lt;=st_travaux_energie_fin),st_travaux_energie_mult,1)</f>
        <v>64381.9216886751</v>
      </c>
      <c r="P14" s="17" t="n">
        <f aca="false">(bud_chauffage_S2+bud_hors_gel_S2+bud_electricite_S2)*P7*IF(AND(P$3&gt;=st_travaux_energie_debut,P$3&lt;=st_travaux_energie_fin),st_travaux_energie_mult,1)</f>
        <v>65669.5601224486</v>
      </c>
      <c r="Q14" s="17" t="n">
        <f aca="false">(bud_chauffage_S2+bud_hors_gel_S2+bud_electricite_S2)*Q7*IF(AND(Q$3&gt;=st_travaux_energie_debut,Q$3&lt;=st_travaux_energie_fin),st_travaux_energie_mult,1)</f>
        <v>66982.9513248976</v>
      </c>
      <c r="R14" s="17" t="n">
        <f aca="false">(bud_chauffage_S2+bud_hors_gel_S2+bud_electricite_S2)*R7*IF(AND(R$3&gt;=st_travaux_energie_debut,R$3&lt;=st_travaux_energie_fin),st_travaux_energie_mult,1)</f>
        <v>68322.6103513955</v>
      </c>
      <c r="S14" s="17" t="n">
        <f aca="false">(bud_chauffage_S2+bud_hors_gel_S2+bud_electricite_S2)*S7*IF(AND(S$3&gt;=st_travaux_energie_debut,S$3&lt;=st_travaux_energie_fin),st_travaux_energie_mult,1)</f>
        <v>69689.0625584235</v>
      </c>
      <c r="T14" s="17" t="n">
        <f aca="false">(bud_chauffage_S2+bud_hors_gel_S2+bud_electricite_S2)*T7*IF(AND(T$3&gt;=st_travaux_energie_debut,T$3&lt;=st_travaux_energie_fin),st_travaux_energie_mult,1)</f>
        <v>71082.8438095919</v>
      </c>
      <c r="U14" s="17" t="n">
        <f aca="false">(bud_chauffage_S2+bud_hors_gel_S2+bud_electricite_S2)*U7*IF(AND(U$3&gt;=st_travaux_energie_debut,U$3&lt;=st_travaux_energie_fin),st_travaux_energie_mult,1)</f>
        <v>72504.5006857838</v>
      </c>
      <c r="V14" s="17" t="n">
        <f aca="false">(bud_chauffage_S2+bud_hors_gel_S2+bud_electricite_S2)*V7*IF(AND(V$3&gt;=st_travaux_energie_debut,V$3&lt;=st_travaux_energie_fin),st_travaux_energie_mult,1)</f>
        <v>73954.5906994994</v>
      </c>
      <c r="W14" s="17" t="n">
        <f aca="false">(bud_chauffage_S2+bud_hors_gel_S2+bud_electricite_S2)*W7*IF(AND(W$3&gt;=st_travaux_energie_debut,W$3&lt;=st_travaux_energie_fin),st_travaux_energie_mult,1)</f>
        <v>75433.6825134894</v>
      </c>
      <c r="X14" s="17" t="n">
        <f aca="false">(bud_chauffage_S2+bud_hors_gel_S2+bud_electricite_S2)*X7*IF(AND(X$3&gt;=st_travaux_energie_debut,X$3&lt;=st_travaux_energie_fin),st_travaux_energie_mult,1)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IF(MOD(E$3,campagne_periode)=0,(D22+E17)*st_travaux_mult_campagne*(1-E12*flex_report),0)</f>
        <v>0</v>
      </c>
      <c r="F19" s="17" t="n">
        <f aca="false">IF(MOD(F$3,campagne_periode)=0,(E22+F17)*st_travaux_mult_campagne*(1-F12*flex_report),0)</f>
        <v>0</v>
      </c>
      <c r="G19" s="17" t="n">
        <f aca="false">IF(MOD(G$3,campagne_periode)=0,(F22+G17)*st_travaux_mult_campagne*(1-G12*flex_report),0)</f>
        <v>0</v>
      </c>
      <c r="H19" s="17" t="n">
        <f aca="false">IF(MOD(H$3,campagne_periode)=0,(G22+H17)*st_travaux_mult_campagne*(1-H12*flex_report),0)</f>
        <v>1648528.95096775</v>
      </c>
      <c r="I19" s="17" t="n">
        <f aca="false">IF(MOD(I$3,campagne_periode)=0,(H22+I17)*st_travaux_mult_campagne*(1-I12*flex_report),0)</f>
        <v>0</v>
      </c>
      <c r="J19" s="17" t="n">
        <f aca="false">IF(MOD(J$3,campagne_periode)=0,(I22+J17)*st_travaux_mult_campagne*(1-J12*flex_report),0)</f>
        <v>0</v>
      </c>
      <c r="K19" s="17" t="n">
        <f aca="false">IF(MOD(K$3,campagne_periode)=0,(J22+K17)*st_travaux_mult_campagne*(1-K12*flex_report),0)</f>
        <v>0</v>
      </c>
      <c r="L19" s="17" t="n">
        <f aca="false">IF(MOD(L$3,campagne_periode)=0,(K22+L17)*st_travaux_mult_campagne*(1-L12*flex_report),0)</f>
        <v>918543.985126388</v>
      </c>
      <c r="M19" s="17" t="n">
        <f aca="false">IF(MOD(M$3,campagne_periode)=0,(L22+M17)*st_travaux_mult_campagne*(1-M12*flex_report),0)</f>
        <v>0</v>
      </c>
      <c r="N19" s="17" t="n">
        <f aca="false">IF(MOD(N$3,campagne_periode)=0,(M22+N17)*st_travaux_mult_campagne*(1-N12*flex_report),0)</f>
        <v>0</v>
      </c>
      <c r="O19" s="17" t="n">
        <f aca="false">IF(MOD(O$3,campagne_periode)=0,(N22+O17)*st_travaux_mult_campagne*(1-O12*flex_report),0)</f>
        <v>0</v>
      </c>
      <c r="P19" s="17" t="n">
        <f aca="false">IF(MOD(P$3,campagne_periode)=0,(O22+P17)*st_travaux_mult_campagne*(1-P12*flex_report),0)</f>
        <v>1750076.43494243</v>
      </c>
      <c r="Q19" s="17" t="n">
        <f aca="false">IF(MOD(Q$3,campagne_periode)=0,(P22+Q17)*st_travaux_mult_campagne*(1-Q12*flex_report),0)</f>
        <v>0</v>
      </c>
      <c r="R19" s="17" t="n">
        <f aca="false">IF(MOD(R$3,campagne_periode)=0,(Q22+R17)*st_travaux_mult_campagne*(1-R12*flex_report),0)</f>
        <v>0</v>
      </c>
      <c r="S19" s="17" t="n">
        <f aca="false">IF(MOD(S$3,campagne_periode)=0,(R22+S17)*st_travaux_mult_campagne*(1-S12*flex_report),0)</f>
        <v>0</v>
      </c>
      <c r="T19" s="17" t="n">
        <f aca="false">IF(MOD(T$3,campagne_periode)=0,(S22+T17)*st_travaux_mult_campagne*(1-T12*flex_report),0)</f>
        <v>1803172.33757884</v>
      </c>
      <c r="U19" s="17" t="n">
        <f aca="false">IF(MOD(U$3,campagne_periode)=0,(T22+U17)*st_travaux_mult_campagne*(1-U12*flex_report),0)</f>
        <v>0</v>
      </c>
      <c r="V19" s="17" t="n">
        <f aca="false">IF(MOD(V$3,campagne_periode)=0,(U22+V17)*st_travaux_mult_campagne*(1-V12*flex_report),0)</f>
        <v>0</v>
      </c>
      <c r="W19" s="17" t="n">
        <f aca="false">IF(MOD(W$3,campagne_periode)=0,(V22+W17)*st_travaux_mult_campagne*(1-W12*flex_report),0)</f>
        <v>0</v>
      </c>
      <c r="X19" s="17" t="n">
        <f aca="false">IF(MOD(X$3,campagne_periode)=0,(W22+X17)*st_travaux_mult_campagne*(1-X12*flex_report),0)</f>
        <v>1857879.1269288</v>
      </c>
    </row>
    <row r="20" customFormat="false" ht="15" hidden="false" customHeight="false" outlineLevel="0" collapsed="false">
      <c r="A20" s="2" t="s">
        <v>1845</v>
      </c>
      <c r="B20" s="2" t="s">
        <v>1846</v>
      </c>
      <c r="C20" s="2" t="s">
        <v>1832</v>
      </c>
      <c r="E20" s="17" t="n">
        <f aca="false">IF(E$3=st_travaux_choc_trav_an,st_travaux_choc_trav_montant,0)</f>
        <v>0</v>
      </c>
      <c r="F20" s="17" t="n">
        <f aca="false">IF(F$3=st_travaux_choc_trav_an,st_travaux_choc_trav_montant,0)</f>
        <v>0</v>
      </c>
      <c r="G20" s="17" t="n">
        <f aca="false">IF(G$3=st_travaux_choc_trav_an,st_travaux_choc_trav_montant,0)</f>
        <v>0</v>
      </c>
      <c r="H20" s="17" t="n">
        <f aca="false">IF(H$3=st_travaux_choc_trav_an,st_travaux_choc_trav_montant,0)</f>
        <v>0</v>
      </c>
      <c r="I20" s="17" t="n">
        <f aca="false">IF(I$3=st_travaux_choc_trav_an,st_travaux_choc_trav_montant,0)</f>
        <v>0</v>
      </c>
      <c r="J20" s="17" t="n">
        <f aca="false">IF(J$3=st_travaux_choc_trav_an,st_travaux_choc_trav_montant,0)</f>
        <v>600000</v>
      </c>
      <c r="K20" s="17" t="n">
        <f aca="false">IF(K$3=st_travaux_choc_trav_an,st_travaux_choc_trav_montant,0)</f>
        <v>0</v>
      </c>
      <c r="L20" s="17" t="n">
        <f aca="false">IF(L$3=st_travaux_choc_trav_an,st_travaux_choc_trav_montant,0)</f>
        <v>0</v>
      </c>
      <c r="M20" s="17" t="n">
        <f aca="false">IF(M$3=st_travaux_choc_trav_an,st_travaux_choc_trav_montant,0)</f>
        <v>0</v>
      </c>
      <c r="N20" s="17" t="n">
        <f aca="false">IF(N$3=st_travaux_choc_trav_an,st_travaux_choc_trav_montant,0)</f>
        <v>0</v>
      </c>
      <c r="O20" s="17" t="n">
        <f aca="false">IF(O$3=st_travaux_choc_trav_an,st_travaux_choc_trav_montant,0)</f>
        <v>0</v>
      </c>
      <c r="P20" s="17" t="n">
        <f aca="false">IF(P$3=st_travaux_choc_trav_an,st_travaux_choc_trav_montant,0)</f>
        <v>0</v>
      </c>
      <c r="Q20" s="17" t="n">
        <f aca="false">IF(Q$3=st_travaux_choc_trav_an,st_travaux_choc_trav_montant,0)</f>
        <v>0</v>
      </c>
      <c r="R20" s="17" t="n">
        <f aca="false">IF(R$3=st_travaux_choc_trav_an,st_travaux_choc_trav_montant,0)</f>
        <v>0</v>
      </c>
      <c r="S20" s="17" t="n">
        <f aca="false">IF(S$3=st_travaux_choc_trav_an,st_travaux_choc_trav_montant,0)</f>
        <v>0</v>
      </c>
      <c r="T20" s="17" t="n">
        <f aca="false">IF(T$3=st_travaux_choc_trav_an,st_travaux_choc_trav_montant,0)</f>
        <v>0</v>
      </c>
      <c r="U20" s="17" t="n">
        <f aca="false">IF(U$3=st_travaux_choc_trav_an,st_travaux_choc_trav_montant,0)</f>
        <v>0</v>
      </c>
      <c r="V20" s="17" t="n">
        <f aca="false">IF(V$3=st_travaux_choc_trav_an,st_travaux_choc_trav_montant,0)</f>
        <v>0</v>
      </c>
      <c r="W20" s="17" t="n">
        <f aca="false">IF(W$3=st_travaux_choc_trav_an,st_travaux_choc_trav_montant,0)</f>
        <v>0</v>
      </c>
      <c r="X20" s="17" t="n">
        <f aca="false">IF(X$3=st_travaux_choc_trav_an,st_travaux_choc_trav_montant,0)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380429.757915635</v>
      </c>
      <c r="I21" s="17" t="n">
        <f aca="false">MAX(0,I19+I20-H22-I17)</f>
        <v>0</v>
      </c>
      <c r="J21" s="17" t="n">
        <f aca="false">MAX(0,J19+J20-I22-J17)</f>
        <v>0</v>
      </c>
      <c r="K21" s="17" t="n">
        <f aca="false">MAX(0,K19+K20-J22-K17)</f>
        <v>0</v>
      </c>
      <c r="L21" s="17" t="n">
        <f aca="false">MAX(0,L19+L20-K22-L17)</f>
        <v>211971.68887532</v>
      </c>
      <c r="M21" s="17" t="n">
        <f aca="false">MAX(0,M19+M20-L22-M17)</f>
        <v>0</v>
      </c>
      <c r="N21" s="17" t="n">
        <f aca="false">MAX(0,N19+N20-M22-N17)</f>
        <v>0</v>
      </c>
      <c r="O21" s="17" t="n">
        <f aca="false">MAX(0,O19+O20-N22-O17)</f>
        <v>0</v>
      </c>
      <c r="P21" s="17" t="n">
        <f aca="false">MAX(0,P19+P20-O22-P17)</f>
        <v>403863.792679023</v>
      </c>
      <c r="Q21" s="17" t="n">
        <f aca="false">MAX(0,Q19+Q20-P22-Q17)</f>
        <v>0</v>
      </c>
      <c r="R21" s="17" t="n">
        <f aca="false">MAX(0,R19+R20-Q22-R17)</f>
        <v>0</v>
      </c>
      <c r="S21" s="17" t="n">
        <f aca="false">MAX(0,S19+S20-R22-S17)</f>
        <v>0</v>
      </c>
      <c r="T21" s="17" t="n">
        <f aca="false">MAX(0,T19+T20-S22-T17)</f>
        <v>416116.693287424</v>
      </c>
      <c r="U21" s="17" t="n">
        <f aca="false">MAX(0,U19+U20-T22-U17)</f>
        <v>0</v>
      </c>
      <c r="V21" s="17" t="n">
        <f aca="false">MAX(0,V19+V20-U22-V17)</f>
        <v>0</v>
      </c>
      <c r="W21" s="17" t="n">
        <f aca="false">MAX(0,W19+W20-V22-W17)</f>
        <v>0</v>
      </c>
      <c r="X21" s="17" t="n">
        <f aca="false">MAX(0,X19+X20-W22-X17)</f>
        <v>428741.33698357</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(S2_ech_log*mot_log_cn+S2_ech_stock*mot_stock_cn+S2_ech_pv*mot_pv_cn+S2_ech_bois*mot_bois_cn)*E24*E9*IF(E$3&gt;=st_travaux_debut_mult,st_travaux_mult_A,1)*IF(E11=1,1-0.05,IF(E11=2,1-0.02,1))</f>
        <v>21930.4</v>
      </c>
      <c r="F25" s="17" t="n">
        <f aca="false">(S2_ech_log*mot_log_cn+S2_ech_stock*mot_stock_cn+S2_ech_pv*mot_pv_cn+S2_ech_bois*mot_bois_cn)*F24*F9*IF(F$3&gt;=st_travaux_debut_mult,st_travaux_mult_A,1)*IF(F11=1,1-0.05,IF(F11=2,1-0.02,1))</f>
        <v>41119.5</v>
      </c>
      <c r="G25" s="17" t="n">
        <f aca="false">(S2_ech_log*mot_log_cn+S2_ech_stock*mot_stock_cn+S2_ech_pv*mot_pv_cn+S2_ech_bois*mot_bois_cn)*G24*G9*IF(G$3&gt;=st_travaux_debut_mult,st_travaux_mult_A,1)*IF(G11=1,1-0.05,IF(G11=2,1-0.02,1))</f>
        <v>54826</v>
      </c>
      <c r="H25" s="17" t="n">
        <f aca="false">(S2_ech_log*mot_log_cn+S2_ech_stock*mot_stock_cn+S2_ech_pv*mot_pv_cn+S2_ech_bois*mot_bois_cn)*H24*H9*IF(H$3&gt;=st_travaux_debut_mult,st_travaux_mult_A,1)*IF(H11=1,1-0.05,IF(H11=2,1-0.02,1))</f>
        <v>54826</v>
      </c>
      <c r="I25" s="17" t="n">
        <f aca="false">(S2_ech_log*mot_log_cn+S2_ech_stock*mot_stock_cn+S2_ech_pv*mot_pv_cn+S2_ech_bois*mot_bois_cn)*I24*I9*IF(I$3&gt;=st_travaux_debut_mult,st_travaux_mult_A,1)*IF(I11=1,1-0.05,IF(I11=2,1-0.02,1))</f>
        <v>54826</v>
      </c>
      <c r="J25" s="17" t="n">
        <f aca="false">(S2_ech_log*mot_log_cn+S2_ech_stock*mot_stock_cn+S2_ech_pv*mot_pv_cn+S2_ech_bois*mot_bois_cn)*J24*J9*IF(J$3&gt;=st_travaux_debut_mult,st_travaux_mult_A,1)*IF(J11=1,1-0.05,IF(J11=2,1-0.02,1))</f>
        <v>54826</v>
      </c>
      <c r="K25" s="17" t="n">
        <f aca="false">(S2_ech_log*mot_log_cn+S2_ech_stock*mot_stock_cn+S2_ech_pv*mot_pv_cn+S2_ech_bois*mot_bois_cn)*K24*K9*IF(K$3&gt;=st_travaux_debut_mult,st_travaux_mult_A,1)*IF(K11=1,1-0.05,IF(K11=2,1-0.02,1))</f>
        <v>54826</v>
      </c>
      <c r="L25" s="17" t="n">
        <f aca="false">(S2_ech_log*mot_log_cn+S2_ech_stock*mot_stock_cn+S2_ech_pv*mot_pv_cn+S2_ech_bois*mot_bois_cn)*L24*L9*IF(L$3&gt;=st_travaux_debut_mult,st_travaux_mult_A,1)*IF(L11=1,1-0.05,IF(L11=2,1-0.02,1))</f>
        <v>54826</v>
      </c>
      <c r="M25" s="17" t="n">
        <f aca="false">(S2_ech_log*mot_log_cn+S2_ech_stock*mot_stock_cn+S2_ech_pv*mot_pv_cn+S2_ech_bois*mot_bois_cn)*M24*M9*IF(M$3&gt;=st_travaux_debut_mult,st_travaux_mult_A,1)*IF(M11=1,1-0.05,IF(M11=2,1-0.02,1))</f>
        <v>54826</v>
      </c>
      <c r="N25" s="17" t="n">
        <f aca="false">(S2_ech_log*mot_log_cn+S2_ech_stock*mot_stock_cn+S2_ech_pv*mot_pv_cn+S2_ech_bois*mot_bois_cn)*N24*N9*IF(N$3&gt;=st_travaux_debut_mult,st_travaux_mult_A,1)*IF(N11=1,1-0.05,IF(N11=2,1-0.02,1))</f>
        <v>54826</v>
      </c>
      <c r="O25" s="17" t="n">
        <f aca="false">(S2_ech_log*mot_log_cn+S2_ech_stock*mot_stock_cn+S2_ech_pv*mot_pv_cn+S2_ech_bois*mot_bois_cn)*O24*O9*IF(O$3&gt;=st_travaux_debut_mult,st_travaux_mult_A,1)*IF(O11=1,1-0.05,IF(O11=2,1-0.02,1))</f>
        <v>54826</v>
      </c>
      <c r="P25" s="17" t="n">
        <f aca="false">(S2_ech_log*mot_log_cn+S2_ech_stock*mot_stock_cn+S2_ech_pv*mot_pv_cn+S2_ech_bois*mot_bois_cn)*P24*P9*IF(P$3&gt;=st_travaux_debut_mult,st_travaux_mult_A,1)*IF(P11=1,1-0.05,IF(P11=2,1-0.02,1))</f>
        <v>54826</v>
      </c>
      <c r="Q25" s="17" t="n">
        <f aca="false">(S2_ech_log*mot_log_cn+S2_ech_stock*mot_stock_cn+S2_ech_pv*mot_pv_cn+S2_ech_bois*mot_bois_cn)*Q24*Q9*IF(Q$3&gt;=st_travaux_debut_mult,st_travaux_mult_A,1)*IF(Q11=1,1-0.05,IF(Q11=2,1-0.02,1))</f>
        <v>54826</v>
      </c>
      <c r="R25" s="17" t="n">
        <f aca="false">(S2_ech_log*mot_log_cn+S2_ech_stock*mot_stock_cn+S2_ech_pv*mot_pv_cn+S2_ech_bois*mot_bois_cn)*R24*R9*IF(R$3&gt;=st_travaux_debut_mult,st_travaux_mult_A,1)*IF(R11=1,1-0.05,IF(R11=2,1-0.02,1))</f>
        <v>54826</v>
      </c>
      <c r="S25" s="17" t="n">
        <f aca="false">(S2_ech_log*mot_log_cn+S2_ech_stock*mot_stock_cn+S2_ech_pv*mot_pv_cn+S2_ech_bois*mot_bois_cn)*S24*S9*IF(S$3&gt;=st_travaux_debut_mult,st_travaux_mult_A,1)*IF(S11=1,1-0.05,IF(S11=2,1-0.02,1))</f>
        <v>54826</v>
      </c>
      <c r="T25" s="17" t="n">
        <f aca="false">(S2_ech_log*mot_log_cn+S2_ech_stock*mot_stock_cn+S2_ech_pv*mot_pv_cn+S2_ech_bois*mot_bois_cn)*T24*T9*IF(T$3&gt;=st_travaux_debut_mult,st_travaux_mult_A,1)*IF(T11=1,1-0.05,IF(T11=2,1-0.02,1))</f>
        <v>54826</v>
      </c>
      <c r="U25" s="17" t="n">
        <f aca="false">(S2_ech_log*mot_log_cn+S2_ech_stock*mot_stock_cn+S2_ech_pv*mot_pv_cn+S2_ech_bois*mot_bois_cn)*U24*U9*IF(U$3&gt;=st_travaux_debut_mult,st_travaux_mult_A,1)*IF(U11=1,1-0.05,IF(U11=2,1-0.02,1))</f>
        <v>54826</v>
      </c>
      <c r="V25" s="17" t="n">
        <f aca="false">(S2_ech_log*mot_log_cn+S2_ech_stock*mot_stock_cn+S2_ech_pv*mot_pv_cn+S2_ech_bois*mot_bois_cn)*V24*V9*IF(V$3&gt;=st_travaux_debut_mult,st_travaux_mult_A,1)*IF(V11=1,1-0.05,IF(V11=2,1-0.02,1))</f>
        <v>54826</v>
      </c>
      <c r="W25" s="17" t="n">
        <f aca="false">(S2_ech_log*mot_log_cn+S2_ech_stock*mot_stock_cn+S2_ech_pv*mot_pv_cn+S2_ech_bois*mot_bois_cn)*W24*W9*IF(W$3&gt;=st_travaux_debut_mult,st_travaux_mult_A,1)*IF(W11=1,1-0.05,IF(W11=2,1-0.02,1))</f>
        <v>54826</v>
      </c>
      <c r="X25" s="17" t="n">
        <f aca="false">(S2_ech_log*mot_log_cn+S2_ech_stock*mot_stock_cn+S2_ech_pv*mot_pv_cn+S2_ech_bois*mot_bois_cn)*X24*X9*IF(X$3&gt;=st_travaux_debut_mult,st_travaux_mult_A,1)*IF(X11=1,1-0.05,IF(X11=2,1-0.02,1))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(S2_ech_eq_std*mot_eq_std_cn+S2_ech_eq_ret*mot_eq_ret_cn)*E24*E9*IF(E$3&gt;=st_travaux_debut_mult,st_travaux_mult_B,1)*IF(E11=1,1-0.15,IF(E11=2,1-0.05,1))</f>
        <v>3757.8</v>
      </c>
      <c r="F26" s="17" t="n">
        <f aca="false">(S2_ech_eq_std*mot_eq_std_cn+S2_ech_eq_ret*mot_eq_ret_cn)*F24*F9*IF(F$3&gt;=st_travaux_debut_mult,st_travaux_mult_B,1)*IF(F11=1,1-0.15,IF(F11=2,1-0.05,1))</f>
        <v>7045.875</v>
      </c>
      <c r="G26" s="17" t="n">
        <f aca="false">(S2_ech_eq_std*mot_eq_std_cn+S2_ech_eq_ret*mot_eq_ret_cn)*G24*G9*IF(G$3&gt;=st_travaux_debut_mult,st_travaux_mult_B,1)*IF(G11=1,1-0.15,IF(G11=2,1-0.05,1))</f>
        <v>9394.5</v>
      </c>
      <c r="H26" s="17" t="n">
        <f aca="false">(S2_ech_eq_std*mot_eq_std_cn+S2_ech_eq_ret*mot_eq_ret_cn)*H24*H9*IF(H$3&gt;=st_travaux_debut_mult,st_travaux_mult_B,1)*IF(H11=1,1-0.15,IF(H11=2,1-0.05,1))</f>
        <v>9394.5</v>
      </c>
      <c r="I26" s="17" t="n">
        <f aca="false">(S2_ech_eq_std*mot_eq_std_cn+S2_ech_eq_ret*mot_eq_ret_cn)*I24*I9*IF(I$3&gt;=st_travaux_debut_mult,st_travaux_mult_B,1)*IF(I11=1,1-0.15,IF(I11=2,1-0.05,1))</f>
        <v>9394.5</v>
      </c>
      <c r="J26" s="17" t="n">
        <f aca="false">(S2_ech_eq_std*mot_eq_std_cn+S2_ech_eq_ret*mot_eq_ret_cn)*J24*J9*IF(J$3&gt;=st_travaux_debut_mult,st_travaux_mult_B,1)*IF(J11=1,1-0.15,IF(J11=2,1-0.05,1))</f>
        <v>9394.5</v>
      </c>
      <c r="K26" s="17" t="n">
        <f aca="false">(S2_ech_eq_std*mot_eq_std_cn+S2_ech_eq_ret*mot_eq_ret_cn)*K24*K9*IF(K$3&gt;=st_travaux_debut_mult,st_travaux_mult_B,1)*IF(K11=1,1-0.15,IF(K11=2,1-0.05,1))</f>
        <v>9394.5</v>
      </c>
      <c r="L26" s="17" t="n">
        <f aca="false">(S2_ech_eq_std*mot_eq_std_cn+S2_ech_eq_ret*mot_eq_ret_cn)*L24*L9*IF(L$3&gt;=st_travaux_debut_mult,st_travaux_mult_B,1)*IF(L11=1,1-0.15,IF(L11=2,1-0.05,1))</f>
        <v>9394.5</v>
      </c>
      <c r="M26" s="17" t="n">
        <f aca="false">(S2_ech_eq_std*mot_eq_std_cn+S2_ech_eq_ret*mot_eq_ret_cn)*M24*M9*IF(M$3&gt;=st_travaux_debut_mult,st_travaux_mult_B,1)*IF(M11=1,1-0.15,IF(M11=2,1-0.05,1))</f>
        <v>9394.5</v>
      </c>
      <c r="N26" s="17" t="n">
        <f aca="false">(S2_ech_eq_std*mot_eq_std_cn+S2_ech_eq_ret*mot_eq_ret_cn)*N24*N9*IF(N$3&gt;=st_travaux_debut_mult,st_travaux_mult_B,1)*IF(N11=1,1-0.15,IF(N11=2,1-0.05,1))</f>
        <v>9394.5</v>
      </c>
      <c r="O26" s="17" t="n">
        <f aca="false">(S2_ech_eq_std*mot_eq_std_cn+S2_ech_eq_ret*mot_eq_ret_cn)*O24*O9*IF(O$3&gt;=st_travaux_debut_mult,st_travaux_mult_B,1)*IF(O11=1,1-0.15,IF(O11=2,1-0.05,1))</f>
        <v>9394.5</v>
      </c>
      <c r="P26" s="17" t="n">
        <f aca="false">(S2_ech_eq_std*mot_eq_std_cn+S2_ech_eq_ret*mot_eq_ret_cn)*P24*P9*IF(P$3&gt;=st_travaux_debut_mult,st_travaux_mult_B,1)*IF(P11=1,1-0.15,IF(P11=2,1-0.05,1))</f>
        <v>9394.5</v>
      </c>
      <c r="Q26" s="17" t="n">
        <f aca="false">(S2_ech_eq_std*mot_eq_std_cn+S2_ech_eq_ret*mot_eq_ret_cn)*Q24*Q9*IF(Q$3&gt;=st_travaux_debut_mult,st_travaux_mult_B,1)*IF(Q11=1,1-0.15,IF(Q11=2,1-0.05,1))</f>
        <v>9394.5</v>
      </c>
      <c r="R26" s="17" t="n">
        <f aca="false">(S2_ech_eq_std*mot_eq_std_cn+S2_ech_eq_ret*mot_eq_ret_cn)*R24*R9*IF(R$3&gt;=st_travaux_debut_mult,st_travaux_mult_B,1)*IF(R11=1,1-0.15,IF(R11=2,1-0.05,1))</f>
        <v>9394.5</v>
      </c>
      <c r="S26" s="17" t="n">
        <f aca="false">(S2_ech_eq_std*mot_eq_std_cn+S2_ech_eq_ret*mot_eq_ret_cn)*S24*S9*IF(S$3&gt;=st_travaux_debut_mult,st_travaux_mult_B,1)*IF(S11=1,1-0.15,IF(S11=2,1-0.05,1))</f>
        <v>9394.5</v>
      </c>
      <c r="T26" s="17" t="n">
        <f aca="false">(S2_ech_eq_std*mot_eq_std_cn+S2_ech_eq_ret*mot_eq_ret_cn)*T24*T9*IF(T$3&gt;=st_travaux_debut_mult,st_travaux_mult_B,1)*IF(T11=1,1-0.15,IF(T11=2,1-0.05,1))</f>
        <v>9394.5</v>
      </c>
      <c r="U26" s="17" t="n">
        <f aca="false">(S2_ech_eq_std*mot_eq_std_cn+S2_ech_eq_ret*mot_eq_ret_cn)*U24*U9*IF(U$3&gt;=st_travaux_debut_mult,st_travaux_mult_B,1)*IF(U11=1,1-0.15,IF(U11=2,1-0.05,1))</f>
        <v>9394.5</v>
      </c>
      <c r="V26" s="17" t="n">
        <f aca="false">(S2_ech_eq_std*mot_eq_std_cn+S2_ech_eq_ret*mot_eq_ret_cn)*V24*V9*IF(V$3&gt;=st_travaux_debut_mult,st_travaux_mult_B,1)*IF(V11=1,1-0.15,IF(V11=2,1-0.05,1))</f>
        <v>9394.5</v>
      </c>
      <c r="W26" s="17" t="n">
        <f aca="false">(S2_ech_eq_std*mot_eq_std_cn+S2_ech_eq_ret*mot_eq_ret_cn)*W24*W9*IF(W$3&gt;=st_travaux_debut_mult,st_travaux_mult_B,1)*IF(W11=1,1-0.15,IF(W11=2,1-0.05,1))</f>
        <v>9394.5</v>
      </c>
      <c r="X26" s="17" t="n">
        <f aca="false">(S2_ech_eq_std*mot_eq_std_cn+S2_ech_eq_ret*mot_eq_ret_cn)*X24*X9*IF(X$3&gt;=st_travaux_debut_mult,st_travaux_mult_B,1)*IF(X11=1,1-0.15,IF(X11=2,1-0.05,1))</f>
        <v>9394.5</v>
      </c>
    </row>
    <row r="27" customFormat="false" ht="15" hidden="false" customHeight="false" outlineLevel="0" collapsed="false">
      <c r="A27" s="2" t="s">
        <v>1859</v>
      </c>
      <c r="B27" s="2" t="s">
        <v>1860</v>
      </c>
      <c r="C27" s="2" t="s">
        <v>1832</v>
      </c>
      <c r="E27" s="17" t="n">
        <f aca="false">(S2_ech_tourn*mot_tourn_cn)*E24*E9*IF(E$3&gt;=st_travaux_debut_mult,st_travaux_mult_C,1)*IF(E11=1,1-0.8,IF(E11=2,1-0.3,1))</f>
        <v>2380</v>
      </c>
      <c r="F27" s="17" t="n">
        <f aca="false">(S2_ech_tourn*mot_tourn_cn)*F24*F9*IF(F$3&gt;=st_travaux_debut_mult,st_travaux_mult_C,1)*IF(F11=1,1-0.8,IF(F11=2,1-0.3,1))</f>
        <v>4462.5</v>
      </c>
      <c r="G27" s="17" t="n">
        <f aca="false">(S2_ech_tourn*mot_tourn_cn)*G24*G9*IF(G$3&gt;=st_travaux_debut_mult,st_travaux_mult_C,1)*IF(G11=1,1-0.8,IF(G11=2,1-0.3,1))</f>
        <v>5950</v>
      </c>
      <c r="H27" s="17" t="n">
        <f aca="false">(S2_ech_tourn*mot_tourn_cn)*H24*H9*IF(H$3&gt;=st_travaux_debut_mult,st_travaux_mult_C,1)*IF(H11=1,1-0.8,IF(H11=2,1-0.3,1))</f>
        <v>5950</v>
      </c>
      <c r="I27" s="17" t="n">
        <f aca="false">(S2_ech_tourn*mot_tourn_cn)*I24*I9*IF(I$3&gt;=st_travaux_debut_mult,st_travaux_mult_C,1)*IF(I11=1,1-0.8,IF(I11=2,1-0.3,1))</f>
        <v>5950</v>
      </c>
      <c r="J27" s="17" t="n">
        <f aca="false">(S2_ech_tourn*mot_tourn_cn)*J24*J9*IF(J$3&gt;=st_travaux_debut_mult,st_travaux_mult_C,1)*IF(J11=1,1-0.8,IF(J11=2,1-0.3,1))</f>
        <v>5950</v>
      </c>
      <c r="K27" s="17" t="n">
        <f aca="false">(S2_ech_tourn*mot_tourn_cn)*K24*K9*IF(K$3&gt;=st_travaux_debut_mult,st_travaux_mult_C,1)*IF(K11=1,1-0.8,IF(K11=2,1-0.3,1))</f>
        <v>5950</v>
      </c>
      <c r="L27" s="17" t="n">
        <f aca="false">(S2_ech_tourn*mot_tourn_cn)*L24*L9*IF(L$3&gt;=st_travaux_debut_mult,st_travaux_mult_C,1)*IF(L11=1,1-0.8,IF(L11=2,1-0.3,1))</f>
        <v>5950</v>
      </c>
      <c r="M27" s="17" t="n">
        <f aca="false">(S2_ech_tourn*mot_tourn_cn)*M24*M9*IF(M$3&gt;=st_travaux_debut_mult,st_travaux_mult_C,1)*IF(M11=1,1-0.8,IF(M11=2,1-0.3,1))</f>
        <v>5950</v>
      </c>
      <c r="N27" s="17" t="n">
        <f aca="false">(S2_ech_tourn*mot_tourn_cn)*N24*N9*IF(N$3&gt;=st_travaux_debut_mult,st_travaux_mult_C,1)*IF(N11=1,1-0.8,IF(N11=2,1-0.3,1))</f>
        <v>5950</v>
      </c>
      <c r="O27" s="17" t="n">
        <f aca="false">(S2_ech_tourn*mot_tourn_cn)*O24*O9*IF(O$3&gt;=st_travaux_debut_mult,st_travaux_mult_C,1)*IF(O11=1,1-0.8,IF(O11=2,1-0.3,1))</f>
        <v>5950</v>
      </c>
      <c r="P27" s="17" t="n">
        <f aca="false">(S2_ech_tourn*mot_tourn_cn)*P24*P9*IF(P$3&gt;=st_travaux_debut_mult,st_travaux_mult_C,1)*IF(P11=1,1-0.8,IF(P11=2,1-0.3,1))</f>
        <v>5950</v>
      </c>
      <c r="Q27" s="17" t="n">
        <f aca="false">(S2_ech_tourn*mot_tourn_cn)*Q24*Q9*IF(Q$3&gt;=st_travaux_debut_mult,st_travaux_mult_C,1)*IF(Q11=1,1-0.8,IF(Q11=2,1-0.3,1))</f>
        <v>5950</v>
      </c>
      <c r="R27" s="17" t="n">
        <f aca="false">(S2_ech_tourn*mot_tourn_cn)*R24*R9*IF(R$3&gt;=st_travaux_debut_mult,st_travaux_mult_C,1)*IF(R11=1,1-0.8,IF(R11=2,1-0.3,1))</f>
        <v>5950</v>
      </c>
      <c r="S27" s="17" t="n">
        <f aca="false">(S2_ech_tourn*mot_tourn_cn)*S24*S9*IF(S$3&gt;=st_travaux_debut_mult,st_travaux_mult_C,1)*IF(S11=1,1-0.8,IF(S11=2,1-0.3,1))</f>
        <v>5950</v>
      </c>
      <c r="T27" s="17" t="n">
        <f aca="false">(S2_ech_tourn*mot_tourn_cn)*T24*T9*IF(T$3&gt;=st_travaux_debut_mult,st_travaux_mult_C,1)*IF(T11=1,1-0.8,IF(T11=2,1-0.3,1))</f>
        <v>5950</v>
      </c>
      <c r="U27" s="17" t="n">
        <f aca="false">(S2_ech_tourn*mot_tourn_cn)*U24*U9*IF(U$3&gt;=st_travaux_debut_mult,st_travaux_mult_C,1)*IF(U11=1,1-0.8,IF(U11=2,1-0.3,1))</f>
        <v>5950</v>
      </c>
      <c r="V27" s="17" t="n">
        <f aca="false">(S2_ech_tourn*mot_tourn_cn)*V24*V9*IF(V$3&gt;=st_travaux_debut_mult,st_travaux_mult_C,1)*IF(V11=1,1-0.8,IF(V11=2,1-0.3,1))</f>
        <v>5950</v>
      </c>
      <c r="W27" s="17" t="n">
        <f aca="false">(S2_ech_tourn*mot_tourn_cn)*W24*W9*IF(W$3&gt;=st_travaux_debut_mult,st_travaux_mult_C,1)*IF(W11=1,1-0.8,IF(W11=2,1-0.3,1))</f>
        <v>5950</v>
      </c>
      <c r="X27" s="17" t="n">
        <f aca="false">(S2_ech_tourn*mot_tourn_cn)*X24*X9*IF(X$3&gt;=st_travaux_debut_mult,st_travaux_mult_C,1)*IF(X11=1,1-0.8,IF(X11=2,1-0.3,1))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1595947.41743653</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1453833.91713829</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1673194.68196066</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1714105.41506215</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1756646.69437166</v>
      </c>
    </row>
    <row r="36" customFormat="false" ht="15" hidden="false" customHeight="false" outlineLevel="0" collapsed="false">
      <c r="A36" s="2" t="s">
        <v>1877</v>
      </c>
      <c r="B36" s="2" t="s">
        <v>1878</v>
      </c>
      <c r="C36" s="2" t="s">
        <v>1832</v>
      </c>
      <c r="E36" s="17" t="n">
        <f aca="false">IF(AND(E$3&lt;=S2_sol_div_annees,E$3&lt;=st_travaux_div_fin),S2_sol_div*IF(E11=1,0.5,1),0)</f>
        <v>1000000</v>
      </c>
      <c r="F36" s="17" t="n">
        <f aca="false">IF(AND(F$3&lt;=S2_sol_div_annees,F$3&lt;=st_travaux_div_fin),S2_sol_div*IF(F11=1,0.5,1),0)</f>
        <v>1000000</v>
      </c>
      <c r="G36" s="17" t="n">
        <f aca="false">IF(AND(G$3&lt;=S2_sol_div_annees,G$3&lt;=st_travaux_div_fin),S2_sol_div*IF(G11=1,0.5,1),0)</f>
        <v>1000000</v>
      </c>
      <c r="H36" s="17" t="n">
        <f aca="false">IF(AND(H$3&lt;=S2_sol_div_annees,H$3&lt;=st_travaux_div_fin),S2_sol_div*IF(H11=1,0.5,1),0)</f>
        <v>1000000</v>
      </c>
      <c r="I36" s="17" t="n">
        <f aca="false">IF(AND(I$3&lt;=S2_sol_div_annees,I$3&lt;=st_travaux_div_fin),S2_sol_div*IF(I11=1,0.5,1),0)</f>
        <v>1000000</v>
      </c>
      <c r="J36" s="17" t="n">
        <f aca="false">IF(AND(J$3&lt;=S2_sol_div_annees,J$3&lt;=st_travaux_div_fin),S2_sol_div*IF(J11=1,0.5,1),0)</f>
        <v>1000000</v>
      </c>
      <c r="K36" s="17" t="n">
        <f aca="false">IF(AND(K$3&lt;=S2_sol_div_annees,K$3&lt;=st_travaux_div_fin),S2_sol_div*IF(K11=1,0.5,1),0)</f>
        <v>1000000</v>
      </c>
      <c r="L36" s="17" t="n">
        <f aca="false">IF(AND(L$3&lt;=S2_sol_div_annees,L$3&lt;=st_travaux_div_fin),S2_sol_div*IF(L11=1,0.5,1),0)</f>
        <v>1000000</v>
      </c>
      <c r="M36" s="17" t="n">
        <f aca="false">IF(AND(M$3&lt;=S2_sol_div_annees,M$3&lt;=st_travaux_div_fin),S2_sol_div*IF(M11=1,0.5,1),0)</f>
        <v>1000000</v>
      </c>
      <c r="N36" s="17" t="n">
        <f aca="false">IF(AND(N$3&lt;=S2_sol_div_annees,N$3&lt;=st_travaux_div_fin),S2_sol_div*IF(N11=1,0.5,1),0)</f>
        <v>1000000</v>
      </c>
      <c r="O36" s="17" t="n">
        <f aca="false">IF(AND(O$3&lt;=S2_sol_div_annees,O$3&lt;=st_travaux_div_fin),S2_sol_div*IF(O11=1,0.5,1),0)</f>
        <v>0</v>
      </c>
      <c r="P36" s="17" t="n">
        <f aca="false">IF(AND(P$3&lt;=S2_sol_div_annees,P$3&lt;=st_travaux_div_fin),S2_sol_div*IF(P11=1,0.5,1),0)</f>
        <v>0</v>
      </c>
      <c r="Q36" s="17" t="n">
        <f aca="false">IF(AND(Q$3&lt;=S2_sol_div_annees,Q$3&lt;=st_travaux_div_fin),S2_sol_div*IF(Q11=1,0.5,1),0)</f>
        <v>0</v>
      </c>
      <c r="R36" s="17" t="n">
        <f aca="false">IF(AND(R$3&lt;=S2_sol_div_annees,R$3&lt;=st_travaux_div_fin),S2_sol_div*IF(R11=1,0.5,1),0)</f>
        <v>0</v>
      </c>
      <c r="S36" s="17" t="n">
        <f aca="false">IF(AND(S$3&lt;=S2_sol_div_annees,S$3&lt;=st_travaux_div_fin),S2_sol_div*IF(S11=1,0.5,1),0)</f>
        <v>0</v>
      </c>
      <c r="T36" s="17" t="n">
        <f aca="false">IF(AND(T$3&lt;=S2_sol_div_annees,T$3&lt;=st_travaux_div_fin),S2_sol_div*IF(T11=1,0.5,1),0)</f>
        <v>0</v>
      </c>
      <c r="U36" s="17" t="n">
        <f aca="false">IF(AND(U$3&lt;=S2_sol_div_annees,U$3&lt;=st_travaux_div_fin),S2_sol_div*IF(U11=1,0.5,1),0)</f>
        <v>0</v>
      </c>
      <c r="V36" s="17" t="n">
        <f aca="false">IF(AND(V$3&lt;=S2_sol_div_annees,V$3&lt;=st_travaux_div_fin),S2_sol_div*IF(V11=1,0.5,1),0)</f>
        <v>0</v>
      </c>
      <c r="W36" s="17" t="n">
        <f aca="false">IF(AND(W$3&lt;=S2_sol_div_annees,W$3&lt;=st_travaux_div_fin),S2_sol_div*IF(W11=1,0.5,1),0)</f>
        <v>0</v>
      </c>
      <c r="X36" s="17" t="n">
        <f aca="false">IF(AND(X$3&lt;=S2_sol_div_annees,X$3&lt;=st_travaux_div_fin),S2_sol_div*IF(X11=1,0.5,1),0)</f>
        <v>0</v>
      </c>
    </row>
    <row r="37" customFormat="false" ht="15" hidden="false" customHeight="false" outlineLevel="0" collapsed="false">
      <c r="A37" s="2" t="s">
        <v>1879</v>
      </c>
      <c r="B37" s="2" t="s">
        <v>1880</v>
      </c>
      <c r="C37" s="2" t="s">
        <v>46</v>
      </c>
      <c r="E37" s="20" t="n">
        <f aca="false">dot_rendement+st_travaux_dot_rdt_delta+IF(E11=1,-0.25,0)</f>
        <v>0.03</v>
      </c>
      <c r="F37" s="20" t="n">
        <f aca="false">dot_rendement+st_travaux_dot_rdt_delta+IF(F11=1,-0.25,0)</f>
        <v>0.03</v>
      </c>
      <c r="G37" s="20" t="n">
        <f aca="false">dot_rendement+st_travaux_dot_rdt_delta+IF(G11=1,-0.25,0)</f>
        <v>0.03</v>
      </c>
      <c r="H37" s="20" t="n">
        <f aca="false">dot_rendement+st_travaux_dot_rdt_delta+IF(H11=1,-0.25,0)</f>
        <v>0.03</v>
      </c>
      <c r="I37" s="20" t="n">
        <f aca="false">dot_rendement+st_travaux_dot_rdt_delta+IF(I11=1,-0.25,0)</f>
        <v>0.03</v>
      </c>
      <c r="J37" s="20" t="n">
        <f aca="false">dot_rendement+st_travaux_dot_rdt_delta+IF(J11=1,-0.25,0)</f>
        <v>0.03</v>
      </c>
      <c r="K37" s="20" t="n">
        <f aca="false">dot_rendement+st_travaux_dot_rdt_delta+IF(K11=1,-0.25,0)</f>
        <v>0.03</v>
      </c>
      <c r="L37" s="20" t="n">
        <f aca="false">dot_rendement+st_travaux_dot_rdt_delta+IF(L11=1,-0.25,0)</f>
        <v>0.03</v>
      </c>
      <c r="M37" s="20" t="n">
        <f aca="false">dot_rendement+st_travaux_dot_rdt_delta+IF(M11=1,-0.25,0)</f>
        <v>0.03</v>
      </c>
      <c r="N37" s="20" t="n">
        <f aca="false">dot_rendement+st_travaux_dot_rdt_delta+IF(N11=1,-0.25,0)</f>
        <v>0.03</v>
      </c>
      <c r="O37" s="20" t="n">
        <f aca="false">dot_rendement+st_travaux_dot_rdt_delta+IF(O11=1,-0.25,0)</f>
        <v>0.03</v>
      </c>
      <c r="P37" s="20" t="n">
        <f aca="false">dot_rendement+st_travaux_dot_rdt_delta+IF(P11=1,-0.25,0)</f>
        <v>0.03</v>
      </c>
      <c r="Q37" s="20" t="n">
        <f aca="false">dot_rendement+st_travaux_dot_rdt_delta+IF(Q11=1,-0.25,0)</f>
        <v>0.03</v>
      </c>
      <c r="R37" s="20" t="n">
        <f aca="false">dot_rendement+st_travaux_dot_rdt_delta+IF(R11=1,-0.25,0)</f>
        <v>0.03</v>
      </c>
      <c r="S37" s="20" t="n">
        <f aca="false">dot_rendement+st_travaux_dot_rdt_delta+IF(S11=1,-0.25,0)</f>
        <v>0.03</v>
      </c>
      <c r="T37" s="20" t="n">
        <f aca="false">dot_rendement+st_travaux_dot_rdt_delta+IF(T11=1,-0.25,0)</f>
        <v>0.03</v>
      </c>
      <c r="U37" s="20" t="n">
        <f aca="false">dot_rendement+st_travaux_dot_rdt_delta+IF(U11=1,-0.25,0)</f>
        <v>0.03</v>
      </c>
      <c r="V37" s="20" t="n">
        <f aca="false">dot_rendement+st_travaux_dot_rdt_delta+IF(V11=1,-0.25,0)</f>
        <v>0.03</v>
      </c>
      <c r="W37" s="20" t="n">
        <f aca="false">dot_rendement+st_travaux_dot_rdt_delta+IF(W11=1,-0.25,0)</f>
        <v>0.03</v>
      </c>
      <c r="X37" s="20" t="n">
        <f aca="false">dot_rendement+st_travaux_dot_rdt_delta+IF(X11=1,-0.25,0)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1702760.96987389</v>
      </c>
      <c r="J38" s="17" t="n">
        <f aca="false">lissage_depense*I38+(1-lissage_depense)*dot_taux_net*MAX(0,I42)</f>
        <v>1729451.85181773</v>
      </c>
      <c r="K38" s="17" t="n">
        <f aca="false">lissage_depense*J38+(1-lissage_depense)*dot_taux_net*MAX(0,J42)</f>
        <v>1760564.80633026</v>
      </c>
      <c r="L38" s="17" t="n">
        <f aca="false">lissage_depense*K38+(1-lissage_depense)*dot_taux_net*MAX(0,K42)</f>
        <v>1795471.81736574</v>
      </c>
      <c r="M38" s="17" t="n">
        <f aca="false">lissage_depense*L38+(1-lissage_depense)*dot_taux_net*MAX(0,L42)</f>
        <v>1832511.9388189</v>
      </c>
      <c r="N38" s="17" t="n">
        <f aca="false">lissage_depense*M38+(1-lissage_depense)*dot_taux_net*MAX(0,M42)</f>
        <v>1872660.65204599</v>
      </c>
      <c r="O38" s="17" t="n">
        <f aca="false">lissage_depense*N38+(1-lissage_depense)*dot_taux_net*MAX(0,N42)</f>
        <v>1915574.16920308</v>
      </c>
      <c r="P38" s="17" t="n">
        <f aca="false">lissage_depense*O38+(1-lissage_depense)*dot_taux_net*MAX(0,O42)</f>
        <v>1955485.40064443</v>
      </c>
      <c r="Q38" s="17" t="n">
        <f aca="false">lissage_depense*P38+(1-lissage_depense)*dot_taux_net*MAX(0,P42)</f>
        <v>1990902.59700519</v>
      </c>
      <c r="R38" s="17" t="n">
        <f aca="false">lissage_depense*Q38+(1-lissage_depense)*dot_taux_net*MAX(0,Q42)</f>
        <v>2025011.68566216</v>
      </c>
      <c r="S38" s="17" t="n">
        <f aca="false">lissage_depense*R38+(1-lissage_depense)*dot_taux_net*MAX(0,R42)</f>
        <v>2058208.35678188</v>
      </c>
      <c r="T38" s="17" t="n">
        <f aca="false">lissage_depense*S38+(1-lissage_depense)*dot_taux_net*MAX(0,S42)</f>
        <v>2090812.76414025</v>
      </c>
      <c r="U38" s="17" t="n">
        <f aca="false">lissage_depense*T38+(1-lissage_depense)*dot_taux_net*MAX(0,T42)</f>
        <v>2120796.09260556</v>
      </c>
      <c r="V38" s="17" t="n">
        <f aca="false">lissage_depense*U38+(1-lissage_depense)*dot_taux_net*MAX(0,U42)</f>
        <v>2151047.72307993</v>
      </c>
      <c r="W38" s="17" t="n">
        <f aca="false">lissage_depense*V38+(1-lissage_depense)*dot_taux_net*MAX(0,V42)</f>
        <v>2181661.03460381</v>
      </c>
      <c r="X38" s="17" t="n">
        <f aca="false">lissage_depense*W38+(1-lissage_depense)*dot_taux_net*MAX(0,W42)</f>
        <v>2212714.69642397</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595947.41743653</v>
      </c>
      <c r="I39" s="17" t="n">
        <f aca="false">MIN(MAX(0,I35-I36),IF(I12=1,MAX(I38,retrait_urgence*MAX(0,H42)),I38))</f>
        <v>222001.815113773</v>
      </c>
      <c r="J39" s="17" t="n">
        <f aca="false">MIN(MAX(0,J35-J36),IF(J12=1,MAX(J38,retrait_urgence*MAX(0,I42)),J38))</f>
        <v>228553.330927183</v>
      </c>
      <c r="K39" s="17" t="n">
        <f aca="false">MIN(MAX(0,K35-K36),IF(K12=1,MAX(K38,retrait_urgence*MAX(0,J42)),K38))</f>
        <v>235173.149242637</v>
      </c>
      <c r="L39" s="17" t="n">
        <f aca="false">MIN(MAX(0,L35-L36),IF(L12=1,MAX(L38,retrait_urgence*MAX(0,K42)),L38))</f>
        <v>453833.917138286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1673194.68196066</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1714105.41506215</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1756646.69437166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65042204.0426734</v>
      </c>
      <c r="I42" s="23" t="n">
        <f aca="false">MAX(0,H42)*(1+I37)-I39+I41-I31</f>
        <v>66771468.3488399</v>
      </c>
      <c r="J42" s="23" t="n">
        <f aca="false">MAX(0,I42)*(1+J37)-J39+J41-J31</f>
        <v>68546059.0683779</v>
      </c>
      <c r="K42" s="23" t="n">
        <f aca="false">MAX(0,J42)*(1+K37)-K39+K41-K31</f>
        <v>70367267.6911866</v>
      </c>
      <c r="L42" s="23" t="n">
        <f aca="false">MAX(0,K42)*(1+L37)-L39+L41-L31</f>
        <v>72024451.8047839</v>
      </c>
      <c r="M42" s="23" t="n">
        <f aca="false">MAX(0,L42)*(1+M37)-M39+M41-M31</f>
        <v>73936563.8165217</v>
      </c>
      <c r="N42" s="23" t="n">
        <f aca="false">MAX(0,M42)*(1+N37)-N39+N41-N31</f>
        <v>75899208.6484154</v>
      </c>
      <c r="O42" s="23" t="n">
        <f aca="false">MAX(0,N42)*(1+O37)-O39+O41-O31</f>
        <v>76913830.0512667</v>
      </c>
      <c r="P42" s="23" t="n">
        <f aca="false">MAX(0,O42)*(1+P37)-P39+P41-P31</f>
        <v>77548050.270844</v>
      </c>
      <c r="Q42" s="23" t="n">
        <f aca="false">MAX(0,P42)*(1+Q37)-Q39+Q41-Q31</f>
        <v>78598110.5560027</v>
      </c>
      <c r="R42" s="23" t="n">
        <f aca="false">MAX(0,Q42)*(1+R37)-R39+R41-R31</f>
        <v>79672546.9549356</v>
      </c>
      <c r="S42" s="23" t="n">
        <f aca="false">MAX(0,R42)*(1+S37)-S39+S41-S31</f>
        <v>80772014.3117732</v>
      </c>
      <c r="T42" s="23" t="n">
        <f aca="false">MAX(0,S42)*(1+T37)-T39+T41-T31</f>
        <v>81481069.3260642</v>
      </c>
      <c r="U42" s="23" t="n">
        <f aca="false">MAX(0,T42)*(1+U37)-U39+U41-U31</f>
        <v>82620154.3628157</v>
      </c>
      <c r="V42" s="23" t="n">
        <f aca="false">MAX(0,U42)*(1+V37)-V39+V41-V31</f>
        <v>83785973.8436116</v>
      </c>
      <c r="W42" s="23" t="n">
        <f aca="false">MAX(0,V42)*(1+W37)-W39+W41-W31</f>
        <v>84979248.861986</v>
      </c>
      <c r="X42" s="23" t="n">
        <f aca="false">MAX(0,W42)*(1+X37)-X39+X41-X31</f>
        <v>85771979.6334739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1.3683020475611</v>
      </c>
      <c r="I45" s="24" t="n">
        <f aca="false">(I29+I38)/I18</f>
        <v>1.37821662321002</v>
      </c>
      <c r="J45" s="24" t="n">
        <f aca="false">(J29+J38)/J18</f>
        <v>1.39203978324641</v>
      </c>
      <c r="K45" s="24" t="n">
        <f aca="false">(K29+K38)/K18</f>
        <v>1.40909034148954</v>
      </c>
      <c r="L45" s="24" t="n">
        <f aca="false">(L29+L38)/L18</f>
        <v>1.42882841895208</v>
      </c>
      <c r="M45" s="24" t="n">
        <f aca="false">(M29+M38)/M18</f>
        <v>1.44992833302096</v>
      </c>
      <c r="N45" s="24" t="n">
        <f aca="false">(N29+N38)/N18</f>
        <v>1.47311213017522</v>
      </c>
      <c r="O45" s="24" t="n">
        <f aca="false">(O29+O38)/O18</f>
        <v>1.49808018283086</v>
      </c>
      <c r="P45" s="24" t="n">
        <f aca="false">(P29+P38)/P18</f>
        <v>1.52042503457441</v>
      </c>
      <c r="Q45" s="24" t="n">
        <f aca="false">(Q29+Q38)/Q18</f>
        <v>1.53905776324135</v>
      </c>
      <c r="R45" s="24" t="n">
        <f aca="false">(R29+R38)/R18</f>
        <v>1.55642364694526</v>
      </c>
      <c r="S45" s="24" t="n">
        <f aca="false">(S29+S38)/S18</f>
        <v>1.5728340315329</v>
      </c>
      <c r="T45" s="24" t="n">
        <f aca="false">(T29+T38)/T18</f>
        <v>1.58853781591631</v>
      </c>
      <c r="U45" s="24" t="n">
        <f aca="false">(U29+U38)/U18</f>
        <v>1.60204450532773</v>
      </c>
      <c r="V45" s="24" t="n">
        <f aca="false">(V29+V38)/V18</f>
        <v>1.6155076019919</v>
      </c>
      <c r="W45" s="24" t="n">
        <f aca="false">(W29+W38)/W18</f>
        <v>1.62899227897629</v>
      </c>
      <c r="X45" s="24" t="n">
        <f aca="false">(X29+X38)/X18</f>
        <v>1.64255153468827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1905</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IF(st_energie_crise_an&gt;0,IF(E$3=st_energie_crise_an,1,IF(E$3=st_energie_crise_an+1,2,0)),0)</f>
        <v>0</v>
      </c>
      <c r="F11" s="22" t="n">
        <f aca="false">IF(st_energie_crise_an&gt;0,IF(F$3=st_energie_crise_an,1,IF(F$3=st_energie_crise_an+1,2,0)),0)</f>
        <v>0</v>
      </c>
      <c r="G11" s="22" t="n">
        <f aca="false">IF(st_energie_crise_an&gt;0,IF(G$3=st_energie_crise_an,1,IF(G$3=st_energie_crise_an+1,2,0)),0)</f>
        <v>0</v>
      </c>
      <c r="H11" s="22" t="n">
        <f aca="false">IF(st_energie_crise_an&gt;0,IF(H$3=st_energie_crise_an,1,IF(H$3=st_energie_crise_an+1,2,0)),0)</f>
        <v>0</v>
      </c>
      <c r="I11" s="22" t="n">
        <f aca="false">IF(st_energie_crise_an&gt;0,IF(I$3=st_energie_crise_an,1,IF(I$3=st_energie_crise_an+1,2,0)),0)</f>
        <v>0</v>
      </c>
      <c r="J11" s="22" t="n">
        <f aca="false">IF(st_energie_crise_an&gt;0,IF(J$3=st_energie_crise_an,1,IF(J$3=st_energie_crise_an+1,2,0)),0)</f>
        <v>0</v>
      </c>
      <c r="K11" s="22" t="n">
        <f aca="false">IF(st_energie_crise_an&gt;0,IF(K$3=st_energie_crise_an,1,IF(K$3=st_energie_crise_an+1,2,0)),0)</f>
        <v>0</v>
      </c>
      <c r="L11" s="22" t="n">
        <f aca="false">IF(st_energie_crise_an&gt;0,IF(L$3=st_energie_crise_an,1,IF(L$3=st_energie_crise_an+1,2,0)),0)</f>
        <v>0</v>
      </c>
      <c r="M11" s="22" t="n">
        <f aca="false">IF(st_energie_crise_an&gt;0,IF(M$3=st_energie_crise_an,1,IF(M$3=st_energie_crise_an+1,2,0)),0)</f>
        <v>0</v>
      </c>
      <c r="N11" s="22" t="n">
        <f aca="false">IF(st_energie_crise_an&gt;0,IF(N$3=st_energie_crise_an,1,IF(N$3=st_energie_crise_an+1,2,0)),0)</f>
        <v>0</v>
      </c>
      <c r="O11" s="22" t="n">
        <f aca="false">IF(st_energie_crise_an&gt;0,IF(O$3=st_energie_crise_an,1,IF(O$3=st_energie_crise_an+1,2,0)),0)</f>
        <v>0</v>
      </c>
      <c r="P11" s="22" t="n">
        <f aca="false">IF(st_energie_crise_an&gt;0,IF(P$3=st_energie_crise_an,1,IF(P$3=st_energie_crise_an+1,2,0)),0)</f>
        <v>0</v>
      </c>
      <c r="Q11" s="22" t="n">
        <f aca="false">IF(st_energie_crise_an&gt;0,IF(Q$3=st_energie_crise_an,1,IF(Q$3=st_energie_crise_an+1,2,0)),0)</f>
        <v>0</v>
      </c>
      <c r="R11" s="22" t="n">
        <f aca="false">IF(st_energie_crise_an&gt;0,IF(R$3=st_energie_crise_an,1,IF(R$3=st_energie_crise_an+1,2,0)),0)</f>
        <v>0</v>
      </c>
      <c r="S11" s="22" t="n">
        <f aca="false">IF(st_energie_crise_an&gt;0,IF(S$3=st_energie_crise_an,1,IF(S$3=st_energie_crise_an+1,2,0)),0)</f>
        <v>0</v>
      </c>
      <c r="T11" s="22" t="n">
        <f aca="false">IF(st_energie_crise_an&gt;0,IF(T$3=st_energie_crise_an,1,IF(T$3=st_energie_crise_an+1,2,0)),0)</f>
        <v>0</v>
      </c>
      <c r="U11" s="22" t="n">
        <f aca="false">IF(st_energie_crise_an&gt;0,IF(U$3=st_energie_crise_an,1,IF(U$3=st_energie_crise_an+1,2,0)),0)</f>
        <v>0</v>
      </c>
      <c r="V11" s="22" t="n">
        <f aca="false">IF(st_energie_crise_an&gt;0,IF(V$3=st_energie_crise_an,1,IF(V$3=st_energie_crise_an+1,2,0)),0)</f>
        <v>0</v>
      </c>
      <c r="W11" s="22" t="n">
        <f aca="false">IF(st_energie_crise_an&gt;0,IF(W$3=st_energie_crise_an,1,IF(W$3=st_energie_crise_an+1,2,0)),0)</f>
        <v>0</v>
      </c>
      <c r="X11" s="22" t="n">
        <f aca="false">IF(st_energie_crise_an&gt;0,IF(X$3=st_energie_crise_an,1,IF(X$3=st_energie_crise_an+1,2,0)),0)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(bud_chauffage_S2+bud_hors_gel_S2+bud_electricite_S2)*E7*IF(AND(E$3&gt;=st_energie_energie_debut,E$3&lt;=st_energie_energie_fin),st_energie_energie_mult,1)</f>
        <v>52815.6</v>
      </c>
      <c r="F14" s="17" t="n">
        <f aca="false">(bud_chauffage_S2+bud_hors_gel_S2+bud_electricite_S2)*F7*IF(AND(F$3&gt;=st_energie_energie_debut,F$3&lt;=st_energie_energie_fin),st_energie_energie_mult,1)</f>
        <v>53871.912</v>
      </c>
      <c r="G14" s="17" t="n">
        <f aca="false">(bud_chauffage_S2+bud_hors_gel_S2+bud_electricite_S2)*G7*IF(AND(G$3&gt;=st_energie_energie_debut,G$3&lt;=st_energie_energie_fin),st_energie_energie_mult,1)</f>
        <v>54949.35024</v>
      </c>
      <c r="H14" s="17" t="n">
        <f aca="false">(bud_chauffage_S2+bud_hors_gel_S2+bud_electricite_S2)*H7*IF(AND(H$3&gt;=st_energie_energie_debut,H$3&lt;=st_energie_energie_fin),st_energie_energie_mult,1)</f>
        <v>112096.6744896</v>
      </c>
      <c r="I14" s="17" t="n">
        <f aca="false">(bud_chauffage_S2+bud_hors_gel_S2+bud_electricite_S2)*I7*IF(AND(I$3&gt;=st_energie_energie_debut,I$3&lt;=st_energie_energie_fin),st_energie_energie_mult,1)</f>
        <v>114338.607979392</v>
      </c>
      <c r="J14" s="17" t="n">
        <f aca="false">(bud_chauffage_S2+bud_hors_gel_S2+bud_electricite_S2)*J7*IF(AND(J$3&gt;=st_energie_energie_debut,J$3&lt;=st_energie_energie_fin),st_energie_energie_mult,1)</f>
        <v>116625.38013898</v>
      </c>
      <c r="K14" s="17" t="n">
        <f aca="false">(bud_chauffage_S2+bud_hors_gel_S2+bud_electricite_S2)*K7*IF(AND(K$3&gt;=st_energie_energie_debut,K$3&lt;=st_energie_energie_fin),st_energie_energie_mult,1)</f>
        <v>59478.9438708797</v>
      </c>
      <c r="L14" s="17" t="n">
        <f aca="false">(bud_chauffage_S2+bud_hors_gel_S2+bud_electricite_S2)*L7*IF(AND(L$3&gt;=st_energie_energie_debut,L$3&lt;=st_energie_energie_fin),st_energie_energie_mult,1)</f>
        <v>60668.5227482973</v>
      </c>
      <c r="M14" s="17" t="n">
        <f aca="false">(bud_chauffage_S2+bud_hors_gel_S2+bud_electricite_S2)*M7*IF(AND(M$3&gt;=st_energie_energie_debut,M$3&lt;=st_energie_energie_fin),st_energie_energie_mult,1)</f>
        <v>61881.8932032633</v>
      </c>
      <c r="N14" s="17" t="n">
        <f aca="false">(bud_chauffage_S2+bud_hors_gel_S2+bud_electricite_S2)*N7*IF(AND(N$3&gt;=st_energie_energie_debut,N$3&lt;=st_energie_energie_fin),st_energie_energie_mult,1)</f>
        <v>63119.5310673285</v>
      </c>
      <c r="O14" s="17" t="n">
        <f aca="false">(bud_chauffage_S2+bud_hors_gel_S2+bud_electricite_S2)*O7*IF(AND(O$3&gt;=st_energie_energie_debut,O$3&lt;=st_energie_energie_fin),st_energie_energie_mult,1)</f>
        <v>64381.9216886751</v>
      </c>
      <c r="P14" s="17" t="n">
        <f aca="false">(bud_chauffage_S2+bud_hors_gel_S2+bud_electricite_S2)*P7*IF(AND(P$3&gt;=st_energie_energie_debut,P$3&lt;=st_energie_energie_fin),st_energie_energie_mult,1)</f>
        <v>65669.5601224486</v>
      </c>
      <c r="Q14" s="17" t="n">
        <f aca="false">(bud_chauffage_S2+bud_hors_gel_S2+bud_electricite_S2)*Q7*IF(AND(Q$3&gt;=st_energie_energie_debut,Q$3&lt;=st_energie_energie_fin),st_energie_energie_mult,1)</f>
        <v>66982.9513248976</v>
      </c>
      <c r="R14" s="17" t="n">
        <f aca="false">(bud_chauffage_S2+bud_hors_gel_S2+bud_electricite_S2)*R7*IF(AND(R$3&gt;=st_energie_energie_debut,R$3&lt;=st_energie_energie_fin),st_energie_energie_mult,1)</f>
        <v>68322.6103513955</v>
      </c>
      <c r="S14" s="17" t="n">
        <f aca="false">(bud_chauffage_S2+bud_hors_gel_S2+bud_electricite_S2)*S7*IF(AND(S$3&gt;=st_energie_energie_debut,S$3&lt;=st_energie_energie_fin),st_energie_energie_mult,1)</f>
        <v>69689.0625584235</v>
      </c>
      <c r="T14" s="17" t="n">
        <f aca="false">(bud_chauffage_S2+bud_hors_gel_S2+bud_electricite_S2)*T7*IF(AND(T$3&gt;=st_energie_energie_debut,T$3&lt;=st_energie_energie_fin),st_energie_energie_mult,1)</f>
        <v>71082.8438095919</v>
      </c>
      <c r="U14" s="17" t="n">
        <f aca="false">(bud_chauffage_S2+bud_hors_gel_S2+bud_electricite_S2)*U7*IF(AND(U$3&gt;=st_energie_energie_debut,U$3&lt;=st_energie_energie_fin),st_energie_energie_mult,1)</f>
        <v>72504.5006857838</v>
      </c>
      <c r="V14" s="17" t="n">
        <f aca="false">(bud_chauffage_S2+bud_hors_gel_S2+bud_electricite_S2)*V7*IF(AND(V$3&gt;=st_energie_energie_debut,V$3&lt;=st_energie_energie_fin),st_energie_energie_mult,1)</f>
        <v>73954.5906994994</v>
      </c>
      <c r="W14" s="17" t="n">
        <f aca="false">(bud_chauffage_S2+bud_hors_gel_S2+bud_electricite_S2)*W7*IF(AND(W$3&gt;=st_energie_energie_debut,W$3&lt;=st_energie_energie_fin),st_energie_energie_mult,1)</f>
        <v>75433.6825134894</v>
      </c>
      <c r="X14" s="17" t="n">
        <f aca="false">(bud_chauffage_S2+bud_hors_gel_S2+bud_electricite_S2)*X7*IF(AND(X$3&gt;=st_energie_energie_debut,X$3&lt;=st_energie_energie_fin),st_energie_energie_mult,1)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1320685.3467657</v>
      </c>
      <c r="I18" s="23" t="n">
        <f aca="false">I13+I14+I15+I16+I17</f>
        <v>1328290.46910347</v>
      </c>
      <c r="J18" s="23" t="n">
        <f aca="false">J13+J14+J15+J16+J17</f>
        <v>1335985.37099667</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IF(MOD(E$3,campagne_periode)=0,(D22+E17)*st_energie_mult_campagne*(1-E12*flex_report),0)</f>
        <v>0</v>
      </c>
      <c r="F19" s="17" t="n">
        <f aca="false">IF(MOD(F$3,campagne_periode)=0,(E22+F17)*st_energie_mult_campagne*(1-F12*flex_report),0)</f>
        <v>0</v>
      </c>
      <c r="G19" s="17" t="n">
        <f aca="false">IF(MOD(G$3,campagne_periode)=0,(F22+G17)*st_energie_mult_campagne*(1-G12*flex_report),0)</f>
        <v>0</v>
      </c>
      <c r="H19" s="17" t="n">
        <f aca="false">IF(MOD(H$3,campagne_periode)=0,(G22+H17)*st_energie_mult_campagne*(1-H12*flex_report),0)</f>
        <v>1268099.19305212</v>
      </c>
      <c r="I19" s="17" t="n">
        <f aca="false">IF(MOD(I$3,campagne_periode)=0,(H22+I17)*st_energie_mult_campagne*(1-I12*flex_report),0)</f>
        <v>0</v>
      </c>
      <c r="J19" s="17" t="n">
        <f aca="false">IF(MOD(J$3,campagne_periode)=0,(I22+J17)*st_energie_mult_campagne*(1-J12*flex_report),0)</f>
        <v>0</v>
      </c>
      <c r="K19" s="17" t="n">
        <f aca="false">IF(MOD(K$3,campagne_periode)=0,(J22+K17)*st_energie_mult_campagne*(1-K12*flex_report),0)</f>
        <v>0</v>
      </c>
      <c r="L19" s="17" t="n">
        <f aca="false">IF(MOD(L$3,campagne_periode)=0,(K22+L17)*st_energie_mult_campagne*(1-L12*flex_report),0)</f>
        <v>1306572.29625107</v>
      </c>
      <c r="M19" s="17" t="n">
        <f aca="false">IF(MOD(M$3,campagne_periode)=0,(L22+M17)*st_energie_mult_campagne*(1-M12*flex_report),0)</f>
        <v>0</v>
      </c>
      <c r="N19" s="17" t="n">
        <f aca="false">IF(MOD(N$3,campagne_periode)=0,(M22+N17)*st_energie_mult_campagne*(1-N12*flex_report),0)</f>
        <v>0</v>
      </c>
      <c r="O19" s="17" t="n">
        <f aca="false">IF(MOD(O$3,campagne_periode)=0,(N22+O17)*st_energie_mult_campagne*(1-O12*flex_report),0)</f>
        <v>0</v>
      </c>
      <c r="P19" s="17" t="n">
        <f aca="false">IF(MOD(P$3,campagne_periode)=0,(O22+P17)*st_energie_mult_campagne*(1-P12*flex_report),0)</f>
        <v>1346212.64226341</v>
      </c>
      <c r="Q19" s="17" t="n">
        <f aca="false">IF(MOD(Q$3,campagne_periode)=0,(P22+Q17)*st_energie_mult_campagne*(1-Q12*flex_report),0)</f>
        <v>0</v>
      </c>
      <c r="R19" s="17" t="n">
        <f aca="false">IF(MOD(R$3,campagne_periode)=0,(Q22+R17)*st_energie_mult_campagne*(1-R12*flex_report),0)</f>
        <v>0</v>
      </c>
      <c r="S19" s="17" t="n">
        <f aca="false">IF(MOD(S$3,campagne_periode)=0,(R22+S17)*st_energie_mult_campagne*(1-S12*flex_report),0)</f>
        <v>0</v>
      </c>
      <c r="T19" s="17" t="n">
        <f aca="false">IF(MOD(T$3,campagne_periode)=0,(S22+T17)*st_energie_mult_campagne*(1-T12*flex_report),0)</f>
        <v>1387055.64429141</v>
      </c>
      <c r="U19" s="17" t="n">
        <f aca="false">IF(MOD(U$3,campagne_periode)=0,(T22+U17)*st_energie_mult_campagne*(1-U12*flex_report),0)</f>
        <v>0</v>
      </c>
      <c r="V19" s="17" t="n">
        <f aca="false">IF(MOD(V$3,campagne_periode)=0,(U22+V17)*st_energie_mult_campagne*(1-V12*flex_report),0)</f>
        <v>0</v>
      </c>
      <c r="W19" s="17" t="n">
        <f aca="false">IF(MOD(W$3,campagne_periode)=0,(V22+W17)*st_energie_mult_campagne*(1-W12*flex_report),0)</f>
        <v>0</v>
      </c>
      <c r="X19" s="17" t="n">
        <f aca="false">IF(MOD(X$3,campagne_periode)=0,(W22+X17)*st_energie_mult_campagne*(1-X12*flex_report),0)</f>
        <v>1429137.78994523</v>
      </c>
    </row>
    <row r="20" customFormat="false" ht="15" hidden="false" customHeight="false" outlineLevel="0" collapsed="false">
      <c r="A20" s="2" t="s">
        <v>1845</v>
      </c>
      <c r="B20" s="2" t="s">
        <v>1846</v>
      </c>
      <c r="C20" s="2" t="s">
        <v>1832</v>
      </c>
      <c r="E20" s="17" t="n">
        <f aca="false">IF(E$3=st_energie_choc_trav_an,st_energie_choc_trav_montant,0)</f>
        <v>0</v>
      </c>
      <c r="F20" s="17" t="n">
        <f aca="false">IF(F$3=st_energie_choc_trav_an,st_energie_choc_trav_montant,0)</f>
        <v>0</v>
      </c>
      <c r="G20" s="17" t="n">
        <f aca="false">IF(G$3=st_energie_choc_trav_an,st_energie_choc_trav_montant,0)</f>
        <v>0</v>
      </c>
      <c r="H20" s="17" t="n">
        <f aca="false">IF(H$3=st_energie_choc_trav_an,st_energie_choc_trav_montant,0)</f>
        <v>0</v>
      </c>
      <c r="I20" s="17" t="n">
        <f aca="false">IF(I$3=st_energie_choc_trav_an,st_energie_choc_trav_montant,0)</f>
        <v>0</v>
      </c>
      <c r="J20" s="17" t="n">
        <f aca="false">IF(J$3=st_energie_choc_trav_an,st_energie_choc_trav_montant,0)</f>
        <v>0</v>
      </c>
      <c r="K20" s="17" t="n">
        <f aca="false">IF(K$3=st_energie_choc_trav_an,st_energie_choc_trav_montant,0)</f>
        <v>0</v>
      </c>
      <c r="L20" s="17" t="n">
        <f aca="false">IF(L$3=st_energie_choc_trav_an,st_energie_choc_trav_montant,0)</f>
        <v>0</v>
      </c>
      <c r="M20" s="17" t="n">
        <f aca="false">IF(M$3=st_energie_choc_trav_an,st_energie_choc_trav_montant,0)</f>
        <v>0</v>
      </c>
      <c r="N20" s="17" t="n">
        <f aca="false">IF(N$3=st_energie_choc_trav_an,st_energie_choc_trav_montant,0)</f>
        <v>0</v>
      </c>
      <c r="O20" s="17" t="n">
        <f aca="false">IF(O$3=st_energie_choc_trav_an,st_energie_choc_trav_montant,0)</f>
        <v>0</v>
      </c>
      <c r="P20" s="17" t="n">
        <f aca="false">IF(P$3=st_energie_choc_trav_an,st_energie_choc_trav_montant,0)</f>
        <v>0</v>
      </c>
      <c r="Q20" s="17" t="n">
        <f aca="false">IF(Q$3=st_energie_choc_trav_an,st_energie_choc_trav_montant,0)</f>
        <v>0</v>
      </c>
      <c r="R20" s="17" t="n">
        <f aca="false">IF(R$3=st_energie_choc_trav_an,st_energie_choc_trav_montant,0)</f>
        <v>0</v>
      </c>
      <c r="S20" s="17" t="n">
        <f aca="false">IF(S$3=st_energie_choc_trav_an,st_energie_choc_trav_montant,0)</f>
        <v>0</v>
      </c>
      <c r="T20" s="17" t="n">
        <f aca="false">IF(T$3=st_energie_choc_trav_an,st_energie_choc_trav_montant,0)</f>
        <v>0</v>
      </c>
      <c r="U20" s="17" t="n">
        <f aca="false">IF(U$3=st_energie_choc_trav_an,st_energie_choc_trav_montant,0)</f>
        <v>0</v>
      </c>
      <c r="V20" s="17" t="n">
        <f aca="false">IF(V$3=st_energie_choc_trav_an,st_energie_choc_trav_montant,0)</f>
        <v>0</v>
      </c>
      <c r="W20" s="17" t="n">
        <f aca="false">IF(W$3=st_energie_choc_trav_an,st_energie_choc_trav_montant,0)</f>
        <v>0</v>
      </c>
      <c r="X20" s="17" t="n">
        <f aca="false">IF(X$3=st_energie_choc_trav_an,st_energie_choc_trav_montant,0)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(S2_ech_log*mot_log_cn+S2_ech_stock*mot_stock_cn+S2_ech_pv*mot_pv_cn+S2_ech_bois*mot_bois_cn)*E24*E9*IF(E$3&gt;=st_energie_debut_mult,st_energie_mult_A,1)*IF(E11=1,1-0.05,IF(E11=2,1-0.02,1))</f>
        <v>21930.4</v>
      </c>
      <c r="F25" s="17" t="n">
        <f aca="false">(S2_ech_log*mot_log_cn+S2_ech_stock*mot_stock_cn+S2_ech_pv*mot_pv_cn+S2_ech_bois*mot_bois_cn)*F24*F9*IF(F$3&gt;=st_energie_debut_mult,st_energie_mult_A,1)*IF(F11=1,1-0.05,IF(F11=2,1-0.02,1))</f>
        <v>41119.5</v>
      </c>
      <c r="G25" s="17" t="n">
        <f aca="false">(S2_ech_log*mot_log_cn+S2_ech_stock*mot_stock_cn+S2_ech_pv*mot_pv_cn+S2_ech_bois*mot_bois_cn)*G24*G9*IF(G$3&gt;=st_energie_debut_mult,st_energie_mult_A,1)*IF(G11=1,1-0.05,IF(G11=2,1-0.02,1))</f>
        <v>54826</v>
      </c>
      <c r="H25" s="17" t="n">
        <f aca="false">(S2_ech_log*mot_log_cn+S2_ech_stock*mot_stock_cn+S2_ech_pv*mot_pv_cn+S2_ech_bois*mot_bois_cn)*H24*H9*IF(H$3&gt;=st_energie_debut_mult,st_energie_mult_A,1)*IF(H11=1,1-0.05,IF(H11=2,1-0.02,1))</f>
        <v>54826</v>
      </c>
      <c r="I25" s="17" t="n">
        <f aca="false">(S2_ech_log*mot_log_cn+S2_ech_stock*mot_stock_cn+S2_ech_pv*mot_pv_cn+S2_ech_bois*mot_bois_cn)*I24*I9*IF(I$3&gt;=st_energie_debut_mult,st_energie_mult_A,1)*IF(I11=1,1-0.05,IF(I11=2,1-0.02,1))</f>
        <v>54826</v>
      </c>
      <c r="J25" s="17" t="n">
        <f aca="false">(S2_ech_log*mot_log_cn+S2_ech_stock*mot_stock_cn+S2_ech_pv*mot_pv_cn+S2_ech_bois*mot_bois_cn)*J24*J9*IF(J$3&gt;=st_energie_debut_mult,st_energie_mult_A,1)*IF(J11=1,1-0.05,IF(J11=2,1-0.02,1))</f>
        <v>54826</v>
      </c>
      <c r="K25" s="17" t="n">
        <f aca="false">(S2_ech_log*mot_log_cn+S2_ech_stock*mot_stock_cn+S2_ech_pv*mot_pv_cn+S2_ech_bois*mot_bois_cn)*K24*K9*IF(K$3&gt;=st_energie_debut_mult,st_energie_mult_A,1)*IF(K11=1,1-0.05,IF(K11=2,1-0.02,1))</f>
        <v>54826</v>
      </c>
      <c r="L25" s="17" t="n">
        <f aca="false">(S2_ech_log*mot_log_cn+S2_ech_stock*mot_stock_cn+S2_ech_pv*mot_pv_cn+S2_ech_bois*mot_bois_cn)*L24*L9*IF(L$3&gt;=st_energie_debut_mult,st_energie_mult_A,1)*IF(L11=1,1-0.05,IF(L11=2,1-0.02,1))</f>
        <v>54826</v>
      </c>
      <c r="M25" s="17" t="n">
        <f aca="false">(S2_ech_log*mot_log_cn+S2_ech_stock*mot_stock_cn+S2_ech_pv*mot_pv_cn+S2_ech_bois*mot_bois_cn)*M24*M9*IF(M$3&gt;=st_energie_debut_mult,st_energie_mult_A,1)*IF(M11=1,1-0.05,IF(M11=2,1-0.02,1))</f>
        <v>54826</v>
      </c>
      <c r="N25" s="17" t="n">
        <f aca="false">(S2_ech_log*mot_log_cn+S2_ech_stock*mot_stock_cn+S2_ech_pv*mot_pv_cn+S2_ech_bois*mot_bois_cn)*N24*N9*IF(N$3&gt;=st_energie_debut_mult,st_energie_mult_A,1)*IF(N11=1,1-0.05,IF(N11=2,1-0.02,1))</f>
        <v>54826</v>
      </c>
      <c r="O25" s="17" t="n">
        <f aca="false">(S2_ech_log*mot_log_cn+S2_ech_stock*mot_stock_cn+S2_ech_pv*mot_pv_cn+S2_ech_bois*mot_bois_cn)*O24*O9*IF(O$3&gt;=st_energie_debut_mult,st_energie_mult_A,1)*IF(O11=1,1-0.05,IF(O11=2,1-0.02,1))</f>
        <v>54826</v>
      </c>
      <c r="P25" s="17" t="n">
        <f aca="false">(S2_ech_log*mot_log_cn+S2_ech_stock*mot_stock_cn+S2_ech_pv*mot_pv_cn+S2_ech_bois*mot_bois_cn)*P24*P9*IF(P$3&gt;=st_energie_debut_mult,st_energie_mult_A,1)*IF(P11=1,1-0.05,IF(P11=2,1-0.02,1))</f>
        <v>54826</v>
      </c>
      <c r="Q25" s="17" t="n">
        <f aca="false">(S2_ech_log*mot_log_cn+S2_ech_stock*mot_stock_cn+S2_ech_pv*mot_pv_cn+S2_ech_bois*mot_bois_cn)*Q24*Q9*IF(Q$3&gt;=st_energie_debut_mult,st_energie_mult_A,1)*IF(Q11=1,1-0.05,IF(Q11=2,1-0.02,1))</f>
        <v>54826</v>
      </c>
      <c r="R25" s="17" t="n">
        <f aca="false">(S2_ech_log*mot_log_cn+S2_ech_stock*mot_stock_cn+S2_ech_pv*mot_pv_cn+S2_ech_bois*mot_bois_cn)*R24*R9*IF(R$3&gt;=st_energie_debut_mult,st_energie_mult_A,1)*IF(R11=1,1-0.05,IF(R11=2,1-0.02,1))</f>
        <v>54826</v>
      </c>
      <c r="S25" s="17" t="n">
        <f aca="false">(S2_ech_log*mot_log_cn+S2_ech_stock*mot_stock_cn+S2_ech_pv*mot_pv_cn+S2_ech_bois*mot_bois_cn)*S24*S9*IF(S$3&gt;=st_energie_debut_mult,st_energie_mult_A,1)*IF(S11=1,1-0.05,IF(S11=2,1-0.02,1))</f>
        <v>54826</v>
      </c>
      <c r="T25" s="17" t="n">
        <f aca="false">(S2_ech_log*mot_log_cn+S2_ech_stock*mot_stock_cn+S2_ech_pv*mot_pv_cn+S2_ech_bois*mot_bois_cn)*T24*T9*IF(T$3&gt;=st_energie_debut_mult,st_energie_mult_A,1)*IF(T11=1,1-0.05,IF(T11=2,1-0.02,1))</f>
        <v>54826</v>
      </c>
      <c r="U25" s="17" t="n">
        <f aca="false">(S2_ech_log*mot_log_cn+S2_ech_stock*mot_stock_cn+S2_ech_pv*mot_pv_cn+S2_ech_bois*mot_bois_cn)*U24*U9*IF(U$3&gt;=st_energie_debut_mult,st_energie_mult_A,1)*IF(U11=1,1-0.05,IF(U11=2,1-0.02,1))</f>
        <v>54826</v>
      </c>
      <c r="V25" s="17" t="n">
        <f aca="false">(S2_ech_log*mot_log_cn+S2_ech_stock*mot_stock_cn+S2_ech_pv*mot_pv_cn+S2_ech_bois*mot_bois_cn)*V24*V9*IF(V$3&gt;=st_energie_debut_mult,st_energie_mult_A,1)*IF(V11=1,1-0.05,IF(V11=2,1-0.02,1))</f>
        <v>54826</v>
      </c>
      <c r="W25" s="17" t="n">
        <f aca="false">(S2_ech_log*mot_log_cn+S2_ech_stock*mot_stock_cn+S2_ech_pv*mot_pv_cn+S2_ech_bois*mot_bois_cn)*W24*W9*IF(W$3&gt;=st_energie_debut_mult,st_energie_mult_A,1)*IF(W11=1,1-0.05,IF(W11=2,1-0.02,1))</f>
        <v>54826</v>
      </c>
      <c r="X25" s="17" t="n">
        <f aca="false">(S2_ech_log*mot_log_cn+S2_ech_stock*mot_stock_cn+S2_ech_pv*mot_pv_cn+S2_ech_bois*mot_bois_cn)*X24*X9*IF(X$3&gt;=st_energie_debut_mult,st_energie_mult_A,1)*IF(X11=1,1-0.05,IF(X11=2,1-0.02,1))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(S2_ech_eq_std*mot_eq_std_cn+S2_ech_eq_ret*mot_eq_ret_cn)*E24*E9*IF(E$3&gt;=st_energie_debut_mult,st_energie_mult_B,1)*IF(E11=1,1-0.15,IF(E11=2,1-0.05,1))</f>
        <v>3757.8</v>
      </c>
      <c r="F26" s="17" t="n">
        <f aca="false">(S2_ech_eq_std*mot_eq_std_cn+S2_ech_eq_ret*mot_eq_ret_cn)*F24*F9*IF(F$3&gt;=st_energie_debut_mult,st_energie_mult_B,1)*IF(F11=1,1-0.15,IF(F11=2,1-0.05,1))</f>
        <v>7045.875</v>
      </c>
      <c r="G26" s="17" t="n">
        <f aca="false">(S2_ech_eq_std*mot_eq_std_cn+S2_ech_eq_ret*mot_eq_ret_cn)*G24*G9*IF(G$3&gt;=st_energie_debut_mult,st_energie_mult_B,1)*IF(G11=1,1-0.15,IF(G11=2,1-0.05,1))</f>
        <v>9394.5</v>
      </c>
      <c r="H26" s="17" t="n">
        <f aca="false">(S2_ech_eq_std*mot_eq_std_cn+S2_ech_eq_ret*mot_eq_ret_cn)*H24*H9*IF(H$3&gt;=st_energie_debut_mult,st_energie_mult_B,1)*IF(H11=1,1-0.15,IF(H11=2,1-0.05,1))</f>
        <v>9394.5</v>
      </c>
      <c r="I26" s="17" t="n">
        <f aca="false">(S2_ech_eq_std*mot_eq_std_cn+S2_ech_eq_ret*mot_eq_ret_cn)*I24*I9*IF(I$3&gt;=st_energie_debut_mult,st_energie_mult_B,1)*IF(I11=1,1-0.15,IF(I11=2,1-0.05,1))</f>
        <v>9394.5</v>
      </c>
      <c r="J26" s="17" t="n">
        <f aca="false">(S2_ech_eq_std*mot_eq_std_cn+S2_ech_eq_ret*mot_eq_ret_cn)*J24*J9*IF(J$3&gt;=st_energie_debut_mult,st_energie_mult_B,1)*IF(J11=1,1-0.15,IF(J11=2,1-0.05,1))</f>
        <v>9394.5</v>
      </c>
      <c r="K26" s="17" t="n">
        <f aca="false">(S2_ech_eq_std*mot_eq_std_cn+S2_ech_eq_ret*mot_eq_ret_cn)*K24*K9*IF(K$3&gt;=st_energie_debut_mult,st_energie_mult_B,1)*IF(K11=1,1-0.15,IF(K11=2,1-0.05,1))</f>
        <v>9394.5</v>
      </c>
      <c r="L26" s="17" t="n">
        <f aca="false">(S2_ech_eq_std*mot_eq_std_cn+S2_ech_eq_ret*mot_eq_ret_cn)*L24*L9*IF(L$3&gt;=st_energie_debut_mult,st_energie_mult_B,1)*IF(L11=1,1-0.15,IF(L11=2,1-0.05,1))</f>
        <v>9394.5</v>
      </c>
      <c r="M26" s="17" t="n">
        <f aca="false">(S2_ech_eq_std*mot_eq_std_cn+S2_ech_eq_ret*mot_eq_ret_cn)*M24*M9*IF(M$3&gt;=st_energie_debut_mult,st_energie_mult_B,1)*IF(M11=1,1-0.15,IF(M11=2,1-0.05,1))</f>
        <v>9394.5</v>
      </c>
      <c r="N26" s="17" t="n">
        <f aca="false">(S2_ech_eq_std*mot_eq_std_cn+S2_ech_eq_ret*mot_eq_ret_cn)*N24*N9*IF(N$3&gt;=st_energie_debut_mult,st_energie_mult_B,1)*IF(N11=1,1-0.15,IF(N11=2,1-0.05,1))</f>
        <v>9394.5</v>
      </c>
      <c r="O26" s="17" t="n">
        <f aca="false">(S2_ech_eq_std*mot_eq_std_cn+S2_ech_eq_ret*mot_eq_ret_cn)*O24*O9*IF(O$3&gt;=st_energie_debut_mult,st_energie_mult_B,1)*IF(O11=1,1-0.15,IF(O11=2,1-0.05,1))</f>
        <v>9394.5</v>
      </c>
      <c r="P26" s="17" t="n">
        <f aca="false">(S2_ech_eq_std*mot_eq_std_cn+S2_ech_eq_ret*mot_eq_ret_cn)*P24*P9*IF(P$3&gt;=st_energie_debut_mult,st_energie_mult_B,1)*IF(P11=1,1-0.15,IF(P11=2,1-0.05,1))</f>
        <v>9394.5</v>
      </c>
      <c r="Q26" s="17" t="n">
        <f aca="false">(S2_ech_eq_std*mot_eq_std_cn+S2_ech_eq_ret*mot_eq_ret_cn)*Q24*Q9*IF(Q$3&gt;=st_energie_debut_mult,st_energie_mult_B,1)*IF(Q11=1,1-0.15,IF(Q11=2,1-0.05,1))</f>
        <v>9394.5</v>
      </c>
      <c r="R26" s="17" t="n">
        <f aca="false">(S2_ech_eq_std*mot_eq_std_cn+S2_ech_eq_ret*mot_eq_ret_cn)*R24*R9*IF(R$3&gt;=st_energie_debut_mult,st_energie_mult_B,1)*IF(R11=1,1-0.15,IF(R11=2,1-0.05,1))</f>
        <v>9394.5</v>
      </c>
      <c r="S26" s="17" t="n">
        <f aca="false">(S2_ech_eq_std*mot_eq_std_cn+S2_ech_eq_ret*mot_eq_ret_cn)*S24*S9*IF(S$3&gt;=st_energie_debut_mult,st_energie_mult_B,1)*IF(S11=1,1-0.15,IF(S11=2,1-0.05,1))</f>
        <v>9394.5</v>
      </c>
      <c r="T26" s="17" t="n">
        <f aca="false">(S2_ech_eq_std*mot_eq_std_cn+S2_ech_eq_ret*mot_eq_ret_cn)*T24*T9*IF(T$3&gt;=st_energie_debut_mult,st_energie_mult_B,1)*IF(T11=1,1-0.15,IF(T11=2,1-0.05,1))</f>
        <v>9394.5</v>
      </c>
      <c r="U26" s="17" t="n">
        <f aca="false">(S2_ech_eq_std*mot_eq_std_cn+S2_ech_eq_ret*mot_eq_ret_cn)*U24*U9*IF(U$3&gt;=st_energie_debut_mult,st_energie_mult_B,1)*IF(U11=1,1-0.15,IF(U11=2,1-0.05,1))</f>
        <v>9394.5</v>
      </c>
      <c r="V26" s="17" t="n">
        <f aca="false">(S2_ech_eq_std*mot_eq_std_cn+S2_ech_eq_ret*mot_eq_ret_cn)*V24*V9*IF(V$3&gt;=st_energie_debut_mult,st_energie_mult_B,1)*IF(V11=1,1-0.15,IF(V11=2,1-0.05,1))</f>
        <v>9394.5</v>
      </c>
      <c r="W26" s="17" t="n">
        <f aca="false">(S2_ech_eq_std*mot_eq_std_cn+S2_ech_eq_ret*mot_eq_ret_cn)*W24*W9*IF(W$3&gt;=st_energie_debut_mult,st_energie_mult_B,1)*IF(W11=1,1-0.15,IF(W11=2,1-0.05,1))</f>
        <v>9394.5</v>
      </c>
      <c r="X26" s="17" t="n">
        <f aca="false">(S2_ech_eq_std*mot_eq_std_cn+S2_ech_eq_ret*mot_eq_ret_cn)*X24*X9*IF(X$3&gt;=st_energie_debut_mult,st_energie_mult_B,1)*IF(X11=1,1-0.15,IF(X11=2,1-0.05,1))</f>
        <v>9394.5</v>
      </c>
    </row>
    <row r="27" customFormat="false" ht="15" hidden="false" customHeight="false" outlineLevel="0" collapsed="false">
      <c r="A27" s="2" t="s">
        <v>1859</v>
      </c>
      <c r="B27" s="2" t="s">
        <v>1860</v>
      </c>
      <c r="C27" s="2" t="s">
        <v>1832</v>
      </c>
      <c r="E27" s="17" t="n">
        <f aca="false">(S2_ech_tourn*mot_tourn_cn)*E24*E9*IF(E$3&gt;=st_energie_debut_mult,st_energie_mult_C,1)*IF(E11=1,1-0.8,IF(E11=2,1-0.3,1))</f>
        <v>2380</v>
      </c>
      <c r="F27" s="17" t="n">
        <f aca="false">(S2_ech_tourn*mot_tourn_cn)*F24*F9*IF(F$3&gt;=st_energie_debut_mult,st_energie_mult_C,1)*IF(F11=1,1-0.8,IF(F11=2,1-0.3,1))</f>
        <v>4462.5</v>
      </c>
      <c r="G27" s="17" t="n">
        <f aca="false">(S2_ech_tourn*mot_tourn_cn)*G24*G9*IF(G$3&gt;=st_energie_debut_mult,st_energie_mult_C,1)*IF(G11=1,1-0.8,IF(G11=2,1-0.3,1))</f>
        <v>5950</v>
      </c>
      <c r="H27" s="17" t="n">
        <f aca="false">(S2_ech_tourn*mot_tourn_cn)*H24*H9*IF(H$3&gt;=st_energie_debut_mult,st_energie_mult_C,1)*IF(H11=1,1-0.8,IF(H11=2,1-0.3,1))</f>
        <v>5950</v>
      </c>
      <c r="I27" s="17" t="n">
        <f aca="false">(S2_ech_tourn*mot_tourn_cn)*I24*I9*IF(I$3&gt;=st_energie_debut_mult,st_energie_mult_C,1)*IF(I11=1,1-0.8,IF(I11=2,1-0.3,1))</f>
        <v>5950</v>
      </c>
      <c r="J27" s="17" t="n">
        <f aca="false">(S2_ech_tourn*mot_tourn_cn)*J24*J9*IF(J$3&gt;=st_energie_debut_mult,st_energie_mult_C,1)*IF(J11=1,1-0.8,IF(J11=2,1-0.3,1))</f>
        <v>5950</v>
      </c>
      <c r="K27" s="17" t="n">
        <f aca="false">(S2_ech_tourn*mot_tourn_cn)*K24*K9*IF(K$3&gt;=st_energie_debut_mult,st_energie_mult_C,1)*IF(K11=1,1-0.8,IF(K11=2,1-0.3,1))</f>
        <v>5950</v>
      </c>
      <c r="L27" s="17" t="n">
        <f aca="false">(S2_ech_tourn*mot_tourn_cn)*L24*L9*IF(L$3&gt;=st_energie_debut_mult,st_energie_mult_C,1)*IF(L11=1,1-0.8,IF(L11=2,1-0.3,1))</f>
        <v>5950</v>
      </c>
      <c r="M27" s="17" t="n">
        <f aca="false">(S2_ech_tourn*mot_tourn_cn)*M24*M9*IF(M$3&gt;=st_energie_debut_mult,st_energie_mult_C,1)*IF(M11=1,1-0.8,IF(M11=2,1-0.3,1))</f>
        <v>5950</v>
      </c>
      <c r="N27" s="17" t="n">
        <f aca="false">(S2_ech_tourn*mot_tourn_cn)*N24*N9*IF(N$3&gt;=st_energie_debut_mult,st_energie_mult_C,1)*IF(N11=1,1-0.8,IF(N11=2,1-0.3,1))</f>
        <v>5950</v>
      </c>
      <c r="O27" s="17" t="n">
        <f aca="false">(S2_ech_tourn*mot_tourn_cn)*O24*O9*IF(O$3&gt;=st_energie_debut_mult,st_energie_mult_C,1)*IF(O11=1,1-0.8,IF(O11=2,1-0.3,1))</f>
        <v>5950</v>
      </c>
      <c r="P27" s="17" t="n">
        <f aca="false">(S2_ech_tourn*mot_tourn_cn)*P24*P9*IF(P$3&gt;=st_energie_debut_mult,st_energie_mult_C,1)*IF(P11=1,1-0.8,IF(P11=2,1-0.3,1))</f>
        <v>5950</v>
      </c>
      <c r="Q27" s="17" t="n">
        <f aca="false">(S2_ech_tourn*mot_tourn_cn)*Q24*Q9*IF(Q$3&gt;=st_energie_debut_mult,st_energie_mult_C,1)*IF(Q11=1,1-0.8,IF(Q11=2,1-0.3,1))</f>
        <v>5950</v>
      </c>
      <c r="R27" s="17" t="n">
        <f aca="false">(S2_ech_tourn*mot_tourn_cn)*R24*R9*IF(R$3&gt;=st_energie_debut_mult,st_energie_mult_C,1)*IF(R11=1,1-0.8,IF(R11=2,1-0.3,1))</f>
        <v>5950</v>
      </c>
      <c r="S27" s="17" t="n">
        <f aca="false">(S2_ech_tourn*mot_tourn_cn)*S24*S9*IF(S$3&gt;=st_energie_debut_mult,st_energie_mult_C,1)*IF(S11=1,1-0.8,IF(S11=2,1-0.3,1))</f>
        <v>5950</v>
      </c>
      <c r="T27" s="17" t="n">
        <f aca="false">(S2_ech_tourn*mot_tourn_cn)*T24*T9*IF(T$3&gt;=st_energie_debut_mult,st_energie_mult_C,1)*IF(T11=1,1-0.8,IF(T11=2,1-0.3,1))</f>
        <v>5950</v>
      </c>
      <c r="U27" s="17" t="n">
        <f aca="false">(S2_ech_tourn*mot_tourn_cn)*U24*U9*IF(U$3&gt;=st_energie_debut_mult,st_energie_mult_C,1)*IF(U11=1,1-0.8,IF(U11=2,1-0.3,1))</f>
        <v>5950</v>
      </c>
      <c r="V27" s="17" t="n">
        <f aca="false">(S2_ech_tourn*mot_tourn_cn)*V24*V9*IF(V$3&gt;=st_energie_debut_mult,st_energie_mult_C,1)*IF(V11=1,1-0.8,IF(V11=2,1-0.3,1))</f>
        <v>5950</v>
      </c>
      <c r="W27" s="17" t="n">
        <f aca="false">(S2_ech_tourn*mot_tourn_cn)*W24*W9*IF(W$3&gt;=st_energie_debut_mult,st_energie_mult_C,1)*IF(W11=1,1-0.8,IF(W11=2,1-0.3,1))</f>
        <v>5950</v>
      </c>
      <c r="X27" s="17" t="n">
        <f aca="false">(S2_ech_tourn*mot_tourn_cn)*X24*X9*IF(X$3&gt;=st_energie_debut_mult,st_energie_mult_C,1)*IF(X11=1,1-0.8,IF(X11=2,1-0.3,1))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1271565.9967657</v>
      </c>
      <c r="I35" s="17" t="n">
        <f aca="false">I13+I14+I15+I16+I17+I21+I32-I29-I23-I33-I34</f>
        <v>1279171.11910347</v>
      </c>
      <c r="J35" s="17" t="n">
        <f aca="false">J13+J14+J15+J16+J17+J21+J32-J29-J23-J33-J34</f>
        <v>1286866.02099667</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IF(AND(E$3&lt;=S2_sol_div_annees,E$3&lt;=st_energie_div_fin),S2_sol_div*IF(E11=1,0.5,1),0)</f>
        <v>1000000</v>
      </c>
      <c r="F36" s="17" t="n">
        <f aca="false">IF(AND(F$3&lt;=S2_sol_div_annees,F$3&lt;=st_energie_div_fin),S2_sol_div*IF(F11=1,0.5,1),0)</f>
        <v>1000000</v>
      </c>
      <c r="G36" s="17" t="n">
        <f aca="false">IF(AND(G$3&lt;=S2_sol_div_annees,G$3&lt;=st_energie_div_fin),S2_sol_div*IF(G11=1,0.5,1),0)</f>
        <v>1000000</v>
      </c>
      <c r="H36" s="17" t="n">
        <f aca="false">IF(AND(H$3&lt;=S2_sol_div_annees,H$3&lt;=st_energie_div_fin),S2_sol_div*IF(H11=1,0.5,1),0)</f>
        <v>1000000</v>
      </c>
      <c r="I36" s="17" t="n">
        <f aca="false">IF(AND(I$3&lt;=S2_sol_div_annees,I$3&lt;=st_energie_div_fin),S2_sol_div*IF(I11=1,0.5,1),0)</f>
        <v>1000000</v>
      </c>
      <c r="J36" s="17" t="n">
        <f aca="false">IF(AND(J$3&lt;=S2_sol_div_annees,J$3&lt;=st_energie_div_fin),S2_sol_div*IF(J11=1,0.5,1),0)</f>
        <v>1000000</v>
      </c>
      <c r="K36" s="17" t="n">
        <f aca="false">IF(AND(K$3&lt;=S2_sol_div_annees,K$3&lt;=st_energie_div_fin),S2_sol_div*IF(K11=1,0.5,1),0)</f>
        <v>1000000</v>
      </c>
      <c r="L36" s="17" t="n">
        <f aca="false">IF(AND(L$3&lt;=S2_sol_div_annees,L$3&lt;=st_energie_div_fin),S2_sol_div*IF(L11=1,0.5,1),0)</f>
        <v>1000000</v>
      </c>
      <c r="M36" s="17" t="n">
        <f aca="false">IF(AND(M$3&lt;=S2_sol_div_annees,M$3&lt;=st_energie_div_fin),S2_sol_div*IF(M11=1,0.5,1),0)</f>
        <v>1000000</v>
      </c>
      <c r="N36" s="17" t="n">
        <f aca="false">IF(AND(N$3&lt;=S2_sol_div_annees,N$3&lt;=st_energie_div_fin),S2_sol_div*IF(N11=1,0.5,1),0)</f>
        <v>1000000</v>
      </c>
      <c r="O36" s="17" t="n">
        <f aca="false">IF(AND(O$3&lt;=S2_sol_div_annees,O$3&lt;=st_energie_div_fin),S2_sol_div*IF(O11=1,0.5,1),0)</f>
        <v>0</v>
      </c>
      <c r="P36" s="17" t="n">
        <f aca="false">IF(AND(P$3&lt;=S2_sol_div_annees,P$3&lt;=st_energie_div_fin),S2_sol_div*IF(P11=1,0.5,1),0)</f>
        <v>0</v>
      </c>
      <c r="Q36" s="17" t="n">
        <f aca="false">IF(AND(Q$3&lt;=S2_sol_div_annees,Q$3&lt;=st_energie_div_fin),S2_sol_div*IF(Q11=1,0.5,1),0)</f>
        <v>0</v>
      </c>
      <c r="R36" s="17" t="n">
        <f aca="false">IF(AND(R$3&lt;=S2_sol_div_annees,R$3&lt;=st_energie_div_fin),S2_sol_div*IF(R11=1,0.5,1),0)</f>
        <v>0</v>
      </c>
      <c r="S36" s="17" t="n">
        <f aca="false">IF(AND(S$3&lt;=S2_sol_div_annees,S$3&lt;=st_energie_div_fin),S2_sol_div*IF(S11=1,0.5,1),0)</f>
        <v>0</v>
      </c>
      <c r="T36" s="17" t="n">
        <f aca="false">IF(AND(T$3&lt;=S2_sol_div_annees,T$3&lt;=st_energie_div_fin),S2_sol_div*IF(T11=1,0.5,1),0)</f>
        <v>0</v>
      </c>
      <c r="U36" s="17" t="n">
        <f aca="false">IF(AND(U$3&lt;=S2_sol_div_annees,U$3&lt;=st_energie_div_fin),S2_sol_div*IF(U11=1,0.5,1),0)</f>
        <v>0</v>
      </c>
      <c r="V36" s="17" t="n">
        <f aca="false">IF(AND(V$3&lt;=S2_sol_div_annees,V$3&lt;=st_energie_div_fin),S2_sol_div*IF(V11=1,0.5,1),0)</f>
        <v>0</v>
      </c>
      <c r="W36" s="17" t="n">
        <f aca="false">IF(AND(W$3&lt;=S2_sol_div_annees,W$3&lt;=st_energie_div_fin),S2_sol_div*IF(W11=1,0.5,1),0)</f>
        <v>0</v>
      </c>
      <c r="X36" s="17" t="n">
        <f aca="false">IF(AND(X$3&lt;=S2_sol_div_annees,X$3&lt;=st_energie_div_fin),S2_sol_div*IF(X11=1,0.5,1),0)</f>
        <v>0</v>
      </c>
    </row>
    <row r="37" customFormat="false" ht="15" hidden="false" customHeight="false" outlineLevel="0" collapsed="false">
      <c r="A37" s="2" t="s">
        <v>1879</v>
      </c>
      <c r="B37" s="2" t="s">
        <v>1880</v>
      </c>
      <c r="C37" s="2" t="s">
        <v>46</v>
      </c>
      <c r="E37" s="20" t="n">
        <f aca="false">dot_rendement+st_energie_dot_rdt_delta+IF(E11=1,-0.25,0)</f>
        <v>0.03</v>
      </c>
      <c r="F37" s="20" t="n">
        <f aca="false">dot_rendement+st_energie_dot_rdt_delta+IF(F11=1,-0.25,0)</f>
        <v>0.03</v>
      </c>
      <c r="G37" s="20" t="n">
        <f aca="false">dot_rendement+st_energie_dot_rdt_delta+IF(G11=1,-0.25,0)</f>
        <v>0.03</v>
      </c>
      <c r="H37" s="20" t="n">
        <f aca="false">dot_rendement+st_energie_dot_rdt_delta+IF(H11=1,-0.25,0)</f>
        <v>0.03</v>
      </c>
      <c r="I37" s="20" t="n">
        <f aca="false">dot_rendement+st_energie_dot_rdt_delta+IF(I11=1,-0.25,0)</f>
        <v>0.03</v>
      </c>
      <c r="J37" s="20" t="n">
        <f aca="false">dot_rendement+st_energie_dot_rdt_delta+IF(J11=1,-0.25,0)</f>
        <v>0.03</v>
      </c>
      <c r="K37" s="20" t="n">
        <f aca="false">dot_rendement+st_energie_dot_rdt_delta+IF(K11=1,-0.25,0)</f>
        <v>0.03</v>
      </c>
      <c r="L37" s="20" t="n">
        <f aca="false">dot_rendement+st_energie_dot_rdt_delta+IF(L11=1,-0.25,0)</f>
        <v>0.03</v>
      </c>
      <c r="M37" s="20" t="n">
        <f aca="false">dot_rendement+st_energie_dot_rdt_delta+IF(M11=1,-0.25,0)</f>
        <v>0.03</v>
      </c>
      <c r="N37" s="20" t="n">
        <f aca="false">dot_rendement+st_energie_dot_rdt_delta+IF(N11=1,-0.25,0)</f>
        <v>0.03</v>
      </c>
      <c r="O37" s="20" t="n">
        <f aca="false">dot_rendement+st_energie_dot_rdt_delta+IF(O11=1,-0.25,0)</f>
        <v>0.03</v>
      </c>
      <c r="P37" s="20" t="n">
        <f aca="false">dot_rendement+st_energie_dot_rdt_delta+IF(P11=1,-0.25,0)</f>
        <v>0.03</v>
      </c>
      <c r="Q37" s="20" t="n">
        <f aca="false">dot_rendement+st_energie_dot_rdt_delta+IF(Q11=1,-0.25,0)</f>
        <v>0.03</v>
      </c>
      <c r="R37" s="20" t="n">
        <f aca="false">dot_rendement+st_energie_dot_rdt_delta+IF(R11=1,-0.25,0)</f>
        <v>0.03</v>
      </c>
      <c r="S37" s="20" t="n">
        <f aca="false">dot_rendement+st_energie_dot_rdt_delta+IF(S11=1,-0.25,0)</f>
        <v>0.03</v>
      </c>
      <c r="T37" s="20" t="n">
        <f aca="false">dot_rendement+st_energie_dot_rdt_delta+IF(T11=1,-0.25,0)</f>
        <v>0.03</v>
      </c>
      <c r="U37" s="20" t="n">
        <f aca="false">dot_rendement+st_energie_dot_rdt_delta+IF(U11=1,-0.25,0)</f>
        <v>0.03</v>
      </c>
      <c r="V37" s="20" t="n">
        <f aca="false">dot_rendement+st_energie_dot_rdt_delta+IF(V11=1,-0.25,0)</f>
        <v>0.03</v>
      </c>
      <c r="W37" s="20" t="n">
        <f aca="false">dot_rendement+st_energie_dot_rdt_delta+IF(W11=1,-0.25,0)</f>
        <v>0.03</v>
      </c>
      <c r="X37" s="20" t="n">
        <f aca="false">dot_rendement+st_energie_dot_rdt_delta+IF(X11=1,-0.25,0)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1652607.37524266</v>
      </c>
      <c r="G38" s="17" t="n">
        <f aca="false">lissage_depense*F38+(1-lissage_depense)*dot_taux_net*MAX(0,F42)</f>
        <v>1663488.84503016</v>
      </c>
      <c r="H38" s="17" t="n">
        <f aca="false">lissage_depense*G38+(1-lissage_depense)*dot_taux_net*MAX(0,G42)</f>
        <v>1681286.05954898</v>
      </c>
      <c r="I38" s="17" t="n">
        <f aca="false">lissage_depense*H38+(1-lissage_depense)*dot_taux_net*MAX(0,H42)</f>
        <v>1704545.06768758</v>
      </c>
      <c r="J38" s="17" t="n">
        <f aca="false">lissage_depense*I38+(1-lissage_depense)*dot_taux_net*MAX(0,I42)</f>
        <v>1732402.31964484</v>
      </c>
      <c r="K38" s="17" t="n">
        <f aca="false">lissage_depense*J38+(1-lissage_depense)*dot_taux_net*MAX(0,J42)</f>
        <v>1764173.34606001</v>
      </c>
      <c r="L38" s="17" t="n">
        <f aca="false">lissage_depense*K38+(1-lissage_depense)*dot_taux_net*MAX(0,K42)</f>
        <v>1799644.25958164</v>
      </c>
      <c r="M38" s="17" t="n">
        <f aca="false">lissage_depense*L38+(1-lissage_depense)*dot_taux_net*MAX(0,L42)</f>
        <v>1838339.9156255</v>
      </c>
      <c r="N38" s="17" t="n">
        <f aca="false">lissage_depense*M38+(1-lissage_depense)*dot_taux_net*MAX(0,M42)</f>
        <v>1879887.75721616</v>
      </c>
      <c r="O38" s="17" t="n">
        <f aca="false">lissage_depense*N38+(1-lissage_depense)*dot_taux_net*MAX(0,N42)</f>
        <v>1923997.51877586</v>
      </c>
      <c r="P38" s="17" t="n">
        <f aca="false">lissage_depense*O38+(1-lissage_depense)*dot_taux_net*MAX(0,O42)</f>
        <v>1964944.99570239</v>
      </c>
      <c r="Q38" s="17" t="n">
        <f aca="false">lissage_depense*P38+(1-lissage_depense)*dot_taux_net*MAX(0,P42)</f>
        <v>2003494.06677303</v>
      </c>
      <c r="R38" s="17" t="n">
        <f aca="false">lissage_depense*Q38+(1-lissage_depense)*dot_taux_net*MAX(0,Q42)</f>
        <v>2040259.36900955</v>
      </c>
      <c r="S38" s="17" t="n">
        <f aca="false">lissage_depense*R38+(1-lissage_depense)*dot_taux_net*MAX(0,R42)</f>
        <v>2075736.24621889</v>
      </c>
      <c r="T38" s="17" t="n">
        <f aca="false">lissage_depense*S38+(1-lissage_depense)*dot_taux_net*MAX(0,S42)</f>
        <v>2110324.71073174</v>
      </c>
      <c r="U38" s="17" t="n">
        <f aca="false">lissage_depense*T38+(1-lissage_depense)*dot_taux_net*MAX(0,T42)</f>
        <v>2144348.61578496</v>
      </c>
      <c r="V38" s="17" t="n">
        <f aca="false">lissage_depense*U38+(1-lissage_depense)*dot_taux_net*MAX(0,U42)</f>
        <v>2178070.99650686</v>
      </c>
      <c r="W38" s="17" t="n">
        <f aca="false">lissage_depense*V38+(1-lissage_depense)*dot_taux_net*MAX(0,V42)</f>
        <v>2211706.34587526</v>
      </c>
      <c r="X38" s="17" t="n">
        <f aca="false">lissage_depense*W38+(1-lissage_depense)*dot_taux_net*MAX(0,W42)</f>
        <v>2245430.43874693</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209099.937500491</v>
      </c>
      <c r="H39" s="17" t="n">
        <f aca="false">MIN(MAX(0,H35-H36),IF(H12=1,MAX(H38,retrait_urgence*MAX(0,G42)),H38))</f>
        <v>271565.996765695</v>
      </c>
      <c r="I39" s="17" t="n">
        <f aca="false">MIN(MAX(0,I35-I36),IF(I12=1,MAX(I38,retrait_urgence*MAX(0,H42)),I38))</f>
        <v>279171.119103469</v>
      </c>
      <c r="J39" s="17" t="n">
        <f aca="false">MIN(MAX(0,J35-J36),IF(J12=1,MAX(J38,retrait_urgence*MAX(0,I42)),J38))</f>
        <v>286866.020996674</v>
      </c>
      <c r="K39" s="17" t="n">
        <f aca="false">MIN(MAX(0,K35-K36),IF(K12=1,MAX(K38,retrait_urgence*MAX(0,J42)),K38))</f>
        <v>235173.149242637</v>
      </c>
      <c r="L39" s="17" t="n">
        <f aca="false">MIN(MAX(0,L35-L36),IF(L12=1,MAX(L38,retrait_urgence*MAX(0,K42)),L38))</f>
        <v>241862.228262966</v>
      </c>
      <c r="M39" s="17" t="n">
        <f aca="false">MIN(MAX(0,M35-M36),IF(M12=1,MAX(M38,retrait_urgence*MAX(0,L42)),M38))</f>
        <v>248621.542405685</v>
      </c>
      <c r="N39" s="17" t="n">
        <f aca="false">MIN(MAX(0,N35-N36),IF(N12=1,MAX(N38,retrait_urgence*MAX(0,M42)),N38))</f>
        <v>255452.082601946</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60474068.2259375</v>
      </c>
      <c r="F42" s="23" t="n">
        <f aca="false">MAX(0,E42)*(1+F37)-F39+F41-F31</f>
        <v>62073262.6974602</v>
      </c>
      <c r="G42" s="23" t="n">
        <f aca="false">MAX(0,F42)*(1+G37)-G39+G41-G31</f>
        <v>63726360.6408835</v>
      </c>
      <c r="H42" s="23" t="n">
        <f aca="false">MAX(0,G42)*(1+H37)-H39+H41-H31</f>
        <v>65366585.4633443</v>
      </c>
      <c r="I42" s="23" t="n">
        <f aca="false">MAX(0,H42)*(1+I37)-I39+I41-I31</f>
        <v>67048411.9081411</v>
      </c>
      <c r="J42" s="23" t="n">
        <f aca="false">MAX(0,I42)*(1+J37)-J39+J41-J31</f>
        <v>68772998.2443887</v>
      </c>
      <c r="K42" s="23" t="n">
        <f aca="false">MAX(0,J42)*(1+K37)-K39+K41-K31</f>
        <v>70601015.0424777</v>
      </c>
      <c r="L42" s="23" t="n">
        <f aca="false">MAX(0,K42)*(1+L37)-L39+L41-L31</f>
        <v>72477183.2654891</v>
      </c>
      <c r="M42" s="23" t="n">
        <f aca="false">MAX(0,L42)*(1+M37)-M39+M41-M31</f>
        <v>74402877.2210481</v>
      </c>
      <c r="N42" s="23" t="n">
        <f aca="false">MAX(0,M42)*(1+N37)-N39+N41-N31</f>
        <v>76379511.4550776</v>
      </c>
      <c r="O42" s="23" t="n">
        <f aca="false">MAX(0,N42)*(1+O37)-O39+O41-O31</f>
        <v>77408541.9421287</v>
      </c>
      <c r="P42" s="23" t="n">
        <f aca="false">MAX(0,O42)*(1+P37)-P39+P41-P31</f>
        <v>78461467.311111</v>
      </c>
      <c r="Q42" s="23" t="n">
        <f aca="false">MAX(0,P42)*(1+Q37)-Q39+Q41-Q31</f>
        <v>79538930.1074777</v>
      </c>
      <c r="R42" s="23" t="n">
        <f aca="false">MAX(0,Q42)*(1+R37)-R39+R41-R31</f>
        <v>80641591.0929548</v>
      </c>
      <c r="S42" s="23" t="n">
        <f aca="false">MAX(0,R42)*(1+S37)-S39+S41-S31</f>
        <v>81770129.7739329</v>
      </c>
      <c r="T42" s="23" t="n">
        <f aca="false">MAX(0,S42)*(1+T37)-T39+T41-T31</f>
        <v>82925244.9453762</v>
      </c>
      <c r="U42" s="23" t="n">
        <f aca="false">MAX(0,T42)*(1+U37)-U39+U41-U31</f>
        <v>84107655.250707</v>
      </c>
      <c r="V42" s="23" t="n">
        <f aca="false">MAX(0,U42)*(1+V37)-V39+V41-V31</f>
        <v>85318099.7581397</v>
      </c>
      <c r="W42" s="23" t="n">
        <f aca="false">MAX(0,V42)*(1+W37)-W39+W41-W31</f>
        <v>86557338.5539499</v>
      </c>
      <c r="X42" s="23" t="n">
        <f aca="false">MAX(0,W42)*(1+X37)-X39+X41-X31</f>
        <v>87826153.3531803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1.34954173990766</v>
      </c>
      <c r="G45" s="24" t="n">
        <f aca="false">(G29+G38)/G18</f>
        <v>1.36113649825884</v>
      </c>
      <c r="H45" s="24" t="n">
        <f aca="false">(H29+H38)/H18</f>
        <v>1.3102329133784</v>
      </c>
      <c r="I45" s="24" t="n">
        <f aca="false">(I29+I38)/I18</f>
        <v>1.32024166285799</v>
      </c>
      <c r="J45" s="24" t="n">
        <f aca="false">(J29+J38)/J18</f>
        <v>1.33348890513359</v>
      </c>
      <c r="K45" s="24" t="n">
        <f aca="false">(K29+K38)/K18</f>
        <v>1.41190009061747</v>
      </c>
      <c r="L45" s="24" t="n">
        <f aca="false">(L29+L38)/L18</f>
        <v>1.43206041101622</v>
      </c>
      <c r="M45" s="24" t="n">
        <f aca="false">(M29+M38)/M18</f>
        <v>1.45441919621306</v>
      </c>
      <c r="N45" s="24" t="n">
        <f aca="false">(N29+N38)/N18</f>
        <v>1.47865196110327</v>
      </c>
      <c r="O45" s="24" t="n">
        <f aca="false">(O29+O38)/O18</f>
        <v>1.50450299277282</v>
      </c>
      <c r="P45" s="24" t="n">
        <f aca="false">(P29+P38)/P18</f>
        <v>1.52759981810141</v>
      </c>
      <c r="Q45" s="24" t="n">
        <f aca="false">(Q29+Q38)/Q18</f>
        <v>1.54855717050276</v>
      </c>
      <c r="R45" s="24" t="n">
        <f aca="false">(R29+R38)/R18</f>
        <v>1.56786547704903</v>
      </c>
      <c r="S45" s="24" t="n">
        <f aca="false">(S29+S38)/S18</f>
        <v>1.58591622132178</v>
      </c>
      <c r="T45" s="24" t="n">
        <f aca="false">(T29+T38)/T18</f>
        <v>1.60302213755339</v>
      </c>
      <c r="U45" s="24" t="n">
        <f aca="false">(U29+U38)/U18</f>
        <v>1.6194332890588</v>
      </c>
      <c r="V45" s="24" t="n">
        <f aca="false">(V29+V38)/V18</f>
        <v>1.63534986951152</v>
      </c>
      <c r="W45" s="24" t="n">
        <f aca="false">(W29+W38)/W18</f>
        <v>1.65093239482921</v>
      </c>
      <c r="X45" s="24" t="n">
        <f aca="false">(X29+X38)/X18</f>
        <v>1.66630981741728</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1906</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IF(st_salaires_crise_an&gt;0,IF(E$3=st_salaires_crise_an,1,IF(E$3=st_salaires_crise_an+1,2,0)),0)</f>
        <v>0</v>
      </c>
      <c r="F11" s="22" t="n">
        <f aca="false">IF(st_salaires_crise_an&gt;0,IF(F$3=st_salaires_crise_an,1,IF(F$3=st_salaires_crise_an+1,2,0)),0)</f>
        <v>0</v>
      </c>
      <c r="G11" s="22" t="n">
        <f aca="false">IF(st_salaires_crise_an&gt;0,IF(G$3=st_salaires_crise_an,1,IF(G$3=st_salaires_crise_an+1,2,0)),0)</f>
        <v>0</v>
      </c>
      <c r="H11" s="22" t="n">
        <f aca="false">IF(st_salaires_crise_an&gt;0,IF(H$3=st_salaires_crise_an,1,IF(H$3=st_salaires_crise_an+1,2,0)),0)</f>
        <v>0</v>
      </c>
      <c r="I11" s="22" t="n">
        <f aca="false">IF(st_salaires_crise_an&gt;0,IF(I$3=st_salaires_crise_an,1,IF(I$3=st_salaires_crise_an+1,2,0)),0)</f>
        <v>0</v>
      </c>
      <c r="J11" s="22" t="n">
        <f aca="false">IF(st_salaires_crise_an&gt;0,IF(J$3=st_salaires_crise_an,1,IF(J$3=st_salaires_crise_an+1,2,0)),0)</f>
        <v>0</v>
      </c>
      <c r="K11" s="22" t="n">
        <f aca="false">IF(st_salaires_crise_an&gt;0,IF(K$3=st_salaires_crise_an,1,IF(K$3=st_salaires_crise_an+1,2,0)),0)</f>
        <v>0</v>
      </c>
      <c r="L11" s="22" t="n">
        <f aca="false">IF(st_salaires_crise_an&gt;0,IF(L$3=st_salaires_crise_an,1,IF(L$3=st_salaires_crise_an+1,2,0)),0)</f>
        <v>0</v>
      </c>
      <c r="M11" s="22" t="n">
        <f aca="false">IF(st_salaires_crise_an&gt;0,IF(M$3=st_salaires_crise_an,1,IF(M$3=st_salaires_crise_an+1,2,0)),0)</f>
        <v>0</v>
      </c>
      <c r="N11" s="22" t="n">
        <f aca="false">IF(st_salaires_crise_an&gt;0,IF(N$3=st_salaires_crise_an,1,IF(N$3=st_salaires_crise_an+1,2,0)),0)</f>
        <v>0</v>
      </c>
      <c r="O11" s="22" t="n">
        <f aca="false">IF(st_salaires_crise_an&gt;0,IF(O$3=st_salaires_crise_an,1,IF(O$3=st_salaires_crise_an+1,2,0)),0)</f>
        <v>0</v>
      </c>
      <c r="P11" s="22" t="n">
        <f aca="false">IF(st_salaires_crise_an&gt;0,IF(P$3=st_salaires_crise_an,1,IF(P$3=st_salaires_crise_an+1,2,0)),0)</f>
        <v>0</v>
      </c>
      <c r="Q11" s="22" t="n">
        <f aca="false">IF(st_salaires_crise_an&gt;0,IF(Q$3=st_salaires_crise_an,1,IF(Q$3=st_salaires_crise_an+1,2,0)),0)</f>
        <v>0</v>
      </c>
      <c r="R11" s="22" t="n">
        <f aca="false">IF(st_salaires_crise_an&gt;0,IF(R$3=st_salaires_crise_an,1,IF(R$3=st_salaires_crise_an+1,2,0)),0)</f>
        <v>0</v>
      </c>
      <c r="S11" s="22" t="n">
        <f aca="false">IF(st_salaires_crise_an&gt;0,IF(S$3=st_salaires_crise_an,1,IF(S$3=st_salaires_crise_an+1,2,0)),0)</f>
        <v>0</v>
      </c>
      <c r="T11" s="22" t="n">
        <f aca="false">IF(st_salaires_crise_an&gt;0,IF(T$3=st_salaires_crise_an,1,IF(T$3=st_salaires_crise_an+1,2,0)),0)</f>
        <v>0</v>
      </c>
      <c r="U11" s="22" t="n">
        <f aca="false">IF(st_salaires_crise_an&gt;0,IF(U$3=st_salaires_crise_an,1,IF(U$3=st_salaires_crise_an+1,2,0)),0)</f>
        <v>0</v>
      </c>
      <c r="V11" s="22" t="n">
        <f aca="false">IF(st_salaires_crise_an&gt;0,IF(V$3=st_salaires_crise_an,1,IF(V$3=st_salaires_crise_an+1,2,0)),0)</f>
        <v>0</v>
      </c>
      <c r="W11" s="22" t="n">
        <f aca="false">IF(st_salaires_crise_an&gt;0,IF(W$3=st_salaires_crise_an,1,IF(W$3=st_salaires_crise_an+1,2,0)),0)</f>
        <v>0</v>
      </c>
      <c r="X11" s="22" t="n">
        <f aca="false">IF(st_salaires_crise_an&gt;0,IF(X$3=st_salaires_crise_an,1,IF(X$3=st_salaires_crise_an+1,2,0)),0)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(bud_chauffage_S2+bud_hors_gel_S2+bud_electricite_S2)*E7*IF(AND(E$3&gt;=st_salaires_energie_debut,E$3&lt;=st_salaires_energie_fin),st_salaires_energie_mult,1)</f>
        <v>52815.6</v>
      </c>
      <c r="F14" s="17" t="n">
        <f aca="false">(bud_chauffage_S2+bud_hors_gel_S2+bud_electricite_S2)*F7*IF(AND(F$3&gt;=st_salaires_energie_debut,F$3&lt;=st_salaires_energie_fin),st_salaires_energie_mult,1)</f>
        <v>53871.912</v>
      </c>
      <c r="G14" s="17" t="n">
        <f aca="false">(bud_chauffage_S2+bud_hors_gel_S2+bud_electricite_S2)*G7*IF(AND(G$3&gt;=st_salaires_energie_debut,G$3&lt;=st_salaires_energie_fin),st_salaires_energie_mult,1)</f>
        <v>54949.35024</v>
      </c>
      <c r="H14" s="17" t="n">
        <f aca="false">(bud_chauffage_S2+bud_hors_gel_S2+bud_electricite_S2)*H7*IF(AND(H$3&gt;=st_salaires_energie_debut,H$3&lt;=st_salaires_energie_fin),st_salaires_energie_mult,1)</f>
        <v>56048.3372448</v>
      </c>
      <c r="I14" s="17" t="n">
        <f aca="false">(bud_chauffage_S2+bud_hors_gel_S2+bud_electricite_S2)*I7*IF(AND(I$3&gt;=st_salaires_energie_debut,I$3&lt;=st_salaires_energie_fin),st_salaires_energie_mult,1)</f>
        <v>57169.303989696</v>
      </c>
      <c r="J14" s="17" t="n">
        <f aca="false">(bud_chauffage_S2+bud_hors_gel_S2+bud_electricite_S2)*J7*IF(AND(J$3&gt;=st_salaires_energie_debut,J$3&lt;=st_salaires_energie_fin),st_salaires_energie_mult,1)</f>
        <v>58312.6900694899</v>
      </c>
      <c r="K14" s="17" t="n">
        <f aca="false">(bud_chauffage_S2+bud_hors_gel_S2+bud_electricite_S2)*K7*IF(AND(K$3&gt;=st_salaires_energie_debut,K$3&lt;=st_salaires_energie_fin),st_salaires_energie_mult,1)</f>
        <v>59478.9438708797</v>
      </c>
      <c r="L14" s="17" t="n">
        <f aca="false">(bud_chauffage_S2+bud_hors_gel_S2+bud_electricite_S2)*L7*IF(AND(L$3&gt;=st_salaires_energie_debut,L$3&lt;=st_salaires_energie_fin),st_salaires_energie_mult,1)</f>
        <v>60668.5227482973</v>
      </c>
      <c r="M14" s="17" t="n">
        <f aca="false">(bud_chauffage_S2+bud_hors_gel_S2+bud_electricite_S2)*M7*IF(AND(M$3&gt;=st_salaires_energie_debut,M$3&lt;=st_salaires_energie_fin),st_salaires_energie_mult,1)</f>
        <v>61881.8932032633</v>
      </c>
      <c r="N14" s="17" t="n">
        <f aca="false">(bud_chauffage_S2+bud_hors_gel_S2+bud_electricite_S2)*N7*IF(AND(N$3&gt;=st_salaires_energie_debut,N$3&lt;=st_salaires_energie_fin),st_salaires_energie_mult,1)</f>
        <v>63119.5310673285</v>
      </c>
      <c r="O14" s="17" t="n">
        <f aca="false">(bud_chauffage_S2+bud_hors_gel_S2+bud_electricite_S2)*O7*IF(AND(O$3&gt;=st_salaires_energie_debut,O$3&lt;=st_salaires_energie_fin),st_salaires_energie_mult,1)</f>
        <v>64381.9216886751</v>
      </c>
      <c r="P14" s="17" t="n">
        <f aca="false">(bud_chauffage_S2+bud_hors_gel_S2+bud_electricite_S2)*P7*IF(AND(P$3&gt;=st_salaires_energie_debut,P$3&lt;=st_salaires_energie_fin),st_salaires_energie_mult,1)</f>
        <v>65669.5601224486</v>
      </c>
      <c r="Q14" s="17" t="n">
        <f aca="false">(bud_chauffage_S2+bud_hors_gel_S2+bud_electricite_S2)*Q7*IF(AND(Q$3&gt;=st_salaires_energie_debut,Q$3&lt;=st_salaires_energie_fin),st_salaires_energie_mult,1)</f>
        <v>66982.9513248976</v>
      </c>
      <c r="R14" s="17" t="n">
        <f aca="false">(bud_chauffage_S2+bud_hors_gel_S2+bud_electricite_S2)*R7*IF(AND(R$3&gt;=st_salaires_energie_debut,R$3&lt;=st_salaires_energie_fin),st_salaires_energie_mult,1)</f>
        <v>68322.6103513955</v>
      </c>
      <c r="S14" s="17" t="n">
        <f aca="false">(bud_chauffage_S2+bud_hors_gel_S2+bud_electricite_S2)*S7*IF(AND(S$3&gt;=st_salaires_energie_debut,S$3&lt;=st_salaires_energie_fin),st_salaires_energie_mult,1)</f>
        <v>69689.0625584235</v>
      </c>
      <c r="T14" s="17" t="n">
        <f aca="false">(bud_chauffage_S2+bud_hors_gel_S2+bud_electricite_S2)*T7*IF(AND(T$3&gt;=st_salaires_energie_debut,T$3&lt;=st_salaires_energie_fin),st_salaires_energie_mult,1)</f>
        <v>71082.8438095919</v>
      </c>
      <c r="U14" s="17" t="n">
        <f aca="false">(bud_chauffage_S2+bud_hors_gel_S2+bud_electricite_S2)*U7*IF(AND(U$3&gt;=st_salaires_energie_debut,U$3&lt;=st_salaires_energie_fin),st_salaires_energie_mult,1)</f>
        <v>72504.5006857838</v>
      </c>
      <c r="V14" s="17" t="n">
        <f aca="false">(bud_chauffage_S2+bud_hors_gel_S2+bud_electricite_S2)*V7*IF(AND(V$3&gt;=st_salaires_energie_debut,V$3&lt;=st_salaires_energie_fin),st_salaires_energie_mult,1)</f>
        <v>73954.5906994994</v>
      </c>
      <c r="W14" s="17" t="n">
        <f aca="false">(bud_chauffage_S2+bud_hors_gel_S2+bud_electricite_S2)*W7*IF(AND(W$3&gt;=st_salaires_energie_debut,W$3&lt;=st_salaires_energie_fin),st_salaires_energie_mult,1)</f>
        <v>75433.6825134894</v>
      </c>
      <c r="X14" s="17" t="n">
        <f aca="false">(bud_chauffage_S2+bud_hors_gel_S2+bud_electricite_S2)*X7*IF(AND(X$3&gt;=st_salaires_energie_debut,X$3&lt;=st_salaires_energie_fin),st_salaires_energie_mult,1)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IF(MOD(E$3,campagne_periode)=0,(D22+E17)*st_salaires_mult_campagne*(1-E12*flex_report),0)</f>
        <v>0</v>
      </c>
      <c r="F19" s="17" t="n">
        <f aca="false">IF(MOD(F$3,campagne_periode)=0,(E22+F17)*st_salaires_mult_campagne*(1-F12*flex_report),0)</f>
        <v>0</v>
      </c>
      <c r="G19" s="17" t="n">
        <f aca="false">IF(MOD(G$3,campagne_periode)=0,(F22+G17)*st_salaires_mult_campagne*(1-G12*flex_report),0)</f>
        <v>0</v>
      </c>
      <c r="H19" s="17" t="n">
        <f aca="false">IF(MOD(H$3,campagne_periode)=0,(G22+H17)*st_salaires_mult_campagne*(1-H12*flex_report),0)</f>
        <v>1268099.19305212</v>
      </c>
      <c r="I19" s="17" t="n">
        <f aca="false">IF(MOD(I$3,campagne_periode)=0,(H22+I17)*st_salaires_mult_campagne*(1-I12*flex_report),0)</f>
        <v>0</v>
      </c>
      <c r="J19" s="17" t="n">
        <f aca="false">IF(MOD(J$3,campagne_periode)=0,(I22+J17)*st_salaires_mult_campagne*(1-J12*flex_report),0)</f>
        <v>0</v>
      </c>
      <c r="K19" s="17" t="n">
        <f aca="false">IF(MOD(K$3,campagne_periode)=0,(J22+K17)*st_salaires_mult_campagne*(1-K12*flex_report),0)</f>
        <v>0</v>
      </c>
      <c r="L19" s="17" t="n">
        <f aca="false">IF(MOD(L$3,campagne_periode)=0,(K22+L17)*st_salaires_mult_campagne*(1-L12*flex_report),0)</f>
        <v>1306572.29625107</v>
      </c>
      <c r="M19" s="17" t="n">
        <f aca="false">IF(MOD(M$3,campagne_periode)=0,(L22+M17)*st_salaires_mult_campagne*(1-M12*flex_report),0)</f>
        <v>0</v>
      </c>
      <c r="N19" s="17" t="n">
        <f aca="false">IF(MOD(N$3,campagne_periode)=0,(M22+N17)*st_salaires_mult_campagne*(1-N12*flex_report),0)</f>
        <v>0</v>
      </c>
      <c r="O19" s="17" t="n">
        <f aca="false">IF(MOD(O$3,campagne_periode)=0,(N22+O17)*st_salaires_mult_campagne*(1-O12*flex_report),0)</f>
        <v>0</v>
      </c>
      <c r="P19" s="17" t="n">
        <f aca="false">IF(MOD(P$3,campagne_periode)=0,(O22+P17)*st_salaires_mult_campagne*(1-P12*flex_report),0)</f>
        <v>1346212.64226341</v>
      </c>
      <c r="Q19" s="17" t="n">
        <f aca="false">IF(MOD(Q$3,campagne_periode)=0,(P22+Q17)*st_salaires_mult_campagne*(1-Q12*flex_report),0)</f>
        <v>0</v>
      </c>
      <c r="R19" s="17" t="n">
        <f aca="false">IF(MOD(R$3,campagne_periode)=0,(Q22+R17)*st_salaires_mult_campagne*(1-R12*flex_report),0)</f>
        <v>0</v>
      </c>
      <c r="S19" s="17" t="n">
        <f aca="false">IF(MOD(S$3,campagne_periode)=0,(R22+S17)*st_salaires_mult_campagne*(1-S12*flex_report),0)</f>
        <v>0</v>
      </c>
      <c r="T19" s="17" t="n">
        <f aca="false">IF(MOD(T$3,campagne_periode)=0,(S22+T17)*st_salaires_mult_campagne*(1-T12*flex_report),0)</f>
        <v>1387055.64429141</v>
      </c>
      <c r="U19" s="17" t="n">
        <f aca="false">IF(MOD(U$3,campagne_periode)=0,(T22+U17)*st_salaires_mult_campagne*(1-U12*flex_report),0)</f>
        <v>0</v>
      </c>
      <c r="V19" s="17" t="n">
        <f aca="false">IF(MOD(V$3,campagne_periode)=0,(U22+V17)*st_salaires_mult_campagne*(1-V12*flex_report),0)</f>
        <v>0</v>
      </c>
      <c r="W19" s="17" t="n">
        <f aca="false">IF(MOD(W$3,campagne_periode)=0,(V22+W17)*st_salaires_mult_campagne*(1-W12*flex_report),0)</f>
        <v>0</v>
      </c>
      <c r="X19" s="17" t="n">
        <f aca="false">IF(MOD(X$3,campagne_periode)=0,(W22+X17)*st_salaires_mult_campagne*(1-X12*flex_report),0)</f>
        <v>1429137.78994523</v>
      </c>
    </row>
    <row r="20" customFormat="false" ht="15" hidden="false" customHeight="false" outlineLevel="0" collapsed="false">
      <c r="A20" s="2" t="s">
        <v>1845</v>
      </c>
      <c r="B20" s="2" t="s">
        <v>1846</v>
      </c>
      <c r="C20" s="2" t="s">
        <v>1832</v>
      </c>
      <c r="E20" s="17" t="n">
        <f aca="false">IF(E$3=st_salaires_choc_trav_an,st_salaires_choc_trav_montant,0)</f>
        <v>0</v>
      </c>
      <c r="F20" s="17" t="n">
        <f aca="false">IF(F$3=st_salaires_choc_trav_an,st_salaires_choc_trav_montant,0)</f>
        <v>0</v>
      </c>
      <c r="G20" s="17" t="n">
        <f aca="false">IF(G$3=st_salaires_choc_trav_an,st_salaires_choc_trav_montant,0)</f>
        <v>0</v>
      </c>
      <c r="H20" s="17" t="n">
        <f aca="false">IF(H$3=st_salaires_choc_trav_an,st_salaires_choc_trav_montant,0)</f>
        <v>0</v>
      </c>
      <c r="I20" s="17" t="n">
        <f aca="false">IF(I$3=st_salaires_choc_trav_an,st_salaires_choc_trav_montant,0)</f>
        <v>0</v>
      </c>
      <c r="J20" s="17" t="n">
        <f aca="false">IF(J$3=st_salaires_choc_trav_an,st_salaires_choc_trav_montant,0)</f>
        <v>0</v>
      </c>
      <c r="K20" s="17" t="n">
        <f aca="false">IF(K$3=st_salaires_choc_trav_an,st_salaires_choc_trav_montant,0)</f>
        <v>0</v>
      </c>
      <c r="L20" s="17" t="n">
        <f aca="false">IF(L$3=st_salaires_choc_trav_an,st_salaires_choc_trav_montant,0)</f>
        <v>0</v>
      </c>
      <c r="M20" s="17" t="n">
        <f aca="false">IF(M$3=st_salaires_choc_trav_an,st_salaires_choc_trav_montant,0)</f>
        <v>0</v>
      </c>
      <c r="N20" s="17" t="n">
        <f aca="false">IF(N$3=st_salaires_choc_trav_an,st_salaires_choc_trav_montant,0)</f>
        <v>0</v>
      </c>
      <c r="O20" s="17" t="n">
        <f aca="false">IF(O$3=st_salaires_choc_trav_an,st_salaires_choc_trav_montant,0)</f>
        <v>0</v>
      </c>
      <c r="P20" s="17" t="n">
        <f aca="false">IF(P$3=st_salaires_choc_trav_an,st_salaires_choc_trav_montant,0)</f>
        <v>0</v>
      </c>
      <c r="Q20" s="17" t="n">
        <f aca="false">IF(Q$3=st_salaires_choc_trav_an,st_salaires_choc_trav_montant,0)</f>
        <v>0</v>
      </c>
      <c r="R20" s="17" t="n">
        <f aca="false">IF(R$3=st_salaires_choc_trav_an,st_salaires_choc_trav_montant,0)</f>
        <v>0</v>
      </c>
      <c r="S20" s="17" t="n">
        <f aca="false">IF(S$3=st_salaires_choc_trav_an,st_salaires_choc_trav_montant,0)</f>
        <v>0</v>
      </c>
      <c r="T20" s="17" t="n">
        <f aca="false">IF(T$3=st_salaires_choc_trav_an,st_salaires_choc_trav_montant,0)</f>
        <v>0</v>
      </c>
      <c r="U20" s="17" t="n">
        <f aca="false">IF(U$3=st_salaires_choc_trav_an,st_salaires_choc_trav_montant,0)</f>
        <v>0</v>
      </c>
      <c r="V20" s="17" t="n">
        <f aca="false">IF(V$3=st_salaires_choc_trav_an,st_salaires_choc_trav_montant,0)</f>
        <v>0</v>
      </c>
      <c r="W20" s="17" t="n">
        <f aca="false">IF(W$3=st_salaires_choc_trav_an,st_salaires_choc_trav_montant,0)</f>
        <v>0</v>
      </c>
      <c r="X20" s="17" t="n">
        <f aca="false">IF(X$3=st_salaires_choc_trav_an,st_salaires_choc_trav_montant,0)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(S2_ech_log*mot_log_cn+S2_ech_stock*mot_stock_cn+S2_ech_pv*mot_pv_cn+S2_ech_bois*mot_bois_cn)*E24*E9*IF(E$3&gt;=st_salaires_debut_mult,st_salaires_mult_A,1)*IF(E11=1,1-0.05,IF(E11=2,1-0.02,1))</f>
        <v>21930.4</v>
      </c>
      <c r="F25" s="17" t="n">
        <f aca="false">(S2_ech_log*mot_log_cn+S2_ech_stock*mot_stock_cn+S2_ech_pv*mot_pv_cn+S2_ech_bois*mot_bois_cn)*F24*F9*IF(F$3&gt;=st_salaires_debut_mult,st_salaires_mult_A,1)*IF(F11=1,1-0.05,IF(F11=2,1-0.02,1))</f>
        <v>41119.5</v>
      </c>
      <c r="G25" s="17" t="n">
        <f aca="false">(S2_ech_log*mot_log_cn+S2_ech_stock*mot_stock_cn+S2_ech_pv*mot_pv_cn+S2_ech_bois*mot_bois_cn)*G24*G9*IF(G$3&gt;=st_salaires_debut_mult,st_salaires_mult_A,1)*IF(G11=1,1-0.05,IF(G11=2,1-0.02,1))</f>
        <v>54826</v>
      </c>
      <c r="H25" s="17" t="n">
        <f aca="false">(S2_ech_log*mot_log_cn+S2_ech_stock*mot_stock_cn+S2_ech_pv*mot_pv_cn+S2_ech_bois*mot_bois_cn)*H24*H9*IF(H$3&gt;=st_salaires_debut_mult,st_salaires_mult_A,1)*IF(H11=1,1-0.05,IF(H11=2,1-0.02,1))</f>
        <v>54826</v>
      </c>
      <c r="I25" s="17" t="n">
        <f aca="false">(S2_ech_log*mot_log_cn+S2_ech_stock*mot_stock_cn+S2_ech_pv*mot_pv_cn+S2_ech_bois*mot_bois_cn)*I24*I9*IF(I$3&gt;=st_salaires_debut_mult,st_salaires_mult_A,1)*IF(I11=1,1-0.05,IF(I11=2,1-0.02,1))</f>
        <v>54826</v>
      </c>
      <c r="J25" s="17" t="n">
        <f aca="false">(S2_ech_log*mot_log_cn+S2_ech_stock*mot_stock_cn+S2_ech_pv*mot_pv_cn+S2_ech_bois*mot_bois_cn)*J24*J9*IF(J$3&gt;=st_salaires_debut_mult,st_salaires_mult_A,1)*IF(J11=1,1-0.05,IF(J11=2,1-0.02,1))</f>
        <v>54826</v>
      </c>
      <c r="K25" s="17" t="n">
        <f aca="false">(S2_ech_log*mot_log_cn+S2_ech_stock*mot_stock_cn+S2_ech_pv*mot_pv_cn+S2_ech_bois*mot_bois_cn)*K24*K9*IF(K$3&gt;=st_salaires_debut_mult,st_salaires_mult_A,1)*IF(K11=1,1-0.05,IF(K11=2,1-0.02,1))</f>
        <v>54826</v>
      </c>
      <c r="L25" s="17" t="n">
        <f aca="false">(S2_ech_log*mot_log_cn+S2_ech_stock*mot_stock_cn+S2_ech_pv*mot_pv_cn+S2_ech_bois*mot_bois_cn)*L24*L9*IF(L$3&gt;=st_salaires_debut_mult,st_salaires_mult_A,1)*IF(L11=1,1-0.05,IF(L11=2,1-0.02,1))</f>
        <v>54826</v>
      </c>
      <c r="M25" s="17" t="n">
        <f aca="false">(S2_ech_log*mot_log_cn+S2_ech_stock*mot_stock_cn+S2_ech_pv*mot_pv_cn+S2_ech_bois*mot_bois_cn)*M24*M9*IF(M$3&gt;=st_salaires_debut_mult,st_salaires_mult_A,1)*IF(M11=1,1-0.05,IF(M11=2,1-0.02,1))</f>
        <v>54826</v>
      </c>
      <c r="N25" s="17" t="n">
        <f aca="false">(S2_ech_log*mot_log_cn+S2_ech_stock*mot_stock_cn+S2_ech_pv*mot_pv_cn+S2_ech_bois*mot_bois_cn)*N24*N9*IF(N$3&gt;=st_salaires_debut_mult,st_salaires_mult_A,1)*IF(N11=1,1-0.05,IF(N11=2,1-0.02,1))</f>
        <v>54826</v>
      </c>
      <c r="O25" s="17" t="n">
        <f aca="false">(S2_ech_log*mot_log_cn+S2_ech_stock*mot_stock_cn+S2_ech_pv*mot_pv_cn+S2_ech_bois*mot_bois_cn)*O24*O9*IF(O$3&gt;=st_salaires_debut_mult,st_salaires_mult_A,1)*IF(O11=1,1-0.05,IF(O11=2,1-0.02,1))</f>
        <v>54826</v>
      </c>
      <c r="P25" s="17" t="n">
        <f aca="false">(S2_ech_log*mot_log_cn+S2_ech_stock*mot_stock_cn+S2_ech_pv*mot_pv_cn+S2_ech_bois*mot_bois_cn)*P24*P9*IF(P$3&gt;=st_salaires_debut_mult,st_salaires_mult_A,1)*IF(P11=1,1-0.05,IF(P11=2,1-0.02,1))</f>
        <v>54826</v>
      </c>
      <c r="Q25" s="17" t="n">
        <f aca="false">(S2_ech_log*mot_log_cn+S2_ech_stock*mot_stock_cn+S2_ech_pv*mot_pv_cn+S2_ech_bois*mot_bois_cn)*Q24*Q9*IF(Q$3&gt;=st_salaires_debut_mult,st_salaires_mult_A,1)*IF(Q11=1,1-0.05,IF(Q11=2,1-0.02,1))</f>
        <v>54826</v>
      </c>
      <c r="R25" s="17" t="n">
        <f aca="false">(S2_ech_log*mot_log_cn+S2_ech_stock*mot_stock_cn+S2_ech_pv*mot_pv_cn+S2_ech_bois*mot_bois_cn)*R24*R9*IF(R$3&gt;=st_salaires_debut_mult,st_salaires_mult_A,1)*IF(R11=1,1-0.05,IF(R11=2,1-0.02,1))</f>
        <v>54826</v>
      </c>
      <c r="S25" s="17" t="n">
        <f aca="false">(S2_ech_log*mot_log_cn+S2_ech_stock*mot_stock_cn+S2_ech_pv*mot_pv_cn+S2_ech_bois*mot_bois_cn)*S24*S9*IF(S$3&gt;=st_salaires_debut_mult,st_salaires_mult_A,1)*IF(S11=1,1-0.05,IF(S11=2,1-0.02,1))</f>
        <v>54826</v>
      </c>
      <c r="T25" s="17" t="n">
        <f aca="false">(S2_ech_log*mot_log_cn+S2_ech_stock*mot_stock_cn+S2_ech_pv*mot_pv_cn+S2_ech_bois*mot_bois_cn)*T24*T9*IF(T$3&gt;=st_salaires_debut_mult,st_salaires_mult_A,1)*IF(T11=1,1-0.05,IF(T11=2,1-0.02,1))</f>
        <v>54826</v>
      </c>
      <c r="U25" s="17" t="n">
        <f aca="false">(S2_ech_log*mot_log_cn+S2_ech_stock*mot_stock_cn+S2_ech_pv*mot_pv_cn+S2_ech_bois*mot_bois_cn)*U24*U9*IF(U$3&gt;=st_salaires_debut_mult,st_salaires_mult_A,1)*IF(U11=1,1-0.05,IF(U11=2,1-0.02,1))</f>
        <v>54826</v>
      </c>
      <c r="V25" s="17" t="n">
        <f aca="false">(S2_ech_log*mot_log_cn+S2_ech_stock*mot_stock_cn+S2_ech_pv*mot_pv_cn+S2_ech_bois*mot_bois_cn)*V24*V9*IF(V$3&gt;=st_salaires_debut_mult,st_salaires_mult_A,1)*IF(V11=1,1-0.05,IF(V11=2,1-0.02,1))</f>
        <v>54826</v>
      </c>
      <c r="W25" s="17" t="n">
        <f aca="false">(S2_ech_log*mot_log_cn+S2_ech_stock*mot_stock_cn+S2_ech_pv*mot_pv_cn+S2_ech_bois*mot_bois_cn)*W24*W9*IF(W$3&gt;=st_salaires_debut_mult,st_salaires_mult_A,1)*IF(W11=1,1-0.05,IF(W11=2,1-0.02,1))</f>
        <v>54826</v>
      </c>
      <c r="X25" s="17" t="n">
        <f aca="false">(S2_ech_log*mot_log_cn+S2_ech_stock*mot_stock_cn+S2_ech_pv*mot_pv_cn+S2_ech_bois*mot_bois_cn)*X24*X9*IF(X$3&gt;=st_salaires_debut_mult,st_salaires_mult_A,1)*IF(X11=1,1-0.05,IF(X11=2,1-0.02,1))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(S2_ech_eq_std*mot_eq_std_cn+S2_ech_eq_ret*mot_eq_ret_cn)*E24*E9*IF(E$3&gt;=st_salaires_debut_mult,st_salaires_mult_B,1)*IF(E11=1,1-0.15,IF(E11=2,1-0.05,1))</f>
        <v>3757.8</v>
      </c>
      <c r="F26" s="17" t="n">
        <f aca="false">(S2_ech_eq_std*mot_eq_std_cn+S2_ech_eq_ret*mot_eq_ret_cn)*F24*F9*IF(F$3&gt;=st_salaires_debut_mult,st_salaires_mult_B,1)*IF(F11=1,1-0.15,IF(F11=2,1-0.05,1))</f>
        <v>7045.875</v>
      </c>
      <c r="G26" s="17" t="n">
        <f aca="false">(S2_ech_eq_std*mot_eq_std_cn+S2_ech_eq_ret*mot_eq_ret_cn)*G24*G9*IF(G$3&gt;=st_salaires_debut_mult,st_salaires_mult_B,1)*IF(G11=1,1-0.15,IF(G11=2,1-0.05,1))</f>
        <v>9394.5</v>
      </c>
      <c r="H26" s="17" t="n">
        <f aca="false">(S2_ech_eq_std*mot_eq_std_cn+S2_ech_eq_ret*mot_eq_ret_cn)*H24*H9*IF(H$3&gt;=st_salaires_debut_mult,st_salaires_mult_B,1)*IF(H11=1,1-0.15,IF(H11=2,1-0.05,1))</f>
        <v>9394.5</v>
      </c>
      <c r="I26" s="17" t="n">
        <f aca="false">(S2_ech_eq_std*mot_eq_std_cn+S2_ech_eq_ret*mot_eq_ret_cn)*I24*I9*IF(I$3&gt;=st_salaires_debut_mult,st_salaires_mult_B,1)*IF(I11=1,1-0.15,IF(I11=2,1-0.05,1))</f>
        <v>9394.5</v>
      </c>
      <c r="J26" s="17" t="n">
        <f aca="false">(S2_ech_eq_std*mot_eq_std_cn+S2_ech_eq_ret*mot_eq_ret_cn)*J24*J9*IF(J$3&gt;=st_salaires_debut_mult,st_salaires_mult_B,1)*IF(J11=1,1-0.15,IF(J11=2,1-0.05,1))</f>
        <v>9394.5</v>
      </c>
      <c r="K26" s="17" t="n">
        <f aca="false">(S2_ech_eq_std*mot_eq_std_cn+S2_ech_eq_ret*mot_eq_ret_cn)*K24*K9*IF(K$3&gt;=st_salaires_debut_mult,st_salaires_mult_B,1)*IF(K11=1,1-0.15,IF(K11=2,1-0.05,1))</f>
        <v>9394.5</v>
      </c>
      <c r="L26" s="17" t="n">
        <f aca="false">(S2_ech_eq_std*mot_eq_std_cn+S2_ech_eq_ret*mot_eq_ret_cn)*L24*L9*IF(L$3&gt;=st_salaires_debut_mult,st_salaires_mult_B,1)*IF(L11=1,1-0.15,IF(L11=2,1-0.05,1))</f>
        <v>9394.5</v>
      </c>
      <c r="M26" s="17" t="n">
        <f aca="false">(S2_ech_eq_std*mot_eq_std_cn+S2_ech_eq_ret*mot_eq_ret_cn)*M24*M9*IF(M$3&gt;=st_salaires_debut_mult,st_salaires_mult_B,1)*IF(M11=1,1-0.15,IF(M11=2,1-0.05,1))</f>
        <v>9394.5</v>
      </c>
      <c r="N26" s="17" t="n">
        <f aca="false">(S2_ech_eq_std*mot_eq_std_cn+S2_ech_eq_ret*mot_eq_ret_cn)*N24*N9*IF(N$3&gt;=st_salaires_debut_mult,st_salaires_mult_B,1)*IF(N11=1,1-0.15,IF(N11=2,1-0.05,1))</f>
        <v>9394.5</v>
      </c>
      <c r="O26" s="17" t="n">
        <f aca="false">(S2_ech_eq_std*mot_eq_std_cn+S2_ech_eq_ret*mot_eq_ret_cn)*O24*O9*IF(O$3&gt;=st_salaires_debut_mult,st_salaires_mult_B,1)*IF(O11=1,1-0.15,IF(O11=2,1-0.05,1))</f>
        <v>9394.5</v>
      </c>
      <c r="P26" s="17" t="n">
        <f aca="false">(S2_ech_eq_std*mot_eq_std_cn+S2_ech_eq_ret*mot_eq_ret_cn)*P24*P9*IF(P$3&gt;=st_salaires_debut_mult,st_salaires_mult_B,1)*IF(P11=1,1-0.15,IF(P11=2,1-0.05,1))</f>
        <v>9394.5</v>
      </c>
      <c r="Q26" s="17" t="n">
        <f aca="false">(S2_ech_eq_std*mot_eq_std_cn+S2_ech_eq_ret*mot_eq_ret_cn)*Q24*Q9*IF(Q$3&gt;=st_salaires_debut_mult,st_salaires_mult_B,1)*IF(Q11=1,1-0.15,IF(Q11=2,1-0.05,1))</f>
        <v>9394.5</v>
      </c>
      <c r="R26" s="17" t="n">
        <f aca="false">(S2_ech_eq_std*mot_eq_std_cn+S2_ech_eq_ret*mot_eq_ret_cn)*R24*R9*IF(R$3&gt;=st_salaires_debut_mult,st_salaires_mult_B,1)*IF(R11=1,1-0.15,IF(R11=2,1-0.05,1))</f>
        <v>9394.5</v>
      </c>
      <c r="S26" s="17" t="n">
        <f aca="false">(S2_ech_eq_std*mot_eq_std_cn+S2_ech_eq_ret*mot_eq_ret_cn)*S24*S9*IF(S$3&gt;=st_salaires_debut_mult,st_salaires_mult_B,1)*IF(S11=1,1-0.15,IF(S11=2,1-0.05,1))</f>
        <v>9394.5</v>
      </c>
      <c r="T26" s="17" t="n">
        <f aca="false">(S2_ech_eq_std*mot_eq_std_cn+S2_ech_eq_ret*mot_eq_ret_cn)*T24*T9*IF(T$3&gt;=st_salaires_debut_mult,st_salaires_mult_B,1)*IF(T11=1,1-0.15,IF(T11=2,1-0.05,1))</f>
        <v>9394.5</v>
      </c>
      <c r="U26" s="17" t="n">
        <f aca="false">(S2_ech_eq_std*mot_eq_std_cn+S2_ech_eq_ret*mot_eq_ret_cn)*U24*U9*IF(U$3&gt;=st_salaires_debut_mult,st_salaires_mult_B,1)*IF(U11=1,1-0.15,IF(U11=2,1-0.05,1))</f>
        <v>9394.5</v>
      </c>
      <c r="V26" s="17" t="n">
        <f aca="false">(S2_ech_eq_std*mot_eq_std_cn+S2_ech_eq_ret*mot_eq_ret_cn)*V24*V9*IF(V$3&gt;=st_salaires_debut_mult,st_salaires_mult_B,1)*IF(V11=1,1-0.15,IF(V11=2,1-0.05,1))</f>
        <v>9394.5</v>
      </c>
      <c r="W26" s="17" t="n">
        <f aca="false">(S2_ech_eq_std*mot_eq_std_cn+S2_ech_eq_ret*mot_eq_ret_cn)*W24*W9*IF(W$3&gt;=st_salaires_debut_mult,st_salaires_mult_B,1)*IF(W11=1,1-0.15,IF(W11=2,1-0.05,1))</f>
        <v>9394.5</v>
      </c>
      <c r="X26" s="17" t="n">
        <f aca="false">(S2_ech_eq_std*mot_eq_std_cn+S2_ech_eq_ret*mot_eq_ret_cn)*X24*X9*IF(X$3&gt;=st_salaires_debut_mult,st_salaires_mult_B,1)*IF(X11=1,1-0.15,IF(X11=2,1-0.05,1))</f>
        <v>9394.5</v>
      </c>
    </row>
    <row r="27" customFormat="false" ht="15" hidden="false" customHeight="false" outlineLevel="0" collapsed="false">
      <c r="A27" s="2" t="s">
        <v>1859</v>
      </c>
      <c r="B27" s="2" t="s">
        <v>1860</v>
      </c>
      <c r="C27" s="2" t="s">
        <v>1832</v>
      </c>
      <c r="E27" s="17" t="n">
        <f aca="false">(S2_ech_tourn*mot_tourn_cn)*E24*E9*IF(E$3&gt;=st_salaires_debut_mult,st_salaires_mult_C,1)*IF(E11=1,1-0.8,IF(E11=2,1-0.3,1))</f>
        <v>2380</v>
      </c>
      <c r="F27" s="17" t="n">
        <f aca="false">(S2_ech_tourn*mot_tourn_cn)*F24*F9*IF(F$3&gt;=st_salaires_debut_mult,st_salaires_mult_C,1)*IF(F11=1,1-0.8,IF(F11=2,1-0.3,1))</f>
        <v>4462.5</v>
      </c>
      <c r="G27" s="17" t="n">
        <f aca="false">(S2_ech_tourn*mot_tourn_cn)*G24*G9*IF(G$3&gt;=st_salaires_debut_mult,st_salaires_mult_C,1)*IF(G11=1,1-0.8,IF(G11=2,1-0.3,1))</f>
        <v>5950</v>
      </c>
      <c r="H27" s="17" t="n">
        <f aca="false">(S2_ech_tourn*mot_tourn_cn)*H24*H9*IF(H$3&gt;=st_salaires_debut_mult,st_salaires_mult_C,1)*IF(H11=1,1-0.8,IF(H11=2,1-0.3,1))</f>
        <v>5950</v>
      </c>
      <c r="I27" s="17" t="n">
        <f aca="false">(S2_ech_tourn*mot_tourn_cn)*I24*I9*IF(I$3&gt;=st_salaires_debut_mult,st_salaires_mult_C,1)*IF(I11=1,1-0.8,IF(I11=2,1-0.3,1))</f>
        <v>5950</v>
      </c>
      <c r="J27" s="17" t="n">
        <f aca="false">(S2_ech_tourn*mot_tourn_cn)*J24*J9*IF(J$3&gt;=st_salaires_debut_mult,st_salaires_mult_C,1)*IF(J11=1,1-0.8,IF(J11=2,1-0.3,1))</f>
        <v>5950</v>
      </c>
      <c r="K27" s="17" t="n">
        <f aca="false">(S2_ech_tourn*mot_tourn_cn)*K24*K9*IF(K$3&gt;=st_salaires_debut_mult,st_salaires_mult_C,1)*IF(K11=1,1-0.8,IF(K11=2,1-0.3,1))</f>
        <v>5950</v>
      </c>
      <c r="L27" s="17" t="n">
        <f aca="false">(S2_ech_tourn*mot_tourn_cn)*L24*L9*IF(L$3&gt;=st_salaires_debut_mult,st_salaires_mult_C,1)*IF(L11=1,1-0.8,IF(L11=2,1-0.3,1))</f>
        <v>5950</v>
      </c>
      <c r="M27" s="17" t="n">
        <f aca="false">(S2_ech_tourn*mot_tourn_cn)*M24*M9*IF(M$3&gt;=st_salaires_debut_mult,st_salaires_mult_C,1)*IF(M11=1,1-0.8,IF(M11=2,1-0.3,1))</f>
        <v>5950</v>
      </c>
      <c r="N27" s="17" t="n">
        <f aca="false">(S2_ech_tourn*mot_tourn_cn)*N24*N9*IF(N$3&gt;=st_salaires_debut_mult,st_salaires_mult_C,1)*IF(N11=1,1-0.8,IF(N11=2,1-0.3,1))</f>
        <v>5950</v>
      </c>
      <c r="O27" s="17" t="n">
        <f aca="false">(S2_ech_tourn*mot_tourn_cn)*O24*O9*IF(O$3&gt;=st_salaires_debut_mult,st_salaires_mult_C,1)*IF(O11=1,1-0.8,IF(O11=2,1-0.3,1))</f>
        <v>5950</v>
      </c>
      <c r="P27" s="17" t="n">
        <f aca="false">(S2_ech_tourn*mot_tourn_cn)*P24*P9*IF(P$3&gt;=st_salaires_debut_mult,st_salaires_mult_C,1)*IF(P11=1,1-0.8,IF(P11=2,1-0.3,1))</f>
        <v>5950</v>
      </c>
      <c r="Q27" s="17" t="n">
        <f aca="false">(S2_ech_tourn*mot_tourn_cn)*Q24*Q9*IF(Q$3&gt;=st_salaires_debut_mult,st_salaires_mult_C,1)*IF(Q11=1,1-0.8,IF(Q11=2,1-0.3,1))</f>
        <v>5950</v>
      </c>
      <c r="R27" s="17" t="n">
        <f aca="false">(S2_ech_tourn*mot_tourn_cn)*R24*R9*IF(R$3&gt;=st_salaires_debut_mult,st_salaires_mult_C,1)*IF(R11=1,1-0.8,IF(R11=2,1-0.3,1))</f>
        <v>5950</v>
      </c>
      <c r="S27" s="17" t="n">
        <f aca="false">(S2_ech_tourn*mot_tourn_cn)*S24*S9*IF(S$3&gt;=st_salaires_debut_mult,st_salaires_mult_C,1)*IF(S11=1,1-0.8,IF(S11=2,1-0.3,1))</f>
        <v>5950</v>
      </c>
      <c r="T27" s="17" t="n">
        <f aca="false">(S2_ech_tourn*mot_tourn_cn)*T24*T9*IF(T$3&gt;=st_salaires_debut_mult,st_salaires_mult_C,1)*IF(T11=1,1-0.8,IF(T11=2,1-0.3,1))</f>
        <v>5950</v>
      </c>
      <c r="U27" s="17" t="n">
        <f aca="false">(S2_ech_tourn*mot_tourn_cn)*U24*U9*IF(U$3&gt;=st_salaires_debut_mult,st_salaires_mult_C,1)*IF(U11=1,1-0.8,IF(U11=2,1-0.3,1))</f>
        <v>5950</v>
      </c>
      <c r="V27" s="17" t="n">
        <f aca="false">(S2_ech_tourn*mot_tourn_cn)*V24*V9*IF(V$3&gt;=st_salaires_debut_mult,st_salaires_mult_C,1)*IF(V11=1,1-0.8,IF(V11=2,1-0.3,1))</f>
        <v>5950</v>
      </c>
      <c r="W27" s="17" t="n">
        <f aca="false">(S2_ech_tourn*mot_tourn_cn)*W24*W9*IF(W$3&gt;=st_salaires_debut_mult,st_salaires_mult_C,1)*IF(W11=1,1-0.8,IF(W11=2,1-0.3,1))</f>
        <v>5950</v>
      </c>
      <c r="X27" s="17" t="n">
        <f aca="false">(S2_ech_tourn*mot_tourn_cn)*X24*X9*IF(X$3&gt;=st_salaires_debut_mult,st_salaires_mult_C,1)*IF(X11=1,1-0.8,IF(X11=2,1-0.3,1))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1221468.17978149</v>
      </c>
      <c r="H35" s="17" t="n">
        <f aca="false">H13+H14+H15+H16+H17+H21+H32-H29-H23-H33-H34</f>
        <v>1232173.8312523</v>
      </c>
      <c r="I35" s="17" t="n">
        <f aca="false">I13+I14+I15+I16+I17+I21+I32-I29-I23-I33-I34</f>
        <v>1243030.74726641</v>
      </c>
      <c r="J35" s="17" t="n">
        <f aca="false">J13+J14+J15+J16+J17+J21+J32-J29-J23-J33-J34</f>
        <v>1254041.2294966</v>
      </c>
      <c r="K35" s="17" t="n">
        <f aca="false">K13+K14+K15+K16+K17+K21+K32-K29-K23-K33-K34</f>
        <v>1265207.61638726</v>
      </c>
      <c r="L35" s="17" t="n">
        <f aca="false">L13+L14+L15+L16+L17+L21+L32-L29-L23-L33-L34</f>
        <v>1276532.28376191</v>
      </c>
      <c r="M35" s="17" t="n">
        <f aca="false">M13+M14+M15+M16+M17+M21+M32-M29-M23-M33-M34</f>
        <v>1288017.645441</v>
      </c>
      <c r="N35" s="17" t="n">
        <f aca="false">N13+N14+N15+N16+N17+N21+N32-N29-N23-N33-N34</f>
        <v>1299666.15387019</v>
      </c>
      <c r="O35" s="17" t="n">
        <f aca="false">O13+O14+O15+O16+O17+O21+O32-O29-O23-O33-O34</f>
        <v>1311480.3007593</v>
      </c>
      <c r="P35" s="17" t="n">
        <f aca="false">P13+P14+P15+P16+P17+P21+P32-P29-P23-P33-P34</f>
        <v>1323462.61773206</v>
      </c>
      <c r="Q35" s="17" t="n">
        <f aca="false">Q13+Q14+Q15+Q16+Q17+Q21+Q32-Q29-Q23-Q33-Q34</f>
        <v>1335615.67698693</v>
      </c>
      <c r="R35" s="17" t="n">
        <f aca="false">R13+R14+R15+R16+R17+R21+R32-R29-R23-R33-R34</f>
        <v>1347942.0919691</v>
      </c>
      <c r="S35" s="17" t="n">
        <f aca="false">S13+S14+S15+S16+S17+S21+S32-S29-S23-S33-S34</f>
        <v>1360444.51805397</v>
      </c>
      <c r="T35" s="17" t="n">
        <f aca="false">T13+T14+T15+T16+T17+T21+T32-T29-T23-T33-T34</f>
        <v>1373125.65324216</v>
      </c>
      <c r="U35" s="17" t="n">
        <f aca="false">U13+U14+U15+U16+U17+U21+U32-U29-U23-U33-U34</f>
        <v>1385988.2388664</v>
      </c>
      <c r="V35" s="17" t="n">
        <f aca="false">V13+V14+V15+V16+V17+V21+V32-V29-V23-V33-V34</f>
        <v>1399035.06031038</v>
      </c>
      <c r="W35" s="17" t="n">
        <f aca="false">W13+W14+W15+W16+W17+W21+W32-W29-W23-W33-W34</f>
        <v>1412268.9477399</v>
      </c>
      <c r="X35" s="17" t="n">
        <f aca="false">X13+X14+X15+X16+X17+X21+X32-X29-X23-X33-X34</f>
        <v>1425692.77684642</v>
      </c>
    </row>
    <row r="36" customFormat="false" ht="15" hidden="false" customHeight="false" outlineLevel="0" collapsed="false">
      <c r="A36" s="2" t="s">
        <v>1877</v>
      </c>
      <c r="B36" s="2" t="s">
        <v>1878</v>
      </c>
      <c r="C36" s="2" t="s">
        <v>1832</v>
      </c>
      <c r="E36" s="17" t="n">
        <f aca="false">IF(AND(E$3&lt;=S2_sol_div_annees,E$3&lt;=st_salaires_div_fin),S2_sol_div*IF(E11=1,0.5,1),0)</f>
        <v>1000000</v>
      </c>
      <c r="F36" s="17" t="n">
        <f aca="false">IF(AND(F$3&lt;=S2_sol_div_annees,F$3&lt;=st_salaires_div_fin),S2_sol_div*IF(F11=1,0.5,1),0)</f>
        <v>1000000</v>
      </c>
      <c r="G36" s="17" t="n">
        <f aca="false">IF(AND(G$3&lt;=S2_sol_div_annees,G$3&lt;=st_salaires_div_fin),S2_sol_div*IF(G11=1,0.5,1),0)</f>
        <v>1000000</v>
      </c>
      <c r="H36" s="17" t="n">
        <f aca="false">IF(AND(H$3&lt;=S2_sol_div_annees,H$3&lt;=st_salaires_div_fin),S2_sol_div*IF(H11=1,0.5,1),0)</f>
        <v>1000000</v>
      </c>
      <c r="I36" s="17" t="n">
        <f aca="false">IF(AND(I$3&lt;=S2_sol_div_annees,I$3&lt;=st_salaires_div_fin),S2_sol_div*IF(I11=1,0.5,1),0)</f>
        <v>1000000</v>
      </c>
      <c r="J36" s="17" t="n">
        <f aca="false">IF(AND(J$3&lt;=S2_sol_div_annees,J$3&lt;=st_salaires_div_fin),S2_sol_div*IF(J11=1,0.5,1),0)</f>
        <v>1000000</v>
      </c>
      <c r="K36" s="17" t="n">
        <f aca="false">IF(AND(K$3&lt;=S2_sol_div_annees,K$3&lt;=st_salaires_div_fin),S2_sol_div*IF(K11=1,0.5,1),0)</f>
        <v>1000000</v>
      </c>
      <c r="L36" s="17" t="n">
        <f aca="false">IF(AND(L$3&lt;=S2_sol_div_annees,L$3&lt;=st_salaires_div_fin),S2_sol_div*IF(L11=1,0.5,1),0)</f>
        <v>1000000</v>
      </c>
      <c r="M36" s="17" t="n">
        <f aca="false">IF(AND(M$3&lt;=S2_sol_div_annees,M$3&lt;=st_salaires_div_fin),S2_sol_div*IF(M11=1,0.5,1),0)</f>
        <v>1000000</v>
      </c>
      <c r="N36" s="17" t="n">
        <f aca="false">IF(AND(N$3&lt;=S2_sol_div_annees,N$3&lt;=st_salaires_div_fin),S2_sol_div*IF(N11=1,0.5,1),0)</f>
        <v>1000000</v>
      </c>
      <c r="O36" s="17" t="n">
        <f aca="false">IF(AND(O$3&lt;=S2_sol_div_annees,O$3&lt;=st_salaires_div_fin),S2_sol_div*IF(O11=1,0.5,1),0)</f>
        <v>0</v>
      </c>
      <c r="P36" s="17" t="n">
        <f aca="false">IF(AND(P$3&lt;=S2_sol_div_annees,P$3&lt;=st_salaires_div_fin),S2_sol_div*IF(P11=1,0.5,1),0)</f>
        <v>0</v>
      </c>
      <c r="Q36" s="17" t="n">
        <f aca="false">IF(AND(Q$3&lt;=S2_sol_div_annees,Q$3&lt;=st_salaires_div_fin),S2_sol_div*IF(Q11=1,0.5,1),0)</f>
        <v>0</v>
      </c>
      <c r="R36" s="17" t="n">
        <f aca="false">IF(AND(R$3&lt;=S2_sol_div_annees,R$3&lt;=st_salaires_div_fin),S2_sol_div*IF(R11=1,0.5,1),0)</f>
        <v>0</v>
      </c>
      <c r="S36" s="17" t="n">
        <f aca="false">IF(AND(S$3&lt;=S2_sol_div_annees,S$3&lt;=st_salaires_div_fin),S2_sol_div*IF(S11=1,0.5,1),0)</f>
        <v>0</v>
      </c>
      <c r="T36" s="17" t="n">
        <f aca="false">IF(AND(T$3&lt;=S2_sol_div_annees,T$3&lt;=st_salaires_div_fin),S2_sol_div*IF(T11=1,0.5,1),0)</f>
        <v>0</v>
      </c>
      <c r="U36" s="17" t="n">
        <f aca="false">IF(AND(U$3&lt;=S2_sol_div_annees,U$3&lt;=st_salaires_div_fin),S2_sol_div*IF(U11=1,0.5,1),0)</f>
        <v>0</v>
      </c>
      <c r="V36" s="17" t="n">
        <f aca="false">IF(AND(V$3&lt;=S2_sol_div_annees,V$3&lt;=st_salaires_div_fin),S2_sol_div*IF(V11=1,0.5,1),0)</f>
        <v>0</v>
      </c>
      <c r="W36" s="17" t="n">
        <f aca="false">IF(AND(W$3&lt;=S2_sol_div_annees,W$3&lt;=st_salaires_div_fin),S2_sol_div*IF(W11=1,0.5,1),0)</f>
        <v>0</v>
      </c>
      <c r="X36" s="17" t="n">
        <f aca="false">IF(AND(X$3&lt;=S2_sol_div_annees,X$3&lt;=st_salaires_div_fin),S2_sol_div*IF(X11=1,0.5,1),0)</f>
        <v>0</v>
      </c>
    </row>
    <row r="37" customFormat="false" ht="15" hidden="false" customHeight="false" outlineLevel="0" collapsed="false">
      <c r="A37" s="2" t="s">
        <v>1879</v>
      </c>
      <c r="B37" s="2" t="s">
        <v>1880</v>
      </c>
      <c r="C37" s="2" t="s">
        <v>46</v>
      </c>
      <c r="E37" s="20" t="n">
        <f aca="false">dot_rendement+st_salaires_dot_rdt_delta+IF(E11=1,-0.25,0)</f>
        <v>0.03</v>
      </c>
      <c r="F37" s="20" t="n">
        <f aca="false">dot_rendement+st_salaires_dot_rdt_delta+IF(F11=1,-0.25,0)</f>
        <v>0.03</v>
      </c>
      <c r="G37" s="20" t="n">
        <f aca="false">dot_rendement+st_salaires_dot_rdt_delta+IF(G11=1,-0.25,0)</f>
        <v>0.03</v>
      </c>
      <c r="H37" s="20" t="n">
        <f aca="false">dot_rendement+st_salaires_dot_rdt_delta+IF(H11=1,-0.25,0)</f>
        <v>0.03</v>
      </c>
      <c r="I37" s="20" t="n">
        <f aca="false">dot_rendement+st_salaires_dot_rdt_delta+IF(I11=1,-0.25,0)</f>
        <v>0.03</v>
      </c>
      <c r="J37" s="20" t="n">
        <f aca="false">dot_rendement+st_salaires_dot_rdt_delta+IF(J11=1,-0.25,0)</f>
        <v>0.03</v>
      </c>
      <c r="K37" s="20" t="n">
        <f aca="false">dot_rendement+st_salaires_dot_rdt_delta+IF(K11=1,-0.25,0)</f>
        <v>0.03</v>
      </c>
      <c r="L37" s="20" t="n">
        <f aca="false">dot_rendement+st_salaires_dot_rdt_delta+IF(L11=1,-0.25,0)</f>
        <v>0.03</v>
      </c>
      <c r="M37" s="20" t="n">
        <f aca="false">dot_rendement+st_salaires_dot_rdt_delta+IF(M11=1,-0.25,0)</f>
        <v>0.03</v>
      </c>
      <c r="N37" s="20" t="n">
        <f aca="false">dot_rendement+st_salaires_dot_rdt_delta+IF(N11=1,-0.25,0)</f>
        <v>0.03</v>
      </c>
      <c r="O37" s="20" t="n">
        <f aca="false">dot_rendement+st_salaires_dot_rdt_delta+IF(O11=1,-0.25,0)</f>
        <v>0.03</v>
      </c>
      <c r="P37" s="20" t="n">
        <f aca="false">dot_rendement+st_salaires_dot_rdt_delta+IF(P11=1,-0.25,0)</f>
        <v>0.03</v>
      </c>
      <c r="Q37" s="20" t="n">
        <f aca="false">dot_rendement+st_salaires_dot_rdt_delta+IF(Q11=1,-0.25,0)</f>
        <v>0.03</v>
      </c>
      <c r="R37" s="20" t="n">
        <f aca="false">dot_rendement+st_salaires_dot_rdt_delta+IF(R11=1,-0.25,0)</f>
        <v>0.03</v>
      </c>
      <c r="S37" s="20" t="n">
        <f aca="false">dot_rendement+st_salaires_dot_rdt_delta+IF(S11=1,-0.25,0)</f>
        <v>0.03</v>
      </c>
      <c r="T37" s="20" t="n">
        <f aca="false">dot_rendement+st_salaires_dot_rdt_delta+IF(T11=1,-0.25,0)</f>
        <v>0.03</v>
      </c>
      <c r="U37" s="20" t="n">
        <f aca="false">dot_rendement+st_salaires_dot_rdt_delta+IF(U11=1,-0.25,0)</f>
        <v>0.03</v>
      </c>
      <c r="V37" s="20" t="n">
        <f aca="false">dot_rendement+st_salaires_dot_rdt_delta+IF(V11=1,-0.25,0)</f>
        <v>0.03</v>
      </c>
      <c r="W37" s="20" t="n">
        <f aca="false">dot_rendement+st_salaires_dot_rdt_delta+IF(W11=1,-0.25,0)</f>
        <v>0.03</v>
      </c>
      <c r="X37" s="20" t="n">
        <f aca="false">dot_rendement+st_salaires_dot_rdt_delta+IF(X11=1,-0.25,0)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1681079.74184343</v>
      </c>
      <c r="I38" s="17" t="n">
        <f aca="false">lissage_depense*H38+(1-lissage_depense)*dot_taux_net*MAX(0,H42)</f>
        <v>1704454.67974807</v>
      </c>
      <c r="J38" s="17" t="n">
        <f aca="false">lissage_depense*I38+(1-lissage_depense)*dot_taux_net*MAX(0,I42)</f>
        <v>1732605.68755002</v>
      </c>
      <c r="K38" s="17" t="n">
        <f aca="false">lissage_depense*J38+(1-lissage_depense)*dot_taux_net*MAX(0,J42)</f>
        <v>1764800.5253419</v>
      </c>
      <c r="L38" s="17" t="n">
        <f aca="false">lissage_depense*K38+(1-lissage_depense)*dot_taux_net*MAX(0,K42)</f>
        <v>1800459.23294433</v>
      </c>
      <c r="M38" s="17" t="n">
        <f aca="false">lissage_depense*L38+(1-lissage_depense)*dot_taux_net*MAX(0,L42)</f>
        <v>1839123.83584571</v>
      </c>
      <c r="N38" s="17" t="n">
        <f aca="false">lissage_depense*M38+(1-lissage_depense)*dot_taux_net*MAX(0,M42)</f>
        <v>1880434.11460159</v>
      </c>
      <c r="O38" s="17" t="n">
        <f aca="false">lissage_depense*N38+(1-lissage_depense)*dot_taux_net*MAX(0,N42)</f>
        <v>1924108.22513776</v>
      </c>
      <c r="P38" s="17" t="n">
        <f aca="false">lissage_depense*O38+(1-lissage_depense)*dot_taux_net*MAX(0,O42)</f>
        <v>1964427.19991621</v>
      </c>
      <c r="Q38" s="17" t="n">
        <f aca="false">lissage_depense*P38+(1-lissage_depense)*dot_taux_net*MAX(0,P42)</f>
        <v>2002157.55393563</v>
      </c>
      <c r="R38" s="17" t="n">
        <f aca="false">lissage_depense*Q38+(1-lissage_depense)*dot_taux_net*MAX(0,Q42)</f>
        <v>2037914.42474782</v>
      </c>
      <c r="S38" s="17" t="n">
        <f aca="false">lissage_depense*R38+(1-lissage_depense)*dot_taux_net*MAX(0,R42)</f>
        <v>2072191.89133972</v>
      </c>
      <c r="T38" s="17" t="n">
        <f aca="false">lissage_depense*S38+(1-lissage_depense)*dot_taux_net*MAX(0,S42)</f>
        <v>2105387.23031018</v>
      </c>
      <c r="U38" s="17" t="n">
        <f aca="false">lissage_depense*T38+(1-lissage_depense)*dot_taux_net*MAX(0,T42)</f>
        <v>2137820.32191087</v>
      </c>
      <c r="V38" s="17" t="n">
        <f aca="false">lissage_depense*U38+(1-lissage_depense)*dot_taux_net*MAX(0,U42)</f>
        <v>2169749.17600754</v>
      </c>
      <c r="W38" s="17" t="n">
        <f aca="false">lissage_depense*V38+(1-lissage_depense)*dot_taux_net*MAX(0,V42)</f>
        <v>2201382.35400754</v>
      </c>
      <c r="X38" s="17" t="n">
        <f aca="false">lissage_depense*W38+(1-lissage_depense)*dot_taux_net*MAX(0,W42)</f>
        <v>2232888.90759101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221468.179781491</v>
      </c>
      <c r="H39" s="17" t="n">
        <f aca="false">MIN(MAX(0,H35-H36),IF(H12=1,MAX(H38,retrait_urgence*MAX(0,G42)),H38))</f>
        <v>232173.831252295</v>
      </c>
      <c r="I39" s="17" t="n">
        <f aca="false">MIN(MAX(0,I35-I36),IF(I12=1,MAX(I38,retrait_urgence*MAX(0,H42)),I38))</f>
        <v>243030.74726641</v>
      </c>
      <c r="J39" s="17" t="n">
        <f aca="false">MIN(MAX(0,J35-J36),IF(J12=1,MAX(J38,retrait_urgence*MAX(0,I42)),J38))</f>
        <v>254041.229496602</v>
      </c>
      <c r="K39" s="17" t="n">
        <f aca="false">MIN(MAX(0,K35-K36),IF(K12=1,MAX(K38,retrait_urgence*MAX(0,J42)),K38))</f>
        <v>265207.616387262</v>
      </c>
      <c r="L39" s="17" t="n">
        <f aca="false">MIN(MAX(0,L35-L36),IF(L12=1,MAX(L38,retrait_urgence*MAX(0,K42)),L38))</f>
        <v>276532.283761908</v>
      </c>
      <c r="M39" s="17" t="n">
        <f aca="false">MIN(MAX(0,M35-M36),IF(M12=1,MAX(M38,retrait_urgence*MAX(0,L42)),M38))</f>
        <v>288017.645440995</v>
      </c>
      <c r="N39" s="17" t="n">
        <f aca="false">MIN(MAX(0,N35-N36),IF(N12=1,MAX(N38,retrait_urgence*MAX(0,M42)),N38))</f>
        <v>299666.153870189</v>
      </c>
      <c r="O39" s="17" t="n">
        <f aca="false">MIN(MAX(0,O35-O36),IF(O12=1,MAX(O38,retrait_urgence*MAX(0,N42)),O38))</f>
        <v>1311480.3007593</v>
      </c>
      <c r="P39" s="17" t="n">
        <f aca="false">MIN(MAX(0,P35-P36),IF(P12=1,MAX(P38,retrait_urgence*MAX(0,O42)),P38))</f>
        <v>1323462.61773206</v>
      </c>
      <c r="Q39" s="17" t="n">
        <f aca="false">MIN(MAX(0,Q35-Q36),IF(Q12=1,MAX(Q38,retrait_urgence*MAX(0,P42)),Q38))</f>
        <v>1335615.67698693</v>
      </c>
      <c r="R39" s="17" t="n">
        <f aca="false">MIN(MAX(0,R35-R36),IF(R12=1,MAX(R38,retrait_urgence*MAX(0,Q42)),R38))</f>
        <v>1347942.0919691</v>
      </c>
      <c r="S39" s="17" t="n">
        <f aca="false">MIN(MAX(0,S35-S36),IF(S12=1,MAX(S38,retrait_urgence*MAX(0,R42)),S38))</f>
        <v>1360444.51805397</v>
      </c>
      <c r="T39" s="17" t="n">
        <f aca="false">MIN(MAX(0,T35-T36),IF(T12=1,MAX(T38,retrait_urgence*MAX(0,S42)),T38))</f>
        <v>1373125.65324216</v>
      </c>
      <c r="U39" s="17" t="n">
        <f aca="false">MIN(MAX(0,U35-U36),IF(U12=1,MAX(U38,retrait_urgence*MAX(0,T42)),U38))</f>
        <v>1385988.2388664</v>
      </c>
      <c r="V39" s="17" t="n">
        <f aca="false">MIN(MAX(0,V35-V36),IF(V12=1,MAX(V38,retrait_urgence*MAX(0,U42)),V38))</f>
        <v>1399035.06031038</v>
      </c>
      <c r="W39" s="17" t="n">
        <f aca="false">MIN(MAX(0,W35-W36),IF(W12=1,MAX(W38,retrait_urgence*MAX(0,V42)),W38))</f>
        <v>1412268.9477399</v>
      </c>
      <c r="X39" s="17" t="n">
        <f aca="false">MIN(MAX(0,X35-X36),IF(X12=1,MAX(X38,retrait_urgence*MAX(0,W42)),X38))</f>
        <v>1425692.77684642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63701296.0891825</v>
      </c>
      <c r="H42" s="23" t="n">
        <f aca="false">MAX(0,G42)*(1+H37)-H39+H41-H31</f>
        <v>65380161.1406057</v>
      </c>
      <c r="I42" s="23" t="n">
        <f aca="false">MAX(0,H42)*(1+I37)-I39+I41-I31</f>
        <v>67098535.2275574</v>
      </c>
      <c r="J42" s="23" t="n">
        <f aca="false">MAX(0,I42)*(1+J37)-J39+J41-J31</f>
        <v>68857450.0548876</v>
      </c>
      <c r="K42" s="23" t="n">
        <f aca="false">MAX(0,J42)*(1+K37)-K39+K41-K31</f>
        <v>70657965.9401469</v>
      </c>
      <c r="L42" s="23" t="n">
        <f aca="false">MAX(0,K42)*(1+L37)-L39+L41-L31</f>
        <v>72501172.6345894</v>
      </c>
      <c r="M42" s="23" t="n">
        <f aca="false">MAX(0,L42)*(1+M37)-M39+M41-M31</f>
        <v>74388190.1681861</v>
      </c>
      <c r="N42" s="23" t="n">
        <f aca="false">MAX(0,M42)*(1+N37)-N39+N41-N31</f>
        <v>76320169.7193615</v>
      </c>
      <c r="O42" s="23" t="n">
        <f aca="false">MAX(0,N42)*(1+O37)-O39+O41-O31</f>
        <v>77298294.5101831</v>
      </c>
      <c r="P42" s="23" t="n">
        <f aca="false">MAX(0,O42)*(1+P37)-P39+P41-P31</f>
        <v>78293780.7277565</v>
      </c>
      <c r="Q42" s="23" t="n">
        <f aca="false">MAX(0,P42)*(1+Q37)-Q39+Q41-Q31</f>
        <v>79306978.4726023</v>
      </c>
      <c r="R42" s="23" t="n">
        <f aca="false">MAX(0,Q42)*(1+R37)-R39+R41-R31</f>
        <v>80338245.7348112</v>
      </c>
      <c r="S42" s="23" t="n">
        <f aca="false">MAX(0,R42)*(1+S37)-S39+S41-S31</f>
        <v>81387948.5888016</v>
      </c>
      <c r="T42" s="23" t="n">
        <f aca="false">MAX(0,S42)*(1+T37)-T39+T41-T31</f>
        <v>82456461.3932235</v>
      </c>
      <c r="U42" s="23" t="n">
        <f aca="false">MAX(0,T42)*(1+U37)-U39+U41-U31</f>
        <v>83544166.9961538</v>
      </c>
      <c r="V42" s="23" t="n">
        <f aca="false">MAX(0,U42)*(1+V37)-V39+V41-V31</f>
        <v>84651456.945728</v>
      </c>
      <c r="W42" s="23" t="n">
        <f aca="false">MAX(0,V42)*(1+W37)-W39+W41-W31</f>
        <v>85778731.70636</v>
      </c>
      <c r="X42" s="23" t="n">
        <f aca="false">MAX(0,W42)*(1+X37)-X39+X41-X31</f>
        <v>86926400.8807043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1.34781947449592</v>
      </c>
      <c r="H45" s="24" t="n">
        <f aca="false">(H29+H38)/H18</f>
        <v>1.35035378097649</v>
      </c>
      <c r="I45" s="24" t="n">
        <f aca="false">(I29+I38)/I18</f>
        <v>1.35709778102236</v>
      </c>
      <c r="J45" s="24" t="n">
        <f aca="false">(J29+J38)/J18</f>
        <v>1.36723368215933</v>
      </c>
      <c r="K45" s="24" t="n">
        <f aca="false">(K29+K38)/K18</f>
        <v>1.38011310863376</v>
      </c>
      <c r="L45" s="24" t="n">
        <f aca="false">(L29+L38)/L18</f>
        <v>1.39522219551424</v>
      </c>
      <c r="M45" s="24" t="n">
        <f aca="false">(M29+M38)/M18</f>
        <v>1.41215387225372</v>
      </c>
      <c r="N45" s="24" t="n">
        <f aca="false">(N29+N38)/N18</f>
        <v>1.43058585599041</v>
      </c>
      <c r="O45" s="24" t="n">
        <f aca="false">(O29+O38)/O18</f>
        <v>1.45026317920674</v>
      </c>
      <c r="P45" s="24" t="n">
        <f aca="false">(P29+P38)/P18</f>
        <v>1.46697727148728</v>
      </c>
      <c r="Q45" s="24" t="n">
        <f aca="false">(Q29+Q38)/Q18</f>
        <v>1.4813497629211</v>
      </c>
      <c r="R45" s="24" t="n">
        <f aca="false">(R29+R38)/R18</f>
        <v>1.49387400729221</v>
      </c>
      <c r="S45" s="24" t="n">
        <f aca="false">(S29+S38)/S18</f>
        <v>1.50494155633286</v>
      </c>
      <c r="T45" s="24" t="n">
        <f aca="false">(T29+T38)/T18</f>
        <v>1.51486317434672</v>
      </c>
      <c r="U45" s="24" t="n">
        <f aca="false">(U29+U38)/U18</f>
        <v>1.52388551832435</v>
      </c>
      <c r="V45" s="24" t="n">
        <f aca="false">(V29+V38)/V18</f>
        <v>1.53220437697109</v>
      </c>
      <c r="W45" s="24" t="n">
        <f aca="false">(W29+W38)/W18</f>
        <v>1.53997517804681</v>
      </c>
      <c r="X45" s="24" t="n">
        <f aca="false">(X29+X38)/X18</f>
        <v>1.54732132727347</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1907</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IF(st_moteur_crise_an&gt;0,IF(E$3=st_moteur_crise_an,1,IF(E$3=st_moteur_crise_an+1,2,0)),0)</f>
        <v>0</v>
      </c>
      <c r="F11" s="22" t="n">
        <f aca="false">IF(st_moteur_crise_an&gt;0,IF(F$3=st_moteur_crise_an,1,IF(F$3=st_moteur_crise_an+1,2,0)),0)</f>
        <v>0</v>
      </c>
      <c r="G11" s="22" t="n">
        <f aca="false">IF(st_moteur_crise_an&gt;0,IF(G$3=st_moteur_crise_an,1,IF(G$3=st_moteur_crise_an+1,2,0)),0)</f>
        <v>0</v>
      </c>
      <c r="H11" s="22" t="n">
        <f aca="false">IF(st_moteur_crise_an&gt;0,IF(H$3=st_moteur_crise_an,1,IF(H$3=st_moteur_crise_an+1,2,0)),0)</f>
        <v>0</v>
      </c>
      <c r="I11" s="22" t="n">
        <f aca="false">IF(st_moteur_crise_an&gt;0,IF(I$3=st_moteur_crise_an,1,IF(I$3=st_moteur_crise_an+1,2,0)),0)</f>
        <v>0</v>
      </c>
      <c r="J11" s="22" t="n">
        <f aca="false">IF(st_moteur_crise_an&gt;0,IF(J$3=st_moteur_crise_an,1,IF(J$3=st_moteur_crise_an+1,2,0)),0)</f>
        <v>0</v>
      </c>
      <c r="K11" s="22" t="n">
        <f aca="false">IF(st_moteur_crise_an&gt;0,IF(K$3=st_moteur_crise_an,1,IF(K$3=st_moteur_crise_an+1,2,0)),0)</f>
        <v>0</v>
      </c>
      <c r="L11" s="22" t="n">
        <f aca="false">IF(st_moteur_crise_an&gt;0,IF(L$3=st_moteur_crise_an,1,IF(L$3=st_moteur_crise_an+1,2,0)),0)</f>
        <v>0</v>
      </c>
      <c r="M11" s="22" t="n">
        <f aca="false">IF(st_moteur_crise_an&gt;0,IF(M$3=st_moteur_crise_an,1,IF(M$3=st_moteur_crise_an+1,2,0)),0)</f>
        <v>0</v>
      </c>
      <c r="N11" s="22" t="n">
        <f aca="false">IF(st_moteur_crise_an&gt;0,IF(N$3=st_moteur_crise_an,1,IF(N$3=st_moteur_crise_an+1,2,0)),0)</f>
        <v>0</v>
      </c>
      <c r="O11" s="22" t="n">
        <f aca="false">IF(st_moteur_crise_an&gt;0,IF(O$3=st_moteur_crise_an,1,IF(O$3=st_moteur_crise_an+1,2,0)),0)</f>
        <v>0</v>
      </c>
      <c r="P11" s="22" t="n">
        <f aca="false">IF(st_moteur_crise_an&gt;0,IF(P$3=st_moteur_crise_an,1,IF(P$3=st_moteur_crise_an+1,2,0)),0)</f>
        <v>0</v>
      </c>
      <c r="Q11" s="22" t="n">
        <f aca="false">IF(st_moteur_crise_an&gt;0,IF(Q$3=st_moteur_crise_an,1,IF(Q$3=st_moteur_crise_an+1,2,0)),0)</f>
        <v>0</v>
      </c>
      <c r="R11" s="22" t="n">
        <f aca="false">IF(st_moteur_crise_an&gt;0,IF(R$3=st_moteur_crise_an,1,IF(R$3=st_moteur_crise_an+1,2,0)),0)</f>
        <v>0</v>
      </c>
      <c r="S11" s="22" t="n">
        <f aca="false">IF(st_moteur_crise_an&gt;0,IF(S$3=st_moteur_crise_an,1,IF(S$3=st_moteur_crise_an+1,2,0)),0)</f>
        <v>0</v>
      </c>
      <c r="T11" s="22" t="n">
        <f aca="false">IF(st_moteur_crise_an&gt;0,IF(T$3=st_moteur_crise_an,1,IF(T$3=st_moteur_crise_an+1,2,0)),0)</f>
        <v>0</v>
      </c>
      <c r="U11" s="22" t="n">
        <f aca="false">IF(st_moteur_crise_an&gt;0,IF(U$3=st_moteur_crise_an,1,IF(U$3=st_moteur_crise_an+1,2,0)),0)</f>
        <v>0</v>
      </c>
      <c r="V11" s="22" t="n">
        <f aca="false">IF(st_moteur_crise_an&gt;0,IF(V$3=st_moteur_crise_an,1,IF(V$3=st_moteur_crise_an+1,2,0)),0)</f>
        <v>0</v>
      </c>
      <c r="W11" s="22" t="n">
        <f aca="false">IF(st_moteur_crise_an&gt;0,IF(W$3=st_moteur_crise_an,1,IF(W$3=st_moteur_crise_an+1,2,0)),0)</f>
        <v>0</v>
      </c>
      <c r="X11" s="22" t="n">
        <f aca="false">IF(st_moteur_crise_an&gt;0,IF(X$3=st_moteur_crise_an,1,IF(X$3=st_moteur_crise_an+1,2,0)),0)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406168.74</v>
      </c>
      <c r="F13" s="17" t="n">
        <f aca="false">bud_dont_personnel_S2*F5</f>
        <v>408199.5837</v>
      </c>
      <c r="G13" s="17" t="n">
        <f aca="false">bud_dont_personnel_S2*G5</f>
        <v>410240.5816185</v>
      </c>
      <c r="H13" s="17" t="n">
        <f aca="false">bud_dont_personnel_S2*H5</f>
        <v>412291.784526592</v>
      </c>
      <c r="I13" s="17" t="n">
        <f aca="false">bud_dont_personnel_S2*I5</f>
        <v>414353.243449225</v>
      </c>
      <c r="J13" s="17" t="n">
        <f aca="false">bud_dont_personnel_S2*J5</f>
        <v>416425.009666471</v>
      </c>
      <c r="K13" s="17" t="n">
        <f aca="false">bud_dont_personnel_S2*K5</f>
        <v>418507.134714804</v>
      </c>
      <c r="L13" s="17" t="n">
        <f aca="false">bud_dont_personnel_S2*L5</f>
        <v>420599.670388378</v>
      </c>
      <c r="M13" s="17" t="n">
        <f aca="false">bud_dont_personnel_S2*M5</f>
        <v>422702.668740319</v>
      </c>
      <c r="N13" s="17" t="n">
        <f aca="false">bud_dont_personnel_S2*N5</f>
        <v>424816.182084021</v>
      </c>
      <c r="O13" s="17" t="n">
        <f aca="false">bud_dont_personnel_S2*O5</f>
        <v>426940.262994441</v>
      </c>
      <c r="P13" s="17" t="n">
        <f aca="false">bud_dont_personnel_S2*P5</f>
        <v>429074.964309413</v>
      </c>
      <c r="Q13" s="17" t="n">
        <f aca="false">bud_dont_personnel_S2*Q5</f>
        <v>431220.33913096</v>
      </c>
      <c r="R13" s="17" t="n">
        <f aca="false">bud_dont_personnel_S2*R5</f>
        <v>433376.440826615</v>
      </c>
      <c r="S13" s="17" t="n">
        <f aca="false">bud_dont_personnel_S2*S5</f>
        <v>435543.323030748</v>
      </c>
      <c r="T13" s="17" t="n">
        <f aca="false">bud_dont_personnel_S2*T5</f>
        <v>437721.039645902</v>
      </c>
      <c r="U13" s="17" t="n">
        <f aca="false">bud_dont_personnel_S2*U5</f>
        <v>439909.644844131</v>
      </c>
      <c r="V13" s="17" t="n">
        <f aca="false">bud_dont_personnel_S2*V5</f>
        <v>442109.193068352</v>
      </c>
      <c r="W13" s="17" t="n">
        <f aca="false">bud_dont_personnel_S2*W5</f>
        <v>444319.739033694</v>
      </c>
      <c r="X13" s="17" t="n">
        <f aca="false">bud_dont_personnel_S2*X5</f>
        <v>446541.337728862</v>
      </c>
    </row>
    <row r="14" customFormat="false" ht="15" hidden="false" customHeight="false" outlineLevel="0" collapsed="false">
      <c r="A14" s="2" t="s">
        <v>1833</v>
      </c>
      <c r="B14" s="2" t="s">
        <v>1834</v>
      </c>
      <c r="C14" s="2" t="s">
        <v>1832</v>
      </c>
      <c r="E14" s="17" t="n">
        <f aca="false">(bud_chauffage_S2+bud_hors_gel_S2+bud_electricite_S2)*E7*IF(AND(E$3&gt;=st_moteur_energie_debut,E$3&lt;=st_moteur_energie_fin),st_moteur_energie_mult,1)</f>
        <v>52815.6</v>
      </c>
      <c r="F14" s="17" t="n">
        <f aca="false">(bud_chauffage_S2+bud_hors_gel_S2+bud_electricite_S2)*F7*IF(AND(F$3&gt;=st_moteur_energie_debut,F$3&lt;=st_moteur_energie_fin),st_moteur_energie_mult,1)</f>
        <v>53871.912</v>
      </c>
      <c r="G14" s="17" t="n">
        <f aca="false">(bud_chauffage_S2+bud_hors_gel_S2+bud_electricite_S2)*G7*IF(AND(G$3&gt;=st_moteur_energie_debut,G$3&lt;=st_moteur_energie_fin),st_moteur_energie_mult,1)</f>
        <v>54949.35024</v>
      </c>
      <c r="H14" s="17" t="n">
        <f aca="false">(bud_chauffage_S2+bud_hors_gel_S2+bud_electricite_S2)*H7*IF(AND(H$3&gt;=st_moteur_energie_debut,H$3&lt;=st_moteur_energie_fin),st_moteur_energie_mult,1)</f>
        <v>56048.3372448</v>
      </c>
      <c r="I14" s="17" t="n">
        <f aca="false">(bud_chauffage_S2+bud_hors_gel_S2+bud_electricite_S2)*I7*IF(AND(I$3&gt;=st_moteur_energie_debut,I$3&lt;=st_moteur_energie_fin),st_moteur_energie_mult,1)</f>
        <v>57169.303989696</v>
      </c>
      <c r="J14" s="17" t="n">
        <f aca="false">(bud_chauffage_S2+bud_hors_gel_S2+bud_electricite_S2)*J7*IF(AND(J$3&gt;=st_moteur_energie_debut,J$3&lt;=st_moteur_energie_fin),st_moteur_energie_mult,1)</f>
        <v>58312.6900694899</v>
      </c>
      <c r="K14" s="17" t="n">
        <f aca="false">(bud_chauffage_S2+bud_hors_gel_S2+bud_electricite_S2)*K7*IF(AND(K$3&gt;=st_moteur_energie_debut,K$3&lt;=st_moteur_energie_fin),st_moteur_energie_mult,1)</f>
        <v>59478.9438708797</v>
      </c>
      <c r="L14" s="17" t="n">
        <f aca="false">(bud_chauffage_S2+bud_hors_gel_S2+bud_electricite_S2)*L7*IF(AND(L$3&gt;=st_moteur_energie_debut,L$3&lt;=st_moteur_energie_fin),st_moteur_energie_mult,1)</f>
        <v>60668.5227482973</v>
      </c>
      <c r="M14" s="17" t="n">
        <f aca="false">(bud_chauffage_S2+bud_hors_gel_S2+bud_electricite_S2)*M7*IF(AND(M$3&gt;=st_moteur_energie_debut,M$3&lt;=st_moteur_energie_fin),st_moteur_energie_mult,1)</f>
        <v>61881.8932032633</v>
      </c>
      <c r="N14" s="17" t="n">
        <f aca="false">(bud_chauffage_S2+bud_hors_gel_S2+bud_electricite_S2)*N7*IF(AND(N$3&gt;=st_moteur_energie_debut,N$3&lt;=st_moteur_energie_fin),st_moteur_energie_mult,1)</f>
        <v>63119.5310673285</v>
      </c>
      <c r="O14" s="17" t="n">
        <f aca="false">(bud_chauffage_S2+bud_hors_gel_S2+bud_electricite_S2)*O7*IF(AND(O$3&gt;=st_moteur_energie_debut,O$3&lt;=st_moteur_energie_fin),st_moteur_energie_mult,1)</f>
        <v>64381.9216886751</v>
      </c>
      <c r="P14" s="17" t="n">
        <f aca="false">(bud_chauffage_S2+bud_hors_gel_S2+bud_electricite_S2)*P7*IF(AND(P$3&gt;=st_moteur_energie_debut,P$3&lt;=st_moteur_energie_fin),st_moteur_energie_mult,1)</f>
        <v>65669.5601224486</v>
      </c>
      <c r="Q14" s="17" t="n">
        <f aca="false">(bud_chauffage_S2+bud_hors_gel_S2+bud_electricite_S2)*Q7*IF(AND(Q$3&gt;=st_moteur_energie_debut,Q$3&lt;=st_moteur_energie_fin),st_moteur_energie_mult,1)</f>
        <v>66982.9513248976</v>
      </c>
      <c r="R14" s="17" t="n">
        <f aca="false">(bud_chauffage_S2+bud_hors_gel_S2+bud_electricite_S2)*R7*IF(AND(R$3&gt;=st_moteur_energie_debut,R$3&lt;=st_moteur_energie_fin),st_moteur_energie_mult,1)</f>
        <v>68322.6103513955</v>
      </c>
      <c r="S14" s="17" t="n">
        <f aca="false">(bud_chauffage_S2+bud_hors_gel_S2+bud_electricite_S2)*S7*IF(AND(S$3&gt;=st_moteur_energie_debut,S$3&lt;=st_moteur_energie_fin),st_moteur_energie_mult,1)</f>
        <v>69689.0625584235</v>
      </c>
      <c r="T14" s="17" t="n">
        <f aca="false">(bud_chauffage_S2+bud_hors_gel_S2+bud_electricite_S2)*T7*IF(AND(T$3&gt;=st_moteur_energie_debut,T$3&lt;=st_moteur_energie_fin),st_moteur_energie_mult,1)</f>
        <v>71082.8438095919</v>
      </c>
      <c r="U14" s="17" t="n">
        <f aca="false">(bud_chauffage_S2+bud_hors_gel_S2+bud_electricite_S2)*U7*IF(AND(U$3&gt;=st_moteur_energie_debut,U$3&lt;=st_moteur_energie_fin),st_moteur_energie_mult,1)</f>
        <v>72504.5006857838</v>
      </c>
      <c r="V14" s="17" t="n">
        <f aca="false">(bud_chauffage_S2+bud_hors_gel_S2+bud_electricite_S2)*V7*IF(AND(V$3&gt;=st_moteur_energie_debut,V$3&lt;=st_moteur_energie_fin),st_moteur_energie_mult,1)</f>
        <v>73954.5906994994</v>
      </c>
      <c r="W14" s="17" t="n">
        <f aca="false">(bud_chauffage_S2+bud_hors_gel_S2+bud_electricite_S2)*W7*IF(AND(W$3&gt;=st_moteur_energie_debut,W$3&lt;=st_moteur_energie_fin),st_moteur_energie_mult,1)</f>
        <v>75433.6825134894</v>
      </c>
      <c r="X14" s="17" t="n">
        <f aca="false">(bud_chauffage_S2+bud_hors_gel_S2+bud_electricite_S2)*X7*IF(AND(X$3&gt;=st_moteur_energie_debut,X$3&lt;=st_moteur_energie_fin),st_moteur_energie_mult,1)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1245579.5140625</v>
      </c>
      <c r="F18" s="23" t="n">
        <f aca="false">F13+F14+F15+F16+F17</f>
        <v>1251867.08775547</v>
      </c>
      <c r="G18" s="23" t="n">
        <f aca="false">G13+G14+G15+G16+G17</f>
        <v>1258219.28750049</v>
      </c>
      <c r="H18" s="23" t="n">
        <f aca="false">H13+H14+H15+H16+H17</f>
        <v>1264637.0095209</v>
      </c>
      <c r="I18" s="23" t="n">
        <f aca="false">I13+I14+I15+I16+I17</f>
        <v>1271121.16511377</v>
      </c>
      <c r="J18" s="23" t="n">
        <f aca="false">J13+J14+J15+J16+J17</f>
        <v>1277672.68092718</v>
      </c>
      <c r="K18" s="23" t="n">
        <f aca="false">K13+K14+K15+K16+K17</f>
        <v>1284292.49924264</v>
      </c>
      <c r="L18" s="23" t="n">
        <f aca="false">L13+L14+L15+L16+L17</f>
        <v>1290981.57826297</v>
      </c>
      <c r="M18" s="23" t="n">
        <f aca="false">M13+M14+M15+M16+M17</f>
        <v>1297740.89240569</v>
      </c>
      <c r="N18" s="23" t="n">
        <f aca="false">N13+N14+N15+N16+N17</f>
        <v>1304571.43260195</v>
      </c>
      <c r="O18" s="23" t="n">
        <f aca="false">O13+O14+O15+O16+O17</f>
        <v>1311474.20660119</v>
      </c>
      <c r="P18" s="23" t="n">
        <f aca="false">P13+P14+P15+P16+P17</f>
        <v>1318450.23928164</v>
      </c>
      <c r="Q18" s="23" t="n">
        <f aca="false">Q13+Q14+Q15+Q16+Q17</f>
        <v>1325500.57296665</v>
      </c>
      <c r="R18" s="23" t="n">
        <f aca="false">R13+R14+R15+R16+R17</f>
        <v>1332626.26774721</v>
      </c>
      <c r="S18" s="23" t="n">
        <f aca="false">S13+S14+S15+S16+S17</f>
        <v>1339828.40181049</v>
      </c>
      <c r="T18" s="23" t="n">
        <f aca="false">T13+T14+T15+T16+T17</f>
        <v>1347108.07177472</v>
      </c>
      <c r="U18" s="23" t="n">
        <f aca="false">U13+U14+U15+U16+U17</f>
        <v>1354466.39303049</v>
      </c>
      <c r="V18" s="23" t="n">
        <f aca="false">V13+V14+V15+V16+V17</f>
        <v>1361904.50008849</v>
      </c>
      <c r="W18" s="23" t="n">
        <f aca="false">W13+W14+W15+W16+W17</f>
        <v>1369423.546934</v>
      </c>
      <c r="X18" s="23" t="n">
        <f aca="false">X13+X14+X15+X16+X17</f>
        <v>1377024.70738809</v>
      </c>
    </row>
    <row r="19" customFormat="false" ht="15" hidden="false" customHeight="false" outlineLevel="0" collapsed="false">
      <c r="A19" s="2" t="s">
        <v>1843</v>
      </c>
      <c r="B19" s="2" t="s">
        <v>1844</v>
      </c>
      <c r="C19" s="2" t="s">
        <v>1832</v>
      </c>
      <c r="E19" s="17" t="n">
        <f aca="false">IF(MOD(E$3,campagne_periode)=0,(D22+E17)*st_moteur_mult_campagne*(1-E12*flex_report),0)</f>
        <v>0</v>
      </c>
      <c r="F19" s="17" t="n">
        <f aca="false">IF(MOD(F$3,campagne_periode)=0,(E22+F17)*st_moteur_mult_campagne*(1-F12*flex_report),0)</f>
        <v>0</v>
      </c>
      <c r="G19" s="17" t="n">
        <f aca="false">IF(MOD(G$3,campagne_periode)=0,(F22+G17)*st_moteur_mult_campagne*(1-G12*flex_report),0)</f>
        <v>0</v>
      </c>
      <c r="H19" s="17" t="n">
        <f aca="false">IF(MOD(H$3,campagne_periode)=0,(G22+H17)*st_moteur_mult_campagne*(1-H12*flex_report),0)</f>
        <v>1268099.19305212</v>
      </c>
      <c r="I19" s="17" t="n">
        <f aca="false">IF(MOD(I$3,campagne_periode)=0,(H22+I17)*st_moteur_mult_campagne*(1-I12*flex_report),0)</f>
        <v>0</v>
      </c>
      <c r="J19" s="17" t="n">
        <f aca="false">IF(MOD(J$3,campagne_periode)=0,(I22+J17)*st_moteur_mult_campagne*(1-J12*flex_report),0)</f>
        <v>0</v>
      </c>
      <c r="K19" s="17" t="n">
        <f aca="false">IF(MOD(K$3,campagne_periode)=0,(J22+K17)*st_moteur_mult_campagne*(1-K12*flex_report),0)</f>
        <v>0</v>
      </c>
      <c r="L19" s="17" t="n">
        <f aca="false">IF(MOD(L$3,campagne_periode)=0,(K22+L17)*st_moteur_mult_campagne*(1-L12*flex_report),0)</f>
        <v>1306572.29625107</v>
      </c>
      <c r="M19" s="17" t="n">
        <f aca="false">IF(MOD(M$3,campagne_periode)=0,(L22+M17)*st_moteur_mult_campagne*(1-M12*flex_report),0)</f>
        <v>0</v>
      </c>
      <c r="N19" s="17" t="n">
        <f aca="false">IF(MOD(N$3,campagne_periode)=0,(M22+N17)*st_moteur_mult_campagne*(1-N12*flex_report),0)</f>
        <v>0</v>
      </c>
      <c r="O19" s="17" t="n">
        <f aca="false">IF(MOD(O$3,campagne_periode)=0,(N22+O17)*st_moteur_mult_campagne*(1-O12*flex_report),0)</f>
        <v>0</v>
      </c>
      <c r="P19" s="17" t="n">
        <f aca="false">IF(MOD(P$3,campagne_periode)=0,(O22+P17)*st_moteur_mult_campagne*(1-P12*flex_report),0)</f>
        <v>1346212.64226341</v>
      </c>
      <c r="Q19" s="17" t="n">
        <f aca="false">IF(MOD(Q$3,campagne_periode)=0,(P22+Q17)*st_moteur_mult_campagne*(1-Q12*flex_report),0)</f>
        <v>0</v>
      </c>
      <c r="R19" s="17" t="n">
        <f aca="false">IF(MOD(R$3,campagne_periode)=0,(Q22+R17)*st_moteur_mult_campagne*(1-R12*flex_report),0)</f>
        <v>0</v>
      </c>
      <c r="S19" s="17" t="n">
        <f aca="false">IF(MOD(S$3,campagne_periode)=0,(R22+S17)*st_moteur_mult_campagne*(1-S12*flex_report),0)</f>
        <v>0</v>
      </c>
      <c r="T19" s="17" t="n">
        <f aca="false">IF(MOD(T$3,campagne_periode)=0,(S22+T17)*st_moteur_mult_campagne*(1-T12*flex_report),0)</f>
        <v>1387055.64429141</v>
      </c>
      <c r="U19" s="17" t="n">
        <f aca="false">IF(MOD(U$3,campagne_periode)=0,(T22+U17)*st_moteur_mult_campagne*(1-U12*flex_report),0)</f>
        <v>0</v>
      </c>
      <c r="V19" s="17" t="n">
        <f aca="false">IF(MOD(V$3,campagne_periode)=0,(U22+V17)*st_moteur_mult_campagne*(1-V12*flex_report),0)</f>
        <v>0</v>
      </c>
      <c r="W19" s="17" t="n">
        <f aca="false">IF(MOD(W$3,campagne_periode)=0,(V22+W17)*st_moteur_mult_campagne*(1-W12*flex_report),0)</f>
        <v>0</v>
      </c>
      <c r="X19" s="17" t="n">
        <f aca="false">IF(MOD(X$3,campagne_periode)=0,(W22+X17)*st_moteur_mult_campagne*(1-X12*flex_report),0)</f>
        <v>1429137.78994523</v>
      </c>
    </row>
    <row r="20" customFormat="false" ht="15" hidden="false" customHeight="false" outlineLevel="0" collapsed="false">
      <c r="A20" s="2" t="s">
        <v>1845</v>
      </c>
      <c r="B20" s="2" t="s">
        <v>1846</v>
      </c>
      <c r="C20" s="2" t="s">
        <v>1832</v>
      </c>
      <c r="E20" s="17" t="n">
        <f aca="false">IF(E$3=st_moteur_choc_trav_an,st_moteur_choc_trav_montant,0)</f>
        <v>0</v>
      </c>
      <c r="F20" s="17" t="n">
        <f aca="false">IF(F$3=st_moteur_choc_trav_an,st_moteur_choc_trav_montant,0)</f>
        <v>0</v>
      </c>
      <c r="G20" s="17" t="n">
        <f aca="false">IF(G$3=st_moteur_choc_trav_an,st_moteur_choc_trav_montant,0)</f>
        <v>0</v>
      </c>
      <c r="H20" s="17" t="n">
        <f aca="false">IF(H$3=st_moteur_choc_trav_an,st_moteur_choc_trav_montant,0)</f>
        <v>0</v>
      </c>
      <c r="I20" s="17" t="n">
        <f aca="false">IF(I$3=st_moteur_choc_trav_an,st_moteur_choc_trav_montant,0)</f>
        <v>0</v>
      </c>
      <c r="J20" s="17" t="n">
        <f aca="false">IF(J$3=st_moteur_choc_trav_an,st_moteur_choc_trav_montant,0)</f>
        <v>0</v>
      </c>
      <c r="K20" s="17" t="n">
        <f aca="false">IF(K$3=st_moteur_choc_trav_an,st_moteur_choc_trav_montant,0)</f>
        <v>0</v>
      </c>
      <c r="L20" s="17" t="n">
        <f aca="false">IF(L$3=st_moteur_choc_trav_an,st_moteur_choc_trav_montant,0)</f>
        <v>0</v>
      </c>
      <c r="M20" s="17" t="n">
        <f aca="false">IF(M$3=st_moteur_choc_trav_an,st_moteur_choc_trav_montant,0)</f>
        <v>0</v>
      </c>
      <c r="N20" s="17" t="n">
        <f aca="false">IF(N$3=st_moteur_choc_trav_an,st_moteur_choc_trav_montant,0)</f>
        <v>0</v>
      </c>
      <c r="O20" s="17" t="n">
        <f aca="false">IF(O$3=st_moteur_choc_trav_an,st_moteur_choc_trav_montant,0)</f>
        <v>0</v>
      </c>
      <c r="P20" s="17" t="n">
        <f aca="false">IF(P$3=st_moteur_choc_trav_an,st_moteur_choc_trav_montant,0)</f>
        <v>0</v>
      </c>
      <c r="Q20" s="17" t="n">
        <f aca="false">IF(Q$3=st_moteur_choc_trav_an,st_moteur_choc_trav_montant,0)</f>
        <v>0</v>
      </c>
      <c r="R20" s="17" t="n">
        <f aca="false">IF(R$3=st_moteur_choc_trav_an,st_moteur_choc_trav_montant,0)</f>
        <v>0</v>
      </c>
      <c r="S20" s="17" t="n">
        <f aca="false">IF(S$3=st_moteur_choc_trav_an,st_moteur_choc_trav_montant,0)</f>
        <v>0</v>
      </c>
      <c r="T20" s="17" t="n">
        <f aca="false">IF(T$3=st_moteur_choc_trav_an,st_moteur_choc_trav_montant,0)</f>
        <v>0</v>
      </c>
      <c r="U20" s="17" t="n">
        <f aca="false">IF(U$3=st_moteur_choc_trav_an,st_moteur_choc_trav_montant,0)</f>
        <v>0</v>
      </c>
      <c r="V20" s="17" t="n">
        <f aca="false">IF(V$3=st_moteur_choc_trav_an,st_moteur_choc_trav_montant,0)</f>
        <v>0</v>
      </c>
      <c r="W20" s="17" t="n">
        <f aca="false">IF(W$3=st_moteur_choc_trav_an,st_moteur_choc_trav_montant,0)</f>
        <v>0</v>
      </c>
      <c r="X20" s="17" t="n">
        <f aca="false">IF(X$3=st_moteur_choc_trav_an,st_moteur_choc_trav_montant,0)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648404.87517461</v>
      </c>
      <c r="K22" s="17" t="n">
        <f aca="false">MAX(0,J22+K17-K19-K20)</f>
        <v>976259.132248811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(S2_ech_log*mot_log_cn+S2_ech_stock*mot_stock_cn+S2_ech_pv*mot_pv_cn+S2_ech_bois*mot_bois_cn)*E24*E9*IF(E$3&gt;=st_moteur_debut_mult,st_moteur_mult_A,1)*IF(E11=1,1-0.05,IF(E11=2,1-0.02,1))</f>
        <v>21930.4</v>
      </c>
      <c r="F25" s="17" t="n">
        <f aca="false">(S2_ech_log*mot_log_cn+S2_ech_stock*mot_stock_cn+S2_ech_pv*mot_pv_cn+S2_ech_bois*mot_bois_cn)*F24*F9*IF(F$3&gt;=st_moteur_debut_mult,st_moteur_mult_A,1)*IF(F11=1,1-0.05,IF(F11=2,1-0.02,1))</f>
        <v>41119.5</v>
      </c>
      <c r="G25" s="17" t="n">
        <f aca="false">(S2_ech_log*mot_log_cn+S2_ech_stock*mot_stock_cn+S2_ech_pv*mot_pv_cn+S2_ech_bois*mot_bois_cn)*G24*G9*IF(G$3&gt;=st_moteur_debut_mult,st_moteur_mult_A,1)*IF(G11=1,1-0.05,IF(G11=2,1-0.02,1))</f>
        <v>54826</v>
      </c>
      <c r="H25" s="17" t="n">
        <f aca="false">(S2_ech_log*mot_log_cn+S2_ech_stock*mot_stock_cn+S2_ech_pv*mot_pv_cn+S2_ech_bois*mot_bois_cn)*H24*H9*IF(H$3&gt;=st_moteur_debut_mult,st_moteur_mult_A,1)*IF(H11=1,1-0.05,IF(H11=2,1-0.02,1))</f>
        <v>54826</v>
      </c>
      <c r="I25" s="17" t="n">
        <f aca="false">(S2_ech_log*mot_log_cn+S2_ech_stock*mot_stock_cn+S2_ech_pv*mot_pv_cn+S2_ech_bois*mot_bois_cn)*I24*I9*IF(I$3&gt;=st_moteur_debut_mult,st_moteur_mult_A,1)*IF(I11=1,1-0.05,IF(I11=2,1-0.02,1))</f>
        <v>54826</v>
      </c>
      <c r="J25" s="17" t="n">
        <f aca="false">(S2_ech_log*mot_log_cn+S2_ech_stock*mot_stock_cn+S2_ech_pv*mot_pv_cn+S2_ech_bois*mot_bois_cn)*J24*J9*IF(J$3&gt;=st_moteur_debut_mult,st_moteur_mult_A,1)*IF(J11=1,1-0.05,IF(J11=2,1-0.02,1))</f>
        <v>54826</v>
      </c>
      <c r="K25" s="17" t="n">
        <f aca="false">(S2_ech_log*mot_log_cn+S2_ech_stock*mot_stock_cn+S2_ech_pv*mot_pv_cn+S2_ech_bois*mot_bois_cn)*K24*K9*IF(K$3&gt;=st_moteur_debut_mult,st_moteur_mult_A,1)*IF(K11=1,1-0.05,IF(K11=2,1-0.02,1))</f>
        <v>54826</v>
      </c>
      <c r="L25" s="17" t="n">
        <f aca="false">(S2_ech_log*mot_log_cn+S2_ech_stock*mot_stock_cn+S2_ech_pv*mot_pv_cn+S2_ech_bois*mot_bois_cn)*L24*L9*IF(L$3&gt;=st_moteur_debut_mult,st_moteur_mult_A,1)*IF(L11=1,1-0.05,IF(L11=2,1-0.02,1))</f>
        <v>54826</v>
      </c>
      <c r="M25" s="17" t="n">
        <f aca="false">(S2_ech_log*mot_log_cn+S2_ech_stock*mot_stock_cn+S2_ech_pv*mot_pv_cn+S2_ech_bois*mot_bois_cn)*M24*M9*IF(M$3&gt;=st_moteur_debut_mult,st_moteur_mult_A,1)*IF(M11=1,1-0.05,IF(M11=2,1-0.02,1))</f>
        <v>54826</v>
      </c>
      <c r="N25" s="17" t="n">
        <f aca="false">(S2_ech_log*mot_log_cn+S2_ech_stock*mot_stock_cn+S2_ech_pv*mot_pv_cn+S2_ech_bois*mot_bois_cn)*N24*N9*IF(N$3&gt;=st_moteur_debut_mult,st_moteur_mult_A,1)*IF(N11=1,1-0.05,IF(N11=2,1-0.02,1))</f>
        <v>54826</v>
      </c>
      <c r="O25" s="17" t="n">
        <f aca="false">(S2_ech_log*mot_log_cn+S2_ech_stock*mot_stock_cn+S2_ech_pv*mot_pv_cn+S2_ech_bois*mot_bois_cn)*O24*O9*IF(O$3&gt;=st_moteur_debut_mult,st_moteur_mult_A,1)*IF(O11=1,1-0.05,IF(O11=2,1-0.02,1))</f>
        <v>54826</v>
      </c>
      <c r="P25" s="17" t="n">
        <f aca="false">(S2_ech_log*mot_log_cn+S2_ech_stock*mot_stock_cn+S2_ech_pv*mot_pv_cn+S2_ech_bois*mot_bois_cn)*P24*P9*IF(P$3&gt;=st_moteur_debut_mult,st_moteur_mult_A,1)*IF(P11=1,1-0.05,IF(P11=2,1-0.02,1))</f>
        <v>54826</v>
      </c>
      <c r="Q25" s="17" t="n">
        <f aca="false">(S2_ech_log*mot_log_cn+S2_ech_stock*mot_stock_cn+S2_ech_pv*mot_pv_cn+S2_ech_bois*mot_bois_cn)*Q24*Q9*IF(Q$3&gt;=st_moteur_debut_mult,st_moteur_mult_A,1)*IF(Q11=1,1-0.05,IF(Q11=2,1-0.02,1))</f>
        <v>54826</v>
      </c>
      <c r="R25" s="17" t="n">
        <f aca="false">(S2_ech_log*mot_log_cn+S2_ech_stock*mot_stock_cn+S2_ech_pv*mot_pv_cn+S2_ech_bois*mot_bois_cn)*R24*R9*IF(R$3&gt;=st_moteur_debut_mult,st_moteur_mult_A,1)*IF(R11=1,1-0.05,IF(R11=2,1-0.02,1))</f>
        <v>54826</v>
      </c>
      <c r="S25" s="17" t="n">
        <f aca="false">(S2_ech_log*mot_log_cn+S2_ech_stock*mot_stock_cn+S2_ech_pv*mot_pv_cn+S2_ech_bois*mot_bois_cn)*S24*S9*IF(S$3&gt;=st_moteur_debut_mult,st_moteur_mult_A,1)*IF(S11=1,1-0.05,IF(S11=2,1-0.02,1))</f>
        <v>54826</v>
      </c>
      <c r="T25" s="17" t="n">
        <f aca="false">(S2_ech_log*mot_log_cn+S2_ech_stock*mot_stock_cn+S2_ech_pv*mot_pv_cn+S2_ech_bois*mot_bois_cn)*T24*T9*IF(T$3&gt;=st_moteur_debut_mult,st_moteur_mult_A,1)*IF(T11=1,1-0.05,IF(T11=2,1-0.02,1))</f>
        <v>54826</v>
      </c>
      <c r="U25" s="17" t="n">
        <f aca="false">(S2_ech_log*mot_log_cn+S2_ech_stock*mot_stock_cn+S2_ech_pv*mot_pv_cn+S2_ech_bois*mot_bois_cn)*U24*U9*IF(U$3&gt;=st_moteur_debut_mult,st_moteur_mult_A,1)*IF(U11=1,1-0.05,IF(U11=2,1-0.02,1))</f>
        <v>54826</v>
      </c>
      <c r="V25" s="17" t="n">
        <f aca="false">(S2_ech_log*mot_log_cn+S2_ech_stock*mot_stock_cn+S2_ech_pv*mot_pv_cn+S2_ech_bois*mot_bois_cn)*V24*V9*IF(V$3&gt;=st_moteur_debut_mult,st_moteur_mult_A,1)*IF(V11=1,1-0.05,IF(V11=2,1-0.02,1))</f>
        <v>54826</v>
      </c>
      <c r="W25" s="17" t="n">
        <f aca="false">(S2_ech_log*mot_log_cn+S2_ech_stock*mot_stock_cn+S2_ech_pv*mot_pv_cn+S2_ech_bois*mot_bois_cn)*W24*W9*IF(W$3&gt;=st_moteur_debut_mult,st_moteur_mult_A,1)*IF(W11=1,1-0.05,IF(W11=2,1-0.02,1))</f>
        <v>54826</v>
      </c>
      <c r="X25" s="17" t="n">
        <f aca="false">(S2_ech_log*mot_log_cn+S2_ech_stock*mot_stock_cn+S2_ech_pv*mot_pv_cn+S2_ech_bois*mot_bois_cn)*X24*X9*IF(X$3&gt;=st_moteur_debut_mult,st_moteur_mult_A,1)*IF(X11=1,1-0.05,IF(X11=2,1-0.02,1))</f>
        <v>54826</v>
      </c>
    </row>
    <row r="26" customFormat="false" ht="15" hidden="false" customHeight="false" outlineLevel="0" collapsed="false">
      <c r="A26" s="2" t="s">
        <v>1857</v>
      </c>
      <c r="B26" s="2" t="s">
        <v>1858</v>
      </c>
      <c r="C26" s="2" t="s">
        <v>1832</v>
      </c>
      <c r="E26" s="17" t="n">
        <f aca="false">(S2_ech_eq_std*mot_eq_std_cn+S2_ech_eq_ret*mot_eq_ret_cn)*E24*E9*IF(E$3&gt;=st_moteur_debut_mult,st_moteur_mult_B,1)*IF(E11=1,1-0.15,IF(E11=2,1-0.05,1))</f>
        <v>3757.8</v>
      </c>
      <c r="F26" s="17" t="n">
        <f aca="false">(S2_ech_eq_std*mot_eq_std_cn+S2_ech_eq_ret*mot_eq_ret_cn)*F24*F9*IF(F$3&gt;=st_moteur_debut_mult,st_moteur_mult_B,1)*IF(F11=1,1-0.15,IF(F11=2,1-0.05,1))</f>
        <v>7045.875</v>
      </c>
      <c r="G26" s="17" t="n">
        <f aca="false">(S2_ech_eq_std*mot_eq_std_cn+S2_ech_eq_ret*mot_eq_ret_cn)*G24*G9*IF(G$3&gt;=st_moteur_debut_mult,st_moteur_mult_B,1)*IF(G11=1,1-0.15,IF(G11=2,1-0.05,1))</f>
        <v>9394.5</v>
      </c>
      <c r="H26" s="17" t="n">
        <f aca="false">(S2_ech_eq_std*mot_eq_std_cn+S2_ech_eq_ret*mot_eq_ret_cn)*H24*H9*IF(H$3&gt;=st_moteur_debut_mult,st_moteur_mult_B,1)*IF(H11=1,1-0.15,IF(H11=2,1-0.05,1))</f>
        <v>9394.5</v>
      </c>
      <c r="I26" s="17" t="n">
        <f aca="false">(S2_ech_eq_std*mot_eq_std_cn+S2_ech_eq_ret*mot_eq_ret_cn)*I24*I9*IF(I$3&gt;=st_moteur_debut_mult,st_moteur_mult_B,1)*IF(I11=1,1-0.15,IF(I11=2,1-0.05,1))</f>
        <v>9394.5</v>
      </c>
      <c r="J26" s="17" t="n">
        <f aca="false">(S2_ech_eq_std*mot_eq_std_cn+S2_ech_eq_ret*mot_eq_ret_cn)*J24*J9*IF(J$3&gt;=st_moteur_debut_mult,st_moteur_mult_B,1)*IF(J11=1,1-0.15,IF(J11=2,1-0.05,1))</f>
        <v>9394.5</v>
      </c>
      <c r="K26" s="17" t="n">
        <f aca="false">(S2_ech_eq_std*mot_eq_std_cn+S2_ech_eq_ret*mot_eq_ret_cn)*K24*K9*IF(K$3&gt;=st_moteur_debut_mult,st_moteur_mult_B,1)*IF(K11=1,1-0.15,IF(K11=2,1-0.05,1))</f>
        <v>9394.5</v>
      </c>
      <c r="L26" s="17" t="n">
        <f aca="false">(S2_ech_eq_std*mot_eq_std_cn+S2_ech_eq_ret*mot_eq_ret_cn)*L24*L9*IF(L$3&gt;=st_moteur_debut_mult,st_moteur_mult_B,1)*IF(L11=1,1-0.15,IF(L11=2,1-0.05,1))</f>
        <v>9394.5</v>
      </c>
      <c r="M26" s="17" t="n">
        <f aca="false">(S2_ech_eq_std*mot_eq_std_cn+S2_ech_eq_ret*mot_eq_ret_cn)*M24*M9*IF(M$3&gt;=st_moteur_debut_mult,st_moteur_mult_B,1)*IF(M11=1,1-0.15,IF(M11=2,1-0.05,1))</f>
        <v>9394.5</v>
      </c>
      <c r="N26" s="17" t="n">
        <f aca="false">(S2_ech_eq_std*mot_eq_std_cn+S2_ech_eq_ret*mot_eq_ret_cn)*N24*N9*IF(N$3&gt;=st_moteur_debut_mult,st_moteur_mult_B,1)*IF(N11=1,1-0.15,IF(N11=2,1-0.05,1))</f>
        <v>9394.5</v>
      </c>
      <c r="O26" s="17" t="n">
        <f aca="false">(S2_ech_eq_std*mot_eq_std_cn+S2_ech_eq_ret*mot_eq_ret_cn)*O24*O9*IF(O$3&gt;=st_moteur_debut_mult,st_moteur_mult_B,1)*IF(O11=1,1-0.15,IF(O11=2,1-0.05,1))</f>
        <v>9394.5</v>
      </c>
      <c r="P26" s="17" t="n">
        <f aca="false">(S2_ech_eq_std*mot_eq_std_cn+S2_ech_eq_ret*mot_eq_ret_cn)*P24*P9*IF(P$3&gt;=st_moteur_debut_mult,st_moteur_mult_B,1)*IF(P11=1,1-0.15,IF(P11=2,1-0.05,1))</f>
        <v>9394.5</v>
      </c>
      <c r="Q26" s="17" t="n">
        <f aca="false">(S2_ech_eq_std*mot_eq_std_cn+S2_ech_eq_ret*mot_eq_ret_cn)*Q24*Q9*IF(Q$3&gt;=st_moteur_debut_mult,st_moteur_mult_B,1)*IF(Q11=1,1-0.15,IF(Q11=2,1-0.05,1))</f>
        <v>9394.5</v>
      </c>
      <c r="R26" s="17" t="n">
        <f aca="false">(S2_ech_eq_std*mot_eq_std_cn+S2_ech_eq_ret*mot_eq_ret_cn)*R24*R9*IF(R$3&gt;=st_moteur_debut_mult,st_moteur_mult_B,1)*IF(R11=1,1-0.15,IF(R11=2,1-0.05,1))</f>
        <v>9394.5</v>
      </c>
      <c r="S26" s="17" t="n">
        <f aca="false">(S2_ech_eq_std*mot_eq_std_cn+S2_ech_eq_ret*mot_eq_ret_cn)*S24*S9*IF(S$3&gt;=st_moteur_debut_mult,st_moteur_mult_B,1)*IF(S11=1,1-0.15,IF(S11=2,1-0.05,1))</f>
        <v>9394.5</v>
      </c>
      <c r="T26" s="17" t="n">
        <f aca="false">(S2_ech_eq_std*mot_eq_std_cn+S2_ech_eq_ret*mot_eq_ret_cn)*T24*T9*IF(T$3&gt;=st_moteur_debut_mult,st_moteur_mult_B,1)*IF(T11=1,1-0.15,IF(T11=2,1-0.05,1))</f>
        <v>9394.5</v>
      </c>
      <c r="U26" s="17" t="n">
        <f aca="false">(S2_ech_eq_std*mot_eq_std_cn+S2_ech_eq_ret*mot_eq_ret_cn)*U24*U9*IF(U$3&gt;=st_moteur_debut_mult,st_moteur_mult_B,1)*IF(U11=1,1-0.15,IF(U11=2,1-0.05,1))</f>
        <v>9394.5</v>
      </c>
      <c r="V26" s="17" t="n">
        <f aca="false">(S2_ech_eq_std*mot_eq_std_cn+S2_ech_eq_ret*mot_eq_ret_cn)*V24*V9*IF(V$3&gt;=st_moteur_debut_mult,st_moteur_mult_B,1)*IF(V11=1,1-0.15,IF(V11=2,1-0.05,1))</f>
        <v>9394.5</v>
      </c>
      <c r="W26" s="17" t="n">
        <f aca="false">(S2_ech_eq_std*mot_eq_std_cn+S2_ech_eq_ret*mot_eq_ret_cn)*W24*W9*IF(W$3&gt;=st_moteur_debut_mult,st_moteur_mult_B,1)*IF(W11=1,1-0.15,IF(W11=2,1-0.05,1))</f>
        <v>9394.5</v>
      </c>
      <c r="X26" s="17" t="n">
        <f aca="false">(S2_ech_eq_std*mot_eq_std_cn+S2_ech_eq_ret*mot_eq_ret_cn)*X24*X9*IF(X$3&gt;=st_moteur_debut_mult,st_moteur_mult_B,1)*IF(X11=1,1-0.15,IF(X11=2,1-0.05,1))</f>
        <v>9394.5</v>
      </c>
    </row>
    <row r="27" customFormat="false" ht="15" hidden="false" customHeight="false" outlineLevel="0" collapsed="false">
      <c r="A27" s="2" t="s">
        <v>1859</v>
      </c>
      <c r="B27" s="2" t="s">
        <v>1860</v>
      </c>
      <c r="C27" s="2" t="s">
        <v>1832</v>
      </c>
      <c r="E27" s="17" t="n">
        <f aca="false">(S2_ech_tourn*mot_tourn_cn)*E24*E9*IF(E$3&gt;=st_moteur_debut_mult,st_moteur_mult_C,1)*IF(E11=1,1-0.8,IF(E11=2,1-0.3,1))</f>
        <v>2380</v>
      </c>
      <c r="F27" s="17" t="n">
        <f aca="false">(S2_ech_tourn*mot_tourn_cn)*F24*F9*IF(F$3&gt;=st_moteur_debut_mult,st_moteur_mult_C,1)*IF(F11=1,1-0.8,IF(F11=2,1-0.3,1))</f>
        <v>4462.5</v>
      </c>
      <c r="G27" s="17" t="n">
        <f aca="false">(S2_ech_tourn*mot_tourn_cn)*G24*G9*IF(G$3&gt;=st_moteur_debut_mult,st_moteur_mult_C,1)*IF(G11=1,1-0.8,IF(G11=2,1-0.3,1))</f>
        <v>5950</v>
      </c>
      <c r="H27" s="17" t="n">
        <f aca="false">(S2_ech_tourn*mot_tourn_cn)*H24*H9*IF(H$3&gt;=st_moteur_debut_mult,st_moteur_mult_C,1)*IF(H11=1,1-0.8,IF(H11=2,1-0.3,1))</f>
        <v>5950</v>
      </c>
      <c r="I27" s="17" t="n">
        <f aca="false">(S2_ech_tourn*mot_tourn_cn)*I24*I9*IF(I$3&gt;=st_moteur_debut_mult,st_moteur_mult_C,1)*IF(I11=1,1-0.8,IF(I11=2,1-0.3,1))</f>
        <v>5950</v>
      </c>
      <c r="J27" s="17" t="n">
        <f aca="false">(S2_ech_tourn*mot_tourn_cn)*J24*J9*IF(J$3&gt;=st_moteur_debut_mult,st_moteur_mult_C,1)*IF(J11=1,1-0.8,IF(J11=2,1-0.3,1))</f>
        <v>5950</v>
      </c>
      <c r="K27" s="17" t="n">
        <f aca="false">(S2_ech_tourn*mot_tourn_cn)*K24*K9*IF(K$3&gt;=st_moteur_debut_mult,st_moteur_mult_C,1)*IF(K11=1,1-0.8,IF(K11=2,1-0.3,1))</f>
        <v>5950</v>
      </c>
      <c r="L27" s="17" t="n">
        <f aca="false">(S2_ech_tourn*mot_tourn_cn)*L24*L9*IF(L$3&gt;=st_moteur_debut_mult,st_moteur_mult_C,1)*IF(L11=1,1-0.8,IF(L11=2,1-0.3,1))</f>
        <v>5950</v>
      </c>
      <c r="M27" s="17" t="n">
        <f aca="false">(S2_ech_tourn*mot_tourn_cn)*M24*M9*IF(M$3&gt;=st_moteur_debut_mult,st_moteur_mult_C,1)*IF(M11=1,1-0.8,IF(M11=2,1-0.3,1))</f>
        <v>5950</v>
      </c>
      <c r="N27" s="17" t="n">
        <f aca="false">(S2_ech_tourn*mot_tourn_cn)*N24*N9*IF(N$3&gt;=st_moteur_debut_mult,st_moteur_mult_C,1)*IF(N11=1,1-0.8,IF(N11=2,1-0.3,1))</f>
        <v>5950</v>
      </c>
      <c r="O27" s="17" t="n">
        <f aca="false">(S2_ech_tourn*mot_tourn_cn)*O24*O9*IF(O$3&gt;=st_moteur_debut_mult,st_moteur_mult_C,1)*IF(O11=1,1-0.8,IF(O11=2,1-0.3,1))</f>
        <v>5950</v>
      </c>
      <c r="P27" s="17" t="n">
        <f aca="false">(S2_ech_tourn*mot_tourn_cn)*P24*P9*IF(P$3&gt;=st_moteur_debut_mult,st_moteur_mult_C,1)*IF(P11=1,1-0.8,IF(P11=2,1-0.3,1))</f>
        <v>5950</v>
      </c>
      <c r="Q27" s="17" t="n">
        <f aca="false">(S2_ech_tourn*mot_tourn_cn)*Q24*Q9*IF(Q$3&gt;=st_moteur_debut_mult,st_moteur_mult_C,1)*IF(Q11=1,1-0.8,IF(Q11=2,1-0.3,1))</f>
        <v>5950</v>
      </c>
      <c r="R27" s="17" t="n">
        <f aca="false">(S2_ech_tourn*mot_tourn_cn)*R24*R9*IF(R$3&gt;=st_moteur_debut_mult,st_moteur_mult_C,1)*IF(R11=1,1-0.8,IF(R11=2,1-0.3,1))</f>
        <v>5950</v>
      </c>
      <c r="S27" s="17" t="n">
        <f aca="false">(S2_ech_tourn*mot_tourn_cn)*S24*S9*IF(S$3&gt;=st_moteur_debut_mult,st_moteur_mult_C,1)*IF(S11=1,1-0.8,IF(S11=2,1-0.3,1))</f>
        <v>5950</v>
      </c>
      <c r="T27" s="17" t="n">
        <f aca="false">(S2_ech_tourn*mot_tourn_cn)*T24*T9*IF(T$3&gt;=st_moteur_debut_mult,st_moteur_mult_C,1)*IF(T11=1,1-0.8,IF(T11=2,1-0.3,1))</f>
        <v>5950</v>
      </c>
      <c r="U27" s="17" t="n">
        <f aca="false">(S2_ech_tourn*mot_tourn_cn)*U24*U9*IF(U$3&gt;=st_moteur_debut_mult,st_moteur_mult_C,1)*IF(U11=1,1-0.8,IF(U11=2,1-0.3,1))</f>
        <v>5950</v>
      </c>
      <c r="V27" s="17" t="n">
        <f aca="false">(S2_ech_tourn*mot_tourn_cn)*V24*V9*IF(V$3&gt;=st_moteur_debut_mult,st_moteur_mult_C,1)*IF(V11=1,1-0.8,IF(V11=2,1-0.3,1))</f>
        <v>5950</v>
      </c>
      <c r="W27" s="17" t="n">
        <f aca="false">(S2_ech_tourn*mot_tourn_cn)*W24*W9*IF(W$3&gt;=st_moteur_debut_mult,st_moteur_mult_C,1)*IF(W11=1,1-0.8,IF(W11=2,1-0.3,1))</f>
        <v>5950</v>
      </c>
      <c r="X27" s="17" t="n">
        <f aca="false">(S2_ech_tourn*mot_tourn_cn)*X24*X9*IF(X$3&gt;=st_moteur_debut_mult,st_moteur_mult_C,1)*IF(X11=1,1-0.8,IF(X11=2,1-0.3,1))</f>
        <v>5950</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70170.5</v>
      </c>
      <c r="H28" s="17" t="n">
        <f aca="false">H25+H26+H27</f>
        <v>70170.5</v>
      </c>
      <c r="I28" s="17" t="n">
        <f aca="false">I25+I26+I27</f>
        <v>70170.5</v>
      </c>
      <c r="J28" s="17" t="n">
        <f aca="false">J25+J26+J27</f>
        <v>70170.5</v>
      </c>
      <c r="K28" s="17" t="n">
        <f aca="false">K25+K26+K27</f>
        <v>70170.5</v>
      </c>
      <c r="L28" s="17" t="n">
        <f aca="false">L25+L26+L27</f>
        <v>70170.5</v>
      </c>
      <c r="M28" s="17" t="n">
        <f aca="false">M25+M26+M27</f>
        <v>70170.5</v>
      </c>
      <c r="N28" s="17" t="n">
        <f aca="false">N25+N26+N27</f>
        <v>70170.5</v>
      </c>
      <c r="O28" s="17" t="n">
        <f aca="false">O25+O26+O27</f>
        <v>70170.5</v>
      </c>
      <c r="P28" s="17" t="n">
        <f aca="false">P25+P26+P27</f>
        <v>70170.5</v>
      </c>
      <c r="Q28" s="17" t="n">
        <f aca="false">Q25+Q26+Q27</f>
        <v>70170.5</v>
      </c>
      <c r="R28" s="17" t="n">
        <f aca="false">R25+R26+R27</f>
        <v>70170.5</v>
      </c>
      <c r="S28" s="17" t="n">
        <f aca="false">S25+S26+S27</f>
        <v>70170.5</v>
      </c>
      <c r="T28" s="17" t="n">
        <f aca="false">T25+T26+T27</f>
        <v>70170.5</v>
      </c>
      <c r="U28" s="17" t="n">
        <f aca="false">U25+U26+U27</f>
        <v>70170.5</v>
      </c>
      <c r="V28" s="17" t="n">
        <f aca="false">V25+V26+V27</f>
        <v>70170.5</v>
      </c>
      <c r="W28" s="17" t="n">
        <f aca="false">W25+W26+W27</f>
        <v>70170.5</v>
      </c>
      <c r="X28" s="17" t="n">
        <f aca="false">X25+X26+X27</f>
        <v>70170.5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49119.35</v>
      </c>
      <c r="H29" s="17" t="n">
        <f aca="false">IF(H28&gt;0,H28*(1-fuite_fiscale),H28)</f>
        <v>49119.35</v>
      </c>
      <c r="I29" s="17" t="n">
        <f aca="false">IF(I28&gt;0,I28*(1-fuite_fiscale),I28)</f>
        <v>49119.35</v>
      </c>
      <c r="J29" s="17" t="n">
        <f aca="false">IF(J28&gt;0,J28*(1-fuite_fiscale),J28)</f>
        <v>49119.35</v>
      </c>
      <c r="K29" s="17" t="n">
        <f aca="false">IF(K28&gt;0,K28*(1-fuite_fiscale),K28)</f>
        <v>49119.35</v>
      </c>
      <c r="L29" s="17" t="n">
        <f aca="false">IF(L28&gt;0,L28*(1-fuite_fiscale),L28)</f>
        <v>49119.35</v>
      </c>
      <c r="M29" s="17" t="n">
        <f aca="false">IF(M28&gt;0,M28*(1-fuite_fiscale),M28)</f>
        <v>49119.35</v>
      </c>
      <c r="N29" s="17" t="n">
        <f aca="false">IF(N28&gt;0,N28*(1-fuite_fiscale),N28)</f>
        <v>49119.35</v>
      </c>
      <c r="O29" s="17" t="n">
        <f aca="false">IF(O28&gt;0,O28*(1-fuite_fiscale),O28)</f>
        <v>49119.35</v>
      </c>
      <c r="P29" s="17" t="n">
        <f aca="false">IF(P28&gt;0,P28*(1-fuite_fiscale),P28)</f>
        <v>49119.35</v>
      </c>
      <c r="Q29" s="17" t="n">
        <f aca="false">IF(Q28&gt;0,Q28*(1-fuite_fiscale),Q28)</f>
        <v>49119.35</v>
      </c>
      <c r="R29" s="17" t="n">
        <f aca="false">IF(R28&gt;0,R28*(1-fuite_fiscale),R28)</f>
        <v>49119.35</v>
      </c>
      <c r="S29" s="17" t="n">
        <f aca="false">IF(S28&gt;0,S28*(1-fuite_fiscale),S28)</f>
        <v>49119.35</v>
      </c>
      <c r="T29" s="17" t="n">
        <f aca="false">IF(T28&gt;0,T28*(1-fuite_fiscale),T28)</f>
        <v>49119.35</v>
      </c>
      <c r="U29" s="17" t="n">
        <f aca="false">IF(U28&gt;0,U28*(1-fuite_fiscale),U28)</f>
        <v>49119.35</v>
      </c>
      <c r="V29" s="17" t="n">
        <f aca="false">IF(V28&gt;0,V28*(1-fuite_fiscale),V28)</f>
        <v>49119.35</v>
      </c>
      <c r="W29" s="17" t="n">
        <f aca="false">IF(W28&gt;0,W28*(1-fuite_fiscale),W28)</f>
        <v>49119.35</v>
      </c>
      <c r="X29" s="17" t="n">
        <f aca="false">IF(X28&gt;0,X28*(1-fuite_fiscale),X28)</f>
        <v>49119.35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1225931.7740625</v>
      </c>
      <c r="F35" s="17" t="n">
        <f aca="false">F13+F14+F15+F16+F17+F21+F32-F29-F23-F33-F34</f>
        <v>1215027.57525547</v>
      </c>
      <c r="G35" s="17" t="n">
        <f aca="false">G13+G14+G15+G16+G17+G21+G32-G29-G23-G33-G34</f>
        <v>1209099.93750049</v>
      </c>
      <c r="H35" s="17" t="n">
        <f aca="false">H13+H14+H15+H16+H17+H21+H32-H29-H23-H33-H34</f>
        <v>1215517.6595209</v>
      </c>
      <c r="I35" s="17" t="n">
        <f aca="false">I13+I14+I15+I16+I17+I21+I32-I29-I23-I33-I34</f>
        <v>1222001.81511377</v>
      </c>
      <c r="J35" s="17" t="n">
        <f aca="false">J13+J14+J15+J16+J17+J21+J32-J29-J23-J33-J34</f>
        <v>1228553.33092718</v>
      </c>
      <c r="K35" s="17" t="n">
        <f aca="false">K13+K14+K15+K16+K17+K21+K32-K29-K23-K33-K34</f>
        <v>1235173.14924264</v>
      </c>
      <c r="L35" s="17" t="n">
        <f aca="false">L13+L14+L15+L16+L17+L21+L32-L29-L23-L33-L34</f>
        <v>1241862.22826297</v>
      </c>
      <c r="M35" s="17" t="n">
        <f aca="false">M13+M14+M15+M16+M17+M21+M32-M29-M23-M33-M34</f>
        <v>1248621.54240569</v>
      </c>
      <c r="N35" s="17" t="n">
        <f aca="false">N13+N14+N15+N16+N17+N21+N32-N29-N23-N33-N34</f>
        <v>1255452.08260195</v>
      </c>
      <c r="O35" s="17" t="n">
        <f aca="false">O13+O14+O15+O16+O17+O21+O32-O29-O23-O33-O34</f>
        <v>1262354.85660119</v>
      </c>
      <c r="P35" s="17" t="n">
        <f aca="false">P13+P14+P15+P16+P17+P21+P32-P29-P23-P33-P34</f>
        <v>1269330.88928164</v>
      </c>
      <c r="Q35" s="17" t="n">
        <f aca="false">Q13+Q14+Q15+Q16+Q17+Q21+Q32-Q29-Q23-Q33-Q34</f>
        <v>1276381.22296665</v>
      </c>
      <c r="R35" s="17" t="n">
        <f aca="false">R13+R14+R15+R16+R17+R21+R32-R29-R23-R33-R34</f>
        <v>1283506.91774721</v>
      </c>
      <c r="S35" s="17" t="n">
        <f aca="false">S13+S14+S15+S16+S17+S21+S32-S29-S23-S33-S34</f>
        <v>1290709.05181049</v>
      </c>
      <c r="T35" s="17" t="n">
        <f aca="false">T13+T14+T15+T16+T17+T21+T32-T29-T23-T33-T34</f>
        <v>1297988.72177472</v>
      </c>
      <c r="U35" s="17" t="n">
        <f aca="false">U13+U14+U15+U16+U17+U21+U32-U29-U23-U33-U34</f>
        <v>1305347.04303049</v>
      </c>
      <c r="V35" s="17" t="n">
        <f aca="false">V13+V14+V15+V16+V17+V21+V32-V29-V23-V33-V34</f>
        <v>1312785.15008849</v>
      </c>
      <c r="W35" s="17" t="n">
        <f aca="false">W13+W14+W15+W16+W17+W21+W32-W29-W23-W33-W34</f>
        <v>1320304.196934</v>
      </c>
      <c r="X35" s="17" t="n">
        <f aca="false">X13+X14+X15+X16+X17+X21+X32-X29-X23-X33-X34</f>
        <v>1327905.35738809</v>
      </c>
    </row>
    <row r="36" customFormat="false" ht="15" hidden="false" customHeight="false" outlineLevel="0" collapsed="false">
      <c r="A36" s="2" t="s">
        <v>1877</v>
      </c>
      <c r="B36" s="2" t="s">
        <v>1878</v>
      </c>
      <c r="C36" s="2" t="s">
        <v>1832</v>
      </c>
      <c r="E36" s="17" t="n">
        <f aca="false">IF(AND(E$3&lt;=S2_sol_div_annees,E$3&lt;=st_moteur_div_fin),S2_sol_div*IF(E11=1,0.5,1),0)</f>
        <v>1000000</v>
      </c>
      <c r="F36" s="17" t="n">
        <f aca="false">IF(AND(F$3&lt;=S2_sol_div_annees,F$3&lt;=st_moteur_div_fin),S2_sol_div*IF(F11=1,0.5,1),0)</f>
        <v>1000000</v>
      </c>
      <c r="G36" s="17" t="n">
        <f aca="false">IF(AND(G$3&lt;=S2_sol_div_annees,G$3&lt;=st_moteur_div_fin),S2_sol_div*IF(G11=1,0.5,1),0)</f>
        <v>0</v>
      </c>
      <c r="H36" s="17" t="n">
        <f aca="false">IF(AND(H$3&lt;=S2_sol_div_annees,H$3&lt;=st_moteur_div_fin),S2_sol_div*IF(H11=1,0.5,1),0)</f>
        <v>0</v>
      </c>
      <c r="I36" s="17" t="n">
        <f aca="false">IF(AND(I$3&lt;=S2_sol_div_annees,I$3&lt;=st_moteur_div_fin),S2_sol_div*IF(I11=1,0.5,1),0)</f>
        <v>0</v>
      </c>
      <c r="J36" s="17" t="n">
        <f aca="false">IF(AND(J$3&lt;=S2_sol_div_annees,J$3&lt;=st_moteur_div_fin),S2_sol_div*IF(J11=1,0.5,1),0)</f>
        <v>0</v>
      </c>
      <c r="K36" s="17" t="n">
        <f aca="false">IF(AND(K$3&lt;=S2_sol_div_annees,K$3&lt;=st_moteur_div_fin),S2_sol_div*IF(K11=1,0.5,1),0)</f>
        <v>0</v>
      </c>
      <c r="L36" s="17" t="n">
        <f aca="false">IF(AND(L$3&lt;=S2_sol_div_annees,L$3&lt;=st_moteur_div_fin),S2_sol_div*IF(L11=1,0.5,1),0)</f>
        <v>0</v>
      </c>
      <c r="M36" s="17" t="n">
        <f aca="false">IF(AND(M$3&lt;=S2_sol_div_annees,M$3&lt;=st_moteur_div_fin),S2_sol_div*IF(M11=1,0.5,1),0)</f>
        <v>0</v>
      </c>
      <c r="N36" s="17" t="n">
        <f aca="false">IF(AND(N$3&lt;=S2_sol_div_annees,N$3&lt;=st_moteur_div_fin),S2_sol_div*IF(N11=1,0.5,1),0)</f>
        <v>0</v>
      </c>
      <c r="O36" s="17" t="n">
        <f aca="false">IF(AND(O$3&lt;=S2_sol_div_annees,O$3&lt;=st_moteur_div_fin),S2_sol_div*IF(O11=1,0.5,1),0)</f>
        <v>0</v>
      </c>
      <c r="P36" s="17" t="n">
        <f aca="false">IF(AND(P$3&lt;=S2_sol_div_annees,P$3&lt;=st_moteur_div_fin),S2_sol_div*IF(P11=1,0.5,1),0)</f>
        <v>0</v>
      </c>
      <c r="Q36" s="17" t="n">
        <f aca="false">IF(AND(Q$3&lt;=S2_sol_div_annees,Q$3&lt;=st_moteur_div_fin),S2_sol_div*IF(Q11=1,0.5,1),0)</f>
        <v>0</v>
      </c>
      <c r="R36" s="17" t="n">
        <f aca="false">IF(AND(R$3&lt;=S2_sol_div_annees,R$3&lt;=st_moteur_div_fin),S2_sol_div*IF(R11=1,0.5,1),0)</f>
        <v>0</v>
      </c>
      <c r="S36" s="17" t="n">
        <f aca="false">IF(AND(S$3&lt;=S2_sol_div_annees,S$3&lt;=st_moteur_div_fin),S2_sol_div*IF(S11=1,0.5,1),0)</f>
        <v>0</v>
      </c>
      <c r="T36" s="17" t="n">
        <f aca="false">IF(AND(T$3&lt;=S2_sol_div_annees,T$3&lt;=st_moteur_div_fin),S2_sol_div*IF(T11=1,0.5,1),0)</f>
        <v>0</v>
      </c>
      <c r="U36" s="17" t="n">
        <f aca="false">IF(AND(U$3&lt;=S2_sol_div_annees,U$3&lt;=st_moteur_div_fin),S2_sol_div*IF(U11=1,0.5,1),0)</f>
        <v>0</v>
      </c>
      <c r="V36" s="17" t="n">
        <f aca="false">IF(AND(V$3&lt;=S2_sol_div_annees,V$3&lt;=st_moteur_div_fin),S2_sol_div*IF(V11=1,0.5,1),0)</f>
        <v>0</v>
      </c>
      <c r="W36" s="17" t="n">
        <f aca="false">IF(AND(W$3&lt;=S2_sol_div_annees,W$3&lt;=st_moteur_div_fin),S2_sol_div*IF(W11=1,0.5,1),0)</f>
        <v>0</v>
      </c>
      <c r="X36" s="17" t="n">
        <f aca="false">IF(AND(X$3&lt;=S2_sol_div_annees,X$3&lt;=st_moteur_div_fin),S2_sol_div*IF(X11=1,0.5,1),0)</f>
        <v>0</v>
      </c>
    </row>
    <row r="37" customFormat="false" ht="15" hidden="false" customHeight="false" outlineLevel="0" collapsed="false">
      <c r="A37" s="2" t="s">
        <v>1879</v>
      </c>
      <c r="B37" s="2" t="s">
        <v>1880</v>
      </c>
      <c r="C37" s="2" t="s">
        <v>46</v>
      </c>
      <c r="E37" s="20" t="n">
        <f aca="false">dot_rendement+st_moteur_dot_rdt_delta+IF(E11=1,-0.25,0)</f>
        <v>0.02</v>
      </c>
      <c r="F37" s="20" t="n">
        <f aca="false">dot_rendement+st_moteur_dot_rdt_delta+IF(F11=1,-0.25,0)</f>
        <v>0.02</v>
      </c>
      <c r="G37" s="20" t="n">
        <f aca="false">dot_rendement+st_moteur_dot_rdt_delta+IF(G11=1,-0.25,0)</f>
        <v>0.02</v>
      </c>
      <c r="H37" s="20" t="n">
        <f aca="false">dot_rendement+st_moteur_dot_rdt_delta+IF(H11=1,-0.25,0)</f>
        <v>0.02</v>
      </c>
      <c r="I37" s="20" t="n">
        <f aca="false">dot_rendement+st_moteur_dot_rdt_delta+IF(I11=1,-0.25,0)</f>
        <v>0.02</v>
      </c>
      <c r="J37" s="20" t="n">
        <f aca="false">dot_rendement+st_moteur_dot_rdt_delta+IF(J11=1,-0.25,0)</f>
        <v>0.02</v>
      </c>
      <c r="K37" s="20" t="n">
        <f aca="false">dot_rendement+st_moteur_dot_rdt_delta+IF(K11=1,-0.25,0)</f>
        <v>0.02</v>
      </c>
      <c r="L37" s="20" t="n">
        <f aca="false">dot_rendement+st_moteur_dot_rdt_delta+IF(L11=1,-0.25,0)</f>
        <v>0.02</v>
      </c>
      <c r="M37" s="20" t="n">
        <f aca="false">dot_rendement+st_moteur_dot_rdt_delta+IF(M11=1,-0.25,0)</f>
        <v>0.02</v>
      </c>
      <c r="N37" s="20" t="n">
        <f aca="false">dot_rendement+st_moteur_dot_rdt_delta+IF(N11=1,-0.25,0)</f>
        <v>0.02</v>
      </c>
      <c r="O37" s="20" t="n">
        <f aca="false">dot_rendement+st_moteur_dot_rdt_delta+IF(O11=1,-0.25,0)</f>
        <v>0.02</v>
      </c>
      <c r="P37" s="20" t="n">
        <f aca="false">dot_rendement+st_moteur_dot_rdt_delta+IF(P11=1,-0.25,0)</f>
        <v>0.02</v>
      </c>
      <c r="Q37" s="20" t="n">
        <f aca="false">dot_rendement+st_moteur_dot_rdt_delta+IF(Q11=1,-0.25,0)</f>
        <v>0.02</v>
      </c>
      <c r="R37" s="20" t="n">
        <f aca="false">dot_rendement+st_moteur_dot_rdt_delta+IF(R11=1,-0.25,0)</f>
        <v>0.02</v>
      </c>
      <c r="S37" s="20" t="n">
        <f aca="false">dot_rendement+st_moteur_dot_rdt_delta+IF(S11=1,-0.25,0)</f>
        <v>0.02</v>
      </c>
      <c r="T37" s="20" t="n">
        <f aca="false">dot_rendement+st_moteur_dot_rdt_delta+IF(T11=1,-0.25,0)</f>
        <v>0.02</v>
      </c>
      <c r="U37" s="20" t="n">
        <f aca="false">dot_rendement+st_moteur_dot_rdt_delta+IF(U11=1,-0.25,0)</f>
        <v>0.02</v>
      </c>
      <c r="V37" s="20" t="n">
        <f aca="false">dot_rendement+st_moteur_dot_rdt_delta+IF(V11=1,-0.25,0)</f>
        <v>0.02</v>
      </c>
      <c r="W37" s="20" t="n">
        <f aca="false">dot_rendement+st_moteur_dot_rdt_delta+IF(W11=1,-0.25,0)</f>
        <v>0.02</v>
      </c>
      <c r="X37" s="20" t="n">
        <f aca="false">dot_rendement+st_moteur_dot_rdt_delta+IF(X11=1,-0.25,0)</f>
        <v>0.02</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1649307.37524266</v>
      </c>
      <c r="G38" s="17" t="n">
        <f aca="false">lissage_depense*F38+(1-lissage_depense)*dot_taux_net*MAX(0,F42)</f>
        <v>1654156.77127773</v>
      </c>
      <c r="H38" s="17" t="n">
        <f aca="false">lissage_depense*G38+(1-lissage_depense)*dot_taux_net*MAX(0,G42)</f>
        <v>1658080.45587121</v>
      </c>
      <c r="I38" s="17" t="n">
        <f aca="false">lissage_depense*H38+(1-lissage_depense)*dot_taux_net*MAX(0,H42)</f>
        <v>1661229.15719561</v>
      </c>
      <c r="J38" s="17" t="n">
        <f aca="false">lissage_depense*I38+(1-lissage_depense)*dot_taux_net*MAX(0,I42)</f>
        <v>1663722.40412197</v>
      </c>
      <c r="K38" s="17" t="n">
        <f aca="false">lissage_depense*J38+(1-lissage_depense)*dot_taux_net*MAX(0,J42)</f>
        <v>1665654.73991027</v>
      </c>
      <c r="L38" s="17" t="n">
        <f aca="false">lissage_depense*K38+(1-lissage_depense)*dot_taux_net*MAX(0,K42)</f>
        <v>1667100.69255233</v>
      </c>
      <c r="M38" s="17" t="n">
        <f aca="false">lissage_depense*L38+(1-lissage_depense)*dot_taux_net*MAX(0,L42)</f>
        <v>1668118.75042302</v>
      </c>
      <c r="N38" s="17" t="n">
        <f aca="false">lissage_depense*M38+(1-lissage_depense)*dot_taux_net*MAX(0,M42)</f>
        <v>1668754.54216396</v>
      </c>
      <c r="O38" s="17" t="n">
        <f aca="false">lissage_depense*N38+(1-lissage_depense)*dot_taux_net*MAX(0,N42)</f>
        <v>1669043.37993891</v>
      </c>
      <c r="P38" s="17" t="n">
        <f aca="false">lissage_depense*O38+(1-lissage_depense)*dot_taux_net*MAX(0,O42)</f>
        <v>1669012.29337172</v>
      </c>
      <c r="Q38" s="17" t="n">
        <f aca="false">lissage_depense*P38+(1-lissage_depense)*dot_taux_net*MAX(0,P42)</f>
        <v>1668681.65601533</v>
      </c>
      <c r="R38" s="17" t="n">
        <f aca="false">lissage_depense*Q38+(1-lissage_depense)*dot_taux_net*MAX(0,Q42)</f>
        <v>1668066.48583026</v>
      </c>
      <c r="S38" s="17" t="n">
        <f aca="false">lissage_depense*R38+(1-lissage_depense)*dot_taux_net*MAX(0,R42)</f>
        <v>1667177.48485496</v>
      </c>
      <c r="T38" s="17" t="n">
        <f aca="false">lissage_depense*S38+(1-lissage_depense)*dot_taux_net*MAX(0,S42)</f>
        <v>1666021.87021357</v>
      </c>
      <c r="U38" s="17" t="n">
        <f aca="false">lissage_depense*T38+(1-lissage_depense)*dot_taux_net*MAX(0,T42)</f>
        <v>1664604.03817729</v>
      </c>
      <c r="V38" s="17" t="n">
        <f aca="false">lissage_depense*U38+(1-lissage_depense)*dot_taux_net*MAX(0,U42)</f>
        <v>1662926.09465173</v>
      </c>
      <c r="W38" s="17" t="n">
        <f aca="false">lissage_depense*V38+(1-lissage_depense)*dot_taux_net*MAX(0,V42)</f>
        <v>1660988.27878799</v>
      </c>
      <c r="X38" s="17" t="n">
        <f aca="false">lissage_depense*W38+(1-lissage_depense)*dot_taux_net*MAX(0,W42)</f>
        <v>1658789.3010752</v>
      </c>
    </row>
    <row r="39" customFormat="false" ht="15" hidden="false" customHeight="false" outlineLevel="0" collapsed="false">
      <c r="A39" s="2" t="s">
        <v>1883</v>
      </c>
      <c r="B39" s="2" t="s">
        <v>1884</v>
      </c>
      <c r="C39" s="2" t="s">
        <v>1832</v>
      </c>
      <c r="E39" s="17" t="n">
        <f aca="false">MIN(MAX(0,E35-E36),IF(E12=1,MAX(E38,retrait_urgence*MAX(0,D42)),E38))</f>
        <v>225931.7740625</v>
      </c>
      <c r="F39" s="17" t="n">
        <f aca="false">MIN(MAX(0,F35-F36),IF(F12=1,MAX(F38,retrait_urgence*MAX(0,E42)),F38))</f>
        <v>215027.575255469</v>
      </c>
      <c r="G39" s="17" t="n">
        <f aca="false">MIN(MAX(0,G35-G36),IF(G12=1,MAX(G38,retrait_urgence*MAX(0,F42)),G38))</f>
        <v>1209099.93750049</v>
      </c>
      <c r="H39" s="17" t="n">
        <f aca="false">MIN(MAX(0,H35-H36),IF(H12=1,MAX(H38,retrait_urgence*MAX(0,G42)),H38))</f>
        <v>1215517.6595209</v>
      </c>
      <c r="I39" s="17" t="n">
        <f aca="false">MIN(MAX(0,I35-I36),IF(I12=1,MAX(I38,retrait_urgence*MAX(0,H42)),I38))</f>
        <v>1222001.81511377</v>
      </c>
      <c r="J39" s="17" t="n">
        <f aca="false">MIN(MAX(0,J35-J36),IF(J12=1,MAX(J38,retrait_urgence*MAX(0,I42)),J38))</f>
        <v>1228553.33092718</v>
      </c>
      <c r="K39" s="17" t="n">
        <f aca="false">MIN(MAX(0,K35-K36),IF(K12=1,MAX(K38,retrait_urgence*MAX(0,J42)),K38))</f>
        <v>1235173.14924264</v>
      </c>
      <c r="L39" s="17" t="n">
        <f aca="false">MIN(MAX(0,L35-L36),IF(L12=1,MAX(L38,retrait_urgence*MAX(0,K42)),L38))</f>
        <v>1241862.22826297</v>
      </c>
      <c r="M39" s="17" t="n">
        <f aca="false">MIN(MAX(0,M35-M36),IF(M12=1,MAX(M38,retrait_urgence*MAX(0,L42)),M38))</f>
        <v>1248621.54240569</v>
      </c>
      <c r="N39" s="17" t="n">
        <f aca="false">MIN(MAX(0,N35-N36),IF(N12=1,MAX(N38,retrait_urgence*MAX(0,M42)),N38))</f>
        <v>1255452.08260195</v>
      </c>
      <c r="O39" s="17" t="n">
        <f aca="false">MIN(MAX(0,O35-O36),IF(O12=1,MAX(O38,retrait_urgence*MAX(0,N42)),O38))</f>
        <v>1262354.85660119</v>
      </c>
      <c r="P39" s="17" t="n">
        <f aca="false">MIN(MAX(0,P35-P36),IF(P12=1,MAX(P38,retrait_urgence*MAX(0,O42)),P38))</f>
        <v>1269330.88928164</v>
      </c>
      <c r="Q39" s="17" t="n">
        <f aca="false">MIN(MAX(0,Q35-Q36),IF(Q12=1,MAX(Q38,retrait_urgence*MAX(0,P42)),Q38))</f>
        <v>1276381.22296665</v>
      </c>
      <c r="R39" s="17" t="n">
        <f aca="false">MIN(MAX(0,R35-R36),IF(R12=1,MAX(R38,retrait_urgence*MAX(0,Q42)),R38))</f>
        <v>1283506.91774721</v>
      </c>
      <c r="S39" s="17" t="n">
        <f aca="false">MIN(MAX(0,S35-S36),IF(S12=1,MAX(S38,retrait_urgence*MAX(0,R42)),S38))</f>
        <v>1290709.05181049</v>
      </c>
      <c r="T39" s="17" t="n">
        <f aca="false">MIN(MAX(0,T35-T36),IF(T12=1,MAX(T38,retrait_urgence*MAX(0,S42)),T38))</f>
        <v>1297988.72177472</v>
      </c>
      <c r="U39" s="17" t="n">
        <f aca="false">MIN(MAX(0,U35-U36),IF(U12=1,MAX(U38,retrait_urgence*MAX(0,T42)),U38))</f>
        <v>1305347.04303049</v>
      </c>
      <c r="V39" s="17" t="n">
        <f aca="false">MIN(MAX(0,V35-V36),IF(V12=1,MAX(V38,retrait_urgence*MAX(0,U42)),V38))</f>
        <v>1312785.15008849</v>
      </c>
      <c r="W39" s="17" t="n">
        <f aca="false">MIN(MAX(0,W35-W36),IF(W12=1,MAX(W38,retrait_urgence*MAX(0,V42)),W38))</f>
        <v>1320304.196934</v>
      </c>
      <c r="X39" s="17" t="n">
        <f aca="false">MIN(MAX(0,X35-X36),IF(X12=1,MAX(X38,retrait_urgence*MAX(0,W42)),X38))</f>
        <v>1327905.35738809</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59874068.2259375</v>
      </c>
      <c r="F42" s="23" t="n">
        <f aca="false">MAX(0,E42)*(1+F37)-F39+F41-F31</f>
        <v>60856522.0152008</v>
      </c>
      <c r="G42" s="23" t="n">
        <f aca="false">MAX(0,F42)*(1+G37)-G39+G41-G31</f>
        <v>60864552.5180043</v>
      </c>
      <c r="H42" s="23" t="n">
        <f aca="false">MAX(0,G42)*(1+H37)-H39+H41-H31</f>
        <v>60866325.9088435</v>
      </c>
      <c r="I42" s="23" t="n">
        <f aca="false">MAX(0,H42)*(1+I37)-I39+I41-I31</f>
        <v>60861650.6119066</v>
      </c>
      <c r="J42" s="23" t="n">
        <f aca="false">MAX(0,I42)*(1+J37)-J39+J41-J31</f>
        <v>60850330.2932176</v>
      </c>
      <c r="K42" s="23" t="n">
        <f aca="false">MAX(0,J42)*(1+K37)-K39+K41-K31</f>
        <v>60832163.7498393</v>
      </c>
      <c r="L42" s="23" t="n">
        <f aca="false">MAX(0,K42)*(1+L37)-L39+L41-L31</f>
        <v>60806944.7965731</v>
      </c>
      <c r="M42" s="23" t="n">
        <f aca="false">MAX(0,L42)*(1+M37)-M39+M41-M31</f>
        <v>60774462.1500989</v>
      </c>
      <c r="N42" s="23" t="n">
        <f aca="false">MAX(0,M42)*(1+N37)-N39+N41-N31</f>
        <v>60734499.3104989</v>
      </c>
      <c r="O42" s="23" t="n">
        <f aca="false">MAX(0,N42)*(1+O37)-O39+O41-O31</f>
        <v>60686834.4401077</v>
      </c>
      <c r="P42" s="23" t="n">
        <f aca="false">MAX(0,O42)*(1+P37)-P39+P41-P31</f>
        <v>60631240.2396282</v>
      </c>
      <c r="Q42" s="23" t="n">
        <f aca="false">MAX(0,P42)*(1+Q37)-Q39+Q41-Q31</f>
        <v>60567483.8214541</v>
      </c>
      <c r="R42" s="23" t="n">
        <f aca="false">MAX(0,Q42)*(1+R37)-R39+R41-R31</f>
        <v>60495326.580136</v>
      </c>
      <c r="S42" s="23" t="n">
        <f aca="false">MAX(0,R42)*(1+S37)-S39+S41-S31</f>
        <v>60414524.0599282</v>
      </c>
      <c r="T42" s="23" t="n">
        <f aca="false">MAX(0,S42)*(1+T37)-T39+T41-T31</f>
        <v>60324825.819352</v>
      </c>
      <c r="U42" s="23" t="n">
        <f aca="false">MAX(0,T42)*(1+U37)-U39+U41-U31</f>
        <v>60225975.2927086</v>
      </c>
      <c r="V42" s="23" t="n">
        <f aca="false">MAX(0,U42)*(1+V37)-V39+V41-V31</f>
        <v>60117709.6484743</v>
      </c>
      <c r="W42" s="23" t="n">
        <f aca="false">MAX(0,V42)*(1+W37)-W39+W41-W31</f>
        <v>59999759.6445098</v>
      </c>
      <c r="X42" s="23" t="n">
        <f aca="false">MAX(0,W42)*(1+X37)-X39+X41-X31</f>
        <v>59871849.4800119</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2148404.87517461</v>
      </c>
      <c r="K44" s="23" t="n">
        <f aca="false">K43+K22</f>
        <v>2476259.13224881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1.34045857462314</v>
      </c>
      <c r="F45" s="24" t="n">
        <f aca="false">(F29+F38)/F18</f>
        <v>1.34690567731581</v>
      </c>
      <c r="G45" s="24" t="n">
        <f aca="false">(G29+G38)/G18</f>
        <v>1.35371960849636</v>
      </c>
      <c r="H45" s="24" t="n">
        <f aca="false">(H29+H38)/H18</f>
        <v>1.34995243142376</v>
      </c>
      <c r="I45" s="24" t="n">
        <f aca="false">(I29+I38)/I18</f>
        <v>1.34554325278859</v>
      </c>
      <c r="J45" s="24" t="n">
        <f aca="false">(J29+J38)/J18</f>
        <v>1.34059511461026</v>
      </c>
      <c r="K45" s="24" t="n">
        <f aca="false">(K29+K38)/K18</f>
        <v>1.33518967908128</v>
      </c>
      <c r="L45" s="24" t="n">
        <f aca="false">(L29+L38)/L18</f>
        <v>1.32939158191671</v>
      </c>
      <c r="M45" s="24" t="n">
        <f aca="false">(M29+M38)/M18</f>
        <v>1.32325189910575</v>
      </c>
      <c r="N45" s="24" t="n">
        <f aca="false">(N29+N38)/N18</f>
        <v>1.31681090757728</v>
      </c>
      <c r="O45" s="24" t="n">
        <f aca="false">(O29+O38)/O18</f>
        <v>1.31010028355166</v>
      </c>
      <c r="P45" s="24" t="n">
        <f aca="false">(P29+P38)/P18</f>
        <v>1.3031448530874</v>
      </c>
      <c r="Q45" s="24" t="n">
        <f aca="false">(Q29+Q38)/Q18</f>
        <v>1.29596398602126</v>
      </c>
      <c r="R45" s="24" t="n">
        <f aca="false">(R29+R38)/R18</f>
        <v>1.28857270593438</v>
      </c>
      <c r="S45" s="24" t="n">
        <f aca="false">(S29+S38)/S18</f>
        <v>1.28098257398914</v>
      </c>
      <c r="T45" s="24" t="n">
        <f aca="false">(T29+T38)/T18</f>
        <v>1.27320239270335</v>
      </c>
      <c r="U45" s="24" t="n">
        <f aca="false">(U29+U38)/U18</f>
        <v>1.26523876634769</v>
      </c>
      <c r="V45" s="24" t="n">
        <f aca="false">(V29+V38)/V18</f>
        <v>1.25709654718117</v>
      </c>
      <c r="W45" s="24" t="n">
        <f aca="false">(W29+W38)/W18</f>
        <v>1.24877919078926</v>
      </c>
      <c r="X45" s="24" t="n">
        <f aca="false">(X29+X38)/X18</f>
        <v>1.24028903905052</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1908</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pilotage_actif*IF(D43&lt;flex_seuil*bud_total_besoin_S2,1,0)</f>
        <v>0</v>
      </c>
      <c r="F12" s="22" t="n">
        <f aca="false">pilotage_actif*IF(E43&lt;flex_seuil*bud_total_besoin_S2,1,0)</f>
        <v>0</v>
      </c>
      <c r="G12" s="22" t="n">
        <f aca="false">pilotage_actif*IF(F43&lt;flex_seuil*bud_total_besoin_S2,1,0)</f>
        <v>0</v>
      </c>
      <c r="H12" s="22" t="n">
        <f aca="false">pilotage_actif*IF(G43&lt;flex_seuil*bud_total_besoin_S2,1,0)</f>
        <v>0</v>
      </c>
      <c r="I12" s="22" t="n">
        <f aca="false">pilotage_actif*IF(H43&lt;flex_seuil*bud_total_besoin_S2,1,0)</f>
        <v>0</v>
      </c>
      <c r="J12" s="22" t="n">
        <f aca="false">pilotage_actif*IF(I43&lt;flex_seuil*bud_total_besoin_S2,1,0)</f>
        <v>0</v>
      </c>
      <c r="K12" s="22" t="n">
        <f aca="false">pilotage_actif*IF(J43&lt;flex_seuil*bud_total_besoin_S2,1,0)</f>
        <v>0</v>
      </c>
      <c r="L12" s="22" t="n">
        <f aca="false">pilotage_actif*IF(K43&lt;flex_seuil*bud_total_besoin_S2,1,0)</f>
        <v>0</v>
      </c>
      <c r="M12" s="22" t="n">
        <f aca="false">pilotage_actif*IF(L43&lt;flex_seuil*bud_total_besoin_S2,1,0)</f>
        <v>0</v>
      </c>
      <c r="N12" s="22" t="n">
        <f aca="false">pilotage_actif*IF(M43&lt;flex_seuil*bud_total_besoin_S2,1,0)</f>
        <v>0</v>
      </c>
      <c r="O12" s="22" t="n">
        <f aca="false">pilotage_actif*IF(N43&lt;flex_seuil*bud_total_besoin_S2,1,0)</f>
        <v>0</v>
      </c>
      <c r="P12" s="22" t="n">
        <f aca="false">pilotage_actif*IF(O43&lt;flex_seuil*bud_total_besoin_S2,1,0)</f>
        <v>0</v>
      </c>
      <c r="Q12" s="22" t="n">
        <f aca="false">pilotage_actif*IF(P43&lt;flex_seuil*bud_total_besoin_S2,1,0)</f>
        <v>0</v>
      </c>
      <c r="R12" s="22" t="n">
        <f aca="false">pilotage_actif*IF(Q43&lt;flex_seuil*bud_total_besoin_S2,1,0)</f>
        <v>0</v>
      </c>
      <c r="S12" s="22" t="n">
        <f aca="false">pilotage_actif*IF(R43&lt;flex_seuil*bud_total_besoin_S2,1,0)</f>
        <v>0</v>
      </c>
      <c r="T12" s="22" t="n">
        <f aca="false">pilotage_actif*IF(S43&lt;flex_seuil*bud_total_besoin_S2,1,0)</f>
        <v>0</v>
      </c>
      <c r="U12" s="22" t="n">
        <f aca="false">pilotage_actif*IF(T43&lt;flex_seuil*bud_total_besoin_S2,1,0)</f>
        <v>0</v>
      </c>
      <c r="V12" s="22" t="n">
        <f aca="false">pilotage_actif*IF(U43&lt;flex_seuil*bud_total_besoin_S2,1,0)</f>
        <v>0</v>
      </c>
      <c r="W12" s="22" t="n">
        <f aca="false">pilotage_actif*IF(V43&lt;flex_seuil*bud_total_besoin_S2,1,0)</f>
        <v>0</v>
      </c>
      <c r="X12" s="22" t="n">
        <f aca="false">pilotage_actif*IF(W43&lt;flex_seuil*bud_total_besoin_S2,1,0)</f>
        <v>0</v>
      </c>
    </row>
    <row r="13" customFormat="false" ht="15" hidden="false" customHeight="false" outlineLevel="0" collapsed="false">
      <c r="A13" s="2" t="s">
        <v>1830</v>
      </c>
      <c r="B13" s="2" t="s">
        <v>1831</v>
      </c>
      <c r="C13" s="2" t="s">
        <v>1832</v>
      </c>
      <c r="E13" s="17" t="n">
        <f aca="false">bud_dont_personnel_S2*E5</f>
        <v>410210.22</v>
      </c>
      <c r="F13" s="17" t="n">
        <f aca="false">bud_dont_personnel_S2*F5</f>
        <v>416363.3733</v>
      </c>
      <c r="G13" s="17" t="n">
        <f aca="false">bud_dont_personnel_S2*G5</f>
        <v>422608.8238995</v>
      </c>
      <c r="H13" s="17" t="n">
        <f aca="false">bud_dont_personnel_S2*H5</f>
        <v>428947.956257992</v>
      </c>
      <c r="I13" s="17" t="n">
        <f aca="false">bud_dont_personnel_S2*I5</f>
        <v>435382.175601862</v>
      </c>
      <c r="J13" s="17" t="n">
        <f aca="false">bud_dont_personnel_S2*J5</f>
        <v>441912.90823589</v>
      </c>
      <c r="K13" s="17" t="n">
        <f aca="false">bud_dont_personnel_S2*K5</f>
        <v>448541.601859428</v>
      </c>
      <c r="L13" s="17" t="n">
        <f aca="false">bud_dont_personnel_S2*L5</f>
        <v>455269.72588732</v>
      </c>
      <c r="M13" s="17" t="n">
        <f aca="false">bud_dont_personnel_S2*M5</f>
        <v>462098.771775629</v>
      </c>
      <c r="N13" s="17" t="n">
        <f aca="false">bud_dont_personnel_S2*N5</f>
        <v>469030.253352264</v>
      </c>
      <c r="O13" s="17" t="n">
        <f aca="false">bud_dont_personnel_S2*O5</f>
        <v>476065.707152548</v>
      </c>
      <c r="P13" s="17" t="n">
        <f aca="false">bud_dont_personnel_S2*P5</f>
        <v>483206.692759836</v>
      </c>
      <c r="Q13" s="17" t="n">
        <f aca="false">bud_dont_personnel_S2*Q5</f>
        <v>490454.793151233</v>
      </c>
      <c r="R13" s="17" t="n">
        <f aca="false">bud_dont_personnel_S2*R5</f>
        <v>497811.615048502</v>
      </c>
      <c r="S13" s="17" t="n">
        <f aca="false">bud_dont_personnel_S2*S5</f>
        <v>505278.789274229</v>
      </c>
      <c r="T13" s="17" t="n">
        <f aca="false">bud_dont_personnel_S2*T5</f>
        <v>512857.971113343</v>
      </c>
      <c r="U13" s="17" t="n">
        <f aca="false">bud_dont_personnel_S2*U5</f>
        <v>520550.840680043</v>
      </c>
      <c r="V13" s="17" t="n">
        <f aca="false">bud_dont_personnel_S2*V5</f>
        <v>528359.103290243</v>
      </c>
      <c r="W13" s="17" t="n">
        <f aca="false">bud_dont_personnel_S2*W5</f>
        <v>536284.489839597</v>
      </c>
      <c r="X13" s="17" t="n">
        <f aca="false">bud_dont_personnel_S2*X5</f>
        <v>544328.757187191</v>
      </c>
    </row>
    <row r="14" customFormat="false" ht="15" hidden="false" customHeight="false" outlineLevel="0" collapsed="false">
      <c r="A14" s="2" t="s">
        <v>1833</v>
      </c>
      <c r="B14" s="2" t="s">
        <v>1834</v>
      </c>
      <c r="C14" s="2" t="s">
        <v>1832</v>
      </c>
      <c r="E14" s="17" t="n">
        <f aca="false">(bud_chauffage_S2+bud_hors_gel_S2+bud_electricite_S2)*E7*IF(AND(E$3&gt;=st_cumul_energie_debut,E$3&lt;=st_cumul_energie_fin),st_cumul_energie_mult,1)</f>
        <v>52815.6</v>
      </c>
      <c r="F14" s="17" t="n">
        <f aca="false">(bud_chauffage_S2+bud_hors_gel_S2+bud_electricite_S2)*F7*IF(AND(F$3&gt;=st_cumul_energie_debut,F$3&lt;=st_cumul_energie_fin),st_cumul_energie_mult,1)</f>
        <v>53871.912</v>
      </c>
      <c r="G14" s="17" t="n">
        <f aca="false">(bud_chauffage_S2+bud_hors_gel_S2+bud_electricite_S2)*G7*IF(AND(G$3&gt;=st_cumul_energie_debut,G$3&lt;=st_cumul_energie_fin),st_cumul_energie_mult,1)</f>
        <v>54949.35024</v>
      </c>
      <c r="H14" s="17" t="n">
        <f aca="false">(bud_chauffage_S2+bud_hors_gel_S2+bud_electricite_S2)*H7*IF(AND(H$3&gt;=st_cumul_energie_debut,H$3&lt;=st_cumul_energie_fin),st_cumul_energie_mult,1)</f>
        <v>56048.3372448</v>
      </c>
      <c r="I14" s="17" t="n">
        <f aca="false">(bud_chauffage_S2+bud_hors_gel_S2+bud_electricite_S2)*I7*IF(AND(I$3&gt;=st_cumul_energie_debut,I$3&lt;=st_cumul_energie_fin),st_cumul_energie_mult,1)</f>
        <v>57169.303989696</v>
      </c>
      <c r="J14" s="17" t="n">
        <f aca="false">(bud_chauffage_S2+bud_hors_gel_S2+bud_electricite_S2)*J7*IF(AND(J$3&gt;=st_cumul_energie_debut,J$3&lt;=st_cumul_energie_fin),st_cumul_energie_mult,1)</f>
        <v>58312.6900694899</v>
      </c>
      <c r="K14" s="17" t="n">
        <f aca="false">(bud_chauffage_S2+bud_hors_gel_S2+bud_electricite_S2)*K7*IF(AND(K$3&gt;=st_cumul_energie_debut,K$3&lt;=st_cumul_energie_fin),st_cumul_energie_mult,1)</f>
        <v>59478.9438708797</v>
      </c>
      <c r="L14" s="17" t="n">
        <f aca="false">(bud_chauffage_S2+bud_hors_gel_S2+bud_electricite_S2)*L7*IF(AND(L$3&gt;=st_cumul_energie_debut,L$3&lt;=st_cumul_energie_fin),st_cumul_energie_mult,1)</f>
        <v>60668.5227482973</v>
      </c>
      <c r="M14" s="17" t="n">
        <f aca="false">(bud_chauffage_S2+bud_hors_gel_S2+bud_electricite_S2)*M7*IF(AND(M$3&gt;=st_cumul_energie_debut,M$3&lt;=st_cumul_energie_fin),st_cumul_energie_mult,1)</f>
        <v>61881.8932032633</v>
      </c>
      <c r="N14" s="17" t="n">
        <f aca="false">(bud_chauffage_S2+bud_hors_gel_S2+bud_electricite_S2)*N7*IF(AND(N$3&gt;=st_cumul_energie_debut,N$3&lt;=st_cumul_energie_fin),st_cumul_energie_mult,1)</f>
        <v>63119.5310673285</v>
      </c>
      <c r="O14" s="17" t="n">
        <f aca="false">(bud_chauffage_S2+bud_hors_gel_S2+bud_electricite_S2)*O7*IF(AND(O$3&gt;=st_cumul_energie_debut,O$3&lt;=st_cumul_energie_fin),st_cumul_energie_mult,1)</f>
        <v>64381.9216886751</v>
      </c>
      <c r="P14" s="17" t="n">
        <f aca="false">(bud_chauffage_S2+bud_hors_gel_S2+bud_electricite_S2)*P7*IF(AND(P$3&gt;=st_cumul_energie_debut,P$3&lt;=st_cumul_energie_fin),st_cumul_energie_mult,1)</f>
        <v>65669.5601224486</v>
      </c>
      <c r="Q14" s="17" t="n">
        <f aca="false">(bud_chauffage_S2+bud_hors_gel_S2+bud_electricite_S2)*Q7*IF(AND(Q$3&gt;=st_cumul_energie_debut,Q$3&lt;=st_cumul_energie_fin),st_cumul_energie_mult,1)</f>
        <v>66982.9513248976</v>
      </c>
      <c r="R14" s="17" t="n">
        <f aca="false">(bud_chauffage_S2+bud_hors_gel_S2+bud_electricite_S2)*R7*IF(AND(R$3&gt;=st_cumul_energie_debut,R$3&lt;=st_cumul_energie_fin),st_cumul_energie_mult,1)</f>
        <v>68322.6103513955</v>
      </c>
      <c r="S14" s="17" t="n">
        <f aca="false">(bud_chauffage_S2+bud_hors_gel_S2+bud_electricite_S2)*S7*IF(AND(S$3&gt;=st_cumul_energie_debut,S$3&lt;=st_cumul_energie_fin),st_cumul_energie_mult,1)</f>
        <v>69689.0625584235</v>
      </c>
      <c r="T14" s="17" t="n">
        <f aca="false">(bud_chauffage_S2+bud_hors_gel_S2+bud_electricite_S2)*T7*IF(AND(T$3&gt;=st_cumul_energie_debut,T$3&lt;=st_cumul_energie_fin),st_cumul_energie_mult,1)</f>
        <v>71082.8438095919</v>
      </c>
      <c r="U14" s="17" t="n">
        <f aca="false">(bud_chauffage_S2+bud_hors_gel_S2+bud_electricite_S2)*U7*IF(AND(U$3&gt;=st_cumul_energie_debut,U$3&lt;=st_cumul_energie_fin),st_cumul_energie_mult,1)</f>
        <v>72504.5006857838</v>
      </c>
      <c r="V14" s="17" t="n">
        <f aca="false">(bud_chauffage_S2+bud_hors_gel_S2+bud_electricite_S2)*V7*IF(AND(V$3&gt;=st_cumul_energie_debut,V$3&lt;=st_cumul_energie_fin),st_cumul_energie_mult,1)</f>
        <v>73954.5906994994</v>
      </c>
      <c r="W14" s="17" t="n">
        <f aca="false">(bud_chauffage_S2+bud_hors_gel_S2+bud_electricite_S2)*W7*IF(AND(W$3&gt;=st_cumul_energie_debut,W$3&lt;=st_cumul_energie_fin),st_cumul_energie_mult,1)</f>
        <v>75433.6825134894</v>
      </c>
      <c r="X14" s="17" t="n">
        <f aca="false">(bud_chauffage_S2+bud_hors_gel_S2+bud_electricite_S2)*X7*IF(AND(X$3&gt;=st_cumul_energie_debut,X$3&lt;=st_cumul_energie_fin),st_cumul_energie_mult,1)</f>
        <v>76942.3561637592</v>
      </c>
    </row>
    <row r="15" customFormat="false" ht="15" hidden="false" customHeight="false" outlineLevel="0" collapsed="false">
      <c r="A15" s="2" t="s">
        <v>1835</v>
      </c>
      <c r="B15" s="2" t="s">
        <v>1836</v>
      </c>
      <c r="C15" s="2" t="s">
        <v>1832</v>
      </c>
      <c r="E15" s="17" t="n">
        <f aca="false">(bud_assurance_bati_S2+bud_assurance_autres_S2)*E8</f>
        <v>45908.8875</v>
      </c>
      <c r="F15" s="17" t="n">
        <f aca="false">(bud_assurance_bati_S2+bud_assurance_autres_S2)*F8</f>
        <v>46758.20191875</v>
      </c>
      <c r="G15" s="17" t="n">
        <f aca="false">(bud_assurance_bati_S2+bud_assurance_autres_S2)*G8</f>
        <v>47623.2286542469</v>
      </c>
      <c r="H15" s="17" t="n">
        <f aca="false">(bud_assurance_bati_S2+bud_assurance_autres_S2)*H8</f>
        <v>48504.2583843504</v>
      </c>
      <c r="I15" s="17" t="n">
        <f aca="false">(bud_assurance_bati_S2+bud_assurance_autres_S2)*I8</f>
        <v>49401.5871644609</v>
      </c>
      <c r="J15" s="17" t="n">
        <f aca="false">(bud_assurance_bati_S2+bud_assurance_autres_S2)*J8</f>
        <v>50315.5165270035</v>
      </c>
      <c r="K15" s="17" t="n">
        <f aca="false">(bud_assurance_bati_S2+bud_assurance_autres_S2)*K8</f>
        <v>51246.353582753</v>
      </c>
      <c r="L15" s="17" t="n">
        <f aca="false">(bud_assurance_bati_S2+bud_assurance_autres_S2)*L8</f>
        <v>52194.4111240339</v>
      </c>
      <c r="M15" s="17" t="n">
        <f aca="false">(bud_assurance_bati_S2+bud_assurance_autres_S2)*M8</f>
        <v>53160.0077298286</v>
      </c>
      <c r="N15" s="17" t="n">
        <f aca="false">(bud_assurance_bati_S2+bud_assurance_autres_S2)*N8</f>
        <v>54143.4678728304</v>
      </c>
      <c r="O15" s="17" t="n">
        <f aca="false">(bud_assurance_bati_S2+bud_assurance_autres_S2)*O8</f>
        <v>55145.1220284777</v>
      </c>
      <c r="P15" s="17" t="n">
        <f aca="false">(bud_assurance_bati_S2+bud_assurance_autres_S2)*P8</f>
        <v>56165.3067860046</v>
      </c>
      <c r="Q15" s="17" t="n">
        <f aca="false">(bud_assurance_bati_S2+bud_assurance_autres_S2)*Q8</f>
        <v>57204.3649615457</v>
      </c>
      <c r="R15" s="17" t="n">
        <f aca="false">(bud_assurance_bati_S2+bud_assurance_autres_S2)*R8</f>
        <v>58262.6457133343</v>
      </c>
      <c r="S15" s="17" t="n">
        <f aca="false">(bud_assurance_bati_S2+bud_assurance_autres_S2)*S8</f>
        <v>59340.5046590309</v>
      </c>
      <c r="T15" s="17" t="n">
        <f aca="false">(bud_assurance_bati_S2+bud_assurance_autres_S2)*T8</f>
        <v>60438.303995223</v>
      </c>
      <c r="U15" s="17" t="n">
        <f aca="false">(bud_assurance_bati_S2+bud_assurance_autres_S2)*U8</f>
        <v>61556.4126191346</v>
      </c>
      <c r="V15" s="17" t="n">
        <f aca="false">(bud_assurance_bati_S2+bud_assurance_autres_S2)*V8</f>
        <v>62695.2062525886</v>
      </c>
      <c r="W15" s="17" t="n">
        <f aca="false">(bud_assurance_bati_S2+bud_assurance_autres_S2)*W8</f>
        <v>63855.0675682615</v>
      </c>
      <c r="X15" s="17" t="n">
        <f aca="false">(bud_assurance_bati_S2+bud_assurance_autres_S2)*X8</f>
        <v>65036.3863182743</v>
      </c>
    </row>
    <row r="16" customFormat="false" ht="15" hidden="false" customHeight="false" outlineLevel="0" collapsed="false">
      <c r="A16" s="2" t="s">
        <v>1837</v>
      </c>
      <c r="B16" s="2" t="s">
        <v>1838</v>
      </c>
      <c r="C16" s="2" t="s">
        <v>1832</v>
      </c>
      <c r="E16" s="17" t="n">
        <f aca="false">bud_total_besoin_S2-bud_dont_personnel_S2-bud_bati_ge_S2-bud_imprevus_travaux_S2-bud_chauffage_S2-bud_hors_gel_S2-bud_electricite_S2-bud_assurance_bati_S2-bud_assurance_autres_S2</f>
        <v>427205.81</v>
      </c>
      <c r="F16" s="17" t="n">
        <f aca="false">bud_total_besoin_S2-bud_dont_personnel_S2-bud_bati_ge_S2-bud_imprevus_travaux_S2-bud_chauffage_S2-bud_hors_gel_S2-bud_electricite_S2-bud_assurance_bati_S2-bud_assurance_autres_S2</f>
        <v>427205.81</v>
      </c>
      <c r="G16" s="17" t="n">
        <f aca="false">bud_total_besoin_S2-bud_dont_personnel_S2-bud_bati_ge_S2-bud_imprevus_travaux_S2-bud_chauffage_S2-bud_hors_gel_S2-bud_electricite_S2-bud_assurance_bati_S2-bud_assurance_autres_S2</f>
        <v>427205.81</v>
      </c>
      <c r="H16" s="17" t="n">
        <f aca="false">bud_total_besoin_S2-bud_dont_personnel_S2-bud_bati_ge_S2-bud_imprevus_travaux_S2-bud_chauffage_S2-bud_hors_gel_S2-bud_electricite_S2-bud_assurance_bati_S2-bud_assurance_autres_S2</f>
        <v>427205.81</v>
      </c>
      <c r="I16" s="17" t="n">
        <f aca="false">bud_total_besoin_S2-bud_dont_personnel_S2-bud_bati_ge_S2-bud_imprevus_travaux_S2-bud_chauffage_S2-bud_hors_gel_S2-bud_electricite_S2-bud_assurance_bati_S2-bud_assurance_autres_S2</f>
        <v>427205.81</v>
      </c>
      <c r="J16" s="17" t="n">
        <f aca="false">bud_total_besoin_S2-bud_dont_personnel_S2-bud_bati_ge_S2-bud_imprevus_travaux_S2-bud_chauffage_S2-bud_hors_gel_S2-bud_electricite_S2-bud_assurance_bati_S2-bud_assurance_autres_S2</f>
        <v>427205.81</v>
      </c>
      <c r="K16" s="17" t="n">
        <f aca="false">bud_total_besoin_S2-bud_dont_personnel_S2-bud_bati_ge_S2-bud_imprevus_travaux_S2-bud_chauffage_S2-bud_hors_gel_S2-bud_electricite_S2-bud_assurance_bati_S2-bud_assurance_autres_S2</f>
        <v>427205.81</v>
      </c>
      <c r="L16" s="17" t="n">
        <f aca="false">bud_total_besoin_S2-bud_dont_personnel_S2-bud_bati_ge_S2-bud_imprevus_travaux_S2-bud_chauffage_S2-bud_hors_gel_S2-bud_electricite_S2-bud_assurance_bati_S2-bud_assurance_autres_S2</f>
        <v>427205.81</v>
      </c>
      <c r="M16" s="17" t="n">
        <f aca="false">bud_total_besoin_S2-bud_dont_personnel_S2-bud_bati_ge_S2-bud_imprevus_travaux_S2-bud_chauffage_S2-bud_hors_gel_S2-bud_electricite_S2-bud_assurance_bati_S2-bud_assurance_autres_S2</f>
        <v>427205.81</v>
      </c>
      <c r="N16" s="17" t="n">
        <f aca="false">bud_total_besoin_S2-bud_dont_personnel_S2-bud_bati_ge_S2-bud_imprevus_travaux_S2-bud_chauffage_S2-bud_hors_gel_S2-bud_electricite_S2-bud_assurance_bati_S2-bud_assurance_autres_S2</f>
        <v>427205.81</v>
      </c>
      <c r="O16" s="17" t="n">
        <f aca="false">bud_total_besoin_S2-bud_dont_personnel_S2-bud_bati_ge_S2-bud_imprevus_travaux_S2-bud_chauffage_S2-bud_hors_gel_S2-bud_electricite_S2-bud_assurance_bati_S2-bud_assurance_autres_S2</f>
        <v>427205.81</v>
      </c>
      <c r="P16" s="17" t="n">
        <f aca="false">bud_total_besoin_S2-bud_dont_personnel_S2-bud_bati_ge_S2-bud_imprevus_travaux_S2-bud_chauffage_S2-bud_hors_gel_S2-bud_electricite_S2-bud_assurance_bati_S2-bud_assurance_autres_S2</f>
        <v>427205.81</v>
      </c>
      <c r="Q16" s="17" t="n">
        <f aca="false">bud_total_besoin_S2-bud_dont_personnel_S2-bud_bati_ge_S2-bud_imprevus_travaux_S2-bud_chauffage_S2-bud_hors_gel_S2-bud_electricite_S2-bud_assurance_bati_S2-bud_assurance_autres_S2</f>
        <v>427205.81</v>
      </c>
      <c r="R16" s="17" t="n">
        <f aca="false">bud_total_besoin_S2-bud_dont_personnel_S2-bud_bati_ge_S2-bud_imprevus_travaux_S2-bud_chauffage_S2-bud_hors_gel_S2-bud_electricite_S2-bud_assurance_bati_S2-bud_assurance_autres_S2</f>
        <v>427205.81</v>
      </c>
      <c r="S16" s="17" t="n">
        <f aca="false">bud_total_besoin_S2-bud_dont_personnel_S2-bud_bati_ge_S2-bud_imprevus_travaux_S2-bud_chauffage_S2-bud_hors_gel_S2-bud_electricite_S2-bud_assurance_bati_S2-bud_assurance_autres_S2</f>
        <v>427205.81</v>
      </c>
      <c r="T16" s="17" t="n">
        <f aca="false">bud_total_besoin_S2-bud_dont_personnel_S2-bud_bati_ge_S2-bud_imprevus_travaux_S2-bud_chauffage_S2-bud_hors_gel_S2-bud_electricite_S2-bud_assurance_bati_S2-bud_assurance_autres_S2</f>
        <v>427205.81</v>
      </c>
      <c r="U16" s="17" t="n">
        <f aca="false">bud_total_besoin_S2-bud_dont_personnel_S2-bud_bati_ge_S2-bud_imprevus_travaux_S2-bud_chauffage_S2-bud_hors_gel_S2-bud_electricite_S2-bud_assurance_bati_S2-bud_assurance_autres_S2</f>
        <v>427205.81</v>
      </c>
      <c r="V16" s="17" t="n">
        <f aca="false">bud_total_besoin_S2-bud_dont_personnel_S2-bud_bati_ge_S2-bud_imprevus_travaux_S2-bud_chauffage_S2-bud_hors_gel_S2-bud_electricite_S2-bud_assurance_bati_S2-bud_assurance_autres_S2</f>
        <v>427205.81</v>
      </c>
      <c r="W16" s="17" t="n">
        <f aca="false">bud_total_besoin_S2-bud_dont_personnel_S2-bud_bati_ge_S2-bud_imprevus_travaux_S2-bud_chauffage_S2-bud_hors_gel_S2-bud_electricite_S2-bud_assurance_bati_S2-bud_assurance_autres_S2</f>
        <v>427205.81</v>
      </c>
      <c r="X16" s="17" t="n">
        <f aca="false">bud_total_besoin_S2-bud_dont_personnel_S2-bud_bati_ge_S2-bud_imprevus_travaux_S2-bud_chauffage_S2-bud_hors_gel_S2-bud_electricite_S2-bud_assurance_bati_S2-bud_assurance_autres_S2</f>
        <v>427205.81</v>
      </c>
    </row>
    <row r="17" customFormat="false" ht="15" hidden="false" customHeight="false" outlineLevel="0" collapsed="false">
      <c r="A17" s="2" t="s">
        <v>1839</v>
      </c>
      <c r="B17" s="2" t="s">
        <v>1840</v>
      </c>
      <c r="C17" s="2" t="s">
        <v>1832</v>
      </c>
      <c r="E17" s="17" t="n">
        <f aca="false">(bud_bati_ge_S2+bud_imprevus_travaux_S2)*E6</f>
        <v>313480.4765625</v>
      </c>
      <c r="F17" s="17" t="n">
        <f aca="false">(bud_bati_ge_S2+bud_imprevus_travaux_S2)*F6</f>
        <v>315831.580136719</v>
      </c>
      <c r="G17" s="17" t="n">
        <f aca="false">(bud_bati_ge_S2+bud_imprevus_travaux_S2)*G6</f>
        <v>318200.316987744</v>
      </c>
      <c r="H17" s="17" t="n">
        <f aca="false">(bud_bati_ge_S2+bud_imprevus_travaux_S2)*H6</f>
        <v>320586.819365152</v>
      </c>
      <c r="I17" s="17" t="n">
        <f aca="false">(bud_bati_ge_S2+bud_imprevus_travaux_S2)*I6</f>
        <v>322991.220510391</v>
      </c>
      <c r="J17" s="17" t="n">
        <f aca="false">(bud_bati_ge_S2+bud_imprevus_travaux_S2)*J6</f>
        <v>325413.654664219</v>
      </c>
      <c r="K17" s="17" t="n">
        <f aca="false">(bud_bati_ge_S2+bud_imprevus_travaux_S2)*K6</f>
        <v>327854.257074201</v>
      </c>
      <c r="L17" s="17" t="n">
        <f aca="false">(bud_bati_ge_S2+bud_imprevus_travaux_S2)*L6</f>
        <v>330313.164002257</v>
      </c>
      <c r="M17" s="17" t="n">
        <f aca="false">(bud_bati_ge_S2+bud_imprevus_travaux_S2)*M6</f>
        <v>332790.512732274</v>
      </c>
      <c r="N17" s="17" t="n">
        <f aca="false">(bud_bati_ge_S2+bud_imprevus_travaux_S2)*N6</f>
        <v>335286.441577766</v>
      </c>
      <c r="O17" s="17" t="n">
        <f aca="false">(bud_bati_ge_S2+bud_imprevus_travaux_S2)*O6</f>
        <v>337801.089889599</v>
      </c>
      <c r="P17" s="17" t="n">
        <f aca="false">(bud_bati_ge_S2+bud_imprevus_travaux_S2)*P6</f>
        <v>340334.598063771</v>
      </c>
      <c r="Q17" s="17" t="n">
        <f aca="false">(bud_bati_ge_S2+bud_imprevus_travaux_S2)*Q6</f>
        <v>342887.10754925</v>
      </c>
      <c r="R17" s="17" t="n">
        <f aca="false">(bud_bati_ge_S2+bud_imprevus_travaux_S2)*R6</f>
        <v>345458.760855869</v>
      </c>
      <c r="S17" s="17" t="n">
        <f aca="false">(bud_bati_ge_S2+bud_imprevus_travaux_S2)*S6</f>
        <v>348049.701562288</v>
      </c>
      <c r="T17" s="17" t="n">
        <f aca="false">(bud_bati_ge_S2+bud_imprevus_travaux_S2)*T6</f>
        <v>350660.074324005</v>
      </c>
      <c r="U17" s="17" t="n">
        <f aca="false">(bud_bati_ge_S2+bud_imprevus_travaux_S2)*U6</f>
        <v>353290.024881435</v>
      </c>
      <c r="V17" s="17" t="n">
        <f aca="false">(bud_bati_ge_S2+bud_imprevus_travaux_S2)*V6</f>
        <v>355939.700068046</v>
      </c>
      <c r="W17" s="17" t="n">
        <f aca="false">(bud_bati_ge_S2+bud_imprevus_travaux_S2)*W6</f>
        <v>358609.247818557</v>
      </c>
      <c r="X17" s="17" t="n">
        <f aca="false">(bud_bati_ge_S2+bud_imprevus_travaux_S2)*X6</f>
        <v>361298.817177196</v>
      </c>
    </row>
    <row r="18" customFormat="false" ht="15" hidden="false" customHeight="false" outlineLevel="0" collapsed="false">
      <c r="A18" s="2" t="s">
        <v>1841</v>
      </c>
      <c r="B18" s="18" t="s">
        <v>1842</v>
      </c>
      <c r="C18" s="2" t="s">
        <v>1832</v>
      </c>
      <c r="E18" s="23" t="n">
        <f aca="false">E13+E14+E15+E16+E17</f>
        <v>1249620.9940625</v>
      </c>
      <c r="F18" s="23" t="n">
        <f aca="false">F13+F14+F15+F16+F17</f>
        <v>1260030.87735547</v>
      </c>
      <c r="G18" s="23" t="n">
        <f aca="false">G13+G14+G15+G16+G17</f>
        <v>1270587.52978149</v>
      </c>
      <c r="H18" s="23" t="n">
        <f aca="false">H13+H14+H15+H16+H17</f>
        <v>1281293.1812523</v>
      </c>
      <c r="I18" s="23" t="n">
        <f aca="false">I13+I14+I15+I16+I17</f>
        <v>1292150.09726641</v>
      </c>
      <c r="J18" s="23" t="n">
        <f aca="false">J13+J14+J15+J16+J17</f>
        <v>1303160.5794966</v>
      </c>
      <c r="K18" s="23" t="n">
        <f aca="false">K13+K14+K15+K16+K17</f>
        <v>1314326.96638726</v>
      </c>
      <c r="L18" s="23" t="n">
        <f aca="false">L13+L14+L15+L16+L17</f>
        <v>1325651.63376191</v>
      </c>
      <c r="M18" s="23" t="n">
        <f aca="false">M13+M14+M15+M16+M17</f>
        <v>1337136.995441</v>
      </c>
      <c r="N18" s="23" t="n">
        <f aca="false">N13+N14+N15+N16+N17</f>
        <v>1348785.50387019</v>
      </c>
      <c r="O18" s="23" t="n">
        <f aca="false">O13+O14+O15+O16+O17</f>
        <v>1360599.6507593</v>
      </c>
      <c r="P18" s="23" t="n">
        <f aca="false">P13+P14+P15+P16+P17</f>
        <v>1372581.96773206</v>
      </c>
      <c r="Q18" s="23" t="n">
        <f aca="false">Q13+Q14+Q15+Q16+Q17</f>
        <v>1384735.02698693</v>
      </c>
      <c r="R18" s="23" t="n">
        <f aca="false">R13+R14+R15+R16+R17</f>
        <v>1397061.4419691</v>
      </c>
      <c r="S18" s="23" t="n">
        <f aca="false">S13+S14+S15+S16+S17</f>
        <v>1409563.86805397</v>
      </c>
      <c r="T18" s="23" t="n">
        <f aca="false">T13+T14+T15+T16+T17</f>
        <v>1422245.00324216</v>
      </c>
      <c r="U18" s="23" t="n">
        <f aca="false">U13+U14+U15+U16+U17</f>
        <v>1435107.5888664</v>
      </c>
      <c r="V18" s="23" t="n">
        <f aca="false">V13+V14+V15+V16+V17</f>
        <v>1448154.41031038</v>
      </c>
      <c r="W18" s="23" t="n">
        <f aca="false">W13+W14+W15+W16+W17</f>
        <v>1461388.2977399</v>
      </c>
      <c r="X18" s="23" t="n">
        <f aca="false">X13+X14+X15+X16+X17</f>
        <v>1474812.12684642</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1268099.19305212</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706572.296251068</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1346212.64226341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1387055.64429141</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1429137.78994523</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313480.4765625</v>
      </c>
      <c r="F22" s="17" t="n">
        <f aca="false">MAX(0,E22+F17-F19-F20)</f>
        <v>629312.056699219</v>
      </c>
      <c r="G22" s="17" t="n">
        <f aca="false">MAX(0,F22+G17-G19-G20)</f>
        <v>947512.373686963</v>
      </c>
      <c r="H22" s="17" t="n">
        <f aca="false">MAX(0,G22+H17-H19-H20)</f>
        <v>0</v>
      </c>
      <c r="I22" s="17" t="n">
        <f aca="false">MAX(0,H22+I17-I19-I20)</f>
        <v>322991.220510391</v>
      </c>
      <c r="J22" s="17" t="n">
        <f aca="false">MAX(0,I22+J17-J19-J20)</f>
        <v>48404.8751746099</v>
      </c>
      <c r="K22" s="17" t="n">
        <f aca="false">MAX(0,J22+K17-K19-K20)</f>
        <v>376259.132248811</v>
      </c>
      <c r="L22" s="17" t="n">
        <f aca="false">MAX(0,K22+L17-L19-L20)</f>
        <v>0</v>
      </c>
      <c r="M22" s="17" t="n">
        <f aca="false">MAX(0,L22+M17-M19-M20)</f>
        <v>332790.512732274</v>
      </c>
      <c r="N22" s="17" t="n">
        <f aca="false">MAX(0,M22+N17-N19-N20)</f>
        <v>668076.95431004</v>
      </c>
      <c r="O22" s="17" t="n">
        <f aca="false">MAX(0,N22+O17-O19-O20)</f>
        <v>1005878.04419964</v>
      </c>
      <c r="P22" s="17" t="n">
        <f aca="false">MAX(0,O22+P17-P19-P20)</f>
        <v>0</v>
      </c>
      <c r="Q22" s="17" t="n">
        <f aca="false">MAX(0,P22+Q17-Q19-Q20)</f>
        <v>342887.10754925</v>
      </c>
      <c r="R22" s="17" t="n">
        <f aca="false">MAX(0,Q22+R17-R19-R20)</f>
        <v>688345.868405119</v>
      </c>
      <c r="S22" s="17" t="n">
        <f aca="false">MAX(0,R22+S17-S19-S20)</f>
        <v>1036395.56996741</v>
      </c>
      <c r="T22" s="17" t="n">
        <f aca="false">MAX(0,S22+T17-T19-T20)</f>
        <v>0</v>
      </c>
      <c r="U22" s="17" t="n">
        <f aca="false">MAX(0,T22+U17-U19-U20)</f>
        <v>353290.024881435</v>
      </c>
      <c r="V22" s="17" t="n">
        <f aca="false">MAX(0,U22+V17-V19-V20)</f>
        <v>709229.724949482</v>
      </c>
      <c r="W22" s="17" t="n">
        <f aca="false">MAX(0,V22+W17-W19-W20)</f>
        <v>1067838.97276804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(S2_ech_log*mot_log_cn+S2_ech_stock*mot_stock_cn+S2_ech_pv*mot_pv_cn+S2_ech_bois*mot_bois_cn)*E24*E9*IF(E$3&gt;=st_cumul_debut_mult,st_cumul_mult_A,1)*IF(E11=1,1-0.05,IF(E11=2,1-0.02,1))</f>
        <v>21930.4</v>
      </c>
      <c r="F25" s="17" t="n">
        <f aca="false">(S2_ech_log*mot_log_cn+S2_ech_stock*mot_stock_cn+S2_ech_pv*mot_pv_cn+S2_ech_bois*mot_bois_cn)*F24*F9*IF(F$3&gt;=st_cumul_debut_mult,st_cumul_mult_A,1)*IF(F11=1,1-0.05,IF(F11=2,1-0.02,1))</f>
        <v>41119.5</v>
      </c>
      <c r="G25" s="17" t="n">
        <f aca="false">(S2_ech_log*mot_log_cn+S2_ech_stock*mot_stock_cn+S2_ech_pv*mot_pv_cn+S2_ech_bois*mot_bois_cn)*G24*G9*IF(G$3&gt;=st_cumul_debut_mult,st_cumul_mult_A,1)*IF(G11=1,1-0.05,IF(G11=2,1-0.02,1))</f>
        <v>38378.2</v>
      </c>
      <c r="H25" s="17" t="n">
        <f aca="false">(S2_ech_log*mot_log_cn+S2_ech_stock*mot_stock_cn+S2_ech_pv*mot_pv_cn+S2_ech_bois*mot_bois_cn)*H24*H9*IF(H$3&gt;=st_cumul_debut_mult,st_cumul_mult_A,1)*IF(H11=1,1-0.05,IF(H11=2,1-0.02,1))</f>
        <v>38378.2</v>
      </c>
      <c r="I25" s="17" t="n">
        <f aca="false">(S2_ech_log*mot_log_cn+S2_ech_stock*mot_stock_cn+S2_ech_pv*mot_pv_cn+S2_ech_bois*mot_bois_cn)*I24*I9*IF(I$3&gt;=st_cumul_debut_mult,st_cumul_mult_A,1)*IF(I11=1,1-0.05,IF(I11=2,1-0.02,1))</f>
        <v>36459.29</v>
      </c>
      <c r="J25" s="17" t="n">
        <f aca="false">(S2_ech_log*mot_log_cn+S2_ech_stock*mot_stock_cn+S2_ech_pv*mot_pv_cn+S2_ech_bois*mot_bois_cn)*J24*J9*IF(J$3&gt;=st_cumul_debut_mult,st_cumul_mult_A,1)*IF(J11=1,1-0.05,IF(J11=2,1-0.02,1))</f>
        <v>37610.636</v>
      </c>
      <c r="K25" s="17" t="n">
        <f aca="false">(S2_ech_log*mot_log_cn+S2_ech_stock*mot_stock_cn+S2_ech_pv*mot_pv_cn+S2_ech_bois*mot_bois_cn)*K24*K9*IF(K$3&gt;=st_cumul_debut_mult,st_cumul_mult_A,1)*IF(K11=1,1-0.05,IF(K11=2,1-0.02,1))</f>
        <v>38378.2</v>
      </c>
      <c r="L25" s="17" t="n">
        <f aca="false">(S2_ech_log*mot_log_cn+S2_ech_stock*mot_stock_cn+S2_ech_pv*mot_pv_cn+S2_ech_bois*mot_bois_cn)*L24*L9*IF(L$3&gt;=st_cumul_debut_mult,st_cumul_mult_A,1)*IF(L11=1,1-0.05,IF(L11=2,1-0.02,1))</f>
        <v>38378.2</v>
      </c>
      <c r="M25" s="17" t="n">
        <f aca="false">(S2_ech_log*mot_log_cn+S2_ech_stock*mot_stock_cn+S2_ech_pv*mot_pv_cn+S2_ech_bois*mot_bois_cn)*M24*M9*IF(M$3&gt;=st_cumul_debut_mult,st_cumul_mult_A,1)*IF(M11=1,1-0.05,IF(M11=2,1-0.02,1))</f>
        <v>38378.2</v>
      </c>
      <c r="N25" s="17" t="n">
        <f aca="false">(S2_ech_log*mot_log_cn+S2_ech_stock*mot_stock_cn+S2_ech_pv*mot_pv_cn+S2_ech_bois*mot_bois_cn)*N24*N9*IF(N$3&gt;=st_cumul_debut_mult,st_cumul_mult_A,1)*IF(N11=1,1-0.05,IF(N11=2,1-0.02,1))</f>
        <v>38378.2</v>
      </c>
      <c r="O25" s="17" t="n">
        <f aca="false">(S2_ech_log*mot_log_cn+S2_ech_stock*mot_stock_cn+S2_ech_pv*mot_pv_cn+S2_ech_bois*mot_bois_cn)*O24*O9*IF(O$3&gt;=st_cumul_debut_mult,st_cumul_mult_A,1)*IF(O11=1,1-0.05,IF(O11=2,1-0.02,1))</f>
        <v>38378.2</v>
      </c>
      <c r="P25" s="17" t="n">
        <f aca="false">(S2_ech_log*mot_log_cn+S2_ech_stock*mot_stock_cn+S2_ech_pv*mot_pv_cn+S2_ech_bois*mot_bois_cn)*P24*P9*IF(P$3&gt;=st_cumul_debut_mult,st_cumul_mult_A,1)*IF(P11=1,1-0.05,IF(P11=2,1-0.02,1))</f>
        <v>38378.2</v>
      </c>
      <c r="Q25" s="17" t="n">
        <f aca="false">(S2_ech_log*mot_log_cn+S2_ech_stock*mot_stock_cn+S2_ech_pv*mot_pv_cn+S2_ech_bois*mot_bois_cn)*Q24*Q9*IF(Q$3&gt;=st_cumul_debut_mult,st_cumul_mult_A,1)*IF(Q11=1,1-0.05,IF(Q11=2,1-0.02,1))</f>
        <v>38378.2</v>
      </c>
      <c r="R25" s="17" t="n">
        <f aca="false">(S2_ech_log*mot_log_cn+S2_ech_stock*mot_stock_cn+S2_ech_pv*mot_pv_cn+S2_ech_bois*mot_bois_cn)*R24*R9*IF(R$3&gt;=st_cumul_debut_mult,st_cumul_mult_A,1)*IF(R11=1,1-0.05,IF(R11=2,1-0.02,1))</f>
        <v>38378.2</v>
      </c>
      <c r="S25" s="17" t="n">
        <f aca="false">(S2_ech_log*mot_log_cn+S2_ech_stock*mot_stock_cn+S2_ech_pv*mot_pv_cn+S2_ech_bois*mot_bois_cn)*S24*S9*IF(S$3&gt;=st_cumul_debut_mult,st_cumul_mult_A,1)*IF(S11=1,1-0.05,IF(S11=2,1-0.02,1))</f>
        <v>38378.2</v>
      </c>
      <c r="T25" s="17" t="n">
        <f aca="false">(S2_ech_log*mot_log_cn+S2_ech_stock*mot_stock_cn+S2_ech_pv*mot_pv_cn+S2_ech_bois*mot_bois_cn)*T24*T9*IF(T$3&gt;=st_cumul_debut_mult,st_cumul_mult_A,1)*IF(T11=1,1-0.05,IF(T11=2,1-0.02,1))</f>
        <v>38378.2</v>
      </c>
      <c r="U25" s="17" t="n">
        <f aca="false">(S2_ech_log*mot_log_cn+S2_ech_stock*mot_stock_cn+S2_ech_pv*mot_pv_cn+S2_ech_bois*mot_bois_cn)*U24*U9*IF(U$3&gt;=st_cumul_debut_mult,st_cumul_mult_A,1)*IF(U11=1,1-0.05,IF(U11=2,1-0.02,1))</f>
        <v>38378.2</v>
      </c>
      <c r="V25" s="17" t="n">
        <f aca="false">(S2_ech_log*mot_log_cn+S2_ech_stock*mot_stock_cn+S2_ech_pv*mot_pv_cn+S2_ech_bois*mot_bois_cn)*V24*V9*IF(V$3&gt;=st_cumul_debut_mult,st_cumul_mult_A,1)*IF(V11=1,1-0.05,IF(V11=2,1-0.02,1))</f>
        <v>38378.2</v>
      </c>
      <c r="W25" s="17" t="n">
        <f aca="false">(S2_ech_log*mot_log_cn+S2_ech_stock*mot_stock_cn+S2_ech_pv*mot_pv_cn+S2_ech_bois*mot_bois_cn)*W24*W9*IF(W$3&gt;=st_cumul_debut_mult,st_cumul_mult_A,1)*IF(W11=1,1-0.05,IF(W11=2,1-0.02,1))</f>
        <v>38378.2</v>
      </c>
      <c r="X25" s="17" t="n">
        <f aca="false">(S2_ech_log*mot_log_cn+S2_ech_stock*mot_stock_cn+S2_ech_pv*mot_pv_cn+S2_ech_bois*mot_bois_cn)*X24*X9*IF(X$3&gt;=st_cumul_debut_mult,st_cumul_mult_A,1)*IF(X11=1,1-0.05,IF(X11=2,1-0.02,1))</f>
        <v>38378.2</v>
      </c>
    </row>
    <row r="26" customFormat="false" ht="15" hidden="false" customHeight="false" outlineLevel="0" collapsed="false">
      <c r="A26" s="2" t="s">
        <v>1857</v>
      </c>
      <c r="B26" s="2" t="s">
        <v>1858</v>
      </c>
      <c r="C26" s="2" t="s">
        <v>1832</v>
      </c>
      <c r="E26" s="17" t="n">
        <f aca="false">(S2_ech_eq_std*mot_eq_std_cn+S2_ech_eq_ret*mot_eq_ret_cn)*E24*E9*IF(E$3&gt;=st_cumul_debut_mult,st_cumul_mult_B,1)*IF(E11=1,1-0.15,IF(E11=2,1-0.05,1))</f>
        <v>3757.8</v>
      </c>
      <c r="F26" s="17" t="n">
        <f aca="false">(S2_ech_eq_std*mot_eq_std_cn+S2_ech_eq_ret*mot_eq_ret_cn)*F24*F9*IF(F$3&gt;=st_cumul_debut_mult,st_cumul_mult_B,1)*IF(F11=1,1-0.15,IF(F11=2,1-0.05,1))</f>
        <v>7045.875</v>
      </c>
      <c r="G26" s="17" t="n">
        <f aca="false">(S2_ech_eq_std*mot_eq_std_cn+S2_ech_eq_ret*mot_eq_ret_cn)*G24*G9*IF(G$3&gt;=st_cumul_debut_mult,st_cumul_mult_B,1)*IF(G11=1,1-0.15,IF(G11=2,1-0.05,1))</f>
        <v>6576.15</v>
      </c>
      <c r="H26" s="17" t="n">
        <f aca="false">(S2_ech_eq_std*mot_eq_std_cn+S2_ech_eq_ret*mot_eq_ret_cn)*H24*H9*IF(H$3&gt;=st_cumul_debut_mult,st_cumul_mult_B,1)*IF(H11=1,1-0.15,IF(H11=2,1-0.05,1))</f>
        <v>6576.15</v>
      </c>
      <c r="I26" s="17" t="n">
        <f aca="false">(S2_ech_eq_std*mot_eq_std_cn+S2_ech_eq_ret*mot_eq_ret_cn)*I24*I9*IF(I$3&gt;=st_cumul_debut_mult,st_cumul_mult_B,1)*IF(I11=1,1-0.15,IF(I11=2,1-0.05,1))</f>
        <v>5589.7275</v>
      </c>
      <c r="J26" s="17" t="n">
        <f aca="false">(S2_ech_eq_std*mot_eq_std_cn+S2_ech_eq_ret*mot_eq_ret_cn)*J24*J9*IF(J$3&gt;=st_cumul_debut_mult,st_cumul_mult_B,1)*IF(J11=1,1-0.15,IF(J11=2,1-0.05,1))</f>
        <v>6247.3425</v>
      </c>
      <c r="K26" s="17" t="n">
        <f aca="false">(S2_ech_eq_std*mot_eq_std_cn+S2_ech_eq_ret*mot_eq_ret_cn)*K24*K9*IF(K$3&gt;=st_cumul_debut_mult,st_cumul_mult_B,1)*IF(K11=1,1-0.15,IF(K11=2,1-0.05,1))</f>
        <v>6576.15</v>
      </c>
      <c r="L26" s="17" t="n">
        <f aca="false">(S2_ech_eq_std*mot_eq_std_cn+S2_ech_eq_ret*mot_eq_ret_cn)*L24*L9*IF(L$3&gt;=st_cumul_debut_mult,st_cumul_mult_B,1)*IF(L11=1,1-0.15,IF(L11=2,1-0.05,1))</f>
        <v>6576.15</v>
      </c>
      <c r="M26" s="17" t="n">
        <f aca="false">(S2_ech_eq_std*mot_eq_std_cn+S2_ech_eq_ret*mot_eq_ret_cn)*M24*M9*IF(M$3&gt;=st_cumul_debut_mult,st_cumul_mult_B,1)*IF(M11=1,1-0.15,IF(M11=2,1-0.05,1))</f>
        <v>6576.15</v>
      </c>
      <c r="N26" s="17" t="n">
        <f aca="false">(S2_ech_eq_std*mot_eq_std_cn+S2_ech_eq_ret*mot_eq_ret_cn)*N24*N9*IF(N$3&gt;=st_cumul_debut_mult,st_cumul_mult_B,1)*IF(N11=1,1-0.15,IF(N11=2,1-0.05,1))</f>
        <v>6576.15</v>
      </c>
      <c r="O26" s="17" t="n">
        <f aca="false">(S2_ech_eq_std*mot_eq_std_cn+S2_ech_eq_ret*mot_eq_ret_cn)*O24*O9*IF(O$3&gt;=st_cumul_debut_mult,st_cumul_mult_B,1)*IF(O11=1,1-0.15,IF(O11=2,1-0.05,1))</f>
        <v>6576.15</v>
      </c>
      <c r="P26" s="17" t="n">
        <f aca="false">(S2_ech_eq_std*mot_eq_std_cn+S2_ech_eq_ret*mot_eq_ret_cn)*P24*P9*IF(P$3&gt;=st_cumul_debut_mult,st_cumul_mult_B,1)*IF(P11=1,1-0.15,IF(P11=2,1-0.05,1))</f>
        <v>6576.15</v>
      </c>
      <c r="Q26" s="17" t="n">
        <f aca="false">(S2_ech_eq_std*mot_eq_std_cn+S2_ech_eq_ret*mot_eq_ret_cn)*Q24*Q9*IF(Q$3&gt;=st_cumul_debut_mult,st_cumul_mult_B,1)*IF(Q11=1,1-0.15,IF(Q11=2,1-0.05,1))</f>
        <v>6576.15</v>
      </c>
      <c r="R26" s="17" t="n">
        <f aca="false">(S2_ech_eq_std*mot_eq_std_cn+S2_ech_eq_ret*mot_eq_ret_cn)*R24*R9*IF(R$3&gt;=st_cumul_debut_mult,st_cumul_mult_B,1)*IF(R11=1,1-0.15,IF(R11=2,1-0.05,1))</f>
        <v>6576.15</v>
      </c>
      <c r="S26" s="17" t="n">
        <f aca="false">(S2_ech_eq_std*mot_eq_std_cn+S2_ech_eq_ret*mot_eq_ret_cn)*S24*S9*IF(S$3&gt;=st_cumul_debut_mult,st_cumul_mult_B,1)*IF(S11=1,1-0.15,IF(S11=2,1-0.05,1))</f>
        <v>6576.15</v>
      </c>
      <c r="T26" s="17" t="n">
        <f aca="false">(S2_ech_eq_std*mot_eq_std_cn+S2_ech_eq_ret*mot_eq_ret_cn)*T24*T9*IF(T$3&gt;=st_cumul_debut_mult,st_cumul_mult_B,1)*IF(T11=1,1-0.15,IF(T11=2,1-0.05,1))</f>
        <v>6576.15</v>
      </c>
      <c r="U26" s="17" t="n">
        <f aca="false">(S2_ech_eq_std*mot_eq_std_cn+S2_ech_eq_ret*mot_eq_ret_cn)*U24*U9*IF(U$3&gt;=st_cumul_debut_mult,st_cumul_mult_B,1)*IF(U11=1,1-0.15,IF(U11=2,1-0.05,1))</f>
        <v>6576.15</v>
      </c>
      <c r="V26" s="17" t="n">
        <f aca="false">(S2_ech_eq_std*mot_eq_std_cn+S2_ech_eq_ret*mot_eq_ret_cn)*V24*V9*IF(V$3&gt;=st_cumul_debut_mult,st_cumul_mult_B,1)*IF(V11=1,1-0.15,IF(V11=2,1-0.05,1))</f>
        <v>6576.15</v>
      </c>
      <c r="W26" s="17" t="n">
        <f aca="false">(S2_ech_eq_std*mot_eq_std_cn+S2_ech_eq_ret*mot_eq_ret_cn)*W24*W9*IF(W$3&gt;=st_cumul_debut_mult,st_cumul_mult_B,1)*IF(W11=1,1-0.15,IF(W11=2,1-0.05,1))</f>
        <v>6576.15</v>
      </c>
      <c r="X26" s="17" t="n">
        <f aca="false">(S2_ech_eq_std*mot_eq_std_cn+S2_ech_eq_ret*mot_eq_ret_cn)*X24*X9*IF(X$3&gt;=st_cumul_debut_mult,st_cumul_mult_B,1)*IF(X11=1,1-0.15,IF(X11=2,1-0.05,1))</f>
        <v>6576.15</v>
      </c>
    </row>
    <row r="27" customFormat="false" ht="15" hidden="false" customHeight="false" outlineLevel="0" collapsed="false">
      <c r="A27" s="2" t="s">
        <v>1859</v>
      </c>
      <c r="B27" s="2" t="s">
        <v>1860</v>
      </c>
      <c r="C27" s="2" t="s">
        <v>1832</v>
      </c>
      <c r="E27" s="17" t="n">
        <f aca="false">(S2_ech_tourn*mot_tourn_cn)*E24*E9*IF(E$3&gt;=st_cumul_debut_mult,st_cumul_mult_C,1)*IF(E11=1,1-0.8,IF(E11=2,1-0.3,1))</f>
        <v>2380</v>
      </c>
      <c r="F27" s="17" t="n">
        <f aca="false">(S2_ech_tourn*mot_tourn_cn)*F24*F9*IF(F$3&gt;=st_cumul_debut_mult,st_cumul_mult_C,1)*IF(F11=1,1-0.8,IF(F11=2,1-0.3,1))</f>
        <v>4462.5</v>
      </c>
      <c r="G27" s="17" t="n">
        <f aca="false">(S2_ech_tourn*mot_tourn_cn)*G24*G9*IF(G$3&gt;=st_cumul_debut_mult,st_cumul_mult_C,1)*IF(G11=1,1-0.8,IF(G11=2,1-0.3,1))</f>
        <v>4165</v>
      </c>
      <c r="H27" s="17" t="n">
        <f aca="false">(S2_ech_tourn*mot_tourn_cn)*H24*H9*IF(H$3&gt;=st_cumul_debut_mult,st_cumul_mult_C,1)*IF(H11=1,1-0.8,IF(H11=2,1-0.3,1))</f>
        <v>4165</v>
      </c>
      <c r="I27" s="17" t="n">
        <f aca="false">(S2_ech_tourn*mot_tourn_cn)*I24*I9*IF(I$3&gt;=st_cumul_debut_mult,st_cumul_mult_C,1)*IF(I11=1,1-0.8,IF(I11=2,1-0.3,1))</f>
        <v>833</v>
      </c>
      <c r="J27" s="17" t="n">
        <f aca="false">(S2_ech_tourn*mot_tourn_cn)*J24*J9*IF(J$3&gt;=st_cumul_debut_mult,st_cumul_mult_C,1)*IF(J11=1,1-0.8,IF(J11=2,1-0.3,1))</f>
        <v>2915.5</v>
      </c>
      <c r="K27" s="17" t="n">
        <f aca="false">(S2_ech_tourn*mot_tourn_cn)*K24*K9*IF(K$3&gt;=st_cumul_debut_mult,st_cumul_mult_C,1)*IF(K11=1,1-0.8,IF(K11=2,1-0.3,1))</f>
        <v>4165</v>
      </c>
      <c r="L27" s="17" t="n">
        <f aca="false">(S2_ech_tourn*mot_tourn_cn)*L24*L9*IF(L$3&gt;=st_cumul_debut_mult,st_cumul_mult_C,1)*IF(L11=1,1-0.8,IF(L11=2,1-0.3,1))</f>
        <v>4165</v>
      </c>
      <c r="M27" s="17" t="n">
        <f aca="false">(S2_ech_tourn*mot_tourn_cn)*M24*M9*IF(M$3&gt;=st_cumul_debut_mult,st_cumul_mult_C,1)*IF(M11=1,1-0.8,IF(M11=2,1-0.3,1))</f>
        <v>4165</v>
      </c>
      <c r="N27" s="17" t="n">
        <f aca="false">(S2_ech_tourn*mot_tourn_cn)*N24*N9*IF(N$3&gt;=st_cumul_debut_mult,st_cumul_mult_C,1)*IF(N11=1,1-0.8,IF(N11=2,1-0.3,1))</f>
        <v>4165</v>
      </c>
      <c r="O27" s="17" t="n">
        <f aca="false">(S2_ech_tourn*mot_tourn_cn)*O24*O9*IF(O$3&gt;=st_cumul_debut_mult,st_cumul_mult_C,1)*IF(O11=1,1-0.8,IF(O11=2,1-0.3,1))</f>
        <v>4165</v>
      </c>
      <c r="P27" s="17" t="n">
        <f aca="false">(S2_ech_tourn*mot_tourn_cn)*P24*P9*IF(P$3&gt;=st_cumul_debut_mult,st_cumul_mult_C,1)*IF(P11=1,1-0.8,IF(P11=2,1-0.3,1))</f>
        <v>4165</v>
      </c>
      <c r="Q27" s="17" t="n">
        <f aca="false">(S2_ech_tourn*mot_tourn_cn)*Q24*Q9*IF(Q$3&gt;=st_cumul_debut_mult,st_cumul_mult_C,1)*IF(Q11=1,1-0.8,IF(Q11=2,1-0.3,1))</f>
        <v>4165</v>
      </c>
      <c r="R27" s="17" t="n">
        <f aca="false">(S2_ech_tourn*mot_tourn_cn)*R24*R9*IF(R$3&gt;=st_cumul_debut_mult,st_cumul_mult_C,1)*IF(R11=1,1-0.8,IF(R11=2,1-0.3,1))</f>
        <v>4165</v>
      </c>
      <c r="S27" s="17" t="n">
        <f aca="false">(S2_ech_tourn*mot_tourn_cn)*S24*S9*IF(S$3&gt;=st_cumul_debut_mult,st_cumul_mult_C,1)*IF(S11=1,1-0.8,IF(S11=2,1-0.3,1))</f>
        <v>4165</v>
      </c>
      <c r="T27" s="17" t="n">
        <f aca="false">(S2_ech_tourn*mot_tourn_cn)*T24*T9*IF(T$3&gt;=st_cumul_debut_mult,st_cumul_mult_C,1)*IF(T11=1,1-0.8,IF(T11=2,1-0.3,1))</f>
        <v>4165</v>
      </c>
      <c r="U27" s="17" t="n">
        <f aca="false">(S2_ech_tourn*mot_tourn_cn)*U24*U9*IF(U$3&gt;=st_cumul_debut_mult,st_cumul_mult_C,1)*IF(U11=1,1-0.8,IF(U11=2,1-0.3,1))</f>
        <v>4165</v>
      </c>
      <c r="V27" s="17" t="n">
        <f aca="false">(S2_ech_tourn*mot_tourn_cn)*V24*V9*IF(V$3&gt;=st_cumul_debut_mult,st_cumul_mult_C,1)*IF(V11=1,1-0.8,IF(V11=2,1-0.3,1))</f>
        <v>4165</v>
      </c>
      <c r="W27" s="17" t="n">
        <f aca="false">(S2_ech_tourn*mot_tourn_cn)*W24*W9*IF(W$3&gt;=st_cumul_debut_mult,st_cumul_mult_C,1)*IF(W11=1,1-0.8,IF(W11=2,1-0.3,1))</f>
        <v>4165</v>
      </c>
      <c r="X27" s="17" t="n">
        <f aca="false">(S2_ech_tourn*mot_tourn_cn)*X24*X9*IF(X$3&gt;=st_cumul_debut_mult,st_cumul_mult_C,1)*IF(X11=1,1-0.8,IF(X11=2,1-0.3,1))</f>
        <v>4165</v>
      </c>
    </row>
    <row r="28" customFormat="false" ht="15" hidden="false" customHeight="false" outlineLevel="0" collapsed="false">
      <c r="A28" s="2" t="s">
        <v>1861</v>
      </c>
      <c r="B28" s="2" t="s">
        <v>1862</v>
      </c>
      <c r="C28" s="2" t="s">
        <v>1832</v>
      </c>
      <c r="E28" s="17" t="n">
        <f aca="false">E25+E26+E27</f>
        <v>28068.2</v>
      </c>
      <c r="F28" s="17" t="n">
        <f aca="false">F25+F26+F27</f>
        <v>52627.875</v>
      </c>
      <c r="G28" s="17" t="n">
        <f aca="false">G25+G26+G27</f>
        <v>49119.35</v>
      </c>
      <c r="H28" s="17" t="n">
        <f aca="false">H25+H26+H27</f>
        <v>49119.35</v>
      </c>
      <c r="I28" s="17" t="n">
        <f aca="false">I25+I26+I27</f>
        <v>42882.0175</v>
      </c>
      <c r="J28" s="17" t="n">
        <f aca="false">J25+J26+J27</f>
        <v>46773.4785</v>
      </c>
      <c r="K28" s="17" t="n">
        <f aca="false">K25+K26+K27</f>
        <v>49119.35</v>
      </c>
      <c r="L28" s="17" t="n">
        <f aca="false">L25+L26+L27</f>
        <v>49119.35</v>
      </c>
      <c r="M28" s="17" t="n">
        <f aca="false">M25+M26+M27</f>
        <v>49119.35</v>
      </c>
      <c r="N28" s="17" t="n">
        <f aca="false">N25+N26+N27</f>
        <v>49119.35</v>
      </c>
      <c r="O28" s="17" t="n">
        <f aca="false">O25+O26+O27</f>
        <v>49119.35</v>
      </c>
      <c r="P28" s="17" t="n">
        <f aca="false">P25+P26+P27</f>
        <v>49119.35</v>
      </c>
      <c r="Q28" s="17" t="n">
        <f aca="false">Q25+Q26+Q27</f>
        <v>49119.35</v>
      </c>
      <c r="R28" s="17" t="n">
        <f aca="false">R25+R26+R27</f>
        <v>49119.35</v>
      </c>
      <c r="S28" s="17" t="n">
        <f aca="false">S25+S26+S27</f>
        <v>49119.35</v>
      </c>
      <c r="T28" s="17" t="n">
        <f aca="false">T25+T26+T27</f>
        <v>49119.35</v>
      </c>
      <c r="U28" s="17" t="n">
        <f aca="false">U25+U26+U27</f>
        <v>49119.35</v>
      </c>
      <c r="V28" s="17" t="n">
        <f aca="false">V25+V26+V27</f>
        <v>49119.35</v>
      </c>
      <c r="W28" s="17" t="n">
        <f aca="false">W25+W26+W27</f>
        <v>49119.35</v>
      </c>
      <c r="X28" s="17" t="n">
        <f aca="false">X25+X26+X27</f>
        <v>49119.35</v>
      </c>
    </row>
    <row r="29" customFormat="false" ht="15" hidden="false" customHeight="false" outlineLevel="0" collapsed="false">
      <c r="A29" s="2" t="s">
        <v>1863</v>
      </c>
      <c r="B29" s="2" t="s">
        <v>1864</v>
      </c>
      <c r="C29" s="2" t="s">
        <v>1832</v>
      </c>
      <c r="E29" s="17" t="n">
        <f aca="false">IF(E28&gt;0,E28*(1-fuite_fiscale),E28)</f>
        <v>19647.74</v>
      </c>
      <c r="F29" s="17" t="n">
        <f aca="false">IF(F28&gt;0,F28*(1-fuite_fiscale),F28)</f>
        <v>36839.5125</v>
      </c>
      <c r="G29" s="17" t="n">
        <f aca="false">IF(G28&gt;0,G28*(1-fuite_fiscale),G28)</f>
        <v>34383.545</v>
      </c>
      <c r="H29" s="17" t="n">
        <f aca="false">IF(H28&gt;0,H28*(1-fuite_fiscale),H28)</f>
        <v>34383.545</v>
      </c>
      <c r="I29" s="17" t="n">
        <f aca="false">IF(I28&gt;0,I28*(1-fuite_fiscale),I28)</f>
        <v>30017.41225</v>
      </c>
      <c r="J29" s="17" t="n">
        <f aca="false">IF(J28&gt;0,J28*(1-fuite_fiscale),J28)</f>
        <v>32741.43495</v>
      </c>
      <c r="K29" s="17" t="n">
        <f aca="false">IF(K28&gt;0,K28*(1-fuite_fiscale),K28)</f>
        <v>34383.545</v>
      </c>
      <c r="L29" s="17" t="n">
        <f aca="false">IF(L28&gt;0,L28*(1-fuite_fiscale),L28)</f>
        <v>34383.545</v>
      </c>
      <c r="M29" s="17" t="n">
        <f aca="false">IF(M28&gt;0,M28*(1-fuite_fiscale),M28)</f>
        <v>34383.545</v>
      </c>
      <c r="N29" s="17" t="n">
        <f aca="false">IF(N28&gt;0,N28*(1-fuite_fiscale),N28)</f>
        <v>34383.545</v>
      </c>
      <c r="O29" s="17" t="n">
        <f aca="false">IF(O28&gt;0,O28*(1-fuite_fiscale),O28)</f>
        <v>34383.545</v>
      </c>
      <c r="P29" s="17" t="n">
        <f aca="false">IF(P28&gt;0,P28*(1-fuite_fiscale),P28)</f>
        <v>34383.545</v>
      </c>
      <c r="Q29" s="17" t="n">
        <f aca="false">IF(Q28&gt;0,Q28*(1-fuite_fiscale),Q28)</f>
        <v>34383.545</v>
      </c>
      <c r="R29" s="17" t="n">
        <f aca="false">IF(R28&gt;0,R28*(1-fuite_fiscale),R28)</f>
        <v>34383.545</v>
      </c>
      <c r="S29" s="17" t="n">
        <f aca="false">IF(S28&gt;0,S28*(1-fuite_fiscale),S28)</f>
        <v>34383.545</v>
      </c>
      <c r="T29" s="17" t="n">
        <f aca="false">IF(T28&gt;0,T28*(1-fuite_fiscale),T28)</f>
        <v>34383.545</v>
      </c>
      <c r="U29" s="17" t="n">
        <f aca="false">IF(U28&gt;0,U28*(1-fuite_fiscale),U28)</f>
        <v>34383.545</v>
      </c>
      <c r="V29" s="17" t="n">
        <f aca="false">IF(V28&gt;0,V28*(1-fuite_fiscale),V28)</f>
        <v>34383.545</v>
      </c>
      <c r="W29" s="17" t="n">
        <f aca="false">IF(W28&gt;0,W28*(1-fuite_fiscale),W28)</f>
        <v>34383.545</v>
      </c>
      <c r="X29" s="17" t="n">
        <f aca="false">IF(X28&gt;0,X28*(1-fuite_fiscale),X28)</f>
        <v>34383.545</v>
      </c>
    </row>
    <row r="30" customFormat="false" ht="15" hidden="false" customHeight="false" outlineLevel="0" collapsed="false">
      <c r="A30" s="2" t="s">
        <v>1865</v>
      </c>
      <c r="B30" s="2" t="s">
        <v>1866</v>
      </c>
      <c r="C30" s="2" t="s">
        <v>1832</v>
      </c>
      <c r="E30" s="17" t="n">
        <f aca="false">IF(E$3=1,S2_ech_log*mot_log_inv+S2_ech_stock*stock_capex,0)</f>
        <v>1100000</v>
      </c>
      <c r="F30" s="17" t="n">
        <f aca="false">IF(F$3=1,S2_ech_log*mot_log_inv+S2_ech_stock*stock_capex,0)</f>
        <v>0</v>
      </c>
      <c r="G30" s="17" t="n">
        <f aca="false">IF(G$3=1,S2_ech_log*mot_log_inv+S2_ech_stock*stock_capex,0)</f>
        <v>0</v>
      </c>
      <c r="H30" s="17" t="n">
        <f aca="false">IF(H$3=1,S2_ech_log*mot_log_inv+S2_ech_stock*stock_capex,0)</f>
        <v>0</v>
      </c>
      <c r="I30" s="17" t="n">
        <f aca="false">IF(I$3=1,S2_ech_log*mot_log_inv+S2_ech_stock*stock_capex,0)</f>
        <v>0</v>
      </c>
      <c r="J30" s="17" t="n">
        <f aca="false">IF(J$3=1,S2_ech_log*mot_log_inv+S2_ech_stock*stock_capex,0)</f>
        <v>0</v>
      </c>
      <c r="K30" s="17" t="n">
        <f aca="false">IF(K$3=1,S2_ech_log*mot_log_inv+S2_ech_stock*stock_capex,0)</f>
        <v>0</v>
      </c>
      <c r="L30" s="17" t="n">
        <f aca="false">IF(L$3=1,S2_ech_log*mot_log_inv+S2_ech_stock*stock_capex,0)</f>
        <v>0</v>
      </c>
      <c r="M30" s="17" t="n">
        <f aca="false">IF(M$3=1,S2_ech_log*mot_log_inv+S2_ech_stock*stock_capex,0)</f>
        <v>0</v>
      </c>
      <c r="N30" s="17" t="n">
        <f aca="false">IF(N$3=1,S2_ech_log*mot_log_inv+S2_ech_stock*stock_capex,0)</f>
        <v>0</v>
      </c>
      <c r="O30" s="17" t="n">
        <f aca="false">IF(O$3=1,S2_ech_log*mot_log_inv+S2_ech_stock*stock_capex,0)</f>
        <v>0</v>
      </c>
      <c r="P30" s="17" t="n">
        <f aca="false">IF(P$3=1,S2_ech_log*mot_log_inv+S2_ech_stock*stock_capex,0)</f>
        <v>0</v>
      </c>
      <c r="Q30" s="17" t="n">
        <f aca="false">IF(Q$3=1,S2_ech_log*mot_log_inv+S2_ech_stock*stock_capex,0)</f>
        <v>0</v>
      </c>
      <c r="R30" s="17" t="n">
        <f aca="false">IF(R$3=1,S2_ech_log*mot_log_inv+S2_ech_stock*stock_capex,0)</f>
        <v>0</v>
      </c>
      <c r="S30" s="17" t="n">
        <f aca="false">IF(S$3=1,S2_ech_log*mot_log_inv+S2_ech_stock*stock_capex,0)</f>
        <v>0</v>
      </c>
      <c r="T30" s="17" t="n">
        <f aca="false">IF(T$3=1,S2_ech_log*mot_log_inv+S2_ech_stock*stock_capex,0)</f>
        <v>0</v>
      </c>
      <c r="U30" s="17" t="n">
        <f aca="false">IF(U$3=1,S2_ech_log*mot_log_inv+S2_ech_stock*stock_capex,0)</f>
        <v>0</v>
      </c>
      <c r="V30" s="17" t="n">
        <f aca="false">IF(V$3=1,S2_ech_log*mot_log_inv+S2_ech_stock*stock_capex,0)</f>
        <v>0</v>
      </c>
      <c r="W30" s="17" t="n">
        <f aca="false">IF(W$3=1,S2_ech_log*mot_log_inv+S2_ech_stock*stock_capex,0)</f>
        <v>0</v>
      </c>
      <c r="X30" s="17" t="n">
        <f aca="false">IF(X$3=1,S2_ech_log*mot_log_inv+S2_ech_stock*stock_capex,0)</f>
        <v>0</v>
      </c>
    </row>
    <row r="31" customFormat="false" ht="15" hidden="false" customHeight="false" outlineLevel="0" collapsed="false">
      <c r="A31" s="2" t="s">
        <v>1867</v>
      </c>
      <c r="B31" s="2" t="s">
        <v>1868</v>
      </c>
      <c r="C31" s="2" t="s">
        <v>1832</v>
      </c>
      <c r="E31" s="17" t="n">
        <f aca="false">MIN(E30,MAX(0,D42))</f>
        <v>1100000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dette_active*IF(E$3&lt;=dette_duree,-PMT(dette_taux,dette_duree,S2_prix_achat*dette_quotite)/E10,0)</f>
        <v>0</v>
      </c>
      <c r="F32" s="17" t="n">
        <f aca="false">dette_active*IF(F$3&lt;=dette_duree,-PMT(dette_taux,dette_duree,S2_prix_achat*dette_quotite)/F10,0)</f>
        <v>0</v>
      </c>
      <c r="G32" s="17" t="n">
        <f aca="false">dette_active*IF(G$3&lt;=dette_duree,-PMT(dette_taux,dette_duree,S2_prix_achat*dette_quotite)/G10,0)</f>
        <v>0</v>
      </c>
      <c r="H32" s="17" t="n">
        <f aca="false">dette_active*IF(H$3&lt;=dette_duree,-PMT(dette_taux,dette_duree,S2_prix_achat*dette_quotite)/H10,0)</f>
        <v>0</v>
      </c>
      <c r="I32" s="17" t="n">
        <f aca="false">dette_active*IF(I$3&lt;=dette_duree,-PMT(dette_taux,dette_duree,S2_prix_achat*dette_quotite)/I10,0)</f>
        <v>0</v>
      </c>
      <c r="J32" s="17" t="n">
        <f aca="false">dette_active*IF(J$3&lt;=dette_duree,-PMT(dette_taux,dette_duree,S2_prix_achat*dette_quotite)/J10,0)</f>
        <v>0</v>
      </c>
      <c r="K32" s="17" t="n">
        <f aca="false">dette_active*IF(K$3&lt;=dette_duree,-PMT(dette_taux,dette_duree,S2_prix_achat*dette_quotite)/K10,0)</f>
        <v>0</v>
      </c>
      <c r="L32" s="17" t="n">
        <f aca="false">dette_active*IF(L$3&lt;=dette_duree,-PMT(dette_taux,dette_duree,S2_prix_achat*dette_quotite)/L10,0)</f>
        <v>0</v>
      </c>
      <c r="M32" s="17" t="n">
        <f aca="false">dette_active*IF(M$3&lt;=dette_duree,-PMT(dette_taux,dette_duree,S2_prix_achat*dette_quotite)/M10,0)</f>
        <v>0</v>
      </c>
      <c r="N32" s="17" t="n">
        <f aca="false">dette_active*IF(N$3&lt;=dette_duree,-PMT(dette_taux,dette_duree,S2_prix_achat*dette_quotite)/N10,0)</f>
        <v>0</v>
      </c>
      <c r="O32" s="17" t="n">
        <f aca="false">dette_active*IF(O$3&lt;=dette_duree,-PMT(dette_taux,dette_duree,S2_prix_achat*dette_quotite)/O10,0)</f>
        <v>0</v>
      </c>
      <c r="P32" s="17" t="n">
        <f aca="false">dette_active*IF(P$3&lt;=dette_duree,-PMT(dette_taux,dette_duree,S2_prix_achat*dette_quotite)/P10,0)</f>
        <v>0</v>
      </c>
      <c r="Q32" s="17" t="n">
        <f aca="false">dette_active*IF(Q$3&lt;=dette_duree,-PMT(dette_taux,dette_duree,S2_prix_achat*dette_quotite)/Q10,0)</f>
        <v>0</v>
      </c>
      <c r="R32" s="17" t="n">
        <f aca="false">dette_active*IF(R$3&lt;=dette_duree,-PMT(dette_taux,dette_duree,S2_prix_achat*dette_quotite)/R10,0)</f>
        <v>0</v>
      </c>
      <c r="S32" s="17" t="n">
        <f aca="false">dette_active*IF(S$3&lt;=dette_duree,-PMT(dette_taux,dette_duree,S2_prix_achat*dette_quotite)/S10,0)</f>
        <v>0</v>
      </c>
      <c r="T32" s="17" t="n">
        <f aca="false">dette_active*IF(T$3&lt;=dette_duree,-PMT(dette_taux,dette_duree,S2_prix_achat*dette_quotite)/T10,0)</f>
        <v>0</v>
      </c>
      <c r="U32" s="17" t="n">
        <f aca="false">dette_active*IF(U$3&lt;=dette_duree,-PMT(dette_taux,dette_duree,S2_prix_achat*dette_quotite)/U10,0)</f>
        <v>0</v>
      </c>
      <c r="V32" s="17" t="n">
        <f aca="false">dette_active*IF(V$3&lt;=dette_duree,-PMT(dette_taux,dette_duree,S2_prix_achat*dette_quotite)/V10,0)</f>
        <v>0</v>
      </c>
      <c r="W32" s="17" t="n">
        <f aca="false">dette_active*IF(W$3&lt;=dette_duree,-PMT(dette_taux,dette_duree,S2_prix_achat*dette_quotite)/W10,0)</f>
        <v>0</v>
      </c>
      <c r="X32" s="17" t="n">
        <f aca="false">dette_active*IF(X$3&lt;=dette_duree,-PMT(dette_taux,dette_duree,S2_prix_achat*dette_quotite)/X10,0)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E12*flex_taux*bud_total_besoin_S2</f>
        <v>0</v>
      </c>
      <c r="F34" s="17" t="n">
        <f aca="false">F12*flex_taux*bud_total_besoin_S2</f>
        <v>0</v>
      </c>
      <c r="G34" s="17" t="n">
        <f aca="false">G12*flex_taux*bud_total_besoin_S2</f>
        <v>0</v>
      </c>
      <c r="H34" s="17" t="n">
        <f aca="false">H12*flex_taux*bud_total_besoin_S2</f>
        <v>0</v>
      </c>
      <c r="I34" s="17" t="n">
        <f aca="false">I12*flex_taux*bud_total_besoin_S2</f>
        <v>0</v>
      </c>
      <c r="J34" s="17" t="n">
        <f aca="false">J12*flex_taux*bud_total_besoin_S2</f>
        <v>0</v>
      </c>
      <c r="K34" s="17" t="n">
        <f aca="false">K12*flex_taux*bud_total_besoin_S2</f>
        <v>0</v>
      </c>
      <c r="L34" s="17" t="n">
        <f aca="false">L12*flex_taux*bud_total_besoin_S2</f>
        <v>0</v>
      </c>
      <c r="M34" s="17" t="n">
        <f aca="false">M12*flex_taux*bud_total_besoin_S2</f>
        <v>0</v>
      </c>
      <c r="N34" s="17" t="n">
        <f aca="false">N12*flex_taux*bud_total_besoin_S2</f>
        <v>0</v>
      </c>
      <c r="O34" s="17" t="n">
        <f aca="false">O12*flex_taux*bud_total_besoin_S2</f>
        <v>0</v>
      </c>
      <c r="P34" s="17" t="n">
        <f aca="false">P12*flex_taux*bud_total_besoin_S2</f>
        <v>0</v>
      </c>
      <c r="Q34" s="17" t="n">
        <f aca="false">Q12*flex_taux*bud_total_besoin_S2</f>
        <v>0</v>
      </c>
      <c r="R34" s="17" t="n">
        <f aca="false">R12*flex_taux*bud_total_besoin_S2</f>
        <v>0</v>
      </c>
      <c r="S34" s="17" t="n">
        <f aca="false">S12*flex_taux*bud_total_besoin_S2</f>
        <v>0</v>
      </c>
      <c r="T34" s="17" t="n">
        <f aca="false">T12*flex_taux*bud_total_besoin_S2</f>
        <v>0</v>
      </c>
      <c r="U34" s="17" t="n">
        <f aca="false">U12*flex_taux*bud_total_besoin_S2</f>
        <v>0</v>
      </c>
      <c r="V34" s="17" t="n">
        <f aca="false">V12*flex_taux*bud_total_besoin_S2</f>
        <v>0</v>
      </c>
      <c r="W34" s="17" t="n">
        <f aca="false">W12*flex_taux*bud_total_besoin_S2</f>
        <v>0</v>
      </c>
      <c r="X34" s="17" t="n">
        <f aca="false">X12*flex_taux*bud_total_besoin_S2</f>
        <v>0</v>
      </c>
    </row>
    <row r="35" customFormat="false" ht="15" hidden="false" customHeight="false" outlineLevel="0" collapsed="false">
      <c r="A35" s="2" t="s">
        <v>1875</v>
      </c>
      <c r="B35" s="2" t="s">
        <v>1876</v>
      </c>
      <c r="C35" s="2" t="s">
        <v>1832</v>
      </c>
      <c r="E35" s="17" t="n">
        <f aca="false">E13+E14+E15+E16+E17+E21+E32-E29-E23-E33-E34</f>
        <v>1229973.2540625</v>
      </c>
      <c r="F35" s="17" t="n">
        <f aca="false">F13+F14+F15+F16+F17+F21+F32-F29-F23-F33-F34</f>
        <v>1223191.36485547</v>
      </c>
      <c r="G35" s="17" t="n">
        <f aca="false">G13+G14+G15+G16+G17+G21+G32-G29-G23-G33-G34</f>
        <v>1236203.98478149</v>
      </c>
      <c r="H35" s="17" t="n">
        <f aca="false">H13+H14+H15+H16+H17+H21+H32-H29-H23-H33-H34</f>
        <v>1246909.6362523</v>
      </c>
      <c r="I35" s="17" t="n">
        <f aca="false">I13+I14+I15+I16+I17+I21+I32-I29-I23-I33-I34</f>
        <v>1262132.68501641</v>
      </c>
      <c r="J35" s="17" t="n">
        <f aca="false">J13+J14+J15+J16+J17+J21+J32-J29-J23-J33-J34</f>
        <v>1270419.1445466</v>
      </c>
      <c r="K35" s="17" t="n">
        <f aca="false">K13+K14+K15+K16+K17+K21+K32-K29-K23-K33-K34</f>
        <v>1279943.42138726</v>
      </c>
      <c r="L35" s="17" t="n">
        <f aca="false">L13+L14+L15+L16+L17+L21+L32-L29-L23-L33-L34</f>
        <v>1291268.08876191</v>
      </c>
      <c r="M35" s="17" t="n">
        <f aca="false">M13+M14+M15+M16+M17+M21+M32-M29-M23-M33-M34</f>
        <v>1302753.450441</v>
      </c>
      <c r="N35" s="17" t="n">
        <f aca="false">N13+N14+N15+N16+N17+N21+N32-N29-N23-N33-N34</f>
        <v>1314401.95887019</v>
      </c>
      <c r="O35" s="17" t="n">
        <f aca="false">O13+O14+O15+O16+O17+O21+O32-O29-O23-O33-O34</f>
        <v>1326216.1057593</v>
      </c>
      <c r="P35" s="17" t="n">
        <f aca="false">P13+P14+P15+P16+P17+P21+P32-P29-P23-P33-P34</f>
        <v>1338198.42273206</v>
      </c>
      <c r="Q35" s="17" t="n">
        <f aca="false">Q13+Q14+Q15+Q16+Q17+Q21+Q32-Q29-Q23-Q33-Q34</f>
        <v>1350351.48198693</v>
      </c>
      <c r="R35" s="17" t="n">
        <f aca="false">R13+R14+R15+R16+R17+R21+R32-R29-R23-R33-R34</f>
        <v>1362677.8969691</v>
      </c>
      <c r="S35" s="17" t="n">
        <f aca="false">S13+S14+S15+S16+S17+S21+S32-S29-S23-S33-S34</f>
        <v>1375180.32305397</v>
      </c>
      <c r="T35" s="17" t="n">
        <f aca="false">T13+T14+T15+T16+T17+T21+T32-T29-T23-T33-T34</f>
        <v>1387861.45824216</v>
      </c>
      <c r="U35" s="17" t="n">
        <f aca="false">U13+U14+U15+U16+U17+U21+U32-U29-U23-U33-U34</f>
        <v>1400724.0438664</v>
      </c>
      <c r="V35" s="17" t="n">
        <f aca="false">V13+V14+V15+V16+V17+V21+V32-V29-V23-V33-V34</f>
        <v>1413770.86531038</v>
      </c>
      <c r="W35" s="17" t="n">
        <f aca="false">W13+W14+W15+W16+W17+W21+W32-W29-W23-W33-W34</f>
        <v>1427004.7527399</v>
      </c>
      <c r="X35" s="17" t="n">
        <f aca="false">X13+X14+X15+X16+X17+X21+X32-X29-X23-X33-X34</f>
        <v>1440428.58184642</v>
      </c>
    </row>
    <row r="36" customFormat="false" ht="15" hidden="false" customHeight="false" outlineLevel="0" collapsed="false">
      <c r="A36" s="2" t="s">
        <v>1877</v>
      </c>
      <c r="B36" s="2" t="s">
        <v>1878</v>
      </c>
      <c r="C36" s="2" t="s">
        <v>1832</v>
      </c>
      <c r="E36" s="17" t="n">
        <f aca="false">IF(AND(E$3&lt;=S2_sol_div_annees,E$3&lt;=st_cumul_div_fin),S2_sol_div*IF(E11=1,0.5,1),0)</f>
        <v>1000000</v>
      </c>
      <c r="F36" s="17" t="n">
        <f aca="false">IF(AND(F$3&lt;=S2_sol_div_annees,F$3&lt;=st_cumul_div_fin),S2_sol_div*IF(F11=1,0.5,1),0)</f>
        <v>1000000</v>
      </c>
      <c r="G36" s="17" t="n">
        <f aca="false">IF(AND(G$3&lt;=S2_sol_div_annees,G$3&lt;=st_cumul_div_fin),S2_sol_div*IF(G11=1,0.5,1),0)</f>
        <v>1000000</v>
      </c>
      <c r="H36" s="17" t="n">
        <f aca="false">IF(AND(H$3&lt;=S2_sol_div_annees,H$3&lt;=st_cumul_div_fin),S2_sol_div*IF(H11=1,0.5,1),0)</f>
        <v>1000000</v>
      </c>
      <c r="I36" s="17" t="n">
        <f aca="false">IF(AND(I$3&lt;=S2_sol_div_annees,I$3&lt;=st_cumul_div_fin),S2_sol_div*IF(I11=1,0.5,1),0)</f>
        <v>500000</v>
      </c>
      <c r="J36" s="17" t="n">
        <f aca="false">IF(AND(J$3&lt;=S2_sol_div_annees,J$3&lt;=st_cumul_div_fin),S2_sol_div*IF(J11=1,0.5,1),0)</f>
        <v>1000000</v>
      </c>
      <c r="K36" s="17" t="n">
        <f aca="false">IF(AND(K$3&lt;=S2_sol_div_annees,K$3&lt;=st_cumul_div_fin),S2_sol_div*IF(K11=1,0.5,1),0)</f>
        <v>1000000</v>
      </c>
      <c r="L36" s="17" t="n">
        <f aca="false">IF(AND(L$3&lt;=S2_sol_div_annees,L$3&lt;=st_cumul_div_fin),S2_sol_div*IF(L11=1,0.5,1),0)</f>
        <v>1000000</v>
      </c>
      <c r="M36" s="17" t="n">
        <f aca="false">IF(AND(M$3&lt;=S2_sol_div_annees,M$3&lt;=st_cumul_div_fin),S2_sol_div*IF(M11=1,0.5,1),0)</f>
        <v>1000000</v>
      </c>
      <c r="N36" s="17" t="n">
        <f aca="false">IF(AND(N$3&lt;=S2_sol_div_annees,N$3&lt;=st_cumul_div_fin),S2_sol_div*IF(N11=1,0.5,1),0)</f>
        <v>1000000</v>
      </c>
      <c r="O36" s="17" t="n">
        <f aca="false">IF(AND(O$3&lt;=S2_sol_div_annees,O$3&lt;=st_cumul_div_fin),S2_sol_div*IF(O11=1,0.5,1),0)</f>
        <v>0</v>
      </c>
      <c r="P36" s="17" t="n">
        <f aca="false">IF(AND(P$3&lt;=S2_sol_div_annees,P$3&lt;=st_cumul_div_fin),S2_sol_div*IF(P11=1,0.5,1),0)</f>
        <v>0</v>
      </c>
      <c r="Q36" s="17" t="n">
        <f aca="false">IF(AND(Q$3&lt;=S2_sol_div_annees,Q$3&lt;=st_cumul_div_fin),S2_sol_div*IF(Q11=1,0.5,1),0)</f>
        <v>0</v>
      </c>
      <c r="R36" s="17" t="n">
        <f aca="false">IF(AND(R$3&lt;=S2_sol_div_annees,R$3&lt;=st_cumul_div_fin),S2_sol_div*IF(R11=1,0.5,1),0)</f>
        <v>0</v>
      </c>
      <c r="S36" s="17" t="n">
        <f aca="false">IF(AND(S$3&lt;=S2_sol_div_annees,S$3&lt;=st_cumul_div_fin),S2_sol_div*IF(S11=1,0.5,1),0)</f>
        <v>0</v>
      </c>
      <c r="T36" s="17" t="n">
        <f aca="false">IF(AND(T$3&lt;=S2_sol_div_annees,T$3&lt;=st_cumul_div_fin),S2_sol_div*IF(T11=1,0.5,1),0)</f>
        <v>0</v>
      </c>
      <c r="U36" s="17" t="n">
        <f aca="false">IF(AND(U$3&lt;=S2_sol_div_annees,U$3&lt;=st_cumul_div_fin),S2_sol_div*IF(U11=1,0.5,1),0)</f>
        <v>0</v>
      </c>
      <c r="V36" s="17" t="n">
        <f aca="false">IF(AND(V$3&lt;=S2_sol_div_annees,V$3&lt;=st_cumul_div_fin),S2_sol_div*IF(V11=1,0.5,1),0)</f>
        <v>0</v>
      </c>
      <c r="W36" s="17" t="n">
        <f aca="false">IF(AND(W$3&lt;=S2_sol_div_annees,W$3&lt;=st_cumul_div_fin),S2_sol_div*IF(W11=1,0.5,1),0)</f>
        <v>0</v>
      </c>
      <c r="X36" s="17" t="n">
        <f aca="false">IF(AND(X$3&lt;=S2_sol_div_annees,X$3&lt;=st_cumul_div_fin),S2_sol_div*IF(X11=1,0.5,1),0)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dot_taux_net*S2_sol_dotation0</f>
        <v>1650000</v>
      </c>
      <c r="E38" s="17" t="n">
        <f aca="false">lissage_depense*D38+(1-lissage_depense)*dot_taux_net*MAX(0,D42)</f>
        <v>1650000</v>
      </c>
      <c r="F38" s="17" t="n">
        <f aca="false">lissage_depense*E38+(1-lissage_depense)*dot_taux_net*MAX(0,E42)</f>
        <v>1652585.14710266</v>
      </c>
      <c r="G38" s="17" t="n">
        <f aca="false">lissage_depense*F38+(1-lissage_depense)*dot_taux_net*MAX(0,F42)</f>
        <v>1663403.26669116</v>
      </c>
      <c r="H38" s="17" t="n">
        <f aca="false">lissage_depense*G38+(1-lissage_depense)*dot_taux_net*MAX(0,G42)</f>
        <v>1680998.69491593</v>
      </c>
      <c r="I38" s="17" t="n">
        <f aca="false">lissage_depense*H38+(1-lissage_depense)*dot_taux_net*MAX(0,H42)</f>
        <v>1704225.31694325</v>
      </c>
      <c r="J38" s="17" t="n">
        <f aca="false">lissage_depense*I38+(1-lissage_depense)*dot_taux_net*MAX(0,I42)</f>
        <v>1639541.0853752</v>
      </c>
      <c r="K38" s="17" t="n">
        <f aca="false">lissage_depense*J38+(1-lissage_depense)*dot_taux_net*MAX(0,J42)</f>
        <v>1594591.21978038</v>
      </c>
      <c r="L38" s="17" t="n">
        <f aca="false">lissage_depense*K38+(1-lissage_depense)*dot_taux_net*MAX(0,K42)</f>
        <v>1565580.3890313</v>
      </c>
      <c r="M38" s="17" t="n">
        <f aca="false">lissage_depense*L38+(1-lissage_depense)*dot_taux_net*MAX(0,L42)</f>
        <v>1549466.97234005</v>
      </c>
      <c r="N38" s="17" t="n">
        <f aca="false">lissage_depense*M38+(1-lissage_depense)*dot_taux_net*MAX(0,M42)</f>
        <v>1543821.17484308</v>
      </c>
      <c r="O38" s="17" t="n">
        <f aca="false">lissage_depense*N38+(1-lissage_depense)*dot_taux_net*MAX(0,N42)</f>
        <v>1546702.75398084</v>
      </c>
      <c r="P38" s="17" t="n">
        <f aca="false">lissage_depense*O38+(1-lissage_depense)*dot_taux_net*MAX(0,O42)</f>
        <v>1551063.20313257</v>
      </c>
      <c r="Q38" s="17" t="n">
        <f aca="false">lissage_depense*P38+(1-lissage_depense)*dot_taux_net*MAX(0,P42)</f>
        <v>1556602.50112737</v>
      </c>
      <c r="R38" s="17" t="n">
        <f aca="false">lissage_depense*Q38+(1-lissage_depense)*dot_taux_net*MAX(0,Q42)</f>
        <v>1563079.56453091</v>
      </c>
      <c r="S38" s="17" t="n">
        <f aca="false">lissage_depense*R38+(1-lissage_depense)*dot_taux_net*MAX(0,R42)</f>
        <v>1570300.41372929</v>
      </c>
      <c r="T38" s="17" t="n">
        <f aca="false">lissage_depense*S38+(1-lissage_depense)*dot_taux_net*MAX(0,S42)</f>
        <v>1578108.70417433</v>
      </c>
      <c r="U38" s="17" t="n">
        <f aca="false">lissage_depense*T38+(1-lissage_depense)*dot_taux_net*MAX(0,T42)</f>
        <v>1586378.14970576</v>
      </c>
      <c r="V38" s="17" t="n">
        <f aca="false">lissage_depense*U38+(1-lissage_depense)*dot_taux_net*MAX(0,U42)</f>
        <v>1595006.45948063</v>
      </c>
      <c r="W38" s="17" t="n">
        <f aca="false">lissage_depense*V38+(1-lissage_depense)*dot_taux_net*MAX(0,V42)</f>
        <v>1603910.48573279</v>
      </c>
      <c r="X38" s="17" t="n">
        <f aca="false">lissage_depense*W38+(1-lissage_depense)*dot_taux_net*MAX(0,W42)</f>
        <v>1613022.34013891</v>
      </c>
    </row>
    <row r="39" customFormat="false" ht="15" hidden="false" customHeight="false" outlineLevel="0" collapsed="false">
      <c r="A39" s="2" t="s">
        <v>1883</v>
      </c>
      <c r="B39" s="2" t="s">
        <v>1884</v>
      </c>
      <c r="C39" s="2" t="s">
        <v>1832</v>
      </c>
      <c r="E39" s="17" t="n">
        <f aca="false">MIN(MAX(0,E35-E36),IF(E12=1,MAX(E38,retrait_urgence*MAX(0,D42)),E38))</f>
        <v>229973.2540625</v>
      </c>
      <c r="F39" s="17" t="n">
        <f aca="false">MIN(MAX(0,F35-F36),IF(F12=1,MAX(F38,retrait_urgence*MAX(0,E42)),F38))</f>
        <v>223191.364855469</v>
      </c>
      <c r="G39" s="17" t="n">
        <f aca="false">MIN(MAX(0,G35-G36),IF(G12=1,MAX(G38,retrait_urgence*MAX(0,F42)),G38))</f>
        <v>236203.984781491</v>
      </c>
      <c r="H39" s="17" t="n">
        <f aca="false">MIN(MAX(0,H35-H36),IF(H12=1,MAX(H38,retrait_urgence*MAX(0,G42)),H38))</f>
        <v>246909.636252295</v>
      </c>
      <c r="I39" s="17" t="n">
        <f aca="false">MIN(MAX(0,I35-I36),IF(I12=1,MAX(I38,retrait_urgence*MAX(0,H42)),I38))</f>
        <v>762132.68501641</v>
      </c>
      <c r="J39" s="17" t="n">
        <f aca="false">MIN(MAX(0,J35-J36),IF(J12=1,MAX(J38,retrait_urgence*MAX(0,I42)),J38))</f>
        <v>270419.144546602</v>
      </c>
      <c r="K39" s="17" t="n">
        <f aca="false">MIN(MAX(0,K35-K36),IF(K12=1,MAX(K38,retrait_urgence*MAX(0,J42)),K38))</f>
        <v>279943.421387262</v>
      </c>
      <c r="L39" s="17" t="n">
        <f aca="false">MIN(MAX(0,L35-L36),IF(L12=1,MAX(L38,retrait_urgence*MAX(0,K42)),L38))</f>
        <v>291268.088761908</v>
      </c>
      <c r="M39" s="17" t="n">
        <f aca="false">MIN(MAX(0,M35-M36),IF(M12=1,MAX(M38,retrait_urgence*MAX(0,L42)),M38))</f>
        <v>302753.450440995</v>
      </c>
      <c r="N39" s="17" t="n">
        <f aca="false">MIN(MAX(0,N35-N36),IF(N12=1,MAX(N38,retrait_urgence*MAX(0,M42)),N38))</f>
        <v>314401.958870189</v>
      </c>
      <c r="O39" s="17" t="n">
        <f aca="false">MIN(MAX(0,O35-O36),IF(O12=1,MAX(O38,retrait_urgence*MAX(0,N42)),O38))</f>
        <v>1326216.1057593</v>
      </c>
      <c r="P39" s="17" t="n">
        <f aca="false">MIN(MAX(0,P35-P36),IF(P12=1,MAX(P38,retrait_urgence*MAX(0,O42)),P38))</f>
        <v>1338198.42273206</v>
      </c>
      <c r="Q39" s="17" t="n">
        <f aca="false">MIN(MAX(0,Q35-Q36),IF(Q12=1,MAX(Q38,retrait_urgence*MAX(0,P42)),Q38))</f>
        <v>1350351.48198693</v>
      </c>
      <c r="R39" s="17" t="n">
        <f aca="false">MIN(MAX(0,R35-R36),IF(R12=1,MAX(R38,retrait_urgence*MAX(0,Q42)),R38))</f>
        <v>1362677.8969691</v>
      </c>
      <c r="S39" s="17" t="n">
        <f aca="false">MIN(MAX(0,S35-S36),IF(S12=1,MAX(S38,retrait_urgence*MAX(0,R42)),S38))</f>
        <v>1375180.32305397</v>
      </c>
      <c r="T39" s="17" t="n">
        <f aca="false">MIN(MAX(0,T35-T36),IF(T12=1,MAX(T38,retrait_urgence*MAX(0,S42)),T38))</f>
        <v>1387861.45824216</v>
      </c>
      <c r="U39" s="17" t="n">
        <f aca="false">MIN(MAX(0,U35-U36),IF(U12=1,MAX(U38,retrait_urgence*MAX(0,T42)),U38))</f>
        <v>1400724.0438664</v>
      </c>
      <c r="V39" s="17" t="n">
        <f aca="false">MIN(MAX(0,V35-V36),IF(V12=1,MAX(V38,retrait_urgence*MAX(0,U42)),V38))</f>
        <v>1413770.86531038</v>
      </c>
      <c r="W39" s="17" t="n">
        <f aca="false">MIN(MAX(0,W35-W36),IF(W12=1,MAX(W38,retrait_urgence*MAX(0,V42)),W38))</f>
        <v>1427004.7527399</v>
      </c>
      <c r="X39" s="17" t="n">
        <f aca="false">MIN(MAX(0,X35-X36),IF(X12=1,MAX(X38,retrait_urgence*MAX(0,W42)),X38))</f>
        <v>1440428.58184642</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S2_sol_dotation0</f>
        <v>60000000</v>
      </c>
      <c r="E42" s="23" t="n">
        <f aca="false">MAX(0,D42)*(1+E37)-E39+E41-E31</f>
        <v>60470026.7459375</v>
      </c>
      <c r="F42" s="23" t="n">
        <f aca="false">MAX(0,E42)*(1+F37)-F39+F41-F31</f>
        <v>62060936.1834602</v>
      </c>
      <c r="G42" s="23" t="n">
        <f aca="false">MAX(0,F42)*(1+G37)-G39+G41-G31</f>
        <v>63686560.2841825</v>
      </c>
      <c r="H42" s="23" t="n">
        <f aca="false">MAX(0,G42)*(1+H37)-H39+H41-H31</f>
        <v>65350247.4564557</v>
      </c>
      <c r="I42" s="23" t="n">
        <f aca="false">MAX(0,H42)*(1+I37)-I39+I41-I31</f>
        <v>50211060.331019</v>
      </c>
      <c r="J42" s="23" t="n">
        <f aca="false">MAX(0,I42)*(1+J37)-J39+J41-J31</f>
        <v>51446972.996403</v>
      </c>
      <c r="K42" s="23" t="n">
        <f aca="false">MAX(0,J42)*(1+K37)-K39+K41-K31</f>
        <v>52710438.7649078</v>
      </c>
      <c r="L42" s="23" t="n">
        <f aca="false">MAX(0,K42)*(1+L37)-L39+L41-L31</f>
        <v>54000483.8390931</v>
      </c>
      <c r="M42" s="23" t="n">
        <f aca="false">MAX(0,L42)*(1+M37)-M39+M41-M31</f>
        <v>55317744.9038249</v>
      </c>
      <c r="N42" s="23" t="n">
        <f aca="false">MAX(0,M42)*(1+N37)-N39+N41-N31</f>
        <v>56662875.2920695</v>
      </c>
      <c r="O42" s="23" t="n">
        <f aca="false">MAX(0,N42)*(1+O37)-O39+O41-O31</f>
        <v>57036545.4450723</v>
      </c>
      <c r="P42" s="23" t="n">
        <f aca="false">MAX(0,O42)*(1+P37)-P39+P41-P31</f>
        <v>57409443.3856924</v>
      </c>
      <c r="Q42" s="23" t="n">
        <f aca="false">MAX(0,P42)*(1+Q37)-Q39+Q41-Q31</f>
        <v>57781375.2052762</v>
      </c>
      <c r="R42" s="23" t="n">
        <f aca="false">MAX(0,Q42)*(1+R37)-R39+R41-R31</f>
        <v>58152138.5644654</v>
      </c>
      <c r="S42" s="23" t="n">
        <f aca="false">MAX(0,R42)*(1+S37)-S39+S41-S31</f>
        <v>58521522.3983454</v>
      </c>
      <c r="T42" s="23" t="n">
        <f aca="false">MAX(0,S42)*(1+T37)-T39+T41-T31</f>
        <v>58889306.6120536</v>
      </c>
      <c r="U42" s="23" t="n">
        <f aca="false">MAX(0,T42)*(1+U37)-U39+U41-U31</f>
        <v>59255261.7665488</v>
      </c>
      <c r="V42" s="23" t="n">
        <f aca="false">MAX(0,U42)*(1+V37)-V39+V41-V31</f>
        <v>59619148.7542349</v>
      </c>
      <c r="W42" s="23" t="n">
        <f aca="false">MAX(0,V42)*(1+W37)-W39+W41-W31</f>
        <v>59980718.464122</v>
      </c>
      <c r="X42" s="23" t="n">
        <f aca="false">MAX(0,W42)*(1+X37)-X39+X41-X31</f>
        <v>60339711.4361993</v>
      </c>
    </row>
    <row r="43" customFormat="false" ht="15" hidden="false" customHeight="false" outlineLevel="0" collapsed="false">
      <c r="A43" s="2" t="s">
        <v>1891</v>
      </c>
      <c r="B43" s="18" t="s">
        <v>1892</v>
      </c>
      <c r="C43" s="2" t="s">
        <v>1832</v>
      </c>
      <c r="D43" s="23" t="n">
        <f aca="false">S2_sol_reserve0</f>
        <v>1500000</v>
      </c>
      <c r="E43" s="23" t="n">
        <f aca="false">D43*(1+taux_reserve)+E40-E41-(E30-E31)</f>
        <v>1500000</v>
      </c>
      <c r="F43" s="23" t="n">
        <f aca="false">E43*(1+taux_reserve)+F40-F41-(F30-F31)</f>
        <v>1500000</v>
      </c>
      <c r="G43" s="23" t="n">
        <f aca="false">F43*(1+taux_reserve)+G40-G41-(G30-G31)</f>
        <v>1500000</v>
      </c>
      <c r="H43" s="23" t="n">
        <f aca="false">G43*(1+taux_reserve)+H40-H41-(H30-H31)</f>
        <v>1500000</v>
      </c>
      <c r="I43" s="23" t="n">
        <f aca="false">H43*(1+taux_reserve)+I40-I41-(I30-I31)</f>
        <v>1500000</v>
      </c>
      <c r="J43" s="23" t="n">
        <f aca="false">I43*(1+taux_reserve)+J40-J41-(J30-J31)</f>
        <v>1500000</v>
      </c>
      <c r="K43" s="23" t="n">
        <f aca="false">J43*(1+taux_reserve)+K40-K41-(K30-K31)</f>
        <v>1500000</v>
      </c>
      <c r="L43" s="23" t="n">
        <f aca="false">K43*(1+taux_reserve)+L40-L41-(L30-L31)</f>
        <v>1500000</v>
      </c>
      <c r="M43" s="23" t="n">
        <f aca="false">L43*(1+taux_reserve)+M40-M41-(M30-M31)</f>
        <v>1500000</v>
      </c>
      <c r="N43" s="23" t="n">
        <f aca="false">M43*(1+taux_reserve)+N40-N41-(N30-N31)</f>
        <v>1500000</v>
      </c>
      <c r="O43" s="23" t="n">
        <f aca="false">N43*(1+taux_reserve)+O40-O41-(O30-O31)</f>
        <v>1500000</v>
      </c>
      <c r="P43" s="23" t="n">
        <f aca="false">O43*(1+taux_reserve)+P40-P41-(P30-P31)</f>
        <v>1500000</v>
      </c>
      <c r="Q43" s="23" t="n">
        <f aca="false">P43*(1+taux_reserve)+Q40-Q41-(Q30-Q31)</f>
        <v>1500000</v>
      </c>
      <c r="R43" s="23" t="n">
        <f aca="false">Q43*(1+taux_reserve)+R40-R41-(R30-R31)</f>
        <v>1500000</v>
      </c>
      <c r="S43" s="23" t="n">
        <f aca="false">R43*(1+taux_reserve)+S40-S41-(S30-S31)</f>
        <v>1500000</v>
      </c>
      <c r="T43" s="23" t="n">
        <f aca="false">S43*(1+taux_reserve)+T40-T41-(T30-T31)</f>
        <v>1500000</v>
      </c>
      <c r="U43" s="23" t="n">
        <f aca="false">T43*(1+taux_reserve)+U40-U41-(U30-U31)</f>
        <v>1500000</v>
      </c>
      <c r="V43" s="23" t="n">
        <f aca="false">U43*(1+taux_reserve)+V40-V41-(V30-V31)</f>
        <v>1500000</v>
      </c>
      <c r="W43" s="23" t="n">
        <f aca="false">V43*(1+taux_reserve)+W40-W41-(W30-W31)</f>
        <v>1500000</v>
      </c>
      <c r="X43" s="23" t="n">
        <f aca="false">W43*(1+taux_reserve)+X40-X41-(X30-X31)</f>
        <v>1500000</v>
      </c>
    </row>
    <row r="44" customFormat="false" ht="15" hidden="false" customHeight="false" outlineLevel="0" collapsed="false">
      <c r="A44" s="2" t="s">
        <v>1893</v>
      </c>
      <c r="B44" s="18" t="s">
        <v>1894</v>
      </c>
      <c r="C44" s="2" t="s">
        <v>1832</v>
      </c>
      <c r="E44" s="23" t="n">
        <f aca="false">E43+E22</f>
        <v>1813480.4765625</v>
      </c>
      <c r="F44" s="23" t="n">
        <f aca="false">F43+F22</f>
        <v>2129312.05669922</v>
      </c>
      <c r="G44" s="23" t="n">
        <f aca="false">G43+G22</f>
        <v>2447512.37368696</v>
      </c>
      <c r="H44" s="23" t="n">
        <f aca="false">H43+H22</f>
        <v>1500000</v>
      </c>
      <c r="I44" s="23" t="n">
        <f aca="false">I43+I22</f>
        <v>1822991.22051039</v>
      </c>
      <c r="J44" s="23" t="n">
        <f aca="false">J43+J22</f>
        <v>1548404.87517461</v>
      </c>
      <c r="K44" s="23" t="n">
        <f aca="false">K43+K22</f>
        <v>1876259.13224881</v>
      </c>
      <c r="L44" s="23" t="n">
        <f aca="false">L43+L22</f>
        <v>1500000</v>
      </c>
      <c r="M44" s="23" t="n">
        <f aca="false">M43+M22</f>
        <v>1832790.51273227</v>
      </c>
      <c r="N44" s="23" t="n">
        <f aca="false">N43+N22</f>
        <v>2168076.95431004</v>
      </c>
      <c r="O44" s="23" t="n">
        <f aca="false">O43+O22</f>
        <v>2505878.04419964</v>
      </c>
      <c r="P44" s="23" t="n">
        <f aca="false">P43+P22</f>
        <v>1500000</v>
      </c>
      <c r="Q44" s="23" t="n">
        <f aca="false">Q43+Q22</f>
        <v>1842887.10754925</v>
      </c>
      <c r="R44" s="23" t="n">
        <f aca="false">R43+R22</f>
        <v>2188345.86840512</v>
      </c>
      <c r="S44" s="23" t="n">
        <f aca="false">S43+S22</f>
        <v>2536395.56996741</v>
      </c>
      <c r="T44" s="23" t="n">
        <f aca="false">T43+T22</f>
        <v>1500000</v>
      </c>
      <c r="U44" s="23" t="n">
        <f aca="false">U43+U22</f>
        <v>1853290.02488144</v>
      </c>
      <c r="V44" s="23" t="n">
        <f aca="false">V43+V22</f>
        <v>2209229.72494948</v>
      </c>
      <c r="W44" s="23" t="n">
        <f aca="false">W43+W22</f>
        <v>2567838.97276804</v>
      </c>
      <c r="X44" s="23" t="n">
        <f aca="false">X43+X22</f>
        <v>1500000</v>
      </c>
    </row>
    <row r="45" customFormat="false" ht="15" hidden="false" customHeight="false" outlineLevel="0" collapsed="false">
      <c r="A45" s="2" t="s">
        <v>1895</v>
      </c>
      <c r="B45" s="18" t="s">
        <v>1896</v>
      </c>
      <c r="C45" s="2" t="s">
        <v>46</v>
      </c>
      <c r="E45" s="24" t="n">
        <f aca="false">(E29+E38)/E18</f>
        <v>1.33612331093446</v>
      </c>
      <c r="F45" s="24" t="n">
        <f aca="false">(F29+F38)/F18</f>
        <v>1.34078036496089</v>
      </c>
      <c r="G45" s="24" t="n">
        <f aca="false">(G29+G38)/G18</f>
        <v>1.33622184375061</v>
      </c>
      <c r="H45" s="24" t="n">
        <f aca="false">(H29+H38)/H18</f>
        <v>1.33878979847483</v>
      </c>
      <c r="I45" s="24" t="n">
        <f aca="false">(I29+I38)/I18</f>
        <v>1.34213721212582</v>
      </c>
      <c r="J45" s="24" t="n">
        <f aca="false">(J29+J38)/J18</f>
        <v>1.28325130965149</v>
      </c>
      <c r="K45" s="24" t="n">
        <f aca="false">(K29+K38)/K18</f>
        <v>1.23939841944961</v>
      </c>
      <c r="L45" s="24" t="n">
        <f aca="false">(L29+L38)/L18</f>
        <v>1.20692638494395</v>
      </c>
      <c r="M45" s="24" t="n">
        <f aca="false">(M29+M38)/M18</f>
        <v>1.18450878461985</v>
      </c>
      <c r="N45" s="24" t="n">
        <f aca="false">(N29+N38)/N18</f>
        <v>1.17009318035714</v>
      </c>
      <c r="O45" s="24" t="n">
        <f aca="false">(O29+O38)/O18</f>
        <v>1.1620510839456</v>
      </c>
      <c r="P45" s="24" t="n">
        <f aca="false">(P29+P38)/P18</f>
        <v>1.15508347436054</v>
      </c>
      <c r="Q45" s="24" t="n">
        <f aca="false">(Q29+Q38)/Q18</f>
        <v>1.14894619917951</v>
      </c>
      <c r="R45" s="24" t="n">
        <f aca="false">(R29+R38)/R18</f>
        <v>1.14344513529724</v>
      </c>
      <c r="S45" s="24" t="n">
        <f aca="false">(S29+S38)/S18</f>
        <v>1.13842586001066</v>
      </c>
      <c r="T45" s="24" t="n">
        <f aca="false">(T29+T38)/T18</f>
        <v>1.1337654521538</v>
      </c>
      <c r="U45" s="24" t="n">
        <f aca="false">(U29+U38)/U18</f>
        <v>1.12936598432039</v>
      </c>
      <c r="V45" s="24" t="n">
        <f aca="false">(V29+V38)/V18</f>
        <v>1.12514935760987</v>
      </c>
      <c r="W45" s="24" t="n">
        <f aca="false">(W29+W38)/W18</f>
        <v>1.12105320212737</v>
      </c>
      <c r="X45" s="24" t="n">
        <f aca="false">(X29+X38)/X18</f>
        <v>1.11702762348554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1909</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63248.469</v>
      </c>
      <c r="F13" s="17" t="n">
        <f aca="false">bud_dont_personnel_S1*F5</f>
        <v>63564.711345</v>
      </c>
      <c r="G13" s="17" t="n">
        <f aca="false">bud_dont_personnel_S1*G5</f>
        <v>63882.534901725</v>
      </c>
      <c r="H13" s="17" t="n">
        <f aca="false">bud_dont_personnel_S1*H5</f>
        <v>64201.9475762336</v>
      </c>
      <c r="I13" s="17" t="n">
        <f aca="false">bud_dont_personnel_S1*I5</f>
        <v>64522.9573141148</v>
      </c>
      <c r="J13" s="17" t="n">
        <f aca="false">bud_dont_personnel_S1*J5</f>
        <v>64845.5721006853</v>
      </c>
      <c r="K13" s="17" t="n">
        <f aca="false">bud_dont_personnel_S1*K5</f>
        <v>65169.7999611887</v>
      </c>
      <c r="L13" s="17" t="n">
        <f aca="false">bud_dont_personnel_S1*L5</f>
        <v>65495.6489609947</v>
      </c>
      <c r="M13" s="17" t="n">
        <f aca="false">bud_dont_personnel_S1*M5</f>
        <v>65823.1272057997</v>
      </c>
      <c r="N13" s="17" t="n">
        <f aca="false">bud_dont_personnel_S1*N5</f>
        <v>66152.2428418286</v>
      </c>
      <c r="O13" s="17" t="n">
        <f aca="false">bud_dont_personnel_S1*O5</f>
        <v>66483.0040560378</v>
      </c>
      <c r="P13" s="17" t="n">
        <f aca="false">bud_dont_personnel_S1*P5</f>
        <v>66815.419076318</v>
      </c>
      <c r="Q13" s="17" t="n">
        <f aca="false">bud_dont_personnel_S1*Q5</f>
        <v>67149.4961716995</v>
      </c>
      <c r="R13" s="17" t="n">
        <f aca="false">bud_dont_personnel_S1*R5</f>
        <v>67485.243652558</v>
      </c>
      <c r="S13" s="17" t="n">
        <f aca="false">bud_dont_personnel_S1*S5</f>
        <v>67822.6698708208</v>
      </c>
      <c r="T13" s="17" t="n">
        <f aca="false">bud_dont_personnel_S1*T5</f>
        <v>68161.7832201749</v>
      </c>
      <c r="U13" s="17" t="n">
        <f aca="false">bud_dont_personnel_S1*U5</f>
        <v>68502.5921362758</v>
      </c>
      <c r="V13" s="17" t="n">
        <f aca="false">bud_dont_personnel_S1*V5</f>
        <v>68845.1050969572</v>
      </c>
      <c r="W13" s="17" t="n">
        <f aca="false">bud_dont_personnel_S1*W5</f>
        <v>69189.3306224419</v>
      </c>
      <c r="X13" s="17" t="n">
        <f aca="false">bud_dont_personnel_S1*X5</f>
        <v>69535.2772755541</v>
      </c>
    </row>
    <row r="14" customFormat="false" ht="15" hidden="false" customHeight="false" outlineLevel="0" collapsed="false">
      <c r="A14" s="2" t="s">
        <v>1833</v>
      </c>
      <c r="B14" s="2" t="s">
        <v>1834</v>
      </c>
      <c r="C14" s="2" t="s">
        <v>1832</v>
      </c>
      <c r="E14" s="17" t="n">
        <f aca="false">(bud_chauffage_S1+bud_hors_gel_S1+bud_electricite_S1)*E7*IF(AND(E$3&gt;=st_central_energie_debut,E$3&lt;=st_central_energie_fin),st_central_energie_mult,1)</f>
        <v>22067.7</v>
      </c>
      <c r="F14" s="17" t="n">
        <f aca="false">(bud_chauffage_S1+bud_hors_gel_S1+bud_electricite_S1)*F7*IF(AND(F$3&gt;=st_central_energie_debut,F$3&lt;=st_central_energie_fin),st_central_energie_mult,1)</f>
        <v>22509.054</v>
      </c>
      <c r="G14" s="17" t="n">
        <f aca="false">(bud_chauffage_S1+bud_hors_gel_S1+bud_electricite_S1)*G7*IF(AND(G$3&gt;=st_central_energie_debut,G$3&lt;=st_central_energie_fin),st_central_energie_mult,1)</f>
        <v>22959.23508</v>
      </c>
      <c r="H14" s="17" t="n">
        <f aca="false">(bud_chauffage_S1+bud_hors_gel_S1+bud_electricite_S1)*H7*IF(AND(H$3&gt;=st_central_energie_debut,H$3&lt;=st_central_energie_fin),st_central_energie_mult,1)</f>
        <v>23418.4197816</v>
      </c>
      <c r="I14" s="17" t="n">
        <f aca="false">(bud_chauffage_S1+bud_hors_gel_S1+bud_electricite_S1)*I7*IF(AND(I$3&gt;=st_central_energie_debut,I$3&lt;=st_central_energie_fin),st_central_energie_mult,1)</f>
        <v>23886.788177232</v>
      </c>
      <c r="J14" s="17" t="n">
        <f aca="false">(bud_chauffage_S1+bud_hors_gel_S1+bud_electricite_S1)*J7*IF(AND(J$3&gt;=st_central_energie_debut,J$3&lt;=st_central_energie_fin),st_central_energie_mult,1)</f>
        <v>24364.5239407766</v>
      </c>
      <c r="K14" s="17" t="n">
        <f aca="false">(bud_chauffage_S1+bud_hors_gel_S1+bud_electricite_S1)*K7*IF(AND(K$3&gt;=st_central_energie_debut,K$3&lt;=st_central_energie_fin),st_central_energie_mult,1)</f>
        <v>24851.8144195922</v>
      </c>
      <c r="L14" s="17" t="n">
        <f aca="false">(bud_chauffage_S1+bud_hors_gel_S1+bud_electricite_S1)*L7*IF(AND(L$3&gt;=st_central_energie_debut,L$3&lt;=st_central_energie_fin),st_central_energie_mult,1)</f>
        <v>25348.850707984</v>
      </c>
      <c r="M14" s="17" t="n">
        <f aca="false">(bud_chauffage_S1+bud_hors_gel_S1+bud_electricite_S1)*M7*IF(AND(M$3&gt;=st_central_energie_debut,M$3&lt;=st_central_energie_fin),st_central_energie_mult,1)</f>
        <v>25855.8277221437</v>
      </c>
      <c r="N14" s="17" t="n">
        <f aca="false">(bud_chauffage_S1+bud_hors_gel_S1+bud_electricite_S1)*N7*IF(AND(N$3&gt;=st_central_energie_debut,N$3&lt;=st_central_energie_fin),st_central_energie_mult,1)</f>
        <v>26372.9442765866</v>
      </c>
      <c r="O14" s="17" t="n">
        <f aca="false">(bud_chauffage_S1+bud_hors_gel_S1+bud_electricite_S1)*O7*IF(AND(O$3&gt;=st_central_energie_debut,O$3&lt;=st_central_energie_fin),st_central_energie_mult,1)</f>
        <v>26900.4031621183</v>
      </c>
      <c r="P14" s="17" t="n">
        <f aca="false">(bud_chauffage_S1+bud_hors_gel_S1+bud_electricite_S1)*P7*IF(AND(P$3&gt;=st_central_energie_debut,P$3&lt;=st_central_energie_fin),st_central_energie_mult,1)</f>
        <v>27438.4112253607</v>
      </c>
      <c r="Q14" s="17" t="n">
        <f aca="false">(bud_chauffage_S1+bud_hors_gel_S1+bud_electricite_S1)*Q7*IF(AND(Q$3&gt;=st_central_energie_debut,Q$3&lt;=st_central_energie_fin),st_central_energie_mult,1)</f>
        <v>27987.1794498679</v>
      </c>
      <c r="R14" s="17" t="n">
        <f aca="false">(bud_chauffage_S1+bud_hors_gel_S1+bud_electricite_S1)*R7*IF(AND(R$3&gt;=st_central_energie_debut,R$3&lt;=st_central_energie_fin),st_central_energie_mult,1)</f>
        <v>28546.9230388652</v>
      </c>
      <c r="S14" s="17" t="n">
        <f aca="false">(bud_chauffage_S1+bud_hors_gel_S1+bud_electricite_S1)*S7*IF(AND(S$3&gt;=st_central_energie_debut,S$3&lt;=st_central_energie_fin),st_central_energie_mult,1)</f>
        <v>29117.8614996426</v>
      </c>
      <c r="T14" s="17" t="n">
        <f aca="false">(bud_chauffage_S1+bud_hors_gel_S1+bud_electricite_S1)*T7*IF(AND(T$3&gt;=st_central_energie_debut,T$3&lt;=st_central_energie_fin),st_central_energie_mult,1)</f>
        <v>29700.2187296354</v>
      </c>
      <c r="U14" s="17" t="n">
        <f aca="false">(bud_chauffage_S1+bud_hors_gel_S1+bud_electricite_S1)*U7*IF(AND(U$3&gt;=st_central_energie_debut,U$3&lt;=st_central_energie_fin),st_central_energie_mult,1)</f>
        <v>30294.2231042281</v>
      </c>
      <c r="V14" s="17" t="n">
        <f aca="false">(bud_chauffage_S1+bud_hors_gel_S1+bud_electricite_S1)*V7*IF(AND(V$3&gt;=st_central_energie_debut,V$3&lt;=st_central_energie_fin),st_central_energie_mult,1)</f>
        <v>30900.1075663127</v>
      </c>
      <c r="W14" s="17" t="n">
        <f aca="false">(bud_chauffage_S1+bud_hors_gel_S1+bud_electricite_S1)*W7*IF(AND(W$3&gt;=st_central_energie_debut,W$3&lt;=st_central_energie_fin),st_central_energie_mult,1)</f>
        <v>31518.1097176389</v>
      </c>
      <c r="X14" s="17" t="n">
        <f aca="false">(bud_chauffage_S1+bud_hors_gel_S1+bud_electricite_S1)*X7*IF(AND(X$3&gt;=st_central_energie_debut,X$3&lt;=st_central_energie_fin),st_central_energie_mult,1)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327016.76</v>
      </c>
      <c r="F18" s="23" t="n">
        <f aca="false">F13+F14+F15+F16+F17</f>
        <v>328747.6652075</v>
      </c>
      <c r="G18" s="23" t="n">
        <f aca="false">G13+G14+G15+G16+G17</f>
        <v>330499.242409119</v>
      </c>
      <c r="H18" s="23" t="n">
        <f aca="false">H13+H14+H15+H16+H17</f>
        <v>332271.807862173</v>
      </c>
      <c r="I18" s="23" t="n">
        <f aca="false">I13+I14+I15+I16+I17</f>
        <v>334065.683397302</v>
      </c>
      <c r="J18" s="23" t="n">
        <f aca="false">J13+J14+J15+J16+J17</f>
        <v>335881.196523076</v>
      </c>
      <c r="K18" s="23" t="n">
        <f aca="false">K13+K14+K15+K16+K17</f>
        <v>337718.680532606</v>
      </c>
      <c r="L18" s="23" t="n">
        <f aca="false">L13+L14+L15+L16+L17</f>
        <v>339578.474612218</v>
      </c>
      <c r="M18" s="23" t="n">
        <f aca="false">M13+M14+M15+M16+M17</f>
        <v>341460.923952216</v>
      </c>
      <c r="N18" s="23" t="n">
        <f aca="false">N13+N14+N15+N16+N17</f>
        <v>343366.379859774</v>
      </c>
      <c r="O18" s="23" t="n">
        <f aca="false">O13+O14+O15+O16+O17</f>
        <v>345295.199874013</v>
      </c>
      <c r="P18" s="23" t="n">
        <f aca="false">P13+P14+P15+P16+P17</f>
        <v>347247.747883289</v>
      </c>
      <c r="Q18" s="23" t="n">
        <f aca="false">Q13+Q14+Q15+Q16+Q17</f>
        <v>349224.394244739</v>
      </c>
      <c r="R18" s="23" t="n">
        <f aca="false">R13+R14+R15+R16+R17</f>
        <v>351225.515906142</v>
      </c>
      <c r="S18" s="23" t="n">
        <f aca="false">S13+S14+S15+S16+S17</f>
        <v>353251.496530121</v>
      </c>
      <c r="T18" s="23" t="n">
        <f aca="false">T13+T14+T15+T16+T17</f>
        <v>355302.726620741</v>
      </c>
      <c r="U18" s="23" t="n">
        <f aca="false">U13+U14+U15+U16+U17</f>
        <v>357379.603652555</v>
      </c>
      <c r="V18" s="23" t="n">
        <f aca="false">V13+V14+V15+V16+V17</f>
        <v>359482.532202133</v>
      </c>
      <c r="W18" s="23" t="n">
        <f aca="false">W13+W14+W15+W16+W17</f>
        <v>361611.924082131</v>
      </c>
      <c r="X18" s="23" t="n">
        <f aca="false">X13+X14+X15+X16+X17</f>
        <v>363768.198477949</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379638.843658014</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391156.778919239</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403024.15901441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415251.585816972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427849.982852627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194117.052027326</v>
      </c>
      <c r="K22" s="17" t="n">
        <f aca="false">MAX(0,J22+K17-K19-K20)</f>
        <v>292268.846244966</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(S1_ech_log*mot_log_cn+S1_ech_stock*mot_stock_cn+S1_ech_pv*mot_pv_cn+S1_ech_bois*mot_bois_cn)*E24*E9*IF(E$3&gt;=st_central_debut_mult,st_central_mult_A,1)*IF(E11=1,1-0.05,IF(E11=2,1-0.02,1))</f>
        <v>6057.6</v>
      </c>
      <c r="F25" s="17" t="n">
        <f aca="false">(S1_ech_log*mot_log_cn+S1_ech_stock*mot_stock_cn+S1_ech_pv*mot_pv_cn+S1_ech_bois*mot_bois_cn)*F24*F9*IF(F$3&gt;=st_central_debut_mult,st_central_mult_A,1)*IF(F11=1,1-0.05,IF(F11=2,1-0.02,1))</f>
        <v>11358</v>
      </c>
      <c r="G25" s="17" t="n">
        <f aca="false">(S1_ech_log*mot_log_cn+S1_ech_stock*mot_stock_cn+S1_ech_pv*mot_pv_cn+S1_ech_bois*mot_bois_cn)*G24*G9*IF(G$3&gt;=st_central_debut_mult,st_central_mult_A,1)*IF(G11=1,1-0.05,IF(G11=2,1-0.02,1))</f>
        <v>15144</v>
      </c>
      <c r="H25" s="17" t="n">
        <f aca="false">(S1_ech_log*mot_log_cn+S1_ech_stock*mot_stock_cn+S1_ech_pv*mot_pv_cn+S1_ech_bois*mot_bois_cn)*H24*H9*IF(H$3&gt;=st_central_debut_mult,st_central_mult_A,1)*IF(H11=1,1-0.05,IF(H11=2,1-0.02,1))</f>
        <v>15144</v>
      </c>
      <c r="I25" s="17" t="n">
        <f aca="false">(S1_ech_log*mot_log_cn+S1_ech_stock*mot_stock_cn+S1_ech_pv*mot_pv_cn+S1_ech_bois*mot_bois_cn)*I24*I9*IF(I$3&gt;=st_central_debut_mult,st_central_mult_A,1)*IF(I11=1,1-0.05,IF(I11=2,1-0.02,1))</f>
        <v>15144</v>
      </c>
      <c r="J25" s="17" t="n">
        <f aca="false">(S1_ech_log*mot_log_cn+S1_ech_stock*mot_stock_cn+S1_ech_pv*mot_pv_cn+S1_ech_bois*mot_bois_cn)*J24*J9*IF(J$3&gt;=st_central_debut_mult,st_central_mult_A,1)*IF(J11=1,1-0.05,IF(J11=2,1-0.02,1))</f>
        <v>15144</v>
      </c>
      <c r="K25" s="17" t="n">
        <f aca="false">(S1_ech_log*mot_log_cn+S1_ech_stock*mot_stock_cn+S1_ech_pv*mot_pv_cn+S1_ech_bois*mot_bois_cn)*K24*K9*IF(K$3&gt;=st_central_debut_mult,st_central_mult_A,1)*IF(K11=1,1-0.05,IF(K11=2,1-0.02,1))</f>
        <v>15144</v>
      </c>
      <c r="L25" s="17" t="n">
        <f aca="false">(S1_ech_log*mot_log_cn+S1_ech_stock*mot_stock_cn+S1_ech_pv*mot_pv_cn+S1_ech_bois*mot_bois_cn)*L24*L9*IF(L$3&gt;=st_central_debut_mult,st_central_mult_A,1)*IF(L11=1,1-0.05,IF(L11=2,1-0.02,1))</f>
        <v>15144</v>
      </c>
      <c r="M25" s="17" t="n">
        <f aca="false">(S1_ech_log*mot_log_cn+S1_ech_stock*mot_stock_cn+S1_ech_pv*mot_pv_cn+S1_ech_bois*mot_bois_cn)*M24*M9*IF(M$3&gt;=st_central_debut_mult,st_central_mult_A,1)*IF(M11=1,1-0.05,IF(M11=2,1-0.02,1))</f>
        <v>15144</v>
      </c>
      <c r="N25" s="17" t="n">
        <f aca="false">(S1_ech_log*mot_log_cn+S1_ech_stock*mot_stock_cn+S1_ech_pv*mot_pv_cn+S1_ech_bois*mot_bois_cn)*N24*N9*IF(N$3&gt;=st_central_debut_mult,st_central_mult_A,1)*IF(N11=1,1-0.05,IF(N11=2,1-0.02,1))</f>
        <v>15144</v>
      </c>
      <c r="O25" s="17" t="n">
        <f aca="false">(S1_ech_log*mot_log_cn+S1_ech_stock*mot_stock_cn+S1_ech_pv*mot_pv_cn+S1_ech_bois*mot_bois_cn)*O24*O9*IF(O$3&gt;=st_central_debut_mult,st_central_mult_A,1)*IF(O11=1,1-0.05,IF(O11=2,1-0.02,1))</f>
        <v>15144</v>
      </c>
      <c r="P25" s="17" t="n">
        <f aca="false">(S1_ech_log*mot_log_cn+S1_ech_stock*mot_stock_cn+S1_ech_pv*mot_pv_cn+S1_ech_bois*mot_bois_cn)*P24*P9*IF(P$3&gt;=st_central_debut_mult,st_central_mult_A,1)*IF(P11=1,1-0.05,IF(P11=2,1-0.02,1))</f>
        <v>15144</v>
      </c>
      <c r="Q25" s="17" t="n">
        <f aca="false">(S1_ech_log*mot_log_cn+S1_ech_stock*mot_stock_cn+S1_ech_pv*mot_pv_cn+S1_ech_bois*mot_bois_cn)*Q24*Q9*IF(Q$3&gt;=st_central_debut_mult,st_central_mult_A,1)*IF(Q11=1,1-0.05,IF(Q11=2,1-0.02,1))</f>
        <v>15144</v>
      </c>
      <c r="R25" s="17" t="n">
        <f aca="false">(S1_ech_log*mot_log_cn+S1_ech_stock*mot_stock_cn+S1_ech_pv*mot_pv_cn+S1_ech_bois*mot_bois_cn)*R24*R9*IF(R$3&gt;=st_central_debut_mult,st_central_mult_A,1)*IF(R11=1,1-0.05,IF(R11=2,1-0.02,1))</f>
        <v>15144</v>
      </c>
      <c r="S25" s="17" t="n">
        <f aca="false">(S1_ech_log*mot_log_cn+S1_ech_stock*mot_stock_cn+S1_ech_pv*mot_pv_cn+S1_ech_bois*mot_bois_cn)*S24*S9*IF(S$3&gt;=st_central_debut_mult,st_central_mult_A,1)*IF(S11=1,1-0.05,IF(S11=2,1-0.02,1))</f>
        <v>15144</v>
      </c>
      <c r="T25" s="17" t="n">
        <f aca="false">(S1_ech_log*mot_log_cn+S1_ech_stock*mot_stock_cn+S1_ech_pv*mot_pv_cn+S1_ech_bois*mot_bois_cn)*T24*T9*IF(T$3&gt;=st_central_debut_mult,st_central_mult_A,1)*IF(T11=1,1-0.05,IF(T11=2,1-0.02,1))</f>
        <v>15144</v>
      </c>
      <c r="U25" s="17" t="n">
        <f aca="false">(S1_ech_log*mot_log_cn+S1_ech_stock*mot_stock_cn+S1_ech_pv*mot_pv_cn+S1_ech_bois*mot_bois_cn)*U24*U9*IF(U$3&gt;=st_central_debut_mult,st_central_mult_A,1)*IF(U11=1,1-0.05,IF(U11=2,1-0.02,1))</f>
        <v>15144</v>
      </c>
      <c r="V25" s="17" t="n">
        <f aca="false">(S1_ech_log*mot_log_cn+S1_ech_stock*mot_stock_cn+S1_ech_pv*mot_pv_cn+S1_ech_bois*mot_bois_cn)*V24*V9*IF(V$3&gt;=st_central_debut_mult,st_central_mult_A,1)*IF(V11=1,1-0.05,IF(V11=2,1-0.02,1))</f>
        <v>15144</v>
      </c>
      <c r="W25" s="17" t="n">
        <f aca="false">(S1_ech_log*mot_log_cn+S1_ech_stock*mot_stock_cn+S1_ech_pv*mot_pv_cn+S1_ech_bois*mot_bois_cn)*W24*W9*IF(W$3&gt;=st_central_debut_mult,st_central_mult_A,1)*IF(W11=1,1-0.05,IF(W11=2,1-0.02,1))</f>
        <v>15144</v>
      </c>
      <c r="X25" s="17" t="n">
        <f aca="false">(S1_ech_log*mot_log_cn+S1_ech_stock*mot_stock_cn+S1_ech_pv*mot_pv_cn+S1_ech_bois*mot_bois_cn)*X24*X9*IF(X$3&gt;=st_central_debut_mult,st_central_mult_A,1)*IF(X11=1,1-0.05,IF(X11=2,1-0.02,1))</f>
        <v>15144</v>
      </c>
    </row>
    <row r="26" customFormat="false" ht="15" hidden="false" customHeight="false" outlineLevel="0" collapsed="false">
      <c r="A26" s="2" t="s">
        <v>1857</v>
      </c>
      <c r="B26" s="2" t="s">
        <v>1858</v>
      </c>
      <c r="C26" s="2" t="s">
        <v>1832</v>
      </c>
      <c r="E26" s="17" t="n">
        <f aca="false">(S1_ech_eq_std*mot_eq_std_cn+S1_ech_eq_ret*mot_eq_ret_cn)*E24*E9*IF(E$3&gt;=st_central_debut_mult,st_central_mult_B,1)*IF(E11=1,1-0.15,IF(E11=2,1-0.05,1))</f>
        <v>1269.9198</v>
      </c>
      <c r="F26" s="17" t="n">
        <f aca="false">(S1_ech_eq_std*mot_eq_std_cn+S1_ech_eq_ret*mot_eq_ret_cn)*F24*F9*IF(F$3&gt;=st_central_debut_mult,st_central_mult_B,1)*IF(F11=1,1-0.15,IF(F11=2,1-0.05,1))</f>
        <v>2381.099625</v>
      </c>
      <c r="G26" s="17" t="n">
        <f aca="false">(S1_ech_eq_std*mot_eq_std_cn+S1_ech_eq_ret*mot_eq_ret_cn)*G24*G9*IF(G$3&gt;=st_central_debut_mult,st_central_mult_B,1)*IF(G11=1,1-0.15,IF(G11=2,1-0.05,1))</f>
        <v>3174.7995</v>
      </c>
      <c r="H26" s="17" t="n">
        <f aca="false">(S1_ech_eq_std*mot_eq_std_cn+S1_ech_eq_ret*mot_eq_ret_cn)*H24*H9*IF(H$3&gt;=st_central_debut_mult,st_central_mult_B,1)*IF(H11=1,1-0.15,IF(H11=2,1-0.05,1))</f>
        <v>3174.7995</v>
      </c>
      <c r="I26" s="17" t="n">
        <f aca="false">(S1_ech_eq_std*mot_eq_std_cn+S1_ech_eq_ret*mot_eq_ret_cn)*I24*I9*IF(I$3&gt;=st_central_debut_mult,st_central_mult_B,1)*IF(I11=1,1-0.15,IF(I11=2,1-0.05,1))</f>
        <v>3174.7995</v>
      </c>
      <c r="J26" s="17" t="n">
        <f aca="false">(S1_ech_eq_std*mot_eq_std_cn+S1_ech_eq_ret*mot_eq_ret_cn)*J24*J9*IF(J$3&gt;=st_central_debut_mult,st_central_mult_B,1)*IF(J11=1,1-0.15,IF(J11=2,1-0.05,1))</f>
        <v>3174.7995</v>
      </c>
      <c r="K26" s="17" t="n">
        <f aca="false">(S1_ech_eq_std*mot_eq_std_cn+S1_ech_eq_ret*mot_eq_ret_cn)*K24*K9*IF(K$3&gt;=st_central_debut_mult,st_central_mult_B,1)*IF(K11=1,1-0.15,IF(K11=2,1-0.05,1))</f>
        <v>3174.7995</v>
      </c>
      <c r="L26" s="17" t="n">
        <f aca="false">(S1_ech_eq_std*mot_eq_std_cn+S1_ech_eq_ret*mot_eq_ret_cn)*L24*L9*IF(L$3&gt;=st_central_debut_mult,st_central_mult_B,1)*IF(L11=1,1-0.15,IF(L11=2,1-0.05,1))</f>
        <v>3174.7995</v>
      </c>
      <c r="M26" s="17" t="n">
        <f aca="false">(S1_ech_eq_std*mot_eq_std_cn+S1_ech_eq_ret*mot_eq_ret_cn)*M24*M9*IF(M$3&gt;=st_central_debut_mult,st_central_mult_B,1)*IF(M11=1,1-0.15,IF(M11=2,1-0.05,1))</f>
        <v>3174.7995</v>
      </c>
      <c r="N26" s="17" t="n">
        <f aca="false">(S1_ech_eq_std*mot_eq_std_cn+S1_ech_eq_ret*mot_eq_ret_cn)*N24*N9*IF(N$3&gt;=st_central_debut_mult,st_central_mult_B,1)*IF(N11=1,1-0.15,IF(N11=2,1-0.05,1))</f>
        <v>3174.7995</v>
      </c>
      <c r="O26" s="17" t="n">
        <f aca="false">(S1_ech_eq_std*mot_eq_std_cn+S1_ech_eq_ret*mot_eq_ret_cn)*O24*O9*IF(O$3&gt;=st_central_debut_mult,st_central_mult_B,1)*IF(O11=1,1-0.15,IF(O11=2,1-0.05,1))</f>
        <v>3174.7995</v>
      </c>
      <c r="P26" s="17" t="n">
        <f aca="false">(S1_ech_eq_std*mot_eq_std_cn+S1_ech_eq_ret*mot_eq_ret_cn)*P24*P9*IF(P$3&gt;=st_central_debut_mult,st_central_mult_B,1)*IF(P11=1,1-0.15,IF(P11=2,1-0.05,1))</f>
        <v>3174.7995</v>
      </c>
      <c r="Q26" s="17" t="n">
        <f aca="false">(S1_ech_eq_std*mot_eq_std_cn+S1_ech_eq_ret*mot_eq_ret_cn)*Q24*Q9*IF(Q$3&gt;=st_central_debut_mult,st_central_mult_B,1)*IF(Q11=1,1-0.15,IF(Q11=2,1-0.05,1))</f>
        <v>3174.7995</v>
      </c>
      <c r="R26" s="17" t="n">
        <f aca="false">(S1_ech_eq_std*mot_eq_std_cn+S1_ech_eq_ret*mot_eq_ret_cn)*R24*R9*IF(R$3&gt;=st_central_debut_mult,st_central_mult_B,1)*IF(R11=1,1-0.15,IF(R11=2,1-0.05,1))</f>
        <v>3174.7995</v>
      </c>
      <c r="S26" s="17" t="n">
        <f aca="false">(S1_ech_eq_std*mot_eq_std_cn+S1_ech_eq_ret*mot_eq_ret_cn)*S24*S9*IF(S$3&gt;=st_central_debut_mult,st_central_mult_B,1)*IF(S11=1,1-0.15,IF(S11=2,1-0.05,1))</f>
        <v>3174.7995</v>
      </c>
      <c r="T26" s="17" t="n">
        <f aca="false">(S1_ech_eq_std*mot_eq_std_cn+S1_ech_eq_ret*mot_eq_ret_cn)*T24*T9*IF(T$3&gt;=st_central_debut_mult,st_central_mult_B,1)*IF(T11=1,1-0.15,IF(T11=2,1-0.05,1))</f>
        <v>3174.7995</v>
      </c>
      <c r="U26" s="17" t="n">
        <f aca="false">(S1_ech_eq_std*mot_eq_std_cn+S1_ech_eq_ret*mot_eq_ret_cn)*U24*U9*IF(U$3&gt;=st_central_debut_mult,st_central_mult_B,1)*IF(U11=1,1-0.15,IF(U11=2,1-0.05,1))</f>
        <v>3174.7995</v>
      </c>
      <c r="V26" s="17" t="n">
        <f aca="false">(S1_ech_eq_std*mot_eq_std_cn+S1_ech_eq_ret*mot_eq_ret_cn)*V24*V9*IF(V$3&gt;=st_central_debut_mult,st_central_mult_B,1)*IF(V11=1,1-0.15,IF(V11=2,1-0.05,1))</f>
        <v>3174.7995</v>
      </c>
      <c r="W26" s="17" t="n">
        <f aca="false">(S1_ech_eq_std*mot_eq_std_cn+S1_ech_eq_ret*mot_eq_ret_cn)*W24*W9*IF(W$3&gt;=st_central_debut_mult,st_central_mult_B,1)*IF(W11=1,1-0.15,IF(W11=2,1-0.05,1))</f>
        <v>3174.7995</v>
      </c>
      <c r="X26" s="17" t="n">
        <f aca="false">(S1_ech_eq_std*mot_eq_std_cn+S1_ech_eq_ret*mot_eq_ret_cn)*X24*X9*IF(X$3&gt;=st_central_debut_mult,st_central_mult_B,1)*IF(X11=1,1-0.15,IF(X11=2,1-0.05,1))</f>
        <v>3174.7995</v>
      </c>
    </row>
    <row r="27" customFormat="false" ht="15" hidden="false" customHeight="false" outlineLevel="0" collapsed="false">
      <c r="A27" s="2" t="s">
        <v>1859</v>
      </c>
      <c r="B27" s="2" t="s">
        <v>1860</v>
      </c>
      <c r="C27" s="2" t="s">
        <v>1832</v>
      </c>
      <c r="E27" s="17" t="n">
        <f aca="false">(S1_ech_tourn*mot_tourn_cn)*E24*E9*IF(E$3&gt;=st_central_debut_mult,st_central_mult_C,1)*IF(E11=1,1-0.8,IF(E11=2,1-0.3,1))</f>
        <v>1190</v>
      </c>
      <c r="F27" s="17" t="n">
        <f aca="false">(S1_ech_tourn*mot_tourn_cn)*F24*F9*IF(F$3&gt;=st_central_debut_mult,st_central_mult_C,1)*IF(F11=1,1-0.8,IF(F11=2,1-0.3,1))</f>
        <v>2231.25</v>
      </c>
      <c r="G27" s="17" t="n">
        <f aca="false">(S1_ech_tourn*mot_tourn_cn)*G24*G9*IF(G$3&gt;=st_central_debut_mult,st_central_mult_C,1)*IF(G11=1,1-0.8,IF(G11=2,1-0.3,1))</f>
        <v>2975</v>
      </c>
      <c r="H27" s="17" t="n">
        <f aca="false">(S1_ech_tourn*mot_tourn_cn)*H24*H9*IF(H$3&gt;=st_central_debut_mult,st_central_mult_C,1)*IF(H11=1,1-0.8,IF(H11=2,1-0.3,1))</f>
        <v>2975</v>
      </c>
      <c r="I27" s="17" t="n">
        <f aca="false">(S1_ech_tourn*mot_tourn_cn)*I24*I9*IF(I$3&gt;=st_central_debut_mult,st_central_mult_C,1)*IF(I11=1,1-0.8,IF(I11=2,1-0.3,1))</f>
        <v>2975</v>
      </c>
      <c r="J27" s="17" t="n">
        <f aca="false">(S1_ech_tourn*mot_tourn_cn)*J24*J9*IF(J$3&gt;=st_central_debut_mult,st_central_mult_C,1)*IF(J11=1,1-0.8,IF(J11=2,1-0.3,1))</f>
        <v>2975</v>
      </c>
      <c r="K27" s="17" t="n">
        <f aca="false">(S1_ech_tourn*mot_tourn_cn)*K24*K9*IF(K$3&gt;=st_central_debut_mult,st_central_mult_C,1)*IF(K11=1,1-0.8,IF(K11=2,1-0.3,1))</f>
        <v>2975</v>
      </c>
      <c r="L27" s="17" t="n">
        <f aca="false">(S1_ech_tourn*mot_tourn_cn)*L24*L9*IF(L$3&gt;=st_central_debut_mult,st_central_mult_C,1)*IF(L11=1,1-0.8,IF(L11=2,1-0.3,1))</f>
        <v>2975</v>
      </c>
      <c r="M27" s="17" t="n">
        <f aca="false">(S1_ech_tourn*mot_tourn_cn)*M24*M9*IF(M$3&gt;=st_central_debut_mult,st_central_mult_C,1)*IF(M11=1,1-0.8,IF(M11=2,1-0.3,1))</f>
        <v>2975</v>
      </c>
      <c r="N27" s="17" t="n">
        <f aca="false">(S1_ech_tourn*mot_tourn_cn)*N24*N9*IF(N$3&gt;=st_central_debut_mult,st_central_mult_C,1)*IF(N11=1,1-0.8,IF(N11=2,1-0.3,1))</f>
        <v>2975</v>
      </c>
      <c r="O27" s="17" t="n">
        <f aca="false">(S1_ech_tourn*mot_tourn_cn)*O24*O9*IF(O$3&gt;=st_central_debut_mult,st_central_mult_C,1)*IF(O11=1,1-0.8,IF(O11=2,1-0.3,1))</f>
        <v>2975</v>
      </c>
      <c r="P27" s="17" t="n">
        <f aca="false">(S1_ech_tourn*mot_tourn_cn)*P24*P9*IF(P$3&gt;=st_central_debut_mult,st_central_mult_C,1)*IF(P11=1,1-0.8,IF(P11=2,1-0.3,1))</f>
        <v>2975</v>
      </c>
      <c r="Q27" s="17" t="n">
        <f aca="false">(S1_ech_tourn*mot_tourn_cn)*Q24*Q9*IF(Q$3&gt;=st_central_debut_mult,st_central_mult_C,1)*IF(Q11=1,1-0.8,IF(Q11=2,1-0.3,1))</f>
        <v>2975</v>
      </c>
      <c r="R27" s="17" t="n">
        <f aca="false">(S1_ech_tourn*mot_tourn_cn)*R24*R9*IF(R$3&gt;=st_central_debut_mult,st_central_mult_C,1)*IF(R11=1,1-0.8,IF(R11=2,1-0.3,1))</f>
        <v>2975</v>
      </c>
      <c r="S27" s="17" t="n">
        <f aca="false">(S1_ech_tourn*mot_tourn_cn)*S24*S9*IF(S$3&gt;=st_central_debut_mult,st_central_mult_C,1)*IF(S11=1,1-0.8,IF(S11=2,1-0.3,1))</f>
        <v>2975</v>
      </c>
      <c r="T27" s="17" t="n">
        <f aca="false">(S1_ech_tourn*mot_tourn_cn)*T24*T9*IF(T$3&gt;=st_central_debut_mult,st_central_mult_C,1)*IF(T11=1,1-0.8,IF(T11=2,1-0.3,1))</f>
        <v>2975</v>
      </c>
      <c r="U27" s="17" t="n">
        <f aca="false">(S1_ech_tourn*mot_tourn_cn)*U24*U9*IF(U$3&gt;=st_central_debut_mult,st_central_mult_C,1)*IF(U11=1,1-0.8,IF(U11=2,1-0.3,1))</f>
        <v>2975</v>
      </c>
      <c r="V27" s="17" t="n">
        <f aca="false">(S1_ech_tourn*mot_tourn_cn)*V24*V9*IF(V$3&gt;=st_central_debut_mult,st_central_mult_C,1)*IF(V11=1,1-0.8,IF(V11=2,1-0.3,1))</f>
        <v>2975</v>
      </c>
      <c r="W27" s="17" t="n">
        <f aca="false">(S1_ech_tourn*mot_tourn_cn)*W24*W9*IF(W$3&gt;=st_central_debut_mult,st_central_mult_C,1)*IF(W11=1,1-0.8,IF(W11=2,1-0.3,1))</f>
        <v>2975</v>
      </c>
      <c r="X27" s="17" t="n">
        <f aca="false">(S1_ech_tourn*mot_tourn_cn)*X24*X9*IF(X$3&gt;=st_central_debut_mult,st_central_mult_C,1)*IF(X11=1,1-0.8,IF(X11=2,1-0.3,1))</f>
        <v>2975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21293.7995</v>
      </c>
      <c r="H28" s="17" t="n">
        <f aca="false">H25+H26+H27</f>
        <v>21293.7995</v>
      </c>
      <c r="I28" s="17" t="n">
        <f aca="false">I25+I26+I27</f>
        <v>21293.7995</v>
      </c>
      <c r="J28" s="17" t="n">
        <f aca="false">J25+J26+J27</f>
        <v>21293.7995</v>
      </c>
      <c r="K28" s="17" t="n">
        <f aca="false">K25+K26+K27</f>
        <v>21293.7995</v>
      </c>
      <c r="L28" s="17" t="n">
        <f aca="false">L25+L26+L27</f>
        <v>21293.7995</v>
      </c>
      <c r="M28" s="17" t="n">
        <f aca="false">M25+M26+M27</f>
        <v>21293.7995</v>
      </c>
      <c r="N28" s="17" t="n">
        <f aca="false">N25+N26+N27</f>
        <v>21293.7995</v>
      </c>
      <c r="O28" s="17" t="n">
        <f aca="false">O25+O26+O27</f>
        <v>21293.7995</v>
      </c>
      <c r="P28" s="17" t="n">
        <f aca="false">P25+P26+P27</f>
        <v>21293.7995</v>
      </c>
      <c r="Q28" s="17" t="n">
        <f aca="false">Q25+Q26+Q27</f>
        <v>21293.7995</v>
      </c>
      <c r="R28" s="17" t="n">
        <f aca="false">R25+R26+R27</f>
        <v>21293.7995</v>
      </c>
      <c r="S28" s="17" t="n">
        <f aca="false">S25+S26+S27</f>
        <v>21293.7995</v>
      </c>
      <c r="T28" s="17" t="n">
        <f aca="false">T25+T26+T27</f>
        <v>21293.7995</v>
      </c>
      <c r="U28" s="17" t="n">
        <f aca="false">U25+U26+U27</f>
        <v>21293.7995</v>
      </c>
      <c r="V28" s="17" t="n">
        <f aca="false">V25+V26+V27</f>
        <v>21293.7995</v>
      </c>
      <c r="W28" s="17" t="n">
        <f aca="false">W25+W26+W27</f>
        <v>21293.7995</v>
      </c>
      <c r="X28" s="17" t="n">
        <f aca="false">X25+X26+X27</f>
        <v>21293.7995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14905.65965</v>
      </c>
      <c r="H29" s="17" t="n">
        <f aca="false">IF(H28&gt;0,H28*(1-fuite_fiscale),H28)</f>
        <v>14905.65965</v>
      </c>
      <c r="I29" s="17" t="n">
        <f aca="false">IF(I28&gt;0,I28*(1-fuite_fiscale),I28)</f>
        <v>14905.65965</v>
      </c>
      <c r="J29" s="17" t="n">
        <f aca="false">IF(J28&gt;0,J28*(1-fuite_fiscale),J28)</f>
        <v>14905.65965</v>
      </c>
      <c r="K29" s="17" t="n">
        <f aca="false">IF(K28&gt;0,K28*(1-fuite_fiscale),K28)</f>
        <v>14905.65965</v>
      </c>
      <c r="L29" s="17" t="n">
        <f aca="false">IF(L28&gt;0,L28*(1-fuite_fiscale),L28)</f>
        <v>14905.65965</v>
      </c>
      <c r="M29" s="17" t="n">
        <f aca="false">IF(M28&gt;0,M28*(1-fuite_fiscale),M28)</f>
        <v>14905.65965</v>
      </c>
      <c r="N29" s="17" t="n">
        <f aca="false">IF(N28&gt;0,N28*(1-fuite_fiscale),N28)</f>
        <v>14905.65965</v>
      </c>
      <c r="O29" s="17" t="n">
        <f aca="false">IF(O28&gt;0,O28*(1-fuite_fiscale),O28)</f>
        <v>14905.65965</v>
      </c>
      <c r="P29" s="17" t="n">
        <f aca="false">IF(P28&gt;0,P28*(1-fuite_fiscale),P28)</f>
        <v>14905.65965</v>
      </c>
      <c r="Q29" s="17" t="n">
        <f aca="false">IF(Q28&gt;0,Q28*(1-fuite_fiscale),Q28)</f>
        <v>14905.65965</v>
      </c>
      <c r="R29" s="17" t="n">
        <f aca="false">IF(R28&gt;0,R28*(1-fuite_fiscale),R28)</f>
        <v>14905.65965</v>
      </c>
      <c r="S29" s="17" t="n">
        <f aca="false">IF(S28&gt;0,S28*(1-fuite_fiscale),S28)</f>
        <v>14905.65965</v>
      </c>
      <c r="T29" s="17" t="n">
        <f aca="false">IF(T28&gt;0,T28*(1-fuite_fiscale),T28)</f>
        <v>14905.65965</v>
      </c>
      <c r="U29" s="17" t="n">
        <f aca="false">IF(U28&gt;0,U28*(1-fuite_fiscale),U28)</f>
        <v>14905.65965</v>
      </c>
      <c r="V29" s="17" t="n">
        <f aca="false">IF(V28&gt;0,V28*(1-fuite_fiscale),V28)</f>
        <v>14905.65965</v>
      </c>
      <c r="W29" s="17" t="n">
        <f aca="false">IF(W28&gt;0,W28*(1-fuite_fiscale),W28)</f>
        <v>14905.65965</v>
      </c>
      <c r="X29" s="17" t="n">
        <f aca="false">IF(X28&gt;0,X28*(1-fuite_fiscale),X28)</f>
        <v>14905.65965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321054.49614</v>
      </c>
      <c r="F35" s="17" t="n">
        <f aca="false">F13+F14+F15+F16+F17+F21+F32-F29-F23-F33-F34</f>
        <v>317568.42047</v>
      </c>
      <c r="G35" s="17" t="n">
        <f aca="false">G13+G14+G15+G16+G17+G21+G32-G29-G23-G33-G34</f>
        <v>315593.582759119</v>
      </c>
      <c r="H35" s="17" t="n">
        <f aca="false">H13+H14+H15+H16+H17+H21+H32-H29-H23-H33-H34</f>
        <v>317366.148212173</v>
      </c>
      <c r="I35" s="17" t="n">
        <f aca="false">I13+I14+I15+I16+I17+I21+I32-I29-I23-I33-I34</f>
        <v>319160.023747302</v>
      </c>
      <c r="J35" s="17" t="n">
        <f aca="false">J13+J14+J15+J16+J17+J21+J32-J29-J23-J33-J34</f>
        <v>320975.536873076</v>
      </c>
      <c r="K35" s="17" t="n">
        <f aca="false">K13+K14+K15+K16+K17+K21+K32-K29-K23-K33-K34</f>
        <v>322813.020882606</v>
      </c>
      <c r="L35" s="17" t="n">
        <f aca="false">L13+L14+L15+L16+L17+L21+L32-L29-L23-L33-L34</f>
        <v>324672.814962218</v>
      </c>
      <c r="M35" s="17" t="n">
        <f aca="false">M13+M14+M15+M16+M17+M21+M32-M29-M23-M33-M34</f>
        <v>326555.264302216</v>
      </c>
      <c r="N35" s="17" t="n">
        <f aca="false">N13+N14+N15+N16+N17+N21+N32-N29-N23-N33-N34</f>
        <v>328460.720209774</v>
      </c>
      <c r="O35" s="17" t="n">
        <f aca="false">O13+O14+O15+O16+O17+O21+O32-O29-O23-O33-O34</f>
        <v>330389.540224013</v>
      </c>
      <c r="P35" s="17" t="n">
        <f aca="false">P13+P14+P15+P16+P17+P21+P32-P29-P23-P33-P34</f>
        <v>332342.088233289</v>
      </c>
      <c r="Q35" s="17" t="n">
        <f aca="false">Q13+Q14+Q15+Q16+Q17+Q21+Q32-Q29-Q23-Q33-Q34</f>
        <v>334318.734594739</v>
      </c>
      <c r="R35" s="17" t="n">
        <f aca="false">R13+R14+R15+R16+R17+R21+R32-R29-R23-R33-R34</f>
        <v>336319.856256142</v>
      </c>
      <c r="S35" s="17" t="n">
        <f aca="false">S13+S14+S15+S16+S17+S21+S32-S29-S23-S33-S34</f>
        <v>338345.836880121</v>
      </c>
      <c r="T35" s="17" t="n">
        <f aca="false">T13+T14+T15+T16+T17+T21+T32-T29-T23-T33-T34</f>
        <v>340397.066970741</v>
      </c>
      <c r="U35" s="17" t="n">
        <f aca="false">U13+U14+U15+U16+U17+U21+U32-U29-U23-U33-U34</f>
        <v>342473.944002555</v>
      </c>
      <c r="V35" s="17" t="n">
        <f aca="false">V13+V14+V15+V16+V17+V21+V32-V29-V23-V33-V34</f>
        <v>344576.872552133</v>
      </c>
      <c r="W35" s="17" t="n">
        <f aca="false">W13+W14+W15+W16+W17+W21+W32-W29-W23-W33-W34</f>
        <v>346706.264432131</v>
      </c>
      <c r="X35" s="17" t="n">
        <f aca="false">X13+X14+X15+X16+X17+X21+X32-X29-X23-X33-X34</f>
        <v>348862.538827949</v>
      </c>
    </row>
    <row r="36" customFormat="false" ht="15" hidden="false" customHeight="false" outlineLevel="0" collapsed="false">
      <c r="A36" s="2" t="s">
        <v>1877</v>
      </c>
      <c r="B36" s="2" t="s">
        <v>1878</v>
      </c>
      <c r="C36" s="2" t="s">
        <v>1832</v>
      </c>
      <c r="E36" s="17" t="n">
        <f aca="false">IF(AND(E$3&lt;=S1_sol_div_annees,E$3&lt;=st_central_div_fin),S1_sol_div*IF(E11=1,0.5,1),0)</f>
        <v>400000</v>
      </c>
      <c r="F36" s="17" t="n">
        <f aca="false">IF(AND(F$3&lt;=S1_sol_div_annees,F$3&lt;=st_central_div_fin),S1_sol_div*IF(F11=1,0.5,1),0)</f>
        <v>400000</v>
      </c>
      <c r="G36" s="17" t="n">
        <f aca="false">IF(AND(G$3&lt;=S1_sol_div_annees,G$3&lt;=st_central_div_fin),S1_sol_div*IF(G11=1,0.5,1),0)</f>
        <v>400000</v>
      </c>
      <c r="H36" s="17" t="n">
        <f aca="false">IF(AND(H$3&lt;=S1_sol_div_annees,H$3&lt;=st_central_div_fin),S1_sol_div*IF(H11=1,0.5,1),0)</f>
        <v>400000</v>
      </c>
      <c r="I36" s="17" t="n">
        <f aca="false">IF(AND(I$3&lt;=S1_sol_div_annees,I$3&lt;=st_central_div_fin),S1_sol_div*IF(I11=1,0.5,1),0)</f>
        <v>400000</v>
      </c>
      <c r="J36" s="17" t="n">
        <f aca="false">IF(AND(J$3&lt;=S1_sol_div_annees,J$3&lt;=st_central_div_fin),S1_sol_div*IF(J11=1,0.5,1),0)</f>
        <v>400000</v>
      </c>
      <c r="K36" s="17" t="n">
        <f aca="false">IF(AND(K$3&lt;=S1_sol_div_annees,K$3&lt;=st_central_div_fin),S1_sol_div*IF(K11=1,0.5,1),0)</f>
        <v>400000</v>
      </c>
      <c r="L36" s="17" t="n">
        <f aca="false">IF(AND(L$3&lt;=S1_sol_div_annees,L$3&lt;=st_central_div_fin),S1_sol_div*IF(L11=1,0.5,1),0)</f>
        <v>400000</v>
      </c>
      <c r="M36" s="17" t="n">
        <f aca="false">IF(AND(M$3&lt;=S1_sol_div_annees,M$3&lt;=st_central_div_fin),S1_sol_div*IF(M11=1,0.5,1),0)</f>
        <v>400000</v>
      </c>
      <c r="N36" s="17" t="n">
        <f aca="false">IF(AND(N$3&lt;=S1_sol_div_annees,N$3&lt;=st_central_div_fin),S1_sol_div*IF(N11=1,0.5,1),0)</f>
        <v>400000</v>
      </c>
      <c r="O36" s="17" t="n">
        <f aca="false">IF(AND(O$3&lt;=S1_sol_div_annees,O$3&lt;=st_central_div_fin),S1_sol_div*IF(O11=1,0.5,1),0)</f>
        <v>0</v>
      </c>
      <c r="P36" s="17" t="n">
        <f aca="false">IF(AND(P$3&lt;=S1_sol_div_annees,P$3&lt;=st_central_div_fin),S1_sol_div*IF(P11=1,0.5,1),0)</f>
        <v>0</v>
      </c>
      <c r="Q36" s="17" t="n">
        <f aca="false">IF(AND(Q$3&lt;=S1_sol_div_annees,Q$3&lt;=st_central_div_fin),S1_sol_div*IF(Q11=1,0.5,1),0)</f>
        <v>0</v>
      </c>
      <c r="R36" s="17" t="n">
        <f aca="false">IF(AND(R$3&lt;=S1_sol_div_annees,R$3&lt;=st_central_div_fin),S1_sol_div*IF(R11=1,0.5,1),0)</f>
        <v>0</v>
      </c>
      <c r="S36" s="17" t="n">
        <f aca="false">IF(AND(S$3&lt;=S1_sol_div_annees,S$3&lt;=st_central_div_fin),S1_sol_div*IF(S11=1,0.5,1),0)</f>
        <v>0</v>
      </c>
      <c r="T36" s="17" t="n">
        <f aca="false">IF(AND(T$3&lt;=S1_sol_div_annees,T$3&lt;=st_central_div_fin),S1_sol_div*IF(T11=1,0.5,1),0)</f>
        <v>0</v>
      </c>
      <c r="U36" s="17" t="n">
        <f aca="false">IF(AND(U$3&lt;=S1_sol_div_annees,U$3&lt;=st_central_div_fin),S1_sol_div*IF(U11=1,0.5,1),0)</f>
        <v>0</v>
      </c>
      <c r="V36" s="17" t="n">
        <f aca="false">IF(AND(V$3&lt;=S1_sol_div_annees,V$3&lt;=st_central_div_fin),S1_sol_div*IF(V11=1,0.5,1),0)</f>
        <v>0</v>
      </c>
      <c r="W36" s="17" t="n">
        <f aca="false">IF(AND(W$3&lt;=S1_sol_div_annees,W$3&lt;=st_central_div_fin),S1_sol_div*IF(W11=1,0.5,1),0)</f>
        <v>0</v>
      </c>
      <c r="X36" s="17" t="n">
        <f aca="false">IF(AND(X$3&lt;=S1_sol_div_annees,X$3&lt;=st_central_div_fin),S1_sol_div*IF(X11=1,0.5,1),0)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413924.20027123</v>
      </c>
      <c r="G38" s="17" t="n">
        <f aca="false">lissage_depense*F38+(1-lissage_depense)*dot_taux_net*MAX(0,F42)</f>
        <v>418034.660183766</v>
      </c>
      <c r="H38" s="17" t="n">
        <f aca="false">lissage_depense*G38+(1-lissage_depense)*dot_taux_net*MAX(0,G42)</f>
        <v>424394.122407623</v>
      </c>
      <c r="I38" s="17" t="n">
        <f aca="false">lissage_depense*H38+(1-lissage_depense)*dot_taux_net*MAX(0,H42)</f>
        <v>432635.17019936</v>
      </c>
      <c r="J38" s="17" t="n">
        <f aca="false">lissage_depense*I38+(1-lissage_depense)*dot_taux_net*MAX(0,I42)</f>
        <v>442466.224470337</v>
      </c>
      <c r="K38" s="17" t="n">
        <f aca="false">lissage_depense*J38+(1-lissage_depense)*dot_taux_net*MAX(0,J42)</f>
        <v>453656.445083643</v>
      </c>
      <c r="L38" s="17" t="n">
        <f aca="false">lissage_depense*K38+(1-lissage_depense)*dot_taux_net*MAX(0,K42)</f>
        <v>466023.653924654</v>
      </c>
      <c r="M38" s="17" t="n">
        <f aca="false">lissage_depense*L38+(1-lissage_depense)*dot_taux_net*MAX(0,L42)</f>
        <v>479424.675450903</v>
      </c>
      <c r="N38" s="17" t="n">
        <f aca="false">lissage_depense*M38+(1-lissage_depense)*dot_taux_net*MAX(0,M42)</f>
        <v>493747.611287575</v>
      </c>
      <c r="O38" s="17" t="n">
        <f aca="false">lissage_depense*N38+(1-lissage_depense)*dot_taux_net*MAX(0,N42)</f>
        <v>508905.662123565</v>
      </c>
      <c r="P38" s="17" t="n">
        <f aca="false">lissage_depense*O38+(1-lissage_depense)*dot_taux_net*MAX(0,O42)</f>
        <v>522632.18751393</v>
      </c>
      <c r="Q38" s="17" t="n">
        <f aca="false">lissage_depense*P38+(1-lissage_depense)*dot_taux_net*MAX(0,P42)</f>
        <v>535250.756075391</v>
      </c>
      <c r="R38" s="17" t="n">
        <f aca="false">lissage_depense*Q38+(1-lissage_depense)*dot_taux_net*MAX(0,Q42)</f>
        <v>547021.208066216</v>
      </c>
      <c r="S38" s="17" t="n">
        <f aca="false">lissage_depense*R38+(1-lissage_depense)*dot_taux_net*MAX(0,R42)</f>
        <v>558152.428545645</v>
      </c>
      <c r="T38" s="17" t="n">
        <f aca="false">lissage_depense*S38+(1-lissage_depense)*dot_taux_net*MAX(0,S42)</f>
        <v>568812.566689127</v>
      </c>
      <c r="U38" s="17" t="n">
        <f aca="false">lissage_depense*T38+(1-lissage_depense)*dot_taux_net*MAX(0,T42)</f>
        <v>579137.212051152</v>
      </c>
      <c r="V38" s="17" t="n">
        <f aca="false">lissage_depense*U38+(1-lissage_depense)*dot_taux_net*MAX(0,U42)</f>
        <v>589235.936409754</v>
      </c>
      <c r="W38" s="17" t="n">
        <f aca="false">lissage_depense*V38+(1-lissage_depense)*dot_taux_net*MAX(0,V42)</f>
        <v>599197.528100663</v>
      </c>
      <c r="X38" s="17" t="n">
        <f aca="false">lissage_depense*W38+(1-lissage_depense)*dot_taux_net*MAX(0,W42)</f>
        <v>609094.1803682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0</v>
      </c>
      <c r="J39" s="17" t="n">
        <f aca="false">MIN(MAX(0,J35-J36),IF(J12=1,MAX(J38,retrait_urgence*MAX(0,I42)),J38))</f>
        <v>0</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330389.540224013</v>
      </c>
      <c r="P39" s="17" t="n">
        <f aca="false">MIN(MAX(0,P35-P36),IF(P12=1,MAX(P38,retrait_urgence*MAX(0,O42)),P38))</f>
        <v>332342.088233289</v>
      </c>
      <c r="Q39" s="17" t="n">
        <f aca="false">MIN(MAX(0,Q35-Q36),IF(Q12=1,MAX(Q38,retrait_urgence*MAX(0,P42)),Q38))</f>
        <v>334318.734594739</v>
      </c>
      <c r="R39" s="17" t="n">
        <f aca="false">MIN(MAX(0,R35-R36),IF(R12=1,MAX(R38,retrait_urgence*MAX(0,Q42)),R38))</f>
        <v>336319.856256142</v>
      </c>
      <c r="S39" s="17" t="n">
        <f aca="false">MIN(MAX(0,S35-S36),IF(S12=1,MAX(S38,retrait_urgence*MAX(0,R42)),S38))</f>
        <v>338345.836880121</v>
      </c>
      <c r="T39" s="17" t="n">
        <f aca="false">MIN(MAX(0,T35-T36),IF(T12=1,MAX(T38,retrait_urgence*MAX(0,S42)),T38))</f>
        <v>340397.066970741</v>
      </c>
      <c r="U39" s="17" t="n">
        <f aca="false">MIN(MAX(0,U35-U36),IF(U12=1,MAX(U38,retrait_urgence*MAX(0,T42)),U38))</f>
        <v>342473.944002555</v>
      </c>
      <c r="V39" s="17" t="n">
        <f aca="false">MIN(MAX(0,V35-V36),IF(V12=1,MAX(V38,retrait_urgence*MAX(0,U42)),V38))</f>
        <v>344576.872552133</v>
      </c>
      <c r="W39" s="17" t="n">
        <f aca="false">MIN(MAX(0,W35-W36),IF(W12=1,MAX(W38,retrait_urgence*MAX(0,V42)),W38))</f>
        <v>346706.264432131</v>
      </c>
      <c r="X39" s="17" t="n">
        <f aca="false">MIN(MAX(0,X35-X36),IF(X12=1,MAX(X38,retrait_urgence*MAX(0,W42)),X38))</f>
        <v>348862.538827949</v>
      </c>
    </row>
    <row r="40" customFormat="false" ht="15" hidden="false" customHeight="false" outlineLevel="0" collapsed="false">
      <c r="A40" s="2" t="s">
        <v>1885</v>
      </c>
      <c r="B40" s="18" t="s">
        <v>1886</v>
      </c>
      <c r="C40" s="2" t="s">
        <v>1832</v>
      </c>
      <c r="E40" s="23" t="n">
        <f aca="false">E36+E39-E35</f>
        <v>78945.50386</v>
      </c>
      <c r="F40" s="23" t="n">
        <f aca="false">F36+F39-F35</f>
        <v>82431.5795299999</v>
      </c>
      <c r="G40" s="23" t="n">
        <f aca="false">G36+G39-G35</f>
        <v>84406.4172408812</v>
      </c>
      <c r="H40" s="23" t="n">
        <f aca="false">H36+H39-H35</f>
        <v>82633.8517878275</v>
      </c>
      <c r="I40" s="23" t="n">
        <f aca="false">I36+I39-I35</f>
        <v>80839.9762526981</v>
      </c>
      <c r="J40" s="23" t="n">
        <f aca="false">J36+J39-J35</f>
        <v>79024.4631269244</v>
      </c>
      <c r="K40" s="23" t="n">
        <f aca="false">K36+K39-K35</f>
        <v>77186.9791173944</v>
      </c>
      <c r="L40" s="23" t="n">
        <f aca="false">L36+L39-L35</f>
        <v>75327.1850377819</v>
      </c>
      <c r="M40" s="23" t="n">
        <f aca="false">M36+M39-M35</f>
        <v>73444.7356977843</v>
      </c>
      <c r="N40" s="23" t="n">
        <f aca="false">N36+N39-N35</f>
        <v>71539.2797902261</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78945.50386</v>
      </c>
      <c r="F41" s="17" t="n">
        <f aca="false">IF(AND(F40&gt;0,E43&gt;0),F40*part_surplus_dotation,0)</f>
        <v>82431.5795299999</v>
      </c>
      <c r="G41" s="17" t="n">
        <f aca="false">IF(AND(G40&gt;0,F43&gt;0),G40*part_surplus_dotation,0)</f>
        <v>84406.4172408812</v>
      </c>
      <c r="H41" s="17" t="n">
        <f aca="false">IF(AND(H40&gt;0,G43&gt;0),H40*part_surplus_dotation,0)</f>
        <v>82633.8517878275</v>
      </c>
      <c r="I41" s="17" t="n">
        <f aca="false">IF(AND(I40&gt;0,H43&gt;0),I40*part_surplus_dotation,0)</f>
        <v>80839.9762526981</v>
      </c>
      <c r="J41" s="17" t="n">
        <f aca="false">IF(AND(J40&gt;0,I43&gt;0),J40*part_surplus_dotation,0)</f>
        <v>79024.4631269244</v>
      </c>
      <c r="K41" s="17" t="n">
        <f aca="false">IF(AND(K40&gt;0,J43&gt;0),K40*part_surplus_dotation,0)</f>
        <v>77186.9791173944</v>
      </c>
      <c r="L41" s="17" t="n">
        <f aca="false">IF(AND(L40&gt;0,K43&gt;0),L40*part_surplus_dotation,0)</f>
        <v>75327.1850377819</v>
      </c>
      <c r="M41" s="17" t="n">
        <f aca="false">IF(AND(M40&gt;0,L43&gt;0),M40*part_surplus_dotation,0)</f>
        <v>73444.7356977843</v>
      </c>
      <c r="N41" s="17" t="n">
        <f aca="false">IF(AND(N40&gt;0,M43&gt;0),N40*part_surplus_dotation,0)</f>
        <v>71539.2797902261</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15258945.50386</v>
      </c>
      <c r="F42" s="23" t="n">
        <f aca="false">MAX(0,E42)*(1+F37)-F39+F41-F31</f>
        <v>15799145.4485058</v>
      </c>
      <c r="G42" s="23" t="n">
        <f aca="false">MAX(0,F42)*(1+G37)-G39+G41-G31</f>
        <v>16357526.2292019</v>
      </c>
      <c r="H42" s="23" t="n">
        <f aca="false">MAX(0,G42)*(1+H37)-H39+H41-H31</f>
        <v>16930885.8678657</v>
      </c>
      <c r="I42" s="23" t="n">
        <f aca="false">MAX(0,H42)*(1+I37)-I39+I41-I31</f>
        <v>17519652.4201544</v>
      </c>
      <c r="J42" s="23" t="n">
        <f aca="false">MAX(0,I42)*(1+J37)-J39+J41-J31</f>
        <v>18124266.455886</v>
      </c>
      <c r="K42" s="23" t="n">
        <f aca="false">MAX(0,J42)*(1+K37)-K39+K41-K31</f>
        <v>18745181.4286799</v>
      </c>
      <c r="L42" s="23" t="n">
        <f aca="false">MAX(0,K42)*(1+L37)-L39+L41-L31</f>
        <v>19382864.0565781</v>
      </c>
      <c r="M42" s="23" t="n">
        <f aca="false">MAX(0,L42)*(1+M37)-M39+M41-M31</f>
        <v>20037794.7139733</v>
      </c>
      <c r="N42" s="23" t="n">
        <f aca="false">MAX(0,M42)*(1+N37)-N39+N41-N31</f>
        <v>20710467.8351827</v>
      </c>
      <c r="O42" s="23" t="n">
        <f aca="false">MAX(0,N42)*(1+O37)-O39+O41-O31</f>
        <v>21001392.3300141</v>
      </c>
      <c r="P42" s="23" t="n">
        <f aca="false">MAX(0,O42)*(1+P37)-P39+P41-P31</f>
        <v>21299092.0116813</v>
      </c>
      <c r="Q42" s="23" t="n">
        <f aca="false">MAX(0,P42)*(1+Q37)-Q39+Q41-Q31</f>
        <v>21603746.037437</v>
      </c>
      <c r="R42" s="23" t="n">
        <f aca="false">MAX(0,Q42)*(1+R37)-R39+R41-R31</f>
        <v>21915538.562304</v>
      </c>
      <c r="S42" s="23" t="n">
        <f aca="false">MAX(0,R42)*(1+S37)-S39+S41-S31</f>
        <v>22234658.882293</v>
      </c>
      <c r="T42" s="23" t="n">
        <f aca="false">MAX(0,S42)*(1+T37)-T39+T41-T31</f>
        <v>22561301.581791</v>
      </c>
      <c r="U42" s="23" t="n">
        <f aca="false">MAX(0,T42)*(1+U37)-U39+U41-U31</f>
        <v>22895666.6852422</v>
      </c>
      <c r="V42" s="23" t="n">
        <f aca="false">MAX(0,U42)*(1+V37)-V39+V41-V31</f>
        <v>23237959.8132473</v>
      </c>
      <c r="W42" s="23" t="n">
        <f aca="false">MAX(0,V42)*(1+W37)-W39+W41-W31</f>
        <v>23588392.3432126</v>
      </c>
      <c r="X42" s="23" t="n">
        <f aca="false">MAX(0,W42)*(1+X37)-X39+X41-X31</f>
        <v>23947181.574681</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594117.052027326</v>
      </c>
      <c r="K44" s="23" t="n">
        <f aca="false">K43+K22</f>
        <v>692268.846244966</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1.27963552650941</v>
      </c>
      <c r="F45" s="24" t="n">
        <f aca="false">(F29+F38)/F18</f>
        <v>1.29309951065481</v>
      </c>
      <c r="G45" s="24" t="n">
        <f aca="false">(G29+G38)/G18</f>
        <v>1.30995858470936</v>
      </c>
      <c r="H45" s="24" t="n">
        <f aca="false">(H29+H38)/H18</f>
        <v>1.32210970555722</v>
      </c>
      <c r="I45" s="24" t="n">
        <f aca="false">(I29+I38)/I18</f>
        <v>1.33967914722059</v>
      </c>
      <c r="J45" s="24" t="n">
        <f aca="false">(J29+J38)/J18</f>
        <v>1.36170732048978</v>
      </c>
      <c r="K45" s="24" t="n">
        <f aca="false">(K29+K38)/K18</f>
        <v>1.38743318549832</v>
      </c>
      <c r="L45" s="24" t="n">
        <f aca="false">(L29+L38)/L18</f>
        <v>1.41625382505134</v>
      </c>
      <c r="M45" s="24" t="n">
        <f aca="false">(M29+M38)/M18</f>
        <v>1.44769225532254</v>
      </c>
      <c r="N45" s="24" t="n">
        <f aca="false">(N29+N38)/N18</f>
        <v>1.48137179634565</v>
      </c>
      <c r="O45" s="24" t="n">
        <f aca="false">(O29+O38)/O18</f>
        <v>1.51699566621455</v>
      </c>
      <c r="P45" s="24" t="n">
        <f aca="false">(P29+P38)/P18</f>
        <v>1.54799520066174</v>
      </c>
      <c r="Q45" s="24" t="n">
        <f aca="false">(Q29+Q38)/Q18</f>
        <v>1.57536651159552</v>
      </c>
      <c r="R45" s="24" t="n">
        <f aca="false">(R29+R38)/R18</f>
        <v>1.59990331643895</v>
      </c>
      <c r="S45" s="24" t="n">
        <f aca="false">(S29+S38)/S18</f>
        <v>1.62223824619178</v>
      </c>
      <c r="T45" s="24" t="n">
        <f aca="false">(T29+T38)/T18</f>
        <v>1.64287572991862</v>
      </c>
      <c r="U45" s="24" t="n">
        <f aca="false">(U29+U38)/U18</f>
        <v>1.66221817258122</v>
      </c>
      <c r="V45" s="24" t="n">
        <f aca="false">(V29+V38)/V18</f>
        <v>1.68058679335232</v>
      </c>
      <c r="W45" s="24" t="n">
        <f aca="false">(W29+W38)/W18</f>
        <v>1.69823821299429</v>
      </c>
      <c r="X45" s="24" t="n">
        <f aca="false">(X29+X38)/X18</f>
        <v>1.71537765706044</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1910</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IF(st_cumul_crise_an&gt;0,IF(E$3=st_cumul_crise_an,1,IF(E$3=st_cumul_crise_an+1,2,0)),0)</f>
        <v>0</v>
      </c>
      <c r="F11" s="22" t="n">
        <f aca="false">IF(st_cumul_crise_an&gt;0,IF(F$3=st_cumul_crise_an,1,IF(F$3=st_cumul_crise_an+1,2,0)),0)</f>
        <v>0</v>
      </c>
      <c r="G11" s="22" t="n">
        <f aca="false">IF(st_cumul_crise_an&gt;0,IF(G$3=st_cumul_crise_an,1,IF(G$3=st_cumul_crise_an+1,2,0)),0)</f>
        <v>0</v>
      </c>
      <c r="H11" s="22" t="n">
        <f aca="false">IF(st_cumul_crise_an&gt;0,IF(H$3=st_cumul_crise_an,1,IF(H$3=st_cumul_crise_an+1,2,0)),0)</f>
        <v>0</v>
      </c>
      <c r="I11" s="22" t="n">
        <f aca="false">IF(st_cumul_crise_an&gt;0,IF(I$3=st_cumul_crise_an,1,IF(I$3=st_cumul_crise_an+1,2,0)),0)</f>
        <v>1</v>
      </c>
      <c r="J11" s="22" t="n">
        <f aca="false">IF(st_cumul_crise_an&gt;0,IF(J$3=st_cumul_crise_an,1,IF(J$3=st_cumul_crise_an+1,2,0)),0)</f>
        <v>2</v>
      </c>
      <c r="K11" s="22" t="n">
        <f aca="false">IF(st_cumul_crise_an&gt;0,IF(K$3=st_cumul_crise_an,1,IF(K$3=st_cumul_crise_an+1,2,0)),0)</f>
        <v>0</v>
      </c>
      <c r="L11" s="22" t="n">
        <f aca="false">IF(st_cumul_crise_an&gt;0,IF(L$3=st_cumul_crise_an,1,IF(L$3=st_cumul_crise_an+1,2,0)),0)</f>
        <v>0</v>
      </c>
      <c r="M11" s="22" t="n">
        <f aca="false">IF(st_cumul_crise_an&gt;0,IF(M$3=st_cumul_crise_an,1,IF(M$3=st_cumul_crise_an+1,2,0)),0)</f>
        <v>0</v>
      </c>
      <c r="N11" s="22" t="n">
        <f aca="false">IF(st_cumul_crise_an&gt;0,IF(N$3=st_cumul_crise_an,1,IF(N$3=st_cumul_crise_an+1,2,0)),0)</f>
        <v>0</v>
      </c>
      <c r="O11" s="22" t="n">
        <f aca="false">IF(st_cumul_crise_an&gt;0,IF(O$3=st_cumul_crise_an,1,IF(O$3=st_cumul_crise_an+1,2,0)),0)</f>
        <v>0</v>
      </c>
      <c r="P11" s="22" t="n">
        <f aca="false">IF(st_cumul_crise_an&gt;0,IF(P$3=st_cumul_crise_an,1,IF(P$3=st_cumul_crise_an+1,2,0)),0)</f>
        <v>0</v>
      </c>
      <c r="Q11" s="22" t="n">
        <f aca="false">IF(st_cumul_crise_an&gt;0,IF(Q$3=st_cumul_crise_an,1,IF(Q$3=st_cumul_crise_an+1,2,0)),0)</f>
        <v>0</v>
      </c>
      <c r="R11" s="22" t="n">
        <f aca="false">IF(st_cumul_crise_an&gt;0,IF(R$3=st_cumul_crise_an,1,IF(R$3=st_cumul_crise_an+1,2,0)),0)</f>
        <v>0</v>
      </c>
      <c r="S11" s="22" t="n">
        <f aca="false">IF(st_cumul_crise_an&gt;0,IF(S$3=st_cumul_crise_an,1,IF(S$3=st_cumul_crise_an+1,2,0)),0)</f>
        <v>0</v>
      </c>
      <c r="T11" s="22" t="n">
        <f aca="false">IF(st_cumul_crise_an&gt;0,IF(T$3=st_cumul_crise_an,1,IF(T$3=st_cumul_crise_an+1,2,0)),0)</f>
        <v>0</v>
      </c>
      <c r="U11" s="22" t="n">
        <f aca="false">IF(st_cumul_crise_an&gt;0,IF(U$3=st_cumul_crise_an,1,IF(U$3=st_cumul_crise_an+1,2,0)),0)</f>
        <v>0</v>
      </c>
      <c r="V11" s="22" t="n">
        <f aca="false">IF(st_cumul_crise_an&gt;0,IF(V$3=st_cumul_crise_an,1,IF(V$3=st_cumul_crise_an+1,2,0)),0)</f>
        <v>0</v>
      </c>
      <c r="W11" s="22" t="n">
        <f aca="false">IF(st_cumul_crise_an&gt;0,IF(W$3=st_cumul_crise_an,1,IF(W$3=st_cumul_crise_an+1,2,0)),0)</f>
        <v>0</v>
      </c>
      <c r="X11" s="22" t="n">
        <f aca="false">IF(st_cumul_crise_an&gt;0,IF(X$3=st_cumul_crise_an,1,IF(X$3=st_cumul_crise_an+1,2,0)),0)</f>
        <v>0</v>
      </c>
    </row>
    <row r="12" customFormat="false" ht="15" hidden="false" customHeight="false" outlineLevel="0" collapsed="false">
      <c r="A12" s="2" t="s">
        <v>1828</v>
      </c>
      <c r="B12" s="2" t="s">
        <v>1829</v>
      </c>
      <c r="C12" s="2" t="s">
        <v>1815</v>
      </c>
      <c r="E12" s="22" t="n">
        <f aca="false">pilotage_actif*IF(D43&lt;flex_seuil*bud_total_besoin_S1,1,0)</f>
        <v>0</v>
      </c>
      <c r="F12" s="22" t="n">
        <f aca="false">pilotage_actif*IF(E43&lt;flex_seuil*bud_total_besoin_S1,1,0)</f>
        <v>0</v>
      </c>
      <c r="G12" s="22" t="n">
        <f aca="false">pilotage_actif*IF(F43&lt;flex_seuil*bud_total_besoin_S1,1,0)</f>
        <v>0</v>
      </c>
      <c r="H12" s="22" t="n">
        <f aca="false">pilotage_actif*IF(G43&lt;flex_seuil*bud_total_besoin_S1,1,0)</f>
        <v>0</v>
      </c>
      <c r="I12" s="22" t="n">
        <f aca="false">pilotage_actif*IF(H43&lt;flex_seuil*bud_total_besoin_S1,1,0)</f>
        <v>0</v>
      </c>
      <c r="J12" s="22" t="n">
        <f aca="false">pilotage_actif*IF(I43&lt;flex_seuil*bud_total_besoin_S1,1,0)</f>
        <v>0</v>
      </c>
      <c r="K12" s="22" t="n">
        <f aca="false">pilotage_actif*IF(J43&lt;flex_seuil*bud_total_besoin_S1,1,0)</f>
        <v>0</v>
      </c>
      <c r="L12" s="22" t="n">
        <f aca="false">pilotage_actif*IF(K43&lt;flex_seuil*bud_total_besoin_S1,1,0)</f>
        <v>0</v>
      </c>
      <c r="M12" s="22" t="n">
        <f aca="false">pilotage_actif*IF(L43&lt;flex_seuil*bud_total_besoin_S1,1,0)</f>
        <v>0</v>
      </c>
      <c r="N12" s="22" t="n">
        <f aca="false">pilotage_actif*IF(M43&lt;flex_seuil*bud_total_besoin_S1,1,0)</f>
        <v>0</v>
      </c>
      <c r="O12" s="22" t="n">
        <f aca="false">pilotage_actif*IF(N43&lt;flex_seuil*bud_total_besoin_S1,1,0)</f>
        <v>0</v>
      </c>
      <c r="P12" s="22" t="n">
        <f aca="false">pilotage_actif*IF(O43&lt;flex_seuil*bud_total_besoin_S1,1,0)</f>
        <v>0</v>
      </c>
      <c r="Q12" s="22" t="n">
        <f aca="false">pilotage_actif*IF(P43&lt;flex_seuil*bud_total_besoin_S1,1,0)</f>
        <v>0</v>
      </c>
      <c r="R12" s="22" t="n">
        <f aca="false">pilotage_actif*IF(Q43&lt;flex_seuil*bud_total_besoin_S1,1,0)</f>
        <v>0</v>
      </c>
      <c r="S12" s="22" t="n">
        <f aca="false">pilotage_actif*IF(R43&lt;flex_seuil*bud_total_besoin_S1,1,0)</f>
        <v>0</v>
      </c>
      <c r="T12" s="22" t="n">
        <f aca="false">pilotage_actif*IF(S43&lt;flex_seuil*bud_total_besoin_S1,1,0)</f>
        <v>0</v>
      </c>
      <c r="U12" s="22" t="n">
        <f aca="false">pilotage_actif*IF(T43&lt;flex_seuil*bud_total_besoin_S1,1,0)</f>
        <v>0</v>
      </c>
      <c r="V12" s="22" t="n">
        <f aca="false">pilotage_actif*IF(U43&lt;flex_seuil*bud_total_besoin_S1,1,0)</f>
        <v>0</v>
      </c>
      <c r="W12" s="22" t="n">
        <f aca="false">pilotage_actif*IF(V43&lt;flex_seuil*bud_total_besoin_S1,1,0)</f>
        <v>0</v>
      </c>
      <c r="X12" s="22" t="n">
        <f aca="false">pilotage_actif*IF(W43&lt;flex_seuil*bud_total_besoin_S1,1,0)</f>
        <v>0</v>
      </c>
    </row>
    <row r="13" customFormat="false" ht="15" hidden="false" customHeight="false" outlineLevel="0" collapsed="false">
      <c r="A13" s="2" t="s">
        <v>1830</v>
      </c>
      <c r="B13" s="2" t="s">
        <v>1831</v>
      </c>
      <c r="C13" s="2" t="s">
        <v>1832</v>
      </c>
      <c r="E13" s="17" t="n">
        <f aca="false">bud_dont_personnel_S1*E5</f>
        <v>63877.807</v>
      </c>
      <c r="F13" s="17" t="n">
        <f aca="false">bud_dont_personnel_S1*F5</f>
        <v>64835.974105</v>
      </c>
      <c r="G13" s="17" t="n">
        <f aca="false">bud_dont_personnel_S1*G5</f>
        <v>65808.513716575</v>
      </c>
      <c r="H13" s="17" t="n">
        <f aca="false">bud_dont_personnel_S1*H5</f>
        <v>66795.6414223236</v>
      </c>
      <c r="I13" s="17" t="n">
        <f aca="false">bud_dont_personnel_S1*I5</f>
        <v>67797.5760436584</v>
      </c>
      <c r="J13" s="17" t="n">
        <f aca="false">bud_dont_personnel_S1*J5</f>
        <v>68814.5396843133</v>
      </c>
      <c r="K13" s="17" t="n">
        <f aca="false">bud_dont_personnel_S1*K5</f>
        <v>69846.757779578</v>
      </c>
      <c r="L13" s="17" t="n">
        <f aca="false">bud_dont_personnel_S1*L5</f>
        <v>70894.4591462717</v>
      </c>
      <c r="M13" s="17" t="n">
        <f aca="false">bud_dont_personnel_S1*M5</f>
        <v>71957.8760334657</v>
      </c>
      <c r="N13" s="17" t="n">
        <f aca="false">bud_dont_personnel_S1*N5</f>
        <v>73037.2441739677</v>
      </c>
      <c r="O13" s="17" t="n">
        <f aca="false">bud_dont_personnel_S1*O5</f>
        <v>74132.8028365772</v>
      </c>
      <c r="P13" s="17" t="n">
        <f aca="false">bud_dont_personnel_S1*P5</f>
        <v>75244.7948791259</v>
      </c>
      <c r="Q13" s="17" t="n">
        <f aca="false">bud_dont_personnel_S1*Q5</f>
        <v>76373.4668023128</v>
      </c>
      <c r="R13" s="17" t="n">
        <f aca="false">bud_dont_personnel_S1*R5</f>
        <v>77519.0688043474</v>
      </c>
      <c r="S13" s="17" t="n">
        <f aca="false">bud_dont_personnel_S1*S5</f>
        <v>78681.8548364126</v>
      </c>
      <c r="T13" s="17" t="n">
        <f aca="false">bud_dont_personnel_S1*T5</f>
        <v>79862.0826589588</v>
      </c>
      <c r="U13" s="17" t="n">
        <f aca="false">bud_dont_personnel_S1*U5</f>
        <v>81060.0138988432</v>
      </c>
      <c r="V13" s="17" t="n">
        <f aca="false">bud_dont_personnel_S1*V5</f>
        <v>82275.9141073258</v>
      </c>
      <c r="W13" s="17" t="n">
        <f aca="false">bud_dont_personnel_S1*W5</f>
        <v>83510.0528189357</v>
      </c>
      <c r="X13" s="17" t="n">
        <f aca="false">bud_dont_personnel_S1*X5</f>
        <v>84762.7036112197</v>
      </c>
    </row>
    <row r="14" customFormat="false" ht="15" hidden="false" customHeight="false" outlineLevel="0" collapsed="false">
      <c r="A14" s="2" t="s">
        <v>1833</v>
      </c>
      <c r="B14" s="2" t="s">
        <v>1834</v>
      </c>
      <c r="C14" s="2" t="s">
        <v>1832</v>
      </c>
      <c r="E14" s="17" t="n">
        <f aca="false">(bud_chauffage_S1+bud_hors_gel_S1+bud_electricite_S1)*E7*IF(AND(E$3&gt;=st_cumul_energie_debut,E$3&lt;=st_cumul_energie_fin),st_cumul_energie_mult,1)</f>
        <v>22067.7</v>
      </c>
      <c r="F14" s="17" t="n">
        <f aca="false">(bud_chauffage_S1+bud_hors_gel_S1+bud_electricite_S1)*F7*IF(AND(F$3&gt;=st_cumul_energie_debut,F$3&lt;=st_cumul_energie_fin),st_cumul_energie_mult,1)</f>
        <v>22509.054</v>
      </c>
      <c r="G14" s="17" t="n">
        <f aca="false">(bud_chauffage_S1+bud_hors_gel_S1+bud_electricite_S1)*G7*IF(AND(G$3&gt;=st_cumul_energie_debut,G$3&lt;=st_cumul_energie_fin),st_cumul_energie_mult,1)</f>
        <v>22959.23508</v>
      </c>
      <c r="H14" s="17" t="n">
        <f aca="false">(bud_chauffage_S1+bud_hors_gel_S1+bud_electricite_S1)*H7*IF(AND(H$3&gt;=st_cumul_energie_debut,H$3&lt;=st_cumul_energie_fin),st_cumul_energie_mult,1)</f>
        <v>23418.4197816</v>
      </c>
      <c r="I14" s="17" t="n">
        <f aca="false">(bud_chauffage_S1+bud_hors_gel_S1+bud_electricite_S1)*I7*IF(AND(I$3&gt;=st_cumul_energie_debut,I$3&lt;=st_cumul_energie_fin),st_cumul_energie_mult,1)</f>
        <v>23886.788177232</v>
      </c>
      <c r="J14" s="17" t="n">
        <f aca="false">(bud_chauffage_S1+bud_hors_gel_S1+bud_electricite_S1)*J7*IF(AND(J$3&gt;=st_cumul_energie_debut,J$3&lt;=st_cumul_energie_fin),st_cumul_energie_mult,1)</f>
        <v>24364.5239407766</v>
      </c>
      <c r="K14" s="17" t="n">
        <f aca="false">(bud_chauffage_S1+bud_hors_gel_S1+bud_electricite_S1)*K7*IF(AND(K$3&gt;=st_cumul_energie_debut,K$3&lt;=st_cumul_energie_fin),st_cumul_energie_mult,1)</f>
        <v>24851.8144195922</v>
      </c>
      <c r="L14" s="17" t="n">
        <f aca="false">(bud_chauffage_S1+bud_hors_gel_S1+bud_electricite_S1)*L7*IF(AND(L$3&gt;=st_cumul_energie_debut,L$3&lt;=st_cumul_energie_fin),st_cumul_energie_mult,1)</f>
        <v>25348.850707984</v>
      </c>
      <c r="M14" s="17" t="n">
        <f aca="false">(bud_chauffage_S1+bud_hors_gel_S1+bud_electricite_S1)*M7*IF(AND(M$3&gt;=st_cumul_energie_debut,M$3&lt;=st_cumul_energie_fin),st_cumul_energie_mult,1)</f>
        <v>25855.8277221437</v>
      </c>
      <c r="N14" s="17" t="n">
        <f aca="false">(bud_chauffage_S1+bud_hors_gel_S1+bud_electricite_S1)*N7*IF(AND(N$3&gt;=st_cumul_energie_debut,N$3&lt;=st_cumul_energie_fin),st_cumul_energie_mult,1)</f>
        <v>26372.9442765866</v>
      </c>
      <c r="O14" s="17" t="n">
        <f aca="false">(bud_chauffage_S1+bud_hors_gel_S1+bud_electricite_S1)*O7*IF(AND(O$3&gt;=st_cumul_energie_debut,O$3&lt;=st_cumul_energie_fin),st_cumul_energie_mult,1)</f>
        <v>26900.4031621183</v>
      </c>
      <c r="P14" s="17" t="n">
        <f aca="false">(bud_chauffage_S1+bud_hors_gel_S1+bud_electricite_S1)*P7*IF(AND(P$3&gt;=st_cumul_energie_debut,P$3&lt;=st_cumul_energie_fin),st_cumul_energie_mult,1)</f>
        <v>27438.4112253607</v>
      </c>
      <c r="Q14" s="17" t="n">
        <f aca="false">(bud_chauffage_S1+bud_hors_gel_S1+bud_electricite_S1)*Q7*IF(AND(Q$3&gt;=st_cumul_energie_debut,Q$3&lt;=st_cumul_energie_fin),st_cumul_energie_mult,1)</f>
        <v>27987.1794498679</v>
      </c>
      <c r="R14" s="17" t="n">
        <f aca="false">(bud_chauffage_S1+bud_hors_gel_S1+bud_electricite_S1)*R7*IF(AND(R$3&gt;=st_cumul_energie_debut,R$3&lt;=st_cumul_energie_fin),st_cumul_energie_mult,1)</f>
        <v>28546.9230388652</v>
      </c>
      <c r="S14" s="17" t="n">
        <f aca="false">(bud_chauffage_S1+bud_hors_gel_S1+bud_electricite_S1)*S7*IF(AND(S$3&gt;=st_cumul_energie_debut,S$3&lt;=st_cumul_energie_fin),st_cumul_energie_mult,1)</f>
        <v>29117.8614996426</v>
      </c>
      <c r="T14" s="17" t="n">
        <f aca="false">(bud_chauffage_S1+bud_hors_gel_S1+bud_electricite_S1)*T7*IF(AND(T$3&gt;=st_cumul_energie_debut,T$3&lt;=st_cumul_energie_fin),st_cumul_energie_mult,1)</f>
        <v>29700.2187296354</v>
      </c>
      <c r="U14" s="17" t="n">
        <f aca="false">(bud_chauffage_S1+bud_hors_gel_S1+bud_electricite_S1)*U7*IF(AND(U$3&gt;=st_cumul_energie_debut,U$3&lt;=st_cumul_energie_fin),st_cumul_energie_mult,1)</f>
        <v>30294.2231042281</v>
      </c>
      <c r="V14" s="17" t="n">
        <f aca="false">(bud_chauffage_S1+bud_hors_gel_S1+bud_electricite_S1)*V7*IF(AND(V$3&gt;=st_cumul_energie_debut,V$3&lt;=st_cumul_energie_fin),st_cumul_energie_mult,1)</f>
        <v>30900.1075663127</v>
      </c>
      <c r="W14" s="17" t="n">
        <f aca="false">(bud_chauffage_S1+bud_hors_gel_S1+bud_electricite_S1)*W7*IF(AND(W$3&gt;=st_cumul_energie_debut,W$3&lt;=st_cumul_energie_fin),st_cumul_energie_mult,1)</f>
        <v>31518.1097176389</v>
      </c>
      <c r="X14" s="17" t="n">
        <f aca="false">(bud_chauffage_S1+bud_hors_gel_S1+bud_electricite_S1)*X7*IF(AND(X$3&gt;=st_cumul_energie_debut,X$3&lt;=st_cumul_energie_fin),st_cumul_energie_mult,1)</f>
        <v>32148.4719119917</v>
      </c>
    </row>
    <row r="15" customFormat="false" ht="15" hidden="false" customHeight="false" outlineLevel="0" collapsed="false">
      <c r="A15" s="2" t="s">
        <v>1835</v>
      </c>
      <c r="B15" s="2" t="s">
        <v>1836</v>
      </c>
      <c r="C15" s="2" t="s">
        <v>1832</v>
      </c>
      <c r="E15" s="17" t="n">
        <f aca="false">(bud_assurance_bati_S1+bud_assurance_autres_S1)*E8</f>
        <v>14564.55</v>
      </c>
      <c r="F15" s="17" t="n">
        <f aca="false">(bud_assurance_bati_S1+bud_assurance_autres_S1)*F8</f>
        <v>14833.994175</v>
      </c>
      <c r="G15" s="17" t="n">
        <f aca="false">(bud_assurance_bati_S1+bud_assurance_autres_S1)*G8</f>
        <v>15108.4230672375</v>
      </c>
      <c r="H15" s="17" t="n">
        <f aca="false">(bud_assurance_bati_S1+bud_assurance_autres_S1)*H8</f>
        <v>15387.9288939814</v>
      </c>
      <c r="I15" s="17" t="n">
        <f aca="false">(bud_assurance_bati_S1+bud_assurance_autres_S1)*I8</f>
        <v>15672.60557852</v>
      </c>
      <c r="J15" s="17" t="n">
        <f aca="false">(bud_assurance_bati_S1+bud_assurance_autres_S1)*J8</f>
        <v>15962.5487817227</v>
      </c>
      <c r="K15" s="17" t="n">
        <f aca="false">(bud_assurance_bati_S1+bud_assurance_autres_S1)*K8</f>
        <v>16257.8559341845</v>
      </c>
      <c r="L15" s="17" t="n">
        <f aca="false">(bud_assurance_bati_S1+bud_assurance_autres_S1)*L8</f>
        <v>16558.626268967</v>
      </c>
      <c r="M15" s="17" t="n">
        <f aca="false">(bud_assurance_bati_S1+bud_assurance_autres_S1)*M8</f>
        <v>16864.9608549428</v>
      </c>
      <c r="N15" s="17" t="n">
        <f aca="false">(bud_assurance_bati_S1+bud_assurance_autres_S1)*N8</f>
        <v>17176.9626307593</v>
      </c>
      <c r="O15" s="17" t="n">
        <f aca="false">(bud_assurance_bati_S1+bud_assurance_autres_S1)*O8</f>
        <v>17494.7364394283</v>
      </c>
      <c r="P15" s="17" t="n">
        <f aca="false">(bud_assurance_bati_S1+bud_assurance_autres_S1)*P8</f>
        <v>17818.3890635577</v>
      </c>
      <c r="Q15" s="17" t="n">
        <f aca="false">(bud_assurance_bati_S1+bud_assurance_autres_S1)*Q8</f>
        <v>18148.0292612336</v>
      </c>
      <c r="R15" s="17" t="n">
        <f aca="false">(bud_assurance_bati_S1+bud_assurance_autres_S1)*R8</f>
        <v>18483.7678025664</v>
      </c>
      <c r="S15" s="17" t="n">
        <f aca="false">(bud_assurance_bati_S1+bud_assurance_autres_S1)*S8</f>
        <v>18825.7175069139</v>
      </c>
      <c r="T15" s="17" t="n">
        <f aca="false">(bud_assurance_bati_S1+bud_assurance_autres_S1)*T8</f>
        <v>19173.9932807918</v>
      </c>
      <c r="U15" s="17" t="n">
        <f aca="false">(bud_assurance_bati_S1+bud_assurance_autres_S1)*U8</f>
        <v>19528.7121564864</v>
      </c>
      <c r="V15" s="17" t="n">
        <f aca="false">(bud_assurance_bati_S1+bud_assurance_autres_S1)*V8</f>
        <v>19889.9933313814</v>
      </c>
      <c r="W15" s="17" t="n">
        <f aca="false">(bud_assurance_bati_S1+bud_assurance_autres_S1)*W8</f>
        <v>20257.958208012</v>
      </c>
      <c r="X15" s="17" t="n">
        <f aca="false">(bud_assurance_bati_S1+bud_assurance_autres_S1)*X8</f>
        <v>20632.7304348602</v>
      </c>
    </row>
    <row r="16" customFormat="false" ht="15" hidden="false" customHeight="false" outlineLevel="0" collapsed="false">
      <c r="A16" s="2" t="s">
        <v>1837</v>
      </c>
      <c r="B16" s="2" t="s">
        <v>1838</v>
      </c>
      <c r="C16" s="2" t="s">
        <v>1832</v>
      </c>
      <c r="E16" s="17" t="n">
        <f aca="false">bud_total_besoin_S1-bud_dont_personnel_S1-bud_bati_ge_S1-bud_imprevus_travaux_S1-bud_chauffage_S1-bud_hors_gel_S1-bud_electricite_S1-bud_assurance_bati_S1-bud_assurance_autres_S1</f>
        <v>133287.416</v>
      </c>
      <c r="F16" s="17" t="n">
        <f aca="false">bud_total_besoin_S1-bud_dont_personnel_S1-bud_bati_ge_S1-bud_imprevus_travaux_S1-bud_chauffage_S1-bud_hors_gel_S1-bud_electricite_S1-bud_assurance_bati_S1-bud_assurance_autres_S1</f>
        <v>133287.416</v>
      </c>
      <c r="G16" s="17" t="n">
        <f aca="false">bud_total_besoin_S1-bud_dont_personnel_S1-bud_bati_ge_S1-bud_imprevus_travaux_S1-bud_chauffage_S1-bud_hors_gel_S1-bud_electricite_S1-bud_assurance_bati_S1-bud_assurance_autres_S1</f>
        <v>133287.416</v>
      </c>
      <c r="H16" s="17" t="n">
        <f aca="false">bud_total_besoin_S1-bud_dont_personnel_S1-bud_bati_ge_S1-bud_imprevus_travaux_S1-bud_chauffage_S1-bud_hors_gel_S1-bud_electricite_S1-bud_assurance_bati_S1-bud_assurance_autres_S1</f>
        <v>133287.416</v>
      </c>
      <c r="I16" s="17" t="n">
        <f aca="false">bud_total_besoin_S1-bud_dont_personnel_S1-bud_bati_ge_S1-bud_imprevus_travaux_S1-bud_chauffage_S1-bud_hors_gel_S1-bud_electricite_S1-bud_assurance_bati_S1-bud_assurance_autres_S1</f>
        <v>133287.416</v>
      </c>
      <c r="J16" s="17" t="n">
        <f aca="false">bud_total_besoin_S1-bud_dont_personnel_S1-bud_bati_ge_S1-bud_imprevus_travaux_S1-bud_chauffage_S1-bud_hors_gel_S1-bud_electricite_S1-bud_assurance_bati_S1-bud_assurance_autres_S1</f>
        <v>133287.416</v>
      </c>
      <c r="K16" s="17" t="n">
        <f aca="false">bud_total_besoin_S1-bud_dont_personnel_S1-bud_bati_ge_S1-bud_imprevus_travaux_S1-bud_chauffage_S1-bud_hors_gel_S1-bud_electricite_S1-bud_assurance_bati_S1-bud_assurance_autres_S1</f>
        <v>133287.416</v>
      </c>
      <c r="L16" s="17" t="n">
        <f aca="false">bud_total_besoin_S1-bud_dont_personnel_S1-bud_bati_ge_S1-bud_imprevus_travaux_S1-bud_chauffage_S1-bud_hors_gel_S1-bud_electricite_S1-bud_assurance_bati_S1-bud_assurance_autres_S1</f>
        <v>133287.416</v>
      </c>
      <c r="M16" s="17" t="n">
        <f aca="false">bud_total_besoin_S1-bud_dont_personnel_S1-bud_bati_ge_S1-bud_imprevus_travaux_S1-bud_chauffage_S1-bud_hors_gel_S1-bud_electricite_S1-bud_assurance_bati_S1-bud_assurance_autres_S1</f>
        <v>133287.416</v>
      </c>
      <c r="N16" s="17" t="n">
        <f aca="false">bud_total_besoin_S1-bud_dont_personnel_S1-bud_bati_ge_S1-bud_imprevus_travaux_S1-bud_chauffage_S1-bud_hors_gel_S1-bud_electricite_S1-bud_assurance_bati_S1-bud_assurance_autres_S1</f>
        <v>133287.416</v>
      </c>
      <c r="O16" s="17" t="n">
        <f aca="false">bud_total_besoin_S1-bud_dont_personnel_S1-bud_bati_ge_S1-bud_imprevus_travaux_S1-bud_chauffage_S1-bud_hors_gel_S1-bud_electricite_S1-bud_assurance_bati_S1-bud_assurance_autres_S1</f>
        <v>133287.416</v>
      </c>
      <c r="P16" s="17" t="n">
        <f aca="false">bud_total_besoin_S1-bud_dont_personnel_S1-bud_bati_ge_S1-bud_imprevus_travaux_S1-bud_chauffage_S1-bud_hors_gel_S1-bud_electricite_S1-bud_assurance_bati_S1-bud_assurance_autres_S1</f>
        <v>133287.416</v>
      </c>
      <c r="Q16" s="17" t="n">
        <f aca="false">bud_total_besoin_S1-bud_dont_personnel_S1-bud_bati_ge_S1-bud_imprevus_travaux_S1-bud_chauffage_S1-bud_hors_gel_S1-bud_electricite_S1-bud_assurance_bati_S1-bud_assurance_autres_S1</f>
        <v>133287.416</v>
      </c>
      <c r="R16" s="17" t="n">
        <f aca="false">bud_total_besoin_S1-bud_dont_personnel_S1-bud_bati_ge_S1-bud_imprevus_travaux_S1-bud_chauffage_S1-bud_hors_gel_S1-bud_electricite_S1-bud_assurance_bati_S1-bud_assurance_autres_S1</f>
        <v>133287.416</v>
      </c>
      <c r="S16" s="17" t="n">
        <f aca="false">bud_total_besoin_S1-bud_dont_personnel_S1-bud_bati_ge_S1-bud_imprevus_travaux_S1-bud_chauffage_S1-bud_hors_gel_S1-bud_electricite_S1-bud_assurance_bati_S1-bud_assurance_autres_S1</f>
        <v>133287.416</v>
      </c>
      <c r="T16" s="17" t="n">
        <f aca="false">bud_total_besoin_S1-bud_dont_personnel_S1-bud_bati_ge_S1-bud_imprevus_travaux_S1-bud_chauffage_S1-bud_hors_gel_S1-bud_electricite_S1-bud_assurance_bati_S1-bud_assurance_autres_S1</f>
        <v>133287.416</v>
      </c>
      <c r="U16" s="17" t="n">
        <f aca="false">bud_total_besoin_S1-bud_dont_personnel_S1-bud_bati_ge_S1-bud_imprevus_travaux_S1-bud_chauffage_S1-bud_hors_gel_S1-bud_electricite_S1-bud_assurance_bati_S1-bud_assurance_autres_S1</f>
        <v>133287.416</v>
      </c>
      <c r="V16" s="17" t="n">
        <f aca="false">bud_total_besoin_S1-bud_dont_personnel_S1-bud_bati_ge_S1-bud_imprevus_travaux_S1-bud_chauffage_S1-bud_hors_gel_S1-bud_electricite_S1-bud_assurance_bati_S1-bud_assurance_autres_S1</f>
        <v>133287.416</v>
      </c>
      <c r="W16" s="17" t="n">
        <f aca="false">bud_total_besoin_S1-bud_dont_personnel_S1-bud_bati_ge_S1-bud_imprevus_travaux_S1-bud_chauffage_S1-bud_hors_gel_S1-bud_electricite_S1-bud_assurance_bati_S1-bud_assurance_autres_S1</f>
        <v>133287.416</v>
      </c>
      <c r="X16" s="17" t="n">
        <f aca="false">bud_total_besoin_S1-bud_dont_personnel_S1-bud_bati_ge_S1-bud_imprevus_travaux_S1-bud_chauffage_S1-bud_hors_gel_S1-bud_electricite_S1-bud_assurance_bati_S1-bud_assurance_autres_S1</f>
        <v>133287.416</v>
      </c>
    </row>
    <row r="17" customFormat="false" ht="15" hidden="false" customHeight="false" outlineLevel="0" collapsed="false">
      <c r="A17" s="2" t="s">
        <v>1839</v>
      </c>
      <c r="B17" s="2" t="s">
        <v>1840</v>
      </c>
      <c r="C17" s="2" t="s">
        <v>1832</v>
      </c>
      <c r="E17" s="17" t="n">
        <f aca="false">(bud_bati_ge_S1+bud_imprevus_travaux_S1)*E6</f>
        <v>93848.625</v>
      </c>
      <c r="F17" s="17" t="n">
        <f aca="false">(bud_bati_ge_S1+bud_imprevus_travaux_S1)*F6</f>
        <v>94552.4896875</v>
      </c>
      <c r="G17" s="17" t="n">
        <f aca="false">(bud_bati_ge_S1+bud_imprevus_travaux_S1)*G6</f>
        <v>95261.6333601563</v>
      </c>
      <c r="H17" s="17" t="n">
        <f aca="false">(bud_bati_ge_S1+bud_imprevus_travaux_S1)*H6</f>
        <v>95976.0956103575</v>
      </c>
      <c r="I17" s="17" t="n">
        <f aca="false">(bud_bati_ge_S1+bud_imprevus_travaux_S1)*I6</f>
        <v>96695.9163274351</v>
      </c>
      <c r="J17" s="17" t="n">
        <f aca="false">(bud_bati_ge_S1+bud_imprevus_travaux_S1)*J6</f>
        <v>97421.1356998909</v>
      </c>
      <c r="K17" s="17" t="n">
        <f aca="false">(bud_bati_ge_S1+bud_imprevus_travaux_S1)*K6</f>
        <v>98151.7942176401</v>
      </c>
      <c r="L17" s="17" t="n">
        <f aca="false">(bud_bati_ge_S1+bud_imprevus_travaux_S1)*L6</f>
        <v>98887.9326742724</v>
      </c>
      <c r="M17" s="17" t="n">
        <f aca="false">(bud_bati_ge_S1+bud_imprevus_travaux_S1)*M6</f>
        <v>99629.5921693294</v>
      </c>
      <c r="N17" s="17" t="n">
        <f aca="false">(bud_bati_ge_S1+bud_imprevus_travaux_S1)*N6</f>
        <v>100376.814110599</v>
      </c>
      <c r="O17" s="17" t="n">
        <f aca="false">(bud_bati_ge_S1+bud_imprevus_travaux_S1)*O6</f>
        <v>101129.640216429</v>
      </c>
      <c r="P17" s="17" t="n">
        <f aca="false">(bud_bati_ge_S1+bud_imprevus_travaux_S1)*P6</f>
        <v>101888.112518052</v>
      </c>
      <c r="Q17" s="17" t="n">
        <f aca="false">(bud_bati_ge_S1+bud_imprevus_travaux_S1)*Q6</f>
        <v>102652.273361938</v>
      </c>
      <c r="R17" s="17" t="n">
        <f aca="false">(bud_bati_ge_S1+bud_imprevus_travaux_S1)*R6</f>
        <v>103422.165412152</v>
      </c>
      <c r="S17" s="17" t="n">
        <f aca="false">(bud_bati_ge_S1+bud_imprevus_travaux_S1)*S6</f>
        <v>104197.831652743</v>
      </c>
      <c r="T17" s="17" t="n">
        <f aca="false">(bud_bati_ge_S1+bud_imprevus_travaux_S1)*T6</f>
        <v>104979.315390139</v>
      </c>
      <c r="U17" s="17" t="n">
        <f aca="false">(bud_bati_ge_S1+bud_imprevus_travaux_S1)*U6</f>
        <v>105766.660255565</v>
      </c>
      <c r="V17" s="17" t="n">
        <f aca="false">(bud_bati_ge_S1+bud_imprevus_travaux_S1)*V6</f>
        <v>106559.910207482</v>
      </c>
      <c r="W17" s="17" t="n">
        <f aca="false">(bud_bati_ge_S1+bud_imprevus_travaux_S1)*W6</f>
        <v>107359.109534038</v>
      </c>
      <c r="X17" s="17" t="n">
        <f aca="false">(bud_bati_ge_S1+bud_imprevus_travaux_S1)*X6</f>
        <v>108164.302855543</v>
      </c>
    </row>
    <row r="18" customFormat="false" ht="15" hidden="false" customHeight="false" outlineLevel="0" collapsed="false">
      <c r="A18" s="2" t="s">
        <v>1841</v>
      </c>
      <c r="B18" s="18" t="s">
        <v>1842</v>
      </c>
      <c r="C18" s="2" t="s">
        <v>1832</v>
      </c>
      <c r="E18" s="23" t="n">
        <f aca="false">E13+E14+E15+E16+E17</f>
        <v>327646.098</v>
      </c>
      <c r="F18" s="23" t="n">
        <f aca="false">F13+F14+F15+F16+F17</f>
        <v>330018.9279675</v>
      </c>
      <c r="G18" s="23" t="n">
        <f aca="false">G13+G14+G15+G16+G17</f>
        <v>332425.221223969</v>
      </c>
      <c r="H18" s="23" t="n">
        <f aca="false">H13+H14+H15+H16+H17</f>
        <v>334865.501708263</v>
      </c>
      <c r="I18" s="23" t="n">
        <f aca="false">I13+I14+I15+I16+I17</f>
        <v>337340.302126846</v>
      </c>
      <c r="J18" s="23" t="n">
        <f aca="false">J13+J14+J15+J16+J17</f>
        <v>339850.164106704</v>
      </c>
      <c r="K18" s="23" t="n">
        <f aca="false">K13+K14+K15+K16+K17</f>
        <v>342395.638350995</v>
      </c>
      <c r="L18" s="23" t="n">
        <f aca="false">L13+L14+L15+L16+L17</f>
        <v>344977.284797495</v>
      </c>
      <c r="M18" s="23" t="n">
        <f aca="false">M13+M14+M15+M16+M17</f>
        <v>347595.672779882</v>
      </c>
      <c r="N18" s="23" t="n">
        <f aca="false">N13+N14+N15+N16+N17</f>
        <v>350251.381191913</v>
      </c>
      <c r="O18" s="23" t="n">
        <f aca="false">O13+O14+O15+O16+O17</f>
        <v>352944.998654553</v>
      </c>
      <c r="P18" s="23" t="n">
        <f aca="false">P13+P14+P15+P16+P17</f>
        <v>355677.123686096</v>
      </c>
      <c r="Q18" s="23" t="n">
        <f aca="false">Q13+Q14+Q15+Q16+Q17</f>
        <v>358448.364875352</v>
      </c>
      <c r="R18" s="23" t="n">
        <f aca="false">R13+R14+R15+R16+R17</f>
        <v>361259.341057931</v>
      </c>
      <c r="S18" s="23" t="n">
        <f aca="false">S13+S14+S15+S16+S17</f>
        <v>364110.681495712</v>
      </c>
      <c r="T18" s="23" t="n">
        <f aca="false">T13+T14+T15+T16+T17</f>
        <v>367003.026059525</v>
      </c>
      <c r="U18" s="23" t="n">
        <f aca="false">U13+U14+U15+U16+U17</f>
        <v>369937.025415123</v>
      </c>
      <c r="V18" s="23" t="n">
        <f aca="false">V13+V14+V15+V16+V17</f>
        <v>372913.341212502</v>
      </c>
      <c r="W18" s="23" t="n">
        <f aca="false">W13+W14+W15+W16+W17</f>
        <v>375932.646278624</v>
      </c>
      <c r="X18" s="23" t="n">
        <f aca="false">X13+X14+X15+X16+X17</f>
        <v>378995.624813615</v>
      </c>
    </row>
    <row r="19" customFormat="false" ht="15" hidden="false" customHeight="false" outlineLevel="0" collapsed="false">
      <c r="A19" s="2" t="s">
        <v>1843</v>
      </c>
      <c r="B19" s="2" t="s">
        <v>1844</v>
      </c>
      <c r="C19" s="2" t="s">
        <v>1832</v>
      </c>
      <c r="E19" s="17" t="n">
        <f aca="false">IF(MOD(E$3,campagne_periode)=0,(D22+E17)*st_cumul_mult_campagne*(1-E12*flex_report),0)</f>
        <v>0</v>
      </c>
      <c r="F19" s="17" t="n">
        <f aca="false">IF(MOD(F$3,campagne_periode)=0,(E22+F17)*st_cumul_mult_campagne*(1-F12*flex_report),0)</f>
        <v>0</v>
      </c>
      <c r="G19" s="17" t="n">
        <f aca="false">IF(MOD(G$3,campagne_periode)=0,(F22+G17)*st_cumul_mult_campagne*(1-G12*flex_report),0)</f>
        <v>0</v>
      </c>
      <c r="H19" s="17" t="n">
        <f aca="false">IF(MOD(H$3,campagne_periode)=0,(G22+H17)*st_cumul_mult_campagne*(1-H12*flex_report),0)</f>
        <v>379638.843658014</v>
      </c>
      <c r="I19" s="17" t="n">
        <f aca="false">IF(MOD(I$3,campagne_periode)=0,(H22+I17)*st_cumul_mult_campagne*(1-I12*flex_report),0)</f>
        <v>0</v>
      </c>
      <c r="J19" s="17" t="n">
        <f aca="false">IF(MOD(J$3,campagne_periode)=0,(I22+J17)*st_cumul_mult_campagne*(1-J12*flex_report),0)</f>
        <v>0</v>
      </c>
      <c r="K19" s="17" t="n">
        <f aca="false">IF(MOD(K$3,campagne_periode)=0,(J22+K17)*st_cumul_mult_campagne*(1-K12*flex_report),0)</f>
        <v>0</v>
      </c>
      <c r="L19" s="17" t="n">
        <f aca="false">IF(MOD(L$3,campagne_periode)=0,(K22+L17)*st_cumul_mult_campagne*(1-L12*flex_report),0)</f>
        <v>197039.726891913</v>
      </c>
      <c r="M19" s="17" t="n">
        <f aca="false">IF(MOD(M$3,campagne_periode)=0,(L22+M17)*st_cumul_mult_campagne*(1-M12*flex_report),0)</f>
        <v>0</v>
      </c>
      <c r="N19" s="17" t="n">
        <f aca="false">IF(MOD(N$3,campagne_periode)=0,(M22+N17)*st_cumul_mult_campagne*(1-N12*flex_report),0)</f>
        <v>0</v>
      </c>
      <c r="O19" s="17" t="n">
        <f aca="false">IF(MOD(O$3,campagne_periode)=0,(N22+O17)*st_cumul_mult_campagne*(1-O12*flex_report),0)</f>
        <v>0</v>
      </c>
      <c r="P19" s="17" t="n">
        <f aca="false">IF(MOD(P$3,campagne_periode)=0,(O22+P17)*st_cumul_mult_campagne*(1-P12*flex_report),0)</f>
        <v>403024.15901441</v>
      </c>
      <c r="Q19" s="17" t="n">
        <f aca="false">IF(MOD(Q$3,campagne_periode)=0,(P22+Q17)*st_cumul_mult_campagne*(1-Q12*flex_report),0)</f>
        <v>0</v>
      </c>
      <c r="R19" s="17" t="n">
        <f aca="false">IF(MOD(R$3,campagne_periode)=0,(Q22+R17)*st_cumul_mult_campagne*(1-R12*flex_report),0)</f>
        <v>0</v>
      </c>
      <c r="S19" s="17" t="n">
        <f aca="false">IF(MOD(S$3,campagne_periode)=0,(R22+S17)*st_cumul_mult_campagne*(1-S12*flex_report),0)</f>
        <v>0</v>
      </c>
      <c r="T19" s="17" t="n">
        <f aca="false">IF(MOD(T$3,campagne_periode)=0,(S22+T17)*st_cumul_mult_campagne*(1-T12*flex_report),0)</f>
        <v>415251.585816972</v>
      </c>
      <c r="U19" s="17" t="n">
        <f aca="false">IF(MOD(U$3,campagne_periode)=0,(T22+U17)*st_cumul_mult_campagne*(1-U12*flex_report),0)</f>
        <v>0</v>
      </c>
      <c r="V19" s="17" t="n">
        <f aca="false">IF(MOD(V$3,campagne_periode)=0,(U22+V17)*st_cumul_mult_campagne*(1-V12*flex_report),0)</f>
        <v>0</v>
      </c>
      <c r="W19" s="17" t="n">
        <f aca="false">IF(MOD(W$3,campagne_periode)=0,(V22+W17)*st_cumul_mult_campagne*(1-W12*flex_report),0)</f>
        <v>0</v>
      </c>
      <c r="X19" s="17" t="n">
        <f aca="false">IF(MOD(X$3,campagne_periode)=0,(W22+X17)*st_cumul_mult_campagne*(1-X12*flex_report),0)</f>
        <v>427849.982852627</v>
      </c>
    </row>
    <row r="20" customFormat="false" ht="15" hidden="false" customHeight="false" outlineLevel="0" collapsed="false">
      <c r="A20" s="2" t="s">
        <v>1845</v>
      </c>
      <c r="B20" s="2" t="s">
        <v>1846</v>
      </c>
      <c r="C20" s="2" t="s">
        <v>1832</v>
      </c>
      <c r="E20" s="17" t="n">
        <f aca="false">IF(E$3=st_cumul_choc_trav_an,st_cumul_choc_trav_montant,0)</f>
        <v>0</v>
      </c>
      <c r="F20" s="17" t="n">
        <f aca="false">IF(F$3=st_cumul_choc_trav_an,st_cumul_choc_trav_montant,0)</f>
        <v>0</v>
      </c>
      <c r="G20" s="17" t="n">
        <f aca="false">IF(G$3=st_cumul_choc_trav_an,st_cumul_choc_trav_montant,0)</f>
        <v>0</v>
      </c>
      <c r="H20" s="17" t="n">
        <f aca="false">IF(H$3=st_cumul_choc_trav_an,st_cumul_choc_trav_montant,0)</f>
        <v>0</v>
      </c>
      <c r="I20" s="17" t="n">
        <f aca="false">IF(I$3=st_cumul_choc_trav_an,st_cumul_choc_trav_montant,0)</f>
        <v>0</v>
      </c>
      <c r="J20" s="17" t="n">
        <f aca="false">IF(J$3=st_cumul_choc_trav_an,st_cumul_choc_trav_montant,0)</f>
        <v>600000</v>
      </c>
      <c r="K20" s="17" t="n">
        <f aca="false">IF(K$3=st_cumul_choc_trav_an,st_cumul_choc_trav_montant,0)</f>
        <v>0</v>
      </c>
      <c r="L20" s="17" t="n">
        <f aca="false">IF(L$3=st_cumul_choc_trav_an,st_cumul_choc_trav_montant,0)</f>
        <v>0</v>
      </c>
      <c r="M20" s="17" t="n">
        <f aca="false">IF(M$3=st_cumul_choc_trav_an,st_cumul_choc_trav_montant,0)</f>
        <v>0</v>
      </c>
      <c r="N20" s="17" t="n">
        <f aca="false">IF(N$3=st_cumul_choc_trav_an,st_cumul_choc_trav_montant,0)</f>
        <v>0</v>
      </c>
      <c r="O20" s="17" t="n">
        <f aca="false">IF(O$3=st_cumul_choc_trav_an,st_cumul_choc_trav_montant,0)</f>
        <v>0</v>
      </c>
      <c r="P20" s="17" t="n">
        <f aca="false">IF(P$3=st_cumul_choc_trav_an,st_cumul_choc_trav_montant,0)</f>
        <v>0</v>
      </c>
      <c r="Q20" s="17" t="n">
        <f aca="false">IF(Q$3=st_cumul_choc_trav_an,st_cumul_choc_trav_montant,0)</f>
        <v>0</v>
      </c>
      <c r="R20" s="17" t="n">
        <f aca="false">IF(R$3=st_cumul_choc_trav_an,st_cumul_choc_trav_montant,0)</f>
        <v>0</v>
      </c>
      <c r="S20" s="17" t="n">
        <f aca="false">IF(S$3=st_cumul_choc_trav_an,st_cumul_choc_trav_montant,0)</f>
        <v>0</v>
      </c>
      <c r="T20" s="17" t="n">
        <f aca="false">IF(T$3=st_cumul_choc_trav_an,st_cumul_choc_trav_montant,0)</f>
        <v>0</v>
      </c>
      <c r="U20" s="17" t="n">
        <f aca="false">IF(U$3=st_cumul_choc_trav_an,st_cumul_choc_trav_montant,0)</f>
        <v>0</v>
      </c>
      <c r="V20" s="17" t="n">
        <f aca="false">IF(V$3=st_cumul_choc_trav_an,st_cumul_choc_trav_montant,0)</f>
        <v>0</v>
      </c>
      <c r="W20" s="17" t="n">
        <f aca="false">IF(W$3=st_cumul_choc_trav_an,st_cumul_choc_trav_montant,0)</f>
        <v>0</v>
      </c>
      <c r="X20" s="17" t="n">
        <f aca="false">IF(X$3=st_cumul_choc_trav_an,st_cumul_choc_trav_montant,0)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405882.947972674</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93848.625</v>
      </c>
      <c r="F22" s="17" t="n">
        <f aca="false">MAX(0,E22+F17-F19-F20)</f>
        <v>188401.1146875</v>
      </c>
      <c r="G22" s="17" t="n">
        <f aca="false">MAX(0,F22+G17-G19-G20)</f>
        <v>283662.748047656</v>
      </c>
      <c r="H22" s="17" t="n">
        <f aca="false">MAX(0,G22+H17-H19-H20)</f>
        <v>0</v>
      </c>
      <c r="I22" s="17" t="n">
        <f aca="false">MAX(0,H22+I17-I19-I20)</f>
        <v>96695.9163274351</v>
      </c>
      <c r="J22" s="17" t="n">
        <f aca="false">MAX(0,I22+J17-J19-J20)</f>
        <v>0</v>
      </c>
      <c r="K22" s="17" t="n">
        <f aca="false">MAX(0,J22+K17-K19-K20)</f>
        <v>98151.7942176401</v>
      </c>
      <c r="L22" s="17" t="n">
        <f aca="false">MAX(0,K22+L17-L19-L20)</f>
        <v>0</v>
      </c>
      <c r="M22" s="17" t="n">
        <f aca="false">MAX(0,L22+M17-M19-M20)</f>
        <v>99629.5921693294</v>
      </c>
      <c r="N22" s="17" t="n">
        <f aca="false">MAX(0,M22+N17-N19-N20)</f>
        <v>200006.406279929</v>
      </c>
      <c r="O22" s="17" t="n">
        <f aca="false">MAX(0,N22+O17-O19-O20)</f>
        <v>301136.046496358</v>
      </c>
      <c r="P22" s="17" t="n">
        <f aca="false">MAX(0,O22+P17-P19-P20)</f>
        <v>0</v>
      </c>
      <c r="Q22" s="17" t="n">
        <f aca="false">MAX(0,P22+Q17-Q19-Q20)</f>
        <v>102652.273361938</v>
      </c>
      <c r="R22" s="17" t="n">
        <f aca="false">MAX(0,Q22+R17-R19-R20)</f>
        <v>206074.43877409</v>
      </c>
      <c r="S22" s="17" t="n">
        <f aca="false">MAX(0,R22+S17-S19-S20)</f>
        <v>310272.270426833</v>
      </c>
      <c r="T22" s="17" t="n">
        <f aca="false">MAX(0,S22+T17-T19-T20)</f>
        <v>0</v>
      </c>
      <c r="U22" s="17" t="n">
        <f aca="false">MAX(0,T22+U17-U19-U20)</f>
        <v>105766.660255565</v>
      </c>
      <c r="V22" s="17" t="n">
        <f aca="false">MAX(0,U22+V17-V19-V20)</f>
        <v>212326.570463047</v>
      </c>
      <c r="W22" s="17" t="n">
        <f aca="false">MAX(0,V22+W17-W19-W20)</f>
        <v>319685.679997084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(S1_ech_log*mot_log_cn+S1_ech_stock*mot_stock_cn+S1_ech_pv*mot_pv_cn+S1_ech_bois*mot_bois_cn)*E24*E9*IF(E$3&gt;=st_cumul_debut_mult,st_cumul_mult_A,1)*IF(E11=1,1-0.05,IF(E11=2,1-0.02,1))</f>
        <v>6057.6</v>
      </c>
      <c r="F25" s="17" t="n">
        <f aca="false">(S1_ech_log*mot_log_cn+S1_ech_stock*mot_stock_cn+S1_ech_pv*mot_pv_cn+S1_ech_bois*mot_bois_cn)*F24*F9*IF(F$3&gt;=st_cumul_debut_mult,st_cumul_mult_A,1)*IF(F11=1,1-0.05,IF(F11=2,1-0.02,1))</f>
        <v>11358</v>
      </c>
      <c r="G25" s="17" t="n">
        <f aca="false">(S1_ech_log*mot_log_cn+S1_ech_stock*mot_stock_cn+S1_ech_pv*mot_pv_cn+S1_ech_bois*mot_bois_cn)*G24*G9*IF(G$3&gt;=st_cumul_debut_mult,st_cumul_mult_A,1)*IF(G11=1,1-0.05,IF(G11=2,1-0.02,1))</f>
        <v>10600.8</v>
      </c>
      <c r="H25" s="17" t="n">
        <f aca="false">(S1_ech_log*mot_log_cn+S1_ech_stock*mot_stock_cn+S1_ech_pv*mot_pv_cn+S1_ech_bois*mot_bois_cn)*H24*H9*IF(H$3&gt;=st_cumul_debut_mult,st_cumul_mult_A,1)*IF(H11=1,1-0.05,IF(H11=2,1-0.02,1))</f>
        <v>10600.8</v>
      </c>
      <c r="I25" s="17" t="n">
        <f aca="false">(S1_ech_log*mot_log_cn+S1_ech_stock*mot_stock_cn+S1_ech_pv*mot_pv_cn+S1_ech_bois*mot_bois_cn)*I24*I9*IF(I$3&gt;=st_cumul_debut_mult,st_cumul_mult_A,1)*IF(I11=1,1-0.05,IF(I11=2,1-0.02,1))</f>
        <v>10070.76</v>
      </c>
      <c r="J25" s="17" t="n">
        <f aca="false">(S1_ech_log*mot_log_cn+S1_ech_stock*mot_stock_cn+S1_ech_pv*mot_pv_cn+S1_ech_bois*mot_bois_cn)*J24*J9*IF(J$3&gt;=st_cumul_debut_mult,st_cumul_mult_A,1)*IF(J11=1,1-0.05,IF(J11=2,1-0.02,1))</f>
        <v>10388.784</v>
      </c>
      <c r="K25" s="17" t="n">
        <f aca="false">(S1_ech_log*mot_log_cn+S1_ech_stock*mot_stock_cn+S1_ech_pv*mot_pv_cn+S1_ech_bois*mot_bois_cn)*K24*K9*IF(K$3&gt;=st_cumul_debut_mult,st_cumul_mult_A,1)*IF(K11=1,1-0.05,IF(K11=2,1-0.02,1))</f>
        <v>10600.8</v>
      </c>
      <c r="L25" s="17" t="n">
        <f aca="false">(S1_ech_log*mot_log_cn+S1_ech_stock*mot_stock_cn+S1_ech_pv*mot_pv_cn+S1_ech_bois*mot_bois_cn)*L24*L9*IF(L$3&gt;=st_cumul_debut_mult,st_cumul_mult_A,1)*IF(L11=1,1-0.05,IF(L11=2,1-0.02,1))</f>
        <v>10600.8</v>
      </c>
      <c r="M25" s="17" t="n">
        <f aca="false">(S1_ech_log*mot_log_cn+S1_ech_stock*mot_stock_cn+S1_ech_pv*mot_pv_cn+S1_ech_bois*mot_bois_cn)*M24*M9*IF(M$3&gt;=st_cumul_debut_mult,st_cumul_mult_A,1)*IF(M11=1,1-0.05,IF(M11=2,1-0.02,1))</f>
        <v>10600.8</v>
      </c>
      <c r="N25" s="17" t="n">
        <f aca="false">(S1_ech_log*mot_log_cn+S1_ech_stock*mot_stock_cn+S1_ech_pv*mot_pv_cn+S1_ech_bois*mot_bois_cn)*N24*N9*IF(N$3&gt;=st_cumul_debut_mult,st_cumul_mult_A,1)*IF(N11=1,1-0.05,IF(N11=2,1-0.02,1))</f>
        <v>10600.8</v>
      </c>
      <c r="O25" s="17" t="n">
        <f aca="false">(S1_ech_log*mot_log_cn+S1_ech_stock*mot_stock_cn+S1_ech_pv*mot_pv_cn+S1_ech_bois*mot_bois_cn)*O24*O9*IF(O$3&gt;=st_cumul_debut_mult,st_cumul_mult_A,1)*IF(O11=1,1-0.05,IF(O11=2,1-0.02,1))</f>
        <v>10600.8</v>
      </c>
      <c r="P25" s="17" t="n">
        <f aca="false">(S1_ech_log*mot_log_cn+S1_ech_stock*mot_stock_cn+S1_ech_pv*mot_pv_cn+S1_ech_bois*mot_bois_cn)*P24*P9*IF(P$3&gt;=st_cumul_debut_mult,st_cumul_mult_A,1)*IF(P11=1,1-0.05,IF(P11=2,1-0.02,1))</f>
        <v>10600.8</v>
      </c>
      <c r="Q25" s="17" t="n">
        <f aca="false">(S1_ech_log*mot_log_cn+S1_ech_stock*mot_stock_cn+S1_ech_pv*mot_pv_cn+S1_ech_bois*mot_bois_cn)*Q24*Q9*IF(Q$3&gt;=st_cumul_debut_mult,st_cumul_mult_A,1)*IF(Q11=1,1-0.05,IF(Q11=2,1-0.02,1))</f>
        <v>10600.8</v>
      </c>
      <c r="R25" s="17" t="n">
        <f aca="false">(S1_ech_log*mot_log_cn+S1_ech_stock*mot_stock_cn+S1_ech_pv*mot_pv_cn+S1_ech_bois*mot_bois_cn)*R24*R9*IF(R$3&gt;=st_cumul_debut_mult,st_cumul_mult_A,1)*IF(R11=1,1-0.05,IF(R11=2,1-0.02,1))</f>
        <v>10600.8</v>
      </c>
      <c r="S25" s="17" t="n">
        <f aca="false">(S1_ech_log*mot_log_cn+S1_ech_stock*mot_stock_cn+S1_ech_pv*mot_pv_cn+S1_ech_bois*mot_bois_cn)*S24*S9*IF(S$3&gt;=st_cumul_debut_mult,st_cumul_mult_A,1)*IF(S11=1,1-0.05,IF(S11=2,1-0.02,1))</f>
        <v>10600.8</v>
      </c>
      <c r="T25" s="17" t="n">
        <f aca="false">(S1_ech_log*mot_log_cn+S1_ech_stock*mot_stock_cn+S1_ech_pv*mot_pv_cn+S1_ech_bois*mot_bois_cn)*T24*T9*IF(T$3&gt;=st_cumul_debut_mult,st_cumul_mult_A,1)*IF(T11=1,1-0.05,IF(T11=2,1-0.02,1))</f>
        <v>10600.8</v>
      </c>
      <c r="U25" s="17" t="n">
        <f aca="false">(S1_ech_log*mot_log_cn+S1_ech_stock*mot_stock_cn+S1_ech_pv*mot_pv_cn+S1_ech_bois*mot_bois_cn)*U24*U9*IF(U$3&gt;=st_cumul_debut_mult,st_cumul_mult_A,1)*IF(U11=1,1-0.05,IF(U11=2,1-0.02,1))</f>
        <v>10600.8</v>
      </c>
      <c r="V25" s="17" t="n">
        <f aca="false">(S1_ech_log*mot_log_cn+S1_ech_stock*mot_stock_cn+S1_ech_pv*mot_pv_cn+S1_ech_bois*mot_bois_cn)*V24*V9*IF(V$3&gt;=st_cumul_debut_mult,st_cumul_mult_A,1)*IF(V11=1,1-0.05,IF(V11=2,1-0.02,1))</f>
        <v>10600.8</v>
      </c>
      <c r="W25" s="17" t="n">
        <f aca="false">(S1_ech_log*mot_log_cn+S1_ech_stock*mot_stock_cn+S1_ech_pv*mot_pv_cn+S1_ech_bois*mot_bois_cn)*W24*W9*IF(W$3&gt;=st_cumul_debut_mult,st_cumul_mult_A,1)*IF(W11=1,1-0.05,IF(W11=2,1-0.02,1))</f>
        <v>10600.8</v>
      </c>
      <c r="X25" s="17" t="n">
        <f aca="false">(S1_ech_log*mot_log_cn+S1_ech_stock*mot_stock_cn+S1_ech_pv*mot_pv_cn+S1_ech_bois*mot_bois_cn)*X24*X9*IF(X$3&gt;=st_cumul_debut_mult,st_cumul_mult_A,1)*IF(X11=1,1-0.05,IF(X11=2,1-0.02,1))</f>
        <v>10600.8</v>
      </c>
    </row>
    <row r="26" customFormat="false" ht="15" hidden="false" customHeight="false" outlineLevel="0" collapsed="false">
      <c r="A26" s="2" t="s">
        <v>1857</v>
      </c>
      <c r="B26" s="2" t="s">
        <v>1858</v>
      </c>
      <c r="C26" s="2" t="s">
        <v>1832</v>
      </c>
      <c r="E26" s="17" t="n">
        <f aca="false">(S1_ech_eq_std*mot_eq_std_cn+S1_ech_eq_ret*mot_eq_ret_cn)*E24*E9*IF(E$3&gt;=st_cumul_debut_mult,st_cumul_mult_B,1)*IF(E11=1,1-0.15,IF(E11=2,1-0.05,1))</f>
        <v>1269.9198</v>
      </c>
      <c r="F26" s="17" t="n">
        <f aca="false">(S1_ech_eq_std*mot_eq_std_cn+S1_ech_eq_ret*mot_eq_ret_cn)*F24*F9*IF(F$3&gt;=st_cumul_debut_mult,st_cumul_mult_B,1)*IF(F11=1,1-0.15,IF(F11=2,1-0.05,1))</f>
        <v>2381.099625</v>
      </c>
      <c r="G26" s="17" t="n">
        <f aca="false">(S1_ech_eq_std*mot_eq_std_cn+S1_ech_eq_ret*mot_eq_ret_cn)*G24*G9*IF(G$3&gt;=st_cumul_debut_mult,st_cumul_mult_B,1)*IF(G11=1,1-0.15,IF(G11=2,1-0.05,1))</f>
        <v>2222.35965</v>
      </c>
      <c r="H26" s="17" t="n">
        <f aca="false">(S1_ech_eq_std*mot_eq_std_cn+S1_ech_eq_ret*mot_eq_ret_cn)*H24*H9*IF(H$3&gt;=st_cumul_debut_mult,st_cumul_mult_B,1)*IF(H11=1,1-0.15,IF(H11=2,1-0.05,1))</f>
        <v>2222.35965</v>
      </c>
      <c r="I26" s="17" t="n">
        <f aca="false">(S1_ech_eq_std*mot_eq_std_cn+S1_ech_eq_ret*mot_eq_ret_cn)*I24*I9*IF(I$3&gt;=st_cumul_debut_mult,st_cumul_mult_B,1)*IF(I11=1,1-0.15,IF(I11=2,1-0.05,1))</f>
        <v>1889.0057025</v>
      </c>
      <c r="J26" s="17" t="n">
        <f aca="false">(S1_ech_eq_std*mot_eq_std_cn+S1_ech_eq_ret*mot_eq_ret_cn)*J24*J9*IF(J$3&gt;=st_cumul_debut_mult,st_cumul_mult_B,1)*IF(J11=1,1-0.15,IF(J11=2,1-0.05,1))</f>
        <v>2111.2416675</v>
      </c>
      <c r="K26" s="17" t="n">
        <f aca="false">(S1_ech_eq_std*mot_eq_std_cn+S1_ech_eq_ret*mot_eq_ret_cn)*K24*K9*IF(K$3&gt;=st_cumul_debut_mult,st_cumul_mult_B,1)*IF(K11=1,1-0.15,IF(K11=2,1-0.05,1))</f>
        <v>2222.35965</v>
      </c>
      <c r="L26" s="17" t="n">
        <f aca="false">(S1_ech_eq_std*mot_eq_std_cn+S1_ech_eq_ret*mot_eq_ret_cn)*L24*L9*IF(L$3&gt;=st_cumul_debut_mult,st_cumul_mult_B,1)*IF(L11=1,1-0.15,IF(L11=2,1-0.05,1))</f>
        <v>2222.35965</v>
      </c>
      <c r="M26" s="17" t="n">
        <f aca="false">(S1_ech_eq_std*mot_eq_std_cn+S1_ech_eq_ret*mot_eq_ret_cn)*M24*M9*IF(M$3&gt;=st_cumul_debut_mult,st_cumul_mult_B,1)*IF(M11=1,1-0.15,IF(M11=2,1-0.05,1))</f>
        <v>2222.35965</v>
      </c>
      <c r="N26" s="17" t="n">
        <f aca="false">(S1_ech_eq_std*mot_eq_std_cn+S1_ech_eq_ret*mot_eq_ret_cn)*N24*N9*IF(N$3&gt;=st_cumul_debut_mult,st_cumul_mult_B,1)*IF(N11=1,1-0.15,IF(N11=2,1-0.05,1))</f>
        <v>2222.35965</v>
      </c>
      <c r="O26" s="17" t="n">
        <f aca="false">(S1_ech_eq_std*mot_eq_std_cn+S1_ech_eq_ret*mot_eq_ret_cn)*O24*O9*IF(O$3&gt;=st_cumul_debut_mult,st_cumul_mult_B,1)*IF(O11=1,1-0.15,IF(O11=2,1-0.05,1))</f>
        <v>2222.35965</v>
      </c>
      <c r="P26" s="17" t="n">
        <f aca="false">(S1_ech_eq_std*mot_eq_std_cn+S1_ech_eq_ret*mot_eq_ret_cn)*P24*P9*IF(P$3&gt;=st_cumul_debut_mult,st_cumul_mult_B,1)*IF(P11=1,1-0.15,IF(P11=2,1-0.05,1))</f>
        <v>2222.35965</v>
      </c>
      <c r="Q26" s="17" t="n">
        <f aca="false">(S1_ech_eq_std*mot_eq_std_cn+S1_ech_eq_ret*mot_eq_ret_cn)*Q24*Q9*IF(Q$3&gt;=st_cumul_debut_mult,st_cumul_mult_B,1)*IF(Q11=1,1-0.15,IF(Q11=2,1-0.05,1))</f>
        <v>2222.35965</v>
      </c>
      <c r="R26" s="17" t="n">
        <f aca="false">(S1_ech_eq_std*mot_eq_std_cn+S1_ech_eq_ret*mot_eq_ret_cn)*R24*R9*IF(R$3&gt;=st_cumul_debut_mult,st_cumul_mult_B,1)*IF(R11=1,1-0.15,IF(R11=2,1-0.05,1))</f>
        <v>2222.35965</v>
      </c>
      <c r="S26" s="17" t="n">
        <f aca="false">(S1_ech_eq_std*mot_eq_std_cn+S1_ech_eq_ret*mot_eq_ret_cn)*S24*S9*IF(S$3&gt;=st_cumul_debut_mult,st_cumul_mult_B,1)*IF(S11=1,1-0.15,IF(S11=2,1-0.05,1))</f>
        <v>2222.35965</v>
      </c>
      <c r="T26" s="17" t="n">
        <f aca="false">(S1_ech_eq_std*mot_eq_std_cn+S1_ech_eq_ret*mot_eq_ret_cn)*T24*T9*IF(T$3&gt;=st_cumul_debut_mult,st_cumul_mult_B,1)*IF(T11=1,1-0.15,IF(T11=2,1-0.05,1))</f>
        <v>2222.35965</v>
      </c>
      <c r="U26" s="17" t="n">
        <f aca="false">(S1_ech_eq_std*mot_eq_std_cn+S1_ech_eq_ret*mot_eq_ret_cn)*U24*U9*IF(U$3&gt;=st_cumul_debut_mult,st_cumul_mult_B,1)*IF(U11=1,1-0.15,IF(U11=2,1-0.05,1))</f>
        <v>2222.35965</v>
      </c>
      <c r="V26" s="17" t="n">
        <f aca="false">(S1_ech_eq_std*mot_eq_std_cn+S1_ech_eq_ret*mot_eq_ret_cn)*V24*V9*IF(V$3&gt;=st_cumul_debut_mult,st_cumul_mult_B,1)*IF(V11=1,1-0.15,IF(V11=2,1-0.05,1))</f>
        <v>2222.35965</v>
      </c>
      <c r="W26" s="17" t="n">
        <f aca="false">(S1_ech_eq_std*mot_eq_std_cn+S1_ech_eq_ret*mot_eq_ret_cn)*W24*W9*IF(W$3&gt;=st_cumul_debut_mult,st_cumul_mult_B,1)*IF(W11=1,1-0.15,IF(W11=2,1-0.05,1))</f>
        <v>2222.35965</v>
      </c>
      <c r="X26" s="17" t="n">
        <f aca="false">(S1_ech_eq_std*mot_eq_std_cn+S1_ech_eq_ret*mot_eq_ret_cn)*X24*X9*IF(X$3&gt;=st_cumul_debut_mult,st_cumul_mult_B,1)*IF(X11=1,1-0.15,IF(X11=2,1-0.05,1))</f>
        <v>2222.35965</v>
      </c>
    </row>
    <row r="27" customFormat="false" ht="15" hidden="false" customHeight="false" outlineLevel="0" collapsed="false">
      <c r="A27" s="2" t="s">
        <v>1859</v>
      </c>
      <c r="B27" s="2" t="s">
        <v>1860</v>
      </c>
      <c r="C27" s="2" t="s">
        <v>1832</v>
      </c>
      <c r="E27" s="17" t="n">
        <f aca="false">(S1_ech_tourn*mot_tourn_cn)*E24*E9*IF(E$3&gt;=st_cumul_debut_mult,st_cumul_mult_C,1)*IF(E11=1,1-0.8,IF(E11=2,1-0.3,1))</f>
        <v>1190</v>
      </c>
      <c r="F27" s="17" t="n">
        <f aca="false">(S1_ech_tourn*mot_tourn_cn)*F24*F9*IF(F$3&gt;=st_cumul_debut_mult,st_cumul_mult_C,1)*IF(F11=1,1-0.8,IF(F11=2,1-0.3,1))</f>
        <v>2231.25</v>
      </c>
      <c r="G27" s="17" t="n">
        <f aca="false">(S1_ech_tourn*mot_tourn_cn)*G24*G9*IF(G$3&gt;=st_cumul_debut_mult,st_cumul_mult_C,1)*IF(G11=1,1-0.8,IF(G11=2,1-0.3,1))</f>
        <v>2082.5</v>
      </c>
      <c r="H27" s="17" t="n">
        <f aca="false">(S1_ech_tourn*mot_tourn_cn)*H24*H9*IF(H$3&gt;=st_cumul_debut_mult,st_cumul_mult_C,1)*IF(H11=1,1-0.8,IF(H11=2,1-0.3,1))</f>
        <v>2082.5</v>
      </c>
      <c r="I27" s="17" t="n">
        <f aca="false">(S1_ech_tourn*mot_tourn_cn)*I24*I9*IF(I$3&gt;=st_cumul_debut_mult,st_cumul_mult_C,1)*IF(I11=1,1-0.8,IF(I11=2,1-0.3,1))</f>
        <v>416.5</v>
      </c>
      <c r="J27" s="17" t="n">
        <f aca="false">(S1_ech_tourn*mot_tourn_cn)*J24*J9*IF(J$3&gt;=st_cumul_debut_mult,st_cumul_mult_C,1)*IF(J11=1,1-0.8,IF(J11=2,1-0.3,1))</f>
        <v>1457.75</v>
      </c>
      <c r="K27" s="17" t="n">
        <f aca="false">(S1_ech_tourn*mot_tourn_cn)*K24*K9*IF(K$3&gt;=st_cumul_debut_mult,st_cumul_mult_C,1)*IF(K11=1,1-0.8,IF(K11=2,1-0.3,1))</f>
        <v>2082.5</v>
      </c>
      <c r="L27" s="17" t="n">
        <f aca="false">(S1_ech_tourn*mot_tourn_cn)*L24*L9*IF(L$3&gt;=st_cumul_debut_mult,st_cumul_mult_C,1)*IF(L11=1,1-0.8,IF(L11=2,1-0.3,1))</f>
        <v>2082.5</v>
      </c>
      <c r="M27" s="17" t="n">
        <f aca="false">(S1_ech_tourn*mot_tourn_cn)*M24*M9*IF(M$3&gt;=st_cumul_debut_mult,st_cumul_mult_C,1)*IF(M11=1,1-0.8,IF(M11=2,1-0.3,1))</f>
        <v>2082.5</v>
      </c>
      <c r="N27" s="17" t="n">
        <f aca="false">(S1_ech_tourn*mot_tourn_cn)*N24*N9*IF(N$3&gt;=st_cumul_debut_mult,st_cumul_mult_C,1)*IF(N11=1,1-0.8,IF(N11=2,1-0.3,1))</f>
        <v>2082.5</v>
      </c>
      <c r="O27" s="17" t="n">
        <f aca="false">(S1_ech_tourn*mot_tourn_cn)*O24*O9*IF(O$3&gt;=st_cumul_debut_mult,st_cumul_mult_C,1)*IF(O11=1,1-0.8,IF(O11=2,1-0.3,1))</f>
        <v>2082.5</v>
      </c>
      <c r="P27" s="17" t="n">
        <f aca="false">(S1_ech_tourn*mot_tourn_cn)*P24*P9*IF(P$3&gt;=st_cumul_debut_mult,st_cumul_mult_C,1)*IF(P11=1,1-0.8,IF(P11=2,1-0.3,1))</f>
        <v>2082.5</v>
      </c>
      <c r="Q27" s="17" t="n">
        <f aca="false">(S1_ech_tourn*mot_tourn_cn)*Q24*Q9*IF(Q$3&gt;=st_cumul_debut_mult,st_cumul_mult_C,1)*IF(Q11=1,1-0.8,IF(Q11=2,1-0.3,1))</f>
        <v>2082.5</v>
      </c>
      <c r="R27" s="17" t="n">
        <f aca="false">(S1_ech_tourn*mot_tourn_cn)*R24*R9*IF(R$3&gt;=st_cumul_debut_mult,st_cumul_mult_C,1)*IF(R11=1,1-0.8,IF(R11=2,1-0.3,1))</f>
        <v>2082.5</v>
      </c>
      <c r="S27" s="17" t="n">
        <f aca="false">(S1_ech_tourn*mot_tourn_cn)*S24*S9*IF(S$3&gt;=st_cumul_debut_mult,st_cumul_mult_C,1)*IF(S11=1,1-0.8,IF(S11=2,1-0.3,1))</f>
        <v>2082.5</v>
      </c>
      <c r="T27" s="17" t="n">
        <f aca="false">(S1_ech_tourn*mot_tourn_cn)*T24*T9*IF(T$3&gt;=st_cumul_debut_mult,st_cumul_mult_C,1)*IF(T11=1,1-0.8,IF(T11=2,1-0.3,1))</f>
        <v>2082.5</v>
      </c>
      <c r="U27" s="17" t="n">
        <f aca="false">(S1_ech_tourn*mot_tourn_cn)*U24*U9*IF(U$3&gt;=st_cumul_debut_mult,st_cumul_mult_C,1)*IF(U11=1,1-0.8,IF(U11=2,1-0.3,1))</f>
        <v>2082.5</v>
      </c>
      <c r="V27" s="17" t="n">
        <f aca="false">(S1_ech_tourn*mot_tourn_cn)*V24*V9*IF(V$3&gt;=st_cumul_debut_mult,st_cumul_mult_C,1)*IF(V11=1,1-0.8,IF(V11=2,1-0.3,1))</f>
        <v>2082.5</v>
      </c>
      <c r="W27" s="17" t="n">
        <f aca="false">(S1_ech_tourn*mot_tourn_cn)*W24*W9*IF(W$3&gt;=st_cumul_debut_mult,st_cumul_mult_C,1)*IF(W11=1,1-0.8,IF(W11=2,1-0.3,1))</f>
        <v>2082.5</v>
      </c>
      <c r="X27" s="17" t="n">
        <f aca="false">(S1_ech_tourn*mot_tourn_cn)*X24*X9*IF(X$3&gt;=st_cumul_debut_mult,st_cumul_mult_C,1)*IF(X11=1,1-0.8,IF(X11=2,1-0.3,1))</f>
        <v>2082.5</v>
      </c>
    </row>
    <row r="28" customFormat="false" ht="15" hidden="false" customHeight="false" outlineLevel="0" collapsed="false">
      <c r="A28" s="2" t="s">
        <v>1861</v>
      </c>
      <c r="B28" s="2" t="s">
        <v>1862</v>
      </c>
      <c r="C28" s="2" t="s">
        <v>1832</v>
      </c>
      <c r="E28" s="17" t="n">
        <f aca="false">E25+E26+E27</f>
        <v>8517.5198</v>
      </c>
      <c r="F28" s="17" t="n">
        <f aca="false">F25+F26+F27</f>
        <v>15970.349625</v>
      </c>
      <c r="G28" s="17" t="n">
        <f aca="false">G25+G26+G27</f>
        <v>14905.65965</v>
      </c>
      <c r="H28" s="17" t="n">
        <f aca="false">H25+H26+H27</f>
        <v>14905.65965</v>
      </c>
      <c r="I28" s="17" t="n">
        <f aca="false">I25+I26+I27</f>
        <v>12376.2657025</v>
      </c>
      <c r="J28" s="17" t="n">
        <f aca="false">J25+J26+J27</f>
        <v>13957.7756675</v>
      </c>
      <c r="K28" s="17" t="n">
        <f aca="false">K25+K26+K27</f>
        <v>14905.65965</v>
      </c>
      <c r="L28" s="17" t="n">
        <f aca="false">L25+L26+L27</f>
        <v>14905.65965</v>
      </c>
      <c r="M28" s="17" t="n">
        <f aca="false">M25+M26+M27</f>
        <v>14905.65965</v>
      </c>
      <c r="N28" s="17" t="n">
        <f aca="false">N25+N26+N27</f>
        <v>14905.65965</v>
      </c>
      <c r="O28" s="17" t="n">
        <f aca="false">O25+O26+O27</f>
        <v>14905.65965</v>
      </c>
      <c r="P28" s="17" t="n">
        <f aca="false">P25+P26+P27</f>
        <v>14905.65965</v>
      </c>
      <c r="Q28" s="17" t="n">
        <f aca="false">Q25+Q26+Q27</f>
        <v>14905.65965</v>
      </c>
      <c r="R28" s="17" t="n">
        <f aca="false">R25+R26+R27</f>
        <v>14905.65965</v>
      </c>
      <c r="S28" s="17" t="n">
        <f aca="false">S25+S26+S27</f>
        <v>14905.65965</v>
      </c>
      <c r="T28" s="17" t="n">
        <f aca="false">T25+T26+T27</f>
        <v>14905.65965</v>
      </c>
      <c r="U28" s="17" t="n">
        <f aca="false">U25+U26+U27</f>
        <v>14905.65965</v>
      </c>
      <c r="V28" s="17" t="n">
        <f aca="false">V25+V26+V27</f>
        <v>14905.65965</v>
      </c>
      <c r="W28" s="17" t="n">
        <f aca="false">W25+W26+W27</f>
        <v>14905.65965</v>
      </c>
      <c r="X28" s="17" t="n">
        <f aca="false">X25+X26+X27</f>
        <v>14905.65965</v>
      </c>
    </row>
    <row r="29" customFormat="false" ht="15" hidden="false" customHeight="false" outlineLevel="0" collapsed="false">
      <c r="A29" s="2" t="s">
        <v>1863</v>
      </c>
      <c r="B29" s="2" t="s">
        <v>1864</v>
      </c>
      <c r="C29" s="2" t="s">
        <v>1832</v>
      </c>
      <c r="E29" s="17" t="n">
        <f aca="false">IF(E28&gt;0,E28*(1-fuite_fiscale),E28)</f>
        <v>5962.26386</v>
      </c>
      <c r="F29" s="17" t="n">
        <f aca="false">IF(F28&gt;0,F28*(1-fuite_fiscale),F28)</f>
        <v>11179.2447375</v>
      </c>
      <c r="G29" s="17" t="n">
        <f aca="false">IF(G28&gt;0,G28*(1-fuite_fiscale),G28)</f>
        <v>10433.961755</v>
      </c>
      <c r="H29" s="17" t="n">
        <f aca="false">IF(H28&gt;0,H28*(1-fuite_fiscale),H28)</f>
        <v>10433.961755</v>
      </c>
      <c r="I29" s="17" t="n">
        <f aca="false">IF(I28&gt;0,I28*(1-fuite_fiscale),I28)</f>
        <v>8663.38599175</v>
      </c>
      <c r="J29" s="17" t="n">
        <f aca="false">IF(J28&gt;0,J28*(1-fuite_fiscale),J28)</f>
        <v>9770.44296725</v>
      </c>
      <c r="K29" s="17" t="n">
        <f aca="false">IF(K28&gt;0,K28*(1-fuite_fiscale),K28)</f>
        <v>10433.961755</v>
      </c>
      <c r="L29" s="17" t="n">
        <f aca="false">IF(L28&gt;0,L28*(1-fuite_fiscale),L28)</f>
        <v>10433.961755</v>
      </c>
      <c r="M29" s="17" t="n">
        <f aca="false">IF(M28&gt;0,M28*(1-fuite_fiscale),M28)</f>
        <v>10433.961755</v>
      </c>
      <c r="N29" s="17" t="n">
        <f aca="false">IF(N28&gt;0,N28*(1-fuite_fiscale),N28)</f>
        <v>10433.961755</v>
      </c>
      <c r="O29" s="17" t="n">
        <f aca="false">IF(O28&gt;0,O28*(1-fuite_fiscale),O28)</f>
        <v>10433.961755</v>
      </c>
      <c r="P29" s="17" t="n">
        <f aca="false">IF(P28&gt;0,P28*(1-fuite_fiscale),P28)</f>
        <v>10433.961755</v>
      </c>
      <c r="Q29" s="17" t="n">
        <f aca="false">IF(Q28&gt;0,Q28*(1-fuite_fiscale),Q28)</f>
        <v>10433.961755</v>
      </c>
      <c r="R29" s="17" t="n">
        <f aca="false">IF(R28&gt;0,R28*(1-fuite_fiscale),R28)</f>
        <v>10433.961755</v>
      </c>
      <c r="S29" s="17" t="n">
        <f aca="false">IF(S28&gt;0,S28*(1-fuite_fiscale),S28)</f>
        <v>10433.961755</v>
      </c>
      <c r="T29" s="17" t="n">
        <f aca="false">IF(T28&gt;0,T28*(1-fuite_fiscale),T28)</f>
        <v>10433.961755</v>
      </c>
      <c r="U29" s="17" t="n">
        <f aca="false">IF(U28&gt;0,U28*(1-fuite_fiscale),U28)</f>
        <v>10433.961755</v>
      </c>
      <c r="V29" s="17" t="n">
        <f aca="false">IF(V28&gt;0,V28*(1-fuite_fiscale),V28)</f>
        <v>10433.961755</v>
      </c>
      <c r="W29" s="17" t="n">
        <f aca="false">IF(W28&gt;0,W28*(1-fuite_fiscale),W28)</f>
        <v>10433.961755</v>
      </c>
      <c r="X29" s="17" t="n">
        <f aca="false">IF(X28&gt;0,X28*(1-fuite_fiscale),X28)</f>
        <v>10433.961755</v>
      </c>
    </row>
    <row r="30" customFormat="false" ht="15" hidden="false" customHeight="false" outlineLevel="0" collapsed="false">
      <c r="A30" s="2" t="s">
        <v>1865</v>
      </c>
      <c r="B30" s="2" t="s">
        <v>1866</v>
      </c>
      <c r="C30" s="2" t="s">
        <v>1832</v>
      </c>
      <c r="E30" s="17" t="n">
        <f aca="false">IF(E$3=1,S1_ech_log*mot_log_inv+S1_ech_stock*stock_capex,0)</f>
        <v>270000</v>
      </c>
      <c r="F30" s="17" t="n">
        <f aca="false">IF(F$3=1,S1_ech_log*mot_log_inv+S1_ech_stock*stock_capex,0)</f>
        <v>0</v>
      </c>
      <c r="G30" s="17" t="n">
        <f aca="false">IF(G$3=1,S1_ech_log*mot_log_inv+S1_ech_stock*stock_capex,0)</f>
        <v>0</v>
      </c>
      <c r="H30" s="17" t="n">
        <f aca="false">IF(H$3=1,S1_ech_log*mot_log_inv+S1_ech_stock*stock_capex,0)</f>
        <v>0</v>
      </c>
      <c r="I30" s="17" t="n">
        <f aca="false">IF(I$3=1,S1_ech_log*mot_log_inv+S1_ech_stock*stock_capex,0)</f>
        <v>0</v>
      </c>
      <c r="J30" s="17" t="n">
        <f aca="false">IF(J$3=1,S1_ech_log*mot_log_inv+S1_ech_stock*stock_capex,0)</f>
        <v>0</v>
      </c>
      <c r="K30" s="17" t="n">
        <f aca="false">IF(K$3=1,S1_ech_log*mot_log_inv+S1_ech_stock*stock_capex,0)</f>
        <v>0</v>
      </c>
      <c r="L30" s="17" t="n">
        <f aca="false">IF(L$3=1,S1_ech_log*mot_log_inv+S1_ech_stock*stock_capex,0)</f>
        <v>0</v>
      </c>
      <c r="M30" s="17" t="n">
        <f aca="false">IF(M$3=1,S1_ech_log*mot_log_inv+S1_ech_stock*stock_capex,0)</f>
        <v>0</v>
      </c>
      <c r="N30" s="17" t="n">
        <f aca="false">IF(N$3=1,S1_ech_log*mot_log_inv+S1_ech_stock*stock_capex,0)</f>
        <v>0</v>
      </c>
      <c r="O30" s="17" t="n">
        <f aca="false">IF(O$3=1,S1_ech_log*mot_log_inv+S1_ech_stock*stock_capex,0)</f>
        <v>0</v>
      </c>
      <c r="P30" s="17" t="n">
        <f aca="false">IF(P$3=1,S1_ech_log*mot_log_inv+S1_ech_stock*stock_capex,0)</f>
        <v>0</v>
      </c>
      <c r="Q30" s="17" t="n">
        <f aca="false">IF(Q$3=1,S1_ech_log*mot_log_inv+S1_ech_stock*stock_capex,0)</f>
        <v>0</v>
      </c>
      <c r="R30" s="17" t="n">
        <f aca="false">IF(R$3=1,S1_ech_log*mot_log_inv+S1_ech_stock*stock_capex,0)</f>
        <v>0</v>
      </c>
      <c r="S30" s="17" t="n">
        <f aca="false">IF(S$3=1,S1_ech_log*mot_log_inv+S1_ech_stock*stock_capex,0)</f>
        <v>0</v>
      </c>
      <c r="T30" s="17" t="n">
        <f aca="false">IF(T$3=1,S1_ech_log*mot_log_inv+S1_ech_stock*stock_capex,0)</f>
        <v>0</v>
      </c>
      <c r="U30" s="17" t="n">
        <f aca="false">IF(U$3=1,S1_ech_log*mot_log_inv+S1_ech_stock*stock_capex,0)</f>
        <v>0</v>
      </c>
      <c r="V30" s="17" t="n">
        <f aca="false">IF(V$3=1,S1_ech_log*mot_log_inv+S1_ech_stock*stock_capex,0)</f>
        <v>0</v>
      </c>
      <c r="W30" s="17" t="n">
        <f aca="false">IF(W$3=1,S1_ech_log*mot_log_inv+S1_ech_stock*stock_capex,0)</f>
        <v>0</v>
      </c>
      <c r="X30" s="17" t="n">
        <f aca="false">IF(X$3=1,S1_ech_log*mot_log_inv+S1_ech_stock*stock_capex,0)</f>
        <v>0</v>
      </c>
    </row>
    <row r="31" customFormat="false" ht="15" hidden="false" customHeight="false" outlineLevel="0" collapsed="false">
      <c r="A31" s="2" t="s">
        <v>1867</v>
      </c>
      <c r="B31" s="2" t="s">
        <v>1868</v>
      </c>
      <c r="C31" s="2" t="s">
        <v>1832</v>
      </c>
      <c r="E31" s="17" t="n">
        <f aca="false">MIN(E30,MAX(0,D42))</f>
        <v>270000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dette_active*IF(E$3&lt;=dette_duree,-PMT(dette_taux,dette_duree,S1_prix_achat*dette_quotite)/E10,0)</f>
        <v>0</v>
      </c>
      <c r="F32" s="17" t="n">
        <f aca="false">dette_active*IF(F$3&lt;=dette_duree,-PMT(dette_taux,dette_duree,S1_prix_achat*dette_quotite)/F10,0)</f>
        <v>0</v>
      </c>
      <c r="G32" s="17" t="n">
        <f aca="false">dette_active*IF(G$3&lt;=dette_duree,-PMT(dette_taux,dette_duree,S1_prix_achat*dette_quotite)/G10,0)</f>
        <v>0</v>
      </c>
      <c r="H32" s="17" t="n">
        <f aca="false">dette_active*IF(H$3&lt;=dette_duree,-PMT(dette_taux,dette_duree,S1_prix_achat*dette_quotite)/H10,0)</f>
        <v>0</v>
      </c>
      <c r="I32" s="17" t="n">
        <f aca="false">dette_active*IF(I$3&lt;=dette_duree,-PMT(dette_taux,dette_duree,S1_prix_achat*dette_quotite)/I10,0)</f>
        <v>0</v>
      </c>
      <c r="J32" s="17" t="n">
        <f aca="false">dette_active*IF(J$3&lt;=dette_duree,-PMT(dette_taux,dette_duree,S1_prix_achat*dette_quotite)/J10,0)</f>
        <v>0</v>
      </c>
      <c r="K32" s="17" t="n">
        <f aca="false">dette_active*IF(K$3&lt;=dette_duree,-PMT(dette_taux,dette_duree,S1_prix_achat*dette_quotite)/K10,0)</f>
        <v>0</v>
      </c>
      <c r="L32" s="17" t="n">
        <f aca="false">dette_active*IF(L$3&lt;=dette_duree,-PMT(dette_taux,dette_duree,S1_prix_achat*dette_quotite)/L10,0)</f>
        <v>0</v>
      </c>
      <c r="M32" s="17" t="n">
        <f aca="false">dette_active*IF(M$3&lt;=dette_duree,-PMT(dette_taux,dette_duree,S1_prix_achat*dette_quotite)/M10,0)</f>
        <v>0</v>
      </c>
      <c r="N32" s="17" t="n">
        <f aca="false">dette_active*IF(N$3&lt;=dette_duree,-PMT(dette_taux,dette_duree,S1_prix_achat*dette_quotite)/N10,0)</f>
        <v>0</v>
      </c>
      <c r="O32" s="17" t="n">
        <f aca="false">dette_active*IF(O$3&lt;=dette_duree,-PMT(dette_taux,dette_duree,S1_prix_achat*dette_quotite)/O10,0)</f>
        <v>0</v>
      </c>
      <c r="P32" s="17" t="n">
        <f aca="false">dette_active*IF(P$3&lt;=dette_duree,-PMT(dette_taux,dette_duree,S1_prix_achat*dette_quotite)/P10,0)</f>
        <v>0</v>
      </c>
      <c r="Q32" s="17" t="n">
        <f aca="false">dette_active*IF(Q$3&lt;=dette_duree,-PMT(dette_taux,dette_duree,S1_prix_achat*dette_quotite)/Q10,0)</f>
        <v>0</v>
      </c>
      <c r="R32" s="17" t="n">
        <f aca="false">dette_active*IF(R$3&lt;=dette_duree,-PMT(dette_taux,dette_duree,S1_prix_achat*dette_quotite)/R10,0)</f>
        <v>0</v>
      </c>
      <c r="S32" s="17" t="n">
        <f aca="false">dette_active*IF(S$3&lt;=dette_duree,-PMT(dette_taux,dette_duree,S1_prix_achat*dette_quotite)/S10,0)</f>
        <v>0</v>
      </c>
      <c r="T32" s="17" t="n">
        <f aca="false">dette_active*IF(T$3&lt;=dette_duree,-PMT(dette_taux,dette_duree,S1_prix_achat*dette_quotite)/T10,0)</f>
        <v>0</v>
      </c>
      <c r="U32" s="17" t="n">
        <f aca="false">dette_active*IF(U$3&lt;=dette_duree,-PMT(dette_taux,dette_duree,S1_prix_achat*dette_quotite)/U10,0)</f>
        <v>0</v>
      </c>
      <c r="V32" s="17" t="n">
        <f aca="false">dette_active*IF(V$3&lt;=dette_duree,-PMT(dette_taux,dette_duree,S1_prix_achat*dette_quotite)/V10,0)</f>
        <v>0</v>
      </c>
      <c r="W32" s="17" t="n">
        <f aca="false">dette_active*IF(W$3&lt;=dette_duree,-PMT(dette_taux,dette_duree,S1_prix_achat*dette_quotite)/W10,0)</f>
        <v>0</v>
      </c>
      <c r="X32" s="17" t="n">
        <f aca="false">dette_active*IF(X$3&lt;=dette_duree,-PMT(dette_taux,dette_duree,S1_prix_achat*dette_quotite)/X10,0)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E12*flex_taux*bud_total_besoin_S1</f>
        <v>0</v>
      </c>
      <c r="F34" s="17" t="n">
        <f aca="false">F12*flex_taux*bud_total_besoin_S1</f>
        <v>0</v>
      </c>
      <c r="G34" s="17" t="n">
        <f aca="false">G12*flex_taux*bud_total_besoin_S1</f>
        <v>0</v>
      </c>
      <c r="H34" s="17" t="n">
        <f aca="false">H12*flex_taux*bud_total_besoin_S1</f>
        <v>0</v>
      </c>
      <c r="I34" s="17" t="n">
        <f aca="false">I12*flex_taux*bud_total_besoin_S1</f>
        <v>0</v>
      </c>
      <c r="J34" s="17" t="n">
        <f aca="false">J12*flex_taux*bud_total_besoin_S1</f>
        <v>0</v>
      </c>
      <c r="K34" s="17" t="n">
        <f aca="false">K12*flex_taux*bud_total_besoin_S1</f>
        <v>0</v>
      </c>
      <c r="L34" s="17" t="n">
        <f aca="false">L12*flex_taux*bud_total_besoin_S1</f>
        <v>0</v>
      </c>
      <c r="M34" s="17" t="n">
        <f aca="false">M12*flex_taux*bud_total_besoin_S1</f>
        <v>0</v>
      </c>
      <c r="N34" s="17" t="n">
        <f aca="false">N12*flex_taux*bud_total_besoin_S1</f>
        <v>0</v>
      </c>
      <c r="O34" s="17" t="n">
        <f aca="false">O12*flex_taux*bud_total_besoin_S1</f>
        <v>0</v>
      </c>
      <c r="P34" s="17" t="n">
        <f aca="false">P12*flex_taux*bud_total_besoin_S1</f>
        <v>0</v>
      </c>
      <c r="Q34" s="17" t="n">
        <f aca="false">Q12*flex_taux*bud_total_besoin_S1</f>
        <v>0</v>
      </c>
      <c r="R34" s="17" t="n">
        <f aca="false">R12*flex_taux*bud_total_besoin_S1</f>
        <v>0</v>
      </c>
      <c r="S34" s="17" t="n">
        <f aca="false">S12*flex_taux*bud_total_besoin_S1</f>
        <v>0</v>
      </c>
      <c r="T34" s="17" t="n">
        <f aca="false">T12*flex_taux*bud_total_besoin_S1</f>
        <v>0</v>
      </c>
      <c r="U34" s="17" t="n">
        <f aca="false">U12*flex_taux*bud_total_besoin_S1</f>
        <v>0</v>
      </c>
      <c r="V34" s="17" t="n">
        <f aca="false">V12*flex_taux*bud_total_besoin_S1</f>
        <v>0</v>
      </c>
      <c r="W34" s="17" t="n">
        <f aca="false">W12*flex_taux*bud_total_besoin_S1</f>
        <v>0</v>
      </c>
      <c r="X34" s="17" t="n">
        <f aca="false">X12*flex_taux*bud_total_besoin_S1</f>
        <v>0</v>
      </c>
    </row>
    <row r="35" customFormat="false" ht="15" hidden="false" customHeight="false" outlineLevel="0" collapsed="false">
      <c r="A35" s="2" t="s">
        <v>1875</v>
      </c>
      <c r="B35" s="2" t="s">
        <v>1876</v>
      </c>
      <c r="C35" s="2" t="s">
        <v>1832</v>
      </c>
      <c r="E35" s="17" t="n">
        <f aca="false">E13+E14+E15+E16+E17+E21+E32-E29-E23-E33-E34</f>
        <v>321683.83414</v>
      </c>
      <c r="F35" s="17" t="n">
        <f aca="false">F13+F14+F15+F16+F17+F21+F32-F29-F23-F33-F34</f>
        <v>318839.68323</v>
      </c>
      <c r="G35" s="17" t="n">
        <f aca="false">G13+G14+G15+G16+G17+G21+G32-G29-G23-G33-G34</f>
        <v>321991.259468969</v>
      </c>
      <c r="H35" s="17" t="n">
        <f aca="false">H13+H14+H15+H16+H17+H21+H32-H29-H23-H33-H34</f>
        <v>324431.539953263</v>
      </c>
      <c r="I35" s="17" t="n">
        <f aca="false">I13+I14+I15+I16+I17+I21+I32-I29-I23-I33-I34</f>
        <v>328676.916135096</v>
      </c>
      <c r="J35" s="17" t="n">
        <f aca="false">J13+J14+J15+J16+J17+J21+J32-J29-J23-J33-J34</f>
        <v>735962.669112128</v>
      </c>
      <c r="K35" s="17" t="n">
        <f aca="false">K13+K14+K15+K16+K17+K21+K32-K29-K23-K33-K34</f>
        <v>331961.676595995</v>
      </c>
      <c r="L35" s="17" t="n">
        <f aca="false">L13+L14+L15+L16+L17+L21+L32-L29-L23-L33-L34</f>
        <v>334543.323042495</v>
      </c>
      <c r="M35" s="17" t="n">
        <f aca="false">M13+M14+M15+M16+M17+M21+M32-M29-M23-M33-M34</f>
        <v>337161.711024882</v>
      </c>
      <c r="N35" s="17" t="n">
        <f aca="false">N13+N14+N15+N16+N17+N21+N32-N29-N23-N33-N34</f>
        <v>339817.419436913</v>
      </c>
      <c r="O35" s="17" t="n">
        <f aca="false">O13+O14+O15+O16+O17+O21+O32-O29-O23-O33-O34</f>
        <v>342511.036899553</v>
      </c>
      <c r="P35" s="17" t="n">
        <f aca="false">P13+P14+P15+P16+P17+P21+P32-P29-P23-P33-P34</f>
        <v>345243.161931096</v>
      </c>
      <c r="Q35" s="17" t="n">
        <f aca="false">Q13+Q14+Q15+Q16+Q17+Q21+Q32-Q29-Q23-Q33-Q34</f>
        <v>348014.403120352</v>
      </c>
      <c r="R35" s="17" t="n">
        <f aca="false">R13+R14+R15+R16+R17+R21+R32-R29-R23-R33-R34</f>
        <v>350825.379302931</v>
      </c>
      <c r="S35" s="17" t="n">
        <f aca="false">S13+S14+S15+S16+S17+S21+S32-S29-S23-S33-S34</f>
        <v>353676.719740712</v>
      </c>
      <c r="T35" s="17" t="n">
        <f aca="false">T13+T14+T15+T16+T17+T21+T32-T29-T23-T33-T34</f>
        <v>356569.064304525</v>
      </c>
      <c r="U35" s="17" t="n">
        <f aca="false">U13+U14+U15+U16+U17+U21+U32-U29-U23-U33-U34</f>
        <v>359503.063660123</v>
      </c>
      <c r="V35" s="17" t="n">
        <f aca="false">V13+V14+V15+V16+V17+V21+V32-V29-V23-V33-V34</f>
        <v>362479.379457502</v>
      </c>
      <c r="W35" s="17" t="n">
        <f aca="false">W13+W14+W15+W16+W17+W21+W32-W29-W23-W33-W34</f>
        <v>365498.684523624</v>
      </c>
      <c r="X35" s="17" t="n">
        <f aca="false">X13+X14+X15+X16+X17+X21+X32-X29-X23-X33-X34</f>
        <v>368561.663058615</v>
      </c>
    </row>
    <row r="36" customFormat="false" ht="15" hidden="false" customHeight="false" outlineLevel="0" collapsed="false">
      <c r="A36" s="2" t="s">
        <v>1877</v>
      </c>
      <c r="B36" s="2" t="s">
        <v>1878</v>
      </c>
      <c r="C36" s="2" t="s">
        <v>1832</v>
      </c>
      <c r="E36" s="17" t="n">
        <f aca="false">IF(AND(E$3&lt;=S1_sol_div_annees,E$3&lt;=st_cumul_div_fin),S1_sol_div*IF(E11=1,0.5,1),0)</f>
        <v>400000</v>
      </c>
      <c r="F36" s="17" t="n">
        <f aca="false">IF(AND(F$3&lt;=S1_sol_div_annees,F$3&lt;=st_cumul_div_fin),S1_sol_div*IF(F11=1,0.5,1),0)</f>
        <v>400000</v>
      </c>
      <c r="G36" s="17" t="n">
        <f aca="false">IF(AND(G$3&lt;=S1_sol_div_annees,G$3&lt;=st_cumul_div_fin),S1_sol_div*IF(G11=1,0.5,1),0)</f>
        <v>400000</v>
      </c>
      <c r="H36" s="17" t="n">
        <f aca="false">IF(AND(H$3&lt;=S1_sol_div_annees,H$3&lt;=st_cumul_div_fin),S1_sol_div*IF(H11=1,0.5,1),0)</f>
        <v>400000</v>
      </c>
      <c r="I36" s="17" t="n">
        <f aca="false">IF(AND(I$3&lt;=S1_sol_div_annees,I$3&lt;=st_cumul_div_fin),S1_sol_div*IF(I11=1,0.5,1),0)</f>
        <v>200000</v>
      </c>
      <c r="J36" s="17" t="n">
        <f aca="false">IF(AND(J$3&lt;=S1_sol_div_annees,J$3&lt;=st_cumul_div_fin),S1_sol_div*IF(J11=1,0.5,1),0)</f>
        <v>400000</v>
      </c>
      <c r="K36" s="17" t="n">
        <f aca="false">IF(AND(K$3&lt;=S1_sol_div_annees,K$3&lt;=st_cumul_div_fin),S1_sol_div*IF(K11=1,0.5,1),0)</f>
        <v>400000</v>
      </c>
      <c r="L36" s="17" t="n">
        <f aca="false">IF(AND(L$3&lt;=S1_sol_div_annees,L$3&lt;=st_cumul_div_fin),S1_sol_div*IF(L11=1,0.5,1),0)</f>
        <v>400000</v>
      </c>
      <c r="M36" s="17" t="n">
        <f aca="false">IF(AND(M$3&lt;=S1_sol_div_annees,M$3&lt;=st_cumul_div_fin),S1_sol_div*IF(M11=1,0.5,1),0)</f>
        <v>400000</v>
      </c>
      <c r="N36" s="17" t="n">
        <f aca="false">IF(AND(N$3&lt;=S1_sol_div_annees,N$3&lt;=st_cumul_div_fin),S1_sol_div*IF(N11=1,0.5,1),0)</f>
        <v>400000</v>
      </c>
      <c r="O36" s="17" t="n">
        <f aca="false">IF(AND(O$3&lt;=S1_sol_div_annees,O$3&lt;=st_cumul_div_fin),S1_sol_div*IF(O11=1,0.5,1),0)</f>
        <v>0</v>
      </c>
      <c r="P36" s="17" t="n">
        <f aca="false">IF(AND(P$3&lt;=S1_sol_div_annees,P$3&lt;=st_cumul_div_fin),S1_sol_div*IF(P11=1,0.5,1),0)</f>
        <v>0</v>
      </c>
      <c r="Q36" s="17" t="n">
        <f aca="false">IF(AND(Q$3&lt;=S1_sol_div_annees,Q$3&lt;=st_cumul_div_fin),S1_sol_div*IF(Q11=1,0.5,1),0)</f>
        <v>0</v>
      </c>
      <c r="R36" s="17" t="n">
        <f aca="false">IF(AND(R$3&lt;=S1_sol_div_annees,R$3&lt;=st_cumul_div_fin),S1_sol_div*IF(R11=1,0.5,1),0)</f>
        <v>0</v>
      </c>
      <c r="S36" s="17" t="n">
        <f aca="false">IF(AND(S$3&lt;=S1_sol_div_annees,S$3&lt;=st_cumul_div_fin),S1_sol_div*IF(S11=1,0.5,1),0)</f>
        <v>0</v>
      </c>
      <c r="T36" s="17" t="n">
        <f aca="false">IF(AND(T$3&lt;=S1_sol_div_annees,T$3&lt;=st_cumul_div_fin),S1_sol_div*IF(T11=1,0.5,1),0)</f>
        <v>0</v>
      </c>
      <c r="U36" s="17" t="n">
        <f aca="false">IF(AND(U$3&lt;=S1_sol_div_annees,U$3&lt;=st_cumul_div_fin),S1_sol_div*IF(U11=1,0.5,1),0)</f>
        <v>0</v>
      </c>
      <c r="V36" s="17" t="n">
        <f aca="false">IF(AND(V$3&lt;=S1_sol_div_annees,V$3&lt;=st_cumul_div_fin),S1_sol_div*IF(V11=1,0.5,1),0)</f>
        <v>0</v>
      </c>
      <c r="W36" s="17" t="n">
        <f aca="false">IF(AND(W$3&lt;=S1_sol_div_annees,W$3&lt;=st_cumul_div_fin),S1_sol_div*IF(W11=1,0.5,1),0)</f>
        <v>0</v>
      </c>
      <c r="X36" s="17" t="n">
        <f aca="false">IF(AND(X$3&lt;=S1_sol_div_annees,X$3&lt;=st_cumul_div_fin),S1_sol_div*IF(X11=1,0.5,1),0)</f>
        <v>0</v>
      </c>
    </row>
    <row r="37" customFormat="false" ht="15" hidden="false" customHeight="false" outlineLevel="0" collapsed="false">
      <c r="A37" s="2" t="s">
        <v>1879</v>
      </c>
      <c r="B37" s="2" t="s">
        <v>1880</v>
      </c>
      <c r="C37" s="2" t="s">
        <v>46</v>
      </c>
      <c r="E37" s="20" t="n">
        <f aca="false">dot_rendement+st_cumul_dot_rdt_delta+IF(E11=1,-0.25,0)</f>
        <v>0.03</v>
      </c>
      <c r="F37" s="20" t="n">
        <f aca="false">dot_rendement+st_cumul_dot_rdt_delta+IF(F11=1,-0.25,0)</f>
        <v>0.03</v>
      </c>
      <c r="G37" s="20" t="n">
        <f aca="false">dot_rendement+st_cumul_dot_rdt_delta+IF(G11=1,-0.25,0)</f>
        <v>0.03</v>
      </c>
      <c r="H37" s="20" t="n">
        <f aca="false">dot_rendement+st_cumul_dot_rdt_delta+IF(H11=1,-0.25,0)</f>
        <v>0.03</v>
      </c>
      <c r="I37" s="20" t="n">
        <f aca="false">dot_rendement+st_cumul_dot_rdt_delta+IF(I11=1,-0.25,0)</f>
        <v>-0.22</v>
      </c>
      <c r="J37" s="20" t="n">
        <f aca="false">dot_rendement+st_cumul_dot_rdt_delta+IF(J11=1,-0.25,0)</f>
        <v>0.03</v>
      </c>
      <c r="K37" s="20" t="n">
        <f aca="false">dot_rendement+st_cumul_dot_rdt_delta+IF(K11=1,-0.25,0)</f>
        <v>0.03</v>
      </c>
      <c r="L37" s="20" t="n">
        <f aca="false">dot_rendement+st_cumul_dot_rdt_delta+IF(L11=1,-0.25,0)</f>
        <v>0.03</v>
      </c>
      <c r="M37" s="20" t="n">
        <f aca="false">dot_rendement+st_cumul_dot_rdt_delta+IF(M11=1,-0.25,0)</f>
        <v>0.03</v>
      </c>
      <c r="N37" s="20" t="n">
        <f aca="false">dot_rendement+st_cumul_dot_rdt_delta+IF(N11=1,-0.25,0)</f>
        <v>0.03</v>
      </c>
      <c r="O37" s="20" t="n">
        <f aca="false">dot_rendement+st_cumul_dot_rdt_delta+IF(O11=1,-0.25,0)</f>
        <v>0.03</v>
      </c>
      <c r="P37" s="20" t="n">
        <f aca="false">dot_rendement+st_cumul_dot_rdt_delta+IF(P11=1,-0.25,0)</f>
        <v>0.03</v>
      </c>
      <c r="Q37" s="20" t="n">
        <f aca="false">dot_rendement+st_cumul_dot_rdt_delta+IF(Q11=1,-0.25,0)</f>
        <v>0.03</v>
      </c>
      <c r="R37" s="20" t="n">
        <f aca="false">dot_rendement+st_cumul_dot_rdt_delta+IF(R11=1,-0.25,0)</f>
        <v>0.03</v>
      </c>
      <c r="S37" s="20" t="n">
        <f aca="false">dot_rendement+st_cumul_dot_rdt_delta+IF(S11=1,-0.25,0)</f>
        <v>0.03</v>
      </c>
      <c r="T37" s="20" t="n">
        <f aca="false">dot_rendement+st_cumul_dot_rdt_delta+IF(T11=1,-0.25,0)</f>
        <v>0.03</v>
      </c>
      <c r="U37" s="20" t="n">
        <f aca="false">dot_rendement+st_cumul_dot_rdt_delta+IF(U11=1,-0.25,0)</f>
        <v>0.03</v>
      </c>
      <c r="V37" s="20" t="n">
        <f aca="false">dot_rendement+st_cumul_dot_rdt_delta+IF(V11=1,-0.25,0)</f>
        <v>0.03</v>
      </c>
      <c r="W37" s="20" t="n">
        <f aca="false">dot_rendement+st_cumul_dot_rdt_delta+IF(W11=1,-0.25,0)</f>
        <v>0.03</v>
      </c>
      <c r="X37" s="20" t="n">
        <f aca="false">dot_rendement+st_cumul_dot_rdt_delta+IF(X11=1,-0.25,0)</f>
        <v>0.03</v>
      </c>
    </row>
    <row r="38" customFormat="false" ht="15" hidden="false" customHeight="false" outlineLevel="0" collapsed="false">
      <c r="A38" s="2" t="s">
        <v>1881</v>
      </c>
      <c r="B38" s="2" t="s">
        <v>1882</v>
      </c>
      <c r="C38" s="2" t="s">
        <v>1832</v>
      </c>
      <c r="D38" s="17" t="n">
        <f aca="false">dot_taux_net*S1_sol_dotation0</f>
        <v>412500</v>
      </c>
      <c r="E38" s="17" t="n">
        <f aca="false">lissage_depense*D38+(1-lissage_depense)*dot_taux_net*MAX(0,D42)</f>
        <v>412500</v>
      </c>
      <c r="F38" s="17" t="n">
        <f aca="false">lissage_depense*E38+(1-lissage_depense)*dot_taux_net*MAX(0,E42)</f>
        <v>413920.73891223</v>
      </c>
      <c r="G38" s="17" t="n">
        <f aca="false">lissage_depense*F38+(1-lissage_depense)*dot_taux_net*MAX(0,F42)</f>
        <v>418021.333951616</v>
      </c>
      <c r="H38" s="17" t="n">
        <f aca="false">lissage_depense*G38+(1-lissage_depense)*dot_taux_net*MAX(0,G42)</f>
        <v>424337.4003407</v>
      </c>
      <c r="I38" s="17" t="n">
        <f aca="false">lissage_depense*H38+(1-lissage_depense)*dot_taux_net*MAX(0,H42)</f>
        <v>432503.489977607</v>
      </c>
      <c r="J38" s="17" t="n">
        <f aca="false">lissage_depense*I38+(1-lissage_depense)*dot_taux_net*MAX(0,I42)</f>
        <v>417861.253313279</v>
      </c>
      <c r="K38" s="17" t="n">
        <f aca="false">lissage_depense*J38+(1-lissage_depense)*dot_taux_net*MAX(0,J42)</f>
        <v>406455.423141636</v>
      </c>
      <c r="L38" s="17" t="n">
        <f aca="false">lissage_depense*K38+(1-lissage_depense)*dot_taux_net*MAX(0,K42)</f>
        <v>399869.962397774</v>
      </c>
      <c r="M38" s="17" t="n">
        <f aca="false">lissage_depense*L38+(1-lissage_depense)*dot_taux_net*MAX(0,L42)</f>
        <v>397202.774242484</v>
      </c>
      <c r="N38" s="17" t="n">
        <f aca="false">lissage_depense*M38+(1-lissage_depense)*dot_taux_net*MAX(0,M42)</f>
        <v>397733.838437344</v>
      </c>
      <c r="O38" s="17" t="n">
        <f aca="false">lissage_depense*N38+(1-lissage_depense)*dot_taux_net*MAX(0,N42)</f>
        <v>400888.842557629</v>
      </c>
      <c r="P38" s="17" t="n">
        <f aca="false">lissage_depense*O38+(1-lissage_depense)*dot_taux_net*MAX(0,O42)</f>
        <v>404010.088305142</v>
      </c>
      <c r="Q38" s="17" t="n">
        <f aca="false">lissage_depense*P38+(1-lissage_depense)*dot_taux_net*MAX(0,P42)</f>
        <v>407107.217940303</v>
      </c>
      <c r="R38" s="17" t="n">
        <f aca="false">lissage_depense*Q38+(1-lissage_depense)*dot_taux_net*MAX(0,Q42)</f>
        <v>410187.816850156</v>
      </c>
      <c r="S38" s="17" t="n">
        <f aca="false">lissage_depense*R38+(1-lissage_depense)*dot_taux_net*MAX(0,R42)</f>
        <v>413257.817666809</v>
      </c>
      <c r="T38" s="17" t="n">
        <f aca="false">lissage_depense*S38+(1-lissage_depense)*dot_taux_net*MAX(0,S42)</f>
        <v>416321.823287158</v>
      </c>
      <c r="U38" s="17" t="n">
        <f aca="false">lissage_depense*T38+(1-lissage_depense)*dot_taux_net*MAX(0,T42)</f>
        <v>419383.365004374</v>
      </c>
      <c r="V38" s="17" t="n">
        <f aca="false">lissage_depense*U38+(1-lissage_depense)*dot_taux_net*MAX(0,U42)</f>
        <v>422445.108719255</v>
      </c>
      <c r="W38" s="17" t="n">
        <f aca="false">lissage_depense*V38+(1-lissage_depense)*dot_taux_net*MAX(0,V42)</f>
        <v>425509.019605616</v>
      </c>
      <c r="X38" s="17" t="n">
        <f aca="false">lissage_depense*W38+(1-lissage_depense)*dot_taux_net*MAX(0,W42)</f>
        <v>428576.493528732</v>
      </c>
    </row>
    <row r="39" customFormat="false" ht="15" hidden="false" customHeight="false" outlineLevel="0" collapsed="false">
      <c r="A39" s="2" t="s">
        <v>1883</v>
      </c>
      <c r="B39" s="2" t="s">
        <v>1884</v>
      </c>
      <c r="C39" s="2" t="s">
        <v>1832</v>
      </c>
      <c r="E39" s="17" t="n">
        <f aca="false">MIN(MAX(0,E35-E36),IF(E12=1,MAX(E38,retrait_urgence*MAX(0,D42)),E38))</f>
        <v>0</v>
      </c>
      <c r="F39" s="17" t="n">
        <f aca="false">MIN(MAX(0,F35-F36),IF(F12=1,MAX(F38,retrait_urgence*MAX(0,E42)),F38))</f>
        <v>0</v>
      </c>
      <c r="G39" s="17" t="n">
        <f aca="false">MIN(MAX(0,G35-G36),IF(G12=1,MAX(G38,retrait_urgence*MAX(0,F42)),G38))</f>
        <v>0</v>
      </c>
      <c r="H39" s="17" t="n">
        <f aca="false">MIN(MAX(0,H35-H36),IF(H12=1,MAX(H38,retrait_urgence*MAX(0,G42)),H38))</f>
        <v>0</v>
      </c>
      <c r="I39" s="17" t="n">
        <f aca="false">MIN(MAX(0,I35-I36),IF(I12=1,MAX(I38,retrait_urgence*MAX(0,H42)),I38))</f>
        <v>128676.916135096</v>
      </c>
      <c r="J39" s="17" t="n">
        <f aca="false">MIN(MAX(0,J35-J36),IF(J12=1,MAX(J38,retrait_urgence*MAX(0,I42)),J38))</f>
        <v>335962.669112128</v>
      </c>
      <c r="K39" s="17" t="n">
        <f aca="false">MIN(MAX(0,K35-K36),IF(K12=1,MAX(K38,retrait_urgence*MAX(0,J42)),K38))</f>
        <v>0</v>
      </c>
      <c r="L39" s="17" t="n">
        <f aca="false">MIN(MAX(0,L35-L36),IF(L12=1,MAX(L38,retrait_urgence*MAX(0,K42)),L38))</f>
        <v>0</v>
      </c>
      <c r="M39" s="17" t="n">
        <f aca="false">MIN(MAX(0,M35-M36),IF(M12=1,MAX(M38,retrait_urgence*MAX(0,L42)),M38))</f>
        <v>0</v>
      </c>
      <c r="N39" s="17" t="n">
        <f aca="false">MIN(MAX(0,N35-N36),IF(N12=1,MAX(N38,retrait_urgence*MAX(0,M42)),N38))</f>
        <v>0</v>
      </c>
      <c r="O39" s="17" t="n">
        <f aca="false">MIN(MAX(0,O35-O36),IF(O12=1,MAX(O38,retrait_urgence*MAX(0,N42)),O38))</f>
        <v>342511.036899553</v>
      </c>
      <c r="P39" s="17" t="n">
        <f aca="false">MIN(MAX(0,P35-P36),IF(P12=1,MAX(P38,retrait_urgence*MAX(0,O42)),P38))</f>
        <v>345243.161931096</v>
      </c>
      <c r="Q39" s="17" t="n">
        <f aca="false">MIN(MAX(0,Q35-Q36),IF(Q12=1,MAX(Q38,retrait_urgence*MAX(0,P42)),Q38))</f>
        <v>348014.403120352</v>
      </c>
      <c r="R39" s="17" t="n">
        <f aca="false">MIN(MAX(0,R35-R36),IF(R12=1,MAX(R38,retrait_urgence*MAX(0,Q42)),R38))</f>
        <v>350825.379302931</v>
      </c>
      <c r="S39" s="17" t="n">
        <f aca="false">MIN(MAX(0,S35-S36),IF(S12=1,MAX(S38,retrait_urgence*MAX(0,R42)),S38))</f>
        <v>353676.719740712</v>
      </c>
      <c r="T39" s="17" t="n">
        <f aca="false">MIN(MAX(0,T35-T36),IF(T12=1,MAX(T38,retrait_urgence*MAX(0,S42)),T38))</f>
        <v>356569.064304525</v>
      </c>
      <c r="U39" s="17" t="n">
        <f aca="false">MIN(MAX(0,U35-U36),IF(U12=1,MAX(U38,retrait_urgence*MAX(0,T42)),U38))</f>
        <v>359503.063660123</v>
      </c>
      <c r="V39" s="17" t="n">
        <f aca="false">MIN(MAX(0,V35-V36),IF(V12=1,MAX(V38,retrait_urgence*MAX(0,U42)),V38))</f>
        <v>362479.379457502</v>
      </c>
      <c r="W39" s="17" t="n">
        <f aca="false">MIN(MAX(0,W35-W36),IF(W12=1,MAX(W38,retrait_urgence*MAX(0,V42)),W38))</f>
        <v>365498.684523624</v>
      </c>
      <c r="X39" s="17" t="n">
        <f aca="false">MIN(MAX(0,X35-X36),IF(X12=1,MAX(X38,retrait_urgence*MAX(0,W42)),X38))</f>
        <v>368561.663058615</v>
      </c>
    </row>
    <row r="40" customFormat="false" ht="15" hidden="false" customHeight="false" outlineLevel="0" collapsed="false">
      <c r="A40" s="2" t="s">
        <v>1885</v>
      </c>
      <c r="B40" s="18" t="s">
        <v>1886</v>
      </c>
      <c r="C40" s="2" t="s">
        <v>1832</v>
      </c>
      <c r="E40" s="23" t="n">
        <f aca="false">E36+E39-E35</f>
        <v>78316.16586</v>
      </c>
      <c r="F40" s="23" t="n">
        <f aca="false">F36+F39-F35</f>
        <v>81160.3167699999</v>
      </c>
      <c r="G40" s="23" t="n">
        <f aca="false">G36+G39-G35</f>
        <v>78008.7405310312</v>
      </c>
      <c r="H40" s="23" t="n">
        <f aca="false">H36+H39-H35</f>
        <v>75568.4600467375</v>
      </c>
      <c r="I40" s="23" t="n">
        <f aca="false">I36+I39-I35</f>
        <v>0</v>
      </c>
      <c r="J40" s="23" t="n">
        <f aca="false">J36+J39-J35</f>
        <v>0</v>
      </c>
      <c r="K40" s="23" t="n">
        <f aca="false">K36+K39-K35</f>
        <v>68038.3234040052</v>
      </c>
      <c r="L40" s="23" t="n">
        <f aca="false">L36+L39-L35</f>
        <v>65456.6769575049</v>
      </c>
      <c r="M40" s="23" t="n">
        <f aca="false">M36+M39-M35</f>
        <v>62838.2889751183</v>
      </c>
      <c r="N40" s="23" t="n">
        <f aca="false">N36+N39-N35</f>
        <v>60182.580563087</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78316.16586</v>
      </c>
      <c r="F41" s="17" t="n">
        <f aca="false">IF(AND(F40&gt;0,E43&gt;0),F40*part_surplus_dotation,0)</f>
        <v>81160.3167699999</v>
      </c>
      <c r="G41" s="17" t="n">
        <f aca="false">IF(AND(G40&gt;0,F43&gt;0),G40*part_surplus_dotation,0)</f>
        <v>78008.7405310312</v>
      </c>
      <c r="H41" s="17" t="n">
        <f aca="false">IF(AND(H40&gt;0,G43&gt;0),H40*part_surplus_dotation,0)</f>
        <v>75568.4600467375</v>
      </c>
      <c r="I41" s="17" t="n">
        <f aca="false">IF(AND(I40&gt;0,H43&gt;0),I40*part_surplus_dotation,0)</f>
        <v>0</v>
      </c>
      <c r="J41" s="17" t="n">
        <f aca="false">IF(AND(J40&gt;0,I43&gt;0),J40*part_surplus_dotation,0)</f>
        <v>0</v>
      </c>
      <c r="K41" s="17" t="n">
        <f aca="false">IF(AND(K40&gt;0,J43&gt;0),K40*part_surplus_dotation,0)</f>
        <v>68038.3234040052</v>
      </c>
      <c r="L41" s="17" t="n">
        <f aca="false">IF(AND(L40&gt;0,K43&gt;0),L40*part_surplus_dotation,0)</f>
        <v>65456.6769575049</v>
      </c>
      <c r="M41" s="17" t="n">
        <f aca="false">IF(AND(M40&gt;0,L43&gt;0),M40*part_surplus_dotation,0)</f>
        <v>62838.2889751183</v>
      </c>
      <c r="N41" s="17" t="n">
        <f aca="false">IF(AND(N40&gt;0,M43&gt;0),N40*part_surplus_dotation,0)</f>
        <v>60182.580563087</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S1_sol_dotation0</f>
        <v>15000000</v>
      </c>
      <c r="E42" s="23" t="n">
        <f aca="false">MAX(0,D42)*(1+E37)-E39+E41-E31</f>
        <v>15258316.16586</v>
      </c>
      <c r="F42" s="23" t="n">
        <f aca="false">MAX(0,E42)*(1+F37)-F39+F41-F31</f>
        <v>15797225.9676058</v>
      </c>
      <c r="G42" s="23" t="n">
        <f aca="false">MAX(0,F42)*(1+G37)-G39+G41-G31</f>
        <v>16349151.487165</v>
      </c>
      <c r="H42" s="23" t="n">
        <f aca="false">MAX(0,G42)*(1+H37)-H39+H41-H31</f>
        <v>16915194.4918267</v>
      </c>
      <c r="I42" s="23" t="n">
        <f aca="false">MAX(0,H42)*(1+I37)-I39+I41-I31</f>
        <v>13065174.7874897</v>
      </c>
      <c r="J42" s="23" t="n">
        <f aca="false">MAX(0,I42)*(1+J37)-J39+J41-J31</f>
        <v>13121167.3620023</v>
      </c>
      <c r="K42" s="23" t="n">
        <f aca="false">MAX(0,J42)*(1+K37)-K39+K41-K31</f>
        <v>13582840.7062664</v>
      </c>
      <c r="L42" s="23" t="n">
        <f aca="false">MAX(0,K42)*(1+L37)-L39+L41-L31</f>
        <v>14055782.6044119</v>
      </c>
      <c r="M42" s="23" t="n">
        <f aca="false">MAX(0,L42)*(1+M37)-M39+M41-M31</f>
        <v>14540294.3715193</v>
      </c>
      <c r="N42" s="23" t="n">
        <f aca="false">MAX(0,M42)*(1+N37)-N39+N41-N31</f>
        <v>15036685.783228</v>
      </c>
      <c r="O42" s="23" t="n">
        <f aca="false">MAX(0,N42)*(1+O37)-O39+O41-O31</f>
        <v>15145275.3198253</v>
      </c>
      <c r="P42" s="23" t="n">
        <f aca="false">MAX(0,O42)*(1+P37)-P39+P41-P31</f>
        <v>15254390.417489</v>
      </c>
      <c r="Q42" s="23" t="n">
        <f aca="false">MAX(0,P42)*(1+Q37)-Q39+Q41-Q31</f>
        <v>15364007.7268933</v>
      </c>
      <c r="R42" s="23" t="n">
        <f aca="false">MAX(0,Q42)*(1+R37)-R39+R41-R31</f>
        <v>15474102.5793971</v>
      </c>
      <c r="S42" s="23" t="n">
        <f aca="false">MAX(0,R42)*(1+S37)-S39+S41-S31</f>
        <v>15584648.9370383</v>
      </c>
      <c r="T42" s="23" t="n">
        <f aca="false">MAX(0,S42)*(1+T37)-T39+T41-T31</f>
        <v>15695619.340845</v>
      </c>
      <c r="U42" s="23" t="n">
        <f aca="false">MAX(0,T42)*(1+U37)-U39+U41-U31</f>
        <v>15806984.8574102</v>
      </c>
      <c r="V42" s="23" t="n">
        <f aca="false">MAX(0,U42)*(1+V37)-V39+V41-V31</f>
        <v>15918715.023675</v>
      </c>
      <c r="W42" s="23" t="n">
        <f aca="false">MAX(0,V42)*(1+W37)-W39+W41-W31</f>
        <v>16030777.7898616</v>
      </c>
      <c r="X42" s="23" t="n">
        <f aca="false">MAX(0,W42)*(1+X37)-X39+X41-X31</f>
        <v>16143139.4604989</v>
      </c>
    </row>
    <row r="43" customFormat="false" ht="15" hidden="false" customHeight="false" outlineLevel="0" collapsed="false">
      <c r="A43" s="2" t="s">
        <v>1891</v>
      </c>
      <c r="B43" s="18" t="s">
        <v>1892</v>
      </c>
      <c r="C43" s="2" t="s">
        <v>1832</v>
      </c>
      <c r="D43" s="23" t="n">
        <f aca="false">S1_sol_reserve0</f>
        <v>400000</v>
      </c>
      <c r="E43" s="23" t="n">
        <f aca="false">D43*(1+taux_reserve)+E40-E41-(E30-E31)</f>
        <v>400000</v>
      </c>
      <c r="F43" s="23" t="n">
        <f aca="false">E43*(1+taux_reserve)+F40-F41-(F30-F31)</f>
        <v>400000</v>
      </c>
      <c r="G43" s="23" t="n">
        <f aca="false">F43*(1+taux_reserve)+G40-G41-(G30-G31)</f>
        <v>400000</v>
      </c>
      <c r="H43" s="23" t="n">
        <f aca="false">G43*(1+taux_reserve)+H40-H41-(H30-H31)</f>
        <v>400000</v>
      </c>
      <c r="I43" s="23" t="n">
        <f aca="false">H43*(1+taux_reserve)+I40-I41-(I30-I31)</f>
        <v>400000</v>
      </c>
      <c r="J43" s="23" t="n">
        <f aca="false">I43*(1+taux_reserve)+J40-J41-(J30-J31)</f>
        <v>400000</v>
      </c>
      <c r="K43" s="23" t="n">
        <f aca="false">J43*(1+taux_reserve)+K40-K41-(K30-K31)</f>
        <v>400000</v>
      </c>
      <c r="L43" s="23" t="n">
        <f aca="false">K43*(1+taux_reserve)+L40-L41-(L30-L31)</f>
        <v>400000</v>
      </c>
      <c r="M43" s="23" t="n">
        <f aca="false">L43*(1+taux_reserve)+M40-M41-(M30-M31)</f>
        <v>400000</v>
      </c>
      <c r="N43" s="23" t="n">
        <f aca="false">M43*(1+taux_reserve)+N40-N41-(N30-N31)</f>
        <v>400000</v>
      </c>
      <c r="O43" s="23" t="n">
        <f aca="false">N43*(1+taux_reserve)+O40-O41-(O30-O31)</f>
        <v>400000</v>
      </c>
      <c r="P43" s="23" t="n">
        <f aca="false">O43*(1+taux_reserve)+P40-P41-(P30-P31)</f>
        <v>400000</v>
      </c>
      <c r="Q43" s="23" t="n">
        <f aca="false">P43*(1+taux_reserve)+Q40-Q41-(Q30-Q31)</f>
        <v>400000</v>
      </c>
      <c r="R43" s="23" t="n">
        <f aca="false">Q43*(1+taux_reserve)+R40-R41-(R30-R31)</f>
        <v>400000</v>
      </c>
      <c r="S43" s="23" t="n">
        <f aca="false">R43*(1+taux_reserve)+S40-S41-(S30-S31)</f>
        <v>400000</v>
      </c>
      <c r="T43" s="23" t="n">
        <f aca="false">S43*(1+taux_reserve)+T40-T41-(T30-T31)</f>
        <v>400000</v>
      </c>
      <c r="U43" s="23" t="n">
        <f aca="false">T43*(1+taux_reserve)+U40-U41-(U30-U31)</f>
        <v>400000</v>
      </c>
      <c r="V43" s="23" t="n">
        <f aca="false">U43*(1+taux_reserve)+V40-V41-(V30-V31)</f>
        <v>400000</v>
      </c>
      <c r="W43" s="23" t="n">
        <f aca="false">V43*(1+taux_reserve)+W40-W41-(W30-W31)</f>
        <v>400000</v>
      </c>
      <c r="X43" s="23" t="n">
        <f aca="false">W43*(1+taux_reserve)+X40-X41-(X30-X31)</f>
        <v>400000</v>
      </c>
    </row>
    <row r="44" customFormat="false" ht="15" hidden="false" customHeight="false" outlineLevel="0" collapsed="false">
      <c r="A44" s="2" t="s">
        <v>1893</v>
      </c>
      <c r="B44" s="18" t="s">
        <v>1894</v>
      </c>
      <c r="C44" s="2" t="s">
        <v>1832</v>
      </c>
      <c r="E44" s="23" t="n">
        <f aca="false">E43+E22</f>
        <v>493848.625</v>
      </c>
      <c r="F44" s="23" t="n">
        <f aca="false">F43+F22</f>
        <v>588401.1146875</v>
      </c>
      <c r="G44" s="23" t="n">
        <f aca="false">G43+G22</f>
        <v>683662.748047656</v>
      </c>
      <c r="H44" s="23" t="n">
        <f aca="false">H43+H22</f>
        <v>400000</v>
      </c>
      <c r="I44" s="23" t="n">
        <f aca="false">I43+I22</f>
        <v>496695.916327435</v>
      </c>
      <c r="J44" s="23" t="n">
        <f aca="false">J43+J22</f>
        <v>400000</v>
      </c>
      <c r="K44" s="23" t="n">
        <f aca="false">K43+K22</f>
        <v>498151.79421764</v>
      </c>
      <c r="L44" s="23" t="n">
        <f aca="false">L43+L22</f>
        <v>400000</v>
      </c>
      <c r="M44" s="23" t="n">
        <f aca="false">M43+M22</f>
        <v>499629.592169329</v>
      </c>
      <c r="N44" s="23" t="n">
        <f aca="false">N43+N22</f>
        <v>600006.406279929</v>
      </c>
      <c r="O44" s="23" t="n">
        <f aca="false">O43+O22</f>
        <v>701136.046496358</v>
      </c>
      <c r="P44" s="23" t="n">
        <f aca="false">P43+P22</f>
        <v>400000</v>
      </c>
      <c r="Q44" s="23" t="n">
        <f aca="false">Q43+Q22</f>
        <v>502652.273361938</v>
      </c>
      <c r="R44" s="23" t="n">
        <f aca="false">R43+R22</f>
        <v>606074.43877409</v>
      </c>
      <c r="S44" s="23" t="n">
        <f aca="false">S43+S22</f>
        <v>710272.270426833</v>
      </c>
      <c r="T44" s="23" t="n">
        <f aca="false">T43+T22</f>
        <v>400000</v>
      </c>
      <c r="U44" s="23" t="n">
        <f aca="false">U43+U22</f>
        <v>505766.660255565</v>
      </c>
      <c r="V44" s="23" t="n">
        <f aca="false">V43+V22</f>
        <v>612326.570463046</v>
      </c>
      <c r="W44" s="23" t="n">
        <f aca="false">W43+W22</f>
        <v>719685.679997084</v>
      </c>
      <c r="X44" s="23" t="n">
        <f aca="false">X43+X22</f>
        <v>400000</v>
      </c>
    </row>
    <row r="45" customFormat="false" ht="15" hidden="false" customHeight="false" outlineLevel="0" collapsed="false">
      <c r="A45" s="2" t="s">
        <v>1895</v>
      </c>
      <c r="B45" s="18" t="s">
        <v>1896</v>
      </c>
      <c r="C45" s="2" t="s">
        <v>46</v>
      </c>
      <c r="E45" s="24" t="n">
        <f aca="false">(E29+E38)/E18</f>
        <v>1.27717762065337</v>
      </c>
      <c r="F45" s="24" t="n">
        <f aca="false">(F29+F38)/F18</f>
        <v>1.28810788601675</v>
      </c>
      <c r="G45" s="24" t="n">
        <f aca="false">(G29+G38)/G18</f>
        <v>1.28887722215863</v>
      </c>
      <c r="H45" s="24" t="n">
        <f aca="false">(H29+H38)/H18</f>
        <v>1.29834623118173</v>
      </c>
      <c r="I45" s="24" t="n">
        <f aca="false">(I29+I38)/I18</f>
        <v>1.30777992782929</v>
      </c>
      <c r="J45" s="24" t="n">
        <f aca="false">(J29+J38)/J18</f>
        <v>1.25829480590236</v>
      </c>
      <c r="K45" s="24" t="n">
        <f aca="false">(K29+K38)/K18</f>
        <v>1.21756628356719</v>
      </c>
      <c r="L45" s="24" t="n">
        <f aca="false">(L29+L38)/L18</f>
        <v>1.18936504585694</v>
      </c>
      <c r="M45" s="24" t="n">
        <f aca="false">(M29+M38)/M18</f>
        <v>1.17273248178675</v>
      </c>
      <c r="N45" s="24" t="n">
        <f aca="false">(N29+N38)/N18</f>
        <v>1.16535671837564</v>
      </c>
      <c r="O45" s="24" t="n">
        <f aca="false">(O29+O38)/O18</f>
        <v>1.1654019914735</v>
      </c>
      <c r="P45" s="24" t="n">
        <f aca="false">(P29+P38)/P18</f>
        <v>1.1652254881197</v>
      </c>
      <c r="Q45" s="24" t="n">
        <f aca="false">(Q29+Q38)/Q18</f>
        <v>1.16485725870308</v>
      </c>
      <c r="R45" s="24" t="n">
        <f aca="false">(R29+R38)/R18</f>
        <v>1.16432083769345</v>
      </c>
      <c r="S45" s="24" t="n">
        <f aca="false">(S29+S38)/S18</f>
        <v>1.16363457858843</v>
      </c>
      <c r="T45" s="24" t="n">
        <f aca="false">(T29+T38)/T18</f>
        <v>1.16281271471844</v>
      </c>
      <c r="U45" s="24" t="n">
        <f aca="false">(U29+U38)/U18</f>
        <v>1.16186620216524</v>
      </c>
      <c r="V45" s="24" t="n">
        <f aca="false">(V29+V38)/V18</f>
        <v>1.16080338951344</v>
      </c>
      <c r="W45" s="24" t="n">
        <f aca="false">(W29+W38)/W18</f>
        <v>1.15963054998292</v>
      </c>
      <c r="X45" s="24" t="n">
        <f aca="false">(X29+X38)/X18</f>
        <v>1.15835230419779</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0</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1911</v>
      </c>
    </row>
    <row r="2" customFormat="false" ht="66" hidden="false" customHeight="true" outlineLevel="0" collapsed="false">
      <c r="A2" s="21" t="s">
        <v>1790</v>
      </c>
      <c r="B2" s="21"/>
      <c r="C2" s="21"/>
      <c r="D2" s="21"/>
      <c r="E2" s="21"/>
      <c r="F2" s="21"/>
      <c r="G2" s="21"/>
      <c r="H2" s="21"/>
      <c r="I2" s="21"/>
      <c r="J2" s="21"/>
      <c r="K2" s="21"/>
      <c r="L2" s="21"/>
    </row>
    <row r="3" customFormat="false" ht="15" hidden="false" customHeight="false" outlineLevel="0" collapsed="false">
      <c r="C3" s="2" t="s">
        <v>1791</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1403</v>
      </c>
      <c r="B4" s="4" t="s">
        <v>12</v>
      </c>
      <c r="C4" s="4" t="s">
        <v>16</v>
      </c>
      <c r="D4" s="4" t="s">
        <v>1792</v>
      </c>
      <c r="E4" s="4" t="s">
        <v>1793</v>
      </c>
      <c r="F4" s="4" t="s">
        <v>1794</v>
      </c>
      <c r="G4" s="4" t="s">
        <v>1795</v>
      </c>
      <c r="H4" s="4" t="s">
        <v>1796</v>
      </c>
      <c r="I4" s="4" t="s">
        <v>1797</v>
      </c>
      <c r="J4" s="4" t="s">
        <v>1798</v>
      </c>
      <c r="K4" s="4" t="s">
        <v>1799</v>
      </c>
      <c r="L4" s="4" t="s">
        <v>1800</v>
      </c>
      <c r="M4" s="4" t="s">
        <v>1801</v>
      </c>
      <c r="N4" s="4" t="s">
        <v>1802</v>
      </c>
      <c r="O4" s="4" t="s">
        <v>1803</v>
      </c>
      <c r="P4" s="4" t="s">
        <v>1804</v>
      </c>
      <c r="Q4" s="4" t="s">
        <v>1805</v>
      </c>
      <c r="R4" s="4" t="s">
        <v>1806</v>
      </c>
      <c r="S4" s="4" t="s">
        <v>1807</v>
      </c>
      <c r="T4" s="4" t="s">
        <v>1808</v>
      </c>
      <c r="U4" s="4" t="s">
        <v>1809</v>
      </c>
      <c r="V4" s="4" t="s">
        <v>1810</v>
      </c>
      <c r="W4" s="4" t="s">
        <v>1811</v>
      </c>
      <c r="X4" s="4" t="s">
        <v>1812</v>
      </c>
    </row>
    <row r="5" customFormat="false" ht="15" hidden="false" customHeight="false" outlineLevel="0" collapsed="false">
      <c r="A5" s="2" t="s">
        <v>1813</v>
      </c>
      <c r="B5" s="2" t="s">
        <v>1814</v>
      </c>
      <c r="C5" s="2" t="s">
        <v>1815</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1816</v>
      </c>
      <c r="B6" s="2" t="s">
        <v>1817</v>
      </c>
      <c r="C6" s="2" t="s">
        <v>1815</v>
      </c>
      <c r="D6" s="22" t="n">
        <f aca="false">1</f>
        <v>1</v>
      </c>
      <c r="E6" s="22" t="n">
        <f aca="false">D6*(1+g_travaux)</f>
        <v>1.0075</v>
      </c>
      <c r="F6" s="22" t="n">
        <f aca="false">E6*(1+g_travaux)</f>
        <v>1.01505625</v>
      </c>
      <c r="G6" s="22" t="n">
        <f aca="false">F6*(1+g_travaux)</f>
        <v>1.022669171875</v>
      </c>
      <c r="H6" s="22" t="n">
        <f aca="false">G6*(1+g_travaux)</f>
        <v>1.03033919066406</v>
      </c>
      <c r="I6" s="22" t="n">
        <f aca="false">H6*(1+g_travaux)</f>
        <v>1.03806673459404</v>
      </c>
      <c r="J6" s="22" t="n">
        <f aca="false">I6*(1+g_travaux)</f>
        <v>1.0458522351035</v>
      </c>
      <c r="K6" s="22" t="n">
        <f aca="false">J6*(1+g_travaux)</f>
        <v>1.05369612686678</v>
      </c>
      <c r="L6" s="22" t="n">
        <f aca="false">K6*(1+g_travaux)</f>
        <v>1.06159884781828</v>
      </c>
      <c r="M6" s="22" t="n">
        <f aca="false">L6*(1+g_travaux)</f>
        <v>1.06956083917691</v>
      </c>
      <c r="N6" s="22" t="n">
        <f aca="false">M6*(1+g_travaux)</f>
        <v>1.07758254547074</v>
      </c>
      <c r="O6" s="22" t="n">
        <f aca="false">N6*(1+g_travaux)</f>
        <v>1.08566441456177</v>
      </c>
      <c r="P6" s="22" t="n">
        <f aca="false">O6*(1+g_travaux)</f>
        <v>1.09380689767098</v>
      </c>
      <c r="Q6" s="22" t="n">
        <f aca="false">P6*(1+g_travaux)</f>
        <v>1.10201044940352</v>
      </c>
      <c r="R6" s="22" t="n">
        <f aca="false">Q6*(1+g_travaux)</f>
        <v>1.11027552777404</v>
      </c>
      <c r="S6" s="22" t="n">
        <f aca="false">R6*(1+g_travaux)</f>
        <v>1.11860259423235</v>
      </c>
      <c r="T6" s="22" t="n">
        <f aca="false">S6*(1+g_travaux)</f>
        <v>1.12699211368909</v>
      </c>
      <c r="U6" s="22" t="n">
        <f aca="false">T6*(1+g_travaux)</f>
        <v>1.13544455454176</v>
      </c>
      <c r="V6" s="22" t="n">
        <f aca="false">U6*(1+g_travaux)</f>
        <v>1.14396038870082</v>
      </c>
      <c r="W6" s="22" t="n">
        <f aca="false">V6*(1+g_travaux)</f>
        <v>1.15254009161608</v>
      </c>
      <c r="X6" s="22" t="n">
        <f aca="false">W6*(1+g_travaux)</f>
        <v>1.1611841423032</v>
      </c>
    </row>
    <row r="7" customFormat="false" ht="15" hidden="false" customHeight="false" outlineLevel="0" collapsed="false">
      <c r="A7" s="2" t="s">
        <v>1818</v>
      </c>
      <c r="B7" s="2" t="s">
        <v>1819</v>
      </c>
      <c r="C7" s="2" t="s">
        <v>1815</v>
      </c>
      <c r="D7" s="22" t="n">
        <f aca="false">1</f>
        <v>1</v>
      </c>
      <c r="E7" s="22" t="n">
        <f aca="false">D7*(1+g_energie)</f>
        <v>1.02</v>
      </c>
      <c r="F7" s="22" t="n">
        <f aca="false">E7*(1+g_energie)</f>
        <v>1.0404</v>
      </c>
      <c r="G7" s="22" t="n">
        <f aca="false">F7*(1+g_energie)</f>
        <v>1.061208</v>
      </c>
      <c r="H7" s="22" t="n">
        <f aca="false">G7*(1+g_energie)</f>
        <v>1.08243216</v>
      </c>
      <c r="I7" s="22" t="n">
        <f aca="false">H7*(1+g_energie)</f>
        <v>1.1040808032</v>
      </c>
      <c r="J7" s="22" t="n">
        <f aca="false">I7*(1+g_energie)</f>
        <v>1.126162419264</v>
      </c>
      <c r="K7" s="22" t="n">
        <f aca="false">J7*(1+g_energie)</f>
        <v>1.14868566764928</v>
      </c>
      <c r="L7" s="22" t="n">
        <f aca="false">K7*(1+g_energie)</f>
        <v>1.17165938100227</v>
      </c>
      <c r="M7" s="22" t="n">
        <f aca="false">L7*(1+g_energie)</f>
        <v>1.19509256862231</v>
      </c>
      <c r="N7" s="22" t="n">
        <f aca="false">M7*(1+g_energie)</f>
        <v>1.21899441999476</v>
      </c>
      <c r="O7" s="22" t="n">
        <f aca="false">N7*(1+g_energie)</f>
        <v>1.24337430839465</v>
      </c>
      <c r="P7" s="22" t="n">
        <f aca="false">O7*(1+g_energie)</f>
        <v>1.26824179456255</v>
      </c>
      <c r="Q7" s="22" t="n">
        <f aca="false">P7*(1+g_energie)</f>
        <v>1.2936066304538</v>
      </c>
      <c r="R7" s="22" t="n">
        <f aca="false">Q7*(1+g_energie)</f>
        <v>1.31947876306287</v>
      </c>
      <c r="S7" s="22" t="n">
        <f aca="false">R7*(1+g_energie)</f>
        <v>1.34586833832413</v>
      </c>
      <c r="T7" s="22" t="n">
        <f aca="false">S7*(1+g_energie)</f>
        <v>1.37278570509061</v>
      </c>
      <c r="U7" s="22" t="n">
        <f aca="false">T7*(1+g_energie)</f>
        <v>1.40024141919242</v>
      </c>
      <c r="V7" s="22" t="n">
        <f aca="false">U7*(1+g_energie)</f>
        <v>1.42824624757627</v>
      </c>
      <c r="W7" s="22" t="n">
        <f aca="false">V7*(1+g_energie)</f>
        <v>1.4568111725278</v>
      </c>
      <c r="X7" s="22" t="n">
        <f aca="false">W7*(1+g_energie)</f>
        <v>1.48594739597836</v>
      </c>
    </row>
    <row r="8" customFormat="false" ht="15" hidden="false" customHeight="false" outlineLevel="0" collapsed="false">
      <c r="A8" s="2" t="s">
        <v>1820</v>
      </c>
      <c r="B8" s="2" t="s">
        <v>1821</v>
      </c>
      <c r="C8" s="2" t="s">
        <v>1815</v>
      </c>
      <c r="D8" s="22" t="n">
        <f aca="false">1</f>
        <v>1</v>
      </c>
      <c r="E8" s="22" t="n">
        <f aca="false">D8*(1+g_assurance)</f>
        <v>1.0185</v>
      </c>
      <c r="F8" s="22" t="n">
        <f aca="false">E8*(1+g_assurance)</f>
        <v>1.03734225</v>
      </c>
      <c r="G8" s="22" t="n">
        <f aca="false">F8*(1+g_assurance)</f>
        <v>1.056533081625</v>
      </c>
      <c r="H8" s="22" t="n">
        <f aca="false">G8*(1+g_assurance)</f>
        <v>1.07607894363506</v>
      </c>
      <c r="I8" s="22" t="n">
        <f aca="false">H8*(1+g_assurance)</f>
        <v>1.09598640409231</v>
      </c>
      <c r="J8" s="22" t="n">
        <f aca="false">I8*(1+g_assurance)</f>
        <v>1.11626215256802</v>
      </c>
      <c r="K8" s="22" t="n">
        <f aca="false">J8*(1+g_assurance)</f>
        <v>1.13691300239053</v>
      </c>
      <c r="L8" s="22" t="n">
        <f aca="false">K8*(1+g_assurance)</f>
        <v>1.15794589293475</v>
      </c>
      <c r="M8" s="22" t="n">
        <f aca="false">L8*(1+g_assurance)</f>
        <v>1.17936789195404</v>
      </c>
      <c r="N8" s="22" t="n">
        <f aca="false">M8*(1+g_assurance)</f>
        <v>1.20118619795519</v>
      </c>
      <c r="O8" s="22" t="n">
        <f aca="false">N8*(1+g_assurance)</f>
        <v>1.22340814261737</v>
      </c>
      <c r="P8" s="22" t="n">
        <f aca="false">O8*(1+g_assurance)</f>
        <v>1.24604119325579</v>
      </c>
      <c r="Q8" s="22" t="n">
        <f aca="false">P8*(1+g_assurance)</f>
        <v>1.26909295533102</v>
      </c>
      <c r="R8" s="22" t="n">
        <f aca="false">Q8*(1+g_assurance)</f>
        <v>1.29257117500464</v>
      </c>
      <c r="S8" s="22" t="n">
        <f aca="false">R8*(1+g_assurance)</f>
        <v>1.31648374174223</v>
      </c>
      <c r="T8" s="22" t="n">
        <f aca="false">S8*(1+g_assurance)</f>
        <v>1.34083869096446</v>
      </c>
      <c r="U8" s="22" t="n">
        <f aca="false">T8*(1+g_assurance)</f>
        <v>1.3656442067473</v>
      </c>
      <c r="V8" s="22" t="n">
        <f aca="false">U8*(1+g_assurance)</f>
        <v>1.39090862457213</v>
      </c>
      <c r="W8" s="22" t="n">
        <f aca="false">V8*(1+g_assurance)</f>
        <v>1.41664043412671</v>
      </c>
      <c r="X8" s="22" t="n">
        <f aca="false">W8*(1+g_assurance)</f>
        <v>1.44284828215806</v>
      </c>
    </row>
    <row r="9" customFormat="false" ht="15" hidden="false" customHeight="false" outlineLevel="0" collapsed="false">
      <c r="A9" s="2" t="s">
        <v>1822</v>
      </c>
      <c r="B9" s="2" t="s">
        <v>1823</v>
      </c>
      <c r="C9" s="2" t="s">
        <v>1815</v>
      </c>
      <c r="D9" s="22" t="n">
        <f aca="false">1</f>
        <v>1</v>
      </c>
      <c r="E9" s="22" t="n">
        <f aca="false">D9*(1+g_recettes)</f>
        <v>1</v>
      </c>
      <c r="F9" s="22" t="n">
        <f aca="false">E9*(1+g_recettes)</f>
        <v>1</v>
      </c>
      <c r="G9" s="22" t="n">
        <f aca="false">F9*(1+g_recettes)</f>
        <v>1</v>
      </c>
      <c r="H9" s="22" t="n">
        <f aca="false">G9*(1+g_recettes)</f>
        <v>1</v>
      </c>
      <c r="I9" s="22" t="n">
        <f aca="false">H9*(1+g_recettes)</f>
        <v>1</v>
      </c>
      <c r="J9" s="22" t="n">
        <f aca="false">I9*(1+g_recettes)</f>
        <v>1</v>
      </c>
      <c r="K9" s="22" t="n">
        <f aca="false">J9*(1+g_recettes)</f>
        <v>1</v>
      </c>
      <c r="L9" s="22" t="n">
        <f aca="false">K9*(1+g_recettes)</f>
        <v>1</v>
      </c>
      <c r="M9" s="22" t="n">
        <f aca="false">L9*(1+g_recettes)</f>
        <v>1</v>
      </c>
      <c r="N9" s="22" t="n">
        <f aca="false">M9*(1+g_recettes)</f>
        <v>1</v>
      </c>
      <c r="O9" s="22" t="n">
        <f aca="false">N9*(1+g_recettes)</f>
        <v>1</v>
      </c>
      <c r="P9" s="22" t="n">
        <f aca="false">O9*(1+g_recettes)</f>
        <v>1</v>
      </c>
      <c r="Q9" s="22" t="n">
        <f aca="false">P9*(1+g_recettes)</f>
        <v>1</v>
      </c>
      <c r="R9" s="22" t="n">
        <f aca="false">Q9*(1+g_recettes)</f>
        <v>1</v>
      </c>
      <c r="S9" s="22" t="n">
        <f aca="false">R9*(1+g_recettes)</f>
        <v>1</v>
      </c>
      <c r="T9" s="22" t="n">
        <f aca="false">S9*(1+g_recettes)</f>
        <v>1</v>
      </c>
      <c r="U9" s="22" t="n">
        <f aca="false">T9*(1+g_recettes)</f>
        <v>1</v>
      </c>
      <c r="V9" s="22" t="n">
        <f aca="false">U9*(1+g_recettes)</f>
        <v>1</v>
      </c>
      <c r="W9" s="22" t="n">
        <f aca="false">V9*(1+g_recettes)</f>
        <v>1</v>
      </c>
      <c r="X9" s="22" t="n">
        <f aca="false">W9*(1+g_recettes)</f>
        <v>1</v>
      </c>
    </row>
    <row r="10" customFormat="false" ht="15" hidden="false" customHeight="false" outlineLevel="0" collapsed="false">
      <c r="A10" s="2" t="s">
        <v>1824</v>
      </c>
      <c r="B10" s="2" t="s">
        <v>1825</v>
      </c>
      <c r="C10" s="2" t="s">
        <v>1815</v>
      </c>
      <c r="D10" s="22" t="n">
        <f aca="false">1</f>
        <v>1</v>
      </c>
      <c r="E10" s="22" t="n">
        <f aca="false">D10*(1+inflation)</f>
        <v>1.02</v>
      </c>
      <c r="F10" s="22" t="n">
        <f aca="false">E10*(1+inflation)</f>
        <v>1.0404</v>
      </c>
      <c r="G10" s="22" t="n">
        <f aca="false">F10*(1+inflation)</f>
        <v>1.061208</v>
      </c>
      <c r="H10" s="22" t="n">
        <f aca="false">G10*(1+inflation)</f>
        <v>1.08243216</v>
      </c>
      <c r="I10" s="22" t="n">
        <f aca="false">H10*(1+inflation)</f>
        <v>1.1040808032</v>
      </c>
      <c r="J10" s="22" t="n">
        <f aca="false">I10*(1+inflation)</f>
        <v>1.126162419264</v>
      </c>
      <c r="K10" s="22" t="n">
        <f aca="false">J10*(1+inflation)</f>
        <v>1.14868566764928</v>
      </c>
      <c r="L10" s="22" t="n">
        <f aca="false">K10*(1+inflation)</f>
        <v>1.17165938100227</v>
      </c>
      <c r="M10" s="22" t="n">
        <f aca="false">L10*(1+inflation)</f>
        <v>1.19509256862231</v>
      </c>
      <c r="N10" s="22" t="n">
        <f aca="false">M10*(1+inflation)</f>
        <v>1.21899441999476</v>
      </c>
      <c r="O10" s="22" t="n">
        <f aca="false">N10*(1+inflation)</f>
        <v>1.24337430839465</v>
      </c>
      <c r="P10" s="22" t="n">
        <f aca="false">O10*(1+inflation)</f>
        <v>1.26824179456255</v>
      </c>
      <c r="Q10" s="22" t="n">
        <f aca="false">P10*(1+inflation)</f>
        <v>1.2936066304538</v>
      </c>
      <c r="R10" s="22" t="n">
        <f aca="false">Q10*(1+inflation)</f>
        <v>1.31947876306287</v>
      </c>
      <c r="S10" s="22" t="n">
        <f aca="false">R10*(1+inflation)</f>
        <v>1.34586833832413</v>
      </c>
      <c r="T10" s="22" t="n">
        <f aca="false">S10*(1+inflation)</f>
        <v>1.37278570509061</v>
      </c>
      <c r="U10" s="22" t="n">
        <f aca="false">T10*(1+inflation)</f>
        <v>1.40024141919242</v>
      </c>
      <c r="V10" s="22" t="n">
        <f aca="false">U10*(1+inflation)</f>
        <v>1.42824624757627</v>
      </c>
      <c r="W10" s="22" t="n">
        <f aca="false">V10*(1+inflation)</f>
        <v>1.4568111725278</v>
      </c>
      <c r="X10" s="22" t="n">
        <f aca="false">W10*(1+inflation)</f>
        <v>1.48594739597836</v>
      </c>
    </row>
    <row r="11" customFormat="false" ht="15" hidden="false" customHeight="false" outlineLevel="0" collapsed="false">
      <c r="A11" s="2" t="s">
        <v>1826</v>
      </c>
      <c r="B11" s="2" t="s">
        <v>1827</v>
      </c>
      <c r="C11" s="2" t="s">
        <v>1815</v>
      </c>
      <c r="E11" s="22" t="n">
        <f aca="false">IF(st_central_crise_an&gt;0,IF(E$3=st_central_crise_an,1,IF(E$3=st_central_crise_an+1,2,0)),0)</f>
        <v>0</v>
      </c>
      <c r="F11" s="22" t="n">
        <f aca="false">IF(st_central_crise_an&gt;0,IF(F$3=st_central_crise_an,1,IF(F$3=st_central_crise_an+1,2,0)),0)</f>
        <v>0</v>
      </c>
      <c r="G11" s="22" t="n">
        <f aca="false">IF(st_central_crise_an&gt;0,IF(G$3=st_central_crise_an,1,IF(G$3=st_central_crise_an+1,2,0)),0)</f>
        <v>0</v>
      </c>
      <c r="H11" s="22" t="n">
        <f aca="false">IF(st_central_crise_an&gt;0,IF(H$3=st_central_crise_an,1,IF(H$3=st_central_crise_an+1,2,0)),0)</f>
        <v>0</v>
      </c>
      <c r="I11" s="22" t="n">
        <f aca="false">IF(st_central_crise_an&gt;0,IF(I$3=st_central_crise_an,1,IF(I$3=st_central_crise_an+1,2,0)),0)</f>
        <v>0</v>
      </c>
      <c r="J11" s="22" t="n">
        <f aca="false">IF(st_central_crise_an&gt;0,IF(J$3=st_central_crise_an,1,IF(J$3=st_central_crise_an+1,2,0)),0)</f>
        <v>0</v>
      </c>
      <c r="K11" s="22" t="n">
        <f aca="false">IF(st_central_crise_an&gt;0,IF(K$3=st_central_crise_an,1,IF(K$3=st_central_crise_an+1,2,0)),0)</f>
        <v>0</v>
      </c>
      <c r="L11" s="22" t="n">
        <f aca="false">IF(st_central_crise_an&gt;0,IF(L$3=st_central_crise_an,1,IF(L$3=st_central_crise_an+1,2,0)),0)</f>
        <v>0</v>
      </c>
      <c r="M11" s="22" t="n">
        <f aca="false">IF(st_central_crise_an&gt;0,IF(M$3=st_central_crise_an,1,IF(M$3=st_central_crise_an+1,2,0)),0)</f>
        <v>0</v>
      </c>
      <c r="N11" s="22" t="n">
        <f aca="false">IF(st_central_crise_an&gt;0,IF(N$3=st_central_crise_an,1,IF(N$3=st_central_crise_an+1,2,0)),0)</f>
        <v>0</v>
      </c>
      <c r="O11" s="22" t="n">
        <f aca="false">IF(st_central_crise_an&gt;0,IF(O$3=st_central_crise_an,1,IF(O$3=st_central_crise_an+1,2,0)),0)</f>
        <v>0</v>
      </c>
      <c r="P11" s="22" t="n">
        <f aca="false">IF(st_central_crise_an&gt;0,IF(P$3=st_central_crise_an,1,IF(P$3=st_central_crise_an+1,2,0)),0)</f>
        <v>0</v>
      </c>
      <c r="Q11" s="22" t="n">
        <f aca="false">IF(st_central_crise_an&gt;0,IF(Q$3=st_central_crise_an,1,IF(Q$3=st_central_crise_an+1,2,0)),0)</f>
        <v>0</v>
      </c>
      <c r="R11" s="22" t="n">
        <f aca="false">IF(st_central_crise_an&gt;0,IF(R$3=st_central_crise_an,1,IF(R$3=st_central_crise_an+1,2,0)),0)</f>
        <v>0</v>
      </c>
      <c r="S11" s="22" t="n">
        <f aca="false">IF(st_central_crise_an&gt;0,IF(S$3=st_central_crise_an,1,IF(S$3=st_central_crise_an+1,2,0)),0)</f>
        <v>0</v>
      </c>
      <c r="T11" s="22" t="n">
        <f aca="false">IF(st_central_crise_an&gt;0,IF(T$3=st_central_crise_an,1,IF(T$3=st_central_crise_an+1,2,0)),0)</f>
        <v>0</v>
      </c>
      <c r="U11" s="22" t="n">
        <f aca="false">IF(st_central_crise_an&gt;0,IF(U$3=st_central_crise_an,1,IF(U$3=st_central_crise_an+1,2,0)),0)</f>
        <v>0</v>
      </c>
      <c r="V11" s="22" t="n">
        <f aca="false">IF(st_central_crise_an&gt;0,IF(V$3=st_central_crise_an,1,IF(V$3=st_central_crise_an+1,2,0)),0)</f>
        <v>0</v>
      </c>
      <c r="W11" s="22" t="n">
        <f aca="false">IF(st_central_crise_an&gt;0,IF(W$3=st_central_crise_an,1,IF(W$3=st_central_crise_an+1,2,0)),0)</f>
        <v>0</v>
      </c>
      <c r="X11" s="22" t="n">
        <f aca="false">IF(st_central_crise_an&gt;0,IF(X$3=st_central_crise_an,1,IF(X$3=st_central_crise_an+1,2,0)),0)</f>
        <v>0</v>
      </c>
    </row>
    <row r="12" customFormat="false" ht="15" hidden="false" customHeight="false" outlineLevel="0" collapsed="false">
      <c r="A12" s="2" t="s">
        <v>1828</v>
      </c>
      <c r="B12" s="2" t="s">
        <v>1829</v>
      </c>
      <c r="C12" s="2" t="s">
        <v>1815</v>
      </c>
      <c r="E12" s="22" t="n">
        <f aca="false">pilotage_actif*IF(D43&lt;flex_seuil*bud_total_besoin_S3,1,0)</f>
        <v>0</v>
      </c>
      <c r="F12" s="22" t="n">
        <f aca="false">pilotage_actif*IF(E43&lt;flex_seuil*bud_total_besoin_S3,1,0)</f>
        <v>0</v>
      </c>
      <c r="G12" s="22" t="n">
        <f aca="false">pilotage_actif*IF(F43&lt;flex_seuil*bud_total_besoin_S3,1,0)</f>
        <v>0</v>
      </c>
      <c r="H12" s="22" t="n">
        <f aca="false">pilotage_actif*IF(G43&lt;flex_seuil*bud_total_besoin_S3,1,0)</f>
        <v>0</v>
      </c>
      <c r="I12" s="22" t="n">
        <f aca="false">pilotage_actif*IF(H43&lt;flex_seuil*bud_total_besoin_S3,1,0)</f>
        <v>0</v>
      </c>
      <c r="J12" s="22" t="n">
        <f aca="false">pilotage_actif*IF(I43&lt;flex_seuil*bud_total_besoin_S3,1,0)</f>
        <v>0</v>
      </c>
      <c r="K12" s="22" t="n">
        <f aca="false">pilotage_actif*IF(J43&lt;flex_seuil*bud_total_besoin_S3,1,0)</f>
        <v>0</v>
      </c>
      <c r="L12" s="22" t="n">
        <f aca="false">pilotage_actif*IF(K43&lt;flex_seuil*bud_total_besoin_S3,1,0)</f>
        <v>0</v>
      </c>
      <c r="M12" s="22" t="n">
        <f aca="false">pilotage_actif*IF(L43&lt;flex_seuil*bud_total_besoin_S3,1,0)</f>
        <v>0</v>
      </c>
      <c r="N12" s="22" t="n">
        <f aca="false">pilotage_actif*IF(M43&lt;flex_seuil*bud_total_besoin_S3,1,0)</f>
        <v>0</v>
      </c>
      <c r="O12" s="22" t="n">
        <f aca="false">pilotage_actif*IF(N43&lt;flex_seuil*bud_total_besoin_S3,1,0)</f>
        <v>0</v>
      </c>
      <c r="P12" s="22" t="n">
        <f aca="false">pilotage_actif*IF(O43&lt;flex_seuil*bud_total_besoin_S3,1,0)</f>
        <v>0</v>
      </c>
      <c r="Q12" s="22" t="n">
        <f aca="false">pilotage_actif*IF(P43&lt;flex_seuil*bud_total_besoin_S3,1,0)</f>
        <v>0</v>
      </c>
      <c r="R12" s="22" t="n">
        <f aca="false">pilotage_actif*IF(Q43&lt;flex_seuil*bud_total_besoin_S3,1,0)</f>
        <v>0</v>
      </c>
      <c r="S12" s="22" t="n">
        <f aca="false">pilotage_actif*IF(R43&lt;flex_seuil*bud_total_besoin_S3,1,0)</f>
        <v>0</v>
      </c>
      <c r="T12" s="22" t="n">
        <f aca="false">pilotage_actif*IF(S43&lt;flex_seuil*bud_total_besoin_S3,1,0)</f>
        <v>0</v>
      </c>
      <c r="U12" s="22" t="n">
        <f aca="false">pilotage_actif*IF(T43&lt;flex_seuil*bud_total_besoin_S3,1,0)</f>
        <v>0</v>
      </c>
      <c r="V12" s="22" t="n">
        <f aca="false">pilotage_actif*IF(U43&lt;flex_seuil*bud_total_besoin_S3,1,0)</f>
        <v>0</v>
      </c>
      <c r="W12" s="22" t="n">
        <f aca="false">pilotage_actif*IF(V43&lt;flex_seuil*bud_total_besoin_S3,1,0)</f>
        <v>0</v>
      </c>
      <c r="X12" s="22" t="n">
        <f aca="false">pilotage_actif*IF(W43&lt;flex_seuil*bud_total_besoin_S3,1,0)</f>
        <v>0</v>
      </c>
    </row>
    <row r="13" customFormat="false" ht="15" hidden="false" customHeight="false" outlineLevel="0" collapsed="false">
      <c r="A13" s="2" t="s">
        <v>1830</v>
      </c>
      <c r="B13" s="2" t="s">
        <v>1831</v>
      </c>
      <c r="C13" s="2" t="s">
        <v>1832</v>
      </c>
      <c r="E13" s="17" t="n">
        <f aca="false">bud_dont_personnel_S3*E5</f>
        <v>1115746.4775</v>
      </c>
      <c r="F13" s="17" t="n">
        <f aca="false">bud_dont_personnel_S3*F5</f>
        <v>1121325.2098875</v>
      </c>
      <c r="G13" s="17" t="n">
        <f aca="false">bud_dont_personnel_S3*G5</f>
        <v>1126931.83593694</v>
      </c>
      <c r="H13" s="17" t="n">
        <f aca="false">bud_dont_personnel_S3*H5</f>
        <v>1132566.49511662</v>
      </c>
      <c r="I13" s="17" t="n">
        <f aca="false">bud_dont_personnel_S3*I5</f>
        <v>1138229.3275922</v>
      </c>
      <c r="J13" s="17" t="n">
        <f aca="false">bud_dont_personnel_S3*J5</f>
        <v>1143920.47423017</v>
      </c>
      <c r="K13" s="17" t="n">
        <f aca="false">bud_dont_personnel_S3*K5</f>
        <v>1149640.07660132</v>
      </c>
      <c r="L13" s="17" t="n">
        <f aca="false">bud_dont_personnel_S3*L5</f>
        <v>1155388.27698432</v>
      </c>
      <c r="M13" s="17" t="n">
        <f aca="false">bud_dont_personnel_S3*M5</f>
        <v>1161165.21836924</v>
      </c>
      <c r="N13" s="17" t="n">
        <f aca="false">bud_dont_personnel_S3*N5</f>
        <v>1166971.04446109</v>
      </c>
      <c r="O13" s="17" t="n">
        <f aca="false">bud_dont_personnel_S3*O5</f>
        <v>1172805.8996834</v>
      </c>
      <c r="P13" s="17" t="n">
        <f aca="false">bud_dont_personnel_S3*P5</f>
        <v>1178669.92918181</v>
      </c>
      <c r="Q13" s="17" t="n">
        <f aca="false">bud_dont_personnel_S3*Q5</f>
        <v>1184563.27882772</v>
      </c>
      <c r="R13" s="17" t="n">
        <f aca="false">bud_dont_personnel_S3*R5</f>
        <v>1190486.09522186</v>
      </c>
      <c r="S13" s="17" t="n">
        <f aca="false">bud_dont_personnel_S3*S5</f>
        <v>1196438.52569797</v>
      </c>
      <c r="T13" s="17" t="n">
        <f aca="false">bud_dont_personnel_S3*T5</f>
        <v>1202420.71832646</v>
      </c>
      <c r="U13" s="17" t="n">
        <f aca="false">bud_dont_personnel_S3*U5</f>
        <v>1208432.82191809</v>
      </c>
      <c r="V13" s="17" t="n">
        <f aca="false">bud_dont_personnel_S3*V5</f>
        <v>1214474.98602768</v>
      </c>
      <c r="W13" s="17" t="n">
        <f aca="false">bud_dont_personnel_S3*W5</f>
        <v>1220547.36095782</v>
      </c>
      <c r="X13" s="17" t="n">
        <f aca="false">bud_dont_personnel_S3*X5</f>
        <v>1226650.09776261</v>
      </c>
    </row>
    <row r="14" customFormat="false" ht="15" hidden="false" customHeight="false" outlineLevel="0" collapsed="false">
      <c r="A14" s="2" t="s">
        <v>1833</v>
      </c>
      <c r="B14" s="2" t="s">
        <v>1834</v>
      </c>
      <c r="C14" s="2" t="s">
        <v>1832</v>
      </c>
      <c r="E14" s="17" t="n">
        <f aca="false">(bud_chauffage_S3+bud_hors_gel_S3+bud_electricite_S3)*E7*IF(AND(E$3&gt;=st_central_energie_debut,E$3&lt;=st_central_energie_fin),st_central_energie_mult,1)</f>
        <v>109395</v>
      </c>
      <c r="F14" s="17" t="n">
        <f aca="false">(bud_chauffage_S3+bud_hors_gel_S3+bud_electricite_S3)*F7*IF(AND(F$3&gt;=st_central_energie_debut,F$3&lt;=st_central_energie_fin),st_central_energie_mult,1)</f>
        <v>111582.9</v>
      </c>
      <c r="G14" s="17" t="n">
        <f aca="false">(bud_chauffage_S3+bud_hors_gel_S3+bud_electricite_S3)*G7*IF(AND(G$3&gt;=st_central_energie_debut,G$3&lt;=st_central_energie_fin),st_central_energie_mult,1)</f>
        <v>113814.558</v>
      </c>
      <c r="H14" s="17" t="n">
        <f aca="false">(bud_chauffage_S3+bud_hors_gel_S3+bud_electricite_S3)*H7*IF(AND(H$3&gt;=st_central_energie_debut,H$3&lt;=st_central_energie_fin),st_central_energie_mult,1)</f>
        <v>116090.84916</v>
      </c>
      <c r="I14" s="17" t="n">
        <f aca="false">(bud_chauffage_S3+bud_hors_gel_S3+bud_electricite_S3)*I7*IF(AND(I$3&gt;=st_central_energie_debut,I$3&lt;=st_central_energie_fin),st_central_energie_mult,1)</f>
        <v>118412.6661432</v>
      </c>
      <c r="J14" s="17" t="n">
        <f aca="false">(bud_chauffage_S3+bud_hors_gel_S3+bud_electricite_S3)*J7*IF(AND(J$3&gt;=st_central_energie_debut,J$3&lt;=st_central_energie_fin),st_central_energie_mult,1)</f>
        <v>120780.919466064</v>
      </c>
      <c r="K14" s="17" t="n">
        <f aca="false">(bud_chauffage_S3+bud_hors_gel_S3+bud_electricite_S3)*K7*IF(AND(K$3&gt;=st_central_energie_debut,K$3&lt;=st_central_energie_fin),st_central_energie_mult,1)</f>
        <v>123196.537855385</v>
      </c>
      <c r="L14" s="17" t="n">
        <f aca="false">(bud_chauffage_S3+bud_hors_gel_S3+bud_electricite_S3)*L7*IF(AND(L$3&gt;=st_central_energie_debut,L$3&lt;=st_central_energie_fin),st_central_energie_mult,1)</f>
        <v>125660.468612493</v>
      </c>
      <c r="M14" s="17" t="n">
        <f aca="false">(bud_chauffage_S3+bud_hors_gel_S3+bud_electricite_S3)*M7*IF(AND(M$3&gt;=st_central_energie_debut,M$3&lt;=st_central_energie_fin),st_central_energie_mult,1)</f>
        <v>128173.677984743</v>
      </c>
      <c r="N14" s="17" t="n">
        <f aca="false">(bud_chauffage_S3+bud_hors_gel_S3+bud_electricite_S3)*N7*IF(AND(N$3&gt;=st_central_energie_debut,N$3&lt;=st_central_energie_fin),st_central_energie_mult,1)</f>
        <v>130737.151544438</v>
      </c>
      <c r="O14" s="17" t="n">
        <f aca="false">(bud_chauffage_S3+bud_hors_gel_S3+bud_electricite_S3)*O7*IF(AND(O$3&gt;=st_central_energie_debut,O$3&lt;=st_central_energie_fin),st_central_energie_mult,1)</f>
        <v>133351.894575326</v>
      </c>
      <c r="P14" s="17" t="n">
        <f aca="false">(bud_chauffage_S3+bud_hors_gel_S3+bud_electricite_S3)*P7*IF(AND(P$3&gt;=st_central_energie_debut,P$3&lt;=st_central_energie_fin),st_central_energie_mult,1)</f>
        <v>136018.932466833</v>
      </c>
      <c r="Q14" s="17" t="n">
        <f aca="false">(bud_chauffage_S3+bud_hors_gel_S3+bud_electricite_S3)*Q7*IF(AND(Q$3&gt;=st_central_energie_debut,Q$3&lt;=st_central_energie_fin),st_central_energie_mult,1)</f>
        <v>138739.31111617</v>
      </c>
      <c r="R14" s="17" t="n">
        <f aca="false">(bud_chauffage_S3+bud_hors_gel_S3+bud_electricite_S3)*R7*IF(AND(R$3&gt;=st_central_energie_debut,R$3&lt;=st_central_energie_fin),st_central_energie_mult,1)</f>
        <v>141514.097338493</v>
      </c>
      <c r="S14" s="17" t="n">
        <f aca="false">(bud_chauffage_S3+bud_hors_gel_S3+bud_electricite_S3)*S7*IF(AND(S$3&gt;=st_central_energie_debut,S$3&lt;=st_central_energie_fin),st_central_energie_mult,1)</f>
        <v>144344.379285263</v>
      </c>
      <c r="T14" s="17" t="n">
        <f aca="false">(bud_chauffage_S3+bud_hors_gel_S3+bud_electricite_S3)*T7*IF(AND(T$3&gt;=st_central_energie_debut,T$3&lt;=st_central_energie_fin),st_central_energie_mult,1)</f>
        <v>147231.266870968</v>
      </c>
      <c r="U14" s="17" t="n">
        <f aca="false">(bud_chauffage_S3+bud_hors_gel_S3+bud_electricite_S3)*U7*IF(AND(U$3&gt;=st_central_energie_debut,U$3&lt;=st_central_energie_fin),st_central_energie_mult,1)</f>
        <v>150175.892208388</v>
      </c>
      <c r="V14" s="17" t="n">
        <f aca="false">(bud_chauffage_S3+bud_hors_gel_S3+bud_electricite_S3)*V7*IF(AND(V$3&gt;=st_central_energie_debut,V$3&lt;=st_central_energie_fin),st_central_energie_mult,1)</f>
        <v>153179.410052555</v>
      </c>
      <c r="W14" s="17" t="n">
        <f aca="false">(bud_chauffage_S3+bud_hors_gel_S3+bud_electricite_S3)*W7*IF(AND(W$3&gt;=st_central_energie_debut,W$3&lt;=st_central_energie_fin),st_central_energie_mult,1)</f>
        <v>156242.998253606</v>
      </c>
      <c r="X14" s="17" t="n">
        <f aca="false">(bud_chauffage_S3+bud_hors_gel_S3+bud_electricite_S3)*X7*IF(AND(X$3&gt;=st_central_energie_debut,X$3&lt;=st_central_energie_fin),st_central_energie_mult,1)</f>
        <v>159367.858218679</v>
      </c>
    </row>
    <row r="15" customFormat="false" ht="15" hidden="false" customHeight="false" outlineLevel="0" collapsed="false">
      <c r="A15" s="2" t="s">
        <v>1835</v>
      </c>
      <c r="B15" s="2" t="s">
        <v>1836</v>
      </c>
      <c r="C15" s="2" t="s">
        <v>1832</v>
      </c>
      <c r="E15" s="17" t="n">
        <f aca="false">(bud_assurance_bati_S3+bud_assurance_autres_S3)*E8</f>
        <v>159395.25</v>
      </c>
      <c r="F15" s="17" t="n">
        <f aca="false">(bud_assurance_bati_S3+bud_assurance_autres_S3)*F8</f>
        <v>162344.062125</v>
      </c>
      <c r="G15" s="17" t="n">
        <f aca="false">(bud_assurance_bati_S3+bud_assurance_autres_S3)*G8</f>
        <v>165347.427274313</v>
      </c>
      <c r="H15" s="17" t="n">
        <f aca="false">(bud_assurance_bati_S3+bud_assurance_autres_S3)*H8</f>
        <v>168406.354678887</v>
      </c>
      <c r="I15" s="17" t="n">
        <f aca="false">(bud_assurance_bati_S3+bud_assurance_autres_S3)*I8</f>
        <v>171521.872240447</v>
      </c>
      <c r="J15" s="17" t="n">
        <f aca="false">(bud_assurance_bati_S3+bud_assurance_autres_S3)*J8</f>
        <v>174695.026876895</v>
      </c>
      <c r="K15" s="17" t="n">
        <f aca="false">(bud_assurance_bati_S3+bud_assurance_autres_S3)*K8</f>
        <v>177926.884874117</v>
      </c>
      <c r="L15" s="17" t="n">
        <f aca="false">(bud_assurance_bati_S3+bud_assurance_autres_S3)*L8</f>
        <v>181218.532244289</v>
      </c>
      <c r="M15" s="17" t="n">
        <f aca="false">(bud_assurance_bati_S3+bud_assurance_autres_S3)*M8</f>
        <v>184571.075090808</v>
      </c>
      <c r="N15" s="17" t="n">
        <f aca="false">(bud_assurance_bati_S3+bud_assurance_autres_S3)*N8</f>
        <v>187985.639979988</v>
      </c>
      <c r="O15" s="17" t="n">
        <f aca="false">(bud_assurance_bati_S3+bud_assurance_autres_S3)*O8</f>
        <v>191463.374319618</v>
      </c>
      <c r="P15" s="17" t="n">
        <f aca="false">(bud_assurance_bati_S3+bud_assurance_autres_S3)*P8</f>
        <v>195005.446744531</v>
      </c>
      <c r="Q15" s="17" t="n">
        <f aca="false">(bud_assurance_bati_S3+bud_assurance_autres_S3)*Q8</f>
        <v>198613.047509304</v>
      </c>
      <c r="R15" s="17" t="n">
        <f aca="false">(bud_assurance_bati_S3+bud_assurance_autres_S3)*R8</f>
        <v>202287.388888227</v>
      </c>
      <c r="S15" s="17" t="n">
        <f aca="false">(bud_assurance_bati_S3+bud_assurance_autres_S3)*S8</f>
        <v>206029.705582659</v>
      </c>
      <c r="T15" s="17" t="n">
        <f aca="false">(bud_assurance_bati_S3+bud_assurance_autres_S3)*T8</f>
        <v>209841.255135938</v>
      </c>
      <c r="U15" s="17" t="n">
        <f aca="false">(bud_assurance_bati_S3+bud_assurance_autres_S3)*U8</f>
        <v>213723.318355953</v>
      </c>
      <c r="V15" s="17" t="n">
        <f aca="false">(bud_assurance_bati_S3+bud_assurance_autres_S3)*V8</f>
        <v>217677.199745538</v>
      </c>
      <c r="W15" s="17" t="n">
        <f aca="false">(bud_assurance_bati_S3+bud_assurance_autres_S3)*W8</f>
        <v>221704.22794083</v>
      </c>
      <c r="X15" s="17" t="n">
        <f aca="false">(bud_assurance_bati_S3+bud_assurance_autres_S3)*X8</f>
        <v>225805.756157736</v>
      </c>
    </row>
    <row r="16" customFormat="false" ht="15" hidden="false" customHeight="false" outlineLevel="0" collapsed="false">
      <c r="A16" s="2" t="s">
        <v>1837</v>
      </c>
      <c r="B16" s="2" t="s">
        <v>1838</v>
      </c>
      <c r="C16" s="2" t="s">
        <v>1832</v>
      </c>
      <c r="E16" s="17" t="n">
        <f aca="false">bud_total_besoin_S3-bud_dont_personnel_S3-bud_bati_ge_S3-bud_imprevus_travaux_S3-bud_chauffage_S3-bud_hors_gel_S3-bud_electricite_S3-bud_assurance_bati_S3-bud_assurance_autres_S3</f>
        <v>1091640.985</v>
      </c>
      <c r="F16" s="17" t="n">
        <f aca="false">bud_total_besoin_S3-bud_dont_personnel_S3-bud_bati_ge_S3-bud_imprevus_travaux_S3-bud_chauffage_S3-bud_hors_gel_S3-bud_electricite_S3-bud_assurance_bati_S3-bud_assurance_autres_S3</f>
        <v>1091640.985</v>
      </c>
      <c r="G16" s="17" t="n">
        <f aca="false">bud_total_besoin_S3-bud_dont_personnel_S3-bud_bati_ge_S3-bud_imprevus_travaux_S3-bud_chauffage_S3-bud_hors_gel_S3-bud_electricite_S3-bud_assurance_bati_S3-bud_assurance_autres_S3</f>
        <v>1091640.985</v>
      </c>
      <c r="H16" s="17" t="n">
        <f aca="false">bud_total_besoin_S3-bud_dont_personnel_S3-bud_bati_ge_S3-bud_imprevus_travaux_S3-bud_chauffage_S3-bud_hors_gel_S3-bud_electricite_S3-bud_assurance_bati_S3-bud_assurance_autres_S3</f>
        <v>1091640.985</v>
      </c>
      <c r="I16" s="17" t="n">
        <f aca="false">bud_total_besoin_S3-bud_dont_personnel_S3-bud_bati_ge_S3-bud_imprevus_travaux_S3-bud_chauffage_S3-bud_hors_gel_S3-bud_electricite_S3-bud_assurance_bati_S3-bud_assurance_autres_S3</f>
        <v>1091640.985</v>
      </c>
      <c r="J16" s="17" t="n">
        <f aca="false">bud_total_besoin_S3-bud_dont_personnel_S3-bud_bati_ge_S3-bud_imprevus_travaux_S3-bud_chauffage_S3-bud_hors_gel_S3-bud_electricite_S3-bud_assurance_bati_S3-bud_assurance_autres_S3</f>
        <v>1091640.985</v>
      </c>
      <c r="K16" s="17" t="n">
        <f aca="false">bud_total_besoin_S3-bud_dont_personnel_S3-bud_bati_ge_S3-bud_imprevus_travaux_S3-bud_chauffage_S3-bud_hors_gel_S3-bud_electricite_S3-bud_assurance_bati_S3-bud_assurance_autres_S3</f>
        <v>1091640.985</v>
      </c>
      <c r="L16" s="17" t="n">
        <f aca="false">bud_total_besoin_S3-bud_dont_personnel_S3-bud_bati_ge_S3-bud_imprevus_travaux_S3-bud_chauffage_S3-bud_hors_gel_S3-bud_electricite_S3-bud_assurance_bati_S3-bud_assurance_autres_S3</f>
        <v>1091640.985</v>
      </c>
      <c r="M16" s="17" t="n">
        <f aca="false">bud_total_besoin_S3-bud_dont_personnel_S3-bud_bati_ge_S3-bud_imprevus_travaux_S3-bud_chauffage_S3-bud_hors_gel_S3-bud_electricite_S3-bud_assurance_bati_S3-bud_assurance_autres_S3</f>
        <v>1091640.985</v>
      </c>
      <c r="N16" s="17" t="n">
        <f aca="false">bud_total_besoin_S3-bud_dont_personnel_S3-bud_bati_ge_S3-bud_imprevus_travaux_S3-bud_chauffage_S3-bud_hors_gel_S3-bud_electricite_S3-bud_assurance_bati_S3-bud_assurance_autres_S3</f>
        <v>1091640.985</v>
      </c>
      <c r="O16" s="17" t="n">
        <f aca="false">bud_total_besoin_S3-bud_dont_personnel_S3-bud_bati_ge_S3-bud_imprevus_travaux_S3-bud_chauffage_S3-bud_hors_gel_S3-bud_electricite_S3-bud_assurance_bati_S3-bud_assurance_autres_S3</f>
        <v>1091640.985</v>
      </c>
      <c r="P16" s="17" t="n">
        <f aca="false">bud_total_besoin_S3-bud_dont_personnel_S3-bud_bati_ge_S3-bud_imprevus_travaux_S3-bud_chauffage_S3-bud_hors_gel_S3-bud_electricite_S3-bud_assurance_bati_S3-bud_assurance_autres_S3</f>
        <v>1091640.985</v>
      </c>
      <c r="Q16" s="17" t="n">
        <f aca="false">bud_total_besoin_S3-bud_dont_personnel_S3-bud_bati_ge_S3-bud_imprevus_travaux_S3-bud_chauffage_S3-bud_hors_gel_S3-bud_electricite_S3-bud_assurance_bati_S3-bud_assurance_autres_S3</f>
        <v>1091640.985</v>
      </c>
      <c r="R16" s="17" t="n">
        <f aca="false">bud_total_besoin_S3-bud_dont_personnel_S3-bud_bati_ge_S3-bud_imprevus_travaux_S3-bud_chauffage_S3-bud_hors_gel_S3-bud_electricite_S3-bud_assurance_bati_S3-bud_assurance_autres_S3</f>
        <v>1091640.985</v>
      </c>
      <c r="S16" s="17" t="n">
        <f aca="false">bud_total_besoin_S3-bud_dont_personnel_S3-bud_bati_ge_S3-bud_imprevus_travaux_S3-bud_chauffage_S3-bud_hors_gel_S3-bud_electricite_S3-bud_assurance_bati_S3-bud_assurance_autres_S3</f>
        <v>1091640.985</v>
      </c>
      <c r="T16" s="17" t="n">
        <f aca="false">bud_total_besoin_S3-bud_dont_personnel_S3-bud_bati_ge_S3-bud_imprevus_travaux_S3-bud_chauffage_S3-bud_hors_gel_S3-bud_electricite_S3-bud_assurance_bati_S3-bud_assurance_autres_S3</f>
        <v>1091640.985</v>
      </c>
      <c r="U16" s="17" t="n">
        <f aca="false">bud_total_besoin_S3-bud_dont_personnel_S3-bud_bati_ge_S3-bud_imprevus_travaux_S3-bud_chauffage_S3-bud_hors_gel_S3-bud_electricite_S3-bud_assurance_bati_S3-bud_assurance_autres_S3</f>
        <v>1091640.985</v>
      </c>
      <c r="V16" s="17" t="n">
        <f aca="false">bud_total_besoin_S3-bud_dont_personnel_S3-bud_bati_ge_S3-bud_imprevus_travaux_S3-bud_chauffage_S3-bud_hors_gel_S3-bud_electricite_S3-bud_assurance_bati_S3-bud_assurance_autres_S3</f>
        <v>1091640.985</v>
      </c>
      <c r="W16" s="17" t="n">
        <f aca="false">bud_total_besoin_S3-bud_dont_personnel_S3-bud_bati_ge_S3-bud_imprevus_travaux_S3-bud_chauffage_S3-bud_hors_gel_S3-bud_electricite_S3-bud_assurance_bati_S3-bud_assurance_autres_S3</f>
        <v>1091640.985</v>
      </c>
      <c r="X16" s="17" t="n">
        <f aca="false">bud_total_besoin_S3-bud_dont_personnel_S3-bud_bati_ge_S3-bud_imprevus_travaux_S3-bud_chauffage_S3-bud_hors_gel_S3-bud_electricite_S3-bud_assurance_bati_S3-bud_assurance_autres_S3</f>
        <v>1091640.985</v>
      </c>
    </row>
    <row r="17" customFormat="false" ht="15" hidden="false" customHeight="false" outlineLevel="0" collapsed="false">
      <c r="A17" s="2" t="s">
        <v>1839</v>
      </c>
      <c r="B17" s="2" t="s">
        <v>1840</v>
      </c>
      <c r="C17" s="2" t="s">
        <v>1832</v>
      </c>
      <c r="E17" s="17" t="n">
        <f aca="false">(bud_bati_ge_S3+bud_imprevus_travaux_S3)*E6</f>
        <v>1186142.34375</v>
      </c>
      <c r="F17" s="17" t="n">
        <f aca="false">(bud_bati_ge_S3+bud_imprevus_travaux_S3)*F6</f>
        <v>1195038.41132813</v>
      </c>
      <c r="G17" s="17" t="n">
        <f aca="false">(bud_bati_ge_S3+bud_imprevus_travaux_S3)*G6</f>
        <v>1204001.19941309</v>
      </c>
      <c r="H17" s="17" t="n">
        <f aca="false">(bud_bati_ge_S3+bud_imprevus_travaux_S3)*H6</f>
        <v>1213031.20840868</v>
      </c>
      <c r="I17" s="17" t="n">
        <f aca="false">(bud_bati_ge_S3+bud_imprevus_travaux_S3)*I6</f>
        <v>1222128.94247175</v>
      </c>
      <c r="J17" s="17" t="n">
        <f aca="false">(bud_bati_ge_S3+bud_imprevus_travaux_S3)*J6</f>
        <v>1231294.90954029</v>
      </c>
      <c r="K17" s="17" t="n">
        <f aca="false">(bud_bati_ge_S3+bud_imprevus_travaux_S3)*K6</f>
        <v>1240529.62136184</v>
      </c>
      <c r="L17" s="17" t="n">
        <f aca="false">(bud_bati_ge_S3+bud_imprevus_travaux_S3)*L6</f>
        <v>1249833.59352205</v>
      </c>
      <c r="M17" s="17" t="n">
        <f aca="false">(bud_bati_ge_S3+bud_imprevus_travaux_S3)*M6</f>
        <v>1259207.34547347</v>
      </c>
      <c r="N17" s="17" t="n">
        <f aca="false">(bud_bati_ge_S3+bud_imprevus_travaux_S3)*N6</f>
        <v>1268651.40056452</v>
      </c>
      <c r="O17" s="17" t="n">
        <f aca="false">(bud_bati_ge_S3+bud_imprevus_travaux_S3)*O6</f>
        <v>1278166.28606875</v>
      </c>
      <c r="P17" s="17" t="n">
        <f aca="false">(bud_bati_ge_S3+bud_imprevus_travaux_S3)*P6</f>
        <v>1287752.53321427</v>
      </c>
      <c r="Q17" s="17" t="n">
        <f aca="false">(bud_bati_ge_S3+bud_imprevus_travaux_S3)*Q6</f>
        <v>1297410.67721338</v>
      </c>
      <c r="R17" s="17" t="n">
        <f aca="false">(bud_bati_ge_S3+bud_imprevus_travaux_S3)*R6</f>
        <v>1307141.25729248</v>
      </c>
      <c r="S17" s="17" t="n">
        <f aca="false">(bud_bati_ge_S3+bud_imprevus_travaux_S3)*S6</f>
        <v>1316944.81672217</v>
      </c>
      <c r="T17" s="17" t="n">
        <f aca="false">(bud_bati_ge_S3+bud_imprevus_travaux_S3)*T6</f>
        <v>1326821.90284759</v>
      </c>
      <c r="U17" s="17" t="n">
        <f aca="false">(bud_bati_ge_S3+bud_imprevus_travaux_S3)*U6</f>
        <v>1336773.06711895</v>
      </c>
      <c r="V17" s="17" t="n">
        <f aca="false">(bud_bati_ge_S3+bud_imprevus_travaux_S3)*V6</f>
        <v>1346798.86512234</v>
      </c>
      <c r="W17" s="17" t="n">
        <f aca="false">(bud_bati_ge_S3+bud_imprevus_travaux_S3)*W6</f>
        <v>1356899.85661075</v>
      </c>
      <c r="X17" s="17" t="n">
        <f aca="false">(bud_bati_ge_S3+bud_imprevus_travaux_S3)*X6</f>
        <v>1367076.60553534</v>
      </c>
    </row>
    <row r="18" customFormat="false" ht="15" hidden="false" customHeight="false" outlineLevel="0" collapsed="false">
      <c r="A18" s="2" t="s">
        <v>1841</v>
      </c>
      <c r="B18" s="18" t="s">
        <v>1842</v>
      </c>
      <c r="C18" s="2" t="s">
        <v>1832</v>
      </c>
      <c r="E18" s="23" t="n">
        <f aca="false">E13+E14+E15+E16+E17</f>
        <v>3662320.05625</v>
      </c>
      <c r="F18" s="23" t="n">
        <f aca="false">F13+F14+F15+F16+F17</f>
        <v>3681931.56834062</v>
      </c>
      <c r="G18" s="23" t="n">
        <f aca="false">G13+G14+G15+G16+G17</f>
        <v>3701736.00562434</v>
      </c>
      <c r="H18" s="23" t="n">
        <f aca="false">H13+H14+H15+H16+H17</f>
        <v>3721735.89236419</v>
      </c>
      <c r="I18" s="23" t="n">
        <f aca="false">I13+I14+I15+I16+I17</f>
        <v>3741933.7934476</v>
      </c>
      <c r="J18" s="23" t="n">
        <f aca="false">J13+J14+J15+J16+J17</f>
        <v>3762332.31511341</v>
      </c>
      <c r="K18" s="23" t="n">
        <f aca="false">K13+K14+K15+K16+K17</f>
        <v>3782934.10569266</v>
      </c>
      <c r="L18" s="23" t="n">
        <f aca="false">L13+L14+L15+L16+L17</f>
        <v>3803741.85636316</v>
      </c>
      <c r="M18" s="23" t="n">
        <f aca="false">M13+M14+M15+M16+M17</f>
        <v>3824758.30191826</v>
      </c>
      <c r="N18" s="23" t="n">
        <f aca="false">N13+N14+N15+N16+N17</f>
        <v>3845986.22155004</v>
      </c>
      <c r="O18" s="23" t="n">
        <f aca="false">O13+O14+O15+O16+O17</f>
        <v>3867428.43964709</v>
      </c>
      <c r="P18" s="23" t="n">
        <f aca="false">P13+P14+P15+P16+P17</f>
        <v>3889087.82660745</v>
      </c>
      <c r="Q18" s="23" t="n">
        <f aca="false">Q13+Q14+Q15+Q16+Q17</f>
        <v>3910967.29966657</v>
      </c>
      <c r="R18" s="23" t="n">
        <f aca="false">R13+R14+R15+R16+R17</f>
        <v>3933069.82374106</v>
      </c>
      <c r="S18" s="23" t="n">
        <f aca="false">S13+S14+S15+S16+S17</f>
        <v>3955398.41228806</v>
      </c>
      <c r="T18" s="23" t="n">
        <f aca="false">T13+T14+T15+T16+T17</f>
        <v>3977956.12818095</v>
      </c>
      <c r="U18" s="23" t="n">
        <f aca="false">U13+U14+U15+U16+U17</f>
        <v>4000746.08460138</v>
      </c>
      <c r="V18" s="23" t="n">
        <f aca="false">V13+V14+V15+V16+V17</f>
        <v>4023771.44594811</v>
      </c>
      <c r="W18" s="23" t="n">
        <f aca="false">W13+W14+W15+W16+W17</f>
        <v>4047035.42876301</v>
      </c>
      <c r="X18" s="23" t="n">
        <f aca="false">X13+X14+X15+X16+X17</f>
        <v>4070541.30267436</v>
      </c>
    </row>
    <row r="19" customFormat="false" ht="15" hidden="false" customHeight="false" outlineLevel="0" collapsed="false">
      <c r="A19" s="2" t="s">
        <v>1843</v>
      </c>
      <c r="B19" s="2" t="s">
        <v>1844</v>
      </c>
      <c r="C19" s="2" t="s">
        <v>1832</v>
      </c>
      <c r="E19" s="17" t="n">
        <f aca="false">IF(MOD(E$3,campagne_periode)=0,(D22+E17)*st_central_mult_campagne*(1-E12*flex_report),0)</f>
        <v>0</v>
      </c>
      <c r="F19" s="17" t="n">
        <f aca="false">IF(MOD(F$3,campagne_periode)=0,(E22+F17)*st_central_mult_campagne*(1-F12*flex_report),0)</f>
        <v>0</v>
      </c>
      <c r="G19" s="17" t="n">
        <f aca="false">IF(MOD(G$3,campagne_periode)=0,(F22+G17)*st_central_mult_campagne*(1-G12*flex_report),0)</f>
        <v>0</v>
      </c>
      <c r="H19" s="17" t="n">
        <f aca="false">IF(MOD(H$3,campagne_periode)=0,(G22+H17)*st_central_mult_campagne*(1-H12*flex_report),0)</f>
        <v>4798213.1628999</v>
      </c>
      <c r="I19" s="17" t="n">
        <f aca="false">IF(MOD(I$3,campagne_periode)=0,(H22+I17)*st_central_mult_campagne*(1-I12*flex_report),0)</f>
        <v>0</v>
      </c>
      <c r="J19" s="17" t="n">
        <f aca="false">IF(MOD(J$3,campagne_periode)=0,(I22+J17)*st_central_mult_campagne*(1-J12*flex_report),0)</f>
        <v>0</v>
      </c>
      <c r="K19" s="17" t="n">
        <f aca="false">IF(MOD(K$3,campagne_periode)=0,(J22+K17)*st_central_mult_campagne*(1-K12*flex_report),0)</f>
        <v>0</v>
      </c>
      <c r="L19" s="17" t="n">
        <f aca="false">IF(MOD(L$3,campagne_periode)=0,(K22+L17)*st_central_mult_campagne*(1-L12*flex_report),0)</f>
        <v>4943787.06689593</v>
      </c>
      <c r="M19" s="17" t="n">
        <f aca="false">IF(MOD(M$3,campagne_periode)=0,(L22+M17)*st_central_mult_campagne*(1-M12*flex_report),0)</f>
        <v>0</v>
      </c>
      <c r="N19" s="17" t="n">
        <f aca="false">IF(MOD(N$3,campagne_periode)=0,(M22+N17)*st_central_mult_campagne*(1-N12*flex_report),0)</f>
        <v>0</v>
      </c>
      <c r="O19" s="17" t="n">
        <f aca="false">IF(MOD(O$3,campagne_periode)=0,(N22+O17)*st_central_mult_campagne*(1-O12*flex_report),0)</f>
        <v>0</v>
      </c>
      <c r="P19" s="17" t="n">
        <f aca="false">IF(MOD(P$3,campagne_periode)=0,(O22+P17)*st_central_mult_campagne*(1-P12*flex_report),0)</f>
        <v>5093777.56532101</v>
      </c>
      <c r="Q19" s="17" t="n">
        <f aca="false">IF(MOD(Q$3,campagne_periode)=0,(P22+Q17)*st_central_mult_campagne*(1-Q12*flex_report),0)</f>
        <v>0</v>
      </c>
      <c r="R19" s="17" t="n">
        <f aca="false">IF(MOD(R$3,campagne_periode)=0,(Q22+R17)*st_central_mult_campagne*(1-R12*flex_report),0)</f>
        <v>0</v>
      </c>
      <c r="S19" s="17" t="n">
        <f aca="false">IF(MOD(S$3,campagne_periode)=0,(R22+S17)*st_central_mult_campagne*(1-S12*flex_report),0)</f>
        <v>0</v>
      </c>
      <c r="T19" s="17" t="n">
        <f aca="false">IF(MOD(T$3,campagne_periode)=0,(S22+T17)*st_central_mult_campagne*(1-T12*flex_report),0)</f>
        <v>5248318.65407562</v>
      </c>
      <c r="U19" s="17" t="n">
        <f aca="false">IF(MOD(U$3,campagne_periode)=0,(T22+U17)*st_central_mult_campagne*(1-U12*flex_report),0)</f>
        <v>0</v>
      </c>
      <c r="V19" s="17" t="n">
        <f aca="false">IF(MOD(V$3,campagne_periode)=0,(U22+V17)*st_central_mult_campagne*(1-V12*flex_report),0)</f>
        <v>0</v>
      </c>
      <c r="W19" s="17" t="n">
        <f aca="false">IF(MOD(W$3,campagne_periode)=0,(V22+W17)*st_central_mult_campagne*(1-W12*flex_report),0)</f>
        <v>0</v>
      </c>
      <c r="X19" s="17" t="n">
        <f aca="false">IF(MOD(X$3,campagne_periode)=0,(W22+X17)*st_central_mult_campagne*(1-X12*flex_report),0)</f>
        <v>5407548.39438737</v>
      </c>
    </row>
    <row r="20" customFormat="false" ht="15" hidden="false" customHeight="false" outlineLevel="0" collapsed="false">
      <c r="A20" s="2" t="s">
        <v>1845</v>
      </c>
      <c r="B20" s="2" t="s">
        <v>1846</v>
      </c>
      <c r="C20" s="2" t="s">
        <v>1832</v>
      </c>
      <c r="E20" s="17" t="n">
        <f aca="false">IF(E$3=st_central_choc_trav_an,st_central_choc_trav_montant,0)</f>
        <v>0</v>
      </c>
      <c r="F20" s="17" t="n">
        <f aca="false">IF(F$3=st_central_choc_trav_an,st_central_choc_trav_montant,0)</f>
        <v>0</v>
      </c>
      <c r="G20" s="17" t="n">
        <f aca="false">IF(G$3=st_central_choc_trav_an,st_central_choc_trav_montant,0)</f>
        <v>0</v>
      </c>
      <c r="H20" s="17" t="n">
        <f aca="false">IF(H$3=st_central_choc_trav_an,st_central_choc_trav_montant,0)</f>
        <v>0</v>
      </c>
      <c r="I20" s="17" t="n">
        <f aca="false">IF(I$3=st_central_choc_trav_an,st_central_choc_trav_montant,0)</f>
        <v>0</v>
      </c>
      <c r="J20" s="17" t="n">
        <f aca="false">IF(J$3=st_central_choc_trav_an,st_central_choc_trav_montant,0)</f>
        <v>0</v>
      </c>
      <c r="K20" s="17" t="n">
        <f aca="false">IF(K$3=st_central_choc_trav_an,st_central_choc_trav_montant,0)</f>
        <v>0</v>
      </c>
      <c r="L20" s="17" t="n">
        <f aca="false">IF(L$3=st_central_choc_trav_an,st_central_choc_trav_montant,0)</f>
        <v>0</v>
      </c>
      <c r="M20" s="17" t="n">
        <f aca="false">IF(M$3=st_central_choc_trav_an,st_central_choc_trav_montant,0)</f>
        <v>0</v>
      </c>
      <c r="N20" s="17" t="n">
        <f aca="false">IF(N$3=st_central_choc_trav_an,st_central_choc_trav_montant,0)</f>
        <v>0</v>
      </c>
      <c r="O20" s="17" t="n">
        <f aca="false">IF(O$3=st_central_choc_trav_an,st_central_choc_trav_montant,0)</f>
        <v>0</v>
      </c>
      <c r="P20" s="17" t="n">
        <f aca="false">IF(P$3=st_central_choc_trav_an,st_central_choc_trav_montant,0)</f>
        <v>0</v>
      </c>
      <c r="Q20" s="17" t="n">
        <f aca="false">IF(Q$3=st_central_choc_trav_an,st_central_choc_trav_montant,0)</f>
        <v>0</v>
      </c>
      <c r="R20" s="17" t="n">
        <f aca="false">IF(R$3=st_central_choc_trav_an,st_central_choc_trav_montant,0)</f>
        <v>0</v>
      </c>
      <c r="S20" s="17" t="n">
        <f aca="false">IF(S$3=st_central_choc_trav_an,st_central_choc_trav_montant,0)</f>
        <v>0</v>
      </c>
      <c r="T20" s="17" t="n">
        <f aca="false">IF(T$3=st_central_choc_trav_an,st_central_choc_trav_montant,0)</f>
        <v>0</v>
      </c>
      <c r="U20" s="17" t="n">
        <f aca="false">IF(U$3=st_central_choc_trav_an,st_central_choc_trav_montant,0)</f>
        <v>0</v>
      </c>
      <c r="V20" s="17" t="n">
        <f aca="false">IF(V$3=st_central_choc_trav_an,st_central_choc_trav_montant,0)</f>
        <v>0</v>
      </c>
      <c r="W20" s="17" t="n">
        <f aca="false">IF(W$3=st_central_choc_trav_an,st_central_choc_trav_montant,0)</f>
        <v>0</v>
      </c>
      <c r="X20" s="17" t="n">
        <f aca="false">IF(X$3=st_central_choc_trav_an,st_central_choc_trav_montant,0)</f>
        <v>0</v>
      </c>
    </row>
    <row r="21" customFormat="false" ht="15" hidden="false" customHeight="false" outlineLevel="0" collapsed="false">
      <c r="A21" s="2" t="s">
        <v>1847</v>
      </c>
      <c r="B21" s="2" t="s">
        <v>1848</v>
      </c>
      <c r="C21" s="2" t="s">
        <v>1832</v>
      </c>
      <c r="E21" s="17" t="n">
        <f aca="false">MAX(0,E19+E20-D22-E17)</f>
        <v>0</v>
      </c>
      <c r="F21" s="17" t="n">
        <f aca="false">MAX(0,F19+F20-E22-F17)</f>
        <v>0</v>
      </c>
      <c r="G21" s="17" t="n">
        <f aca="false">MAX(0,G19+G20-F22-G17)</f>
        <v>0</v>
      </c>
      <c r="H21" s="17" t="n">
        <f aca="false">MAX(0,H19+H20-G22-H17)</f>
        <v>0</v>
      </c>
      <c r="I21" s="17" t="n">
        <f aca="false">MAX(0,I19+I20-H22-I17)</f>
        <v>0</v>
      </c>
      <c r="J21" s="17" t="n">
        <f aca="false">MAX(0,J19+J20-I22-J17)</f>
        <v>0</v>
      </c>
      <c r="K21" s="17" t="n">
        <f aca="false">MAX(0,K19+K20-J22-K17)</f>
        <v>0</v>
      </c>
      <c r="L21" s="17" t="n">
        <f aca="false">MAX(0,L19+L20-K22-L17)</f>
        <v>0</v>
      </c>
      <c r="M21" s="17" t="n">
        <f aca="false">MAX(0,M19+M20-L22-M17)</f>
        <v>0</v>
      </c>
      <c r="N21" s="17" t="n">
        <f aca="false">MAX(0,N19+N20-M22-N17)</f>
        <v>0</v>
      </c>
      <c r="O21" s="17" t="n">
        <f aca="false">MAX(0,O19+O20-N22-O17)</f>
        <v>0</v>
      </c>
      <c r="P21" s="17" t="n">
        <f aca="false">MAX(0,P19+P20-O22-P17)</f>
        <v>0</v>
      </c>
      <c r="Q21" s="17" t="n">
        <f aca="false">MAX(0,Q19+Q20-P22-Q17)</f>
        <v>0</v>
      </c>
      <c r="R21" s="17" t="n">
        <f aca="false">MAX(0,R19+R20-Q22-R17)</f>
        <v>0</v>
      </c>
      <c r="S21" s="17" t="n">
        <f aca="false">MAX(0,S19+S20-R22-S17)</f>
        <v>0</v>
      </c>
      <c r="T21" s="17" t="n">
        <f aca="false">MAX(0,T19+T20-S22-T17)</f>
        <v>0</v>
      </c>
      <c r="U21" s="17" t="n">
        <f aca="false">MAX(0,U19+U20-T22-U17)</f>
        <v>0</v>
      </c>
      <c r="V21" s="17" t="n">
        <f aca="false">MAX(0,V19+V20-U22-V17)</f>
        <v>0</v>
      </c>
      <c r="W21" s="17" t="n">
        <f aca="false">MAX(0,W19+W20-V22-W17)</f>
        <v>0</v>
      </c>
      <c r="X21" s="17" t="n">
        <f aca="false">MAX(0,X19+X20-W22-X17)</f>
        <v>0</v>
      </c>
    </row>
    <row r="22" customFormat="false" ht="15" hidden="false" customHeight="false" outlineLevel="0" collapsed="false">
      <c r="A22" s="2" t="s">
        <v>1849</v>
      </c>
      <c r="B22" s="2" t="s">
        <v>1850</v>
      </c>
      <c r="C22" s="2" t="s">
        <v>1832</v>
      </c>
      <c r="D22" s="17" t="n">
        <f aca="false">0</f>
        <v>0</v>
      </c>
      <c r="E22" s="17" t="n">
        <f aca="false">MAX(0,D22+E17-E19-E20)</f>
        <v>1186142.34375</v>
      </c>
      <c r="F22" s="17" t="n">
        <f aca="false">MAX(0,E22+F17-F19-F20)</f>
        <v>2381180.75507813</v>
      </c>
      <c r="G22" s="17" t="n">
        <f aca="false">MAX(0,F22+G17-G19-G20)</f>
        <v>3585181.95449121</v>
      </c>
      <c r="H22" s="17" t="n">
        <f aca="false">MAX(0,G22+H17-H19-H20)</f>
        <v>0</v>
      </c>
      <c r="I22" s="17" t="n">
        <f aca="false">MAX(0,H22+I17-I19-I20)</f>
        <v>1222128.94247175</v>
      </c>
      <c r="J22" s="17" t="n">
        <f aca="false">MAX(0,I22+J17-J19-J20)</f>
        <v>2453423.85201204</v>
      </c>
      <c r="K22" s="17" t="n">
        <f aca="false">MAX(0,J22+K17-K19-K20)</f>
        <v>3693953.47337388</v>
      </c>
      <c r="L22" s="17" t="n">
        <f aca="false">MAX(0,K22+L17-L19-L20)</f>
        <v>0</v>
      </c>
      <c r="M22" s="17" t="n">
        <f aca="false">MAX(0,L22+M17-M19-M20)</f>
        <v>1259207.34547347</v>
      </c>
      <c r="N22" s="17" t="n">
        <f aca="false">MAX(0,M22+N17-N19-N20)</f>
        <v>2527858.74603799</v>
      </c>
      <c r="O22" s="17" t="n">
        <f aca="false">MAX(0,N22+O17-O19-O20)</f>
        <v>3806025.03210674</v>
      </c>
      <c r="P22" s="17" t="n">
        <f aca="false">MAX(0,O22+P17-P19-P20)</f>
        <v>0</v>
      </c>
      <c r="Q22" s="17" t="n">
        <f aca="false">MAX(0,P22+Q17-Q19-Q20)</f>
        <v>1297410.67721338</v>
      </c>
      <c r="R22" s="17" t="n">
        <f aca="false">MAX(0,Q22+R17-R19-R20)</f>
        <v>2604551.93450586</v>
      </c>
      <c r="S22" s="17" t="n">
        <f aca="false">MAX(0,R22+S17-S19-S20)</f>
        <v>3921496.75122803</v>
      </c>
      <c r="T22" s="17" t="n">
        <f aca="false">MAX(0,S22+T17-T19-T20)</f>
        <v>0</v>
      </c>
      <c r="U22" s="17" t="n">
        <f aca="false">MAX(0,T22+U17-U19-U20)</f>
        <v>1336773.06711895</v>
      </c>
      <c r="V22" s="17" t="n">
        <f aca="false">MAX(0,U22+V17-V19-V20)</f>
        <v>2683571.93224128</v>
      </c>
      <c r="W22" s="17" t="n">
        <f aca="false">MAX(0,V22+W17-W19-W20)</f>
        <v>4040471.78885204</v>
      </c>
      <c r="X22" s="17" t="n">
        <f aca="false">MAX(0,W22+X17-X19-X20)</f>
        <v>0</v>
      </c>
    </row>
    <row r="23" customFormat="false" ht="15" hidden="false" customHeight="false" outlineLevel="0" collapsed="false">
      <c r="A23" s="2" t="s">
        <v>1851</v>
      </c>
      <c r="B23" s="2" t="s">
        <v>1852</v>
      </c>
      <c r="C23" s="2" t="s">
        <v>1832</v>
      </c>
      <c r="E23" s="17" t="n">
        <f aca="false">sub_actif*subvention_taux*E19</f>
        <v>0</v>
      </c>
      <c r="F23" s="17" t="n">
        <f aca="false">sub_actif*subvention_taux*F19</f>
        <v>0</v>
      </c>
      <c r="G23" s="17" t="n">
        <f aca="false">sub_actif*subvention_taux*G19</f>
        <v>0</v>
      </c>
      <c r="H23" s="17" t="n">
        <f aca="false">sub_actif*subvention_taux*H19</f>
        <v>0</v>
      </c>
      <c r="I23" s="17" t="n">
        <f aca="false">sub_actif*subvention_taux*I19</f>
        <v>0</v>
      </c>
      <c r="J23" s="17" t="n">
        <f aca="false">sub_actif*subvention_taux*J19</f>
        <v>0</v>
      </c>
      <c r="K23" s="17" t="n">
        <f aca="false">sub_actif*subvention_taux*K19</f>
        <v>0</v>
      </c>
      <c r="L23" s="17" t="n">
        <f aca="false">sub_actif*subvention_taux*L19</f>
        <v>0</v>
      </c>
      <c r="M23" s="17" t="n">
        <f aca="false">sub_actif*subvention_taux*M19</f>
        <v>0</v>
      </c>
      <c r="N23" s="17" t="n">
        <f aca="false">sub_actif*subvention_taux*N19</f>
        <v>0</v>
      </c>
      <c r="O23" s="17" t="n">
        <f aca="false">sub_actif*subvention_taux*O19</f>
        <v>0</v>
      </c>
      <c r="P23" s="17" t="n">
        <f aca="false">sub_actif*subvention_taux*P19</f>
        <v>0</v>
      </c>
      <c r="Q23" s="17" t="n">
        <f aca="false">sub_actif*subvention_taux*Q19</f>
        <v>0</v>
      </c>
      <c r="R23" s="17" t="n">
        <f aca="false">sub_actif*subvention_taux*R19</f>
        <v>0</v>
      </c>
      <c r="S23" s="17" t="n">
        <f aca="false">sub_actif*subvention_taux*S19</f>
        <v>0</v>
      </c>
      <c r="T23" s="17" t="n">
        <f aca="false">sub_actif*subvention_taux*T19</f>
        <v>0</v>
      </c>
      <c r="U23" s="17" t="n">
        <f aca="false">sub_actif*subvention_taux*U19</f>
        <v>0</v>
      </c>
      <c r="V23" s="17" t="n">
        <f aca="false">sub_actif*subvention_taux*V19</f>
        <v>0</v>
      </c>
      <c r="W23" s="17" t="n">
        <f aca="false">sub_actif*subvention_taux*W19</f>
        <v>0</v>
      </c>
      <c r="X23" s="17" t="n">
        <f aca="false">sub_actif*subvention_taux*X19</f>
        <v>0</v>
      </c>
    </row>
    <row r="24" customFormat="false" ht="15" hidden="false" customHeight="false" outlineLevel="0" collapsed="false">
      <c r="A24" s="2" t="s">
        <v>1853</v>
      </c>
      <c r="B24" s="2" t="s">
        <v>1854</v>
      </c>
      <c r="C24" s="2" t="s">
        <v>46</v>
      </c>
      <c r="E24" s="20" t="n">
        <f aca="false">IF(E$3=1,rampe_an1,IF(E$3=2,rampe_an2,1))</f>
        <v>0.4</v>
      </c>
      <c r="F24" s="20" t="n">
        <f aca="false">IF(F$3=1,rampe_an1,IF(F$3=2,rampe_an2,1))</f>
        <v>0.75</v>
      </c>
      <c r="G24" s="20" t="n">
        <f aca="false">IF(G$3=1,rampe_an1,IF(G$3=2,rampe_an2,1))</f>
        <v>1</v>
      </c>
      <c r="H24" s="20" t="n">
        <f aca="false">IF(H$3=1,rampe_an1,IF(H$3=2,rampe_an2,1))</f>
        <v>1</v>
      </c>
      <c r="I24" s="20" t="n">
        <f aca="false">IF(I$3=1,rampe_an1,IF(I$3=2,rampe_an2,1))</f>
        <v>1</v>
      </c>
      <c r="J24" s="20" t="n">
        <f aca="false">IF(J$3=1,rampe_an1,IF(J$3=2,rampe_an2,1))</f>
        <v>1</v>
      </c>
      <c r="K24" s="20" t="n">
        <f aca="false">IF(K$3=1,rampe_an1,IF(K$3=2,rampe_an2,1))</f>
        <v>1</v>
      </c>
      <c r="L24" s="20" t="n">
        <f aca="false">IF(L$3=1,rampe_an1,IF(L$3=2,rampe_an2,1))</f>
        <v>1</v>
      </c>
      <c r="M24" s="20" t="n">
        <f aca="false">IF(M$3=1,rampe_an1,IF(M$3=2,rampe_an2,1))</f>
        <v>1</v>
      </c>
      <c r="N24" s="20" t="n">
        <f aca="false">IF(N$3=1,rampe_an1,IF(N$3=2,rampe_an2,1))</f>
        <v>1</v>
      </c>
      <c r="O24" s="20" t="n">
        <f aca="false">IF(O$3=1,rampe_an1,IF(O$3=2,rampe_an2,1))</f>
        <v>1</v>
      </c>
      <c r="P24" s="20" t="n">
        <f aca="false">IF(P$3=1,rampe_an1,IF(P$3=2,rampe_an2,1))</f>
        <v>1</v>
      </c>
      <c r="Q24" s="20" t="n">
        <f aca="false">IF(Q$3=1,rampe_an1,IF(Q$3=2,rampe_an2,1))</f>
        <v>1</v>
      </c>
      <c r="R24" s="20" t="n">
        <f aca="false">IF(R$3=1,rampe_an1,IF(R$3=2,rampe_an2,1))</f>
        <v>1</v>
      </c>
      <c r="S24" s="20" t="n">
        <f aca="false">IF(S$3=1,rampe_an1,IF(S$3=2,rampe_an2,1))</f>
        <v>1</v>
      </c>
      <c r="T24" s="20" t="n">
        <f aca="false">IF(T$3=1,rampe_an1,IF(T$3=2,rampe_an2,1))</f>
        <v>1</v>
      </c>
      <c r="U24" s="20" t="n">
        <f aca="false">IF(U$3=1,rampe_an1,IF(U$3=2,rampe_an2,1))</f>
        <v>1</v>
      </c>
      <c r="V24" s="20" t="n">
        <f aca="false">IF(V$3=1,rampe_an1,IF(V$3=2,rampe_an2,1))</f>
        <v>1</v>
      </c>
      <c r="W24" s="20" t="n">
        <f aca="false">IF(W$3=1,rampe_an1,IF(W$3=2,rampe_an2,1))</f>
        <v>1</v>
      </c>
      <c r="X24" s="20" t="n">
        <f aca="false">IF(X$3=1,rampe_an1,IF(X$3=2,rampe_an2,1))</f>
        <v>1</v>
      </c>
    </row>
    <row r="25" customFormat="false" ht="15" hidden="false" customHeight="false" outlineLevel="0" collapsed="false">
      <c r="A25" s="2" t="s">
        <v>1855</v>
      </c>
      <c r="B25" s="2" t="s">
        <v>1856</v>
      </c>
      <c r="C25" s="2" t="s">
        <v>1832</v>
      </c>
      <c r="E25" s="17" t="n">
        <f aca="false">(S3_ech_log*mot_log_cn+S3_ech_stock*mot_stock_cn+S3_ech_pv*mot_pv_cn+S3_ech_bois*mot_bois_cn)*E24*E9*IF(E$3&gt;=st_central_debut_mult,st_central_mult_A,1)*IF(E11=1,1-0.05,IF(E11=2,1-0.02,1))</f>
        <v>43820.8</v>
      </c>
      <c r="F25" s="17" t="n">
        <f aca="false">(S3_ech_log*mot_log_cn+S3_ech_stock*mot_stock_cn+S3_ech_pv*mot_pv_cn+S3_ech_bois*mot_bois_cn)*F24*F9*IF(F$3&gt;=st_central_debut_mult,st_central_mult_A,1)*IF(F11=1,1-0.05,IF(F11=2,1-0.02,1))</f>
        <v>82164</v>
      </c>
      <c r="G25" s="17" t="n">
        <f aca="false">(S3_ech_log*mot_log_cn+S3_ech_stock*mot_stock_cn+S3_ech_pv*mot_pv_cn+S3_ech_bois*mot_bois_cn)*G24*G9*IF(G$3&gt;=st_central_debut_mult,st_central_mult_A,1)*IF(G11=1,1-0.05,IF(G11=2,1-0.02,1))</f>
        <v>109552</v>
      </c>
      <c r="H25" s="17" t="n">
        <f aca="false">(S3_ech_log*mot_log_cn+S3_ech_stock*mot_stock_cn+S3_ech_pv*mot_pv_cn+S3_ech_bois*mot_bois_cn)*H24*H9*IF(H$3&gt;=st_central_debut_mult,st_central_mult_A,1)*IF(H11=1,1-0.05,IF(H11=2,1-0.02,1))</f>
        <v>109552</v>
      </c>
      <c r="I25" s="17" t="n">
        <f aca="false">(S3_ech_log*mot_log_cn+S3_ech_stock*mot_stock_cn+S3_ech_pv*mot_pv_cn+S3_ech_bois*mot_bois_cn)*I24*I9*IF(I$3&gt;=st_central_debut_mult,st_central_mult_A,1)*IF(I11=1,1-0.05,IF(I11=2,1-0.02,1))</f>
        <v>109552</v>
      </c>
      <c r="J25" s="17" t="n">
        <f aca="false">(S3_ech_log*mot_log_cn+S3_ech_stock*mot_stock_cn+S3_ech_pv*mot_pv_cn+S3_ech_bois*mot_bois_cn)*J24*J9*IF(J$3&gt;=st_central_debut_mult,st_central_mult_A,1)*IF(J11=1,1-0.05,IF(J11=2,1-0.02,1))</f>
        <v>109552</v>
      </c>
      <c r="K25" s="17" t="n">
        <f aca="false">(S3_ech_log*mot_log_cn+S3_ech_stock*mot_stock_cn+S3_ech_pv*mot_pv_cn+S3_ech_bois*mot_bois_cn)*K24*K9*IF(K$3&gt;=st_central_debut_mult,st_central_mult_A,1)*IF(K11=1,1-0.05,IF(K11=2,1-0.02,1))</f>
        <v>109552</v>
      </c>
      <c r="L25" s="17" t="n">
        <f aca="false">(S3_ech_log*mot_log_cn+S3_ech_stock*mot_stock_cn+S3_ech_pv*mot_pv_cn+S3_ech_bois*mot_bois_cn)*L24*L9*IF(L$3&gt;=st_central_debut_mult,st_central_mult_A,1)*IF(L11=1,1-0.05,IF(L11=2,1-0.02,1))</f>
        <v>109552</v>
      </c>
      <c r="M25" s="17" t="n">
        <f aca="false">(S3_ech_log*mot_log_cn+S3_ech_stock*mot_stock_cn+S3_ech_pv*mot_pv_cn+S3_ech_bois*mot_bois_cn)*M24*M9*IF(M$3&gt;=st_central_debut_mult,st_central_mult_A,1)*IF(M11=1,1-0.05,IF(M11=2,1-0.02,1))</f>
        <v>109552</v>
      </c>
      <c r="N25" s="17" t="n">
        <f aca="false">(S3_ech_log*mot_log_cn+S3_ech_stock*mot_stock_cn+S3_ech_pv*mot_pv_cn+S3_ech_bois*mot_bois_cn)*N24*N9*IF(N$3&gt;=st_central_debut_mult,st_central_mult_A,1)*IF(N11=1,1-0.05,IF(N11=2,1-0.02,1))</f>
        <v>109552</v>
      </c>
      <c r="O25" s="17" t="n">
        <f aca="false">(S3_ech_log*mot_log_cn+S3_ech_stock*mot_stock_cn+S3_ech_pv*mot_pv_cn+S3_ech_bois*mot_bois_cn)*O24*O9*IF(O$3&gt;=st_central_debut_mult,st_central_mult_A,1)*IF(O11=1,1-0.05,IF(O11=2,1-0.02,1))</f>
        <v>109552</v>
      </c>
      <c r="P25" s="17" t="n">
        <f aca="false">(S3_ech_log*mot_log_cn+S3_ech_stock*mot_stock_cn+S3_ech_pv*mot_pv_cn+S3_ech_bois*mot_bois_cn)*P24*P9*IF(P$3&gt;=st_central_debut_mult,st_central_mult_A,1)*IF(P11=1,1-0.05,IF(P11=2,1-0.02,1))</f>
        <v>109552</v>
      </c>
      <c r="Q25" s="17" t="n">
        <f aca="false">(S3_ech_log*mot_log_cn+S3_ech_stock*mot_stock_cn+S3_ech_pv*mot_pv_cn+S3_ech_bois*mot_bois_cn)*Q24*Q9*IF(Q$3&gt;=st_central_debut_mult,st_central_mult_A,1)*IF(Q11=1,1-0.05,IF(Q11=2,1-0.02,1))</f>
        <v>109552</v>
      </c>
      <c r="R25" s="17" t="n">
        <f aca="false">(S3_ech_log*mot_log_cn+S3_ech_stock*mot_stock_cn+S3_ech_pv*mot_pv_cn+S3_ech_bois*mot_bois_cn)*R24*R9*IF(R$3&gt;=st_central_debut_mult,st_central_mult_A,1)*IF(R11=1,1-0.05,IF(R11=2,1-0.02,1))</f>
        <v>109552</v>
      </c>
      <c r="S25" s="17" t="n">
        <f aca="false">(S3_ech_log*mot_log_cn+S3_ech_stock*mot_stock_cn+S3_ech_pv*mot_pv_cn+S3_ech_bois*mot_bois_cn)*S24*S9*IF(S$3&gt;=st_central_debut_mult,st_central_mult_A,1)*IF(S11=1,1-0.05,IF(S11=2,1-0.02,1))</f>
        <v>109552</v>
      </c>
      <c r="T25" s="17" t="n">
        <f aca="false">(S3_ech_log*mot_log_cn+S3_ech_stock*mot_stock_cn+S3_ech_pv*mot_pv_cn+S3_ech_bois*mot_bois_cn)*T24*T9*IF(T$3&gt;=st_central_debut_mult,st_central_mult_A,1)*IF(T11=1,1-0.05,IF(T11=2,1-0.02,1))</f>
        <v>109552</v>
      </c>
      <c r="U25" s="17" t="n">
        <f aca="false">(S3_ech_log*mot_log_cn+S3_ech_stock*mot_stock_cn+S3_ech_pv*mot_pv_cn+S3_ech_bois*mot_bois_cn)*U24*U9*IF(U$3&gt;=st_central_debut_mult,st_central_mult_A,1)*IF(U11=1,1-0.05,IF(U11=2,1-0.02,1))</f>
        <v>109552</v>
      </c>
      <c r="V25" s="17" t="n">
        <f aca="false">(S3_ech_log*mot_log_cn+S3_ech_stock*mot_stock_cn+S3_ech_pv*mot_pv_cn+S3_ech_bois*mot_bois_cn)*V24*V9*IF(V$3&gt;=st_central_debut_mult,st_central_mult_A,1)*IF(V11=1,1-0.05,IF(V11=2,1-0.02,1))</f>
        <v>109552</v>
      </c>
      <c r="W25" s="17" t="n">
        <f aca="false">(S3_ech_log*mot_log_cn+S3_ech_stock*mot_stock_cn+S3_ech_pv*mot_pv_cn+S3_ech_bois*mot_bois_cn)*W24*W9*IF(W$3&gt;=st_central_debut_mult,st_central_mult_A,1)*IF(W11=1,1-0.05,IF(W11=2,1-0.02,1))</f>
        <v>109552</v>
      </c>
      <c r="X25" s="17" t="n">
        <f aca="false">(S3_ech_log*mot_log_cn+S3_ech_stock*mot_stock_cn+S3_ech_pv*mot_pv_cn+S3_ech_bois*mot_bois_cn)*X24*X9*IF(X$3&gt;=st_central_debut_mult,st_central_mult_A,1)*IF(X11=1,1-0.05,IF(X11=2,1-0.02,1))</f>
        <v>109552</v>
      </c>
    </row>
    <row r="26" customFormat="false" ht="15" hidden="false" customHeight="false" outlineLevel="0" collapsed="false">
      <c r="A26" s="2" t="s">
        <v>1857</v>
      </c>
      <c r="B26" s="2" t="s">
        <v>1858</v>
      </c>
      <c r="C26" s="2" t="s">
        <v>1832</v>
      </c>
      <c r="E26" s="17" t="n">
        <f aca="false">(S3_ech_eq_std*mot_eq_std_cn+S3_ech_eq_ret*mot_eq_ret_cn)*E24*E9*IF(E$3&gt;=st_central_debut_mult,st_central_mult_B,1)*IF(E11=1,1-0.15,IF(E11=2,1-0.05,1))</f>
        <v>5027.7198</v>
      </c>
      <c r="F26" s="17" t="n">
        <f aca="false">(S3_ech_eq_std*mot_eq_std_cn+S3_ech_eq_ret*mot_eq_ret_cn)*F24*F9*IF(F$3&gt;=st_central_debut_mult,st_central_mult_B,1)*IF(F11=1,1-0.15,IF(F11=2,1-0.05,1))</f>
        <v>9426.974625</v>
      </c>
      <c r="G26" s="17" t="n">
        <f aca="false">(S3_ech_eq_std*mot_eq_std_cn+S3_ech_eq_ret*mot_eq_ret_cn)*G24*G9*IF(G$3&gt;=st_central_debut_mult,st_central_mult_B,1)*IF(G11=1,1-0.15,IF(G11=2,1-0.05,1))</f>
        <v>12569.2995</v>
      </c>
      <c r="H26" s="17" t="n">
        <f aca="false">(S3_ech_eq_std*mot_eq_std_cn+S3_ech_eq_ret*mot_eq_ret_cn)*H24*H9*IF(H$3&gt;=st_central_debut_mult,st_central_mult_B,1)*IF(H11=1,1-0.15,IF(H11=2,1-0.05,1))</f>
        <v>12569.2995</v>
      </c>
      <c r="I26" s="17" t="n">
        <f aca="false">(S3_ech_eq_std*mot_eq_std_cn+S3_ech_eq_ret*mot_eq_ret_cn)*I24*I9*IF(I$3&gt;=st_central_debut_mult,st_central_mult_B,1)*IF(I11=1,1-0.15,IF(I11=2,1-0.05,1))</f>
        <v>12569.2995</v>
      </c>
      <c r="J26" s="17" t="n">
        <f aca="false">(S3_ech_eq_std*mot_eq_std_cn+S3_ech_eq_ret*mot_eq_ret_cn)*J24*J9*IF(J$3&gt;=st_central_debut_mult,st_central_mult_B,1)*IF(J11=1,1-0.15,IF(J11=2,1-0.05,1))</f>
        <v>12569.2995</v>
      </c>
      <c r="K26" s="17" t="n">
        <f aca="false">(S3_ech_eq_std*mot_eq_std_cn+S3_ech_eq_ret*mot_eq_ret_cn)*K24*K9*IF(K$3&gt;=st_central_debut_mult,st_central_mult_B,1)*IF(K11=1,1-0.15,IF(K11=2,1-0.05,1))</f>
        <v>12569.2995</v>
      </c>
      <c r="L26" s="17" t="n">
        <f aca="false">(S3_ech_eq_std*mot_eq_std_cn+S3_ech_eq_ret*mot_eq_ret_cn)*L24*L9*IF(L$3&gt;=st_central_debut_mult,st_central_mult_B,1)*IF(L11=1,1-0.15,IF(L11=2,1-0.05,1))</f>
        <v>12569.2995</v>
      </c>
      <c r="M26" s="17" t="n">
        <f aca="false">(S3_ech_eq_std*mot_eq_std_cn+S3_ech_eq_ret*mot_eq_ret_cn)*M24*M9*IF(M$3&gt;=st_central_debut_mult,st_central_mult_B,1)*IF(M11=1,1-0.15,IF(M11=2,1-0.05,1))</f>
        <v>12569.2995</v>
      </c>
      <c r="N26" s="17" t="n">
        <f aca="false">(S3_ech_eq_std*mot_eq_std_cn+S3_ech_eq_ret*mot_eq_ret_cn)*N24*N9*IF(N$3&gt;=st_central_debut_mult,st_central_mult_B,1)*IF(N11=1,1-0.15,IF(N11=2,1-0.05,1))</f>
        <v>12569.2995</v>
      </c>
      <c r="O26" s="17" t="n">
        <f aca="false">(S3_ech_eq_std*mot_eq_std_cn+S3_ech_eq_ret*mot_eq_ret_cn)*O24*O9*IF(O$3&gt;=st_central_debut_mult,st_central_mult_B,1)*IF(O11=1,1-0.15,IF(O11=2,1-0.05,1))</f>
        <v>12569.2995</v>
      </c>
      <c r="P26" s="17" t="n">
        <f aca="false">(S3_ech_eq_std*mot_eq_std_cn+S3_ech_eq_ret*mot_eq_ret_cn)*P24*P9*IF(P$3&gt;=st_central_debut_mult,st_central_mult_B,1)*IF(P11=1,1-0.15,IF(P11=2,1-0.05,1))</f>
        <v>12569.2995</v>
      </c>
      <c r="Q26" s="17" t="n">
        <f aca="false">(S3_ech_eq_std*mot_eq_std_cn+S3_ech_eq_ret*mot_eq_ret_cn)*Q24*Q9*IF(Q$3&gt;=st_central_debut_mult,st_central_mult_B,1)*IF(Q11=1,1-0.15,IF(Q11=2,1-0.05,1))</f>
        <v>12569.2995</v>
      </c>
      <c r="R26" s="17" t="n">
        <f aca="false">(S3_ech_eq_std*mot_eq_std_cn+S3_ech_eq_ret*mot_eq_ret_cn)*R24*R9*IF(R$3&gt;=st_central_debut_mult,st_central_mult_B,1)*IF(R11=1,1-0.15,IF(R11=2,1-0.05,1))</f>
        <v>12569.2995</v>
      </c>
      <c r="S26" s="17" t="n">
        <f aca="false">(S3_ech_eq_std*mot_eq_std_cn+S3_ech_eq_ret*mot_eq_ret_cn)*S24*S9*IF(S$3&gt;=st_central_debut_mult,st_central_mult_B,1)*IF(S11=1,1-0.15,IF(S11=2,1-0.05,1))</f>
        <v>12569.2995</v>
      </c>
      <c r="T26" s="17" t="n">
        <f aca="false">(S3_ech_eq_std*mot_eq_std_cn+S3_ech_eq_ret*mot_eq_ret_cn)*T24*T9*IF(T$3&gt;=st_central_debut_mult,st_central_mult_B,1)*IF(T11=1,1-0.15,IF(T11=2,1-0.05,1))</f>
        <v>12569.2995</v>
      </c>
      <c r="U26" s="17" t="n">
        <f aca="false">(S3_ech_eq_std*mot_eq_std_cn+S3_ech_eq_ret*mot_eq_ret_cn)*U24*U9*IF(U$3&gt;=st_central_debut_mult,st_central_mult_B,1)*IF(U11=1,1-0.15,IF(U11=2,1-0.05,1))</f>
        <v>12569.2995</v>
      </c>
      <c r="V26" s="17" t="n">
        <f aca="false">(S3_ech_eq_std*mot_eq_std_cn+S3_ech_eq_ret*mot_eq_ret_cn)*V24*V9*IF(V$3&gt;=st_central_debut_mult,st_central_mult_B,1)*IF(V11=1,1-0.15,IF(V11=2,1-0.05,1))</f>
        <v>12569.2995</v>
      </c>
      <c r="W26" s="17" t="n">
        <f aca="false">(S3_ech_eq_std*mot_eq_std_cn+S3_ech_eq_ret*mot_eq_ret_cn)*W24*W9*IF(W$3&gt;=st_central_debut_mult,st_central_mult_B,1)*IF(W11=1,1-0.15,IF(W11=2,1-0.05,1))</f>
        <v>12569.2995</v>
      </c>
      <c r="X26" s="17" t="n">
        <f aca="false">(S3_ech_eq_std*mot_eq_std_cn+S3_ech_eq_ret*mot_eq_ret_cn)*X24*X9*IF(X$3&gt;=st_central_debut_mult,st_central_mult_B,1)*IF(X11=1,1-0.15,IF(X11=2,1-0.05,1))</f>
        <v>12569.2995</v>
      </c>
    </row>
    <row r="27" customFormat="false" ht="15" hidden="false" customHeight="false" outlineLevel="0" collapsed="false">
      <c r="A27" s="2" t="s">
        <v>1859</v>
      </c>
      <c r="B27" s="2" t="s">
        <v>1860</v>
      </c>
      <c r="C27" s="2" t="s">
        <v>1832</v>
      </c>
      <c r="E27" s="17" t="n">
        <f aca="false">(S3_ech_tourn*mot_tourn_cn)*E24*E9*IF(E$3&gt;=st_central_debut_mult,st_central_mult_C,1)*IF(E11=1,1-0.8,IF(E11=2,1-0.3,1))</f>
        <v>3570</v>
      </c>
      <c r="F27" s="17" t="n">
        <f aca="false">(S3_ech_tourn*mot_tourn_cn)*F24*F9*IF(F$3&gt;=st_central_debut_mult,st_central_mult_C,1)*IF(F11=1,1-0.8,IF(F11=2,1-0.3,1))</f>
        <v>6693.75</v>
      </c>
      <c r="G27" s="17" t="n">
        <f aca="false">(S3_ech_tourn*mot_tourn_cn)*G24*G9*IF(G$3&gt;=st_central_debut_mult,st_central_mult_C,1)*IF(G11=1,1-0.8,IF(G11=2,1-0.3,1))</f>
        <v>8925</v>
      </c>
      <c r="H27" s="17" t="n">
        <f aca="false">(S3_ech_tourn*mot_tourn_cn)*H24*H9*IF(H$3&gt;=st_central_debut_mult,st_central_mult_C,1)*IF(H11=1,1-0.8,IF(H11=2,1-0.3,1))</f>
        <v>8925</v>
      </c>
      <c r="I27" s="17" t="n">
        <f aca="false">(S3_ech_tourn*mot_tourn_cn)*I24*I9*IF(I$3&gt;=st_central_debut_mult,st_central_mult_C,1)*IF(I11=1,1-0.8,IF(I11=2,1-0.3,1))</f>
        <v>8925</v>
      </c>
      <c r="J27" s="17" t="n">
        <f aca="false">(S3_ech_tourn*mot_tourn_cn)*J24*J9*IF(J$3&gt;=st_central_debut_mult,st_central_mult_C,1)*IF(J11=1,1-0.8,IF(J11=2,1-0.3,1))</f>
        <v>8925</v>
      </c>
      <c r="K27" s="17" t="n">
        <f aca="false">(S3_ech_tourn*mot_tourn_cn)*K24*K9*IF(K$3&gt;=st_central_debut_mult,st_central_mult_C,1)*IF(K11=1,1-0.8,IF(K11=2,1-0.3,1))</f>
        <v>8925</v>
      </c>
      <c r="L27" s="17" t="n">
        <f aca="false">(S3_ech_tourn*mot_tourn_cn)*L24*L9*IF(L$3&gt;=st_central_debut_mult,st_central_mult_C,1)*IF(L11=1,1-0.8,IF(L11=2,1-0.3,1))</f>
        <v>8925</v>
      </c>
      <c r="M27" s="17" t="n">
        <f aca="false">(S3_ech_tourn*mot_tourn_cn)*M24*M9*IF(M$3&gt;=st_central_debut_mult,st_central_mult_C,1)*IF(M11=1,1-0.8,IF(M11=2,1-0.3,1))</f>
        <v>8925</v>
      </c>
      <c r="N27" s="17" t="n">
        <f aca="false">(S3_ech_tourn*mot_tourn_cn)*N24*N9*IF(N$3&gt;=st_central_debut_mult,st_central_mult_C,1)*IF(N11=1,1-0.8,IF(N11=2,1-0.3,1))</f>
        <v>8925</v>
      </c>
      <c r="O27" s="17" t="n">
        <f aca="false">(S3_ech_tourn*mot_tourn_cn)*O24*O9*IF(O$3&gt;=st_central_debut_mult,st_central_mult_C,1)*IF(O11=1,1-0.8,IF(O11=2,1-0.3,1))</f>
        <v>8925</v>
      </c>
      <c r="P27" s="17" t="n">
        <f aca="false">(S3_ech_tourn*mot_tourn_cn)*P24*P9*IF(P$3&gt;=st_central_debut_mult,st_central_mult_C,1)*IF(P11=1,1-0.8,IF(P11=2,1-0.3,1))</f>
        <v>8925</v>
      </c>
      <c r="Q27" s="17" t="n">
        <f aca="false">(S3_ech_tourn*mot_tourn_cn)*Q24*Q9*IF(Q$3&gt;=st_central_debut_mult,st_central_mult_C,1)*IF(Q11=1,1-0.8,IF(Q11=2,1-0.3,1))</f>
        <v>8925</v>
      </c>
      <c r="R27" s="17" t="n">
        <f aca="false">(S3_ech_tourn*mot_tourn_cn)*R24*R9*IF(R$3&gt;=st_central_debut_mult,st_central_mult_C,1)*IF(R11=1,1-0.8,IF(R11=2,1-0.3,1))</f>
        <v>8925</v>
      </c>
      <c r="S27" s="17" t="n">
        <f aca="false">(S3_ech_tourn*mot_tourn_cn)*S24*S9*IF(S$3&gt;=st_central_debut_mult,st_central_mult_C,1)*IF(S11=1,1-0.8,IF(S11=2,1-0.3,1))</f>
        <v>8925</v>
      </c>
      <c r="T27" s="17" t="n">
        <f aca="false">(S3_ech_tourn*mot_tourn_cn)*T24*T9*IF(T$3&gt;=st_central_debut_mult,st_central_mult_C,1)*IF(T11=1,1-0.8,IF(T11=2,1-0.3,1))</f>
        <v>8925</v>
      </c>
      <c r="U27" s="17" t="n">
        <f aca="false">(S3_ech_tourn*mot_tourn_cn)*U24*U9*IF(U$3&gt;=st_central_debut_mult,st_central_mult_C,1)*IF(U11=1,1-0.8,IF(U11=2,1-0.3,1))</f>
        <v>8925</v>
      </c>
      <c r="V27" s="17" t="n">
        <f aca="false">(S3_ech_tourn*mot_tourn_cn)*V24*V9*IF(V$3&gt;=st_central_debut_mult,st_central_mult_C,1)*IF(V11=1,1-0.8,IF(V11=2,1-0.3,1))</f>
        <v>8925</v>
      </c>
      <c r="W27" s="17" t="n">
        <f aca="false">(S3_ech_tourn*mot_tourn_cn)*W24*W9*IF(W$3&gt;=st_central_debut_mult,st_central_mult_C,1)*IF(W11=1,1-0.8,IF(W11=2,1-0.3,1))</f>
        <v>8925</v>
      </c>
      <c r="X27" s="17" t="n">
        <f aca="false">(S3_ech_tourn*mot_tourn_cn)*X24*X9*IF(X$3&gt;=st_central_debut_mult,st_central_mult_C,1)*IF(X11=1,1-0.8,IF(X11=2,1-0.3,1))</f>
        <v>8925</v>
      </c>
    </row>
    <row r="28" customFormat="false" ht="15" hidden="false" customHeight="false" outlineLevel="0" collapsed="false">
      <c r="A28" s="2" t="s">
        <v>1861</v>
      </c>
      <c r="B28" s="2" t="s">
        <v>1862</v>
      </c>
      <c r="C28" s="2" t="s">
        <v>1832</v>
      </c>
      <c r="E28" s="17" t="n">
        <f aca="false">E25+E26+E27</f>
        <v>52418.5198</v>
      </c>
      <c r="F28" s="17" t="n">
        <f aca="false">F25+F26+F27</f>
        <v>98284.724625</v>
      </c>
      <c r="G28" s="17" t="n">
        <f aca="false">G25+G26+G27</f>
        <v>131046.2995</v>
      </c>
      <c r="H28" s="17" t="n">
        <f aca="false">H25+H26+H27</f>
        <v>131046.2995</v>
      </c>
      <c r="I28" s="17" t="n">
        <f aca="false">I25+I26+I27</f>
        <v>131046.2995</v>
      </c>
      <c r="J28" s="17" t="n">
        <f aca="false">J25+J26+J27</f>
        <v>131046.2995</v>
      </c>
      <c r="K28" s="17" t="n">
        <f aca="false">K25+K26+K27</f>
        <v>131046.2995</v>
      </c>
      <c r="L28" s="17" t="n">
        <f aca="false">L25+L26+L27</f>
        <v>131046.2995</v>
      </c>
      <c r="M28" s="17" t="n">
        <f aca="false">M25+M26+M27</f>
        <v>131046.2995</v>
      </c>
      <c r="N28" s="17" t="n">
        <f aca="false">N25+N26+N27</f>
        <v>131046.2995</v>
      </c>
      <c r="O28" s="17" t="n">
        <f aca="false">O25+O26+O27</f>
        <v>131046.2995</v>
      </c>
      <c r="P28" s="17" t="n">
        <f aca="false">P25+P26+P27</f>
        <v>131046.2995</v>
      </c>
      <c r="Q28" s="17" t="n">
        <f aca="false">Q25+Q26+Q27</f>
        <v>131046.2995</v>
      </c>
      <c r="R28" s="17" t="n">
        <f aca="false">R25+R26+R27</f>
        <v>131046.2995</v>
      </c>
      <c r="S28" s="17" t="n">
        <f aca="false">S25+S26+S27</f>
        <v>131046.2995</v>
      </c>
      <c r="T28" s="17" t="n">
        <f aca="false">T25+T26+T27</f>
        <v>131046.2995</v>
      </c>
      <c r="U28" s="17" t="n">
        <f aca="false">U25+U26+U27</f>
        <v>131046.2995</v>
      </c>
      <c r="V28" s="17" t="n">
        <f aca="false">V25+V26+V27</f>
        <v>131046.2995</v>
      </c>
      <c r="W28" s="17" t="n">
        <f aca="false">W25+W26+W27</f>
        <v>131046.2995</v>
      </c>
      <c r="X28" s="17" t="n">
        <f aca="false">X25+X26+X27</f>
        <v>131046.2995</v>
      </c>
    </row>
    <row r="29" customFormat="false" ht="15" hidden="false" customHeight="false" outlineLevel="0" collapsed="false">
      <c r="A29" s="2" t="s">
        <v>1863</v>
      </c>
      <c r="B29" s="2" t="s">
        <v>1864</v>
      </c>
      <c r="C29" s="2" t="s">
        <v>1832</v>
      </c>
      <c r="E29" s="17" t="n">
        <f aca="false">IF(E28&gt;0,E28*(1-fuite_fiscale),E28)</f>
        <v>36692.96386</v>
      </c>
      <c r="F29" s="17" t="n">
        <f aca="false">IF(F28&gt;0,F28*(1-fuite_fiscale),F28)</f>
        <v>68799.3072375</v>
      </c>
      <c r="G29" s="17" t="n">
        <f aca="false">IF(G28&gt;0,G28*(1-fuite_fiscale),G28)</f>
        <v>91732.40965</v>
      </c>
      <c r="H29" s="17" t="n">
        <f aca="false">IF(H28&gt;0,H28*(1-fuite_fiscale),H28)</f>
        <v>91732.40965</v>
      </c>
      <c r="I29" s="17" t="n">
        <f aca="false">IF(I28&gt;0,I28*(1-fuite_fiscale),I28)</f>
        <v>91732.40965</v>
      </c>
      <c r="J29" s="17" t="n">
        <f aca="false">IF(J28&gt;0,J28*(1-fuite_fiscale),J28)</f>
        <v>91732.40965</v>
      </c>
      <c r="K29" s="17" t="n">
        <f aca="false">IF(K28&gt;0,K28*(1-fuite_fiscale),K28)</f>
        <v>91732.40965</v>
      </c>
      <c r="L29" s="17" t="n">
        <f aca="false">IF(L28&gt;0,L28*(1-fuite_fiscale),L28)</f>
        <v>91732.40965</v>
      </c>
      <c r="M29" s="17" t="n">
        <f aca="false">IF(M28&gt;0,M28*(1-fuite_fiscale),M28)</f>
        <v>91732.40965</v>
      </c>
      <c r="N29" s="17" t="n">
        <f aca="false">IF(N28&gt;0,N28*(1-fuite_fiscale),N28)</f>
        <v>91732.40965</v>
      </c>
      <c r="O29" s="17" t="n">
        <f aca="false">IF(O28&gt;0,O28*(1-fuite_fiscale),O28)</f>
        <v>91732.40965</v>
      </c>
      <c r="P29" s="17" t="n">
        <f aca="false">IF(P28&gt;0,P28*(1-fuite_fiscale),P28)</f>
        <v>91732.40965</v>
      </c>
      <c r="Q29" s="17" t="n">
        <f aca="false">IF(Q28&gt;0,Q28*(1-fuite_fiscale),Q28)</f>
        <v>91732.40965</v>
      </c>
      <c r="R29" s="17" t="n">
        <f aca="false">IF(R28&gt;0,R28*(1-fuite_fiscale),R28)</f>
        <v>91732.40965</v>
      </c>
      <c r="S29" s="17" t="n">
        <f aca="false">IF(S28&gt;0,S28*(1-fuite_fiscale),S28)</f>
        <v>91732.40965</v>
      </c>
      <c r="T29" s="17" t="n">
        <f aca="false">IF(T28&gt;0,T28*(1-fuite_fiscale),T28)</f>
        <v>91732.40965</v>
      </c>
      <c r="U29" s="17" t="n">
        <f aca="false">IF(U28&gt;0,U28*(1-fuite_fiscale),U28)</f>
        <v>91732.40965</v>
      </c>
      <c r="V29" s="17" t="n">
        <f aca="false">IF(V28&gt;0,V28*(1-fuite_fiscale),V28)</f>
        <v>91732.40965</v>
      </c>
      <c r="W29" s="17" t="n">
        <f aca="false">IF(W28&gt;0,W28*(1-fuite_fiscale),W28)</f>
        <v>91732.40965</v>
      </c>
      <c r="X29" s="17" t="n">
        <f aca="false">IF(X28&gt;0,X28*(1-fuite_fiscale),X28)</f>
        <v>91732.40965</v>
      </c>
    </row>
    <row r="30" customFormat="false" ht="15" hidden="false" customHeight="false" outlineLevel="0" collapsed="false">
      <c r="A30" s="2" t="s">
        <v>1865</v>
      </c>
      <c r="B30" s="2" t="s">
        <v>1866</v>
      </c>
      <c r="C30" s="2" t="s">
        <v>1832</v>
      </c>
      <c r="E30" s="17" t="n">
        <f aca="false">IF(E$3=1,S3_ech_log*mot_log_inv+S3_ech_stock*stock_capex,0)</f>
        <v>2180000</v>
      </c>
      <c r="F30" s="17" t="n">
        <f aca="false">IF(F$3=1,S3_ech_log*mot_log_inv+S3_ech_stock*stock_capex,0)</f>
        <v>0</v>
      </c>
      <c r="G30" s="17" t="n">
        <f aca="false">IF(G$3=1,S3_ech_log*mot_log_inv+S3_ech_stock*stock_capex,0)</f>
        <v>0</v>
      </c>
      <c r="H30" s="17" t="n">
        <f aca="false">IF(H$3=1,S3_ech_log*mot_log_inv+S3_ech_stock*stock_capex,0)</f>
        <v>0</v>
      </c>
      <c r="I30" s="17" t="n">
        <f aca="false">IF(I$3=1,S3_ech_log*mot_log_inv+S3_ech_stock*stock_capex,0)</f>
        <v>0</v>
      </c>
      <c r="J30" s="17" t="n">
        <f aca="false">IF(J$3=1,S3_ech_log*mot_log_inv+S3_ech_stock*stock_capex,0)</f>
        <v>0</v>
      </c>
      <c r="K30" s="17" t="n">
        <f aca="false">IF(K$3=1,S3_ech_log*mot_log_inv+S3_ech_stock*stock_capex,0)</f>
        <v>0</v>
      </c>
      <c r="L30" s="17" t="n">
        <f aca="false">IF(L$3=1,S3_ech_log*mot_log_inv+S3_ech_stock*stock_capex,0)</f>
        <v>0</v>
      </c>
      <c r="M30" s="17" t="n">
        <f aca="false">IF(M$3=1,S3_ech_log*mot_log_inv+S3_ech_stock*stock_capex,0)</f>
        <v>0</v>
      </c>
      <c r="N30" s="17" t="n">
        <f aca="false">IF(N$3=1,S3_ech_log*mot_log_inv+S3_ech_stock*stock_capex,0)</f>
        <v>0</v>
      </c>
      <c r="O30" s="17" t="n">
        <f aca="false">IF(O$3=1,S3_ech_log*mot_log_inv+S3_ech_stock*stock_capex,0)</f>
        <v>0</v>
      </c>
      <c r="P30" s="17" t="n">
        <f aca="false">IF(P$3=1,S3_ech_log*mot_log_inv+S3_ech_stock*stock_capex,0)</f>
        <v>0</v>
      </c>
      <c r="Q30" s="17" t="n">
        <f aca="false">IF(Q$3=1,S3_ech_log*mot_log_inv+S3_ech_stock*stock_capex,0)</f>
        <v>0</v>
      </c>
      <c r="R30" s="17" t="n">
        <f aca="false">IF(R$3=1,S3_ech_log*mot_log_inv+S3_ech_stock*stock_capex,0)</f>
        <v>0</v>
      </c>
      <c r="S30" s="17" t="n">
        <f aca="false">IF(S$3=1,S3_ech_log*mot_log_inv+S3_ech_stock*stock_capex,0)</f>
        <v>0</v>
      </c>
      <c r="T30" s="17" t="n">
        <f aca="false">IF(T$3=1,S3_ech_log*mot_log_inv+S3_ech_stock*stock_capex,0)</f>
        <v>0</v>
      </c>
      <c r="U30" s="17" t="n">
        <f aca="false">IF(U$3=1,S3_ech_log*mot_log_inv+S3_ech_stock*stock_capex,0)</f>
        <v>0</v>
      </c>
      <c r="V30" s="17" t="n">
        <f aca="false">IF(V$3=1,S3_ech_log*mot_log_inv+S3_ech_stock*stock_capex,0)</f>
        <v>0</v>
      </c>
      <c r="W30" s="17" t="n">
        <f aca="false">IF(W$3=1,S3_ech_log*mot_log_inv+S3_ech_stock*stock_capex,0)</f>
        <v>0</v>
      </c>
      <c r="X30" s="17" t="n">
        <f aca="false">IF(X$3=1,S3_ech_log*mot_log_inv+S3_ech_stock*stock_capex,0)</f>
        <v>0</v>
      </c>
    </row>
    <row r="31" customFormat="false" ht="15" hidden="false" customHeight="false" outlineLevel="0" collapsed="false">
      <c r="A31" s="2" t="s">
        <v>1867</v>
      </c>
      <c r="B31" s="2" t="s">
        <v>1868</v>
      </c>
      <c r="C31" s="2" t="s">
        <v>1832</v>
      </c>
      <c r="E31" s="17" t="n">
        <f aca="false">MIN(E30,MAX(0,D42))</f>
        <v>2180000</v>
      </c>
      <c r="F31" s="17" t="n">
        <f aca="false">MIN(F30,MAX(0,E42))</f>
        <v>0</v>
      </c>
      <c r="G31" s="17" t="n">
        <f aca="false">MIN(G30,MAX(0,F42))</f>
        <v>0</v>
      </c>
      <c r="H31" s="17" t="n">
        <f aca="false">MIN(H30,MAX(0,G42))</f>
        <v>0</v>
      </c>
      <c r="I31" s="17" t="n">
        <f aca="false">MIN(I30,MAX(0,H42))</f>
        <v>0</v>
      </c>
      <c r="J31" s="17" t="n">
        <f aca="false">MIN(J30,MAX(0,I42))</f>
        <v>0</v>
      </c>
      <c r="K31" s="17" t="n">
        <f aca="false">MIN(K30,MAX(0,J42))</f>
        <v>0</v>
      </c>
      <c r="L31" s="17" t="n">
        <f aca="false">MIN(L30,MAX(0,K42))</f>
        <v>0</v>
      </c>
      <c r="M31" s="17" t="n">
        <f aca="false">MIN(M30,MAX(0,L42))</f>
        <v>0</v>
      </c>
      <c r="N31" s="17" t="n">
        <f aca="false">MIN(N30,MAX(0,M42))</f>
        <v>0</v>
      </c>
      <c r="O31" s="17" t="n">
        <f aca="false">MIN(O30,MAX(0,N42))</f>
        <v>0</v>
      </c>
      <c r="P31" s="17" t="n">
        <f aca="false">MIN(P30,MAX(0,O42))</f>
        <v>0</v>
      </c>
      <c r="Q31" s="17" t="n">
        <f aca="false">MIN(Q30,MAX(0,P42))</f>
        <v>0</v>
      </c>
      <c r="R31" s="17" t="n">
        <f aca="false">MIN(R30,MAX(0,Q42))</f>
        <v>0</v>
      </c>
      <c r="S31" s="17" t="n">
        <f aca="false">MIN(S30,MAX(0,R42))</f>
        <v>0</v>
      </c>
      <c r="T31" s="17" t="n">
        <f aca="false">MIN(T30,MAX(0,S42))</f>
        <v>0</v>
      </c>
      <c r="U31" s="17" t="n">
        <f aca="false">MIN(U30,MAX(0,T42))</f>
        <v>0</v>
      </c>
      <c r="V31" s="17" t="n">
        <f aca="false">MIN(V30,MAX(0,U42))</f>
        <v>0</v>
      </c>
      <c r="W31" s="17" t="n">
        <f aca="false">MIN(W30,MAX(0,V42))</f>
        <v>0</v>
      </c>
      <c r="X31" s="17" t="n">
        <f aca="false">MIN(X30,MAX(0,W42))</f>
        <v>0</v>
      </c>
    </row>
    <row r="32" customFormat="false" ht="15" hidden="false" customHeight="false" outlineLevel="0" collapsed="false">
      <c r="A32" s="2" t="s">
        <v>1869</v>
      </c>
      <c r="B32" s="2" t="s">
        <v>1870</v>
      </c>
      <c r="C32" s="2" t="s">
        <v>1832</v>
      </c>
      <c r="E32" s="17" t="n">
        <f aca="false">dette_active*IF(E$3&lt;=dette_duree,-PMT(dette_taux,dette_duree,S3_prix_achat*dette_quotite)/E10,0)</f>
        <v>0</v>
      </c>
      <c r="F32" s="17" t="n">
        <f aca="false">dette_active*IF(F$3&lt;=dette_duree,-PMT(dette_taux,dette_duree,S3_prix_achat*dette_quotite)/F10,0)</f>
        <v>0</v>
      </c>
      <c r="G32" s="17" t="n">
        <f aca="false">dette_active*IF(G$3&lt;=dette_duree,-PMT(dette_taux,dette_duree,S3_prix_achat*dette_quotite)/G10,0)</f>
        <v>0</v>
      </c>
      <c r="H32" s="17" t="n">
        <f aca="false">dette_active*IF(H$3&lt;=dette_duree,-PMT(dette_taux,dette_duree,S3_prix_achat*dette_quotite)/H10,0)</f>
        <v>0</v>
      </c>
      <c r="I32" s="17" t="n">
        <f aca="false">dette_active*IF(I$3&lt;=dette_duree,-PMT(dette_taux,dette_duree,S3_prix_achat*dette_quotite)/I10,0)</f>
        <v>0</v>
      </c>
      <c r="J32" s="17" t="n">
        <f aca="false">dette_active*IF(J$3&lt;=dette_duree,-PMT(dette_taux,dette_duree,S3_prix_achat*dette_quotite)/J10,0)</f>
        <v>0</v>
      </c>
      <c r="K32" s="17" t="n">
        <f aca="false">dette_active*IF(K$3&lt;=dette_duree,-PMT(dette_taux,dette_duree,S3_prix_achat*dette_quotite)/K10,0)</f>
        <v>0</v>
      </c>
      <c r="L32" s="17" t="n">
        <f aca="false">dette_active*IF(L$3&lt;=dette_duree,-PMT(dette_taux,dette_duree,S3_prix_achat*dette_quotite)/L10,0)</f>
        <v>0</v>
      </c>
      <c r="M32" s="17" t="n">
        <f aca="false">dette_active*IF(M$3&lt;=dette_duree,-PMT(dette_taux,dette_duree,S3_prix_achat*dette_quotite)/M10,0)</f>
        <v>0</v>
      </c>
      <c r="N32" s="17" t="n">
        <f aca="false">dette_active*IF(N$3&lt;=dette_duree,-PMT(dette_taux,dette_duree,S3_prix_achat*dette_quotite)/N10,0)</f>
        <v>0</v>
      </c>
      <c r="O32" s="17" t="n">
        <f aca="false">dette_active*IF(O$3&lt;=dette_duree,-PMT(dette_taux,dette_duree,S3_prix_achat*dette_quotite)/O10,0)</f>
        <v>0</v>
      </c>
      <c r="P32" s="17" t="n">
        <f aca="false">dette_active*IF(P$3&lt;=dette_duree,-PMT(dette_taux,dette_duree,S3_prix_achat*dette_quotite)/P10,0)</f>
        <v>0</v>
      </c>
      <c r="Q32" s="17" t="n">
        <f aca="false">dette_active*IF(Q$3&lt;=dette_duree,-PMT(dette_taux,dette_duree,S3_prix_achat*dette_quotite)/Q10,0)</f>
        <v>0</v>
      </c>
      <c r="R32" s="17" t="n">
        <f aca="false">dette_active*IF(R$3&lt;=dette_duree,-PMT(dette_taux,dette_duree,S3_prix_achat*dette_quotite)/R10,0)</f>
        <v>0</v>
      </c>
      <c r="S32" s="17" t="n">
        <f aca="false">dette_active*IF(S$3&lt;=dette_duree,-PMT(dette_taux,dette_duree,S3_prix_achat*dette_quotite)/S10,0)</f>
        <v>0</v>
      </c>
      <c r="T32" s="17" t="n">
        <f aca="false">dette_active*IF(T$3&lt;=dette_duree,-PMT(dette_taux,dette_duree,S3_prix_achat*dette_quotite)/T10,0)</f>
        <v>0</v>
      </c>
      <c r="U32" s="17" t="n">
        <f aca="false">dette_active*IF(U$3&lt;=dette_duree,-PMT(dette_taux,dette_duree,S3_prix_achat*dette_quotite)/U10,0)</f>
        <v>0</v>
      </c>
      <c r="V32" s="17" t="n">
        <f aca="false">dette_active*IF(V$3&lt;=dette_duree,-PMT(dette_taux,dette_duree,S3_prix_achat*dette_quotite)/V10,0)</f>
        <v>0</v>
      </c>
      <c r="W32" s="17" t="n">
        <f aca="false">dette_active*IF(W$3&lt;=dette_duree,-PMT(dette_taux,dette_duree,S3_prix_achat*dette_quotite)/W10,0)</f>
        <v>0</v>
      </c>
      <c r="X32" s="17" t="n">
        <f aca="false">dette_active*IF(X$3&lt;=dette_duree,-PMT(dette_taux,dette_duree,S3_prix_achat*dette_quotite)/X10,0)</f>
        <v>0</v>
      </c>
    </row>
    <row r="33" customFormat="false" ht="15" hidden="false" customHeight="false" outlineLevel="0" collapsed="false">
      <c r="A33" s="2" t="s">
        <v>1871</v>
      </c>
      <c r="B33" s="2" t="s">
        <v>1872</v>
      </c>
      <c r="C33" s="2" t="s">
        <v>1832</v>
      </c>
      <c r="E33" s="17" t="n">
        <f aca="false">mh_actif*mh_tmi*mh_part_deductible*mh_taux_deduction*E18</f>
        <v>0</v>
      </c>
      <c r="F33" s="17" t="n">
        <f aca="false">mh_actif*mh_tmi*mh_part_deductible*mh_taux_deduction*F18</f>
        <v>0</v>
      </c>
      <c r="G33" s="17" t="n">
        <f aca="false">mh_actif*mh_tmi*mh_part_deductible*mh_taux_deduction*G18</f>
        <v>0</v>
      </c>
      <c r="H33" s="17" t="n">
        <f aca="false">mh_actif*mh_tmi*mh_part_deductible*mh_taux_deduction*H18</f>
        <v>0</v>
      </c>
      <c r="I33" s="17" t="n">
        <f aca="false">mh_actif*mh_tmi*mh_part_deductible*mh_taux_deduction*I18</f>
        <v>0</v>
      </c>
      <c r="J33" s="17" t="n">
        <f aca="false">mh_actif*mh_tmi*mh_part_deductible*mh_taux_deduction*J18</f>
        <v>0</v>
      </c>
      <c r="K33" s="17" t="n">
        <f aca="false">mh_actif*mh_tmi*mh_part_deductible*mh_taux_deduction*K18</f>
        <v>0</v>
      </c>
      <c r="L33" s="17" t="n">
        <f aca="false">mh_actif*mh_tmi*mh_part_deductible*mh_taux_deduction*L18</f>
        <v>0</v>
      </c>
      <c r="M33" s="17" t="n">
        <f aca="false">mh_actif*mh_tmi*mh_part_deductible*mh_taux_deduction*M18</f>
        <v>0</v>
      </c>
      <c r="N33" s="17" t="n">
        <f aca="false">mh_actif*mh_tmi*mh_part_deductible*mh_taux_deduction*N18</f>
        <v>0</v>
      </c>
      <c r="O33" s="17" t="n">
        <f aca="false">mh_actif*mh_tmi*mh_part_deductible*mh_taux_deduction*O18</f>
        <v>0</v>
      </c>
      <c r="P33" s="17" t="n">
        <f aca="false">mh_actif*mh_tmi*mh_part_deductible*mh_taux_deduction*P18</f>
        <v>0</v>
      </c>
      <c r="Q33" s="17" t="n">
        <f aca="false">mh_actif*mh_tmi*mh_part_deductible*mh_taux_deduction*Q18</f>
        <v>0</v>
      </c>
      <c r="R33" s="17" t="n">
        <f aca="false">mh_actif*mh_tmi*mh_part_deductible*mh_taux_deduction*R18</f>
        <v>0</v>
      </c>
      <c r="S33" s="17" t="n">
        <f aca="false">mh_actif*mh_tmi*mh_part_deductible*mh_taux_deduction*S18</f>
        <v>0</v>
      </c>
      <c r="T33" s="17" t="n">
        <f aca="false">mh_actif*mh_tmi*mh_part_deductible*mh_taux_deduction*T18</f>
        <v>0</v>
      </c>
      <c r="U33" s="17" t="n">
        <f aca="false">mh_actif*mh_tmi*mh_part_deductible*mh_taux_deduction*U18</f>
        <v>0</v>
      </c>
      <c r="V33" s="17" t="n">
        <f aca="false">mh_actif*mh_tmi*mh_part_deductible*mh_taux_deduction*V18</f>
        <v>0</v>
      </c>
      <c r="W33" s="17" t="n">
        <f aca="false">mh_actif*mh_tmi*mh_part_deductible*mh_taux_deduction*W18</f>
        <v>0</v>
      </c>
      <c r="X33" s="17" t="n">
        <f aca="false">mh_actif*mh_tmi*mh_part_deductible*mh_taux_deduction*X18</f>
        <v>0</v>
      </c>
    </row>
    <row r="34" customFormat="false" ht="15" hidden="false" customHeight="false" outlineLevel="0" collapsed="false">
      <c r="A34" s="2" t="s">
        <v>1873</v>
      </c>
      <c r="B34" s="2" t="s">
        <v>1874</v>
      </c>
      <c r="C34" s="2" t="s">
        <v>1832</v>
      </c>
      <c r="E34" s="17" t="n">
        <f aca="false">E12*flex_taux*bud_total_besoin_S3</f>
        <v>0</v>
      </c>
      <c r="F34" s="17" t="n">
        <f aca="false">F12*flex_taux*bud_total_besoin_S3</f>
        <v>0</v>
      </c>
      <c r="G34" s="17" t="n">
        <f aca="false">G12*flex_taux*bud_total_besoin_S3</f>
        <v>0</v>
      </c>
      <c r="H34" s="17" t="n">
        <f aca="false">H12*flex_taux*bud_total_besoin_S3</f>
        <v>0</v>
      </c>
      <c r="I34" s="17" t="n">
        <f aca="false">I12*flex_taux*bud_total_besoin_S3</f>
        <v>0</v>
      </c>
      <c r="J34" s="17" t="n">
        <f aca="false">J12*flex_taux*bud_total_besoin_S3</f>
        <v>0</v>
      </c>
      <c r="K34" s="17" t="n">
        <f aca="false">K12*flex_taux*bud_total_besoin_S3</f>
        <v>0</v>
      </c>
      <c r="L34" s="17" t="n">
        <f aca="false">L12*flex_taux*bud_total_besoin_S3</f>
        <v>0</v>
      </c>
      <c r="M34" s="17" t="n">
        <f aca="false">M12*flex_taux*bud_total_besoin_S3</f>
        <v>0</v>
      </c>
      <c r="N34" s="17" t="n">
        <f aca="false">N12*flex_taux*bud_total_besoin_S3</f>
        <v>0</v>
      </c>
      <c r="O34" s="17" t="n">
        <f aca="false">O12*flex_taux*bud_total_besoin_S3</f>
        <v>0</v>
      </c>
      <c r="P34" s="17" t="n">
        <f aca="false">P12*flex_taux*bud_total_besoin_S3</f>
        <v>0</v>
      </c>
      <c r="Q34" s="17" t="n">
        <f aca="false">Q12*flex_taux*bud_total_besoin_S3</f>
        <v>0</v>
      </c>
      <c r="R34" s="17" t="n">
        <f aca="false">R12*flex_taux*bud_total_besoin_S3</f>
        <v>0</v>
      </c>
      <c r="S34" s="17" t="n">
        <f aca="false">S12*flex_taux*bud_total_besoin_S3</f>
        <v>0</v>
      </c>
      <c r="T34" s="17" t="n">
        <f aca="false">T12*flex_taux*bud_total_besoin_S3</f>
        <v>0</v>
      </c>
      <c r="U34" s="17" t="n">
        <f aca="false">U12*flex_taux*bud_total_besoin_S3</f>
        <v>0</v>
      </c>
      <c r="V34" s="17" t="n">
        <f aca="false">V12*flex_taux*bud_total_besoin_S3</f>
        <v>0</v>
      </c>
      <c r="W34" s="17" t="n">
        <f aca="false">W12*flex_taux*bud_total_besoin_S3</f>
        <v>0</v>
      </c>
      <c r="X34" s="17" t="n">
        <f aca="false">X12*flex_taux*bud_total_besoin_S3</f>
        <v>0</v>
      </c>
    </row>
    <row r="35" customFormat="false" ht="15" hidden="false" customHeight="false" outlineLevel="0" collapsed="false">
      <c r="A35" s="2" t="s">
        <v>1875</v>
      </c>
      <c r="B35" s="2" t="s">
        <v>1876</v>
      </c>
      <c r="C35" s="2" t="s">
        <v>1832</v>
      </c>
      <c r="E35" s="17" t="n">
        <f aca="false">E13+E14+E15+E16+E17+E21+E32-E29-E23-E33-E34</f>
        <v>3625627.09239</v>
      </c>
      <c r="F35" s="17" t="n">
        <f aca="false">F13+F14+F15+F16+F17+F21+F32-F29-F23-F33-F34</f>
        <v>3613132.26110313</v>
      </c>
      <c r="G35" s="17" t="n">
        <f aca="false">G13+G14+G15+G16+G17+G21+G32-G29-G23-G33-G34</f>
        <v>3610003.59597434</v>
      </c>
      <c r="H35" s="17" t="n">
        <f aca="false">H13+H14+H15+H16+H17+H21+H32-H29-H23-H33-H34</f>
        <v>3630003.48271419</v>
      </c>
      <c r="I35" s="17" t="n">
        <f aca="false">I13+I14+I15+I16+I17+I21+I32-I29-I23-I33-I34</f>
        <v>3650201.3837976</v>
      </c>
      <c r="J35" s="17" t="n">
        <f aca="false">J13+J14+J15+J16+J17+J21+J32-J29-J23-J33-J34</f>
        <v>3670599.90546341</v>
      </c>
      <c r="K35" s="17" t="n">
        <f aca="false">K13+K14+K15+K16+K17+K21+K32-K29-K23-K33-K34</f>
        <v>3691201.69604266</v>
      </c>
      <c r="L35" s="17" t="n">
        <f aca="false">L13+L14+L15+L16+L17+L21+L32-L29-L23-L33-L34</f>
        <v>3712009.44671316</v>
      </c>
      <c r="M35" s="17" t="n">
        <f aca="false">M13+M14+M15+M16+M17+M21+M32-M29-M23-M33-M34</f>
        <v>3733025.89226826</v>
      </c>
      <c r="N35" s="17" t="n">
        <f aca="false">N13+N14+N15+N16+N17+N21+N32-N29-N23-N33-N34</f>
        <v>3754253.81190004</v>
      </c>
      <c r="O35" s="17" t="n">
        <f aca="false">O13+O14+O15+O16+O17+O21+O32-O29-O23-O33-O34</f>
        <v>3775696.02999709</v>
      </c>
      <c r="P35" s="17" t="n">
        <f aca="false">P13+P14+P15+P16+P17+P21+P32-P29-P23-P33-P34</f>
        <v>3797355.41695745</v>
      </c>
      <c r="Q35" s="17" t="n">
        <f aca="false">Q13+Q14+Q15+Q16+Q17+Q21+Q32-Q29-Q23-Q33-Q34</f>
        <v>3819234.89001657</v>
      </c>
      <c r="R35" s="17" t="n">
        <f aca="false">R13+R14+R15+R16+R17+R21+R32-R29-R23-R33-R34</f>
        <v>3841337.41409106</v>
      </c>
      <c r="S35" s="17" t="n">
        <f aca="false">S13+S14+S15+S16+S17+S21+S32-S29-S23-S33-S34</f>
        <v>3863666.00263806</v>
      </c>
      <c r="T35" s="17" t="n">
        <f aca="false">T13+T14+T15+T16+T17+T21+T32-T29-T23-T33-T34</f>
        <v>3886223.71853095</v>
      </c>
      <c r="U35" s="17" t="n">
        <f aca="false">U13+U14+U15+U16+U17+U21+U32-U29-U23-U33-U34</f>
        <v>3909013.67495138</v>
      </c>
      <c r="V35" s="17" t="n">
        <f aca="false">V13+V14+V15+V16+V17+V21+V32-V29-V23-V33-V34</f>
        <v>3932039.03629811</v>
      </c>
      <c r="W35" s="17" t="n">
        <f aca="false">W13+W14+W15+W16+W17+W21+W32-W29-W23-W33-W34</f>
        <v>3955303.01911301</v>
      </c>
      <c r="X35" s="17" t="n">
        <f aca="false">X13+X14+X15+X16+X17+X21+X32-X29-X23-X33-X34</f>
        <v>3978808.89302436</v>
      </c>
    </row>
    <row r="36" customFormat="false" ht="15" hidden="false" customHeight="false" outlineLevel="0" collapsed="false">
      <c r="A36" s="2" t="s">
        <v>1877</v>
      </c>
      <c r="B36" s="2" t="s">
        <v>1878</v>
      </c>
      <c r="C36" s="2" t="s">
        <v>1832</v>
      </c>
      <c r="E36" s="17" t="n">
        <f aca="false">IF(AND(E$3&lt;=S3_sol_div_annees,E$3&lt;=st_central_div_fin),S3_sol_div*IF(E11=1,0.5,1),0)</f>
        <v>0</v>
      </c>
      <c r="F36" s="17" t="n">
        <f aca="false">IF(AND(F$3&lt;=S3_sol_div_annees,F$3&lt;=st_central_div_fin),S3_sol_div*IF(F11=1,0.5,1),0)</f>
        <v>0</v>
      </c>
      <c r="G36" s="17" t="n">
        <f aca="false">IF(AND(G$3&lt;=S3_sol_div_annees,G$3&lt;=st_central_div_fin),S3_sol_div*IF(G11=1,0.5,1),0)</f>
        <v>0</v>
      </c>
      <c r="H36" s="17" t="n">
        <f aca="false">IF(AND(H$3&lt;=S3_sol_div_annees,H$3&lt;=st_central_div_fin),S3_sol_div*IF(H11=1,0.5,1),0)</f>
        <v>0</v>
      </c>
      <c r="I36" s="17" t="n">
        <f aca="false">IF(AND(I$3&lt;=S3_sol_div_annees,I$3&lt;=st_central_div_fin),S3_sol_div*IF(I11=1,0.5,1),0)</f>
        <v>0</v>
      </c>
      <c r="J36" s="17" t="n">
        <f aca="false">IF(AND(J$3&lt;=S3_sol_div_annees,J$3&lt;=st_central_div_fin),S3_sol_div*IF(J11=1,0.5,1),0)</f>
        <v>0</v>
      </c>
      <c r="K36" s="17" t="n">
        <f aca="false">IF(AND(K$3&lt;=S3_sol_div_annees,K$3&lt;=st_central_div_fin),S3_sol_div*IF(K11=1,0.5,1),0)</f>
        <v>0</v>
      </c>
      <c r="L36" s="17" t="n">
        <f aca="false">IF(AND(L$3&lt;=S3_sol_div_annees,L$3&lt;=st_central_div_fin),S3_sol_div*IF(L11=1,0.5,1),0)</f>
        <v>0</v>
      </c>
      <c r="M36" s="17" t="n">
        <f aca="false">IF(AND(M$3&lt;=S3_sol_div_annees,M$3&lt;=st_central_div_fin),S3_sol_div*IF(M11=1,0.5,1),0)</f>
        <v>0</v>
      </c>
      <c r="N36" s="17" t="n">
        <f aca="false">IF(AND(N$3&lt;=S3_sol_div_annees,N$3&lt;=st_central_div_fin),S3_sol_div*IF(N11=1,0.5,1),0)</f>
        <v>0</v>
      </c>
      <c r="O36" s="17" t="n">
        <f aca="false">IF(AND(O$3&lt;=S3_sol_div_annees,O$3&lt;=st_central_div_fin),S3_sol_div*IF(O11=1,0.5,1),0)</f>
        <v>0</v>
      </c>
      <c r="P36" s="17" t="n">
        <f aca="false">IF(AND(P$3&lt;=S3_sol_div_annees,P$3&lt;=st_central_div_fin),S3_sol_div*IF(P11=1,0.5,1),0)</f>
        <v>0</v>
      </c>
      <c r="Q36" s="17" t="n">
        <f aca="false">IF(AND(Q$3&lt;=S3_sol_div_annees,Q$3&lt;=st_central_div_fin),S3_sol_div*IF(Q11=1,0.5,1),0)</f>
        <v>0</v>
      </c>
      <c r="R36" s="17" t="n">
        <f aca="false">IF(AND(R$3&lt;=S3_sol_div_annees,R$3&lt;=st_central_div_fin),S3_sol_div*IF(R11=1,0.5,1),0)</f>
        <v>0</v>
      </c>
      <c r="S36" s="17" t="n">
        <f aca="false">IF(AND(S$3&lt;=S3_sol_div_annees,S$3&lt;=st_central_div_fin),S3_sol_div*IF(S11=1,0.5,1),0)</f>
        <v>0</v>
      </c>
      <c r="T36" s="17" t="n">
        <f aca="false">IF(AND(T$3&lt;=S3_sol_div_annees,T$3&lt;=st_central_div_fin),S3_sol_div*IF(T11=1,0.5,1),0)</f>
        <v>0</v>
      </c>
      <c r="U36" s="17" t="n">
        <f aca="false">IF(AND(U$3&lt;=S3_sol_div_annees,U$3&lt;=st_central_div_fin),S3_sol_div*IF(U11=1,0.5,1),0)</f>
        <v>0</v>
      </c>
      <c r="V36" s="17" t="n">
        <f aca="false">IF(AND(V$3&lt;=S3_sol_div_annees,V$3&lt;=st_central_div_fin),S3_sol_div*IF(V11=1,0.5,1),0)</f>
        <v>0</v>
      </c>
      <c r="W36" s="17" t="n">
        <f aca="false">IF(AND(W$3&lt;=S3_sol_div_annees,W$3&lt;=st_central_div_fin),S3_sol_div*IF(W11=1,0.5,1),0)</f>
        <v>0</v>
      </c>
      <c r="X36" s="17" t="n">
        <f aca="false">IF(AND(X$3&lt;=S3_sol_div_annees,X$3&lt;=st_central_div_fin),S3_sol_div*IF(X11=1,0.5,1),0)</f>
        <v>0</v>
      </c>
    </row>
    <row r="37" customFormat="false" ht="15" hidden="false" customHeight="false" outlineLevel="0" collapsed="false">
      <c r="A37" s="2" t="s">
        <v>1879</v>
      </c>
      <c r="B37" s="2" t="s">
        <v>1880</v>
      </c>
      <c r="C37" s="2" t="s">
        <v>46</v>
      </c>
      <c r="E37" s="20" t="n">
        <f aca="false">dot_rendement+st_central_dot_rdt_delta+IF(E11=1,-0.25,0)</f>
        <v>0.03</v>
      </c>
      <c r="F37" s="20" t="n">
        <f aca="false">dot_rendement+st_central_dot_rdt_delta+IF(F11=1,-0.25,0)</f>
        <v>0.03</v>
      </c>
      <c r="G37" s="20" t="n">
        <f aca="false">dot_rendement+st_central_dot_rdt_delta+IF(G11=1,-0.25,0)</f>
        <v>0.03</v>
      </c>
      <c r="H37" s="20" t="n">
        <f aca="false">dot_rendement+st_central_dot_rdt_delta+IF(H11=1,-0.25,0)</f>
        <v>0.03</v>
      </c>
      <c r="I37" s="20" t="n">
        <f aca="false">dot_rendement+st_central_dot_rdt_delta+IF(I11=1,-0.25,0)</f>
        <v>0.03</v>
      </c>
      <c r="J37" s="20" t="n">
        <f aca="false">dot_rendement+st_central_dot_rdt_delta+IF(J11=1,-0.25,0)</f>
        <v>0.03</v>
      </c>
      <c r="K37" s="20" t="n">
        <f aca="false">dot_rendement+st_central_dot_rdt_delta+IF(K11=1,-0.25,0)</f>
        <v>0.03</v>
      </c>
      <c r="L37" s="20" t="n">
        <f aca="false">dot_rendement+st_central_dot_rdt_delta+IF(L11=1,-0.25,0)</f>
        <v>0.03</v>
      </c>
      <c r="M37" s="20" t="n">
        <f aca="false">dot_rendement+st_central_dot_rdt_delta+IF(M11=1,-0.25,0)</f>
        <v>0.03</v>
      </c>
      <c r="N37" s="20" t="n">
        <f aca="false">dot_rendement+st_central_dot_rdt_delta+IF(N11=1,-0.25,0)</f>
        <v>0.03</v>
      </c>
      <c r="O37" s="20" t="n">
        <f aca="false">dot_rendement+st_central_dot_rdt_delta+IF(O11=1,-0.25,0)</f>
        <v>0.03</v>
      </c>
      <c r="P37" s="20" t="n">
        <f aca="false">dot_rendement+st_central_dot_rdt_delta+IF(P11=1,-0.25,0)</f>
        <v>0.03</v>
      </c>
      <c r="Q37" s="20" t="n">
        <f aca="false">dot_rendement+st_central_dot_rdt_delta+IF(Q11=1,-0.25,0)</f>
        <v>0.03</v>
      </c>
      <c r="R37" s="20" t="n">
        <f aca="false">dot_rendement+st_central_dot_rdt_delta+IF(R11=1,-0.25,0)</f>
        <v>0.03</v>
      </c>
      <c r="S37" s="20" t="n">
        <f aca="false">dot_rendement+st_central_dot_rdt_delta+IF(S11=1,-0.25,0)</f>
        <v>0.03</v>
      </c>
      <c r="T37" s="20" t="n">
        <f aca="false">dot_rendement+st_central_dot_rdt_delta+IF(T11=1,-0.25,0)</f>
        <v>0.03</v>
      </c>
      <c r="U37" s="20" t="n">
        <f aca="false">dot_rendement+st_central_dot_rdt_delta+IF(U11=1,-0.25,0)</f>
        <v>0.03</v>
      </c>
      <c r="V37" s="20" t="n">
        <f aca="false">dot_rendement+st_central_dot_rdt_delta+IF(V11=1,-0.25,0)</f>
        <v>0.03</v>
      </c>
      <c r="W37" s="20" t="n">
        <f aca="false">dot_rendement+st_central_dot_rdt_delta+IF(W11=1,-0.25,0)</f>
        <v>0.03</v>
      </c>
      <c r="X37" s="20" t="n">
        <f aca="false">dot_rendement+st_central_dot_rdt_delta+IF(X11=1,-0.25,0)</f>
        <v>0.03</v>
      </c>
    </row>
    <row r="38" customFormat="false" ht="15" hidden="false" customHeight="false" outlineLevel="0" collapsed="false">
      <c r="A38" s="2" t="s">
        <v>1881</v>
      </c>
      <c r="B38" s="2" t="s">
        <v>1882</v>
      </c>
      <c r="C38" s="2" t="s">
        <v>1832</v>
      </c>
      <c r="D38" s="17" t="n">
        <f aca="false">dot_taux_net*S3_sol_dotation0</f>
        <v>5775000</v>
      </c>
      <c r="E38" s="17" t="n">
        <f aca="false">lissage_depense*D38+(1-lissage_depense)*dot_taux_net*MAX(0,D42)</f>
        <v>5775000</v>
      </c>
      <c r="F38" s="17" t="n">
        <f aca="false">lissage_depense*E38+(1-lissage_depense)*dot_taux_net*MAX(0,E42)</f>
        <v>5777719.05099186</v>
      </c>
      <c r="G38" s="17" t="n">
        <f aca="false">lissage_depense*F38+(1-lissage_depense)*dot_taux_net*MAX(0,F42)</f>
        <v>5794753.63587903</v>
      </c>
      <c r="H38" s="17" t="n">
        <f aca="false">lissage_depense*G38+(1-lissage_depense)*dot_taux_net*MAX(0,G42)</f>
        <v>5823703.63586347</v>
      </c>
      <c r="I38" s="17" t="n">
        <f aca="false">lissage_depense*H38+(1-lissage_depense)*dot_taux_net*MAX(0,H42)</f>
        <v>5862535.63851091</v>
      </c>
      <c r="J38" s="17" t="n">
        <f aca="false">lissage_depense*I38+(1-lissage_depense)*dot_taux_net*MAX(0,I42)</f>
        <v>5909632.31491258</v>
      </c>
      <c r="K38" s="17" t="n">
        <f aca="false">lissage_depense*J38+(1-lissage_depense)*dot_taux_net*MAX(0,J42)</f>
        <v>5963709.47067697</v>
      </c>
      <c r="L38" s="17" t="n">
        <f aca="false">lissage_depense*K38+(1-lissage_depense)*dot_taux_net*MAX(0,K42)</f>
        <v>6023749.69452267</v>
      </c>
      <c r="M38" s="17" t="n">
        <f aca="false">lissage_depense*L38+(1-lissage_depense)*dot_taux_net*MAX(0,L42)</f>
        <v>6088949.28518173</v>
      </c>
      <c r="N38" s="17" t="n">
        <f aca="false">lissage_depense*M38+(1-lissage_depense)*dot_taux_net*MAX(0,M42)</f>
        <v>6158675.80118841</v>
      </c>
      <c r="O38" s="17" t="n">
        <f aca="false">lissage_depense*N38+(1-lissage_depense)*dot_taux_net*MAX(0,N42)</f>
        <v>6232434.1092196</v>
      </c>
      <c r="P38" s="17" t="n">
        <f aca="false">lissage_depense*O38+(1-lissage_depense)*dot_taux_net*MAX(0,O42)</f>
        <v>6309839.23152763</v>
      </c>
      <c r="Q38" s="17" t="n">
        <f aca="false">lissage_depense*P38+(1-lissage_depense)*dot_taux_net*MAX(0,P42)</f>
        <v>6390594.63290535</v>
      </c>
      <c r="R38" s="17" t="n">
        <f aca="false">lissage_depense*Q38+(1-lissage_depense)*dot_taux_net*MAX(0,Q42)</f>
        <v>6474474.85954293</v>
      </c>
      <c r="S38" s="17" t="n">
        <f aca="false">lissage_depense*R38+(1-lissage_depense)*dot_taux_net*MAX(0,R42)</f>
        <v>6561311.65967206</v>
      </c>
      <c r="T38" s="17" t="n">
        <f aca="false">lissage_depense*S38+(1-lissage_depense)*dot_taux_net*MAX(0,S42)</f>
        <v>6650982.88992198</v>
      </c>
      <c r="U38" s="17" t="n">
        <f aca="false">lissage_depense*T38+(1-lissage_depense)*dot_taux_net*MAX(0,T42)</f>
        <v>6743403.65053553</v>
      </c>
      <c r="V38" s="17" t="n">
        <f aca="false">lissage_depense*U38+(1-lissage_depense)*dot_taux_net*MAX(0,U42)</f>
        <v>6838519.20397207</v>
      </c>
      <c r="W38" s="17" t="n">
        <f aca="false">lissage_depense*V38+(1-lissage_depense)*dot_taux_net*MAX(0,V42)</f>
        <v>6936299.32052797</v>
      </c>
      <c r="X38" s="17" t="n">
        <f aca="false">lissage_depense*W38+(1-lissage_depense)*dot_taux_net*MAX(0,W42)</f>
        <v>7036733.76588808</v>
      </c>
    </row>
    <row r="39" customFormat="false" ht="15" hidden="false" customHeight="false" outlineLevel="0" collapsed="false">
      <c r="A39" s="2" t="s">
        <v>1883</v>
      </c>
      <c r="B39" s="2" t="s">
        <v>1884</v>
      </c>
      <c r="C39" s="2" t="s">
        <v>1832</v>
      </c>
      <c r="E39" s="17" t="n">
        <f aca="false">MIN(MAX(0,E35-E36),IF(E12=1,MAX(E38,retrait_urgence*MAX(0,D42)),E38))</f>
        <v>3625627.09239</v>
      </c>
      <c r="F39" s="17" t="n">
        <f aca="false">MIN(MAX(0,F35-F36),IF(F12=1,MAX(F38,retrait_urgence*MAX(0,E42)),F38))</f>
        <v>3613132.26110313</v>
      </c>
      <c r="G39" s="17" t="n">
        <f aca="false">MIN(MAX(0,G35-G36),IF(G12=1,MAX(G38,retrait_urgence*MAX(0,F42)),G38))</f>
        <v>3610003.59597434</v>
      </c>
      <c r="H39" s="17" t="n">
        <f aca="false">MIN(MAX(0,H35-H36),IF(H12=1,MAX(H38,retrait_urgence*MAX(0,G42)),H38))</f>
        <v>3630003.48271419</v>
      </c>
      <c r="I39" s="17" t="n">
        <f aca="false">MIN(MAX(0,I35-I36),IF(I12=1,MAX(I38,retrait_urgence*MAX(0,H42)),I38))</f>
        <v>3650201.3837976</v>
      </c>
      <c r="J39" s="17" t="n">
        <f aca="false">MIN(MAX(0,J35-J36),IF(J12=1,MAX(J38,retrait_urgence*MAX(0,I42)),J38))</f>
        <v>3670599.90546341</v>
      </c>
      <c r="K39" s="17" t="n">
        <f aca="false">MIN(MAX(0,K35-K36),IF(K12=1,MAX(K38,retrait_urgence*MAX(0,J42)),K38))</f>
        <v>3691201.69604266</v>
      </c>
      <c r="L39" s="17" t="n">
        <f aca="false">MIN(MAX(0,L35-L36),IF(L12=1,MAX(L38,retrait_urgence*MAX(0,K42)),L38))</f>
        <v>3712009.44671316</v>
      </c>
      <c r="M39" s="17" t="n">
        <f aca="false">MIN(MAX(0,M35-M36),IF(M12=1,MAX(M38,retrait_urgence*MAX(0,L42)),M38))</f>
        <v>3733025.89226826</v>
      </c>
      <c r="N39" s="17" t="n">
        <f aca="false">MIN(MAX(0,N35-N36),IF(N12=1,MAX(N38,retrait_urgence*MAX(0,M42)),N38))</f>
        <v>3754253.81190004</v>
      </c>
      <c r="O39" s="17" t="n">
        <f aca="false">MIN(MAX(0,O35-O36),IF(O12=1,MAX(O38,retrait_urgence*MAX(0,N42)),O38))</f>
        <v>3775696.02999709</v>
      </c>
      <c r="P39" s="17" t="n">
        <f aca="false">MIN(MAX(0,P35-P36),IF(P12=1,MAX(P38,retrait_urgence*MAX(0,O42)),P38))</f>
        <v>3797355.41695745</v>
      </c>
      <c r="Q39" s="17" t="n">
        <f aca="false">MIN(MAX(0,Q35-Q36),IF(Q12=1,MAX(Q38,retrait_urgence*MAX(0,P42)),Q38))</f>
        <v>3819234.89001657</v>
      </c>
      <c r="R39" s="17" t="n">
        <f aca="false">MIN(MAX(0,R35-R36),IF(R12=1,MAX(R38,retrait_urgence*MAX(0,Q42)),R38))</f>
        <v>3841337.41409106</v>
      </c>
      <c r="S39" s="17" t="n">
        <f aca="false">MIN(MAX(0,S35-S36),IF(S12=1,MAX(S38,retrait_urgence*MAX(0,R42)),S38))</f>
        <v>3863666.00263806</v>
      </c>
      <c r="T39" s="17" t="n">
        <f aca="false">MIN(MAX(0,T35-T36),IF(T12=1,MAX(T38,retrait_urgence*MAX(0,S42)),T38))</f>
        <v>3886223.71853095</v>
      </c>
      <c r="U39" s="17" t="n">
        <f aca="false">MIN(MAX(0,U35-U36),IF(U12=1,MAX(U38,retrait_urgence*MAX(0,T42)),U38))</f>
        <v>3909013.67495138</v>
      </c>
      <c r="V39" s="17" t="n">
        <f aca="false">MIN(MAX(0,V35-V36),IF(V12=1,MAX(V38,retrait_urgence*MAX(0,U42)),V38))</f>
        <v>3932039.03629811</v>
      </c>
      <c r="W39" s="17" t="n">
        <f aca="false">MIN(MAX(0,W35-W36),IF(W12=1,MAX(W38,retrait_urgence*MAX(0,V42)),W38))</f>
        <v>3955303.01911301</v>
      </c>
      <c r="X39" s="17" t="n">
        <f aca="false">MIN(MAX(0,X35-X36),IF(X12=1,MAX(X38,retrait_urgence*MAX(0,W42)),X38))</f>
        <v>3978808.89302436</v>
      </c>
    </row>
    <row r="40" customFormat="false" ht="15" hidden="false" customHeight="false" outlineLevel="0" collapsed="false">
      <c r="A40" s="2" t="s">
        <v>1885</v>
      </c>
      <c r="B40" s="18" t="s">
        <v>1886</v>
      </c>
      <c r="C40" s="2" t="s">
        <v>1832</v>
      </c>
      <c r="E40" s="23" t="n">
        <f aca="false">E36+E39-E35</f>
        <v>0</v>
      </c>
      <c r="F40" s="23" t="n">
        <f aca="false">F36+F39-F35</f>
        <v>0</v>
      </c>
      <c r="G40" s="23" t="n">
        <f aca="false">G36+G39-G35</f>
        <v>0</v>
      </c>
      <c r="H40" s="23" t="n">
        <f aca="false">H36+H39-H35</f>
        <v>0</v>
      </c>
      <c r="I40" s="23" t="n">
        <f aca="false">I36+I39-I35</f>
        <v>0</v>
      </c>
      <c r="J40" s="23" t="n">
        <f aca="false">J36+J39-J35</f>
        <v>0</v>
      </c>
      <c r="K40" s="23" t="n">
        <f aca="false">K36+K39-K35</f>
        <v>0</v>
      </c>
      <c r="L40" s="23" t="n">
        <f aca="false">L36+L39-L35</f>
        <v>0</v>
      </c>
      <c r="M40" s="23" t="n">
        <f aca="false">M36+M39-M35</f>
        <v>0</v>
      </c>
      <c r="N40" s="23" t="n">
        <f aca="false">N36+N39-N35</f>
        <v>0</v>
      </c>
      <c r="O40" s="23" t="n">
        <f aca="false">O36+O39-O35</f>
        <v>0</v>
      </c>
      <c r="P40" s="23" t="n">
        <f aca="false">P36+P39-P35</f>
        <v>0</v>
      </c>
      <c r="Q40" s="23" t="n">
        <f aca="false">Q36+Q39-Q35</f>
        <v>0</v>
      </c>
      <c r="R40" s="23" t="n">
        <f aca="false">R36+R39-R35</f>
        <v>0</v>
      </c>
      <c r="S40" s="23" t="n">
        <f aca="false">S36+S39-S35</f>
        <v>0</v>
      </c>
      <c r="T40" s="23" t="n">
        <f aca="false">T36+T39-T35</f>
        <v>0</v>
      </c>
      <c r="U40" s="23" t="n">
        <f aca="false">U36+U39-U35</f>
        <v>0</v>
      </c>
      <c r="V40" s="23" t="n">
        <f aca="false">V36+V39-V35</f>
        <v>0</v>
      </c>
      <c r="W40" s="23" t="n">
        <f aca="false">W36+W39-W35</f>
        <v>0</v>
      </c>
      <c r="X40" s="23" t="n">
        <f aca="false">X36+X39-X35</f>
        <v>0</v>
      </c>
    </row>
    <row r="41" customFormat="false" ht="15" hidden="false" customHeight="false" outlineLevel="0" collapsed="false">
      <c r="A41" s="2" t="s">
        <v>1887</v>
      </c>
      <c r="B41" s="2" t="s">
        <v>1888</v>
      </c>
      <c r="C41" s="2" t="s">
        <v>1832</v>
      </c>
      <c r="E41" s="17" t="n">
        <f aca="false">IF(AND(E40&gt;0,D43&gt;0),E40*part_surplus_dotation,0)</f>
        <v>0</v>
      </c>
      <c r="F41" s="17" t="n">
        <f aca="false">IF(AND(F40&gt;0,E43&gt;0),F40*part_surplus_dotation,0)</f>
        <v>0</v>
      </c>
      <c r="G41" s="17" t="n">
        <f aca="false">IF(AND(G40&gt;0,F43&gt;0),G40*part_surplus_dotation,0)</f>
        <v>0</v>
      </c>
      <c r="H41" s="17" t="n">
        <f aca="false">IF(AND(H40&gt;0,G43&gt;0),H40*part_surplus_dotation,0)</f>
        <v>0</v>
      </c>
      <c r="I41" s="17" t="n">
        <f aca="false">IF(AND(I40&gt;0,H43&gt;0),I40*part_surplus_dotation,0)</f>
        <v>0</v>
      </c>
      <c r="J41" s="17" t="n">
        <f aca="false">IF(AND(J40&gt;0,I43&gt;0),J40*part_surplus_dotation,0)</f>
        <v>0</v>
      </c>
      <c r="K41" s="17" t="n">
        <f aca="false">IF(AND(K40&gt;0,J43&gt;0),K40*part_surplus_dotation,0)</f>
        <v>0</v>
      </c>
      <c r="L41" s="17" t="n">
        <f aca="false">IF(AND(L40&gt;0,K43&gt;0),L40*part_surplus_dotation,0)</f>
        <v>0</v>
      </c>
      <c r="M41" s="17" t="n">
        <f aca="false">IF(AND(M40&gt;0,L43&gt;0),M40*part_surplus_dotation,0)</f>
        <v>0</v>
      </c>
      <c r="N41" s="17" t="n">
        <f aca="false">IF(AND(N40&gt;0,M43&gt;0),N40*part_surplus_dotation,0)</f>
        <v>0</v>
      </c>
      <c r="O41" s="17" t="n">
        <f aca="false">IF(AND(O40&gt;0,N43&gt;0),O40*part_surplus_dotation,0)</f>
        <v>0</v>
      </c>
      <c r="P41" s="17" t="n">
        <f aca="false">IF(AND(P40&gt;0,O43&gt;0),P40*part_surplus_dotation,0)</f>
        <v>0</v>
      </c>
      <c r="Q41" s="17" t="n">
        <f aca="false">IF(AND(Q40&gt;0,P43&gt;0),Q40*part_surplus_dotation,0)</f>
        <v>0</v>
      </c>
      <c r="R41" s="17" t="n">
        <f aca="false">IF(AND(R40&gt;0,Q43&gt;0),R40*part_surplus_dotation,0)</f>
        <v>0</v>
      </c>
      <c r="S41" s="17" t="n">
        <f aca="false">IF(AND(S40&gt;0,R43&gt;0),S40*part_surplus_dotation,0)</f>
        <v>0</v>
      </c>
      <c r="T41" s="17" t="n">
        <f aca="false">IF(AND(T40&gt;0,S43&gt;0),T40*part_surplus_dotation,0)</f>
        <v>0</v>
      </c>
      <c r="U41" s="17" t="n">
        <f aca="false">IF(AND(U40&gt;0,T43&gt;0),U40*part_surplus_dotation,0)</f>
        <v>0</v>
      </c>
      <c r="V41" s="17" t="n">
        <f aca="false">IF(AND(V40&gt;0,U43&gt;0),V40*part_surplus_dotation,0)</f>
        <v>0</v>
      </c>
      <c r="W41" s="17" t="n">
        <f aca="false">IF(AND(W40&gt;0,V43&gt;0),W40*part_surplus_dotation,0)</f>
        <v>0</v>
      </c>
      <c r="X41" s="17" t="n">
        <f aca="false">IF(AND(X40&gt;0,W43&gt;0),X40*part_surplus_dotation,0)</f>
        <v>0</v>
      </c>
    </row>
    <row r="42" customFormat="false" ht="15" hidden="false" customHeight="false" outlineLevel="0" collapsed="false">
      <c r="A42" s="2" t="s">
        <v>1889</v>
      </c>
      <c r="B42" s="18" t="s">
        <v>1890</v>
      </c>
      <c r="C42" s="2" t="s">
        <v>1832</v>
      </c>
      <c r="D42" s="23" t="n">
        <f aca="false">S3_sol_dotation0</f>
        <v>210000000</v>
      </c>
      <c r="E42" s="23" t="n">
        <f aca="false">MAX(0,D42)*(1+E37)-E39+E41-E31</f>
        <v>210494372.90761</v>
      </c>
      <c r="F42" s="23" t="n">
        <f aca="false">MAX(0,E42)*(1+F37)-F39+F41-F31</f>
        <v>213196071.833735</v>
      </c>
      <c r="G42" s="23" t="n">
        <f aca="false">MAX(0,F42)*(1+G37)-G39+G41-G31</f>
        <v>215981950.392773</v>
      </c>
      <c r="H42" s="23" t="n">
        <f aca="false">MAX(0,G42)*(1+H37)-H39+H41-H31</f>
        <v>218831405.421842</v>
      </c>
      <c r="I42" s="23" t="n">
        <f aca="false">MAX(0,H42)*(1+I37)-I39+I41-I31</f>
        <v>221746146.2007</v>
      </c>
      <c r="J42" s="23" t="n">
        <f aca="false">MAX(0,I42)*(1+J37)-J39+J41-J31</f>
        <v>224727930.681257</v>
      </c>
      <c r="K42" s="23" t="n">
        <f aca="false">MAX(0,J42)*(1+K37)-K39+K41-K31</f>
        <v>227778566.905652</v>
      </c>
      <c r="L42" s="23" t="n">
        <f aca="false">MAX(0,K42)*(1+L37)-L39+L41-L31</f>
        <v>230899914.466109</v>
      </c>
      <c r="M42" s="23" t="n">
        <f aca="false">MAX(0,L42)*(1+M37)-M39+M41-M31</f>
        <v>234093886.007824</v>
      </c>
      <c r="N42" s="23" t="n">
        <f aca="false">MAX(0,M42)*(1+N37)-N39+N41-N31</f>
        <v>237362448.776158</v>
      </c>
      <c r="O42" s="23" t="n">
        <f aca="false">MAX(0,N42)*(1+O37)-O39+O41-O31</f>
        <v>240707626.209446</v>
      </c>
      <c r="P42" s="23" t="n">
        <f aca="false">MAX(0,O42)*(1+P37)-P39+P41-P31</f>
        <v>244131499.578772</v>
      </c>
      <c r="Q42" s="23" t="n">
        <f aca="false">MAX(0,P42)*(1+Q37)-Q39+Q41-Q31</f>
        <v>247636209.676119</v>
      </c>
      <c r="R42" s="23" t="n">
        <f aca="false">MAX(0,Q42)*(1+R37)-R39+R41-R31</f>
        <v>251223958.552311</v>
      </c>
      <c r="S42" s="23" t="n">
        <f aca="false">MAX(0,R42)*(1+S37)-S39+S41-S31</f>
        <v>254897011.306242</v>
      </c>
      <c r="T42" s="23" t="n">
        <f aca="false">MAX(0,S42)*(1+T37)-T39+T41-T31</f>
        <v>258657697.926899</v>
      </c>
      <c r="U42" s="23" t="n">
        <f aca="false">MAX(0,T42)*(1+U37)-U39+U41-U31</f>
        <v>262508415.189754</v>
      </c>
      <c r="V42" s="23" t="n">
        <f aca="false">MAX(0,U42)*(1+V37)-V39+V41-V31</f>
        <v>266451628.609149</v>
      </c>
      <c r="W42" s="23" t="n">
        <f aca="false">MAX(0,V42)*(1+W37)-W39+W41-W31</f>
        <v>270489874.44831</v>
      </c>
      <c r="X42" s="23" t="n">
        <f aca="false">MAX(0,W42)*(1+X37)-X39+X41-X31</f>
        <v>274625761.788735</v>
      </c>
    </row>
    <row r="43" customFormat="false" ht="15" hidden="false" customHeight="false" outlineLevel="0" collapsed="false">
      <c r="A43" s="2" t="s">
        <v>1891</v>
      </c>
      <c r="B43" s="18" t="s">
        <v>1892</v>
      </c>
      <c r="C43" s="2" t="s">
        <v>1832</v>
      </c>
      <c r="D43" s="23" t="n">
        <f aca="false">S3_sol_reserve0</f>
        <v>4000000</v>
      </c>
      <c r="E43" s="23" t="n">
        <f aca="false">D43*(1+taux_reserve)+E40-E41-(E30-E31)</f>
        <v>4000000</v>
      </c>
      <c r="F43" s="23" t="n">
        <f aca="false">E43*(1+taux_reserve)+F40-F41-(F30-F31)</f>
        <v>4000000</v>
      </c>
      <c r="G43" s="23" t="n">
        <f aca="false">F43*(1+taux_reserve)+G40-G41-(G30-G31)</f>
        <v>4000000</v>
      </c>
      <c r="H43" s="23" t="n">
        <f aca="false">G43*(1+taux_reserve)+H40-H41-(H30-H31)</f>
        <v>4000000</v>
      </c>
      <c r="I43" s="23" t="n">
        <f aca="false">H43*(1+taux_reserve)+I40-I41-(I30-I31)</f>
        <v>4000000</v>
      </c>
      <c r="J43" s="23" t="n">
        <f aca="false">I43*(1+taux_reserve)+J40-J41-(J30-J31)</f>
        <v>4000000</v>
      </c>
      <c r="K43" s="23" t="n">
        <f aca="false">J43*(1+taux_reserve)+K40-K41-(K30-K31)</f>
        <v>4000000</v>
      </c>
      <c r="L43" s="23" t="n">
        <f aca="false">K43*(1+taux_reserve)+L40-L41-(L30-L31)</f>
        <v>4000000</v>
      </c>
      <c r="M43" s="23" t="n">
        <f aca="false">L43*(1+taux_reserve)+M40-M41-(M30-M31)</f>
        <v>4000000</v>
      </c>
      <c r="N43" s="23" t="n">
        <f aca="false">M43*(1+taux_reserve)+N40-N41-(N30-N31)</f>
        <v>4000000</v>
      </c>
      <c r="O43" s="23" t="n">
        <f aca="false">N43*(1+taux_reserve)+O40-O41-(O30-O31)</f>
        <v>4000000</v>
      </c>
      <c r="P43" s="23" t="n">
        <f aca="false">O43*(1+taux_reserve)+P40-P41-(P30-P31)</f>
        <v>4000000</v>
      </c>
      <c r="Q43" s="23" t="n">
        <f aca="false">P43*(1+taux_reserve)+Q40-Q41-(Q30-Q31)</f>
        <v>4000000</v>
      </c>
      <c r="R43" s="23" t="n">
        <f aca="false">Q43*(1+taux_reserve)+R40-R41-(R30-R31)</f>
        <v>4000000</v>
      </c>
      <c r="S43" s="23" t="n">
        <f aca="false">R43*(1+taux_reserve)+S40-S41-(S30-S31)</f>
        <v>4000000</v>
      </c>
      <c r="T43" s="23" t="n">
        <f aca="false">S43*(1+taux_reserve)+T40-T41-(T30-T31)</f>
        <v>4000000</v>
      </c>
      <c r="U43" s="23" t="n">
        <f aca="false">T43*(1+taux_reserve)+U40-U41-(U30-U31)</f>
        <v>4000000</v>
      </c>
      <c r="V43" s="23" t="n">
        <f aca="false">U43*(1+taux_reserve)+V40-V41-(V30-V31)</f>
        <v>4000000</v>
      </c>
      <c r="W43" s="23" t="n">
        <f aca="false">V43*(1+taux_reserve)+W40-W41-(W30-W31)</f>
        <v>4000000</v>
      </c>
      <c r="X43" s="23" t="n">
        <f aca="false">W43*(1+taux_reserve)+X40-X41-(X30-X31)</f>
        <v>4000000</v>
      </c>
    </row>
    <row r="44" customFormat="false" ht="15" hidden="false" customHeight="false" outlineLevel="0" collapsed="false">
      <c r="A44" s="2" t="s">
        <v>1893</v>
      </c>
      <c r="B44" s="18" t="s">
        <v>1894</v>
      </c>
      <c r="C44" s="2" t="s">
        <v>1832</v>
      </c>
      <c r="E44" s="23" t="n">
        <f aca="false">E43+E22</f>
        <v>5186142.34375</v>
      </c>
      <c r="F44" s="23" t="n">
        <f aca="false">F43+F22</f>
        <v>6381180.75507813</v>
      </c>
      <c r="G44" s="23" t="n">
        <f aca="false">G43+G22</f>
        <v>7585181.95449121</v>
      </c>
      <c r="H44" s="23" t="n">
        <f aca="false">H43+H22</f>
        <v>4000000</v>
      </c>
      <c r="I44" s="23" t="n">
        <f aca="false">I43+I22</f>
        <v>5222128.94247175</v>
      </c>
      <c r="J44" s="23" t="n">
        <f aca="false">J43+J22</f>
        <v>6453423.85201204</v>
      </c>
      <c r="K44" s="23" t="n">
        <f aca="false">K43+K22</f>
        <v>7693953.47337388</v>
      </c>
      <c r="L44" s="23" t="n">
        <f aca="false">L43+L22</f>
        <v>4000000</v>
      </c>
      <c r="M44" s="23" t="n">
        <f aca="false">M43+M22</f>
        <v>5259207.34547347</v>
      </c>
      <c r="N44" s="23" t="n">
        <f aca="false">N43+N22</f>
        <v>6527858.74603799</v>
      </c>
      <c r="O44" s="23" t="n">
        <f aca="false">O43+O22</f>
        <v>7806025.03210674</v>
      </c>
      <c r="P44" s="23" t="n">
        <f aca="false">P43+P22</f>
        <v>4000000</v>
      </c>
      <c r="Q44" s="23" t="n">
        <f aca="false">Q43+Q22</f>
        <v>5297410.67721338</v>
      </c>
      <c r="R44" s="23" t="n">
        <f aca="false">R43+R22</f>
        <v>6604551.93450586</v>
      </c>
      <c r="S44" s="23" t="n">
        <f aca="false">S43+S22</f>
        <v>7921496.75122803</v>
      </c>
      <c r="T44" s="23" t="n">
        <f aca="false">T43+T22</f>
        <v>4000000</v>
      </c>
      <c r="U44" s="23" t="n">
        <f aca="false">U43+U22</f>
        <v>5336773.06711895</v>
      </c>
      <c r="V44" s="23" t="n">
        <f aca="false">V43+V22</f>
        <v>6683571.93224128</v>
      </c>
      <c r="W44" s="23" t="n">
        <f aca="false">W43+W22</f>
        <v>8040471.78885204</v>
      </c>
      <c r="X44" s="23" t="n">
        <f aca="false">X43+X22</f>
        <v>4000000</v>
      </c>
    </row>
    <row r="45" customFormat="false" ht="15" hidden="false" customHeight="false" outlineLevel="0" collapsed="false">
      <c r="A45" s="2" t="s">
        <v>1895</v>
      </c>
      <c r="B45" s="18" t="s">
        <v>1896</v>
      </c>
      <c r="C45" s="2" t="s">
        <v>46</v>
      </c>
      <c r="E45" s="24" t="n">
        <f aca="false">(E29+E38)/E18</f>
        <v>1.58688833160334</v>
      </c>
      <c r="F45" s="24" t="n">
        <f aca="false">(F29+F38)/F18</f>
        <v>1.58789435645711</v>
      </c>
      <c r="G45" s="24" t="n">
        <f aca="false">(G29+G38)/G18</f>
        <v>1.59019606924568</v>
      </c>
      <c r="H45" s="24" t="n">
        <f aca="false">(H29+H38)/H18</f>
        <v>1.58942929229612</v>
      </c>
      <c r="I45" s="24" t="n">
        <f aca="false">(I29+I38)/I18</f>
        <v>1.59122752481278</v>
      </c>
      <c r="J45" s="24" t="n">
        <f aca="false">(J29+J38)/J18</f>
        <v>1.59511819316303</v>
      </c>
      <c r="K45" s="24" t="n">
        <f aca="false">(K29+K38)/K18</f>
        <v>1.60072623819024</v>
      </c>
      <c r="L45" s="24" t="n">
        <f aca="false">(L29+L38)/L18</f>
        <v>1.60775424177176</v>
      </c>
      <c r="M45" s="24" t="n">
        <f aca="false">(M29+M38)/M18</f>
        <v>1.61596660676098</v>
      </c>
      <c r="N45" s="24" t="n">
        <f aca="false">(N29+N38)/N18</f>
        <v>1.62517696392561</v>
      </c>
      <c r="O45" s="24" t="n">
        <f aca="false">(O29+O38)/O18</f>
        <v>1.63523814792206</v>
      </c>
      <c r="P45" s="24" t="n">
        <f aca="false">(P29+P38)/P18</f>
        <v>1.64603421845628</v>
      </c>
      <c r="Q45" s="24" t="n">
        <f aca="false">(Q29+Q38)/Q18</f>
        <v>1.65747410956568</v>
      </c>
      <c r="R45" s="24" t="n">
        <f aca="false">(R29+R38)/R18</f>
        <v>1.66948657497956</v>
      </c>
      <c r="S45" s="24" t="n">
        <f aca="false">(S29+S38)/S18</f>
        <v>1.68201616521191</v>
      </c>
      <c r="T45" s="24" t="n">
        <f aca="false">(T29+T38)/T18</f>
        <v>1.69502002593862</v>
      </c>
      <c r="U45" s="24" t="n">
        <f aca="false">(U29+U38)/U18</f>
        <v>1.70846535012395</v>
      </c>
      <c r="V45" s="24" t="n">
        <f aca="false">(V29+V38)/V18</f>
        <v>1.72232735052602</v>
      </c>
      <c r="W45" s="24" t="n">
        <f aca="false">(W29+W38)/W18</f>
        <v>1.73658764641112</v>
      </c>
      <c r="X45" s="24" t="n">
        <f aca="false">(X29+X38)/X18</f>
        <v>1.75123297996133</v>
      </c>
    </row>
    <row r="46" customFormat="false" ht="15" hidden="false" customHeight="false" outlineLevel="0" collapsed="false">
      <c r="A46" s="2" t="s">
        <v>1897</v>
      </c>
      <c r="B46" s="18" t="s">
        <v>1898</v>
      </c>
      <c r="C46" s="2" t="s">
        <v>1815</v>
      </c>
      <c r="E46" s="25" t="n">
        <f aca="false">IF(E38&gt;=E35,1,0)</f>
        <v>1</v>
      </c>
      <c r="F46" s="25" t="n">
        <f aca="false">IF(F38&gt;=F35,1,0)</f>
        <v>1</v>
      </c>
      <c r="G46" s="25" t="n">
        <f aca="false">IF(G38&gt;=G35,1,0)</f>
        <v>1</v>
      </c>
      <c r="H46" s="25" t="n">
        <f aca="false">IF(H38&gt;=H35,1,0)</f>
        <v>1</v>
      </c>
      <c r="I46" s="25" t="n">
        <f aca="false">IF(I38&gt;=I35,1,0)</f>
        <v>1</v>
      </c>
      <c r="J46" s="25" t="n">
        <f aca="false">IF(J38&gt;=J35,1,0)</f>
        <v>1</v>
      </c>
      <c r="K46" s="25" t="n">
        <f aca="false">IF(K38&gt;=K35,1,0)</f>
        <v>1</v>
      </c>
      <c r="L46" s="25" t="n">
        <f aca="false">IF(L38&gt;=L35,1,0)</f>
        <v>1</v>
      </c>
      <c r="M46" s="25" t="n">
        <f aca="false">IF(M38&gt;=M35,1,0)</f>
        <v>1</v>
      </c>
      <c r="N46" s="25" t="n">
        <f aca="false">IF(N38&gt;=N35,1,0)</f>
        <v>1</v>
      </c>
      <c r="O46" s="25" t="n">
        <f aca="false">IF(O38&gt;=O35,1,0)</f>
        <v>1</v>
      </c>
      <c r="P46" s="25" t="n">
        <f aca="false">IF(P38&gt;=P35,1,0)</f>
        <v>1</v>
      </c>
      <c r="Q46" s="25" t="n">
        <f aca="false">IF(Q38&gt;=Q35,1,0)</f>
        <v>1</v>
      </c>
      <c r="R46" s="25" t="n">
        <f aca="false">IF(R38&gt;=R35,1,0)</f>
        <v>1</v>
      </c>
      <c r="S46" s="25" t="n">
        <f aca="false">IF(S38&gt;=S35,1,0)</f>
        <v>1</v>
      </c>
      <c r="T46" s="25" t="n">
        <f aca="false">IF(T38&gt;=T35,1,0)</f>
        <v>1</v>
      </c>
      <c r="U46" s="25" t="n">
        <f aca="false">IF(U38&gt;=U35,1,0)</f>
        <v>1</v>
      </c>
      <c r="V46" s="25" t="n">
        <f aca="false">IF(V38&gt;=V35,1,0)</f>
        <v>1</v>
      </c>
      <c r="W46" s="25" t="n">
        <f aca="false">IF(W38&gt;=W35,1,0)</f>
        <v>1</v>
      </c>
      <c r="X46" s="25" t="n">
        <f aca="false">IF(X38&gt;=X35,1,0)</f>
        <v>1</v>
      </c>
    </row>
    <row r="47" customFormat="false" ht="15" hidden="false" customHeight="false" outlineLevel="0" collapsed="false">
      <c r="A47" s="2" t="s">
        <v>1899</v>
      </c>
      <c r="B47" s="18" t="s">
        <v>1900</v>
      </c>
      <c r="C47" s="2" t="s">
        <v>1815</v>
      </c>
      <c r="E47" s="25" t="n">
        <f aca="false">IF(E43&lt;0,1,0)</f>
        <v>0</v>
      </c>
      <c r="F47" s="25" t="n">
        <f aca="false">IF(F43&lt;0,1,0)</f>
        <v>0</v>
      </c>
      <c r="G47" s="25" t="n">
        <f aca="false">IF(G43&lt;0,1,0)</f>
        <v>0</v>
      </c>
      <c r="H47" s="25" t="n">
        <f aca="false">IF(H43&lt;0,1,0)</f>
        <v>0</v>
      </c>
      <c r="I47" s="25" t="n">
        <f aca="false">IF(I43&lt;0,1,0)</f>
        <v>0</v>
      </c>
      <c r="J47" s="25" t="n">
        <f aca="false">IF(J43&lt;0,1,0)</f>
        <v>0</v>
      </c>
      <c r="K47" s="25" t="n">
        <f aca="false">IF(K43&lt;0,1,0)</f>
        <v>0</v>
      </c>
      <c r="L47" s="25" t="n">
        <f aca="false">IF(L43&lt;0,1,0)</f>
        <v>0</v>
      </c>
      <c r="M47" s="25" t="n">
        <f aca="false">IF(M43&lt;0,1,0)</f>
        <v>0</v>
      </c>
      <c r="N47" s="25" t="n">
        <f aca="false">IF(N43&lt;0,1,0)</f>
        <v>0</v>
      </c>
      <c r="O47" s="25" t="n">
        <f aca="false">IF(O43&lt;0,1,0)</f>
        <v>0</v>
      </c>
      <c r="P47" s="25" t="n">
        <f aca="false">IF(P43&lt;0,1,0)</f>
        <v>0</v>
      </c>
      <c r="Q47" s="25" t="n">
        <f aca="false">IF(Q43&lt;0,1,0)</f>
        <v>0</v>
      </c>
      <c r="R47" s="25" t="n">
        <f aca="false">IF(R43&lt;0,1,0)</f>
        <v>0</v>
      </c>
      <c r="S47" s="25" t="n">
        <f aca="false">IF(S43&lt;0,1,0)</f>
        <v>0</v>
      </c>
      <c r="T47" s="25" t="n">
        <f aca="false">IF(T43&lt;0,1,0)</f>
        <v>0</v>
      </c>
      <c r="U47" s="25" t="n">
        <f aca="false">IF(U43&lt;0,1,0)</f>
        <v>0</v>
      </c>
      <c r="V47" s="25" t="n">
        <f aca="false">IF(V43&lt;0,1,0)</f>
        <v>0</v>
      </c>
      <c r="W47" s="25" t="n">
        <f aca="false">IF(W43&lt;0,1,0)</f>
        <v>0</v>
      </c>
      <c r="X47" s="25" t="n">
        <f aca="false">IF(X43&lt;0,1,0)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1912</v>
      </c>
    </row>
    <row r="2" customFormat="false" ht="54" hidden="false" customHeight="true" outlineLevel="0" collapsed="false">
      <c r="A2" s="3" t="s">
        <v>1913</v>
      </c>
      <c r="B2" s="3"/>
      <c r="C2" s="3"/>
      <c r="D2" s="3"/>
      <c r="E2" s="3"/>
    </row>
    <row r="4" customFormat="false" ht="23.85" hidden="false" customHeight="false" outlineLevel="0" collapsed="false">
      <c r="A4" s="4" t="s">
        <v>1403</v>
      </c>
      <c r="B4" s="4" t="s">
        <v>12</v>
      </c>
      <c r="C4" s="4" t="s">
        <v>1404</v>
      </c>
      <c r="D4" s="4" t="s">
        <v>1405</v>
      </c>
      <c r="E4" s="4" t="s">
        <v>1914</v>
      </c>
    </row>
    <row r="5" customFormat="false" ht="15" hidden="false" customHeight="false" outlineLevel="0" collapsed="false">
      <c r="A5" s="2" t="s">
        <v>1915</v>
      </c>
      <c r="B5" s="2" t="s">
        <v>1916</v>
      </c>
      <c r="C5" s="2" t="s">
        <v>1917</v>
      </c>
      <c r="D5" s="16" t="n">
        <v>0</v>
      </c>
      <c r="E5" s="17" t="n">
        <f aca="false">MIN(prj_Proj_S2_sans_moteur_reserve)</f>
        <v>-22489078.7010165</v>
      </c>
    </row>
    <row r="6" customFormat="false" ht="15" hidden="false" customHeight="false" outlineLevel="0" collapsed="false">
      <c r="A6" s="2" t="s">
        <v>1918</v>
      </c>
      <c r="B6" s="2" t="s">
        <v>1919</v>
      </c>
      <c r="C6" s="2" t="s">
        <v>1917</v>
      </c>
      <c r="D6" s="16" t="n">
        <v>0</v>
      </c>
      <c r="E6" s="17" t="n">
        <f aca="false">INDEX(prj_Proj_S2_sans_moteur_reserve,1,20)</f>
        <v>-22489078.7010165</v>
      </c>
    </row>
    <row r="7" customFormat="false" ht="15" hidden="false" customHeight="false" outlineLevel="0" collapsed="false">
      <c r="A7" s="2" t="s">
        <v>1920</v>
      </c>
      <c r="B7" s="2" t="s">
        <v>1921</v>
      </c>
      <c r="C7" s="2" t="s">
        <v>1917</v>
      </c>
      <c r="D7" s="16" t="n">
        <v>0</v>
      </c>
      <c r="E7" s="17" t="n">
        <f aca="false">INDEX(prj_Proj_S2_sans_moteur_dotation_fin,1,20)</f>
        <v>0</v>
      </c>
    </row>
    <row r="8" customFormat="false" ht="15" hidden="false" customHeight="false" outlineLevel="0" collapsed="false">
      <c r="A8" s="2" t="s">
        <v>1922</v>
      </c>
      <c r="B8" s="2" t="s">
        <v>1923</v>
      </c>
      <c r="C8" s="2" t="s">
        <v>1917</v>
      </c>
      <c r="D8" s="16" t="n">
        <v>0</v>
      </c>
      <c r="E8" s="17" t="n">
        <f aca="false">SUM(prj_Proj_S2_sans_moteur_kpi_deficit)</f>
        <v>20</v>
      </c>
    </row>
    <row r="9" customFormat="false" ht="15" hidden="false" customHeight="false" outlineLevel="0" collapsed="false">
      <c r="A9" s="2" t="s">
        <v>1924</v>
      </c>
      <c r="B9" s="2" t="s">
        <v>1925</v>
      </c>
      <c r="C9" s="2" t="s">
        <v>1917</v>
      </c>
      <c r="D9" s="16" t="n">
        <v>0</v>
      </c>
      <c r="E9" s="17" t="n">
        <f aca="false">AVERAGE(prj_Proj_S2_sans_moteur_act_nette)</f>
        <v>47031.777625</v>
      </c>
    </row>
    <row r="10" customFormat="false" ht="15" hidden="false" customHeight="false" outlineLevel="0" collapsed="false">
      <c r="A10" s="2" t="s">
        <v>1926</v>
      </c>
      <c r="B10" s="2" t="s">
        <v>1927</v>
      </c>
      <c r="C10" s="2" t="s">
        <v>1928</v>
      </c>
      <c r="D10" s="16" t="n">
        <v>0</v>
      </c>
      <c r="E10" s="17" t="n">
        <f aca="false">MIN(prj_Proj_S2_solution_reserve)</f>
        <v>1500000</v>
      </c>
    </row>
    <row r="11" customFormat="false" ht="15" hidden="false" customHeight="false" outlineLevel="0" collapsed="false">
      <c r="A11" s="2" t="s">
        <v>1929</v>
      </c>
      <c r="B11" s="2" t="s">
        <v>1930</v>
      </c>
      <c r="C11" s="2" t="s">
        <v>1928</v>
      </c>
      <c r="D11" s="16" t="n">
        <v>0</v>
      </c>
      <c r="E11" s="17" t="n">
        <f aca="false">INDEX(prj_Proj_S2_solution_reserve,1,20)</f>
        <v>1500000</v>
      </c>
    </row>
    <row r="12" customFormat="false" ht="15" hidden="false" customHeight="false" outlineLevel="0" collapsed="false">
      <c r="A12" s="2" t="s">
        <v>1931</v>
      </c>
      <c r="B12" s="2" t="s">
        <v>1932</v>
      </c>
      <c r="C12" s="2" t="s">
        <v>1928</v>
      </c>
      <c r="D12" s="16" t="n">
        <v>0</v>
      </c>
      <c r="E12" s="17" t="n">
        <f aca="false">INDEX(prj_Proj_S2_solution_dotation_fin,1,20)</f>
        <v>88093365.5695313</v>
      </c>
    </row>
    <row r="13" customFormat="false" ht="15" hidden="false" customHeight="false" outlineLevel="0" collapsed="false">
      <c r="A13" s="2" t="s">
        <v>1933</v>
      </c>
      <c r="B13" s="2" t="s">
        <v>1934</v>
      </c>
      <c r="C13" s="2" t="s">
        <v>1928</v>
      </c>
      <c r="D13" s="16" t="n">
        <v>0</v>
      </c>
      <c r="E13" s="17" t="n">
        <f aca="false">SUM(prj_Proj_S2_solution_kpi_deficit)</f>
        <v>0</v>
      </c>
    </row>
    <row r="14" customFormat="false" ht="15" hidden="false" customHeight="false" outlineLevel="0" collapsed="false">
      <c r="A14" s="2" t="s">
        <v>1935</v>
      </c>
      <c r="B14" s="2" t="s">
        <v>1936</v>
      </c>
      <c r="C14" s="2" t="s">
        <v>1928</v>
      </c>
      <c r="D14" s="16" t="n">
        <v>0</v>
      </c>
      <c r="E14" s="17" t="n">
        <f aca="false">AVERAGE(prj_Proj_S2_solution_act_nette)</f>
        <v>47031.777625</v>
      </c>
    </row>
    <row r="15" customFormat="false" ht="15" hidden="false" customHeight="false" outlineLevel="0" collapsed="false">
      <c r="A15" s="2" t="s">
        <v>1937</v>
      </c>
      <c r="B15" s="2" t="s">
        <v>1938</v>
      </c>
      <c r="C15" s="2" t="s">
        <v>1939</v>
      </c>
      <c r="D15" s="16" t="n">
        <v>0</v>
      </c>
      <c r="E15" s="17" t="n">
        <f aca="false">MIN(prj_ST_S2_ca30_reserve)</f>
        <v>1500000</v>
      </c>
    </row>
    <row r="16" customFormat="false" ht="15" hidden="false" customHeight="false" outlineLevel="0" collapsed="false">
      <c r="A16" s="2" t="s">
        <v>1940</v>
      </c>
      <c r="B16" s="2" t="s">
        <v>1941</v>
      </c>
      <c r="C16" s="2" t="s">
        <v>1939</v>
      </c>
      <c r="D16" s="16" t="n">
        <v>0</v>
      </c>
      <c r="E16" s="17" t="n">
        <f aca="false">INDEX(prj_ST_S2_ca30_reserve,1,20)</f>
        <v>1500000</v>
      </c>
    </row>
    <row r="17" customFormat="false" ht="15" hidden="false" customHeight="false" outlineLevel="0" collapsed="false">
      <c r="A17" s="2" t="s">
        <v>1942</v>
      </c>
      <c r="B17" s="2" t="s">
        <v>1943</v>
      </c>
      <c r="C17" s="2" t="s">
        <v>1939</v>
      </c>
      <c r="D17" s="16" t="n">
        <v>0</v>
      </c>
      <c r="E17" s="17" t="n">
        <f aca="false">INDEX(prj_ST_S2_ca30_dotation_fin,1,20)</f>
        <v>87748335.0156652</v>
      </c>
    </row>
    <row r="18" customFormat="false" ht="15" hidden="false" customHeight="false" outlineLevel="0" collapsed="false">
      <c r="A18" s="2" t="s">
        <v>1944</v>
      </c>
      <c r="B18" s="2" t="s">
        <v>1945</v>
      </c>
      <c r="C18" s="2" t="s">
        <v>1939</v>
      </c>
      <c r="D18" s="16" t="n">
        <v>0</v>
      </c>
      <c r="E18" s="17" t="n">
        <f aca="false">SUM(prj_ST_S2_ca30_kpi_deficit)</f>
        <v>0</v>
      </c>
    </row>
    <row r="19" customFormat="false" ht="15" hidden="false" customHeight="false" outlineLevel="0" collapsed="false">
      <c r="A19" s="2" t="s">
        <v>1946</v>
      </c>
      <c r="B19" s="2" t="s">
        <v>1947</v>
      </c>
      <c r="C19" s="2" t="s">
        <v>1939</v>
      </c>
      <c r="D19" s="16" t="n">
        <v>0</v>
      </c>
      <c r="E19" s="17" t="n">
        <f aca="false">AVERAGE(prj_ST_S2_ca30_act_nette)</f>
        <v>33769.553125</v>
      </c>
    </row>
    <row r="20" customFormat="false" ht="15" hidden="false" customHeight="false" outlineLevel="0" collapsed="false">
      <c r="A20" s="2" t="s">
        <v>1948</v>
      </c>
      <c r="B20" s="2" t="s">
        <v>1949</v>
      </c>
      <c r="C20" s="2" t="s">
        <v>1950</v>
      </c>
      <c r="D20" s="16" t="n">
        <v>0</v>
      </c>
      <c r="E20" s="17" t="n">
        <f aca="false">MIN(prj_ST_S2_crise_reserve)</f>
        <v>1500000</v>
      </c>
    </row>
    <row r="21" customFormat="false" ht="15" hidden="false" customHeight="false" outlineLevel="0" collapsed="false">
      <c r="A21" s="2" t="s">
        <v>1951</v>
      </c>
      <c r="B21" s="2" t="s">
        <v>1952</v>
      </c>
      <c r="C21" s="2" t="s">
        <v>1950</v>
      </c>
      <c r="D21" s="16" t="n">
        <v>0</v>
      </c>
      <c r="E21" s="17" t="n">
        <f aca="false">INDEX(prj_ST_S2_crise_reserve,1,20)</f>
        <v>1500000</v>
      </c>
    </row>
    <row r="22" customFormat="false" ht="15" hidden="false" customHeight="false" outlineLevel="0" collapsed="false">
      <c r="A22" s="2" t="s">
        <v>1953</v>
      </c>
      <c r="B22" s="2" t="s">
        <v>1954</v>
      </c>
      <c r="C22" s="2" t="s">
        <v>1950</v>
      </c>
      <c r="D22" s="16" t="n">
        <v>0</v>
      </c>
      <c r="E22" s="17" t="n">
        <f aca="false">INDEX(prj_ST_S2_crise_dotation_fin,1,20)</f>
        <v>61819533.0169222</v>
      </c>
    </row>
    <row r="23" customFormat="false" ht="15" hidden="false" customHeight="false" outlineLevel="0" collapsed="false">
      <c r="A23" s="2" t="s">
        <v>1955</v>
      </c>
      <c r="B23" s="2" t="s">
        <v>1956</v>
      </c>
      <c r="C23" s="2" t="s">
        <v>1950</v>
      </c>
      <c r="D23" s="16" t="n">
        <v>0</v>
      </c>
      <c r="E23" s="17" t="n">
        <f aca="false">SUM(prj_ST_S2_crise_kpi_deficit)</f>
        <v>0</v>
      </c>
    </row>
    <row r="24" customFormat="false" ht="15" hidden="false" customHeight="false" outlineLevel="0" collapsed="false">
      <c r="A24" s="2" t="s">
        <v>1957</v>
      </c>
      <c r="B24" s="2" t="s">
        <v>1958</v>
      </c>
      <c r="C24" s="2" t="s">
        <v>1950</v>
      </c>
      <c r="D24" s="16" t="n">
        <v>0</v>
      </c>
      <c r="E24" s="17" t="n">
        <f aca="false">AVERAGE(prj_ST_S2_crise_act_nette)</f>
        <v>46602.617425</v>
      </c>
    </row>
    <row r="25" customFormat="false" ht="15" hidden="false" customHeight="false" outlineLevel="0" collapsed="false">
      <c r="A25" s="2" t="s">
        <v>1959</v>
      </c>
      <c r="B25" s="2" t="s">
        <v>1960</v>
      </c>
      <c r="C25" s="2" t="s">
        <v>1961</v>
      </c>
      <c r="D25" s="16" t="n">
        <v>0</v>
      </c>
      <c r="E25" s="17" t="n">
        <f aca="false">MIN(prj_ST_S2_travaux_reserve)</f>
        <v>1500000</v>
      </c>
    </row>
    <row r="26" customFormat="false" ht="15" hidden="false" customHeight="false" outlineLevel="0" collapsed="false">
      <c r="A26" s="2" t="s">
        <v>1962</v>
      </c>
      <c r="B26" s="2" t="s">
        <v>1963</v>
      </c>
      <c r="C26" s="2" t="s">
        <v>1961</v>
      </c>
      <c r="D26" s="16" t="n">
        <v>0</v>
      </c>
      <c r="E26" s="17" t="n">
        <f aca="false">INDEX(prj_ST_S2_travaux_reserve,1,20)</f>
        <v>1500000</v>
      </c>
    </row>
    <row r="27" customFormat="false" ht="15" hidden="false" customHeight="false" outlineLevel="0" collapsed="false">
      <c r="A27" s="2" t="s">
        <v>1964</v>
      </c>
      <c r="B27" s="2" t="s">
        <v>1965</v>
      </c>
      <c r="C27" s="2" t="s">
        <v>1961</v>
      </c>
      <c r="D27" s="16" t="n">
        <v>0</v>
      </c>
      <c r="E27" s="17" t="n">
        <f aca="false">INDEX(prj_ST_S2_travaux_dotation_fin,1,20)</f>
        <v>85771979.6334739</v>
      </c>
    </row>
    <row r="28" customFormat="false" ht="15" hidden="false" customHeight="false" outlineLevel="0" collapsed="false">
      <c r="A28" s="2" t="s">
        <v>1966</v>
      </c>
      <c r="B28" s="2" t="s">
        <v>1967</v>
      </c>
      <c r="C28" s="2" t="s">
        <v>1961</v>
      </c>
      <c r="D28" s="16" t="n">
        <v>0</v>
      </c>
      <c r="E28" s="17" t="n">
        <f aca="false">SUM(prj_ST_S2_travaux_kpi_deficit)</f>
        <v>0</v>
      </c>
    </row>
    <row r="29" customFormat="false" ht="15" hidden="false" customHeight="false" outlineLevel="0" collapsed="false">
      <c r="A29" s="2" t="s">
        <v>1968</v>
      </c>
      <c r="B29" s="2" t="s">
        <v>1969</v>
      </c>
      <c r="C29" s="2" t="s">
        <v>1961</v>
      </c>
      <c r="D29" s="16" t="n">
        <v>0</v>
      </c>
      <c r="E29" s="17" t="n">
        <f aca="false">AVERAGE(prj_ST_S2_travaux_act_nette)</f>
        <v>47031.777625</v>
      </c>
    </row>
    <row r="30" customFormat="false" ht="15" hidden="false" customHeight="false" outlineLevel="0" collapsed="false">
      <c r="A30" s="2" t="s">
        <v>1970</v>
      </c>
      <c r="B30" s="2" t="s">
        <v>1971</v>
      </c>
      <c r="C30" s="2" t="s">
        <v>1972</v>
      </c>
      <c r="D30" s="16" t="n">
        <v>0</v>
      </c>
      <c r="E30" s="17" t="n">
        <f aca="false">MIN(prj_ST_S2_energie_reserve)</f>
        <v>1500000</v>
      </c>
    </row>
    <row r="31" customFormat="false" ht="15" hidden="false" customHeight="false" outlineLevel="0" collapsed="false">
      <c r="A31" s="2" t="s">
        <v>1973</v>
      </c>
      <c r="B31" s="2" t="s">
        <v>1974</v>
      </c>
      <c r="C31" s="2" t="s">
        <v>1972</v>
      </c>
      <c r="D31" s="16" t="n">
        <v>0</v>
      </c>
      <c r="E31" s="17" t="n">
        <f aca="false">INDEX(prj_ST_S2_energie_reserve,1,20)</f>
        <v>1500000</v>
      </c>
    </row>
    <row r="32" customFormat="false" ht="15" hidden="false" customHeight="false" outlineLevel="0" collapsed="false">
      <c r="A32" s="2" t="s">
        <v>1975</v>
      </c>
      <c r="B32" s="2" t="s">
        <v>1976</v>
      </c>
      <c r="C32" s="2" t="s">
        <v>1972</v>
      </c>
      <c r="D32" s="16" t="n">
        <v>0</v>
      </c>
      <c r="E32" s="17" t="n">
        <f aca="false">INDEX(prj_ST_S2_energie_dotation_fin,1,20)</f>
        <v>87826153.3531803</v>
      </c>
    </row>
    <row r="33" customFormat="false" ht="15" hidden="false" customHeight="false" outlineLevel="0" collapsed="false">
      <c r="A33" s="2" t="s">
        <v>1977</v>
      </c>
      <c r="B33" s="2" t="s">
        <v>1978</v>
      </c>
      <c r="C33" s="2" t="s">
        <v>1972</v>
      </c>
      <c r="D33" s="16" t="n">
        <v>0</v>
      </c>
      <c r="E33" s="17" t="n">
        <f aca="false">SUM(prj_ST_S2_energie_kpi_deficit)</f>
        <v>0</v>
      </c>
    </row>
    <row r="34" customFormat="false" ht="15" hidden="false" customHeight="false" outlineLevel="0" collapsed="false">
      <c r="A34" s="2" t="s">
        <v>1979</v>
      </c>
      <c r="B34" s="2" t="s">
        <v>1980</v>
      </c>
      <c r="C34" s="2" t="s">
        <v>1972</v>
      </c>
      <c r="D34" s="16" t="n">
        <v>0</v>
      </c>
      <c r="E34" s="17" t="n">
        <f aca="false">AVERAGE(prj_ST_S2_energie_act_nette)</f>
        <v>47031.777625</v>
      </c>
    </row>
    <row r="35" customFormat="false" ht="15" hidden="false" customHeight="false" outlineLevel="0" collapsed="false">
      <c r="A35" s="2" t="s">
        <v>1981</v>
      </c>
      <c r="B35" s="2" t="s">
        <v>1982</v>
      </c>
      <c r="C35" s="2" t="s">
        <v>1983</v>
      </c>
      <c r="D35" s="16" t="n">
        <v>0</v>
      </c>
      <c r="E35" s="17" t="n">
        <f aca="false">MIN(prj_ST_S2_salaires_reserve)</f>
        <v>1500000</v>
      </c>
    </row>
    <row r="36" customFormat="false" ht="15" hidden="false" customHeight="false" outlineLevel="0" collapsed="false">
      <c r="A36" s="2" t="s">
        <v>1984</v>
      </c>
      <c r="B36" s="2" t="s">
        <v>1985</v>
      </c>
      <c r="C36" s="2" t="s">
        <v>1983</v>
      </c>
      <c r="D36" s="16" t="n">
        <v>0</v>
      </c>
      <c r="E36" s="17" t="n">
        <f aca="false">INDEX(prj_ST_S2_salaires_reserve,1,20)</f>
        <v>1500000</v>
      </c>
    </row>
    <row r="37" customFormat="false" ht="15" hidden="false" customHeight="false" outlineLevel="0" collapsed="false">
      <c r="A37" s="2" t="s">
        <v>1986</v>
      </c>
      <c r="B37" s="2" t="s">
        <v>1987</v>
      </c>
      <c r="C37" s="2" t="s">
        <v>1983</v>
      </c>
      <c r="D37" s="16" t="n">
        <v>0</v>
      </c>
      <c r="E37" s="17" t="n">
        <f aca="false">INDEX(prj_ST_S2_salaires_dotation_fin,1,20)</f>
        <v>86926400.8807043</v>
      </c>
    </row>
    <row r="38" customFormat="false" ht="15" hidden="false" customHeight="false" outlineLevel="0" collapsed="false">
      <c r="A38" s="2" t="s">
        <v>1988</v>
      </c>
      <c r="B38" s="2" t="s">
        <v>1989</v>
      </c>
      <c r="C38" s="2" t="s">
        <v>1983</v>
      </c>
      <c r="D38" s="16" t="n">
        <v>0</v>
      </c>
      <c r="E38" s="17" t="n">
        <f aca="false">SUM(prj_ST_S2_salaires_kpi_deficit)</f>
        <v>0</v>
      </c>
    </row>
    <row r="39" customFormat="false" ht="15" hidden="false" customHeight="false" outlineLevel="0" collapsed="false">
      <c r="A39" s="2" t="s">
        <v>1990</v>
      </c>
      <c r="B39" s="2" t="s">
        <v>1991</v>
      </c>
      <c r="C39" s="2" t="s">
        <v>1983</v>
      </c>
      <c r="D39" s="16" t="n">
        <v>0</v>
      </c>
      <c r="E39" s="17" t="n">
        <f aca="false">AVERAGE(prj_ST_S2_salaires_act_nette)</f>
        <v>47031.777625</v>
      </c>
    </row>
    <row r="40" customFormat="false" ht="15" hidden="false" customHeight="false" outlineLevel="0" collapsed="false">
      <c r="A40" s="2" t="s">
        <v>1992</v>
      </c>
      <c r="B40" s="2" t="s">
        <v>1993</v>
      </c>
      <c r="C40" s="2" t="s">
        <v>1994</v>
      </c>
      <c r="D40" s="16" t="n">
        <v>0</v>
      </c>
      <c r="E40" s="17" t="n">
        <f aca="false">MIN(prj_ST_S2_moteur_reserve)</f>
        <v>1500000</v>
      </c>
    </row>
    <row r="41" customFormat="false" ht="15" hidden="false" customHeight="false" outlineLevel="0" collapsed="false">
      <c r="A41" s="2" t="s">
        <v>1995</v>
      </c>
      <c r="B41" s="2" t="s">
        <v>1996</v>
      </c>
      <c r="C41" s="2" t="s">
        <v>1994</v>
      </c>
      <c r="D41" s="16" t="n">
        <v>0</v>
      </c>
      <c r="E41" s="17" t="n">
        <f aca="false">INDEX(prj_ST_S2_moteur_reserve,1,20)</f>
        <v>1500000</v>
      </c>
    </row>
    <row r="42" customFormat="false" ht="15" hidden="false" customHeight="false" outlineLevel="0" collapsed="false">
      <c r="A42" s="2" t="s">
        <v>1997</v>
      </c>
      <c r="B42" s="2" t="s">
        <v>1998</v>
      </c>
      <c r="C42" s="2" t="s">
        <v>1994</v>
      </c>
      <c r="D42" s="16" t="n">
        <v>0</v>
      </c>
      <c r="E42" s="17" t="n">
        <f aca="false">INDEX(prj_ST_S2_moteur_dotation_fin,1,20)</f>
        <v>59871849.4800119</v>
      </c>
    </row>
    <row r="43" customFormat="false" ht="15" hidden="false" customHeight="false" outlineLevel="0" collapsed="false">
      <c r="A43" s="2" t="s">
        <v>1999</v>
      </c>
      <c r="B43" s="2" t="s">
        <v>2000</v>
      </c>
      <c r="C43" s="2" t="s">
        <v>1994</v>
      </c>
      <c r="D43" s="16" t="n">
        <v>0</v>
      </c>
      <c r="E43" s="17" t="n">
        <f aca="false">SUM(prj_ST_S2_moteur_kpi_deficit)</f>
        <v>0</v>
      </c>
    </row>
    <row r="44" customFormat="false" ht="15" hidden="false" customHeight="false" outlineLevel="0" collapsed="false">
      <c r="A44" s="2" t="s">
        <v>2001</v>
      </c>
      <c r="B44" s="2" t="s">
        <v>2002</v>
      </c>
      <c r="C44" s="2" t="s">
        <v>1994</v>
      </c>
      <c r="D44" s="16" t="n">
        <v>0</v>
      </c>
      <c r="E44" s="17" t="n">
        <f aca="false">AVERAGE(prj_ST_S2_moteur_act_nette)</f>
        <v>47031.777625</v>
      </c>
    </row>
    <row r="45" customFormat="false" ht="15" hidden="false" customHeight="false" outlineLevel="0" collapsed="false">
      <c r="A45" s="2" t="s">
        <v>2003</v>
      </c>
      <c r="B45" s="2" t="s">
        <v>2004</v>
      </c>
      <c r="C45" s="2" t="s">
        <v>2005</v>
      </c>
      <c r="D45" s="16" t="n">
        <v>0</v>
      </c>
      <c r="E45" s="17" t="n">
        <f aca="false">MIN(prj_ST_S2_cumul_reserve)</f>
        <v>1500000</v>
      </c>
    </row>
    <row r="46" customFormat="false" ht="15" hidden="false" customHeight="false" outlineLevel="0" collapsed="false">
      <c r="A46" s="2" t="s">
        <v>2006</v>
      </c>
      <c r="B46" s="2" t="s">
        <v>2007</v>
      </c>
      <c r="C46" s="2" t="s">
        <v>2005</v>
      </c>
      <c r="D46" s="16" t="n">
        <v>0</v>
      </c>
      <c r="E46" s="17" t="n">
        <f aca="false">INDEX(prj_ST_S2_cumul_reserve,1,20)</f>
        <v>1500000</v>
      </c>
    </row>
    <row r="47" customFormat="false" ht="15" hidden="false" customHeight="false" outlineLevel="0" collapsed="false">
      <c r="A47" s="2" t="s">
        <v>2008</v>
      </c>
      <c r="B47" s="2" t="s">
        <v>2009</v>
      </c>
      <c r="C47" s="2" t="s">
        <v>2005</v>
      </c>
      <c r="D47" s="16" t="n">
        <v>0</v>
      </c>
      <c r="E47" s="17" t="n">
        <f aca="false">INDEX(prj_ST_S2_cumul_dotation_fin,1,20)</f>
        <v>60339711.4361993</v>
      </c>
    </row>
    <row r="48" customFormat="false" ht="15" hidden="false" customHeight="false" outlineLevel="0" collapsed="false">
      <c r="A48" s="2" t="s">
        <v>2010</v>
      </c>
      <c r="B48" s="2" t="s">
        <v>2011</v>
      </c>
      <c r="C48" s="2" t="s">
        <v>2005</v>
      </c>
      <c r="D48" s="16" t="n">
        <v>0</v>
      </c>
      <c r="E48" s="17" t="n">
        <f aca="false">SUM(prj_ST_S2_cumul_kpi_deficit)</f>
        <v>0</v>
      </c>
    </row>
    <row r="49" customFormat="false" ht="15" hidden="false" customHeight="false" outlineLevel="0" collapsed="false">
      <c r="A49" s="2" t="s">
        <v>2012</v>
      </c>
      <c r="B49" s="2" t="s">
        <v>2013</v>
      </c>
      <c r="C49" s="2" t="s">
        <v>2005</v>
      </c>
      <c r="D49" s="16" t="n">
        <v>0</v>
      </c>
      <c r="E49" s="17" t="n">
        <f aca="false">AVERAGE(prj_ST_S2_cumul_act_nette)</f>
        <v>33469.140985</v>
      </c>
    </row>
    <row r="50" customFormat="false" ht="15" hidden="false" customHeight="false" outlineLevel="0" collapsed="false">
      <c r="A50" s="2" t="s">
        <v>2014</v>
      </c>
      <c r="B50" s="2" t="s">
        <v>2015</v>
      </c>
      <c r="C50" s="2" t="s">
        <v>2016</v>
      </c>
      <c r="D50" s="16" t="n">
        <v>0</v>
      </c>
      <c r="E50" s="17" t="n">
        <f aca="false">MIN(prj_Proj_S1_solution_reserve)</f>
        <v>400000</v>
      </c>
    </row>
    <row r="51" customFormat="false" ht="15" hidden="false" customHeight="false" outlineLevel="0" collapsed="false">
      <c r="A51" s="2" t="s">
        <v>2017</v>
      </c>
      <c r="B51" s="2" t="s">
        <v>2018</v>
      </c>
      <c r="C51" s="2" t="s">
        <v>2016</v>
      </c>
      <c r="D51" s="16" t="n">
        <v>0</v>
      </c>
      <c r="E51" s="17" t="n">
        <f aca="false">INDEX(prj_Proj_S1_solution_reserve,1,20)</f>
        <v>400000</v>
      </c>
    </row>
    <row r="52" customFormat="false" ht="15" hidden="false" customHeight="false" outlineLevel="0" collapsed="false">
      <c r="A52" s="2" t="s">
        <v>2019</v>
      </c>
      <c r="B52" s="2" t="s">
        <v>2020</v>
      </c>
      <c r="C52" s="2" t="s">
        <v>2016</v>
      </c>
      <c r="D52" s="16" t="n">
        <v>0</v>
      </c>
      <c r="E52" s="17" t="n">
        <f aca="false">INDEX(prj_Proj_S1_solution_dotation_fin,1,20)</f>
        <v>23947181.574681</v>
      </c>
    </row>
    <row r="53" customFormat="false" ht="15" hidden="false" customHeight="false" outlineLevel="0" collapsed="false">
      <c r="A53" s="2" t="s">
        <v>2021</v>
      </c>
      <c r="B53" s="2" t="s">
        <v>2022</v>
      </c>
      <c r="C53" s="2" t="s">
        <v>2016</v>
      </c>
      <c r="D53" s="16" t="n">
        <v>0</v>
      </c>
      <c r="E53" s="17" t="n">
        <f aca="false">SUM(prj_Proj_S1_solution_kpi_deficit)</f>
        <v>0</v>
      </c>
    </row>
    <row r="54" customFormat="false" ht="15" hidden="false" customHeight="false" outlineLevel="0" collapsed="false">
      <c r="A54" s="2" t="s">
        <v>2023</v>
      </c>
      <c r="B54" s="2" t="s">
        <v>2024</v>
      </c>
      <c r="C54" s="2" t="s">
        <v>2016</v>
      </c>
      <c r="D54" s="16" t="n">
        <v>0</v>
      </c>
      <c r="E54" s="17" t="n">
        <f aca="false">AVERAGE(prj_Proj_S1_solution_act_nette)</f>
        <v>14272.169114875</v>
      </c>
    </row>
    <row r="55" customFormat="false" ht="15" hidden="false" customHeight="false" outlineLevel="0" collapsed="false">
      <c r="A55" s="2" t="s">
        <v>2025</v>
      </c>
      <c r="B55" s="2" t="s">
        <v>2026</v>
      </c>
      <c r="C55" s="2" t="s">
        <v>2027</v>
      </c>
      <c r="D55" s="16" t="n">
        <v>0</v>
      </c>
      <c r="E55" s="17" t="n">
        <f aca="false">MIN(prj_ST_S1_cumul_reserve)</f>
        <v>400000</v>
      </c>
    </row>
    <row r="56" customFormat="false" ht="15" hidden="false" customHeight="false" outlineLevel="0" collapsed="false">
      <c r="A56" s="2" t="s">
        <v>2028</v>
      </c>
      <c r="B56" s="2" t="s">
        <v>2029</v>
      </c>
      <c r="C56" s="2" t="s">
        <v>2027</v>
      </c>
      <c r="D56" s="16" t="n">
        <v>0</v>
      </c>
      <c r="E56" s="17" t="n">
        <f aca="false">INDEX(prj_ST_S1_cumul_reserve,1,20)</f>
        <v>400000</v>
      </c>
    </row>
    <row r="57" customFormat="false" ht="15" hidden="false" customHeight="false" outlineLevel="0" collapsed="false">
      <c r="A57" s="2" t="s">
        <v>2030</v>
      </c>
      <c r="B57" s="2" t="s">
        <v>2031</v>
      </c>
      <c r="C57" s="2" t="s">
        <v>2027</v>
      </c>
      <c r="D57" s="16" t="n">
        <v>0</v>
      </c>
      <c r="E57" s="17" t="n">
        <f aca="false">INDEX(prj_ST_S1_cumul_dotation_fin,1,20)</f>
        <v>16143139.4604989</v>
      </c>
    </row>
    <row r="58" customFormat="false" ht="15" hidden="false" customHeight="false" outlineLevel="0" collapsed="false">
      <c r="A58" s="2" t="s">
        <v>2032</v>
      </c>
      <c r="B58" s="2" t="s">
        <v>2033</v>
      </c>
      <c r="C58" s="2" t="s">
        <v>2027</v>
      </c>
      <c r="D58" s="16" t="n">
        <v>0</v>
      </c>
      <c r="E58" s="17" t="n">
        <f aca="false">SUM(prj_ST_S1_cumul_kpi_deficit)</f>
        <v>0</v>
      </c>
    </row>
    <row r="59" customFormat="false" ht="15" hidden="false" customHeight="false" outlineLevel="0" collapsed="false">
      <c r="A59" s="2" t="s">
        <v>2034</v>
      </c>
      <c r="B59" s="2" t="s">
        <v>2035</v>
      </c>
      <c r="C59" s="2" t="s">
        <v>2027</v>
      </c>
      <c r="D59" s="16" t="n">
        <v>0</v>
      </c>
      <c r="E59" s="17" t="n">
        <f aca="false">AVERAGE(prj_ST_S1_cumul_act_nette)</f>
        <v>10125.936281825</v>
      </c>
    </row>
    <row r="60" customFormat="false" ht="15" hidden="false" customHeight="false" outlineLevel="0" collapsed="false">
      <c r="A60" s="2" t="s">
        <v>2036</v>
      </c>
      <c r="B60" s="2" t="s">
        <v>2037</v>
      </c>
      <c r="C60" s="2" t="s">
        <v>2038</v>
      </c>
      <c r="D60" s="16" t="n">
        <v>0</v>
      </c>
      <c r="E60" s="17" t="n">
        <f aca="false">MIN(prj_Proj_S3_solution_reserve)</f>
        <v>4000000</v>
      </c>
    </row>
    <row r="61" customFormat="false" ht="15" hidden="false" customHeight="false" outlineLevel="0" collapsed="false">
      <c r="A61" s="2" t="s">
        <v>2039</v>
      </c>
      <c r="B61" s="2" t="s">
        <v>2040</v>
      </c>
      <c r="C61" s="2" t="s">
        <v>2038</v>
      </c>
      <c r="D61" s="16" t="n">
        <v>0</v>
      </c>
      <c r="E61" s="17" t="n">
        <f aca="false">INDEX(prj_Proj_S3_solution_reserve,1,20)</f>
        <v>4000000</v>
      </c>
    </row>
    <row r="62" customFormat="false" ht="15" hidden="false" customHeight="false" outlineLevel="0" collapsed="false">
      <c r="A62" s="2" t="s">
        <v>2041</v>
      </c>
      <c r="B62" s="2" t="s">
        <v>2042</v>
      </c>
      <c r="C62" s="2" t="s">
        <v>2038</v>
      </c>
      <c r="D62" s="16" t="n">
        <v>0</v>
      </c>
      <c r="E62" s="17" t="n">
        <f aca="false">INDEX(prj_Proj_S3_solution_dotation_fin,1,20)</f>
        <v>274625761.788735</v>
      </c>
    </row>
    <row r="63" customFormat="false" ht="15" hidden="false" customHeight="false" outlineLevel="0" collapsed="false">
      <c r="A63" s="2" t="s">
        <v>2043</v>
      </c>
      <c r="B63" s="2" t="s">
        <v>2044</v>
      </c>
      <c r="C63" s="2" t="s">
        <v>2038</v>
      </c>
      <c r="D63" s="16" t="n">
        <v>0</v>
      </c>
      <c r="E63" s="17" t="n">
        <f aca="false">SUM(prj_Proj_S3_solution_kpi_deficit)</f>
        <v>0</v>
      </c>
    </row>
    <row r="64" customFormat="false" ht="15" hidden="false" customHeight="false" outlineLevel="0" collapsed="false">
      <c r="A64" s="2" t="s">
        <v>2045</v>
      </c>
      <c r="B64" s="2" t="s">
        <v>2046</v>
      </c>
      <c r="C64" s="2" t="s">
        <v>2038</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2047</v>
      </c>
    </row>
    <row r="3" customFormat="false" ht="15" hidden="false" customHeight="false" outlineLevel="0" collapsed="false">
      <c r="A3" s="4" t="s">
        <v>2048</v>
      </c>
      <c r="B3" s="4" t="s">
        <v>2049</v>
      </c>
      <c r="C3" s="4" t="s">
        <v>2050</v>
      </c>
      <c r="D3" s="4" t="s">
        <v>2051</v>
      </c>
      <c r="E3" s="4" t="s">
        <v>2052</v>
      </c>
      <c r="F3" s="4" t="s">
        <v>17</v>
      </c>
      <c r="G3" s="4" t="s">
        <v>2053</v>
      </c>
      <c r="H3" s="4" t="s">
        <v>2054</v>
      </c>
    </row>
    <row r="4" customFormat="false" ht="23.85" hidden="false" customHeight="false" outlineLevel="0" collapsed="false">
      <c r="A4" s="26" t="s">
        <v>874</v>
      </c>
      <c r="B4" s="8" t="s">
        <v>2055</v>
      </c>
      <c r="C4" s="26" t="s">
        <v>2056</v>
      </c>
      <c r="D4" s="26" t="s">
        <v>2057</v>
      </c>
      <c r="E4" s="26" t="s">
        <v>2058</v>
      </c>
      <c r="F4" s="26" t="s">
        <v>2059</v>
      </c>
      <c r="G4" s="26" t="s">
        <v>2060</v>
      </c>
      <c r="H4" s="26" t="s">
        <v>2061</v>
      </c>
    </row>
    <row r="5" customFormat="false" ht="35.05" hidden="false" customHeight="false" outlineLevel="0" collapsed="false">
      <c r="A5" s="26" t="s">
        <v>1004</v>
      </c>
      <c r="B5" s="8" t="s">
        <v>2062</v>
      </c>
      <c r="C5" s="26" t="s">
        <v>2063</v>
      </c>
      <c r="D5" s="26" t="s">
        <v>2064</v>
      </c>
      <c r="E5" s="26" t="s">
        <v>2058</v>
      </c>
      <c r="F5" s="26" t="s">
        <v>2059</v>
      </c>
      <c r="G5" s="26" t="s">
        <v>2065</v>
      </c>
      <c r="H5" s="26" t="s">
        <v>2066</v>
      </c>
    </row>
    <row r="6" customFormat="false" ht="23.85" hidden="false" customHeight="false" outlineLevel="0" collapsed="false">
      <c r="A6" s="26" t="s">
        <v>2067</v>
      </c>
      <c r="B6" s="8" t="s">
        <v>2068</v>
      </c>
      <c r="C6" s="26" t="s">
        <v>2069</v>
      </c>
      <c r="D6" s="26" t="s">
        <v>2070</v>
      </c>
      <c r="E6" s="26" t="s">
        <v>2058</v>
      </c>
      <c r="F6" s="26" t="s">
        <v>2071</v>
      </c>
      <c r="G6" s="26" t="s">
        <v>2072</v>
      </c>
      <c r="H6" s="26" t="s">
        <v>2066</v>
      </c>
    </row>
    <row r="7" customFormat="false" ht="23.85" hidden="false" customHeight="false" outlineLevel="0" collapsed="false">
      <c r="A7" s="26" t="s">
        <v>2073</v>
      </c>
      <c r="B7" s="8" t="s">
        <v>2074</v>
      </c>
      <c r="C7" s="26" t="s">
        <v>2075</v>
      </c>
      <c r="D7" s="26" t="s">
        <v>2076</v>
      </c>
      <c r="E7" s="26" t="s">
        <v>2058</v>
      </c>
      <c r="F7" s="26" t="s">
        <v>2071</v>
      </c>
      <c r="G7" s="26" t="s">
        <v>2077</v>
      </c>
      <c r="H7" s="26" t="s">
        <v>2066</v>
      </c>
    </row>
    <row r="8" customFormat="false" ht="23.85" hidden="false" customHeight="false" outlineLevel="0" collapsed="false">
      <c r="A8" s="26" t="s">
        <v>1017</v>
      </c>
      <c r="B8" s="8" t="s">
        <v>2078</v>
      </c>
      <c r="C8" s="26" t="s">
        <v>2079</v>
      </c>
      <c r="D8" s="26" t="s">
        <v>2080</v>
      </c>
      <c r="E8" s="26" t="s">
        <v>2058</v>
      </c>
      <c r="F8" s="26" t="s">
        <v>2071</v>
      </c>
      <c r="G8" s="26" t="s">
        <v>2081</v>
      </c>
      <c r="H8" s="26" t="s">
        <v>2066</v>
      </c>
    </row>
    <row r="9" customFormat="false" ht="23.85" hidden="false" customHeight="false" outlineLevel="0" collapsed="false">
      <c r="A9" s="26" t="s">
        <v>2082</v>
      </c>
      <c r="B9" s="8" t="s">
        <v>2083</v>
      </c>
      <c r="C9" s="26" t="s">
        <v>2084</v>
      </c>
      <c r="D9" s="26" t="s">
        <v>2085</v>
      </c>
      <c r="E9" s="26" t="s">
        <v>2058</v>
      </c>
      <c r="F9" s="26" t="s">
        <v>2071</v>
      </c>
      <c r="G9" s="26" t="s">
        <v>2086</v>
      </c>
      <c r="H9" s="26" t="s">
        <v>2066</v>
      </c>
    </row>
    <row r="10" customFormat="false" ht="23.85" hidden="false" customHeight="false" outlineLevel="0" collapsed="false">
      <c r="A10" s="26" t="s">
        <v>2087</v>
      </c>
      <c r="B10" s="8" t="s">
        <v>2088</v>
      </c>
      <c r="C10" s="26" t="s">
        <v>2084</v>
      </c>
      <c r="D10" s="26" t="s">
        <v>2089</v>
      </c>
      <c r="E10" s="26" t="s">
        <v>2058</v>
      </c>
      <c r="F10" s="26" t="s">
        <v>2059</v>
      </c>
      <c r="G10" s="26" t="s">
        <v>2090</v>
      </c>
      <c r="H10" s="26" t="s">
        <v>2066</v>
      </c>
    </row>
    <row r="11" customFormat="false" ht="23.85" hidden="false" customHeight="false" outlineLevel="0" collapsed="false">
      <c r="A11" s="26" t="s">
        <v>2091</v>
      </c>
      <c r="B11" s="8" t="s">
        <v>2092</v>
      </c>
      <c r="C11" s="26" t="s">
        <v>2093</v>
      </c>
      <c r="D11" s="26" t="s">
        <v>2094</v>
      </c>
      <c r="E11" s="26" t="s">
        <v>2058</v>
      </c>
      <c r="F11" s="26" t="s">
        <v>2059</v>
      </c>
      <c r="G11" s="26" t="s">
        <v>2095</v>
      </c>
      <c r="H11" s="26" t="s">
        <v>2096</v>
      </c>
    </row>
    <row r="12" customFormat="false" ht="23.85" hidden="false" customHeight="false" outlineLevel="0" collapsed="false">
      <c r="A12" s="26" t="s">
        <v>2097</v>
      </c>
      <c r="B12" s="8" t="s">
        <v>2098</v>
      </c>
      <c r="C12" s="26" t="s">
        <v>2099</v>
      </c>
      <c r="D12" s="26" t="s">
        <v>2100</v>
      </c>
      <c r="E12" s="26" t="s">
        <v>2058</v>
      </c>
      <c r="F12" s="26" t="s">
        <v>2059</v>
      </c>
      <c r="G12" s="26" t="s">
        <v>2101</v>
      </c>
      <c r="H12" s="26" t="s">
        <v>2066</v>
      </c>
    </row>
    <row r="13" customFormat="false" ht="23.85" hidden="false" customHeight="false" outlineLevel="0" collapsed="false">
      <c r="A13" s="26" t="s">
        <v>2102</v>
      </c>
      <c r="B13" s="8" t="s">
        <v>2103</v>
      </c>
      <c r="C13" s="26" t="s">
        <v>2104</v>
      </c>
      <c r="D13" s="26" t="s">
        <v>2105</v>
      </c>
      <c r="E13" s="26" t="s">
        <v>2058</v>
      </c>
      <c r="F13" s="26" t="s">
        <v>2059</v>
      </c>
      <c r="G13" s="26" t="s">
        <v>2106</v>
      </c>
      <c r="H13" s="26" t="s">
        <v>2066</v>
      </c>
    </row>
    <row r="14" customFormat="false" ht="23.85" hidden="false" customHeight="false" outlineLevel="0" collapsed="false">
      <c r="A14" s="26" t="s">
        <v>67</v>
      </c>
      <c r="B14" s="8" t="s">
        <v>2107</v>
      </c>
      <c r="C14" s="26" t="s">
        <v>2108</v>
      </c>
      <c r="D14" s="26" t="s">
        <v>2109</v>
      </c>
      <c r="E14" s="26" t="s">
        <v>2058</v>
      </c>
      <c r="F14" s="26" t="s">
        <v>2059</v>
      </c>
      <c r="G14" s="26" t="s">
        <v>2110</v>
      </c>
      <c r="H14" s="26" t="s">
        <v>2066</v>
      </c>
    </row>
    <row r="15" customFormat="false" ht="23.85" hidden="false" customHeight="false" outlineLevel="0" collapsed="false">
      <c r="A15" s="26" t="s">
        <v>2111</v>
      </c>
      <c r="B15" s="8" t="s">
        <v>2112</v>
      </c>
      <c r="C15" s="26" t="s">
        <v>2113</v>
      </c>
      <c r="D15" s="26" t="s">
        <v>2114</v>
      </c>
      <c r="E15" s="26" t="s">
        <v>2058</v>
      </c>
      <c r="F15" s="26" t="s">
        <v>2059</v>
      </c>
      <c r="G15" s="26" t="s">
        <v>2115</v>
      </c>
      <c r="H15" s="26" t="s">
        <v>2066</v>
      </c>
    </row>
    <row r="16" customFormat="false" ht="35.05" hidden="false" customHeight="false" outlineLevel="0" collapsed="false">
      <c r="A16" s="26" t="s">
        <v>100</v>
      </c>
      <c r="B16" s="8" t="s">
        <v>2116</v>
      </c>
      <c r="C16" s="26" t="s">
        <v>2117</v>
      </c>
      <c r="D16" s="26" t="s">
        <v>2118</v>
      </c>
      <c r="E16" s="26" t="s">
        <v>2058</v>
      </c>
      <c r="F16" s="26" t="s">
        <v>2059</v>
      </c>
      <c r="G16" s="26" t="s">
        <v>2119</v>
      </c>
      <c r="H16" s="26" t="s">
        <v>2061</v>
      </c>
    </row>
    <row r="17" customFormat="false" ht="23.85" hidden="false" customHeight="false" outlineLevel="0" collapsed="false">
      <c r="A17" s="26" t="s">
        <v>2120</v>
      </c>
      <c r="B17" s="8" t="s">
        <v>2121</v>
      </c>
      <c r="C17" s="26" t="s">
        <v>2122</v>
      </c>
      <c r="D17" s="26" t="s">
        <v>2123</v>
      </c>
      <c r="E17" s="26" t="s">
        <v>2058</v>
      </c>
      <c r="F17" s="26" t="s">
        <v>2071</v>
      </c>
      <c r="G17" s="26" t="s">
        <v>2124</v>
      </c>
      <c r="H17" s="26" t="s">
        <v>2066</v>
      </c>
    </row>
    <row r="18" customFormat="false" ht="23.85" hidden="false" customHeight="false" outlineLevel="0" collapsed="false">
      <c r="A18" s="26" t="s">
        <v>2125</v>
      </c>
      <c r="B18" s="8" t="s">
        <v>2126</v>
      </c>
      <c r="C18" s="26" t="s">
        <v>2127</v>
      </c>
      <c r="D18" s="26" t="s">
        <v>2128</v>
      </c>
      <c r="E18" s="26" t="s">
        <v>2058</v>
      </c>
      <c r="F18" s="26" t="s">
        <v>2059</v>
      </c>
      <c r="G18" s="26" t="s">
        <v>2129</v>
      </c>
      <c r="H18" s="26" t="s">
        <v>2066</v>
      </c>
    </row>
    <row r="19" customFormat="false" ht="35.05" hidden="false" customHeight="false" outlineLevel="0" collapsed="false">
      <c r="A19" s="26" t="s">
        <v>2130</v>
      </c>
      <c r="B19" s="8" t="s">
        <v>2131</v>
      </c>
      <c r="C19" s="26" t="s">
        <v>2132</v>
      </c>
      <c r="D19" s="26" t="s">
        <v>2133</v>
      </c>
      <c r="E19" s="26" t="s">
        <v>2058</v>
      </c>
      <c r="F19" s="26" t="s">
        <v>2059</v>
      </c>
      <c r="G19" s="26" t="s">
        <v>2134</v>
      </c>
      <c r="H19" s="26" t="s">
        <v>2066</v>
      </c>
    </row>
    <row r="20" customFormat="false" ht="23.85" hidden="false" customHeight="false" outlineLevel="0" collapsed="false">
      <c r="A20" s="26" t="s">
        <v>2135</v>
      </c>
      <c r="B20" s="8" t="s">
        <v>2136</v>
      </c>
      <c r="C20" s="26" t="s">
        <v>2137</v>
      </c>
      <c r="D20" s="26" t="s">
        <v>2138</v>
      </c>
      <c r="E20" s="26" t="s">
        <v>2058</v>
      </c>
      <c r="F20" s="26" t="s">
        <v>2059</v>
      </c>
      <c r="G20" s="26" t="s">
        <v>2139</v>
      </c>
      <c r="H20" s="26" t="s">
        <v>2066</v>
      </c>
    </row>
    <row r="21" customFormat="false" ht="23.85" hidden="false" customHeight="false" outlineLevel="0" collapsed="false">
      <c r="A21" s="26" t="s">
        <v>2140</v>
      </c>
      <c r="B21" s="8" t="s">
        <v>2141</v>
      </c>
      <c r="C21" s="26" t="s">
        <v>2142</v>
      </c>
      <c r="D21" s="26" t="s">
        <v>2138</v>
      </c>
      <c r="E21" s="26" t="s">
        <v>2058</v>
      </c>
      <c r="F21" s="26" t="s">
        <v>2059</v>
      </c>
      <c r="G21" s="26" t="s">
        <v>2143</v>
      </c>
      <c r="H21" s="26" t="s">
        <v>2066</v>
      </c>
    </row>
    <row r="22" customFormat="false" ht="23.85" hidden="false" customHeight="false" outlineLevel="0" collapsed="false">
      <c r="A22" s="26" t="s">
        <v>2144</v>
      </c>
      <c r="B22" s="8" t="s">
        <v>2145</v>
      </c>
      <c r="C22" s="26" t="s">
        <v>2146</v>
      </c>
      <c r="D22" s="26" t="s">
        <v>2138</v>
      </c>
      <c r="E22" s="26" t="s">
        <v>2058</v>
      </c>
      <c r="F22" s="26" t="s">
        <v>2059</v>
      </c>
      <c r="G22" s="26" t="s">
        <v>2143</v>
      </c>
      <c r="H22" s="26" t="s">
        <v>2066</v>
      </c>
    </row>
    <row r="23" customFormat="false" ht="15" hidden="false" customHeight="false" outlineLevel="0" collapsed="false">
      <c r="A23" s="26" t="s">
        <v>2147</v>
      </c>
      <c r="B23" s="8" t="s">
        <v>2148</v>
      </c>
      <c r="C23" s="26" t="s">
        <v>2149</v>
      </c>
      <c r="D23" s="26" t="s">
        <v>2138</v>
      </c>
      <c r="E23" s="26" t="s">
        <v>2058</v>
      </c>
      <c r="F23" s="26" t="s">
        <v>2059</v>
      </c>
      <c r="G23" s="26" t="s">
        <v>2139</v>
      </c>
      <c r="H23" s="26" t="s">
        <v>2066</v>
      </c>
    </row>
    <row r="24" customFormat="false" ht="15" hidden="false" customHeight="false" outlineLevel="0" collapsed="false">
      <c r="A24" s="26" t="s">
        <v>2150</v>
      </c>
      <c r="B24" s="8" t="s">
        <v>2151</v>
      </c>
      <c r="C24" s="26" t="s">
        <v>2152</v>
      </c>
      <c r="D24" s="26" t="s">
        <v>2138</v>
      </c>
      <c r="E24" s="26" t="s">
        <v>2058</v>
      </c>
      <c r="F24" s="26" t="s">
        <v>2059</v>
      </c>
      <c r="G24" s="26" t="s">
        <v>2139</v>
      </c>
      <c r="H24" s="26" t="s">
        <v>2066</v>
      </c>
    </row>
    <row r="25" customFormat="false" ht="23.85" hidden="false" customHeight="false" outlineLevel="0" collapsed="false">
      <c r="A25" s="26" t="s">
        <v>2153</v>
      </c>
      <c r="B25" s="8" t="s">
        <v>2154</v>
      </c>
      <c r="C25" s="26" t="s">
        <v>2155</v>
      </c>
      <c r="D25" s="26" t="s">
        <v>2138</v>
      </c>
      <c r="E25" s="26" t="s">
        <v>2058</v>
      </c>
      <c r="F25" s="26" t="s">
        <v>2059</v>
      </c>
      <c r="G25" s="26" t="s">
        <v>2143</v>
      </c>
      <c r="H25" s="26" t="s">
        <v>2066</v>
      </c>
    </row>
    <row r="26" customFormat="false" ht="23.85" hidden="false" customHeight="false" outlineLevel="0" collapsed="false">
      <c r="A26" s="26" t="s">
        <v>2156</v>
      </c>
      <c r="B26" s="8" t="s">
        <v>2157</v>
      </c>
      <c r="C26" s="26" t="s">
        <v>2158</v>
      </c>
      <c r="D26" s="26" t="s">
        <v>2159</v>
      </c>
      <c r="E26" s="26" t="s">
        <v>2058</v>
      </c>
      <c r="F26" s="26" t="s">
        <v>2059</v>
      </c>
      <c r="G26" s="26" t="s">
        <v>2160</v>
      </c>
      <c r="H26" s="26" t="s">
        <v>2061</v>
      </c>
    </row>
    <row r="27" customFormat="false" ht="23.85" hidden="false" customHeight="false" outlineLevel="0" collapsed="false">
      <c r="A27" s="26" t="s">
        <v>2161</v>
      </c>
      <c r="B27" s="8" t="s">
        <v>2162</v>
      </c>
      <c r="C27" s="26" t="s">
        <v>2163</v>
      </c>
      <c r="D27" s="26" t="s">
        <v>2164</v>
      </c>
      <c r="E27" s="26" t="s">
        <v>2058</v>
      </c>
      <c r="F27" s="26" t="s">
        <v>2059</v>
      </c>
      <c r="G27" s="26" t="s">
        <v>2165</v>
      </c>
      <c r="H27" s="26" t="s">
        <v>2061</v>
      </c>
    </row>
    <row r="28" customFormat="false" ht="23.85" hidden="false" customHeight="false" outlineLevel="0" collapsed="false">
      <c r="A28" s="26" t="s">
        <v>2166</v>
      </c>
      <c r="B28" s="8" t="s">
        <v>2167</v>
      </c>
      <c r="C28" s="26" t="s">
        <v>2168</v>
      </c>
      <c r="D28" s="26" t="s">
        <v>2169</v>
      </c>
      <c r="E28" s="26" t="s">
        <v>2058</v>
      </c>
      <c r="F28" s="26" t="s">
        <v>2059</v>
      </c>
      <c r="G28" s="26" t="s">
        <v>2170</v>
      </c>
      <c r="H28" s="26" t="s">
        <v>2096</v>
      </c>
    </row>
    <row r="29" customFormat="false" ht="23.85" hidden="false" customHeight="false" outlineLevel="0" collapsed="false">
      <c r="A29" s="26" t="s">
        <v>2171</v>
      </c>
      <c r="B29" s="8" t="s">
        <v>2172</v>
      </c>
      <c r="C29" s="26" t="s">
        <v>2173</v>
      </c>
      <c r="D29" s="26" t="s">
        <v>2174</v>
      </c>
      <c r="E29" s="26" t="s">
        <v>2058</v>
      </c>
      <c r="F29" s="26" t="s">
        <v>2059</v>
      </c>
      <c r="G29" s="26" t="s">
        <v>2175</v>
      </c>
      <c r="H29" s="26" t="s">
        <v>2096</v>
      </c>
    </row>
    <row r="30" customFormat="false" ht="23.85" hidden="false" customHeight="false" outlineLevel="0" collapsed="false">
      <c r="A30" s="26" t="s">
        <v>1387</v>
      </c>
      <c r="B30" s="8" t="s">
        <v>2176</v>
      </c>
      <c r="C30" s="26" t="s">
        <v>2177</v>
      </c>
      <c r="D30" s="26" t="s">
        <v>2178</v>
      </c>
      <c r="E30" s="26" t="s">
        <v>2058</v>
      </c>
      <c r="F30" s="26" t="s">
        <v>2059</v>
      </c>
      <c r="G30" s="26" t="s">
        <v>2179</v>
      </c>
      <c r="H30" s="26" t="s">
        <v>2061</v>
      </c>
    </row>
    <row r="31" customFormat="false" ht="35.05" hidden="false" customHeight="false" outlineLevel="0" collapsed="false">
      <c r="A31" s="26" t="s">
        <v>2180</v>
      </c>
      <c r="B31" s="8" t="s">
        <v>2181</v>
      </c>
      <c r="C31" s="26" t="s">
        <v>2182</v>
      </c>
      <c r="D31" s="26" t="s">
        <v>2183</v>
      </c>
      <c r="E31" s="26" t="s">
        <v>2058</v>
      </c>
      <c r="F31" s="26" t="s">
        <v>2059</v>
      </c>
      <c r="G31" s="26" t="s">
        <v>2184</v>
      </c>
      <c r="H31" s="26" t="s">
        <v>2066</v>
      </c>
    </row>
    <row r="32" customFormat="false" ht="35.05" hidden="false" customHeight="false" outlineLevel="0" collapsed="false">
      <c r="A32" s="26" t="s">
        <v>2185</v>
      </c>
      <c r="B32" s="8" t="s">
        <v>2186</v>
      </c>
      <c r="C32" s="26" t="s">
        <v>2187</v>
      </c>
      <c r="D32" s="26" t="s">
        <v>2188</v>
      </c>
      <c r="E32" s="26" t="s">
        <v>2058</v>
      </c>
      <c r="F32" s="26" t="s">
        <v>2059</v>
      </c>
      <c r="G32" s="26" t="s">
        <v>2189</v>
      </c>
      <c r="H32" s="26" t="s">
        <v>2061</v>
      </c>
    </row>
    <row r="33" customFormat="false" ht="23.85" hidden="false" customHeight="false" outlineLevel="0" collapsed="false">
      <c r="A33" s="26" t="s">
        <v>1399</v>
      </c>
      <c r="B33" s="8" t="s">
        <v>2190</v>
      </c>
      <c r="C33" s="26" t="s">
        <v>2191</v>
      </c>
      <c r="D33" s="26" t="s">
        <v>2192</v>
      </c>
      <c r="E33" s="26" t="s">
        <v>2058</v>
      </c>
      <c r="F33" s="26" t="s">
        <v>2059</v>
      </c>
      <c r="G33" s="26" t="s">
        <v>2193</v>
      </c>
      <c r="H33" s="26" t="s">
        <v>2061</v>
      </c>
    </row>
    <row r="34" customFormat="false" ht="23.85" hidden="false" customHeight="false" outlineLevel="0" collapsed="false">
      <c r="A34" s="26" t="s">
        <v>2194</v>
      </c>
      <c r="B34" s="8" t="s">
        <v>2195</v>
      </c>
      <c r="C34" s="26" t="s">
        <v>2196</v>
      </c>
      <c r="D34" s="26" t="s">
        <v>2192</v>
      </c>
      <c r="E34" s="26" t="s">
        <v>2058</v>
      </c>
      <c r="F34" s="26" t="s">
        <v>2059</v>
      </c>
      <c r="G34" s="26" t="s">
        <v>2197</v>
      </c>
      <c r="H34" s="26" t="s">
        <v>2061</v>
      </c>
    </row>
    <row r="35" customFormat="false" ht="23.85" hidden="false" customHeight="false" outlineLevel="0" collapsed="false">
      <c r="A35" s="26" t="s">
        <v>72</v>
      </c>
      <c r="B35" s="8" t="s">
        <v>2198</v>
      </c>
      <c r="C35" s="26" t="s">
        <v>2199</v>
      </c>
      <c r="D35" s="26" t="s">
        <v>2200</v>
      </c>
      <c r="E35" s="26" t="s">
        <v>2058</v>
      </c>
      <c r="F35" s="26" t="s">
        <v>2059</v>
      </c>
      <c r="G35" s="26" t="s">
        <v>2201</v>
      </c>
      <c r="H35" s="26" t="s">
        <v>2066</v>
      </c>
    </row>
    <row r="36" customFormat="false" ht="23.85" hidden="false" customHeight="false" outlineLevel="0" collapsed="false">
      <c r="A36" s="26" t="s">
        <v>29</v>
      </c>
      <c r="B36" s="8" t="s">
        <v>2202</v>
      </c>
      <c r="C36" s="26" t="s">
        <v>2203</v>
      </c>
      <c r="D36" s="26" t="s">
        <v>2204</v>
      </c>
      <c r="E36" s="26" t="s">
        <v>2058</v>
      </c>
      <c r="F36" s="26" t="s">
        <v>2059</v>
      </c>
      <c r="G36" s="26" t="s">
        <v>2205</v>
      </c>
      <c r="H36" s="26" t="s">
        <v>2096</v>
      </c>
    </row>
    <row r="37" customFormat="false" ht="23.85" hidden="false" customHeight="false" outlineLevel="0" collapsed="false">
      <c r="A37" s="26" t="s">
        <v>2206</v>
      </c>
      <c r="B37" s="8" t="s">
        <v>2207</v>
      </c>
      <c r="C37" s="26" t="s">
        <v>2208</v>
      </c>
      <c r="D37" s="26" t="s">
        <v>2209</v>
      </c>
      <c r="E37" s="26" t="s">
        <v>2058</v>
      </c>
      <c r="F37" s="26" t="s">
        <v>2059</v>
      </c>
      <c r="G37" s="26" t="s">
        <v>2210</v>
      </c>
      <c r="H37" s="26" t="s">
        <v>2061</v>
      </c>
    </row>
    <row r="38" customFormat="false" ht="23.85" hidden="false" customHeight="false" outlineLevel="0" collapsed="false">
      <c r="A38" s="26" t="s">
        <v>2211</v>
      </c>
      <c r="B38" s="8" t="s">
        <v>2212</v>
      </c>
      <c r="C38" s="26" t="s">
        <v>2213</v>
      </c>
      <c r="D38" s="26" t="s">
        <v>2214</v>
      </c>
      <c r="E38" s="26" t="s">
        <v>2058</v>
      </c>
      <c r="F38" s="26" t="s">
        <v>2059</v>
      </c>
      <c r="G38" s="26" t="s">
        <v>2215</v>
      </c>
      <c r="H38" s="26" t="s">
        <v>2066</v>
      </c>
    </row>
    <row r="39" customFormat="false" ht="23.85" hidden="false" customHeight="false" outlineLevel="0" collapsed="false">
      <c r="A39" s="26" t="s">
        <v>2216</v>
      </c>
      <c r="B39" s="8" t="s">
        <v>2217</v>
      </c>
      <c r="C39" s="26" t="s">
        <v>2218</v>
      </c>
      <c r="D39" s="26" t="s">
        <v>2192</v>
      </c>
      <c r="E39" s="26" t="s">
        <v>2058</v>
      </c>
      <c r="F39" s="26" t="s">
        <v>2059</v>
      </c>
      <c r="G39" s="26" t="s">
        <v>2219</v>
      </c>
      <c r="H39" s="26" t="s">
        <v>2061</v>
      </c>
    </row>
    <row r="40" customFormat="false" ht="23.85" hidden="false" customHeight="false" outlineLevel="0" collapsed="false">
      <c r="A40" s="26" t="s">
        <v>2220</v>
      </c>
      <c r="B40" s="8" t="s">
        <v>2221</v>
      </c>
      <c r="C40" s="26" t="s">
        <v>2222</v>
      </c>
      <c r="D40" s="26" t="s">
        <v>2223</v>
      </c>
      <c r="E40" s="26" t="s">
        <v>2058</v>
      </c>
      <c r="F40" s="26" t="s">
        <v>2059</v>
      </c>
      <c r="G40" s="26" t="s">
        <v>2224</v>
      </c>
      <c r="H40" s="26" t="s">
        <v>2066</v>
      </c>
    </row>
    <row r="41" customFormat="false" ht="35.05" hidden="false" customHeight="false" outlineLevel="0" collapsed="false">
      <c r="A41" s="26" t="s">
        <v>1361</v>
      </c>
      <c r="B41" s="8" t="s">
        <v>2225</v>
      </c>
      <c r="C41" s="26" t="s">
        <v>2226</v>
      </c>
      <c r="D41" s="26" t="s">
        <v>2227</v>
      </c>
      <c r="E41" s="26" t="s">
        <v>2058</v>
      </c>
      <c r="F41" s="26" t="s">
        <v>2059</v>
      </c>
      <c r="G41" s="26" t="s">
        <v>2228</v>
      </c>
      <c r="H41" s="26" t="s">
        <v>2096</v>
      </c>
    </row>
    <row r="42" customFormat="false" ht="35.05" hidden="false" customHeight="false" outlineLevel="0" collapsed="false">
      <c r="A42" s="26" t="s">
        <v>2229</v>
      </c>
      <c r="B42" s="8" t="s">
        <v>2230</v>
      </c>
      <c r="C42" s="26" t="s">
        <v>2231</v>
      </c>
      <c r="D42" s="26" t="s">
        <v>2232</v>
      </c>
      <c r="E42" s="26" t="s">
        <v>2058</v>
      </c>
      <c r="F42" s="26" t="s">
        <v>2059</v>
      </c>
      <c r="G42" s="26" t="s">
        <v>2233</v>
      </c>
      <c r="H42" s="26" t="s">
        <v>2061</v>
      </c>
    </row>
    <row r="43" customFormat="false" ht="23.85" hidden="false" customHeight="false" outlineLevel="0" collapsed="false">
      <c r="A43" s="26" t="s">
        <v>2234</v>
      </c>
      <c r="B43" s="8" t="s">
        <v>2235</v>
      </c>
      <c r="C43" s="26" t="s">
        <v>2236</v>
      </c>
      <c r="D43" s="26" t="s">
        <v>2232</v>
      </c>
      <c r="E43" s="26" t="s">
        <v>2058</v>
      </c>
      <c r="F43" s="26" t="s">
        <v>2059</v>
      </c>
      <c r="G43" s="26" t="s">
        <v>2237</v>
      </c>
      <c r="H43" s="26" t="s">
        <v>2061</v>
      </c>
    </row>
    <row r="44" customFormat="false" ht="23.85" hidden="false" customHeight="false" outlineLevel="0" collapsed="false">
      <c r="A44" s="26" t="s">
        <v>2238</v>
      </c>
      <c r="B44" s="8" t="s">
        <v>2239</v>
      </c>
      <c r="C44" s="26" t="s">
        <v>2240</v>
      </c>
      <c r="D44" s="26" t="s">
        <v>2159</v>
      </c>
      <c r="E44" s="26" t="s">
        <v>2058</v>
      </c>
      <c r="F44" s="26" t="s">
        <v>2071</v>
      </c>
      <c r="G44" s="26" t="s">
        <v>2241</v>
      </c>
      <c r="H44" s="26" t="s">
        <v>2061</v>
      </c>
    </row>
    <row r="45" customFormat="false" ht="23.85" hidden="false" customHeight="false" outlineLevel="0" collapsed="false">
      <c r="A45" s="26" t="s">
        <v>2242</v>
      </c>
      <c r="B45" s="8" t="s">
        <v>2243</v>
      </c>
      <c r="C45" s="26" t="s">
        <v>2244</v>
      </c>
      <c r="D45" s="26" t="s">
        <v>2192</v>
      </c>
      <c r="E45" s="26" t="s">
        <v>2058</v>
      </c>
      <c r="F45" s="26" t="s">
        <v>2059</v>
      </c>
      <c r="G45" s="26" t="s">
        <v>2245</v>
      </c>
      <c r="H45" s="26" t="s">
        <v>2061</v>
      </c>
    </row>
    <row r="46" customFormat="false" ht="23.85" hidden="false" customHeight="false" outlineLevel="0" collapsed="false">
      <c r="A46" s="26" t="s">
        <v>2246</v>
      </c>
      <c r="B46" s="8" t="s">
        <v>2247</v>
      </c>
      <c r="C46" s="26" t="s">
        <v>2248</v>
      </c>
      <c r="D46" s="26" t="s">
        <v>2249</v>
      </c>
      <c r="E46" s="26" t="s">
        <v>2058</v>
      </c>
      <c r="F46" s="26" t="s">
        <v>2059</v>
      </c>
      <c r="G46" s="26" t="s">
        <v>2250</v>
      </c>
      <c r="H46" s="26" t="s">
        <v>2061</v>
      </c>
    </row>
    <row r="47" customFormat="false" ht="23.85" hidden="false" customHeight="false" outlineLevel="0" collapsed="false">
      <c r="A47" s="26" t="s">
        <v>2251</v>
      </c>
      <c r="B47" s="8" t="s">
        <v>2252</v>
      </c>
      <c r="C47" s="26" t="s">
        <v>2253</v>
      </c>
      <c r="D47" s="26" t="s">
        <v>2192</v>
      </c>
      <c r="E47" s="26" t="s">
        <v>2058</v>
      </c>
      <c r="F47" s="26" t="s">
        <v>2059</v>
      </c>
      <c r="G47" s="26" t="s">
        <v>2254</v>
      </c>
      <c r="H47" s="26" t="s">
        <v>2061</v>
      </c>
    </row>
    <row r="48" customFormat="false" ht="23.85" hidden="false" customHeight="false" outlineLevel="0" collapsed="false">
      <c r="A48" s="26" t="s">
        <v>2255</v>
      </c>
      <c r="B48" s="8" t="s">
        <v>2256</v>
      </c>
      <c r="C48" s="26" t="s">
        <v>2257</v>
      </c>
      <c r="D48" s="26" t="s">
        <v>2258</v>
      </c>
      <c r="E48" s="26" t="s">
        <v>2058</v>
      </c>
      <c r="F48" s="26" t="s">
        <v>2071</v>
      </c>
      <c r="G48" s="26" t="s">
        <v>2259</v>
      </c>
      <c r="H48" s="26" t="s">
        <v>2096</v>
      </c>
    </row>
    <row r="49" customFormat="false" ht="15" hidden="false" customHeight="false" outlineLevel="0" collapsed="false">
      <c r="A49" s="26" t="s">
        <v>2260</v>
      </c>
      <c r="B49" s="8" t="s">
        <v>2261</v>
      </c>
      <c r="C49" s="26" t="s">
        <v>2262</v>
      </c>
      <c r="D49" s="26" t="s">
        <v>2258</v>
      </c>
      <c r="E49" s="26" t="s">
        <v>2058</v>
      </c>
      <c r="F49" s="26" t="s">
        <v>2071</v>
      </c>
      <c r="G49" s="26" t="s">
        <v>2259</v>
      </c>
      <c r="H49" s="26" t="s">
        <v>2096</v>
      </c>
    </row>
    <row r="50" customFormat="false" ht="15" hidden="false" customHeight="false" outlineLevel="0" collapsed="false">
      <c r="A50" s="26" t="s">
        <v>2263</v>
      </c>
      <c r="B50" s="8" t="s">
        <v>2264</v>
      </c>
      <c r="C50" s="26" t="s">
        <v>2265</v>
      </c>
      <c r="D50" s="26" t="s">
        <v>2258</v>
      </c>
      <c r="E50" s="26" t="s">
        <v>2058</v>
      </c>
      <c r="F50" s="26" t="s">
        <v>2071</v>
      </c>
      <c r="G50" s="26" t="s">
        <v>2259</v>
      </c>
      <c r="H50" s="26" t="s">
        <v>2096</v>
      </c>
    </row>
    <row r="51" customFormat="false" ht="23.85" hidden="false" customHeight="false" outlineLevel="0" collapsed="false">
      <c r="A51" s="26" t="s">
        <v>2266</v>
      </c>
      <c r="B51" s="8" t="s">
        <v>2267</v>
      </c>
      <c r="C51" s="26" t="s">
        <v>2268</v>
      </c>
      <c r="D51" s="26" t="s">
        <v>2269</v>
      </c>
      <c r="E51" s="26" t="s">
        <v>2058</v>
      </c>
      <c r="F51" s="26" t="s">
        <v>2071</v>
      </c>
      <c r="G51" s="26" t="s">
        <v>2270</v>
      </c>
      <c r="H51" s="26" t="s">
        <v>2096</v>
      </c>
    </row>
    <row r="52" customFormat="false" ht="23.85" hidden="false" customHeight="false" outlineLevel="0" collapsed="false">
      <c r="A52" s="26" t="s">
        <v>2271</v>
      </c>
      <c r="B52" s="8" t="s">
        <v>2272</v>
      </c>
      <c r="C52" s="26" t="s">
        <v>2273</v>
      </c>
      <c r="D52" s="26" t="s">
        <v>2274</v>
      </c>
      <c r="E52" s="26" t="s">
        <v>2058</v>
      </c>
      <c r="F52" s="26" t="s">
        <v>2071</v>
      </c>
      <c r="G52" s="26" t="s">
        <v>2270</v>
      </c>
      <c r="H52" s="26" t="s">
        <v>2096</v>
      </c>
    </row>
    <row r="53" customFormat="false" ht="15" hidden="false" customHeight="false" outlineLevel="0" collapsed="false">
      <c r="A53" s="26" t="s">
        <v>2275</v>
      </c>
      <c r="B53" s="8" t="s">
        <v>2276</v>
      </c>
      <c r="C53" s="26" t="s">
        <v>2277</v>
      </c>
      <c r="D53" s="26" t="s">
        <v>2192</v>
      </c>
      <c r="E53" s="26" t="s">
        <v>2058</v>
      </c>
      <c r="F53" s="26" t="s">
        <v>2059</v>
      </c>
      <c r="G53" s="26" t="s">
        <v>2278</v>
      </c>
      <c r="H53" s="26" t="s">
        <v>2061</v>
      </c>
    </row>
    <row r="54" customFormat="false" ht="23.85" hidden="false" customHeight="false" outlineLevel="0" collapsed="false">
      <c r="A54" s="26" t="s">
        <v>2279</v>
      </c>
      <c r="B54" s="8" t="s">
        <v>2280</v>
      </c>
      <c r="C54" s="26" t="s">
        <v>2281</v>
      </c>
      <c r="D54" s="26" t="s">
        <v>2192</v>
      </c>
      <c r="E54" s="26" t="s">
        <v>2058</v>
      </c>
      <c r="F54" s="26" t="s">
        <v>2059</v>
      </c>
      <c r="G54" s="26" t="s">
        <v>2282</v>
      </c>
      <c r="H54" s="26" t="s">
        <v>2061</v>
      </c>
    </row>
    <row r="55" customFormat="false" ht="23.85" hidden="false" customHeight="false" outlineLevel="0" collapsed="false">
      <c r="A55" s="26" t="s">
        <v>2283</v>
      </c>
      <c r="B55" s="8" t="s">
        <v>2284</v>
      </c>
      <c r="C55" s="26" t="s">
        <v>2285</v>
      </c>
      <c r="D55" s="26" t="s">
        <v>2286</v>
      </c>
      <c r="E55" s="26" t="s">
        <v>2058</v>
      </c>
      <c r="F55" s="26" t="s">
        <v>2059</v>
      </c>
      <c r="G55" s="26" t="s">
        <v>2287</v>
      </c>
      <c r="H55" s="26" t="s">
        <v>2066</v>
      </c>
    </row>
    <row r="56" customFormat="false" ht="23.85" hidden="false" customHeight="false" outlineLevel="0" collapsed="false">
      <c r="A56" s="26" t="s">
        <v>2288</v>
      </c>
      <c r="B56" s="8" t="s">
        <v>2289</v>
      </c>
      <c r="C56" s="26" t="s">
        <v>2290</v>
      </c>
      <c r="D56" s="26" t="s">
        <v>2291</v>
      </c>
      <c r="E56" s="26" t="s">
        <v>2058</v>
      </c>
      <c r="F56" s="26" t="s">
        <v>2059</v>
      </c>
      <c r="G56" s="26" t="s">
        <v>2292</v>
      </c>
      <c r="H56" s="26" t="s">
        <v>2066</v>
      </c>
    </row>
    <row r="57" customFormat="false" ht="23.85" hidden="false" customHeight="false" outlineLevel="0" collapsed="false">
      <c r="A57" s="26" t="s">
        <v>2293</v>
      </c>
      <c r="B57" s="8" t="s">
        <v>2294</v>
      </c>
      <c r="C57" s="26" t="s">
        <v>2295</v>
      </c>
      <c r="D57" s="26" t="s">
        <v>2296</v>
      </c>
      <c r="E57" s="26" t="s">
        <v>2058</v>
      </c>
      <c r="F57" s="26" t="s">
        <v>2059</v>
      </c>
      <c r="G57" s="26" t="s">
        <v>2287</v>
      </c>
      <c r="H57" s="26" t="s">
        <v>2066</v>
      </c>
    </row>
    <row r="58" customFormat="false" ht="23.85" hidden="false" customHeight="false" outlineLevel="0" collapsed="false">
      <c r="A58" s="26" t="s">
        <v>2297</v>
      </c>
      <c r="B58" s="8" t="s">
        <v>2298</v>
      </c>
      <c r="C58" s="26" t="s">
        <v>2299</v>
      </c>
      <c r="D58" s="26" t="s">
        <v>2296</v>
      </c>
      <c r="E58" s="26" t="s">
        <v>2058</v>
      </c>
      <c r="F58" s="26" t="s">
        <v>2071</v>
      </c>
      <c r="G58" s="26" t="s">
        <v>2300</v>
      </c>
      <c r="H58" s="26" t="s">
        <v>2066</v>
      </c>
    </row>
    <row r="59" customFormat="false" ht="23.85" hidden="false" customHeight="false" outlineLevel="0" collapsed="false">
      <c r="A59" s="26" t="s">
        <v>2301</v>
      </c>
      <c r="B59" s="8" t="s">
        <v>2302</v>
      </c>
      <c r="C59" s="26" t="s">
        <v>2303</v>
      </c>
      <c r="D59" s="26" t="s">
        <v>2304</v>
      </c>
      <c r="E59" s="26" t="s">
        <v>2058</v>
      </c>
      <c r="F59" s="26" t="s">
        <v>2059</v>
      </c>
      <c r="G59" s="26" t="s">
        <v>2287</v>
      </c>
      <c r="H59" s="26" t="s">
        <v>2061</v>
      </c>
    </row>
    <row r="60" customFormat="false" ht="35.05" hidden="false" customHeight="false" outlineLevel="0" collapsed="false">
      <c r="A60" s="26" t="s">
        <v>2305</v>
      </c>
      <c r="B60" s="8" t="s">
        <v>2306</v>
      </c>
      <c r="C60" s="26" t="s">
        <v>2307</v>
      </c>
      <c r="D60" s="26" t="s">
        <v>2308</v>
      </c>
      <c r="E60" s="26" t="s">
        <v>2058</v>
      </c>
      <c r="F60" s="26" t="s">
        <v>2071</v>
      </c>
      <c r="G60" s="26" t="s">
        <v>2300</v>
      </c>
      <c r="H60" s="26" t="s">
        <v>2066</v>
      </c>
    </row>
    <row r="61" customFormat="false" ht="23.85" hidden="false" customHeight="false" outlineLevel="0" collapsed="false">
      <c r="A61" s="26" t="s">
        <v>2309</v>
      </c>
      <c r="B61" s="8" t="s">
        <v>2310</v>
      </c>
      <c r="C61" s="26" t="s">
        <v>2311</v>
      </c>
      <c r="D61" s="26" t="s">
        <v>2312</v>
      </c>
      <c r="E61" s="26" t="s">
        <v>2058</v>
      </c>
      <c r="F61" s="26" t="s">
        <v>2059</v>
      </c>
      <c r="G61" s="26" t="s">
        <v>2287</v>
      </c>
      <c r="H61" s="26" t="s">
        <v>2061</v>
      </c>
    </row>
    <row r="62" customFormat="false" ht="23.85" hidden="false" customHeight="false" outlineLevel="0" collapsed="false">
      <c r="A62" s="26" t="s">
        <v>2313</v>
      </c>
      <c r="B62" s="8" t="s">
        <v>2314</v>
      </c>
      <c r="C62" s="26" t="s">
        <v>2315</v>
      </c>
      <c r="D62" s="26" t="s">
        <v>2296</v>
      </c>
      <c r="E62" s="26" t="s">
        <v>2058</v>
      </c>
      <c r="F62" s="26" t="s">
        <v>2071</v>
      </c>
      <c r="G62" s="26" t="s">
        <v>2300</v>
      </c>
      <c r="H62" s="26" t="s">
        <v>2096</v>
      </c>
    </row>
    <row r="63" customFormat="false" ht="35.05" hidden="false" customHeight="false" outlineLevel="0" collapsed="false">
      <c r="A63" s="26" t="s">
        <v>529</v>
      </c>
      <c r="B63" s="8" t="s">
        <v>2316</v>
      </c>
      <c r="C63" s="26" t="s">
        <v>2317</v>
      </c>
      <c r="D63" s="26" t="s">
        <v>2318</v>
      </c>
      <c r="E63" s="26" t="s">
        <v>2058</v>
      </c>
      <c r="F63" s="26" t="s">
        <v>2059</v>
      </c>
      <c r="G63" s="26" t="s">
        <v>2319</v>
      </c>
      <c r="H63" s="26" t="s">
        <v>2061</v>
      </c>
    </row>
    <row r="64" customFormat="false" ht="23.85" hidden="false" customHeight="false" outlineLevel="0" collapsed="false">
      <c r="A64" s="26" t="s">
        <v>2320</v>
      </c>
      <c r="B64" s="8" t="s">
        <v>2321</v>
      </c>
      <c r="C64" s="26" t="s">
        <v>2322</v>
      </c>
      <c r="D64" s="26" t="s">
        <v>2192</v>
      </c>
      <c r="E64" s="26" t="s">
        <v>2058</v>
      </c>
      <c r="F64" s="26" t="s">
        <v>2059</v>
      </c>
      <c r="G64" s="26" t="s">
        <v>2323</v>
      </c>
      <c r="H64" s="26" t="s">
        <v>2061</v>
      </c>
    </row>
    <row r="65" customFormat="false" ht="23.85" hidden="false" customHeight="false" outlineLevel="0" collapsed="false">
      <c r="A65" s="26" t="s">
        <v>2324</v>
      </c>
      <c r="B65" s="8" t="s">
        <v>2325</v>
      </c>
      <c r="C65" s="26" t="s">
        <v>2326</v>
      </c>
      <c r="D65" s="26" t="s">
        <v>2192</v>
      </c>
      <c r="E65" s="26" t="s">
        <v>2058</v>
      </c>
      <c r="F65" s="26" t="s">
        <v>2059</v>
      </c>
      <c r="G65" s="26" t="s">
        <v>2327</v>
      </c>
      <c r="H65" s="26" t="s">
        <v>2061</v>
      </c>
    </row>
    <row r="66" customFormat="false" ht="23.85" hidden="false" customHeight="false" outlineLevel="0" collapsed="false">
      <c r="A66" s="26" t="s">
        <v>2328</v>
      </c>
      <c r="B66" s="8" t="s">
        <v>2329</v>
      </c>
      <c r="C66" s="26" t="s">
        <v>2330</v>
      </c>
      <c r="D66" s="26" t="s">
        <v>2331</v>
      </c>
      <c r="E66" s="26" t="s">
        <v>2058</v>
      </c>
      <c r="F66" s="26" t="s">
        <v>2059</v>
      </c>
      <c r="G66" s="26" t="s">
        <v>2332</v>
      </c>
      <c r="H66" s="26" t="s">
        <v>2061</v>
      </c>
    </row>
    <row r="67" customFormat="false" ht="15" hidden="false" customHeight="false" outlineLevel="0" collapsed="false">
      <c r="A67" s="26" t="s">
        <v>2333</v>
      </c>
      <c r="B67" s="8" t="s">
        <v>2334</v>
      </c>
      <c r="C67" s="26" t="s">
        <v>2335</v>
      </c>
      <c r="D67" s="26" t="s">
        <v>2336</v>
      </c>
      <c r="E67" s="26" t="s">
        <v>2058</v>
      </c>
      <c r="F67" s="26" t="s">
        <v>2059</v>
      </c>
      <c r="G67" s="26" t="s">
        <v>2337</v>
      </c>
      <c r="H67" s="26" t="s">
        <v>2066</v>
      </c>
    </row>
    <row r="68" customFormat="false" ht="23.85" hidden="false" customHeight="false" outlineLevel="0" collapsed="false">
      <c r="A68" s="26" t="s">
        <v>2338</v>
      </c>
      <c r="B68" s="8" t="s">
        <v>2339</v>
      </c>
      <c r="C68" s="26" t="s">
        <v>2340</v>
      </c>
      <c r="D68" s="26" t="s">
        <v>2341</v>
      </c>
      <c r="E68" s="26" t="s">
        <v>2058</v>
      </c>
      <c r="F68" s="26" t="s">
        <v>2059</v>
      </c>
      <c r="G68" s="26" t="s">
        <v>2342</v>
      </c>
      <c r="H68" s="26" t="s">
        <v>2061</v>
      </c>
    </row>
    <row r="69" customFormat="false" ht="23.85" hidden="false" customHeight="false" outlineLevel="0" collapsed="false">
      <c r="A69" s="26" t="s">
        <v>2343</v>
      </c>
      <c r="B69" s="8" t="s">
        <v>2344</v>
      </c>
      <c r="C69" s="26" t="s">
        <v>2345</v>
      </c>
      <c r="D69" s="26" t="s">
        <v>2346</v>
      </c>
      <c r="E69" s="26" t="s">
        <v>2058</v>
      </c>
      <c r="F69" s="26" t="s">
        <v>2059</v>
      </c>
      <c r="G69" s="26" t="s">
        <v>2347</v>
      </c>
      <c r="H69" s="26" t="s">
        <v>2061</v>
      </c>
    </row>
    <row r="70" customFormat="false" ht="23.85" hidden="false" customHeight="false" outlineLevel="0" collapsed="false">
      <c r="A70" s="26" t="s">
        <v>2348</v>
      </c>
      <c r="B70" s="8" t="s">
        <v>2349</v>
      </c>
      <c r="C70" s="26" t="s">
        <v>2350</v>
      </c>
      <c r="D70" s="26" t="s">
        <v>2346</v>
      </c>
      <c r="E70" s="26" t="s">
        <v>2058</v>
      </c>
      <c r="F70" s="26" t="s">
        <v>2059</v>
      </c>
      <c r="G70" s="26" t="s">
        <v>2351</v>
      </c>
      <c r="H70" s="26" t="s">
        <v>2061</v>
      </c>
    </row>
    <row r="71" customFormat="false" ht="23.85" hidden="false" customHeight="false" outlineLevel="0" collapsed="false">
      <c r="A71" s="26" t="s">
        <v>2352</v>
      </c>
      <c r="B71" s="8" t="s">
        <v>2353</v>
      </c>
      <c r="C71" s="26" t="s">
        <v>2354</v>
      </c>
      <c r="D71" s="26" t="s">
        <v>2355</v>
      </c>
      <c r="E71" s="26" t="s">
        <v>2058</v>
      </c>
      <c r="F71" s="26" t="s">
        <v>2071</v>
      </c>
      <c r="G71" s="26" t="s">
        <v>2356</v>
      </c>
      <c r="H71" s="26" t="s">
        <v>2066</v>
      </c>
    </row>
    <row r="72" customFormat="false" ht="35.05" hidden="false" customHeight="false" outlineLevel="0" collapsed="false">
      <c r="A72" s="26" t="s">
        <v>2357</v>
      </c>
      <c r="B72" s="8" t="s">
        <v>2358</v>
      </c>
      <c r="C72" s="26" t="s">
        <v>2359</v>
      </c>
      <c r="D72" s="26" t="s">
        <v>2360</v>
      </c>
      <c r="E72" s="26" t="s">
        <v>2058</v>
      </c>
      <c r="F72" s="26" t="s">
        <v>2059</v>
      </c>
      <c r="G72" s="26" t="s">
        <v>2361</v>
      </c>
      <c r="H72" s="26" t="s">
        <v>2061</v>
      </c>
    </row>
    <row r="73" customFormat="false" ht="23.85" hidden="false" customHeight="false" outlineLevel="0" collapsed="false">
      <c r="A73" s="26" t="s">
        <v>2362</v>
      </c>
      <c r="B73" s="8" t="s">
        <v>2363</v>
      </c>
      <c r="C73" s="26" t="s">
        <v>2364</v>
      </c>
      <c r="D73" s="26" t="s">
        <v>2365</v>
      </c>
      <c r="E73" s="26" t="s">
        <v>2058</v>
      </c>
      <c r="F73" s="26" t="s">
        <v>2071</v>
      </c>
      <c r="G73" s="26" t="s">
        <v>2366</v>
      </c>
      <c r="H73" s="26" t="s">
        <v>2066</v>
      </c>
    </row>
    <row r="74" customFormat="false" ht="23.85" hidden="false" customHeight="false" outlineLevel="0" collapsed="false">
      <c r="A74" s="26" t="s">
        <v>2367</v>
      </c>
      <c r="B74" s="8" t="s">
        <v>2368</v>
      </c>
      <c r="C74" s="26" t="s">
        <v>2369</v>
      </c>
      <c r="D74" s="26" t="s">
        <v>2365</v>
      </c>
      <c r="E74" s="26" t="s">
        <v>2058</v>
      </c>
      <c r="F74" s="26" t="s">
        <v>2071</v>
      </c>
      <c r="G74" s="26" t="s">
        <v>2366</v>
      </c>
      <c r="H74" s="26" t="s">
        <v>2066</v>
      </c>
    </row>
    <row r="75" customFormat="false" ht="35.05" hidden="false" customHeight="false" outlineLevel="0" collapsed="false">
      <c r="A75" s="26" t="s">
        <v>2370</v>
      </c>
      <c r="B75" s="8" t="s">
        <v>2371</v>
      </c>
      <c r="C75" s="26" t="s">
        <v>2372</v>
      </c>
      <c r="D75" s="26" t="s">
        <v>2373</v>
      </c>
      <c r="E75" s="26" t="s">
        <v>2058</v>
      </c>
      <c r="F75" s="26" t="s">
        <v>2071</v>
      </c>
      <c r="G75" s="26" t="s">
        <v>2374</v>
      </c>
      <c r="H75" s="26" t="s">
        <v>2096</v>
      </c>
    </row>
    <row r="76" customFormat="false" ht="35.05" hidden="false" customHeight="false" outlineLevel="0" collapsed="false">
      <c r="A76" s="26" t="s">
        <v>2375</v>
      </c>
      <c r="B76" s="8" t="s">
        <v>2376</v>
      </c>
      <c r="C76" s="26" t="s">
        <v>2377</v>
      </c>
      <c r="D76" s="26" t="s">
        <v>2378</v>
      </c>
      <c r="E76" s="26" t="s">
        <v>2058</v>
      </c>
      <c r="F76" s="26" t="s">
        <v>2059</v>
      </c>
      <c r="G76" s="26" t="s">
        <v>2379</v>
      </c>
      <c r="H76" s="26" t="s">
        <v>2066</v>
      </c>
    </row>
    <row r="77" customFormat="false" ht="35.05" hidden="false" customHeight="false" outlineLevel="0" collapsed="false">
      <c r="A77" s="26" t="s">
        <v>2380</v>
      </c>
      <c r="B77" s="8" t="s">
        <v>2381</v>
      </c>
      <c r="C77" s="26" t="s">
        <v>2382</v>
      </c>
      <c r="D77" s="26" t="s">
        <v>2383</v>
      </c>
      <c r="E77" s="26" t="s">
        <v>2058</v>
      </c>
      <c r="F77" s="26" t="s">
        <v>2071</v>
      </c>
      <c r="G77" s="26" t="s">
        <v>2384</v>
      </c>
      <c r="H77" s="26" t="s">
        <v>2066</v>
      </c>
    </row>
    <row r="78" customFormat="false" ht="35.05" hidden="false" customHeight="false" outlineLevel="0" collapsed="false">
      <c r="A78" s="26" t="s">
        <v>2385</v>
      </c>
      <c r="B78" s="8" t="s">
        <v>2386</v>
      </c>
      <c r="C78" s="26" t="s">
        <v>2387</v>
      </c>
      <c r="D78" s="26" t="s">
        <v>2365</v>
      </c>
      <c r="E78" s="26" t="s">
        <v>2058</v>
      </c>
      <c r="F78" s="26" t="s">
        <v>2071</v>
      </c>
      <c r="G78" s="26" t="s">
        <v>2388</v>
      </c>
      <c r="H78" s="26" t="s">
        <v>2096</v>
      </c>
    </row>
    <row r="79" customFormat="false" ht="23.85" hidden="false" customHeight="false" outlineLevel="0" collapsed="false">
      <c r="A79" s="26" t="s">
        <v>443</v>
      </c>
      <c r="B79" s="8" t="s">
        <v>2389</v>
      </c>
      <c r="C79" s="26" t="s">
        <v>2390</v>
      </c>
      <c r="D79" s="26" t="s">
        <v>2391</v>
      </c>
      <c r="E79" s="26" t="s">
        <v>2058</v>
      </c>
      <c r="F79" s="26" t="s">
        <v>2059</v>
      </c>
      <c r="G79" s="26" t="s">
        <v>2392</v>
      </c>
      <c r="H79" s="26" t="s">
        <v>2096</v>
      </c>
    </row>
    <row r="80" customFormat="false" ht="23.85" hidden="false" customHeight="false" outlineLevel="0" collapsed="false">
      <c r="A80" s="26" t="s">
        <v>417</v>
      </c>
      <c r="B80" s="8" t="s">
        <v>2393</v>
      </c>
      <c r="C80" s="26" t="s">
        <v>2394</v>
      </c>
      <c r="D80" s="26" t="s">
        <v>2391</v>
      </c>
      <c r="E80" s="26" t="s">
        <v>2058</v>
      </c>
      <c r="F80" s="26" t="s">
        <v>2059</v>
      </c>
      <c r="G80" s="26" t="s">
        <v>2392</v>
      </c>
      <c r="H80" s="26" t="s">
        <v>2096</v>
      </c>
    </row>
    <row r="81" customFormat="false" ht="23.85" hidden="false" customHeight="false" outlineLevel="0" collapsed="false">
      <c r="A81" s="26" t="s">
        <v>2395</v>
      </c>
      <c r="B81" s="8" t="s">
        <v>2396</v>
      </c>
      <c r="C81" s="26" t="s">
        <v>2397</v>
      </c>
      <c r="D81" s="26" t="s">
        <v>2365</v>
      </c>
      <c r="E81" s="26" t="s">
        <v>2058</v>
      </c>
      <c r="F81" s="26" t="s">
        <v>2071</v>
      </c>
      <c r="G81" s="26" t="s">
        <v>2398</v>
      </c>
      <c r="H81" s="26" t="s">
        <v>2066</v>
      </c>
    </row>
    <row r="82" customFormat="false" ht="35.05" hidden="false" customHeight="false" outlineLevel="0" collapsed="false">
      <c r="A82" s="26" t="s">
        <v>401</v>
      </c>
      <c r="B82" s="8" t="s">
        <v>2399</v>
      </c>
      <c r="C82" s="26" t="s">
        <v>2400</v>
      </c>
      <c r="D82" s="26" t="s">
        <v>2401</v>
      </c>
      <c r="E82" s="26" t="s">
        <v>2058</v>
      </c>
      <c r="F82" s="26" t="s">
        <v>2059</v>
      </c>
      <c r="G82" s="26" t="s">
        <v>2402</v>
      </c>
      <c r="H82" s="26" t="s">
        <v>2061</v>
      </c>
    </row>
    <row r="83" customFormat="false" ht="23.85" hidden="false" customHeight="false" outlineLevel="0" collapsed="false">
      <c r="A83" s="26" t="s">
        <v>2403</v>
      </c>
      <c r="B83" s="8" t="s">
        <v>2404</v>
      </c>
      <c r="C83" s="26" t="s">
        <v>2405</v>
      </c>
      <c r="D83" s="26" t="s">
        <v>2346</v>
      </c>
      <c r="E83" s="26" t="s">
        <v>2058</v>
      </c>
      <c r="F83" s="26" t="s">
        <v>2059</v>
      </c>
      <c r="G83" s="26" t="s">
        <v>2406</v>
      </c>
      <c r="H83" s="26" t="s">
        <v>2061</v>
      </c>
    </row>
    <row r="84" customFormat="false" ht="23.85" hidden="false" customHeight="false" outlineLevel="0" collapsed="false">
      <c r="A84" s="26" t="s">
        <v>2407</v>
      </c>
      <c r="B84" s="8" t="s">
        <v>2408</v>
      </c>
      <c r="C84" s="26" t="s">
        <v>2409</v>
      </c>
      <c r="D84" s="26" t="s">
        <v>2410</v>
      </c>
      <c r="E84" s="26" t="s">
        <v>2058</v>
      </c>
      <c r="F84" s="26" t="s">
        <v>2059</v>
      </c>
      <c r="G84" s="26" t="s">
        <v>2411</v>
      </c>
      <c r="H84" s="26" t="s">
        <v>2061</v>
      </c>
    </row>
    <row r="85" customFormat="false" ht="23.85" hidden="false" customHeight="false" outlineLevel="0" collapsed="false">
      <c r="A85" s="26" t="s">
        <v>2412</v>
      </c>
      <c r="B85" s="8" t="s">
        <v>2413</v>
      </c>
      <c r="C85" s="26" t="s">
        <v>2414</v>
      </c>
      <c r="D85" s="26" t="s">
        <v>2415</v>
      </c>
      <c r="E85" s="26" t="s">
        <v>2058</v>
      </c>
      <c r="F85" s="26" t="s">
        <v>2059</v>
      </c>
      <c r="G85" s="26" t="s">
        <v>2416</v>
      </c>
      <c r="H85" s="26" t="s">
        <v>2061</v>
      </c>
    </row>
    <row r="86" customFormat="false" ht="23.85" hidden="false" customHeight="false" outlineLevel="0" collapsed="false">
      <c r="A86" s="26" t="s">
        <v>2417</v>
      </c>
      <c r="B86" s="8" t="s">
        <v>2418</v>
      </c>
      <c r="C86" s="26" t="s">
        <v>2419</v>
      </c>
      <c r="D86" s="26" t="s">
        <v>2420</v>
      </c>
      <c r="E86" s="26" t="s">
        <v>2058</v>
      </c>
      <c r="F86" s="26" t="s">
        <v>2059</v>
      </c>
      <c r="G86" s="26" t="s">
        <v>2421</v>
      </c>
      <c r="H86" s="26" t="s">
        <v>2061</v>
      </c>
    </row>
    <row r="87" customFormat="false" ht="23.85" hidden="false" customHeight="false" outlineLevel="0" collapsed="false">
      <c r="A87" s="26" t="s">
        <v>2422</v>
      </c>
      <c r="B87" s="8" t="s">
        <v>2423</v>
      </c>
      <c r="C87" s="26" t="s">
        <v>2424</v>
      </c>
      <c r="D87" s="26" t="s">
        <v>2420</v>
      </c>
      <c r="E87" s="26" t="s">
        <v>2058</v>
      </c>
      <c r="F87" s="26" t="s">
        <v>2059</v>
      </c>
      <c r="G87" s="26" t="s">
        <v>2421</v>
      </c>
      <c r="H87" s="26" t="s">
        <v>2061</v>
      </c>
    </row>
    <row r="88" customFormat="false" ht="23.85" hidden="false" customHeight="false" outlineLevel="0" collapsed="false">
      <c r="A88" s="26" t="s">
        <v>2425</v>
      </c>
      <c r="B88" s="8" t="s">
        <v>2426</v>
      </c>
      <c r="C88" s="26" t="s">
        <v>2427</v>
      </c>
      <c r="D88" s="26" t="s">
        <v>2420</v>
      </c>
      <c r="E88" s="26" t="s">
        <v>2058</v>
      </c>
      <c r="F88" s="26" t="s">
        <v>2059</v>
      </c>
      <c r="G88" s="26" t="s">
        <v>2421</v>
      </c>
      <c r="H88" s="26" t="s">
        <v>2061</v>
      </c>
    </row>
    <row r="89" customFormat="false" ht="23.85" hidden="false" customHeight="false" outlineLevel="0" collapsed="false">
      <c r="A89" s="26" t="s">
        <v>878</v>
      </c>
      <c r="B89" s="8" t="s">
        <v>2428</v>
      </c>
      <c r="C89" s="26" t="s">
        <v>2429</v>
      </c>
      <c r="D89" s="26" t="s">
        <v>2420</v>
      </c>
      <c r="E89" s="26" t="s">
        <v>2058</v>
      </c>
      <c r="F89" s="26" t="s">
        <v>2059</v>
      </c>
      <c r="G89" s="26" t="s">
        <v>2421</v>
      </c>
      <c r="H89" s="26" t="s">
        <v>2061</v>
      </c>
    </row>
    <row r="90" customFormat="false" ht="23.85" hidden="false" customHeight="false" outlineLevel="0" collapsed="false">
      <c r="A90" s="26" t="s">
        <v>2430</v>
      </c>
      <c r="B90" s="8" t="s">
        <v>2431</v>
      </c>
      <c r="C90" s="26" t="s">
        <v>2432</v>
      </c>
      <c r="D90" s="26" t="s">
        <v>2420</v>
      </c>
      <c r="E90" s="26" t="s">
        <v>2058</v>
      </c>
      <c r="F90" s="26" t="s">
        <v>2059</v>
      </c>
      <c r="G90" s="26" t="s">
        <v>2421</v>
      </c>
      <c r="H90" s="26" t="s">
        <v>2061</v>
      </c>
    </row>
    <row r="91" customFormat="false" ht="23.85" hidden="false" customHeight="false" outlineLevel="0" collapsed="false">
      <c r="A91" s="26" t="s">
        <v>2433</v>
      </c>
      <c r="B91" s="8" t="s">
        <v>2434</v>
      </c>
      <c r="C91" s="26" t="s">
        <v>2435</v>
      </c>
      <c r="D91" s="26" t="s">
        <v>2420</v>
      </c>
      <c r="E91" s="26" t="s">
        <v>2058</v>
      </c>
      <c r="F91" s="26" t="s">
        <v>2059</v>
      </c>
      <c r="G91" s="26" t="s">
        <v>2421</v>
      </c>
      <c r="H91" s="26" t="s">
        <v>2061</v>
      </c>
    </row>
    <row r="92" customFormat="false" ht="15" hidden="false" customHeight="false" outlineLevel="0" collapsed="false">
      <c r="A92" s="26" t="s">
        <v>2436</v>
      </c>
      <c r="B92" s="8" t="s">
        <v>2437</v>
      </c>
      <c r="C92" s="26" t="s">
        <v>2438</v>
      </c>
      <c r="D92" s="26" t="s">
        <v>2439</v>
      </c>
      <c r="E92" s="26" t="s">
        <v>2058</v>
      </c>
      <c r="F92" s="26" t="s">
        <v>2059</v>
      </c>
      <c r="G92" s="26" t="s">
        <v>2440</v>
      </c>
      <c r="H92" s="26" t="s">
        <v>2061</v>
      </c>
    </row>
    <row r="93" customFormat="false" ht="15" hidden="false" customHeight="false" outlineLevel="0" collapsed="false">
      <c r="A93" s="26" t="s">
        <v>2441</v>
      </c>
      <c r="B93" s="8" t="s">
        <v>2442</v>
      </c>
      <c r="C93" s="26" t="s">
        <v>2443</v>
      </c>
      <c r="D93" s="26" t="s">
        <v>2439</v>
      </c>
      <c r="E93" s="26" t="s">
        <v>2058</v>
      </c>
      <c r="F93" s="26" t="s">
        <v>2059</v>
      </c>
      <c r="G93" s="26" t="s">
        <v>2444</v>
      </c>
      <c r="H93" s="26" t="s">
        <v>2061</v>
      </c>
    </row>
    <row r="94" customFormat="false" ht="23.85" hidden="false" customHeight="false" outlineLevel="0" collapsed="false">
      <c r="A94" s="26" t="s">
        <v>2445</v>
      </c>
      <c r="B94" s="8" t="s">
        <v>2446</v>
      </c>
      <c r="C94" s="26" t="s">
        <v>2447</v>
      </c>
      <c r="D94" s="26" t="s">
        <v>2420</v>
      </c>
      <c r="E94" s="26" t="s">
        <v>2058</v>
      </c>
      <c r="F94" s="26" t="s">
        <v>2059</v>
      </c>
      <c r="G94" s="26" t="s">
        <v>2444</v>
      </c>
      <c r="H94" s="26" t="s">
        <v>2061</v>
      </c>
    </row>
    <row r="95" customFormat="false" ht="15" hidden="false" customHeight="false" outlineLevel="0" collapsed="false">
      <c r="A95" s="26" t="s">
        <v>2448</v>
      </c>
      <c r="B95" s="8" t="s">
        <v>2449</v>
      </c>
      <c r="C95" s="26" t="s">
        <v>2236</v>
      </c>
      <c r="D95" s="26" t="s">
        <v>2450</v>
      </c>
      <c r="E95" s="26" t="s">
        <v>2058</v>
      </c>
      <c r="F95" s="26" t="s">
        <v>2071</v>
      </c>
      <c r="G95" s="26" t="s">
        <v>2451</v>
      </c>
      <c r="H95" s="26" t="s">
        <v>2061</v>
      </c>
    </row>
    <row r="96" customFormat="false" ht="23.85" hidden="false" customHeight="false" outlineLevel="0" collapsed="false">
      <c r="A96" s="26" t="s">
        <v>2452</v>
      </c>
      <c r="B96" s="8" t="s">
        <v>2453</v>
      </c>
      <c r="C96" s="26" t="s">
        <v>2454</v>
      </c>
      <c r="D96" s="26" t="s">
        <v>2455</v>
      </c>
      <c r="E96" s="26" t="s">
        <v>2058</v>
      </c>
      <c r="F96" s="26" t="s">
        <v>2071</v>
      </c>
      <c r="G96" s="26" t="s">
        <v>2456</v>
      </c>
      <c r="H96" s="26" t="s">
        <v>2066</v>
      </c>
    </row>
    <row r="97" customFormat="false" ht="23.85" hidden="false" customHeight="false" outlineLevel="0" collapsed="false">
      <c r="A97" s="26" t="s">
        <v>2457</v>
      </c>
      <c r="B97" s="8" t="s">
        <v>2458</v>
      </c>
      <c r="C97" s="26" t="s">
        <v>2459</v>
      </c>
      <c r="D97" s="26" t="s">
        <v>2420</v>
      </c>
      <c r="E97" s="26" t="s">
        <v>2058</v>
      </c>
      <c r="F97" s="26" t="s">
        <v>2059</v>
      </c>
      <c r="G97" s="26" t="s">
        <v>2460</v>
      </c>
      <c r="H97" s="26" t="s">
        <v>2061</v>
      </c>
    </row>
    <row r="98" customFormat="false" ht="23.85" hidden="false" customHeight="false" outlineLevel="0" collapsed="false">
      <c r="A98" s="26" t="s">
        <v>2461</v>
      </c>
      <c r="B98" s="8" t="s">
        <v>2462</v>
      </c>
      <c r="C98" s="26" t="s">
        <v>2463</v>
      </c>
      <c r="D98" s="26" t="s">
        <v>2420</v>
      </c>
      <c r="E98" s="26" t="s">
        <v>2058</v>
      </c>
      <c r="F98" s="26" t="s">
        <v>2059</v>
      </c>
      <c r="G98" s="26" t="s">
        <v>2460</v>
      </c>
      <c r="H98" s="26" t="s">
        <v>2061</v>
      </c>
    </row>
    <row r="99" customFormat="false" ht="15" hidden="false" customHeight="false" outlineLevel="0" collapsed="false">
      <c r="A99" s="26" t="s">
        <v>2464</v>
      </c>
      <c r="B99" s="8" t="s">
        <v>2465</v>
      </c>
      <c r="C99" s="26" t="s">
        <v>2466</v>
      </c>
      <c r="D99" s="26" t="s">
        <v>2415</v>
      </c>
      <c r="E99" s="26" t="s">
        <v>2058</v>
      </c>
      <c r="F99" s="26" t="s">
        <v>2059</v>
      </c>
      <c r="G99" s="26" t="s">
        <v>2416</v>
      </c>
      <c r="H99" s="26" t="s">
        <v>2061</v>
      </c>
    </row>
    <row r="100" customFormat="false" ht="23.85" hidden="false" customHeight="false" outlineLevel="0" collapsed="false">
      <c r="A100" s="26" t="s">
        <v>2467</v>
      </c>
      <c r="B100" s="8" t="s">
        <v>2468</v>
      </c>
      <c r="C100" s="26" t="s">
        <v>2469</v>
      </c>
      <c r="D100" s="26" t="s">
        <v>2415</v>
      </c>
      <c r="E100" s="26" t="s">
        <v>2058</v>
      </c>
      <c r="F100" s="26" t="s">
        <v>2059</v>
      </c>
      <c r="G100" s="26" t="s">
        <v>2470</v>
      </c>
      <c r="H100" s="26" t="s">
        <v>2061</v>
      </c>
    </row>
    <row r="101" customFormat="false" ht="15" hidden="false" customHeight="false" outlineLevel="0" collapsed="false">
      <c r="A101" s="26" t="s">
        <v>2471</v>
      </c>
      <c r="B101" s="8" t="s">
        <v>2472</v>
      </c>
      <c r="C101" s="26" t="s">
        <v>2473</v>
      </c>
      <c r="D101" s="26" t="s">
        <v>2474</v>
      </c>
      <c r="E101" s="26" t="s">
        <v>2058</v>
      </c>
      <c r="F101" s="26" t="s">
        <v>2059</v>
      </c>
      <c r="G101" s="26" t="s">
        <v>2470</v>
      </c>
      <c r="H101" s="26" t="s">
        <v>2066</v>
      </c>
    </row>
    <row r="102" customFormat="false" ht="23.85" hidden="false" customHeight="false" outlineLevel="0" collapsed="false">
      <c r="A102" s="26" t="s">
        <v>2475</v>
      </c>
      <c r="B102" s="8" t="s">
        <v>2476</v>
      </c>
      <c r="C102" s="26" t="s">
        <v>2477</v>
      </c>
      <c r="D102" s="26" t="s">
        <v>2478</v>
      </c>
      <c r="E102" s="26" t="s">
        <v>2058</v>
      </c>
      <c r="F102" s="26" t="s">
        <v>2059</v>
      </c>
      <c r="G102" s="26" t="s">
        <v>2479</v>
      </c>
      <c r="H102" s="26" t="s">
        <v>2066</v>
      </c>
    </row>
    <row r="103" customFormat="false" ht="23.85" hidden="false" customHeight="false" outlineLevel="0" collapsed="false">
      <c r="A103" s="26" t="s">
        <v>2480</v>
      </c>
      <c r="B103" s="8" t="s">
        <v>2481</v>
      </c>
      <c r="C103" s="26" t="s">
        <v>2482</v>
      </c>
      <c r="D103" s="26" t="s">
        <v>2483</v>
      </c>
      <c r="E103" s="26" t="s">
        <v>2058</v>
      </c>
      <c r="F103" s="26" t="s">
        <v>2059</v>
      </c>
      <c r="G103" s="26" t="s">
        <v>2484</v>
      </c>
      <c r="H103" s="26" t="s">
        <v>2066</v>
      </c>
    </row>
    <row r="104" customFormat="false" ht="23.85" hidden="false" customHeight="false" outlineLevel="0" collapsed="false">
      <c r="A104" s="26" t="s">
        <v>2485</v>
      </c>
      <c r="B104" s="8" t="s">
        <v>2486</v>
      </c>
      <c r="C104" s="26" t="s">
        <v>2487</v>
      </c>
      <c r="D104" s="26" t="s">
        <v>2415</v>
      </c>
      <c r="E104" s="26" t="s">
        <v>2058</v>
      </c>
      <c r="F104" s="26" t="s">
        <v>2059</v>
      </c>
      <c r="G104" s="26" t="s">
        <v>2488</v>
      </c>
      <c r="H104" s="26" t="s">
        <v>2061</v>
      </c>
    </row>
    <row r="105" customFormat="false" ht="23.85" hidden="false" customHeight="false" outlineLevel="0" collapsed="false">
      <c r="A105" s="26" t="s">
        <v>2489</v>
      </c>
      <c r="B105" s="8" t="s">
        <v>2490</v>
      </c>
      <c r="C105" s="26" t="s">
        <v>2491</v>
      </c>
      <c r="D105" s="26" t="s">
        <v>2492</v>
      </c>
      <c r="E105" s="26" t="s">
        <v>2058</v>
      </c>
      <c r="F105" s="26" t="s">
        <v>2059</v>
      </c>
      <c r="G105" s="26" t="s">
        <v>2493</v>
      </c>
      <c r="H105" s="26" t="s">
        <v>2061</v>
      </c>
    </row>
    <row r="106" customFormat="false" ht="23.85" hidden="false" customHeight="false" outlineLevel="0" collapsed="false">
      <c r="A106" s="26" t="s">
        <v>2494</v>
      </c>
      <c r="B106" s="8" t="s">
        <v>2495</v>
      </c>
      <c r="C106" s="26" t="s">
        <v>2496</v>
      </c>
      <c r="D106" s="26" t="s">
        <v>2420</v>
      </c>
      <c r="E106" s="26" t="s">
        <v>2058</v>
      </c>
      <c r="F106" s="26" t="s">
        <v>2059</v>
      </c>
      <c r="G106" s="26" t="s">
        <v>2493</v>
      </c>
      <c r="H106" s="26" t="s">
        <v>2061</v>
      </c>
    </row>
    <row r="107" customFormat="false" ht="23.85" hidden="false" customHeight="false" outlineLevel="0" collapsed="false">
      <c r="A107" s="26" t="s">
        <v>2497</v>
      </c>
      <c r="B107" s="8" t="s">
        <v>2498</v>
      </c>
      <c r="C107" s="26" t="s">
        <v>2499</v>
      </c>
      <c r="D107" s="26" t="s">
        <v>2420</v>
      </c>
      <c r="E107" s="26" t="s">
        <v>2058</v>
      </c>
      <c r="F107" s="26" t="s">
        <v>2059</v>
      </c>
      <c r="G107" s="26" t="s">
        <v>2500</v>
      </c>
      <c r="H107" s="26" t="s">
        <v>2061</v>
      </c>
    </row>
    <row r="108" customFormat="false" ht="23.85" hidden="false" customHeight="false" outlineLevel="0" collapsed="false">
      <c r="A108" s="26" t="s">
        <v>2501</v>
      </c>
      <c r="B108" s="8" t="s">
        <v>2502</v>
      </c>
      <c r="C108" s="26" t="s">
        <v>2503</v>
      </c>
      <c r="D108" s="26" t="s">
        <v>2415</v>
      </c>
      <c r="E108" s="26" t="s">
        <v>2058</v>
      </c>
      <c r="F108" s="26" t="s">
        <v>2059</v>
      </c>
      <c r="G108" s="26" t="s">
        <v>2504</v>
      </c>
      <c r="H108" s="26" t="s">
        <v>2061</v>
      </c>
    </row>
    <row r="109" customFormat="false" ht="15" hidden="false" customHeight="false" outlineLevel="0" collapsed="false">
      <c r="A109" s="26" t="s">
        <v>2505</v>
      </c>
      <c r="B109" s="8" t="s">
        <v>2506</v>
      </c>
      <c r="C109" s="26" t="s">
        <v>2507</v>
      </c>
      <c r="D109" s="26" t="s">
        <v>2415</v>
      </c>
      <c r="E109" s="26" t="s">
        <v>2058</v>
      </c>
      <c r="F109" s="26" t="s">
        <v>2059</v>
      </c>
      <c r="G109" s="26" t="s">
        <v>2508</v>
      </c>
      <c r="H109" s="26" t="s">
        <v>2061</v>
      </c>
    </row>
    <row r="110" customFormat="false" ht="23.85" hidden="false" customHeight="false" outlineLevel="0" collapsed="false">
      <c r="A110" s="26" t="s">
        <v>2509</v>
      </c>
      <c r="B110" s="8" t="s">
        <v>2510</v>
      </c>
      <c r="C110" s="26" t="s">
        <v>2511</v>
      </c>
      <c r="D110" s="26" t="s">
        <v>2415</v>
      </c>
      <c r="E110" s="26" t="s">
        <v>2058</v>
      </c>
      <c r="F110" s="26" t="s">
        <v>2059</v>
      </c>
      <c r="G110" s="26" t="s">
        <v>2512</v>
      </c>
      <c r="H110" s="26" t="s">
        <v>2061</v>
      </c>
    </row>
    <row r="111" customFormat="false" ht="15" hidden="false" customHeight="false" outlineLevel="0" collapsed="false">
      <c r="A111" s="26" t="s">
        <v>2513</v>
      </c>
      <c r="B111" s="8" t="s">
        <v>2514</v>
      </c>
      <c r="C111" s="26" t="s">
        <v>2515</v>
      </c>
      <c r="D111" s="26" t="s">
        <v>2415</v>
      </c>
      <c r="E111" s="26" t="s">
        <v>2058</v>
      </c>
      <c r="F111" s="26" t="s">
        <v>2059</v>
      </c>
      <c r="G111" s="26" t="s">
        <v>2516</v>
      </c>
      <c r="H111" s="26" t="s">
        <v>2061</v>
      </c>
    </row>
    <row r="112" customFormat="false" ht="23.85" hidden="false" customHeight="false" outlineLevel="0" collapsed="false">
      <c r="A112" s="26" t="s">
        <v>2517</v>
      </c>
      <c r="B112" s="8" t="s">
        <v>2518</v>
      </c>
      <c r="C112" s="26" t="s">
        <v>2519</v>
      </c>
      <c r="D112" s="26" t="s">
        <v>2415</v>
      </c>
      <c r="E112" s="26" t="s">
        <v>2058</v>
      </c>
      <c r="F112" s="26" t="s">
        <v>2059</v>
      </c>
      <c r="G112" s="26" t="s">
        <v>2520</v>
      </c>
      <c r="H112" s="26" t="s">
        <v>2061</v>
      </c>
    </row>
    <row r="113" customFormat="false" ht="23.85" hidden="false" customHeight="false" outlineLevel="0" collapsed="false">
      <c r="A113" s="26" t="s">
        <v>2521</v>
      </c>
      <c r="B113" s="8" t="s">
        <v>2522</v>
      </c>
      <c r="C113" s="26" t="s">
        <v>2523</v>
      </c>
      <c r="D113" s="26" t="s">
        <v>2415</v>
      </c>
      <c r="E113" s="26" t="s">
        <v>2058</v>
      </c>
      <c r="F113" s="26" t="s">
        <v>2059</v>
      </c>
      <c r="G113" s="26" t="s">
        <v>2524</v>
      </c>
      <c r="H113" s="26" t="s">
        <v>2061</v>
      </c>
    </row>
    <row r="114" customFormat="false" ht="23.85" hidden="false" customHeight="false" outlineLevel="0" collapsed="false">
      <c r="A114" s="26" t="s">
        <v>2525</v>
      </c>
      <c r="B114" s="8" t="s">
        <v>2526</v>
      </c>
      <c r="C114" s="26" t="s">
        <v>2527</v>
      </c>
      <c r="D114" s="26" t="s">
        <v>2415</v>
      </c>
      <c r="E114" s="26" t="s">
        <v>2058</v>
      </c>
      <c r="F114" s="26" t="s">
        <v>2059</v>
      </c>
      <c r="G114" s="26" t="s">
        <v>2528</v>
      </c>
      <c r="H114" s="26" t="s">
        <v>2061</v>
      </c>
    </row>
    <row r="115" customFormat="false" ht="23.85" hidden="false" customHeight="false" outlineLevel="0" collapsed="false">
      <c r="A115" s="26" t="s">
        <v>2529</v>
      </c>
      <c r="B115" s="8" t="s">
        <v>2530</v>
      </c>
      <c r="C115" s="26" t="s">
        <v>2531</v>
      </c>
      <c r="D115" s="26" t="s">
        <v>2415</v>
      </c>
      <c r="E115" s="26" t="s">
        <v>2058</v>
      </c>
      <c r="F115" s="26" t="s">
        <v>2059</v>
      </c>
      <c r="G115" s="26" t="s">
        <v>2532</v>
      </c>
      <c r="H115" s="26" t="s">
        <v>2061</v>
      </c>
    </row>
    <row r="116" customFormat="false" ht="23.85" hidden="false" customHeight="false" outlineLevel="0" collapsed="false">
      <c r="A116" s="26" t="s">
        <v>2533</v>
      </c>
      <c r="B116" s="8" t="s">
        <v>2534</v>
      </c>
      <c r="C116" s="26" t="s">
        <v>2535</v>
      </c>
      <c r="D116" s="26" t="s">
        <v>2415</v>
      </c>
      <c r="E116" s="26" t="s">
        <v>2058</v>
      </c>
      <c r="F116" s="26" t="s">
        <v>2059</v>
      </c>
      <c r="G116" s="26" t="s">
        <v>2532</v>
      </c>
      <c r="H116" s="26" t="s">
        <v>2061</v>
      </c>
    </row>
    <row r="117" customFormat="false" ht="15" hidden="false" customHeight="false" outlineLevel="0" collapsed="false">
      <c r="A117" s="26" t="s">
        <v>2536</v>
      </c>
      <c r="B117" s="8" t="s">
        <v>2537</v>
      </c>
      <c r="C117" s="26" t="s">
        <v>2538</v>
      </c>
      <c r="D117" s="26" t="s">
        <v>2415</v>
      </c>
      <c r="E117" s="26" t="s">
        <v>2058</v>
      </c>
      <c r="F117" s="26" t="s">
        <v>2059</v>
      </c>
      <c r="G117" s="26" t="s">
        <v>2539</v>
      </c>
      <c r="H117" s="26" t="s">
        <v>2061</v>
      </c>
    </row>
    <row r="118" customFormat="false" ht="23.85" hidden="false" customHeight="false" outlineLevel="0" collapsed="false">
      <c r="A118" s="26" t="s">
        <v>2540</v>
      </c>
      <c r="B118" s="8" t="s">
        <v>2541</v>
      </c>
      <c r="C118" s="26" t="s">
        <v>2542</v>
      </c>
      <c r="D118" s="26" t="s">
        <v>2415</v>
      </c>
      <c r="E118" s="26" t="s">
        <v>2058</v>
      </c>
      <c r="F118" s="26" t="s">
        <v>2059</v>
      </c>
      <c r="G118" s="26" t="s">
        <v>2543</v>
      </c>
      <c r="H118" s="26" t="s">
        <v>2061</v>
      </c>
    </row>
    <row r="119" customFormat="false" ht="15" hidden="false" customHeight="false" outlineLevel="0" collapsed="false">
      <c r="A119" s="26" t="s">
        <v>2544</v>
      </c>
      <c r="B119" s="8" t="s">
        <v>2545</v>
      </c>
      <c r="C119" s="26" t="s">
        <v>2546</v>
      </c>
      <c r="D119" s="26" t="s">
        <v>2415</v>
      </c>
      <c r="E119" s="26" t="s">
        <v>2058</v>
      </c>
      <c r="F119" s="26" t="s">
        <v>2059</v>
      </c>
      <c r="G119" s="26" t="s">
        <v>2547</v>
      </c>
      <c r="H119" s="26" t="s">
        <v>2061</v>
      </c>
    </row>
    <row r="120" customFormat="false" ht="23.85" hidden="false" customHeight="false" outlineLevel="0" collapsed="false">
      <c r="A120" s="26" t="s">
        <v>2548</v>
      </c>
      <c r="B120" s="8" t="s">
        <v>2549</v>
      </c>
      <c r="C120" s="26" t="s">
        <v>2550</v>
      </c>
      <c r="D120" s="26" t="s">
        <v>2415</v>
      </c>
      <c r="E120" s="26" t="s">
        <v>2058</v>
      </c>
      <c r="F120" s="26" t="s">
        <v>2059</v>
      </c>
      <c r="G120" s="26" t="s">
        <v>2551</v>
      </c>
      <c r="H120" s="26" t="s">
        <v>2061</v>
      </c>
    </row>
    <row r="121" customFormat="false" ht="15" hidden="false" customHeight="false" outlineLevel="0" collapsed="false">
      <c r="A121" s="26" t="s">
        <v>2552</v>
      </c>
      <c r="B121" s="8" t="s">
        <v>2553</v>
      </c>
      <c r="C121" s="26" t="s">
        <v>2554</v>
      </c>
      <c r="D121" s="26" t="s">
        <v>2415</v>
      </c>
      <c r="E121" s="26" t="s">
        <v>2058</v>
      </c>
      <c r="F121" s="26" t="s">
        <v>2059</v>
      </c>
      <c r="G121" s="26" t="s">
        <v>2555</v>
      </c>
      <c r="H121" s="26" t="s">
        <v>2061</v>
      </c>
    </row>
    <row r="122" customFormat="false" ht="23.85" hidden="false" customHeight="false" outlineLevel="0" collapsed="false">
      <c r="A122" s="26" t="s">
        <v>2556</v>
      </c>
      <c r="B122" s="8" t="s">
        <v>2557</v>
      </c>
      <c r="C122" s="26" t="s">
        <v>2558</v>
      </c>
      <c r="D122" s="26" t="s">
        <v>2415</v>
      </c>
      <c r="E122" s="26" t="s">
        <v>2058</v>
      </c>
      <c r="F122" s="26" t="s">
        <v>2059</v>
      </c>
      <c r="G122" s="26" t="s">
        <v>2559</v>
      </c>
      <c r="H122" s="26" t="s">
        <v>2061</v>
      </c>
    </row>
    <row r="123" customFormat="false" ht="15" hidden="false" customHeight="false" outlineLevel="0" collapsed="false">
      <c r="A123" s="26" t="s">
        <v>2560</v>
      </c>
      <c r="B123" s="8" t="s">
        <v>2561</v>
      </c>
      <c r="C123" s="26" t="s">
        <v>2562</v>
      </c>
      <c r="D123" s="26" t="s">
        <v>2415</v>
      </c>
      <c r="E123" s="26" t="s">
        <v>2058</v>
      </c>
      <c r="F123" s="26" t="s">
        <v>2059</v>
      </c>
      <c r="G123" s="26" t="s">
        <v>2559</v>
      </c>
      <c r="H123" s="26" t="s">
        <v>2061</v>
      </c>
    </row>
    <row r="124" customFormat="false" ht="23.85" hidden="false" customHeight="false" outlineLevel="0" collapsed="false">
      <c r="A124" s="26" t="s">
        <v>2563</v>
      </c>
      <c r="B124" s="8" t="s">
        <v>2564</v>
      </c>
      <c r="C124" s="26" t="s">
        <v>2565</v>
      </c>
      <c r="D124" s="26" t="s">
        <v>2415</v>
      </c>
      <c r="E124" s="26" t="s">
        <v>2058</v>
      </c>
      <c r="F124" s="26" t="s">
        <v>2059</v>
      </c>
      <c r="G124" s="26" t="s">
        <v>2566</v>
      </c>
      <c r="H124" s="26" t="s">
        <v>2061</v>
      </c>
    </row>
    <row r="125" customFormat="false" ht="23.85" hidden="false" customHeight="false" outlineLevel="0" collapsed="false">
      <c r="A125" s="26" t="s">
        <v>2567</v>
      </c>
      <c r="B125" s="8" t="s">
        <v>2568</v>
      </c>
      <c r="C125" s="26" t="s">
        <v>2569</v>
      </c>
      <c r="D125" s="26" t="s">
        <v>2415</v>
      </c>
      <c r="E125" s="26" t="s">
        <v>2058</v>
      </c>
      <c r="F125" s="26" t="s">
        <v>2059</v>
      </c>
      <c r="G125" s="26" t="s">
        <v>2570</v>
      </c>
      <c r="H125" s="26" t="s">
        <v>2061</v>
      </c>
    </row>
    <row r="126" customFormat="false" ht="23.85" hidden="false" customHeight="false" outlineLevel="0" collapsed="false">
      <c r="A126" s="26" t="s">
        <v>2571</v>
      </c>
      <c r="B126" s="8" t="s">
        <v>2572</v>
      </c>
      <c r="C126" s="26" t="s">
        <v>2573</v>
      </c>
      <c r="D126" s="26" t="s">
        <v>2415</v>
      </c>
      <c r="E126" s="26" t="s">
        <v>2058</v>
      </c>
      <c r="F126" s="26" t="s">
        <v>2059</v>
      </c>
      <c r="G126" s="26" t="s">
        <v>2574</v>
      </c>
      <c r="H126" s="26" t="s">
        <v>2061</v>
      </c>
    </row>
    <row r="127" customFormat="false" ht="23.85" hidden="false" customHeight="false" outlineLevel="0" collapsed="false">
      <c r="A127" s="26" t="s">
        <v>2575</v>
      </c>
      <c r="B127" s="8" t="s">
        <v>2576</v>
      </c>
      <c r="C127" s="26" t="s">
        <v>2577</v>
      </c>
      <c r="D127" s="26" t="s">
        <v>2420</v>
      </c>
      <c r="E127" s="26" t="s">
        <v>2058</v>
      </c>
      <c r="F127" s="26" t="s">
        <v>2059</v>
      </c>
      <c r="G127" s="26" t="s">
        <v>2578</v>
      </c>
      <c r="H127" s="26" t="s">
        <v>2061</v>
      </c>
    </row>
    <row r="128" customFormat="false" ht="23.85" hidden="false" customHeight="false" outlineLevel="0" collapsed="false">
      <c r="A128" s="26" t="s">
        <v>2579</v>
      </c>
      <c r="B128" s="8" t="s">
        <v>2580</v>
      </c>
      <c r="C128" s="26" t="s">
        <v>2581</v>
      </c>
      <c r="D128" s="26" t="s">
        <v>2582</v>
      </c>
      <c r="E128" s="26" t="s">
        <v>2058</v>
      </c>
      <c r="F128" s="26" t="s">
        <v>2059</v>
      </c>
      <c r="G128" s="26" t="s">
        <v>2583</v>
      </c>
      <c r="H128" s="26" t="s">
        <v>2066</v>
      </c>
    </row>
    <row r="129" customFormat="false" ht="15" hidden="false" customHeight="false" outlineLevel="0" collapsed="false">
      <c r="A129" s="26" t="s">
        <v>2584</v>
      </c>
      <c r="B129" s="8" t="s">
        <v>2585</v>
      </c>
      <c r="C129" s="26" t="s">
        <v>2586</v>
      </c>
      <c r="D129" s="26" t="s">
        <v>2582</v>
      </c>
      <c r="E129" s="26" t="s">
        <v>2058</v>
      </c>
      <c r="F129" s="26" t="s">
        <v>2059</v>
      </c>
      <c r="G129" s="26" t="s">
        <v>2520</v>
      </c>
      <c r="H129" s="26" t="s">
        <v>2066</v>
      </c>
    </row>
    <row r="130" customFormat="false" ht="23.85" hidden="false" customHeight="false" outlineLevel="0" collapsed="false">
      <c r="A130" s="26" t="s">
        <v>2587</v>
      </c>
      <c r="B130" s="8" t="s">
        <v>2588</v>
      </c>
      <c r="C130" s="26" t="s">
        <v>2589</v>
      </c>
      <c r="D130" s="26" t="s">
        <v>2590</v>
      </c>
      <c r="E130" s="26" t="s">
        <v>2058</v>
      </c>
      <c r="F130" s="26" t="s">
        <v>2059</v>
      </c>
      <c r="G130" s="26" t="s">
        <v>2520</v>
      </c>
      <c r="H130" s="26" t="s">
        <v>2066</v>
      </c>
    </row>
    <row r="131" customFormat="false" ht="35.05" hidden="false" customHeight="false" outlineLevel="0" collapsed="false">
      <c r="A131" s="26" t="s">
        <v>2591</v>
      </c>
      <c r="B131" s="8" t="s">
        <v>2592</v>
      </c>
      <c r="C131" s="26" t="s">
        <v>2593</v>
      </c>
      <c r="D131" s="26" t="s">
        <v>2594</v>
      </c>
      <c r="E131" s="26" t="s">
        <v>2058</v>
      </c>
      <c r="F131" s="26" t="s">
        <v>2071</v>
      </c>
      <c r="G131" s="26" t="s">
        <v>2520</v>
      </c>
      <c r="H131" s="26" t="s">
        <v>2066</v>
      </c>
    </row>
    <row r="132" customFormat="false" ht="35.05" hidden="false" customHeight="false" outlineLevel="0" collapsed="false">
      <c r="A132" s="26" t="s">
        <v>2595</v>
      </c>
      <c r="B132" s="8" t="s">
        <v>2596</v>
      </c>
      <c r="C132" s="26" t="s">
        <v>2597</v>
      </c>
      <c r="D132" s="26" t="s">
        <v>2492</v>
      </c>
      <c r="E132" s="26" t="s">
        <v>2058</v>
      </c>
      <c r="F132" s="26" t="s">
        <v>2059</v>
      </c>
      <c r="G132" s="26" t="s">
        <v>2520</v>
      </c>
      <c r="H132" s="26" t="s">
        <v>2061</v>
      </c>
    </row>
    <row r="133" customFormat="false" ht="23.85" hidden="false" customHeight="false" outlineLevel="0" collapsed="false">
      <c r="A133" s="26" t="s">
        <v>2598</v>
      </c>
      <c r="B133" s="8" t="s">
        <v>2599</v>
      </c>
      <c r="C133" s="26" t="s">
        <v>2600</v>
      </c>
      <c r="D133" s="26" t="s">
        <v>2415</v>
      </c>
      <c r="E133" s="26" t="s">
        <v>2058</v>
      </c>
      <c r="F133" s="26" t="s">
        <v>2059</v>
      </c>
      <c r="G133" s="26" t="s">
        <v>2601</v>
      </c>
      <c r="H133" s="26" t="s">
        <v>2061</v>
      </c>
    </row>
    <row r="134" customFormat="false" ht="23.85" hidden="false" customHeight="false" outlineLevel="0" collapsed="false">
      <c r="A134" s="26" t="s">
        <v>2602</v>
      </c>
      <c r="B134" s="8" t="s">
        <v>2603</v>
      </c>
      <c r="C134" s="26" t="s">
        <v>2604</v>
      </c>
      <c r="D134" s="26" t="s">
        <v>2605</v>
      </c>
      <c r="E134" s="26" t="s">
        <v>2058</v>
      </c>
      <c r="F134" s="26" t="s">
        <v>2059</v>
      </c>
      <c r="G134" s="26" t="s">
        <v>2606</v>
      </c>
      <c r="H134" s="26" t="s">
        <v>2061</v>
      </c>
    </row>
    <row r="135" customFormat="false" ht="15" hidden="false" customHeight="false" outlineLevel="0" collapsed="false">
      <c r="A135" s="26" t="s">
        <v>2607</v>
      </c>
      <c r="B135" s="8" t="s">
        <v>2608</v>
      </c>
      <c r="C135" s="26" t="s">
        <v>2609</v>
      </c>
      <c r="D135" s="26" t="s">
        <v>2605</v>
      </c>
      <c r="E135" s="26" t="s">
        <v>2058</v>
      </c>
      <c r="F135" s="26" t="s">
        <v>2059</v>
      </c>
      <c r="G135" s="26" t="s">
        <v>2601</v>
      </c>
      <c r="H135" s="26" t="s">
        <v>2061</v>
      </c>
    </row>
    <row r="136" customFormat="false" ht="23.85" hidden="false" customHeight="false" outlineLevel="0" collapsed="false">
      <c r="A136" s="26" t="s">
        <v>654</v>
      </c>
      <c r="B136" s="8" t="s">
        <v>2610</v>
      </c>
      <c r="C136" s="26" t="s">
        <v>2611</v>
      </c>
      <c r="D136" s="26" t="s">
        <v>2612</v>
      </c>
      <c r="E136" s="26" t="s">
        <v>2058</v>
      </c>
      <c r="F136" s="26" t="s">
        <v>2059</v>
      </c>
      <c r="G136" s="26" t="s">
        <v>2613</v>
      </c>
      <c r="H136" s="26" t="s">
        <v>2061</v>
      </c>
    </row>
    <row r="137" customFormat="false" ht="23.85" hidden="false" customHeight="false" outlineLevel="0" collapsed="false">
      <c r="A137" s="26" t="s">
        <v>2614</v>
      </c>
      <c r="B137" s="8" t="s">
        <v>2615</v>
      </c>
      <c r="C137" s="26" t="s">
        <v>2616</v>
      </c>
      <c r="D137" s="26" t="s">
        <v>2478</v>
      </c>
      <c r="E137" s="26" t="s">
        <v>2058</v>
      </c>
      <c r="F137" s="26" t="s">
        <v>2059</v>
      </c>
      <c r="G137" s="26" t="s">
        <v>2617</v>
      </c>
      <c r="H137" s="26" t="s">
        <v>2066</v>
      </c>
    </row>
    <row r="138" customFormat="false" ht="23.85" hidden="false" customHeight="false" outlineLevel="0" collapsed="false">
      <c r="A138" s="26" t="s">
        <v>2618</v>
      </c>
      <c r="B138" s="8" t="s">
        <v>2619</v>
      </c>
      <c r="C138" s="26" t="s">
        <v>2620</v>
      </c>
      <c r="D138" s="26" t="s">
        <v>2594</v>
      </c>
      <c r="E138" s="26" t="s">
        <v>2058</v>
      </c>
      <c r="F138" s="26" t="s">
        <v>2071</v>
      </c>
      <c r="G138" s="26" t="s">
        <v>2617</v>
      </c>
      <c r="H138" s="26" t="s">
        <v>2066</v>
      </c>
    </row>
    <row r="139" customFormat="false" ht="23.85" hidden="false" customHeight="false" outlineLevel="0" collapsed="false">
      <c r="A139" s="26" t="s">
        <v>2621</v>
      </c>
      <c r="B139" s="8" t="s">
        <v>2622</v>
      </c>
      <c r="C139" s="26" t="s">
        <v>2623</v>
      </c>
      <c r="D139" s="26" t="s">
        <v>2420</v>
      </c>
      <c r="E139" s="26" t="s">
        <v>2058</v>
      </c>
      <c r="F139" s="26" t="s">
        <v>2059</v>
      </c>
      <c r="G139" s="26" t="s">
        <v>2624</v>
      </c>
      <c r="H139" s="26" t="s">
        <v>2061</v>
      </c>
    </row>
    <row r="140" customFormat="false" ht="23.85" hidden="false" customHeight="false" outlineLevel="0" collapsed="false">
      <c r="A140" s="26" t="s">
        <v>2625</v>
      </c>
      <c r="B140" s="8" t="s">
        <v>2626</v>
      </c>
      <c r="C140" s="26" t="s">
        <v>2627</v>
      </c>
      <c r="D140" s="26" t="s">
        <v>2420</v>
      </c>
      <c r="E140" s="26" t="s">
        <v>2058</v>
      </c>
      <c r="F140" s="26" t="s">
        <v>2059</v>
      </c>
      <c r="G140" s="26" t="s">
        <v>2624</v>
      </c>
      <c r="H140" s="26" t="s">
        <v>2061</v>
      </c>
    </row>
    <row r="141" customFormat="false" ht="23.85" hidden="false" customHeight="false" outlineLevel="0" collapsed="false">
      <c r="A141" s="26" t="s">
        <v>2628</v>
      </c>
      <c r="B141" s="8" t="s">
        <v>2629</v>
      </c>
      <c r="C141" s="26" t="s">
        <v>2630</v>
      </c>
      <c r="D141" s="26" t="s">
        <v>2415</v>
      </c>
      <c r="E141" s="26" t="s">
        <v>2058</v>
      </c>
      <c r="F141" s="26" t="s">
        <v>2059</v>
      </c>
      <c r="G141" s="26" t="s">
        <v>2631</v>
      </c>
      <c r="H141" s="26" t="s">
        <v>2061</v>
      </c>
    </row>
    <row r="142" customFormat="false" ht="15" hidden="false" customHeight="false" outlineLevel="0" collapsed="false">
      <c r="A142" s="26" t="s">
        <v>2632</v>
      </c>
      <c r="B142" s="8" t="s">
        <v>2633</v>
      </c>
      <c r="C142" s="26" t="s">
        <v>2634</v>
      </c>
      <c r="D142" s="26" t="s">
        <v>2415</v>
      </c>
      <c r="E142" s="26" t="s">
        <v>2058</v>
      </c>
      <c r="F142" s="26" t="s">
        <v>2059</v>
      </c>
      <c r="G142" s="26" t="s">
        <v>2635</v>
      </c>
      <c r="H142" s="26" t="s">
        <v>2061</v>
      </c>
    </row>
    <row r="143" customFormat="false" ht="23.85" hidden="false" customHeight="false" outlineLevel="0" collapsed="false">
      <c r="A143" s="26" t="s">
        <v>2636</v>
      </c>
      <c r="B143" s="8" t="s">
        <v>2637</v>
      </c>
      <c r="C143" s="26" t="s">
        <v>2638</v>
      </c>
      <c r="D143" s="26" t="s">
        <v>2415</v>
      </c>
      <c r="E143" s="26" t="s">
        <v>2058</v>
      </c>
      <c r="F143" s="26" t="s">
        <v>2059</v>
      </c>
      <c r="G143" s="26" t="s">
        <v>2639</v>
      </c>
      <c r="H143" s="26" t="s">
        <v>2061</v>
      </c>
    </row>
    <row r="144" customFormat="false" ht="23.85" hidden="false" customHeight="false" outlineLevel="0" collapsed="false">
      <c r="A144" s="26" t="s">
        <v>2640</v>
      </c>
      <c r="B144" s="8" t="s">
        <v>2641</v>
      </c>
      <c r="C144" s="26" t="s">
        <v>2642</v>
      </c>
      <c r="D144" s="26" t="s">
        <v>2415</v>
      </c>
      <c r="E144" s="26" t="s">
        <v>2058</v>
      </c>
      <c r="F144" s="26" t="s">
        <v>2059</v>
      </c>
      <c r="G144" s="26" t="s">
        <v>2643</v>
      </c>
      <c r="H144" s="26" t="s">
        <v>2061</v>
      </c>
    </row>
    <row r="145" customFormat="false" ht="23.85" hidden="false" customHeight="false" outlineLevel="0" collapsed="false">
      <c r="A145" s="26" t="s">
        <v>2644</v>
      </c>
      <c r="B145" s="8" t="s">
        <v>2645</v>
      </c>
      <c r="C145" s="26" t="s">
        <v>2646</v>
      </c>
      <c r="D145" s="26" t="s">
        <v>2420</v>
      </c>
      <c r="E145" s="26" t="s">
        <v>2058</v>
      </c>
      <c r="F145" s="26" t="s">
        <v>2059</v>
      </c>
      <c r="G145" s="26" t="s">
        <v>2647</v>
      </c>
      <c r="H145" s="26" t="s">
        <v>2061</v>
      </c>
    </row>
    <row r="146" customFormat="false" ht="23.85" hidden="false" customHeight="false" outlineLevel="0" collapsed="false">
      <c r="A146" s="26" t="s">
        <v>2648</v>
      </c>
      <c r="B146" s="8" t="s">
        <v>2649</v>
      </c>
      <c r="C146" s="26" t="s">
        <v>2650</v>
      </c>
      <c r="D146" s="26" t="s">
        <v>2420</v>
      </c>
      <c r="E146" s="26" t="s">
        <v>2058</v>
      </c>
      <c r="F146" s="26" t="s">
        <v>2071</v>
      </c>
      <c r="G146" s="26" t="s">
        <v>2647</v>
      </c>
      <c r="H146" s="26" t="s">
        <v>2066</v>
      </c>
    </row>
    <row r="147" customFormat="false" ht="23.85" hidden="false" customHeight="false" outlineLevel="0" collapsed="false">
      <c r="A147" s="26" t="s">
        <v>2651</v>
      </c>
      <c r="B147" s="8" t="s">
        <v>2652</v>
      </c>
      <c r="C147" s="26" t="s">
        <v>2653</v>
      </c>
      <c r="D147" s="26" t="s">
        <v>2415</v>
      </c>
      <c r="E147" s="26" t="s">
        <v>2058</v>
      </c>
      <c r="F147" s="26" t="s">
        <v>2059</v>
      </c>
      <c r="G147" s="26" t="s">
        <v>2654</v>
      </c>
      <c r="H147" s="26" t="s">
        <v>2061</v>
      </c>
    </row>
    <row r="148" customFormat="false" ht="15" hidden="false" customHeight="false" outlineLevel="0" collapsed="false">
      <c r="A148" s="26" t="s">
        <v>2655</v>
      </c>
      <c r="B148" s="8" t="s">
        <v>2656</v>
      </c>
      <c r="C148" s="26" t="s">
        <v>2657</v>
      </c>
      <c r="D148" s="26" t="s">
        <v>2658</v>
      </c>
      <c r="E148" s="26" t="s">
        <v>2058</v>
      </c>
      <c r="F148" s="26" t="s">
        <v>2059</v>
      </c>
      <c r="G148" s="26" t="s">
        <v>2659</v>
      </c>
      <c r="H148" s="26" t="s">
        <v>2061</v>
      </c>
    </row>
    <row r="149" customFormat="false" ht="15" hidden="false" customHeight="false" outlineLevel="0" collapsed="false">
      <c r="A149" s="26" t="s">
        <v>2660</v>
      </c>
      <c r="B149" s="8" t="s">
        <v>2661</v>
      </c>
      <c r="C149" s="26" t="s">
        <v>2662</v>
      </c>
      <c r="D149" s="26" t="s">
        <v>2658</v>
      </c>
      <c r="E149" s="26" t="s">
        <v>2058</v>
      </c>
      <c r="F149" s="26" t="s">
        <v>2059</v>
      </c>
      <c r="G149" s="26" t="s">
        <v>2663</v>
      </c>
      <c r="H149" s="26" t="s">
        <v>2061</v>
      </c>
    </row>
    <row r="150" customFormat="false" ht="15" hidden="false" customHeight="false" outlineLevel="0" collapsed="false">
      <c r="A150" s="26" t="s">
        <v>2664</v>
      </c>
      <c r="B150" s="8" t="s">
        <v>2665</v>
      </c>
      <c r="C150" s="26" t="s">
        <v>2666</v>
      </c>
      <c r="D150" s="26" t="s">
        <v>2658</v>
      </c>
      <c r="E150" s="26" t="s">
        <v>2058</v>
      </c>
      <c r="F150" s="26" t="s">
        <v>2059</v>
      </c>
      <c r="G150" s="26" t="s">
        <v>2667</v>
      </c>
      <c r="H150" s="26" t="s">
        <v>2061</v>
      </c>
    </row>
    <row r="151" customFormat="false" ht="15" hidden="false" customHeight="false" outlineLevel="0" collapsed="false">
      <c r="A151" s="26" t="s">
        <v>2668</v>
      </c>
      <c r="B151" s="8" t="s">
        <v>2669</v>
      </c>
      <c r="C151" s="26" t="s">
        <v>2670</v>
      </c>
      <c r="D151" s="26" t="s">
        <v>2658</v>
      </c>
      <c r="E151" s="26" t="s">
        <v>2058</v>
      </c>
      <c r="F151" s="26" t="s">
        <v>2059</v>
      </c>
      <c r="G151" s="26" t="s">
        <v>2671</v>
      </c>
      <c r="H151" s="26" t="s">
        <v>2061</v>
      </c>
    </row>
    <row r="152" customFormat="false" ht="15" hidden="false" customHeight="false" outlineLevel="0" collapsed="false">
      <c r="A152" s="26" t="s">
        <v>2672</v>
      </c>
      <c r="B152" s="8" t="s">
        <v>2673</v>
      </c>
      <c r="C152" s="26" t="s">
        <v>2674</v>
      </c>
      <c r="D152" s="26" t="s">
        <v>2658</v>
      </c>
      <c r="E152" s="26" t="s">
        <v>2058</v>
      </c>
      <c r="F152" s="26" t="s">
        <v>2059</v>
      </c>
      <c r="G152" s="26" t="s">
        <v>2659</v>
      </c>
      <c r="H152" s="26" t="s">
        <v>2061</v>
      </c>
    </row>
    <row r="153" customFormat="false" ht="15" hidden="false" customHeight="false" outlineLevel="0" collapsed="false">
      <c r="A153" s="26" t="s">
        <v>2675</v>
      </c>
      <c r="B153" s="8" t="s">
        <v>2676</v>
      </c>
      <c r="C153" s="26" t="s">
        <v>2677</v>
      </c>
      <c r="D153" s="26" t="s">
        <v>2658</v>
      </c>
      <c r="E153" s="26" t="s">
        <v>2058</v>
      </c>
      <c r="F153" s="26" t="s">
        <v>2059</v>
      </c>
      <c r="G153" s="26" t="s">
        <v>2678</v>
      </c>
      <c r="H153" s="26" t="s">
        <v>2061</v>
      </c>
    </row>
    <row r="154" customFormat="false" ht="15" hidden="false" customHeight="false" outlineLevel="0" collapsed="false">
      <c r="A154" s="26" t="s">
        <v>2679</v>
      </c>
      <c r="B154" s="8" t="s">
        <v>2680</v>
      </c>
      <c r="C154" s="26" t="s">
        <v>2681</v>
      </c>
      <c r="D154" s="26" t="s">
        <v>2658</v>
      </c>
      <c r="E154" s="26" t="s">
        <v>2058</v>
      </c>
      <c r="F154" s="26" t="s">
        <v>2059</v>
      </c>
      <c r="G154" s="26" t="s">
        <v>2682</v>
      </c>
      <c r="H154" s="26" t="s">
        <v>2061</v>
      </c>
    </row>
    <row r="155" customFormat="false" ht="15" hidden="false" customHeight="false" outlineLevel="0" collapsed="false">
      <c r="A155" s="26" t="s">
        <v>2683</v>
      </c>
      <c r="B155" s="8" t="s">
        <v>2684</v>
      </c>
      <c r="C155" s="26" t="s">
        <v>2685</v>
      </c>
      <c r="D155" s="26" t="s">
        <v>2658</v>
      </c>
      <c r="E155" s="26" t="s">
        <v>2058</v>
      </c>
      <c r="F155" s="26" t="s">
        <v>2059</v>
      </c>
      <c r="G155" s="26" t="s">
        <v>2686</v>
      </c>
      <c r="H155" s="26" t="s">
        <v>2061</v>
      </c>
    </row>
    <row r="156" customFormat="false" ht="15" hidden="false" customHeight="false" outlineLevel="0" collapsed="false">
      <c r="A156" s="26" t="s">
        <v>2687</v>
      </c>
      <c r="B156" s="8" t="s">
        <v>2688</v>
      </c>
      <c r="C156" s="26" t="s">
        <v>2689</v>
      </c>
      <c r="D156" s="26" t="s">
        <v>2658</v>
      </c>
      <c r="E156" s="26" t="s">
        <v>2058</v>
      </c>
      <c r="F156" s="26" t="s">
        <v>2059</v>
      </c>
      <c r="G156" s="26" t="s">
        <v>2690</v>
      </c>
      <c r="H156" s="26" t="s">
        <v>2061</v>
      </c>
    </row>
    <row r="157" customFormat="false" ht="15" hidden="false" customHeight="false" outlineLevel="0" collapsed="false">
      <c r="A157" s="26" t="s">
        <v>2691</v>
      </c>
      <c r="B157" s="8" t="s">
        <v>2692</v>
      </c>
      <c r="C157" s="26" t="s">
        <v>2693</v>
      </c>
      <c r="D157" s="26" t="s">
        <v>2658</v>
      </c>
      <c r="E157" s="26" t="s">
        <v>2058</v>
      </c>
      <c r="F157" s="26" t="s">
        <v>2059</v>
      </c>
      <c r="G157" s="26" t="s">
        <v>2690</v>
      </c>
      <c r="H157" s="26" t="s">
        <v>2061</v>
      </c>
    </row>
    <row r="158" customFormat="false" ht="15" hidden="false" customHeight="false" outlineLevel="0" collapsed="false">
      <c r="A158" s="26" t="s">
        <v>2694</v>
      </c>
      <c r="B158" s="8" t="s">
        <v>2695</v>
      </c>
      <c r="C158" s="26" t="s">
        <v>2696</v>
      </c>
      <c r="D158" s="26" t="s">
        <v>2658</v>
      </c>
      <c r="E158" s="26" t="s">
        <v>2058</v>
      </c>
      <c r="F158" s="26" t="s">
        <v>2059</v>
      </c>
      <c r="G158" s="26" t="s">
        <v>2690</v>
      </c>
      <c r="H158" s="26" t="s">
        <v>2061</v>
      </c>
    </row>
    <row r="159" customFormat="false" ht="15" hidden="false" customHeight="false" outlineLevel="0" collapsed="false">
      <c r="A159" s="26" t="s">
        <v>2697</v>
      </c>
      <c r="B159" s="8" t="s">
        <v>2698</v>
      </c>
      <c r="C159" s="26" t="s">
        <v>2699</v>
      </c>
      <c r="D159" s="26" t="s">
        <v>2658</v>
      </c>
      <c r="E159" s="26" t="s">
        <v>2058</v>
      </c>
      <c r="F159" s="26" t="s">
        <v>2059</v>
      </c>
      <c r="G159" s="26" t="s">
        <v>2682</v>
      </c>
      <c r="H159" s="26" t="s">
        <v>2061</v>
      </c>
    </row>
    <row r="160" customFormat="false" ht="15" hidden="false" customHeight="false" outlineLevel="0" collapsed="false">
      <c r="A160" s="26" t="s">
        <v>2700</v>
      </c>
      <c r="B160" s="8" t="s">
        <v>2701</v>
      </c>
      <c r="C160" s="26" t="s">
        <v>2702</v>
      </c>
      <c r="D160" s="26" t="s">
        <v>2658</v>
      </c>
      <c r="E160" s="26" t="s">
        <v>2058</v>
      </c>
      <c r="F160" s="26" t="s">
        <v>2059</v>
      </c>
      <c r="G160" s="26" t="s">
        <v>2703</v>
      </c>
      <c r="H160" s="26" t="s">
        <v>2061</v>
      </c>
    </row>
    <row r="161" customFormat="false" ht="15" hidden="false" customHeight="false" outlineLevel="0" collapsed="false">
      <c r="A161" s="26" t="s">
        <v>2704</v>
      </c>
      <c r="B161" s="8" t="s">
        <v>2705</v>
      </c>
      <c r="C161" s="26" t="s">
        <v>2706</v>
      </c>
      <c r="D161" s="26" t="s">
        <v>2658</v>
      </c>
      <c r="E161" s="26" t="s">
        <v>2058</v>
      </c>
      <c r="F161" s="26" t="s">
        <v>2059</v>
      </c>
      <c r="G161" s="26" t="s">
        <v>2707</v>
      </c>
      <c r="H161" s="26" t="s">
        <v>2061</v>
      </c>
    </row>
    <row r="162" customFormat="false" ht="15" hidden="false" customHeight="false" outlineLevel="0" collapsed="false">
      <c r="A162" s="26" t="s">
        <v>2708</v>
      </c>
      <c r="B162" s="8" t="s">
        <v>2709</v>
      </c>
      <c r="C162" s="26" t="s">
        <v>2710</v>
      </c>
      <c r="D162" s="26" t="s">
        <v>2658</v>
      </c>
      <c r="E162" s="26" t="s">
        <v>2058</v>
      </c>
      <c r="F162" s="26" t="s">
        <v>2059</v>
      </c>
      <c r="G162" s="26" t="s">
        <v>2711</v>
      </c>
      <c r="H162" s="26" t="s">
        <v>2061</v>
      </c>
    </row>
    <row r="163" customFormat="false" ht="15" hidden="false" customHeight="false" outlineLevel="0" collapsed="false">
      <c r="A163" s="26" t="s">
        <v>2712</v>
      </c>
      <c r="B163" s="8" t="s">
        <v>2713</v>
      </c>
      <c r="C163" s="26" t="s">
        <v>2714</v>
      </c>
      <c r="D163" s="26" t="s">
        <v>2658</v>
      </c>
      <c r="E163" s="26" t="s">
        <v>2058</v>
      </c>
      <c r="F163" s="26" t="s">
        <v>2059</v>
      </c>
      <c r="G163" s="26" t="s">
        <v>2715</v>
      </c>
      <c r="H163" s="26" t="s">
        <v>2061</v>
      </c>
    </row>
    <row r="164" customFormat="false" ht="15" hidden="false" customHeight="false" outlineLevel="0" collapsed="false">
      <c r="A164" s="26" t="s">
        <v>2716</v>
      </c>
      <c r="B164" s="8" t="s">
        <v>2717</v>
      </c>
      <c r="C164" s="26" t="s">
        <v>2718</v>
      </c>
      <c r="D164" s="26" t="s">
        <v>2658</v>
      </c>
      <c r="E164" s="26" t="s">
        <v>2058</v>
      </c>
      <c r="F164" s="26" t="s">
        <v>2059</v>
      </c>
      <c r="G164" s="26" t="s">
        <v>2719</v>
      </c>
      <c r="H164" s="26" t="s">
        <v>2061</v>
      </c>
    </row>
    <row r="165" customFormat="false" ht="23.85" hidden="false" customHeight="false" outlineLevel="0" collapsed="false">
      <c r="A165" s="26" t="s">
        <v>2720</v>
      </c>
      <c r="B165" s="8" t="s">
        <v>2721</v>
      </c>
      <c r="C165" s="26" t="s">
        <v>2722</v>
      </c>
      <c r="D165" s="26" t="s">
        <v>2723</v>
      </c>
      <c r="E165" s="26" t="s">
        <v>2058</v>
      </c>
      <c r="F165" s="26" t="s">
        <v>2059</v>
      </c>
      <c r="G165" s="26" t="s">
        <v>2690</v>
      </c>
      <c r="H165" s="26" t="s">
        <v>2061</v>
      </c>
    </row>
    <row r="166" customFormat="false" ht="15" hidden="false" customHeight="false" outlineLevel="0" collapsed="false">
      <c r="A166" s="26" t="s">
        <v>2724</v>
      </c>
      <c r="B166" s="8" t="s">
        <v>2725</v>
      </c>
      <c r="C166" s="26" t="s">
        <v>2726</v>
      </c>
      <c r="D166" s="26" t="s">
        <v>2658</v>
      </c>
      <c r="E166" s="26" t="s">
        <v>2058</v>
      </c>
      <c r="F166" s="26" t="s">
        <v>2059</v>
      </c>
      <c r="G166" s="26" t="s">
        <v>2727</v>
      </c>
      <c r="H166" s="26" t="s">
        <v>2061</v>
      </c>
    </row>
    <row r="167" customFormat="false" ht="15" hidden="false" customHeight="false" outlineLevel="0" collapsed="false">
      <c r="A167" s="26" t="s">
        <v>2728</v>
      </c>
      <c r="B167" s="8" t="s">
        <v>2729</v>
      </c>
      <c r="C167" s="26" t="s">
        <v>2730</v>
      </c>
      <c r="D167" s="26" t="s">
        <v>2658</v>
      </c>
      <c r="E167" s="26" t="s">
        <v>2058</v>
      </c>
      <c r="F167" s="26" t="s">
        <v>2059</v>
      </c>
      <c r="G167" s="26" t="s">
        <v>2731</v>
      </c>
      <c r="H167" s="26" t="s">
        <v>2061</v>
      </c>
    </row>
    <row r="168" customFormat="false" ht="15" hidden="false" customHeight="false" outlineLevel="0" collapsed="false">
      <c r="A168" s="26" t="s">
        <v>2732</v>
      </c>
      <c r="B168" s="8" t="s">
        <v>2733</v>
      </c>
      <c r="C168" s="26" t="s">
        <v>2734</v>
      </c>
      <c r="D168" s="26" t="s">
        <v>2658</v>
      </c>
      <c r="E168" s="26" t="s">
        <v>2058</v>
      </c>
      <c r="F168" s="26" t="s">
        <v>2059</v>
      </c>
      <c r="G168" s="26" t="s">
        <v>2735</v>
      </c>
      <c r="H168" s="26" t="s">
        <v>2061</v>
      </c>
    </row>
    <row r="169" customFormat="false" ht="15" hidden="false" customHeight="false" outlineLevel="0" collapsed="false">
      <c r="A169" s="26" t="s">
        <v>2736</v>
      </c>
      <c r="B169" s="8" t="s">
        <v>2737</v>
      </c>
      <c r="C169" s="26" t="s">
        <v>2738</v>
      </c>
      <c r="D169" s="26" t="s">
        <v>2658</v>
      </c>
      <c r="E169" s="26" t="s">
        <v>2058</v>
      </c>
      <c r="F169" s="26" t="s">
        <v>2059</v>
      </c>
      <c r="G169" s="26" t="s">
        <v>2690</v>
      </c>
      <c r="H169" s="26" t="s">
        <v>2061</v>
      </c>
    </row>
    <row r="170" customFormat="false" ht="15" hidden="false" customHeight="false" outlineLevel="0" collapsed="false">
      <c r="A170" s="26" t="s">
        <v>2739</v>
      </c>
      <c r="B170" s="8" t="s">
        <v>2740</v>
      </c>
      <c r="C170" s="26" t="s">
        <v>2741</v>
      </c>
      <c r="D170" s="26" t="s">
        <v>2742</v>
      </c>
      <c r="E170" s="26" t="s">
        <v>2058</v>
      </c>
      <c r="F170" s="26" t="s">
        <v>2059</v>
      </c>
      <c r="G170" s="26" t="s">
        <v>2690</v>
      </c>
      <c r="H170" s="26" t="s">
        <v>2066</v>
      </c>
    </row>
    <row r="171" customFormat="false" ht="15" hidden="false" customHeight="false" outlineLevel="0" collapsed="false">
      <c r="A171" s="26" t="s">
        <v>2743</v>
      </c>
      <c r="B171" s="8" t="s">
        <v>2744</v>
      </c>
      <c r="C171" s="26" t="s">
        <v>2745</v>
      </c>
      <c r="D171" s="26" t="s">
        <v>2742</v>
      </c>
      <c r="E171" s="26" t="s">
        <v>2058</v>
      </c>
      <c r="F171" s="26" t="s">
        <v>2059</v>
      </c>
      <c r="G171" s="26" t="s">
        <v>2690</v>
      </c>
      <c r="H171" s="26" t="s">
        <v>2066</v>
      </c>
    </row>
    <row r="172" customFormat="false" ht="23.85" hidden="false" customHeight="false" outlineLevel="0" collapsed="false">
      <c r="A172" s="26" t="s">
        <v>2746</v>
      </c>
      <c r="B172" s="8" t="s">
        <v>2747</v>
      </c>
      <c r="C172" s="26" t="s">
        <v>2748</v>
      </c>
      <c r="D172" s="26" t="s">
        <v>2749</v>
      </c>
      <c r="E172" s="26" t="s">
        <v>2058</v>
      </c>
      <c r="F172" s="26" t="s">
        <v>2071</v>
      </c>
      <c r="G172" s="26" t="s">
        <v>2690</v>
      </c>
      <c r="H172" s="26" t="s">
        <v>2066</v>
      </c>
    </row>
    <row r="173" customFormat="false" ht="15" hidden="false" customHeight="false" outlineLevel="0" collapsed="false">
      <c r="A173" s="26" t="s">
        <v>2750</v>
      </c>
      <c r="B173" s="8" t="s">
        <v>2751</v>
      </c>
      <c r="C173" s="26" t="s">
        <v>2752</v>
      </c>
      <c r="D173" s="26" t="s">
        <v>2658</v>
      </c>
      <c r="E173" s="26" t="s">
        <v>2058</v>
      </c>
      <c r="F173" s="26" t="s">
        <v>2059</v>
      </c>
      <c r="G173" s="26" t="s">
        <v>2753</v>
      </c>
      <c r="H173" s="26" t="s">
        <v>2061</v>
      </c>
    </row>
    <row r="174" customFormat="false" ht="15" hidden="false" customHeight="false" outlineLevel="0" collapsed="false">
      <c r="A174" s="26" t="s">
        <v>2754</v>
      </c>
      <c r="B174" s="8" t="s">
        <v>2755</v>
      </c>
      <c r="C174" s="26" t="s">
        <v>2756</v>
      </c>
      <c r="D174" s="26" t="s">
        <v>2658</v>
      </c>
      <c r="E174" s="26" t="s">
        <v>2058</v>
      </c>
      <c r="F174" s="26" t="s">
        <v>2059</v>
      </c>
      <c r="G174" s="26" t="s">
        <v>2757</v>
      </c>
      <c r="H174" s="26" t="s">
        <v>2061</v>
      </c>
    </row>
    <row r="175" customFormat="false" ht="15" hidden="false" customHeight="false" outlineLevel="0" collapsed="false">
      <c r="A175" s="26" t="s">
        <v>2758</v>
      </c>
      <c r="B175" s="8" t="s">
        <v>2759</v>
      </c>
      <c r="C175" s="26" t="s">
        <v>2760</v>
      </c>
      <c r="D175" s="26" t="s">
        <v>2658</v>
      </c>
      <c r="E175" s="26" t="s">
        <v>2058</v>
      </c>
      <c r="F175" s="26" t="s">
        <v>2059</v>
      </c>
      <c r="G175" s="26" t="s">
        <v>2761</v>
      </c>
      <c r="H175" s="26" t="s">
        <v>2061</v>
      </c>
    </row>
    <row r="176" customFormat="false" ht="15" hidden="false" customHeight="false" outlineLevel="0" collapsed="false">
      <c r="A176" s="26" t="s">
        <v>2762</v>
      </c>
      <c r="B176" s="8" t="s">
        <v>2763</v>
      </c>
      <c r="C176" s="26" t="s">
        <v>2764</v>
      </c>
      <c r="D176" s="26" t="s">
        <v>2658</v>
      </c>
      <c r="E176" s="26" t="s">
        <v>2058</v>
      </c>
      <c r="F176" s="26" t="s">
        <v>2059</v>
      </c>
      <c r="G176" s="26" t="s">
        <v>2765</v>
      </c>
      <c r="H176" s="26" t="s">
        <v>2061</v>
      </c>
    </row>
    <row r="177" customFormat="false" ht="15" hidden="false" customHeight="false" outlineLevel="0" collapsed="false">
      <c r="A177" s="26" t="s">
        <v>2766</v>
      </c>
      <c r="B177" s="8" t="s">
        <v>2767</v>
      </c>
      <c r="C177" s="26" t="s">
        <v>2768</v>
      </c>
      <c r="D177" s="26" t="s">
        <v>2769</v>
      </c>
      <c r="E177" s="26" t="s">
        <v>2058</v>
      </c>
      <c r="F177" s="26" t="s">
        <v>2059</v>
      </c>
      <c r="G177" s="26" t="s">
        <v>2663</v>
      </c>
      <c r="H177" s="26" t="s">
        <v>2066</v>
      </c>
    </row>
    <row r="178" customFormat="false" ht="23.85" hidden="false" customHeight="false" outlineLevel="0" collapsed="false">
      <c r="A178" s="26" t="s">
        <v>2770</v>
      </c>
      <c r="B178" s="8" t="s">
        <v>2771</v>
      </c>
      <c r="C178" s="26" t="s">
        <v>2772</v>
      </c>
      <c r="D178" s="26" t="s">
        <v>2773</v>
      </c>
      <c r="E178" s="26" t="s">
        <v>2058</v>
      </c>
      <c r="F178" s="26" t="s">
        <v>2059</v>
      </c>
      <c r="G178" s="26" t="s">
        <v>2663</v>
      </c>
      <c r="H178" s="26" t="s">
        <v>2066</v>
      </c>
    </row>
    <row r="179" customFormat="false" ht="23.85" hidden="false" customHeight="false" outlineLevel="0" collapsed="false">
      <c r="A179" s="26" t="s">
        <v>2774</v>
      </c>
      <c r="B179" s="8" t="s">
        <v>2775</v>
      </c>
      <c r="C179" s="26" t="s">
        <v>2776</v>
      </c>
      <c r="D179" s="26" t="s">
        <v>2777</v>
      </c>
      <c r="E179" s="26" t="s">
        <v>2058</v>
      </c>
      <c r="F179" s="26" t="s">
        <v>2071</v>
      </c>
      <c r="G179" s="26" t="s">
        <v>2663</v>
      </c>
      <c r="H179" s="26" t="s">
        <v>2096</v>
      </c>
    </row>
    <row r="180" customFormat="false" ht="15" hidden="false" customHeight="false" outlineLevel="0" collapsed="false">
      <c r="A180" s="26" t="s">
        <v>2778</v>
      </c>
      <c r="B180" s="8" t="s">
        <v>2779</v>
      </c>
      <c r="C180" s="26" t="s">
        <v>2780</v>
      </c>
      <c r="D180" s="26" t="s">
        <v>2769</v>
      </c>
      <c r="E180" s="26" t="s">
        <v>2058</v>
      </c>
      <c r="F180" s="26" t="s">
        <v>2059</v>
      </c>
      <c r="G180" s="26" t="s">
        <v>2781</v>
      </c>
      <c r="H180" s="26" t="s">
        <v>2066</v>
      </c>
    </row>
    <row r="181" customFormat="false" ht="23.85" hidden="false" customHeight="false" outlineLevel="0" collapsed="false">
      <c r="A181" s="26" t="s">
        <v>2782</v>
      </c>
      <c r="B181" s="8" t="s">
        <v>2783</v>
      </c>
      <c r="C181" s="26" t="s">
        <v>2784</v>
      </c>
      <c r="D181" s="26" t="s">
        <v>2658</v>
      </c>
      <c r="E181" s="26" t="s">
        <v>2058</v>
      </c>
      <c r="F181" s="26" t="s">
        <v>2059</v>
      </c>
      <c r="G181" s="26" t="s">
        <v>2785</v>
      </c>
      <c r="H181" s="26" t="s">
        <v>2061</v>
      </c>
    </row>
    <row r="182" customFormat="false" ht="15" hidden="false" customHeight="false" outlineLevel="0" collapsed="false">
      <c r="A182" s="26" t="s">
        <v>2786</v>
      </c>
      <c r="B182" s="8" t="s">
        <v>2787</v>
      </c>
      <c r="C182" s="26" t="s">
        <v>2788</v>
      </c>
      <c r="D182" s="26" t="s">
        <v>2658</v>
      </c>
      <c r="E182" s="26" t="s">
        <v>2058</v>
      </c>
      <c r="F182" s="26" t="s">
        <v>2059</v>
      </c>
      <c r="G182" s="26" t="s">
        <v>2785</v>
      </c>
      <c r="H182" s="26" t="s">
        <v>2061</v>
      </c>
    </row>
    <row r="183" customFormat="false" ht="23.85" hidden="false" customHeight="false" outlineLevel="0" collapsed="false">
      <c r="A183" s="26" t="s">
        <v>2789</v>
      </c>
      <c r="B183" s="8" t="s">
        <v>2790</v>
      </c>
      <c r="C183" s="26" t="s">
        <v>2791</v>
      </c>
      <c r="D183" s="26" t="s">
        <v>2792</v>
      </c>
      <c r="E183" s="26" t="s">
        <v>2058</v>
      </c>
      <c r="F183" s="26" t="s">
        <v>2071</v>
      </c>
      <c r="G183" s="26" t="s">
        <v>2793</v>
      </c>
      <c r="H183" s="26" t="s">
        <v>2066</v>
      </c>
    </row>
    <row r="184" customFormat="false" ht="23.85" hidden="false" customHeight="false" outlineLevel="0" collapsed="false">
      <c r="A184" s="26" t="s">
        <v>2794</v>
      </c>
      <c r="B184" s="8" t="s">
        <v>2795</v>
      </c>
      <c r="C184" s="26" t="s">
        <v>2796</v>
      </c>
      <c r="D184" s="26" t="s">
        <v>2658</v>
      </c>
      <c r="E184" s="26" t="s">
        <v>2058</v>
      </c>
      <c r="F184" s="26" t="s">
        <v>2059</v>
      </c>
      <c r="G184" s="26" t="s">
        <v>2797</v>
      </c>
      <c r="H184" s="26" t="s">
        <v>2061</v>
      </c>
    </row>
    <row r="185" customFormat="false" ht="15" hidden="false" customHeight="false" outlineLevel="0" collapsed="false">
      <c r="A185" s="26" t="s">
        <v>2798</v>
      </c>
      <c r="B185" s="8" t="s">
        <v>2799</v>
      </c>
      <c r="C185" s="26" t="s">
        <v>2800</v>
      </c>
      <c r="D185" s="26" t="s">
        <v>2658</v>
      </c>
      <c r="E185" s="26" t="s">
        <v>2058</v>
      </c>
      <c r="F185" s="26" t="s">
        <v>2059</v>
      </c>
      <c r="G185" s="26" t="s">
        <v>2801</v>
      </c>
      <c r="H185" s="26" t="s">
        <v>2061</v>
      </c>
    </row>
    <row r="186" customFormat="false" ht="15" hidden="false" customHeight="false" outlineLevel="0" collapsed="false">
      <c r="A186" s="26" t="s">
        <v>2802</v>
      </c>
      <c r="B186" s="8" t="s">
        <v>2803</v>
      </c>
      <c r="C186" s="26" t="s">
        <v>2804</v>
      </c>
      <c r="D186" s="26" t="s">
        <v>2658</v>
      </c>
      <c r="E186" s="26" t="s">
        <v>2058</v>
      </c>
      <c r="F186" s="26" t="s">
        <v>2059</v>
      </c>
      <c r="G186" s="26" t="s">
        <v>2805</v>
      </c>
      <c r="H186" s="26" t="s">
        <v>2061</v>
      </c>
    </row>
    <row r="187" customFormat="false" ht="15" hidden="false" customHeight="false" outlineLevel="0" collapsed="false">
      <c r="A187" s="26" t="s">
        <v>2806</v>
      </c>
      <c r="B187" s="8" t="s">
        <v>2807</v>
      </c>
      <c r="C187" s="26" t="s">
        <v>2808</v>
      </c>
      <c r="D187" s="26" t="s">
        <v>2658</v>
      </c>
      <c r="E187" s="26" t="s">
        <v>2058</v>
      </c>
      <c r="F187" s="26" t="s">
        <v>2059</v>
      </c>
      <c r="G187" s="26" t="s">
        <v>2809</v>
      </c>
      <c r="H187" s="26" t="s">
        <v>2061</v>
      </c>
    </row>
    <row r="188" customFormat="false" ht="23.85" hidden="false" customHeight="false" outlineLevel="0" collapsed="false">
      <c r="A188" s="26" t="s">
        <v>2810</v>
      </c>
      <c r="B188" s="8" t="s">
        <v>2811</v>
      </c>
      <c r="C188" s="26" t="s">
        <v>2812</v>
      </c>
      <c r="D188" s="26" t="s">
        <v>2769</v>
      </c>
      <c r="E188" s="26" t="s">
        <v>2058</v>
      </c>
      <c r="F188" s="26" t="s">
        <v>2059</v>
      </c>
      <c r="G188" s="26" t="s">
        <v>2727</v>
      </c>
      <c r="H188" s="26" t="s">
        <v>2066</v>
      </c>
    </row>
    <row r="189" customFormat="false" ht="15" hidden="false" customHeight="false" outlineLevel="0" collapsed="false">
      <c r="A189" s="26" t="s">
        <v>2813</v>
      </c>
      <c r="B189" s="8" t="s">
        <v>2814</v>
      </c>
      <c r="C189" s="26" t="s">
        <v>2815</v>
      </c>
      <c r="D189" s="26" t="s">
        <v>2769</v>
      </c>
      <c r="E189" s="26" t="s">
        <v>2058</v>
      </c>
      <c r="F189" s="26" t="s">
        <v>2059</v>
      </c>
      <c r="G189" s="26" t="s">
        <v>2816</v>
      </c>
      <c r="H189" s="26" t="s">
        <v>2066</v>
      </c>
    </row>
    <row r="190" customFormat="false" ht="15" hidden="false" customHeight="false" outlineLevel="0" collapsed="false">
      <c r="A190" s="26" t="s">
        <v>2817</v>
      </c>
      <c r="B190" s="8" t="s">
        <v>2818</v>
      </c>
      <c r="C190" s="26" t="s">
        <v>2819</v>
      </c>
      <c r="D190" s="26" t="s">
        <v>2769</v>
      </c>
      <c r="E190" s="26" t="s">
        <v>2058</v>
      </c>
      <c r="F190" s="26" t="s">
        <v>2059</v>
      </c>
      <c r="G190" s="26" t="s">
        <v>2820</v>
      </c>
      <c r="H190" s="26" t="s">
        <v>2096</v>
      </c>
    </row>
    <row r="191" customFormat="false" ht="15" hidden="false" customHeight="false" outlineLevel="0" collapsed="false">
      <c r="A191" s="26" t="s">
        <v>2821</v>
      </c>
      <c r="B191" s="8" t="s">
        <v>2822</v>
      </c>
      <c r="C191" s="26" t="s">
        <v>2823</v>
      </c>
      <c r="D191" s="26" t="s">
        <v>2769</v>
      </c>
      <c r="E191" s="26" t="s">
        <v>2058</v>
      </c>
      <c r="F191" s="26" t="s">
        <v>2059</v>
      </c>
      <c r="G191" s="26" t="s">
        <v>2735</v>
      </c>
      <c r="H191" s="26" t="s">
        <v>2066</v>
      </c>
    </row>
    <row r="192" customFormat="false" ht="23.85" hidden="false" customHeight="false" outlineLevel="0" collapsed="false">
      <c r="A192" s="26" t="s">
        <v>2824</v>
      </c>
      <c r="B192" s="8" t="s">
        <v>2825</v>
      </c>
      <c r="C192" s="26" t="s">
        <v>2826</v>
      </c>
      <c r="D192" s="26" t="s">
        <v>2827</v>
      </c>
      <c r="E192" s="26" t="s">
        <v>2058</v>
      </c>
      <c r="F192" s="26" t="s">
        <v>2059</v>
      </c>
      <c r="G192" s="26" t="s">
        <v>2765</v>
      </c>
      <c r="H192" s="26" t="s">
        <v>2061</v>
      </c>
    </row>
    <row r="193" customFormat="false" ht="23.85" hidden="false" customHeight="false" outlineLevel="0" collapsed="false">
      <c r="A193" s="26" t="s">
        <v>2828</v>
      </c>
      <c r="B193" s="8" t="s">
        <v>2829</v>
      </c>
      <c r="C193" s="26" t="s">
        <v>2830</v>
      </c>
      <c r="D193" s="26" t="s">
        <v>2831</v>
      </c>
      <c r="E193" s="26" t="s">
        <v>2058</v>
      </c>
      <c r="F193" s="26" t="s">
        <v>2059</v>
      </c>
      <c r="G193" s="26" t="s">
        <v>2765</v>
      </c>
      <c r="H193" s="26" t="s">
        <v>2066</v>
      </c>
    </row>
    <row r="194" customFormat="false" ht="23.85" hidden="false" customHeight="false" outlineLevel="0" collapsed="false">
      <c r="A194" s="26" t="s">
        <v>2832</v>
      </c>
      <c r="B194" s="8" t="s">
        <v>2833</v>
      </c>
      <c r="C194" s="26" t="s">
        <v>2834</v>
      </c>
      <c r="D194" s="26" t="s">
        <v>2835</v>
      </c>
      <c r="E194" s="26" t="s">
        <v>2058</v>
      </c>
      <c r="F194" s="26" t="s">
        <v>2071</v>
      </c>
      <c r="G194" s="26" t="s">
        <v>2765</v>
      </c>
      <c r="H194" s="26" t="s">
        <v>2066</v>
      </c>
    </row>
    <row r="195" customFormat="false" ht="23.85" hidden="false" customHeight="false" outlineLevel="0" collapsed="false">
      <c r="A195" s="26" t="s">
        <v>2836</v>
      </c>
      <c r="B195" s="8" t="s">
        <v>2837</v>
      </c>
      <c r="C195" s="26" t="s">
        <v>2838</v>
      </c>
      <c r="D195" s="26" t="s">
        <v>2839</v>
      </c>
      <c r="E195" s="26" t="s">
        <v>2058</v>
      </c>
      <c r="F195" s="26" t="s">
        <v>2071</v>
      </c>
      <c r="G195" s="26" t="s">
        <v>2765</v>
      </c>
      <c r="H195" s="26" t="s">
        <v>2066</v>
      </c>
    </row>
    <row r="196" customFormat="false" ht="23.85" hidden="false" customHeight="false" outlineLevel="0" collapsed="false">
      <c r="A196" s="26" t="s">
        <v>2840</v>
      </c>
      <c r="B196" s="8" t="s">
        <v>2841</v>
      </c>
      <c r="C196" s="26" t="s">
        <v>2842</v>
      </c>
      <c r="D196" s="26" t="s">
        <v>2843</v>
      </c>
      <c r="E196" s="26" t="s">
        <v>2058</v>
      </c>
      <c r="F196" s="26" t="s">
        <v>2059</v>
      </c>
      <c r="G196" s="26" t="s">
        <v>2686</v>
      </c>
      <c r="H196" s="26" t="s">
        <v>2066</v>
      </c>
    </row>
    <row r="197" customFormat="false" ht="23.85" hidden="false" customHeight="false" outlineLevel="0" collapsed="false">
      <c r="A197" s="26" t="s">
        <v>2844</v>
      </c>
      <c r="B197" s="8" t="s">
        <v>2845</v>
      </c>
      <c r="C197" s="26" t="s">
        <v>2846</v>
      </c>
      <c r="D197" s="26" t="s">
        <v>2847</v>
      </c>
      <c r="E197" s="26" t="s">
        <v>2058</v>
      </c>
      <c r="F197" s="26" t="s">
        <v>2071</v>
      </c>
      <c r="G197" s="26" t="s">
        <v>2686</v>
      </c>
      <c r="H197" s="26" t="s">
        <v>2096</v>
      </c>
    </row>
    <row r="198" customFormat="false" ht="23.85" hidden="false" customHeight="false" outlineLevel="0" collapsed="false">
      <c r="A198" s="26" t="s">
        <v>2848</v>
      </c>
      <c r="B198" s="8" t="s">
        <v>2849</v>
      </c>
      <c r="C198" s="26" t="s">
        <v>2850</v>
      </c>
      <c r="D198" s="26" t="s">
        <v>2851</v>
      </c>
      <c r="E198" s="26" t="s">
        <v>2058</v>
      </c>
      <c r="F198" s="26" t="s">
        <v>2059</v>
      </c>
      <c r="G198" s="26" t="s">
        <v>2852</v>
      </c>
      <c r="H198" s="26" t="s">
        <v>2066</v>
      </c>
    </row>
    <row r="199" customFormat="false" ht="23.85" hidden="false" customHeight="false" outlineLevel="0" collapsed="false">
      <c r="A199" s="26" t="s">
        <v>2853</v>
      </c>
      <c r="B199" s="8" t="s">
        <v>2854</v>
      </c>
      <c r="C199" s="26" t="s">
        <v>2132</v>
      </c>
      <c r="D199" s="26" t="s">
        <v>2133</v>
      </c>
      <c r="E199" s="26" t="s">
        <v>2058</v>
      </c>
      <c r="F199" s="26" t="s">
        <v>2059</v>
      </c>
      <c r="G199" s="26" t="s">
        <v>2855</v>
      </c>
      <c r="H199" s="26" t="s">
        <v>2066</v>
      </c>
    </row>
    <row r="200" customFormat="false" ht="23.85" hidden="false" customHeight="false" outlineLevel="0" collapsed="false">
      <c r="A200" s="26" t="s">
        <v>2856</v>
      </c>
      <c r="B200" s="8" t="s">
        <v>2857</v>
      </c>
      <c r="C200" s="26" t="s">
        <v>2858</v>
      </c>
      <c r="D200" s="26" t="s">
        <v>2859</v>
      </c>
      <c r="E200" s="26" t="s">
        <v>2058</v>
      </c>
      <c r="F200" s="26" t="s">
        <v>2071</v>
      </c>
      <c r="G200" s="26" t="s">
        <v>2860</v>
      </c>
      <c r="H200" s="26" t="s">
        <v>2066</v>
      </c>
    </row>
    <row r="201" customFormat="false" ht="23.85" hidden="false" customHeight="false" outlineLevel="0" collapsed="false">
      <c r="A201" s="26" t="s">
        <v>2861</v>
      </c>
      <c r="B201" s="8" t="s">
        <v>2862</v>
      </c>
      <c r="C201" s="26" t="s">
        <v>2863</v>
      </c>
      <c r="D201" s="26" t="s">
        <v>2864</v>
      </c>
      <c r="E201" s="26" t="s">
        <v>2058</v>
      </c>
      <c r="F201" s="26" t="s">
        <v>2059</v>
      </c>
      <c r="G201" s="26" t="s">
        <v>2731</v>
      </c>
      <c r="H201" s="26" t="s">
        <v>2066</v>
      </c>
    </row>
    <row r="202" customFormat="false" ht="15" hidden="false" customHeight="false" outlineLevel="0" collapsed="false">
      <c r="A202" s="26" t="s">
        <v>2865</v>
      </c>
      <c r="B202" s="8" t="s">
        <v>2866</v>
      </c>
      <c r="C202" s="26" t="s">
        <v>2867</v>
      </c>
      <c r="D202" s="26" t="s">
        <v>2868</v>
      </c>
      <c r="E202" s="26" t="s">
        <v>2058</v>
      </c>
      <c r="F202" s="26" t="s">
        <v>2059</v>
      </c>
      <c r="G202" s="26" t="s">
        <v>2735</v>
      </c>
      <c r="H202" s="26" t="s">
        <v>2061</v>
      </c>
    </row>
    <row r="203" customFormat="false" ht="15" hidden="false" customHeight="false" outlineLevel="0" collapsed="false">
      <c r="A203" s="26" t="s">
        <v>2869</v>
      </c>
      <c r="B203" s="8" t="s">
        <v>2870</v>
      </c>
      <c r="C203" s="26" t="s">
        <v>2871</v>
      </c>
      <c r="D203" s="26" t="s">
        <v>2868</v>
      </c>
      <c r="E203" s="26" t="s">
        <v>2058</v>
      </c>
      <c r="F203" s="26" t="s">
        <v>2059</v>
      </c>
      <c r="G203" s="26" t="s">
        <v>2735</v>
      </c>
      <c r="H203" s="26" t="s">
        <v>2061</v>
      </c>
    </row>
    <row r="204" customFormat="false" ht="15" hidden="false" customHeight="false" outlineLevel="0" collapsed="false">
      <c r="A204" s="26" t="s">
        <v>2872</v>
      </c>
      <c r="B204" s="8" t="s">
        <v>2873</v>
      </c>
      <c r="C204" s="26" t="s">
        <v>2874</v>
      </c>
      <c r="D204" s="26" t="s">
        <v>2868</v>
      </c>
      <c r="E204" s="26" t="s">
        <v>2058</v>
      </c>
      <c r="F204" s="26" t="s">
        <v>2059</v>
      </c>
      <c r="G204" s="26" t="s">
        <v>2735</v>
      </c>
      <c r="H204" s="26" t="s">
        <v>2061</v>
      </c>
    </row>
    <row r="205" customFormat="false" ht="15" hidden="false" customHeight="false" outlineLevel="0" collapsed="false">
      <c r="A205" s="26" t="s">
        <v>2875</v>
      </c>
      <c r="B205" s="8" t="s">
        <v>2876</v>
      </c>
      <c r="C205" s="26" t="s">
        <v>2877</v>
      </c>
      <c r="D205" s="26" t="s">
        <v>2868</v>
      </c>
      <c r="E205" s="26" t="s">
        <v>2058</v>
      </c>
      <c r="F205" s="26" t="s">
        <v>2059</v>
      </c>
      <c r="G205" s="26" t="s">
        <v>2735</v>
      </c>
      <c r="H205" s="26" t="s">
        <v>2061</v>
      </c>
    </row>
    <row r="206" customFormat="false" ht="15" hidden="false" customHeight="false" outlineLevel="0" collapsed="false">
      <c r="A206" s="26" t="s">
        <v>2878</v>
      </c>
      <c r="B206" s="8" t="s">
        <v>2879</v>
      </c>
      <c r="C206" s="26" t="s">
        <v>2880</v>
      </c>
      <c r="D206" s="26" t="s">
        <v>2868</v>
      </c>
      <c r="E206" s="26" t="s">
        <v>2058</v>
      </c>
      <c r="F206" s="26" t="s">
        <v>2059</v>
      </c>
      <c r="G206" s="26" t="s">
        <v>2735</v>
      </c>
      <c r="H206" s="26" t="s">
        <v>2061</v>
      </c>
    </row>
    <row r="207" customFormat="false" ht="23.85" hidden="false" customHeight="false" outlineLevel="0" collapsed="false">
      <c r="A207" s="26" t="s">
        <v>2881</v>
      </c>
      <c r="B207" s="8" t="s">
        <v>2882</v>
      </c>
      <c r="C207" s="26" t="s">
        <v>2883</v>
      </c>
      <c r="D207" s="26" t="s">
        <v>2868</v>
      </c>
      <c r="E207" s="26" t="s">
        <v>2058</v>
      </c>
      <c r="F207" s="26" t="s">
        <v>2059</v>
      </c>
      <c r="G207" s="26" t="s">
        <v>2735</v>
      </c>
      <c r="H207" s="26" t="s">
        <v>2061</v>
      </c>
    </row>
    <row r="208" customFormat="false" ht="23.85" hidden="false" customHeight="false" outlineLevel="0" collapsed="false">
      <c r="A208" s="26" t="s">
        <v>2884</v>
      </c>
      <c r="B208" s="8" t="s">
        <v>2885</v>
      </c>
      <c r="C208" s="26" t="s">
        <v>2886</v>
      </c>
      <c r="D208" s="26" t="s">
        <v>2887</v>
      </c>
      <c r="E208" s="26" t="s">
        <v>2058</v>
      </c>
      <c r="F208" s="26" t="s">
        <v>2071</v>
      </c>
      <c r="G208" s="26" t="s">
        <v>2735</v>
      </c>
      <c r="H208" s="26" t="s">
        <v>2096</v>
      </c>
    </row>
    <row r="209" customFormat="false" ht="23.85" hidden="false" customHeight="false" outlineLevel="0" collapsed="false">
      <c r="A209" s="26" t="s">
        <v>2888</v>
      </c>
      <c r="B209" s="8" t="s">
        <v>2889</v>
      </c>
      <c r="C209" s="26" t="s">
        <v>2890</v>
      </c>
      <c r="D209" s="26" t="s">
        <v>2891</v>
      </c>
      <c r="E209" s="26" t="s">
        <v>2058</v>
      </c>
      <c r="F209" s="26" t="s">
        <v>2059</v>
      </c>
      <c r="G209" s="26" t="s">
        <v>2727</v>
      </c>
      <c r="H209" s="26" t="s">
        <v>2066</v>
      </c>
    </row>
    <row r="210" customFormat="false" ht="23.85" hidden="false" customHeight="false" outlineLevel="0" collapsed="false">
      <c r="A210" s="26" t="s">
        <v>2892</v>
      </c>
      <c r="B210" s="8" t="s">
        <v>2893</v>
      </c>
      <c r="C210" s="26" t="s">
        <v>2894</v>
      </c>
      <c r="D210" s="26" t="s">
        <v>2723</v>
      </c>
      <c r="E210" s="26" t="s">
        <v>2058</v>
      </c>
      <c r="F210" s="26" t="s">
        <v>2059</v>
      </c>
      <c r="G210" s="26" t="s">
        <v>2727</v>
      </c>
      <c r="H210" s="26" t="s">
        <v>2061</v>
      </c>
    </row>
    <row r="211" customFormat="false" ht="23.85" hidden="false" customHeight="false" outlineLevel="0" collapsed="false">
      <c r="A211" s="26" t="s">
        <v>2895</v>
      </c>
      <c r="B211" s="8" t="s">
        <v>2896</v>
      </c>
      <c r="C211" s="26" t="s">
        <v>2897</v>
      </c>
      <c r="D211" s="26" t="s">
        <v>2291</v>
      </c>
      <c r="E211" s="26" t="s">
        <v>2058</v>
      </c>
      <c r="F211" s="26" t="s">
        <v>2071</v>
      </c>
      <c r="G211" s="26" t="s">
        <v>2727</v>
      </c>
      <c r="H211" s="26" t="s">
        <v>2066</v>
      </c>
    </row>
    <row r="212" customFormat="false" ht="23.85" hidden="false" customHeight="false" outlineLevel="0" collapsed="false">
      <c r="A212" s="26" t="s">
        <v>2898</v>
      </c>
      <c r="B212" s="8" t="s">
        <v>2899</v>
      </c>
      <c r="C212" s="26" t="s">
        <v>2900</v>
      </c>
      <c r="D212" s="26" t="s">
        <v>2901</v>
      </c>
      <c r="E212" s="26" t="s">
        <v>2058</v>
      </c>
      <c r="F212" s="26" t="s">
        <v>2059</v>
      </c>
      <c r="G212" s="26" t="s">
        <v>2715</v>
      </c>
      <c r="H212" s="26" t="s">
        <v>2066</v>
      </c>
    </row>
    <row r="213" customFormat="false" ht="23.85" hidden="false" customHeight="false" outlineLevel="0" collapsed="false">
      <c r="A213" s="26" t="s">
        <v>2902</v>
      </c>
      <c r="B213" s="8" t="s">
        <v>2903</v>
      </c>
      <c r="C213" s="26" t="s">
        <v>2904</v>
      </c>
      <c r="D213" s="26" t="s">
        <v>2209</v>
      </c>
      <c r="E213" s="26" t="s">
        <v>2058</v>
      </c>
      <c r="F213" s="26" t="s">
        <v>2071</v>
      </c>
      <c r="G213" s="26" t="s">
        <v>2715</v>
      </c>
      <c r="H213" s="26" t="s">
        <v>2061</v>
      </c>
    </row>
    <row r="214" customFormat="false" ht="23.85" hidden="false" customHeight="false" outlineLevel="0" collapsed="false">
      <c r="A214" s="26" t="s">
        <v>2905</v>
      </c>
      <c r="B214" s="8" t="s">
        <v>2906</v>
      </c>
      <c r="C214" s="26" t="s">
        <v>2907</v>
      </c>
      <c r="D214" s="26" t="s">
        <v>2908</v>
      </c>
      <c r="E214" s="26" t="s">
        <v>2058</v>
      </c>
      <c r="F214" s="26" t="s">
        <v>2071</v>
      </c>
      <c r="G214" s="26" t="s">
        <v>2715</v>
      </c>
      <c r="H214" s="26" t="s">
        <v>2066</v>
      </c>
    </row>
    <row r="215" customFormat="false" ht="15" hidden="false" customHeight="false" outlineLevel="0" collapsed="false">
      <c r="A215" s="26" t="s">
        <v>2909</v>
      </c>
      <c r="B215" s="8" t="s">
        <v>2910</v>
      </c>
      <c r="C215" s="26" t="s">
        <v>2911</v>
      </c>
      <c r="D215" s="26" t="s">
        <v>2769</v>
      </c>
      <c r="E215" s="26" t="s">
        <v>2058</v>
      </c>
      <c r="F215" s="26" t="s">
        <v>2059</v>
      </c>
      <c r="G215" s="26" t="s">
        <v>2719</v>
      </c>
      <c r="H215" s="26" t="s">
        <v>2096</v>
      </c>
    </row>
    <row r="216" customFormat="false" ht="15" hidden="false" customHeight="false" outlineLevel="0" collapsed="false">
      <c r="A216" s="26" t="s">
        <v>2912</v>
      </c>
      <c r="B216" s="8" t="s">
        <v>2913</v>
      </c>
      <c r="C216" s="26" t="s">
        <v>2914</v>
      </c>
      <c r="D216" s="26" t="s">
        <v>2658</v>
      </c>
      <c r="E216" s="26" t="s">
        <v>2058</v>
      </c>
      <c r="F216" s="26" t="s">
        <v>2059</v>
      </c>
      <c r="G216" s="26" t="s">
        <v>2915</v>
      </c>
      <c r="H216" s="26" t="s">
        <v>2061</v>
      </c>
    </row>
    <row r="217" customFormat="false" ht="15" hidden="false" customHeight="false" outlineLevel="0" collapsed="false">
      <c r="A217" s="26" t="s">
        <v>2916</v>
      </c>
      <c r="B217" s="8" t="s">
        <v>2917</v>
      </c>
      <c r="C217" s="26" t="s">
        <v>2918</v>
      </c>
      <c r="D217" s="26" t="s">
        <v>2658</v>
      </c>
      <c r="E217" s="26" t="s">
        <v>2058</v>
      </c>
      <c r="F217" s="26" t="s">
        <v>2059</v>
      </c>
      <c r="G217" s="26" t="s">
        <v>2915</v>
      </c>
      <c r="H217" s="26" t="s">
        <v>2061</v>
      </c>
    </row>
    <row r="218" customFormat="false" ht="15" hidden="false" customHeight="false" outlineLevel="0" collapsed="false">
      <c r="A218" s="26" t="s">
        <v>2919</v>
      </c>
      <c r="B218" s="8" t="s">
        <v>2920</v>
      </c>
      <c r="C218" s="26" t="s">
        <v>2921</v>
      </c>
      <c r="D218" s="26" t="s">
        <v>2658</v>
      </c>
      <c r="E218" s="26" t="s">
        <v>2058</v>
      </c>
      <c r="F218" s="26" t="s">
        <v>2059</v>
      </c>
      <c r="G218" s="26" t="s">
        <v>2915</v>
      </c>
      <c r="H218" s="26" t="s">
        <v>2061</v>
      </c>
    </row>
    <row r="219" customFormat="false" ht="15" hidden="false" customHeight="false" outlineLevel="0" collapsed="false">
      <c r="A219" s="26" t="s">
        <v>2922</v>
      </c>
      <c r="B219" s="8" t="s">
        <v>2923</v>
      </c>
      <c r="C219" s="26" t="s">
        <v>2924</v>
      </c>
      <c r="D219" s="26" t="s">
        <v>2658</v>
      </c>
      <c r="E219" s="26" t="s">
        <v>2058</v>
      </c>
      <c r="F219" s="26" t="s">
        <v>2059</v>
      </c>
      <c r="G219" s="26" t="s">
        <v>2915</v>
      </c>
      <c r="H219" s="26" t="s">
        <v>2061</v>
      </c>
    </row>
    <row r="220" customFormat="false" ht="15" hidden="false" customHeight="false" outlineLevel="0" collapsed="false">
      <c r="A220" s="26" t="s">
        <v>2925</v>
      </c>
      <c r="B220" s="8" t="s">
        <v>2926</v>
      </c>
      <c r="C220" s="26" t="s">
        <v>2927</v>
      </c>
      <c r="D220" s="26" t="s">
        <v>2658</v>
      </c>
      <c r="E220" s="26" t="s">
        <v>2058</v>
      </c>
      <c r="F220" s="26" t="s">
        <v>2059</v>
      </c>
      <c r="G220" s="26" t="s">
        <v>2915</v>
      </c>
      <c r="H220" s="26" t="s">
        <v>2061</v>
      </c>
    </row>
    <row r="221" customFormat="false" ht="23.85" hidden="false" customHeight="false" outlineLevel="0" collapsed="false">
      <c r="A221" s="26" t="s">
        <v>2928</v>
      </c>
      <c r="B221" s="8" t="s">
        <v>2929</v>
      </c>
      <c r="C221" s="26" t="s">
        <v>2930</v>
      </c>
      <c r="D221" s="26" t="s">
        <v>2723</v>
      </c>
      <c r="E221" s="26" t="s">
        <v>2058</v>
      </c>
      <c r="F221" s="26" t="s">
        <v>2059</v>
      </c>
      <c r="G221" s="26" t="s">
        <v>2931</v>
      </c>
      <c r="H221" s="26" t="s">
        <v>2061</v>
      </c>
    </row>
    <row r="222" customFormat="false" ht="15" hidden="false" customHeight="false" outlineLevel="0" collapsed="false">
      <c r="A222" s="26" t="s">
        <v>2932</v>
      </c>
      <c r="B222" s="8" t="s">
        <v>2933</v>
      </c>
      <c r="C222" s="26" t="s">
        <v>2934</v>
      </c>
      <c r="D222" s="26" t="s">
        <v>2723</v>
      </c>
      <c r="E222" s="26" t="s">
        <v>2058</v>
      </c>
      <c r="F222" s="26" t="s">
        <v>2059</v>
      </c>
      <c r="G222" s="26" t="s">
        <v>2931</v>
      </c>
      <c r="H222" s="26" t="s">
        <v>2061</v>
      </c>
    </row>
    <row r="223" customFormat="false" ht="15" hidden="false" customHeight="false" outlineLevel="0" collapsed="false">
      <c r="A223" s="26" t="s">
        <v>2935</v>
      </c>
      <c r="B223" s="8" t="s">
        <v>2936</v>
      </c>
      <c r="C223" s="26" t="s">
        <v>2937</v>
      </c>
      <c r="D223" s="26" t="s">
        <v>2723</v>
      </c>
      <c r="E223" s="26" t="s">
        <v>2058</v>
      </c>
      <c r="F223" s="26" t="s">
        <v>2059</v>
      </c>
      <c r="G223" s="26" t="s">
        <v>2931</v>
      </c>
      <c r="H223" s="26" t="s">
        <v>2061</v>
      </c>
    </row>
    <row r="224" customFormat="false" ht="15" hidden="false" customHeight="false" outlineLevel="0" collapsed="false">
      <c r="A224" s="26" t="s">
        <v>2938</v>
      </c>
      <c r="B224" s="8" t="s">
        <v>2939</v>
      </c>
      <c r="C224" s="26" t="s">
        <v>2940</v>
      </c>
      <c r="D224" s="26" t="s">
        <v>2769</v>
      </c>
      <c r="E224" s="26" t="s">
        <v>2058</v>
      </c>
      <c r="F224" s="26" t="s">
        <v>2059</v>
      </c>
      <c r="G224" s="26" t="s">
        <v>2757</v>
      </c>
      <c r="H224" s="26" t="s">
        <v>2066</v>
      </c>
    </row>
    <row r="225" customFormat="false" ht="15" hidden="false" customHeight="false" outlineLevel="0" collapsed="false">
      <c r="A225" s="26" t="s">
        <v>2941</v>
      </c>
      <c r="B225" s="8" t="s">
        <v>2942</v>
      </c>
      <c r="C225" s="26" t="s">
        <v>2943</v>
      </c>
      <c r="D225" s="26" t="s">
        <v>2769</v>
      </c>
      <c r="E225" s="26" t="s">
        <v>2058</v>
      </c>
      <c r="F225" s="26" t="s">
        <v>2059</v>
      </c>
      <c r="G225" s="26" t="s">
        <v>2761</v>
      </c>
      <c r="H225" s="26" t="s">
        <v>2066</v>
      </c>
    </row>
    <row r="226" customFormat="false" ht="15" hidden="false" customHeight="false" outlineLevel="0" collapsed="false">
      <c r="A226" s="26" t="s">
        <v>2944</v>
      </c>
      <c r="B226" s="8" t="s">
        <v>2945</v>
      </c>
      <c r="C226" s="26" t="s">
        <v>2946</v>
      </c>
      <c r="D226" s="26" t="s">
        <v>2769</v>
      </c>
      <c r="E226" s="26" t="s">
        <v>2058</v>
      </c>
      <c r="F226" s="26" t="s">
        <v>2059</v>
      </c>
      <c r="G226" s="26" t="s">
        <v>2707</v>
      </c>
      <c r="H226" s="26" t="s">
        <v>2066</v>
      </c>
    </row>
    <row r="227" customFormat="false" ht="15" hidden="false" customHeight="false" outlineLevel="0" collapsed="false">
      <c r="A227" s="26" t="s">
        <v>2947</v>
      </c>
      <c r="B227" s="8" t="s">
        <v>2948</v>
      </c>
      <c r="C227" s="26" t="s">
        <v>2949</v>
      </c>
      <c r="D227" s="26" t="s">
        <v>2769</v>
      </c>
      <c r="E227" s="26" t="s">
        <v>2058</v>
      </c>
      <c r="F227" s="26" t="s">
        <v>2059</v>
      </c>
      <c r="G227" s="26" t="s">
        <v>2682</v>
      </c>
      <c r="H227" s="26" t="s">
        <v>2066</v>
      </c>
    </row>
    <row r="228" customFormat="false" ht="15" hidden="false" customHeight="false" outlineLevel="0" collapsed="false">
      <c r="A228" s="26" t="s">
        <v>2950</v>
      </c>
      <c r="B228" s="8" t="s">
        <v>2951</v>
      </c>
      <c r="C228" s="26" t="s">
        <v>2952</v>
      </c>
      <c r="D228" s="26" t="s">
        <v>2742</v>
      </c>
      <c r="E228" s="26" t="s">
        <v>2058</v>
      </c>
      <c r="F228" s="26" t="s">
        <v>2059</v>
      </c>
      <c r="G228" s="26" t="s">
        <v>2682</v>
      </c>
      <c r="H228" s="26" t="s">
        <v>2066</v>
      </c>
    </row>
    <row r="229" customFormat="false" ht="15" hidden="false" customHeight="false" outlineLevel="0" collapsed="false">
      <c r="A229" s="26" t="s">
        <v>2953</v>
      </c>
      <c r="B229" s="8" t="s">
        <v>2954</v>
      </c>
      <c r="C229" s="26" t="s">
        <v>2955</v>
      </c>
      <c r="D229" s="26" t="s">
        <v>2769</v>
      </c>
      <c r="E229" s="26" t="s">
        <v>2058</v>
      </c>
      <c r="F229" s="26" t="s">
        <v>2059</v>
      </c>
      <c r="G229" s="26" t="s">
        <v>2703</v>
      </c>
      <c r="H229" s="26" t="s">
        <v>2066</v>
      </c>
    </row>
    <row r="230" customFormat="false" ht="15" hidden="false" customHeight="false" outlineLevel="0" collapsed="false">
      <c r="A230" s="26" t="s">
        <v>2956</v>
      </c>
      <c r="B230" s="8" t="s">
        <v>2957</v>
      </c>
      <c r="C230" s="26" t="s">
        <v>2958</v>
      </c>
      <c r="D230" s="26" t="s">
        <v>2769</v>
      </c>
      <c r="E230" s="26" t="s">
        <v>2058</v>
      </c>
      <c r="F230" s="26" t="s">
        <v>2059</v>
      </c>
      <c r="G230" s="26" t="s">
        <v>2678</v>
      </c>
      <c r="H230" s="26" t="s">
        <v>2066</v>
      </c>
    </row>
    <row r="231" customFormat="false" ht="23.85" hidden="false" customHeight="false" outlineLevel="0" collapsed="false">
      <c r="A231" s="26" t="s">
        <v>2959</v>
      </c>
      <c r="B231" s="8" t="s">
        <v>2960</v>
      </c>
      <c r="C231" s="26" t="s">
        <v>2961</v>
      </c>
      <c r="D231" s="26" t="s">
        <v>2769</v>
      </c>
      <c r="E231" s="26" t="s">
        <v>2058</v>
      </c>
      <c r="F231" s="26" t="s">
        <v>2059</v>
      </c>
      <c r="G231" s="26" t="s">
        <v>2667</v>
      </c>
      <c r="H231" s="26" t="s">
        <v>2066</v>
      </c>
    </row>
    <row r="232" customFormat="false" ht="15" hidden="false" customHeight="false" outlineLevel="0" collapsed="false">
      <c r="A232" s="26" t="s">
        <v>2962</v>
      </c>
      <c r="B232" s="8" t="s">
        <v>2963</v>
      </c>
      <c r="C232" s="26" t="s">
        <v>2964</v>
      </c>
      <c r="D232" s="26" t="s">
        <v>2769</v>
      </c>
      <c r="E232" s="26" t="s">
        <v>2058</v>
      </c>
      <c r="F232" s="26" t="s">
        <v>2059</v>
      </c>
      <c r="G232" s="26" t="s">
        <v>2671</v>
      </c>
      <c r="H232" s="26" t="s">
        <v>2066</v>
      </c>
    </row>
    <row r="233" customFormat="false" ht="35.05" hidden="false" customHeight="false" outlineLevel="0" collapsed="false">
      <c r="A233" s="26" t="s">
        <v>2965</v>
      </c>
      <c r="B233" s="8" t="s">
        <v>2966</v>
      </c>
      <c r="C233" s="26" t="s">
        <v>2967</v>
      </c>
      <c r="D233" s="26" t="s">
        <v>2968</v>
      </c>
      <c r="E233" s="26" t="s">
        <v>2058</v>
      </c>
      <c r="F233" s="26" t="s">
        <v>2071</v>
      </c>
      <c r="G233" s="26" t="s">
        <v>2663</v>
      </c>
      <c r="H233" s="26" t="s">
        <v>2096</v>
      </c>
    </row>
    <row r="234" customFormat="false" ht="23.85" hidden="false" customHeight="false" outlineLevel="0" collapsed="false">
      <c r="A234" s="26" t="s">
        <v>2969</v>
      </c>
      <c r="B234" s="8" t="s">
        <v>2970</v>
      </c>
      <c r="C234" s="26" t="s">
        <v>2971</v>
      </c>
      <c r="D234" s="26" t="s">
        <v>2972</v>
      </c>
      <c r="E234" s="26" t="s">
        <v>2058</v>
      </c>
      <c r="F234" s="26" t="s">
        <v>2059</v>
      </c>
      <c r="G234" s="26" t="s">
        <v>2659</v>
      </c>
      <c r="H234" s="26" t="s">
        <v>2061</v>
      </c>
    </row>
    <row r="235" customFormat="false" ht="15" hidden="false" customHeight="false" outlineLevel="0" collapsed="false">
      <c r="A235" s="26" t="s">
        <v>2973</v>
      </c>
      <c r="B235" s="8" t="s">
        <v>2974</v>
      </c>
      <c r="C235" s="26" t="s">
        <v>2975</v>
      </c>
      <c r="D235" s="26" t="s">
        <v>2976</v>
      </c>
      <c r="E235" s="26" t="s">
        <v>2058</v>
      </c>
      <c r="F235" s="26" t="s">
        <v>2059</v>
      </c>
      <c r="G235" s="26" t="s">
        <v>2682</v>
      </c>
      <c r="H235" s="26" t="s">
        <v>2066</v>
      </c>
    </row>
    <row r="236" customFormat="false" ht="35.05" hidden="false" customHeight="false" outlineLevel="0" collapsed="false">
      <c r="A236" s="26" t="s">
        <v>2977</v>
      </c>
      <c r="B236" s="8" t="s">
        <v>2978</v>
      </c>
      <c r="C236" s="26" t="s">
        <v>2979</v>
      </c>
      <c r="D236" s="26" t="s">
        <v>2980</v>
      </c>
      <c r="E236" s="26" t="s">
        <v>2058</v>
      </c>
      <c r="F236" s="26" t="s">
        <v>2071</v>
      </c>
      <c r="G236" s="26" t="s">
        <v>2682</v>
      </c>
      <c r="H236" s="26" t="s">
        <v>2096</v>
      </c>
    </row>
    <row r="237" customFormat="false" ht="23.85" hidden="false" customHeight="false" outlineLevel="0" collapsed="false">
      <c r="A237" s="26" t="s">
        <v>2981</v>
      </c>
      <c r="B237" s="8" t="s">
        <v>2982</v>
      </c>
      <c r="C237" s="26" t="s">
        <v>2983</v>
      </c>
      <c r="D237" s="26" t="s">
        <v>2984</v>
      </c>
      <c r="E237" s="26" t="s">
        <v>2058</v>
      </c>
      <c r="F237" s="26" t="s">
        <v>2059</v>
      </c>
      <c r="G237" s="26" t="s">
        <v>2985</v>
      </c>
      <c r="H237" s="26" t="s">
        <v>2066</v>
      </c>
    </row>
    <row r="238" customFormat="false" ht="23.85" hidden="false" customHeight="false" outlineLevel="0" collapsed="false">
      <c r="A238" s="26" t="s">
        <v>2986</v>
      </c>
      <c r="B238" s="8" t="s">
        <v>2987</v>
      </c>
      <c r="C238" s="26" t="s">
        <v>2988</v>
      </c>
      <c r="D238" s="26" t="s">
        <v>2989</v>
      </c>
      <c r="E238" s="26" t="s">
        <v>2058</v>
      </c>
      <c r="F238" s="26" t="s">
        <v>2071</v>
      </c>
      <c r="G238" s="26" t="s">
        <v>2985</v>
      </c>
      <c r="H238" s="26" t="s">
        <v>2096</v>
      </c>
    </row>
    <row r="239" customFormat="false" ht="15" hidden="false" customHeight="false" outlineLevel="0" collapsed="false">
      <c r="A239" s="26" t="s">
        <v>2990</v>
      </c>
      <c r="B239" s="8" t="s">
        <v>2991</v>
      </c>
      <c r="C239" s="26" t="s">
        <v>2992</v>
      </c>
      <c r="D239" s="26" t="s">
        <v>2658</v>
      </c>
      <c r="E239" s="26" t="s">
        <v>2058</v>
      </c>
      <c r="F239" s="26" t="s">
        <v>2059</v>
      </c>
      <c r="G239" s="26" t="s">
        <v>2993</v>
      </c>
      <c r="H239" s="26" t="s">
        <v>2061</v>
      </c>
    </row>
    <row r="240" customFormat="false" ht="15" hidden="false" customHeight="false" outlineLevel="0" collapsed="false">
      <c r="A240" s="26" t="s">
        <v>2994</v>
      </c>
      <c r="B240" s="8" t="s">
        <v>2995</v>
      </c>
      <c r="C240" s="26" t="s">
        <v>2996</v>
      </c>
      <c r="D240" s="26" t="s">
        <v>2658</v>
      </c>
      <c r="E240" s="26" t="s">
        <v>2058</v>
      </c>
      <c r="F240" s="26" t="s">
        <v>2059</v>
      </c>
      <c r="G240" s="26" t="s">
        <v>2993</v>
      </c>
      <c r="H240" s="26" t="s">
        <v>2061</v>
      </c>
    </row>
    <row r="241" customFormat="false" ht="23.85" hidden="false" customHeight="false" outlineLevel="0" collapsed="false">
      <c r="A241" s="26" t="s">
        <v>2997</v>
      </c>
      <c r="B241" s="8" t="s">
        <v>2998</v>
      </c>
      <c r="C241" s="26" t="s">
        <v>2999</v>
      </c>
      <c r="D241" s="26" t="s">
        <v>3000</v>
      </c>
      <c r="E241" s="26" t="s">
        <v>2058</v>
      </c>
      <c r="F241" s="26" t="s">
        <v>2059</v>
      </c>
      <c r="G241" s="26" t="s">
        <v>3001</v>
      </c>
      <c r="H241" s="26" t="s">
        <v>2066</v>
      </c>
    </row>
    <row r="242" customFormat="false" ht="23.85" hidden="false" customHeight="false" outlineLevel="0" collapsed="false">
      <c r="A242" s="26" t="s">
        <v>3002</v>
      </c>
      <c r="B242" s="8" t="s">
        <v>3003</v>
      </c>
      <c r="C242" s="26" t="s">
        <v>3004</v>
      </c>
      <c r="D242" s="26" t="s">
        <v>3005</v>
      </c>
      <c r="E242" s="26" t="s">
        <v>2058</v>
      </c>
      <c r="F242" s="26" t="s">
        <v>2071</v>
      </c>
      <c r="G242" s="26" t="s">
        <v>3001</v>
      </c>
      <c r="H242" s="26" t="s">
        <v>2066</v>
      </c>
    </row>
    <row r="243" customFormat="false" ht="23.85" hidden="false" customHeight="false" outlineLevel="0" collapsed="false">
      <c r="A243" s="26" t="s">
        <v>3006</v>
      </c>
      <c r="B243" s="8" t="s">
        <v>3007</v>
      </c>
      <c r="C243" s="26" t="s">
        <v>3008</v>
      </c>
      <c r="D243" s="26" t="s">
        <v>3009</v>
      </c>
      <c r="E243" s="26" t="s">
        <v>2058</v>
      </c>
      <c r="F243" s="26" t="s">
        <v>2059</v>
      </c>
      <c r="G243" s="26" t="s">
        <v>3010</v>
      </c>
      <c r="H243" s="26" t="s">
        <v>2061</v>
      </c>
    </row>
    <row r="244" customFormat="false" ht="23.85" hidden="false" customHeight="false" outlineLevel="0" collapsed="false">
      <c r="A244" s="26" t="s">
        <v>3011</v>
      </c>
      <c r="B244" s="8" t="s">
        <v>3012</v>
      </c>
      <c r="C244" s="26" t="s">
        <v>3013</v>
      </c>
      <c r="D244" s="26" t="s">
        <v>3014</v>
      </c>
      <c r="E244" s="26" t="s">
        <v>2058</v>
      </c>
      <c r="F244" s="26" t="s">
        <v>2059</v>
      </c>
      <c r="G244" s="26" t="s">
        <v>3010</v>
      </c>
      <c r="H244" s="26" t="s">
        <v>2061</v>
      </c>
    </row>
    <row r="245" customFormat="false" ht="23.85" hidden="false" customHeight="false" outlineLevel="0" collapsed="false">
      <c r="A245" s="26" t="s">
        <v>3015</v>
      </c>
      <c r="B245" s="8" t="s">
        <v>3016</v>
      </c>
      <c r="C245" s="26" t="s">
        <v>3017</v>
      </c>
      <c r="D245" s="26" t="s">
        <v>3018</v>
      </c>
      <c r="E245" s="26" t="s">
        <v>2058</v>
      </c>
      <c r="F245" s="26" t="s">
        <v>2059</v>
      </c>
      <c r="G245" s="26" t="s">
        <v>3019</v>
      </c>
      <c r="H245" s="26" t="s">
        <v>2061</v>
      </c>
    </row>
    <row r="246" customFormat="false" ht="23.85" hidden="false" customHeight="false" outlineLevel="0" collapsed="false">
      <c r="A246" s="26" t="s">
        <v>3020</v>
      </c>
      <c r="B246" s="8" t="s">
        <v>3021</v>
      </c>
      <c r="C246" s="26" t="s">
        <v>3022</v>
      </c>
      <c r="D246" s="26" t="s">
        <v>3014</v>
      </c>
      <c r="E246" s="26" t="s">
        <v>2058</v>
      </c>
      <c r="F246" s="26" t="s">
        <v>2059</v>
      </c>
      <c r="G246" s="26" t="s">
        <v>3019</v>
      </c>
      <c r="H246" s="26" t="s">
        <v>2061</v>
      </c>
    </row>
    <row r="247" customFormat="false" ht="23.85" hidden="false" customHeight="false" outlineLevel="0" collapsed="false">
      <c r="A247" s="26" t="s">
        <v>3023</v>
      </c>
      <c r="B247" s="8" t="s">
        <v>3024</v>
      </c>
      <c r="C247" s="26" t="s">
        <v>3025</v>
      </c>
      <c r="D247" s="26" t="s">
        <v>3018</v>
      </c>
      <c r="E247" s="26" t="s">
        <v>2058</v>
      </c>
      <c r="F247" s="26" t="s">
        <v>2059</v>
      </c>
      <c r="G247" s="26" t="s">
        <v>3026</v>
      </c>
      <c r="H247" s="26" t="s">
        <v>2061</v>
      </c>
    </row>
    <row r="248" customFormat="false" ht="15" hidden="false" customHeight="false" outlineLevel="0" collapsed="false">
      <c r="A248" s="26" t="s">
        <v>3027</v>
      </c>
      <c r="B248" s="8" t="s">
        <v>3028</v>
      </c>
      <c r="C248" s="26" t="s">
        <v>3029</v>
      </c>
      <c r="D248" s="26" t="s">
        <v>3014</v>
      </c>
      <c r="E248" s="26" t="s">
        <v>2058</v>
      </c>
      <c r="F248" s="26" t="s">
        <v>2059</v>
      </c>
      <c r="G248" s="26" t="s">
        <v>3026</v>
      </c>
      <c r="H248" s="26" t="s">
        <v>2061</v>
      </c>
    </row>
    <row r="249" customFormat="false" ht="23.85" hidden="false" customHeight="false" outlineLevel="0" collapsed="false">
      <c r="A249" s="26" t="s">
        <v>3030</v>
      </c>
      <c r="B249" s="8" t="s">
        <v>3031</v>
      </c>
      <c r="C249" s="26" t="s">
        <v>3032</v>
      </c>
      <c r="D249" s="26" t="s">
        <v>3018</v>
      </c>
      <c r="E249" s="26" t="s">
        <v>2058</v>
      </c>
      <c r="F249" s="26" t="s">
        <v>2059</v>
      </c>
      <c r="G249" s="26" t="s">
        <v>3033</v>
      </c>
      <c r="H249" s="26" t="s">
        <v>2061</v>
      </c>
    </row>
    <row r="250" customFormat="false" ht="23.85" hidden="false" customHeight="false" outlineLevel="0" collapsed="false">
      <c r="A250" s="26" t="s">
        <v>3034</v>
      </c>
      <c r="B250" s="8" t="s">
        <v>3035</v>
      </c>
      <c r="C250" s="26" t="s">
        <v>3036</v>
      </c>
      <c r="D250" s="26" t="s">
        <v>3009</v>
      </c>
      <c r="E250" s="26" t="s">
        <v>2058</v>
      </c>
      <c r="F250" s="26" t="s">
        <v>2059</v>
      </c>
      <c r="G250" s="26" t="s">
        <v>3033</v>
      </c>
      <c r="H250" s="26" t="s">
        <v>2061</v>
      </c>
    </row>
    <row r="251" customFormat="false" ht="35.05" hidden="false" customHeight="false" outlineLevel="0" collapsed="false">
      <c r="A251" s="26" t="s">
        <v>3037</v>
      </c>
      <c r="B251" s="8" t="s">
        <v>3038</v>
      </c>
      <c r="C251" s="26" t="s">
        <v>3039</v>
      </c>
      <c r="D251" s="26" t="s">
        <v>3014</v>
      </c>
      <c r="E251" s="26" t="s">
        <v>2058</v>
      </c>
      <c r="F251" s="26" t="s">
        <v>2059</v>
      </c>
      <c r="G251" s="26" t="s">
        <v>3040</v>
      </c>
      <c r="H251" s="26" t="s">
        <v>2061</v>
      </c>
    </row>
    <row r="252" customFormat="false" ht="23.85" hidden="false" customHeight="false" outlineLevel="0" collapsed="false">
      <c r="A252" s="26" t="s">
        <v>3041</v>
      </c>
      <c r="B252" s="8" t="s">
        <v>3042</v>
      </c>
      <c r="C252" s="26" t="s">
        <v>3043</v>
      </c>
      <c r="D252" s="26" t="s">
        <v>3044</v>
      </c>
      <c r="E252" s="26" t="s">
        <v>2058</v>
      </c>
      <c r="F252" s="26" t="s">
        <v>2059</v>
      </c>
      <c r="G252" s="26" t="s">
        <v>3045</v>
      </c>
      <c r="H252" s="26" t="s">
        <v>2061</v>
      </c>
    </row>
    <row r="253" customFormat="false" ht="23.85" hidden="false" customHeight="false" outlineLevel="0" collapsed="false">
      <c r="A253" s="26" t="s">
        <v>3046</v>
      </c>
      <c r="B253" s="8" t="s">
        <v>3047</v>
      </c>
      <c r="C253" s="26" t="s">
        <v>3048</v>
      </c>
      <c r="D253" s="26" t="s">
        <v>3009</v>
      </c>
      <c r="E253" s="26" t="s">
        <v>2058</v>
      </c>
      <c r="F253" s="26" t="s">
        <v>2059</v>
      </c>
      <c r="G253" s="26" t="s">
        <v>3049</v>
      </c>
      <c r="H253" s="26" t="s">
        <v>2061</v>
      </c>
    </row>
    <row r="254" customFormat="false" ht="23.85" hidden="false" customHeight="false" outlineLevel="0" collapsed="false">
      <c r="A254" s="26" t="s">
        <v>3050</v>
      </c>
      <c r="B254" s="8" t="s">
        <v>3051</v>
      </c>
      <c r="C254" s="26" t="s">
        <v>3052</v>
      </c>
      <c r="D254" s="26" t="s">
        <v>3009</v>
      </c>
      <c r="E254" s="26" t="s">
        <v>2058</v>
      </c>
      <c r="F254" s="26" t="s">
        <v>2059</v>
      </c>
      <c r="G254" s="26" t="s">
        <v>3053</v>
      </c>
      <c r="H254" s="26" t="s">
        <v>2061</v>
      </c>
    </row>
    <row r="255" customFormat="false" ht="23.85" hidden="false" customHeight="false" outlineLevel="0" collapsed="false">
      <c r="A255" s="26" t="s">
        <v>3054</v>
      </c>
      <c r="B255" s="8" t="s">
        <v>3055</v>
      </c>
      <c r="C255" s="26" t="s">
        <v>3056</v>
      </c>
      <c r="D255" s="26" t="s">
        <v>3044</v>
      </c>
      <c r="E255" s="26" t="s">
        <v>2058</v>
      </c>
      <c r="F255" s="26" t="s">
        <v>2059</v>
      </c>
      <c r="G255" s="26" t="s">
        <v>3057</v>
      </c>
      <c r="H255" s="26" t="s">
        <v>2061</v>
      </c>
    </row>
    <row r="256" customFormat="false" ht="23.85" hidden="false" customHeight="false" outlineLevel="0" collapsed="false">
      <c r="A256" s="26" t="s">
        <v>3058</v>
      </c>
      <c r="B256" s="8" t="s">
        <v>3059</v>
      </c>
      <c r="C256" s="26" t="s">
        <v>3060</v>
      </c>
      <c r="D256" s="26" t="s">
        <v>3009</v>
      </c>
      <c r="E256" s="26" t="s">
        <v>2058</v>
      </c>
      <c r="F256" s="26" t="s">
        <v>2059</v>
      </c>
      <c r="G256" s="26" t="s">
        <v>3061</v>
      </c>
      <c r="H256" s="26" t="s">
        <v>2061</v>
      </c>
    </row>
    <row r="257" customFormat="false" ht="23.85" hidden="false" customHeight="false" outlineLevel="0" collapsed="false">
      <c r="A257" s="26" t="s">
        <v>3062</v>
      </c>
      <c r="B257" s="8" t="s">
        <v>3063</v>
      </c>
      <c r="C257" s="26" t="s">
        <v>3064</v>
      </c>
      <c r="D257" s="26" t="s">
        <v>3065</v>
      </c>
      <c r="E257" s="26" t="s">
        <v>2058</v>
      </c>
      <c r="F257" s="26" t="s">
        <v>2059</v>
      </c>
      <c r="G257" s="26" t="s">
        <v>3066</v>
      </c>
      <c r="H257" s="26" t="s">
        <v>2066</v>
      </c>
    </row>
    <row r="258" customFormat="false" ht="23.85" hidden="false" customHeight="false" outlineLevel="0" collapsed="false">
      <c r="A258" s="26" t="s">
        <v>3067</v>
      </c>
      <c r="B258" s="8" t="s">
        <v>3068</v>
      </c>
      <c r="C258" s="26" t="s">
        <v>2104</v>
      </c>
      <c r="D258" s="26" t="s">
        <v>3069</v>
      </c>
      <c r="E258" s="26" t="s">
        <v>2058</v>
      </c>
      <c r="F258" s="26" t="s">
        <v>2059</v>
      </c>
      <c r="G258" s="26" t="s">
        <v>3066</v>
      </c>
      <c r="H258" s="26" t="s">
        <v>2066</v>
      </c>
    </row>
    <row r="259" customFormat="false" ht="15" hidden="false" customHeight="false" outlineLevel="0" collapsed="false">
      <c r="A259" s="26" t="s">
        <v>3070</v>
      </c>
      <c r="B259" s="8" t="s">
        <v>3071</v>
      </c>
      <c r="C259" s="26" t="s">
        <v>3072</v>
      </c>
      <c r="D259" s="26" t="s">
        <v>3073</v>
      </c>
      <c r="E259" s="26" t="s">
        <v>2058</v>
      </c>
      <c r="F259" s="26" t="s">
        <v>2059</v>
      </c>
      <c r="G259" s="26" t="s">
        <v>3066</v>
      </c>
      <c r="H259" s="26" t="s">
        <v>2061</v>
      </c>
    </row>
    <row r="260" customFormat="false" ht="15" hidden="false" customHeight="false" outlineLevel="0" collapsed="false">
      <c r="A260" s="26" t="s">
        <v>3074</v>
      </c>
      <c r="B260" s="8" t="s">
        <v>3075</v>
      </c>
      <c r="C260" s="26" t="s">
        <v>3076</v>
      </c>
      <c r="D260" s="26" t="s">
        <v>3073</v>
      </c>
      <c r="E260" s="26" t="s">
        <v>2058</v>
      </c>
      <c r="F260" s="26" t="s">
        <v>2059</v>
      </c>
      <c r="G260" s="26" t="s">
        <v>3066</v>
      </c>
      <c r="H260" s="26" t="s">
        <v>2061</v>
      </c>
    </row>
    <row r="261" customFormat="false" ht="23.85" hidden="false" customHeight="false" outlineLevel="0" collapsed="false">
      <c r="A261" s="26" t="s">
        <v>3077</v>
      </c>
      <c r="B261" s="8" t="s">
        <v>3078</v>
      </c>
      <c r="C261" s="26" t="s">
        <v>3079</v>
      </c>
      <c r="D261" s="26" t="s">
        <v>3080</v>
      </c>
      <c r="E261" s="26" t="s">
        <v>2058</v>
      </c>
      <c r="F261" s="26" t="s">
        <v>2059</v>
      </c>
      <c r="G261" s="26" t="s">
        <v>3066</v>
      </c>
      <c r="H261" s="26" t="s">
        <v>2061</v>
      </c>
    </row>
    <row r="262" customFormat="false" ht="23.85" hidden="false" customHeight="false" outlineLevel="0" collapsed="false">
      <c r="A262" s="26" t="s">
        <v>3081</v>
      </c>
      <c r="B262" s="8" t="s">
        <v>3082</v>
      </c>
      <c r="C262" s="26" t="s">
        <v>3083</v>
      </c>
      <c r="D262" s="26" t="s">
        <v>3084</v>
      </c>
      <c r="E262" s="26" t="s">
        <v>2058</v>
      </c>
      <c r="F262" s="26" t="s">
        <v>2059</v>
      </c>
      <c r="G262" s="26" t="s">
        <v>3085</v>
      </c>
      <c r="H262" s="26" t="s">
        <v>2066</v>
      </c>
    </row>
    <row r="263" customFormat="false" ht="15" hidden="false" customHeight="false" outlineLevel="0" collapsed="false">
      <c r="A263" s="26" t="s">
        <v>3086</v>
      </c>
      <c r="B263" s="8" t="s">
        <v>3087</v>
      </c>
      <c r="C263" s="26" t="s">
        <v>3088</v>
      </c>
      <c r="D263" s="26" t="s">
        <v>3089</v>
      </c>
      <c r="E263" s="26" t="s">
        <v>2058</v>
      </c>
      <c r="F263" s="26" t="s">
        <v>2059</v>
      </c>
      <c r="G263" s="26" t="s">
        <v>3090</v>
      </c>
      <c r="H263" s="26" t="s">
        <v>2061</v>
      </c>
    </row>
    <row r="264" customFormat="false" ht="15" hidden="false" customHeight="false" outlineLevel="0" collapsed="false">
      <c r="A264" s="26" t="s">
        <v>3091</v>
      </c>
      <c r="B264" s="8" t="s">
        <v>3092</v>
      </c>
      <c r="C264" s="26" t="s">
        <v>3093</v>
      </c>
      <c r="D264" s="26" t="s">
        <v>2839</v>
      </c>
      <c r="E264" s="26" t="s">
        <v>2058</v>
      </c>
      <c r="F264" s="26" t="s">
        <v>2059</v>
      </c>
      <c r="G264" s="26" t="s">
        <v>3090</v>
      </c>
      <c r="H264" s="26" t="s">
        <v>2066</v>
      </c>
    </row>
    <row r="265" customFormat="false" ht="15" hidden="false" customHeight="false" outlineLevel="0" collapsed="false">
      <c r="A265" s="26" t="s">
        <v>3094</v>
      </c>
      <c r="B265" s="8" t="s">
        <v>3095</v>
      </c>
      <c r="C265" s="26" t="s">
        <v>3096</v>
      </c>
      <c r="D265" s="26" t="s">
        <v>3097</v>
      </c>
      <c r="E265" s="26" t="s">
        <v>2058</v>
      </c>
      <c r="F265" s="26" t="s">
        <v>2059</v>
      </c>
      <c r="G265" s="26" t="s">
        <v>3098</v>
      </c>
      <c r="H265" s="26" t="s">
        <v>2066</v>
      </c>
    </row>
    <row r="266" customFormat="false" ht="15" hidden="false" customHeight="false" outlineLevel="0" collapsed="false">
      <c r="A266" s="26" t="s">
        <v>3099</v>
      </c>
      <c r="B266" s="8" t="s">
        <v>3100</v>
      </c>
      <c r="C266" s="26" t="s">
        <v>3101</v>
      </c>
      <c r="D266" s="26" t="s">
        <v>3102</v>
      </c>
      <c r="E266" s="26" t="s">
        <v>2058</v>
      </c>
      <c r="F266" s="26" t="s">
        <v>2059</v>
      </c>
      <c r="G266" s="26" t="s">
        <v>3098</v>
      </c>
      <c r="H266" s="26" t="s">
        <v>2066</v>
      </c>
    </row>
    <row r="267" customFormat="false" ht="23.85" hidden="false" customHeight="false" outlineLevel="0" collapsed="false">
      <c r="A267" s="26" t="s">
        <v>3103</v>
      </c>
      <c r="B267" s="8" t="s">
        <v>3104</v>
      </c>
      <c r="C267" s="26" t="s">
        <v>3105</v>
      </c>
      <c r="D267" s="26" t="s">
        <v>2847</v>
      </c>
      <c r="E267" s="26" t="s">
        <v>2058</v>
      </c>
      <c r="F267" s="26" t="s">
        <v>2059</v>
      </c>
      <c r="G267" s="26" t="s">
        <v>3106</v>
      </c>
      <c r="H267" s="26" t="s">
        <v>2066</v>
      </c>
    </row>
    <row r="268" customFormat="false" ht="15" hidden="false" customHeight="false" outlineLevel="0" collapsed="false">
      <c r="A268" s="26" t="s">
        <v>3107</v>
      </c>
      <c r="B268" s="8" t="s">
        <v>3108</v>
      </c>
      <c r="C268" s="26" t="s">
        <v>3109</v>
      </c>
      <c r="D268" s="26" t="s">
        <v>3102</v>
      </c>
      <c r="E268" s="26" t="s">
        <v>2058</v>
      </c>
      <c r="F268" s="26" t="s">
        <v>2059</v>
      </c>
      <c r="G268" s="26" t="s">
        <v>3106</v>
      </c>
      <c r="H268" s="26" t="s">
        <v>2066</v>
      </c>
    </row>
    <row r="269" customFormat="false" ht="15" hidden="false" customHeight="false" outlineLevel="0" collapsed="false">
      <c r="A269" s="26" t="s">
        <v>3110</v>
      </c>
      <c r="B269" s="8" t="s">
        <v>3111</v>
      </c>
      <c r="C269" s="26" t="s">
        <v>3112</v>
      </c>
      <c r="D269" s="26" t="s">
        <v>3102</v>
      </c>
      <c r="E269" s="26" t="s">
        <v>2058</v>
      </c>
      <c r="F269" s="26" t="s">
        <v>2059</v>
      </c>
      <c r="G269" s="26" t="s">
        <v>3106</v>
      </c>
      <c r="H269" s="26" t="s">
        <v>2066</v>
      </c>
    </row>
    <row r="270" customFormat="false" ht="15" hidden="false" customHeight="false" outlineLevel="0" collapsed="false">
      <c r="A270" s="26" t="s">
        <v>3113</v>
      </c>
      <c r="B270" s="8" t="s">
        <v>3114</v>
      </c>
      <c r="C270" s="26" t="s">
        <v>3115</v>
      </c>
      <c r="D270" s="26" t="s">
        <v>3102</v>
      </c>
      <c r="E270" s="26" t="s">
        <v>2058</v>
      </c>
      <c r="F270" s="26" t="s">
        <v>2059</v>
      </c>
      <c r="G270" s="26" t="s">
        <v>3106</v>
      </c>
      <c r="H270" s="26" t="s">
        <v>2066</v>
      </c>
    </row>
    <row r="271" customFormat="false" ht="23.85" hidden="false" customHeight="false" outlineLevel="0" collapsed="false">
      <c r="A271" s="26" t="s">
        <v>3116</v>
      </c>
      <c r="B271" s="8" t="s">
        <v>3117</v>
      </c>
      <c r="C271" s="26" t="s">
        <v>3118</v>
      </c>
      <c r="D271" s="26" t="s">
        <v>3119</v>
      </c>
      <c r="E271" s="26" t="s">
        <v>2058</v>
      </c>
      <c r="F271" s="26" t="s">
        <v>2071</v>
      </c>
      <c r="G271" s="26" t="s">
        <v>3106</v>
      </c>
      <c r="H271" s="26" t="s">
        <v>2096</v>
      </c>
    </row>
    <row r="272" customFormat="false" ht="23.85" hidden="false" customHeight="false" outlineLevel="0" collapsed="false">
      <c r="A272" s="26" t="s">
        <v>3120</v>
      </c>
      <c r="B272" s="8" t="s">
        <v>3121</v>
      </c>
      <c r="C272" s="26" t="s">
        <v>3122</v>
      </c>
      <c r="D272" s="26" t="s">
        <v>2847</v>
      </c>
      <c r="E272" s="26" t="s">
        <v>2058</v>
      </c>
      <c r="F272" s="26" t="s">
        <v>2059</v>
      </c>
      <c r="G272" s="26" t="s">
        <v>3123</v>
      </c>
      <c r="H272" s="26" t="s">
        <v>2096</v>
      </c>
    </row>
    <row r="273" customFormat="false" ht="15" hidden="false" customHeight="false" outlineLevel="0" collapsed="false">
      <c r="A273" s="26" t="s">
        <v>3124</v>
      </c>
      <c r="B273" s="8" t="s">
        <v>3125</v>
      </c>
      <c r="C273" s="26" t="s">
        <v>3126</v>
      </c>
      <c r="D273" s="26" t="s">
        <v>3102</v>
      </c>
      <c r="E273" s="26" t="s">
        <v>2058</v>
      </c>
      <c r="F273" s="26" t="s">
        <v>2059</v>
      </c>
      <c r="G273" s="26" t="s">
        <v>3123</v>
      </c>
      <c r="H273" s="26" t="s">
        <v>2066</v>
      </c>
    </row>
    <row r="274" customFormat="false" ht="15" hidden="false" customHeight="false" outlineLevel="0" collapsed="false">
      <c r="A274" s="26" t="s">
        <v>3127</v>
      </c>
      <c r="B274" s="8" t="s">
        <v>3128</v>
      </c>
      <c r="C274" s="26" t="s">
        <v>3129</v>
      </c>
      <c r="D274" s="26" t="s">
        <v>3102</v>
      </c>
      <c r="E274" s="26" t="s">
        <v>2058</v>
      </c>
      <c r="F274" s="26" t="s">
        <v>2059</v>
      </c>
      <c r="G274" s="26" t="s">
        <v>3123</v>
      </c>
      <c r="H274" s="26" t="s">
        <v>2066</v>
      </c>
    </row>
    <row r="275" customFormat="false" ht="15" hidden="false" customHeight="false" outlineLevel="0" collapsed="false">
      <c r="A275" s="26" t="s">
        <v>3130</v>
      </c>
      <c r="B275" s="8" t="s">
        <v>3131</v>
      </c>
      <c r="C275" s="26" t="s">
        <v>3132</v>
      </c>
      <c r="D275" s="26" t="s">
        <v>3102</v>
      </c>
      <c r="E275" s="26" t="s">
        <v>2058</v>
      </c>
      <c r="F275" s="26" t="s">
        <v>2059</v>
      </c>
      <c r="G275" s="26" t="s">
        <v>3123</v>
      </c>
      <c r="H275" s="26" t="s">
        <v>2066</v>
      </c>
    </row>
    <row r="276" customFormat="false" ht="15" hidden="false" customHeight="false" outlineLevel="0" collapsed="false">
      <c r="A276" s="26" t="s">
        <v>3133</v>
      </c>
      <c r="B276" s="8" t="s">
        <v>3134</v>
      </c>
      <c r="C276" s="26" t="s">
        <v>3135</v>
      </c>
      <c r="D276" s="26" t="s">
        <v>3136</v>
      </c>
      <c r="E276" s="26" t="s">
        <v>2058</v>
      </c>
      <c r="F276" s="26" t="s">
        <v>2059</v>
      </c>
      <c r="G276" s="26" t="s">
        <v>3137</v>
      </c>
      <c r="H276" s="26" t="s">
        <v>2066</v>
      </c>
    </row>
    <row r="277" customFormat="false" ht="23.85" hidden="false" customHeight="false" outlineLevel="0" collapsed="false">
      <c r="A277" s="26" t="s">
        <v>3138</v>
      </c>
      <c r="B277" s="8" t="s">
        <v>3139</v>
      </c>
      <c r="C277" s="26" t="s">
        <v>3140</v>
      </c>
      <c r="D277" s="26" t="s">
        <v>3141</v>
      </c>
      <c r="E277" s="26" t="s">
        <v>2058</v>
      </c>
      <c r="F277" s="26" t="s">
        <v>2071</v>
      </c>
      <c r="G277" s="26" t="s">
        <v>3137</v>
      </c>
      <c r="H277" s="26" t="s">
        <v>2066</v>
      </c>
    </row>
    <row r="278" customFormat="false" ht="15" hidden="false" customHeight="false" outlineLevel="0" collapsed="false">
      <c r="A278" s="26" t="s">
        <v>3142</v>
      </c>
      <c r="B278" s="8" t="s">
        <v>3143</v>
      </c>
      <c r="C278" s="26" t="s">
        <v>3144</v>
      </c>
      <c r="D278" s="26" t="s">
        <v>3145</v>
      </c>
      <c r="E278" s="26" t="s">
        <v>2058</v>
      </c>
      <c r="F278" s="26" t="s">
        <v>2059</v>
      </c>
      <c r="G278" s="26" t="s">
        <v>3146</v>
      </c>
      <c r="H278" s="26" t="s">
        <v>2066</v>
      </c>
    </row>
    <row r="279" customFormat="false" ht="15" hidden="false" customHeight="false" outlineLevel="0" collapsed="false">
      <c r="A279" s="26" t="s">
        <v>3147</v>
      </c>
      <c r="B279" s="8" t="s">
        <v>3148</v>
      </c>
      <c r="C279" s="26" t="s">
        <v>3149</v>
      </c>
      <c r="D279" s="26" t="s">
        <v>3150</v>
      </c>
      <c r="E279" s="26" t="s">
        <v>2058</v>
      </c>
      <c r="F279" s="26" t="s">
        <v>2059</v>
      </c>
      <c r="G279" s="26" t="s">
        <v>3146</v>
      </c>
      <c r="H279" s="26" t="s">
        <v>2066</v>
      </c>
    </row>
    <row r="280" customFormat="false" ht="23.85" hidden="false" customHeight="false" outlineLevel="0" collapsed="false">
      <c r="A280" s="26" t="s">
        <v>3151</v>
      </c>
      <c r="B280" s="8" t="s">
        <v>3152</v>
      </c>
      <c r="C280" s="26" t="s">
        <v>3153</v>
      </c>
      <c r="D280" s="26" t="s">
        <v>3154</v>
      </c>
      <c r="E280" s="26" t="s">
        <v>2058</v>
      </c>
      <c r="F280" s="26" t="s">
        <v>2059</v>
      </c>
      <c r="G280" s="26" t="s">
        <v>3155</v>
      </c>
      <c r="H280" s="26" t="s">
        <v>2066</v>
      </c>
    </row>
    <row r="281" customFormat="false" ht="15" hidden="false" customHeight="false" outlineLevel="0" collapsed="false">
      <c r="A281" s="26" t="s">
        <v>3156</v>
      </c>
      <c r="B281" s="8" t="s">
        <v>3157</v>
      </c>
      <c r="C281" s="26" t="s">
        <v>3158</v>
      </c>
      <c r="D281" s="26" t="s">
        <v>3150</v>
      </c>
      <c r="E281" s="26" t="s">
        <v>2058</v>
      </c>
      <c r="F281" s="26" t="s">
        <v>2059</v>
      </c>
      <c r="G281" s="26" t="s">
        <v>3155</v>
      </c>
      <c r="H281" s="26" t="s">
        <v>2066</v>
      </c>
    </row>
    <row r="282" customFormat="false" ht="23.85" hidden="false" customHeight="false" outlineLevel="0" collapsed="false">
      <c r="A282" s="26" t="s">
        <v>3159</v>
      </c>
      <c r="B282" s="8" t="s">
        <v>3160</v>
      </c>
      <c r="C282" s="26" t="s">
        <v>3161</v>
      </c>
      <c r="D282" s="26" t="s">
        <v>3018</v>
      </c>
      <c r="E282" s="26" t="s">
        <v>2058</v>
      </c>
      <c r="F282" s="26" t="s">
        <v>2059</v>
      </c>
      <c r="G282" s="26" t="s">
        <v>3162</v>
      </c>
      <c r="H282" s="26" t="s">
        <v>2061</v>
      </c>
    </row>
    <row r="283" customFormat="false" ht="23.85" hidden="false" customHeight="false" outlineLevel="0" collapsed="false">
      <c r="A283" s="26" t="s">
        <v>3163</v>
      </c>
      <c r="B283" s="8" t="s">
        <v>3164</v>
      </c>
      <c r="C283" s="26" t="s">
        <v>3165</v>
      </c>
      <c r="D283" s="26" t="s">
        <v>3166</v>
      </c>
      <c r="E283" s="26" t="s">
        <v>2058</v>
      </c>
      <c r="F283" s="26" t="s">
        <v>2071</v>
      </c>
      <c r="G283" s="26" t="s">
        <v>3162</v>
      </c>
      <c r="H283" s="26" t="s">
        <v>2066</v>
      </c>
    </row>
    <row r="284" customFormat="false" ht="15" hidden="false" customHeight="false" outlineLevel="0" collapsed="false">
      <c r="A284" s="26" t="s">
        <v>3167</v>
      </c>
      <c r="B284" s="8" t="s">
        <v>3168</v>
      </c>
      <c r="C284" s="26" t="s">
        <v>3169</v>
      </c>
      <c r="D284" s="26" t="s">
        <v>3170</v>
      </c>
      <c r="E284" s="26" t="s">
        <v>2058</v>
      </c>
      <c r="F284" s="26" t="s">
        <v>2059</v>
      </c>
      <c r="G284" s="26" t="s">
        <v>3171</v>
      </c>
      <c r="H284" s="26" t="s">
        <v>2066</v>
      </c>
    </row>
    <row r="285" customFormat="false" ht="15" hidden="false" customHeight="false" outlineLevel="0" collapsed="false">
      <c r="A285" s="26" t="s">
        <v>3172</v>
      </c>
      <c r="B285" s="8" t="s">
        <v>3173</v>
      </c>
      <c r="C285" s="26" t="s">
        <v>3174</v>
      </c>
      <c r="D285" s="26" t="s">
        <v>3170</v>
      </c>
      <c r="E285" s="26" t="s">
        <v>2058</v>
      </c>
      <c r="F285" s="26" t="s">
        <v>2059</v>
      </c>
      <c r="G285" s="26" t="s">
        <v>3171</v>
      </c>
      <c r="H285" s="26" t="s">
        <v>2066</v>
      </c>
    </row>
    <row r="286" customFormat="false" ht="23.85" hidden="false" customHeight="false" outlineLevel="0" collapsed="false">
      <c r="A286" s="26" t="s">
        <v>3175</v>
      </c>
      <c r="B286" s="8" t="s">
        <v>3176</v>
      </c>
      <c r="C286" s="26" t="s">
        <v>3177</v>
      </c>
      <c r="D286" s="26" t="s">
        <v>2835</v>
      </c>
      <c r="E286" s="26" t="s">
        <v>2058</v>
      </c>
      <c r="F286" s="26" t="s">
        <v>2071</v>
      </c>
      <c r="G286" s="26" t="s">
        <v>3171</v>
      </c>
      <c r="H286" s="26" t="s">
        <v>2066</v>
      </c>
    </row>
    <row r="287" customFormat="false" ht="15" hidden="false" customHeight="false" outlineLevel="0" collapsed="false">
      <c r="A287" s="26" t="s">
        <v>3178</v>
      </c>
      <c r="B287" s="8" t="s">
        <v>3179</v>
      </c>
      <c r="C287" s="26" t="s">
        <v>3180</v>
      </c>
      <c r="D287" s="26" t="s">
        <v>3181</v>
      </c>
      <c r="E287" s="26" t="s">
        <v>2058</v>
      </c>
      <c r="F287" s="26" t="s">
        <v>2059</v>
      </c>
      <c r="G287" s="26" t="s">
        <v>3182</v>
      </c>
      <c r="H287" s="26" t="s">
        <v>2066</v>
      </c>
    </row>
    <row r="288" customFormat="false" ht="23.85" hidden="false" customHeight="false" outlineLevel="0" collapsed="false">
      <c r="A288" s="26" t="s">
        <v>3183</v>
      </c>
      <c r="B288" s="8" t="s">
        <v>3184</v>
      </c>
      <c r="C288" s="26" t="s">
        <v>3185</v>
      </c>
      <c r="D288" s="26" t="s">
        <v>3186</v>
      </c>
      <c r="E288" s="26" t="s">
        <v>2058</v>
      </c>
      <c r="F288" s="26" t="s">
        <v>2071</v>
      </c>
      <c r="G288" s="26" t="s">
        <v>3182</v>
      </c>
      <c r="H288" s="26" t="s">
        <v>2096</v>
      </c>
    </row>
    <row r="289" customFormat="false" ht="23.85" hidden="false" customHeight="false" outlineLevel="0" collapsed="false">
      <c r="A289" s="26" t="s">
        <v>3187</v>
      </c>
      <c r="B289" s="8" t="s">
        <v>3188</v>
      </c>
      <c r="C289" s="26" t="s">
        <v>3189</v>
      </c>
      <c r="D289" s="26" t="s">
        <v>3190</v>
      </c>
      <c r="E289" s="26" t="s">
        <v>2058</v>
      </c>
      <c r="F289" s="26" t="s">
        <v>2059</v>
      </c>
      <c r="G289" s="26" t="s">
        <v>3191</v>
      </c>
      <c r="H289" s="26" t="s">
        <v>2061</v>
      </c>
    </row>
    <row r="290" customFormat="false" ht="23.85" hidden="false" customHeight="false" outlineLevel="0" collapsed="false">
      <c r="A290" s="26" t="s">
        <v>3192</v>
      </c>
      <c r="B290" s="8" t="s">
        <v>3193</v>
      </c>
      <c r="C290" s="26" t="s">
        <v>3194</v>
      </c>
      <c r="D290" s="26" t="s">
        <v>3190</v>
      </c>
      <c r="E290" s="26" t="s">
        <v>2058</v>
      </c>
      <c r="F290" s="26" t="s">
        <v>2059</v>
      </c>
      <c r="G290" s="26" t="s">
        <v>3195</v>
      </c>
      <c r="H290" s="26" t="s">
        <v>2061</v>
      </c>
    </row>
    <row r="291" customFormat="false" ht="23.85" hidden="false" customHeight="false" outlineLevel="0" collapsed="false">
      <c r="A291" s="26" t="s">
        <v>3196</v>
      </c>
      <c r="B291" s="8" t="s">
        <v>3197</v>
      </c>
      <c r="C291" s="26" t="s">
        <v>3198</v>
      </c>
      <c r="D291" s="26" t="s">
        <v>3014</v>
      </c>
      <c r="E291" s="26" t="s">
        <v>2058</v>
      </c>
      <c r="F291" s="26" t="s">
        <v>2059</v>
      </c>
      <c r="G291" s="26" t="s">
        <v>3182</v>
      </c>
      <c r="H291" s="26" t="s">
        <v>2061</v>
      </c>
    </row>
    <row r="292" customFormat="false" ht="23.85" hidden="false" customHeight="false" outlineLevel="0" collapsed="false">
      <c r="A292" s="26" t="s">
        <v>3199</v>
      </c>
      <c r="B292" s="8" t="s">
        <v>3200</v>
      </c>
      <c r="C292" s="26" t="s">
        <v>3201</v>
      </c>
      <c r="D292" s="26" t="s">
        <v>3202</v>
      </c>
      <c r="E292" s="26" t="s">
        <v>2058</v>
      </c>
      <c r="F292" s="26" t="s">
        <v>2059</v>
      </c>
      <c r="G292" s="26" t="s">
        <v>3191</v>
      </c>
      <c r="H292" s="26" t="s">
        <v>2096</v>
      </c>
    </row>
    <row r="293" customFormat="false" ht="23.85" hidden="false" customHeight="false" outlineLevel="0" collapsed="false">
      <c r="A293" s="26" t="s">
        <v>3203</v>
      </c>
      <c r="B293" s="8" t="s">
        <v>3204</v>
      </c>
      <c r="C293" s="26" t="s">
        <v>3205</v>
      </c>
      <c r="D293" s="26" t="s">
        <v>3206</v>
      </c>
      <c r="E293" s="26" t="s">
        <v>2058</v>
      </c>
      <c r="F293" s="26" t="s">
        <v>2071</v>
      </c>
      <c r="G293" s="26" t="s">
        <v>3066</v>
      </c>
      <c r="H293" s="26" t="s">
        <v>2096</v>
      </c>
    </row>
    <row r="294" customFormat="false" ht="23.85" hidden="false" customHeight="false" outlineLevel="0" collapsed="false">
      <c r="A294" s="26" t="s">
        <v>3207</v>
      </c>
      <c r="B294" s="8" t="s">
        <v>3208</v>
      </c>
      <c r="C294" s="26" t="s">
        <v>3209</v>
      </c>
      <c r="D294" s="26" t="s">
        <v>3210</v>
      </c>
      <c r="E294" s="26" t="s">
        <v>2058</v>
      </c>
      <c r="F294" s="26" t="s">
        <v>2071</v>
      </c>
      <c r="G294" s="26" t="s">
        <v>3171</v>
      </c>
      <c r="H294" s="26" t="s">
        <v>2066</v>
      </c>
    </row>
    <row r="295" customFormat="false" ht="23.85" hidden="false" customHeight="false" outlineLevel="0" collapsed="false">
      <c r="A295" s="26" t="s">
        <v>3211</v>
      </c>
      <c r="B295" s="8" t="s">
        <v>3212</v>
      </c>
      <c r="C295" s="26" t="s">
        <v>3213</v>
      </c>
      <c r="D295" s="26" t="s">
        <v>3214</v>
      </c>
      <c r="E295" s="26" t="s">
        <v>2058</v>
      </c>
      <c r="F295" s="26" t="s">
        <v>2059</v>
      </c>
      <c r="G295" s="26" t="s">
        <v>3215</v>
      </c>
      <c r="H295" s="26" t="s">
        <v>2061</v>
      </c>
    </row>
    <row r="296" customFormat="false" ht="35.05" hidden="false" customHeight="false" outlineLevel="0" collapsed="false">
      <c r="A296" s="26" t="s">
        <v>626</v>
      </c>
      <c r="B296" s="8" t="s">
        <v>3216</v>
      </c>
      <c r="C296" s="26" t="s">
        <v>3217</v>
      </c>
      <c r="D296" s="26" t="s">
        <v>3218</v>
      </c>
      <c r="E296" s="26" t="s">
        <v>2058</v>
      </c>
      <c r="F296" s="26" t="s">
        <v>2059</v>
      </c>
      <c r="G296" s="26" t="s">
        <v>3219</v>
      </c>
      <c r="H296" s="26" t="s">
        <v>2061</v>
      </c>
    </row>
    <row r="297" customFormat="false" ht="35.05" hidden="false" customHeight="false" outlineLevel="0" collapsed="false">
      <c r="A297" s="26" t="s">
        <v>575</v>
      </c>
      <c r="B297" s="8" t="s">
        <v>3220</v>
      </c>
      <c r="C297" s="26" t="s">
        <v>3221</v>
      </c>
      <c r="D297" s="26" t="s">
        <v>3218</v>
      </c>
      <c r="E297" s="26" t="s">
        <v>2058</v>
      </c>
      <c r="F297" s="26" t="s">
        <v>2059</v>
      </c>
      <c r="G297" s="26" t="s">
        <v>3222</v>
      </c>
      <c r="H297" s="26" t="s">
        <v>2061</v>
      </c>
    </row>
    <row r="298" customFormat="false" ht="23.85" hidden="false" customHeight="false" outlineLevel="0" collapsed="false">
      <c r="A298" s="26" t="s">
        <v>3223</v>
      </c>
      <c r="B298" s="8" t="s">
        <v>3224</v>
      </c>
      <c r="C298" s="26" t="s">
        <v>3225</v>
      </c>
      <c r="D298" s="26" t="s">
        <v>3226</v>
      </c>
      <c r="E298" s="26" t="s">
        <v>2058</v>
      </c>
      <c r="F298" s="26" t="s">
        <v>2059</v>
      </c>
      <c r="G298" s="26" t="s">
        <v>3227</v>
      </c>
      <c r="H298" s="26" t="s">
        <v>2061</v>
      </c>
    </row>
    <row r="299" customFormat="false" ht="23.85" hidden="false" customHeight="false" outlineLevel="0" collapsed="false">
      <c r="A299" s="26" t="s">
        <v>3228</v>
      </c>
      <c r="B299" s="8" t="s">
        <v>3229</v>
      </c>
      <c r="C299" s="26" t="s">
        <v>3230</v>
      </c>
      <c r="D299" s="26" t="s">
        <v>3214</v>
      </c>
      <c r="E299" s="26" t="s">
        <v>2058</v>
      </c>
      <c r="F299" s="26" t="s">
        <v>2059</v>
      </c>
      <c r="G299" s="26" t="s">
        <v>3231</v>
      </c>
      <c r="H299" s="26" t="s">
        <v>2061</v>
      </c>
    </row>
    <row r="300" customFormat="false" ht="15" hidden="false" customHeight="false" outlineLevel="0" collapsed="false">
      <c r="A300" s="26" t="s">
        <v>3232</v>
      </c>
      <c r="B300" s="8" t="s">
        <v>3233</v>
      </c>
      <c r="C300" s="26" t="s">
        <v>3234</v>
      </c>
      <c r="D300" s="26" t="s">
        <v>3235</v>
      </c>
      <c r="E300" s="26" t="s">
        <v>2058</v>
      </c>
      <c r="F300" s="26" t="s">
        <v>2059</v>
      </c>
      <c r="G300" s="26" t="s">
        <v>3236</v>
      </c>
      <c r="H300" s="26" t="s">
        <v>2061</v>
      </c>
    </row>
    <row r="301" customFormat="false" ht="23.85" hidden="false" customHeight="false" outlineLevel="0" collapsed="false">
      <c r="A301" s="26" t="s">
        <v>3237</v>
      </c>
      <c r="B301" s="8" t="s">
        <v>3238</v>
      </c>
      <c r="C301" s="26" t="s">
        <v>3239</v>
      </c>
      <c r="D301" s="26" t="s">
        <v>3240</v>
      </c>
      <c r="E301" s="26" t="s">
        <v>2058</v>
      </c>
      <c r="F301" s="26" t="s">
        <v>2059</v>
      </c>
      <c r="G301" s="26" t="s">
        <v>3236</v>
      </c>
      <c r="H301" s="26" t="s">
        <v>2061</v>
      </c>
    </row>
    <row r="302" customFormat="false" ht="35.05" hidden="false" customHeight="false" outlineLevel="0" collapsed="false">
      <c r="A302" s="26" t="s">
        <v>3241</v>
      </c>
      <c r="B302" s="8" t="s">
        <v>3242</v>
      </c>
      <c r="C302" s="26" t="s">
        <v>3243</v>
      </c>
      <c r="D302" s="26" t="s">
        <v>3244</v>
      </c>
      <c r="E302" s="26" t="s">
        <v>2058</v>
      </c>
      <c r="F302" s="26" t="s">
        <v>2059</v>
      </c>
      <c r="G302" s="26" t="s">
        <v>3245</v>
      </c>
      <c r="H302" s="26" t="s">
        <v>2061</v>
      </c>
    </row>
    <row r="303" customFormat="false" ht="15" hidden="false" customHeight="false" outlineLevel="0" collapsed="false">
      <c r="A303" s="26" t="s">
        <v>3246</v>
      </c>
      <c r="B303" s="8" t="s">
        <v>3247</v>
      </c>
      <c r="C303" s="26" t="s">
        <v>3248</v>
      </c>
      <c r="D303" s="26" t="s">
        <v>3249</v>
      </c>
      <c r="E303" s="26" t="s">
        <v>2058</v>
      </c>
      <c r="F303" s="26" t="s">
        <v>2059</v>
      </c>
      <c r="G303" s="26" t="s">
        <v>3250</v>
      </c>
      <c r="H303" s="26" t="s">
        <v>2066</v>
      </c>
    </row>
    <row r="304" customFormat="false" ht="15" hidden="false" customHeight="false" outlineLevel="0" collapsed="false">
      <c r="A304" s="26" t="s">
        <v>3251</v>
      </c>
      <c r="B304" s="8" t="s">
        <v>3252</v>
      </c>
      <c r="C304" s="26" t="s">
        <v>3253</v>
      </c>
      <c r="D304" s="26" t="s">
        <v>3249</v>
      </c>
      <c r="E304" s="26" t="s">
        <v>2058</v>
      </c>
      <c r="F304" s="26" t="s">
        <v>2059</v>
      </c>
      <c r="G304" s="26" t="s">
        <v>3250</v>
      </c>
      <c r="H304" s="26" t="s">
        <v>2066</v>
      </c>
    </row>
    <row r="305" customFormat="false" ht="23.85" hidden="false" customHeight="false" outlineLevel="0" collapsed="false">
      <c r="A305" s="26" t="s">
        <v>3254</v>
      </c>
      <c r="B305" s="8" t="s">
        <v>3255</v>
      </c>
      <c r="C305" s="26" t="s">
        <v>3256</v>
      </c>
      <c r="D305" s="26" t="s">
        <v>3257</v>
      </c>
      <c r="E305" s="26" t="s">
        <v>2058</v>
      </c>
      <c r="F305" s="26" t="s">
        <v>2071</v>
      </c>
      <c r="G305" s="26" t="s">
        <v>3258</v>
      </c>
      <c r="H305" s="26" t="s">
        <v>2096</v>
      </c>
    </row>
    <row r="306" customFormat="false" ht="15" hidden="false" customHeight="false" outlineLevel="0" collapsed="false">
      <c r="A306" s="26" t="s">
        <v>3259</v>
      </c>
      <c r="B306" s="8" t="s">
        <v>3260</v>
      </c>
      <c r="C306" s="26" t="s">
        <v>3261</v>
      </c>
      <c r="D306" s="26" t="s">
        <v>3262</v>
      </c>
      <c r="E306" s="26" t="s">
        <v>2058</v>
      </c>
      <c r="F306" s="26" t="s">
        <v>2059</v>
      </c>
      <c r="G306" s="26" t="s">
        <v>3258</v>
      </c>
      <c r="H306" s="26" t="s">
        <v>2061</v>
      </c>
    </row>
    <row r="307" customFormat="false" ht="15" hidden="false" customHeight="false" outlineLevel="0" collapsed="false">
      <c r="A307" s="26" t="s">
        <v>3263</v>
      </c>
      <c r="B307" s="8" t="s">
        <v>3264</v>
      </c>
      <c r="C307" s="26" t="s">
        <v>3265</v>
      </c>
      <c r="D307" s="26" t="s">
        <v>3262</v>
      </c>
      <c r="E307" s="26" t="s">
        <v>2058</v>
      </c>
      <c r="F307" s="26" t="s">
        <v>2059</v>
      </c>
      <c r="G307" s="26" t="s">
        <v>3258</v>
      </c>
      <c r="H307" s="26" t="s">
        <v>2061</v>
      </c>
    </row>
    <row r="308" customFormat="false" ht="15" hidden="false" customHeight="false" outlineLevel="0" collapsed="false">
      <c r="A308" s="26" t="s">
        <v>3266</v>
      </c>
      <c r="B308" s="8" t="s">
        <v>3267</v>
      </c>
      <c r="C308" s="26" t="s">
        <v>3268</v>
      </c>
      <c r="D308" s="26" t="s">
        <v>3262</v>
      </c>
      <c r="E308" s="26" t="s">
        <v>2058</v>
      </c>
      <c r="F308" s="26" t="s">
        <v>2059</v>
      </c>
      <c r="G308" s="26" t="s">
        <v>3258</v>
      </c>
      <c r="H308" s="26" t="s">
        <v>2061</v>
      </c>
    </row>
    <row r="309" customFormat="false" ht="23.85" hidden="false" customHeight="false" outlineLevel="0" collapsed="false">
      <c r="A309" s="26" t="s">
        <v>3269</v>
      </c>
      <c r="B309" s="8" t="s">
        <v>3270</v>
      </c>
      <c r="C309" s="26" t="s">
        <v>3271</v>
      </c>
      <c r="D309" s="26" t="s">
        <v>3272</v>
      </c>
      <c r="E309" s="26" t="s">
        <v>2058</v>
      </c>
      <c r="F309" s="26" t="s">
        <v>2059</v>
      </c>
      <c r="G309" s="26" t="s">
        <v>3227</v>
      </c>
      <c r="H309" s="26" t="s">
        <v>2061</v>
      </c>
    </row>
    <row r="310" customFormat="false" ht="23.85" hidden="false" customHeight="false" outlineLevel="0" collapsed="false">
      <c r="A310" s="26" t="s">
        <v>583</v>
      </c>
      <c r="B310" s="8" t="s">
        <v>3273</v>
      </c>
      <c r="C310" s="26" t="s">
        <v>3274</v>
      </c>
      <c r="D310" s="26" t="s">
        <v>3275</v>
      </c>
      <c r="E310" s="26" t="s">
        <v>2058</v>
      </c>
      <c r="F310" s="26" t="s">
        <v>2059</v>
      </c>
      <c r="G310" s="26" t="s">
        <v>3276</v>
      </c>
      <c r="H310" s="26" t="s">
        <v>2061</v>
      </c>
    </row>
    <row r="311" customFormat="false" ht="23.85" hidden="false" customHeight="false" outlineLevel="0" collapsed="false">
      <c r="A311" s="26" t="s">
        <v>3277</v>
      </c>
      <c r="B311" s="8" t="s">
        <v>3278</v>
      </c>
      <c r="C311" s="26" t="s">
        <v>3279</v>
      </c>
      <c r="D311" s="26" t="s">
        <v>3280</v>
      </c>
      <c r="E311" s="26" t="s">
        <v>2058</v>
      </c>
      <c r="F311" s="26" t="s">
        <v>2059</v>
      </c>
      <c r="G311" s="26" t="s">
        <v>3281</v>
      </c>
      <c r="H311" s="26" t="s">
        <v>2061</v>
      </c>
    </row>
    <row r="312" customFormat="false" ht="23.85" hidden="false" customHeight="false" outlineLevel="0" collapsed="false">
      <c r="A312" s="26" t="s">
        <v>3282</v>
      </c>
      <c r="B312" s="8" t="s">
        <v>3283</v>
      </c>
      <c r="C312" s="26" t="s">
        <v>2900</v>
      </c>
      <c r="D312" s="26" t="s">
        <v>3284</v>
      </c>
      <c r="E312" s="26" t="s">
        <v>2058</v>
      </c>
      <c r="F312" s="26" t="s">
        <v>2059</v>
      </c>
      <c r="G312" s="26" t="s">
        <v>3285</v>
      </c>
      <c r="H312" s="26" t="s">
        <v>2066</v>
      </c>
    </row>
    <row r="313" customFormat="false" ht="35.05" hidden="false" customHeight="false" outlineLevel="0" collapsed="false">
      <c r="A313" s="26" t="s">
        <v>3286</v>
      </c>
      <c r="B313" s="8" t="s">
        <v>3287</v>
      </c>
      <c r="C313" s="26" t="s">
        <v>2904</v>
      </c>
      <c r="D313" s="26" t="s">
        <v>2455</v>
      </c>
      <c r="E313" s="26" t="s">
        <v>2058</v>
      </c>
      <c r="F313" s="26" t="s">
        <v>2071</v>
      </c>
      <c r="G313" s="26" t="s">
        <v>3285</v>
      </c>
      <c r="H313" s="26" t="s">
        <v>2061</v>
      </c>
    </row>
    <row r="314" customFormat="false" ht="15" hidden="false" customHeight="false" outlineLevel="0" collapsed="false">
      <c r="A314" s="26" t="s">
        <v>3288</v>
      </c>
      <c r="B314" s="8" t="s">
        <v>3289</v>
      </c>
      <c r="C314" s="26" t="s">
        <v>3290</v>
      </c>
      <c r="D314" s="26" t="s">
        <v>3291</v>
      </c>
      <c r="E314" s="26" t="s">
        <v>2058</v>
      </c>
      <c r="F314" s="26" t="s">
        <v>2059</v>
      </c>
      <c r="G314" s="26" t="s">
        <v>3292</v>
      </c>
      <c r="H314" s="26" t="s">
        <v>2066</v>
      </c>
    </row>
    <row r="315" customFormat="false" ht="23.85" hidden="false" customHeight="false" outlineLevel="0" collapsed="false">
      <c r="A315" s="26" t="s">
        <v>3293</v>
      </c>
      <c r="B315" s="8" t="s">
        <v>3294</v>
      </c>
      <c r="C315" s="26" t="s">
        <v>3295</v>
      </c>
      <c r="D315" s="26" t="s">
        <v>3296</v>
      </c>
      <c r="E315" s="26" t="s">
        <v>2058</v>
      </c>
      <c r="F315" s="26" t="s">
        <v>2059</v>
      </c>
      <c r="G315" s="26" t="s">
        <v>3297</v>
      </c>
      <c r="H315" s="26" t="s">
        <v>2066</v>
      </c>
    </row>
    <row r="316" customFormat="false" ht="23.85" hidden="false" customHeight="false" outlineLevel="0" collapsed="false">
      <c r="A316" s="26" t="s">
        <v>3298</v>
      </c>
      <c r="B316" s="8" t="s">
        <v>3299</v>
      </c>
      <c r="C316" s="26" t="s">
        <v>3300</v>
      </c>
      <c r="D316" s="26" t="s">
        <v>3301</v>
      </c>
      <c r="E316" s="26" t="s">
        <v>2058</v>
      </c>
      <c r="F316" s="26" t="s">
        <v>2059</v>
      </c>
      <c r="G316" s="26" t="s">
        <v>3302</v>
      </c>
      <c r="H316" s="26" t="s">
        <v>2066</v>
      </c>
    </row>
    <row r="317" customFormat="false" ht="23.85" hidden="false" customHeight="false" outlineLevel="0" collapsed="false">
      <c r="A317" s="26" t="s">
        <v>3303</v>
      </c>
      <c r="B317" s="8" t="s">
        <v>3304</v>
      </c>
      <c r="C317" s="26" t="s">
        <v>3305</v>
      </c>
      <c r="D317" s="26" t="s">
        <v>3306</v>
      </c>
      <c r="E317" s="26" t="s">
        <v>2058</v>
      </c>
      <c r="F317" s="26" t="s">
        <v>2071</v>
      </c>
      <c r="G317" s="26" t="s">
        <v>3302</v>
      </c>
      <c r="H317" s="26" t="s">
        <v>2066</v>
      </c>
    </row>
    <row r="318" customFormat="false" ht="23.85" hidden="false" customHeight="false" outlineLevel="0" collapsed="false">
      <c r="A318" s="26" t="s">
        <v>3307</v>
      </c>
      <c r="B318" s="8" t="s">
        <v>3308</v>
      </c>
      <c r="C318" s="26" t="s">
        <v>3309</v>
      </c>
      <c r="D318" s="26" t="s">
        <v>3310</v>
      </c>
      <c r="E318" s="26" t="s">
        <v>2058</v>
      </c>
      <c r="F318" s="26" t="s">
        <v>2059</v>
      </c>
      <c r="G318" s="26" t="s">
        <v>3311</v>
      </c>
      <c r="H318" s="26" t="s">
        <v>2066</v>
      </c>
    </row>
    <row r="319" customFormat="false" ht="35.05" hidden="false" customHeight="false" outlineLevel="0" collapsed="false">
      <c r="A319" s="26" t="s">
        <v>3312</v>
      </c>
      <c r="B319" s="8" t="s">
        <v>3313</v>
      </c>
      <c r="C319" s="26" t="s">
        <v>3314</v>
      </c>
      <c r="D319" s="26" t="s">
        <v>3315</v>
      </c>
      <c r="E319" s="26" t="s">
        <v>2058</v>
      </c>
      <c r="F319" s="26" t="s">
        <v>2059</v>
      </c>
      <c r="G319" s="26" t="s">
        <v>3316</v>
      </c>
      <c r="H319" s="26" t="s">
        <v>2061</v>
      </c>
    </row>
    <row r="320" customFormat="false" ht="35.05" hidden="false" customHeight="false" outlineLevel="0" collapsed="false">
      <c r="A320" s="26" t="s">
        <v>630</v>
      </c>
      <c r="B320" s="8" t="s">
        <v>3317</v>
      </c>
      <c r="C320" s="26" t="s">
        <v>3318</v>
      </c>
      <c r="D320" s="26" t="s">
        <v>3319</v>
      </c>
      <c r="E320" s="26" t="s">
        <v>2058</v>
      </c>
      <c r="F320" s="26" t="s">
        <v>2059</v>
      </c>
      <c r="G320" s="26" t="s">
        <v>3320</v>
      </c>
      <c r="H320" s="26" t="s">
        <v>2061</v>
      </c>
    </row>
    <row r="321" customFormat="false" ht="35.05" hidden="false" customHeight="false" outlineLevel="0" collapsed="false">
      <c r="A321" s="26" t="s">
        <v>3321</v>
      </c>
      <c r="B321" s="8" t="s">
        <v>3322</v>
      </c>
      <c r="C321" s="26" t="s">
        <v>3323</v>
      </c>
      <c r="D321" s="26" t="s">
        <v>3324</v>
      </c>
      <c r="E321" s="26" t="s">
        <v>2058</v>
      </c>
      <c r="F321" s="26" t="s">
        <v>2059</v>
      </c>
      <c r="G321" s="26" t="s">
        <v>3325</v>
      </c>
      <c r="H321" s="26" t="s">
        <v>2061</v>
      </c>
    </row>
    <row r="322" customFormat="false" ht="23.85" hidden="false" customHeight="false" outlineLevel="0" collapsed="false">
      <c r="A322" s="26" t="s">
        <v>3326</v>
      </c>
      <c r="B322" s="8" t="s">
        <v>3327</v>
      </c>
      <c r="C322" s="26" t="s">
        <v>3328</v>
      </c>
      <c r="D322" s="26" t="s">
        <v>3329</v>
      </c>
      <c r="E322" s="26" t="s">
        <v>2058</v>
      </c>
      <c r="F322" s="26" t="s">
        <v>2059</v>
      </c>
      <c r="G322" s="26" t="s">
        <v>3330</v>
      </c>
      <c r="H322" s="26" t="s">
        <v>2066</v>
      </c>
    </row>
    <row r="323" customFormat="false" ht="15" hidden="false" customHeight="false" outlineLevel="0" collapsed="false">
      <c r="A323" s="26" t="s">
        <v>3331</v>
      </c>
      <c r="B323" s="8" t="s">
        <v>3332</v>
      </c>
      <c r="C323" s="26" t="s">
        <v>3333</v>
      </c>
      <c r="D323" s="26" t="s">
        <v>3334</v>
      </c>
      <c r="E323" s="26" t="s">
        <v>2058</v>
      </c>
      <c r="F323" s="26" t="s">
        <v>2059</v>
      </c>
      <c r="G323" s="26" t="s">
        <v>3335</v>
      </c>
      <c r="H323" s="26" t="s">
        <v>2061</v>
      </c>
    </row>
    <row r="324" customFormat="false" ht="15" hidden="false" customHeight="false" outlineLevel="0" collapsed="false">
      <c r="A324" s="26" t="s">
        <v>3336</v>
      </c>
      <c r="B324" s="8" t="s">
        <v>3337</v>
      </c>
      <c r="C324" s="26" t="s">
        <v>3338</v>
      </c>
      <c r="D324" s="26" t="s">
        <v>3334</v>
      </c>
      <c r="E324" s="26" t="s">
        <v>2058</v>
      </c>
      <c r="F324" s="26" t="s">
        <v>2059</v>
      </c>
      <c r="G324" s="26" t="s">
        <v>3335</v>
      </c>
      <c r="H324" s="26" t="s">
        <v>2061</v>
      </c>
    </row>
    <row r="325" customFormat="false" ht="15" hidden="false" customHeight="false" outlineLevel="0" collapsed="false">
      <c r="A325" s="26" t="s">
        <v>3339</v>
      </c>
      <c r="B325" s="8" t="s">
        <v>3340</v>
      </c>
      <c r="C325" s="26" t="s">
        <v>3341</v>
      </c>
      <c r="D325" s="26" t="s">
        <v>3342</v>
      </c>
      <c r="E325" s="26" t="s">
        <v>2058</v>
      </c>
      <c r="F325" s="26" t="s">
        <v>2059</v>
      </c>
      <c r="G325" s="26" t="s">
        <v>3343</v>
      </c>
      <c r="H325" s="26" t="s">
        <v>2066</v>
      </c>
    </row>
    <row r="326" customFormat="false" ht="23.85" hidden="false" customHeight="false" outlineLevel="0" collapsed="false">
      <c r="A326" s="26" t="s">
        <v>3344</v>
      </c>
      <c r="B326" s="8" t="s">
        <v>3345</v>
      </c>
      <c r="C326" s="26" t="s">
        <v>3346</v>
      </c>
      <c r="D326" s="26" t="s">
        <v>2835</v>
      </c>
      <c r="E326" s="26" t="s">
        <v>2058</v>
      </c>
      <c r="F326" s="26" t="s">
        <v>2059</v>
      </c>
      <c r="G326" s="26" t="s">
        <v>3343</v>
      </c>
      <c r="H326" s="26" t="s">
        <v>2066</v>
      </c>
    </row>
    <row r="327" customFormat="false" ht="15" hidden="false" customHeight="false" outlineLevel="0" collapsed="false">
      <c r="A327" s="26" t="s">
        <v>3347</v>
      </c>
      <c r="B327" s="8" t="s">
        <v>3348</v>
      </c>
      <c r="C327" s="26" t="s">
        <v>3349</v>
      </c>
      <c r="D327" s="26" t="s">
        <v>3350</v>
      </c>
      <c r="E327" s="26" t="s">
        <v>2058</v>
      </c>
      <c r="F327" s="26" t="s">
        <v>2059</v>
      </c>
      <c r="G327" s="26" t="s">
        <v>3351</v>
      </c>
      <c r="H327" s="26" t="s">
        <v>2066</v>
      </c>
    </row>
    <row r="328" customFormat="false" ht="15" hidden="false" customHeight="false" outlineLevel="0" collapsed="false">
      <c r="A328" s="26" t="s">
        <v>3352</v>
      </c>
      <c r="B328" s="8" t="s">
        <v>3353</v>
      </c>
      <c r="C328" s="26" t="s">
        <v>3354</v>
      </c>
      <c r="D328" s="26" t="s">
        <v>3350</v>
      </c>
      <c r="E328" s="26" t="s">
        <v>2058</v>
      </c>
      <c r="F328" s="26" t="s">
        <v>2059</v>
      </c>
      <c r="G328" s="26" t="s">
        <v>3351</v>
      </c>
      <c r="H328" s="26" t="s">
        <v>2066</v>
      </c>
    </row>
    <row r="329" customFormat="false" ht="15" hidden="false" customHeight="false" outlineLevel="0" collapsed="false">
      <c r="A329" s="26" t="s">
        <v>3355</v>
      </c>
      <c r="B329" s="8" t="s">
        <v>3356</v>
      </c>
      <c r="C329" s="26" t="s">
        <v>3357</v>
      </c>
      <c r="D329" s="26" t="s">
        <v>3358</v>
      </c>
      <c r="E329" s="26" t="s">
        <v>2058</v>
      </c>
      <c r="F329" s="26" t="s">
        <v>2059</v>
      </c>
      <c r="G329" s="26" t="s">
        <v>3359</v>
      </c>
      <c r="H329" s="26" t="s">
        <v>2061</v>
      </c>
    </row>
    <row r="330" customFormat="false" ht="15" hidden="false" customHeight="false" outlineLevel="0" collapsed="false">
      <c r="A330" s="26" t="s">
        <v>3360</v>
      </c>
      <c r="B330" s="8" t="s">
        <v>3361</v>
      </c>
      <c r="C330" s="26" t="s">
        <v>3362</v>
      </c>
      <c r="D330" s="26" t="s">
        <v>2742</v>
      </c>
      <c r="E330" s="26" t="s">
        <v>2058</v>
      </c>
      <c r="F330" s="26" t="s">
        <v>2059</v>
      </c>
      <c r="G330" s="26" t="s">
        <v>3359</v>
      </c>
      <c r="H330" s="26" t="s">
        <v>2061</v>
      </c>
    </row>
    <row r="331" customFormat="false" ht="15" hidden="false" customHeight="false" outlineLevel="0" collapsed="false">
      <c r="A331" s="26" t="s">
        <v>3363</v>
      </c>
      <c r="B331" s="8" t="s">
        <v>3364</v>
      </c>
      <c r="C331" s="26" t="s">
        <v>3365</v>
      </c>
      <c r="D331" s="26" t="s">
        <v>3350</v>
      </c>
      <c r="E331" s="26" t="s">
        <v>2058</v>
      </c>
      <c r="F331" s="26" t="s">
        <v>2059</v>
      </c>
      <c r="G331" s="26" t="s">
        <v>3359</v>
      </c>
      <c r="H331" s="26" t="s">
        <v>2066</v>
      </c>
    </row>
    <row r="332" customFormat="false" ht="23.85" hidden="false" customHeight="false" outlineLevel="0" collapsed="false">
      <c r="A332" s="26" t="s">
        <v>3366</v>
      </c>
      <c r="B332" s="8" t="s">
        <v>3367</v>
      </c>
      <c r="C332" s="26" t="s">
        <v>3368</v>
      </c>
      <c r="D332" s="26" t="s">
        <v>3369</v>
      </c>
      <c r="E332" s="26" t="s">
        <v>2058</v>
      </c>
      <c r="F332" s="26" t="s">
        <v>2059</v>
      </c>
      <c r="G332" s="26" t="s">
        <v>3370</v>
      </c>
      <c r="H332" s="26" t="s">
        <v>2096</v>
      </c>
    </row>
    <row r="333" customFormat="false" ht="15" hidden="false" customHeight="false" outlineLevel="0" collapsed="false">
      <c r="A333" s="26" t="s">
        <v>3371</v>
      </c>
      <c r="B333" s="8" t="s">
        <v>3372</v>
      </c>
      <c r="C333" s="26" t="s">
        <v>3373</v>
      </c>
      <c r="D333" s="26" t="s">
        <v>3369</v>
      </c>
      <c r="E333" s="26" t="s">
        <v>2058</v>
      </c>
      <c r="F333" s="26" t="s">
        <v>2071</v>
      </c>
      <c r="G333" s="26" t="s">
        <v>3374</v>
      </c>
      <c r="H333" s="26" t="s">
        <v>2096</v>
      </c>
    </row>
    <row r="334" customFormat="false" ht="23.85" hidden="false" customHeight="false" outlineLevel="0" collapsed="false">
      <c r="A334" s="26" t="s">
        <v>734</v>
      </c>
      <c r="B334" s="8" t="s">
        <v>3375</v>
      </c>
      <c r="C334" s="26" t="s">
        <v>3376</v>
      </c>
      <c r="D334" s="26" t="s">
        <v>3377</v>
      </c>
      <c r="E334" s="26" t="s">
        <v>2058</v>
      </c>
      <c r="F334" s="26" t="s">
        <v>2059</v>
      </c>
      <c r="G334" s="26" t="s">
        <v>3378</v>
      </c>
      <c r="H334" s="26" t="s">
        <v>2061</v>
      </c>
    </row>
    <row r="335" customFormat="false" ht="15" hidden="false" customHeight="false" outlineLevel="0" collapsed="false">
      <c r="A335" s="26" t="s">
        <v>3379</v>
      </c>
      <c r="B335" s="8" t="s">
        <v>3380</v>
      </c>
      <c r="C335" s="26" t="s">
        <v>3381</v>
      </c>
      <c r="D335" s="26" t="s">
        <v>3377</v>
      </c>
      <c r="E335" s="26" t="s">
        <v>2058</v>
      </c>
      <c r="F335" s="26" t="s">
        <v>2059</v>
      </c>
      <c r="G335" s="26" t="s">
        <v>3382</v>
      </c>
      <c r="H335" s="26" t="s">
        <v>2061</v>
      </c>
    </row>
    <row r="336" customFormat="false" ht="15" hidden="false" customHeight="false" outlineLevel="0" collapsed="false">
      <c r="A336" s="26" t="s">
        <v>3383</v>
      </c>
      <c r="B336" s="8" t="s">
        <v>3384</v>
      </c>
      <c r="C336" s="26" t="s">
        <v>3385</v>
      </c>
      <c r="D336" s="26" t="s">
        <v>3386</v>
      </c>
      <c r="E336" s="26" t="s">
        <v>2058</v>
      </c>
      <c r="F336" s="26" t="s">
        <v>2059</v>
      </c>
      <c r="G336" s="26" t="s">
        <v>3378</v>
      </c>
      <c r="H336" s="26" t="s">
        <v>2061</v>
      </c>
    </row>
    <row r="337" customFormat="false" ht="23.85" hidden="false" customHeight="false" outlineLevel="0" collapsed="false">
      <c r="A337" s="26" t="s">
        <v>3387</v>
      </c>
      <c r="B337" s="8" t="s">
        <v>3388</v>
      </c>
      <c r="C337" s="26" t="s">
        <v>3389</v>
      </c>
      <c r="D337" s="26" t="s">
        <v>3334</v>
      </c>
      <c r="E337" s="26" t="s">
        <v>2058</v>
      </c>
      <c r="F337" s="26" t="s">
        <v>2059</v>
      </c>
      <c r="G337" s="26" t="s">
        <v>3390</v>
      </c>
      <c r="H337" s="26" t="s">
        <v>2061</v>
      </c>
    </row>
    <row r="338" customFormat="false" ht="23.85" hidden="false" customHeight="false" outlineLevel="0" collapsed="false">
      <c r="A338" s="26" t="s">
        <v>3391</v>
      </c>
      <c r="B338" s="8" t="s">
        <v>3392</v>
      </c>
      <c r="C338" s="26" t="s">
        <v>3393</v>
      </c>
      <c r="D338" s="26" t="s">
        <v>3334</v>
      </c>
      <c r="E338" s="26" t="s">
        <v>2058</v>
      </c>
      <c r="F338" s="26" t="s">
        <v>2059</v>
      </c>
      <c r="G338" s="26" t="s">
        <v>3394</v>
      </c>
      <c r="H338" s="26" t="s">
        <v>2061</v>
      </c>
    </row>
    <row r="339" customFormat="false" ht="15" hidden="false" customHeight="false" outlineLevel="0" collapsed="false">
      <c r="A339" s="26" t="s">
        <v>3395</v>
      </c>
      <c r="B339" s="8" t="s">
        <v>3396</v>
      </c>
      <c r="C339" s="26" t="s">
        <v>3397</v>
      </c>
      <c r="D339" s="26" t="s">
        <v>3398</v>
      </c>
      <c r="E339" s="26" t="s">
        <v>2058</v>
      </c>
      <c r="F339" s="26" t="s">
        <v>2059</v>
      </c>
      <c r="G339" s="26" t="s">
        <v>3399</v>
      </c>
      <c r="H339" s="26" t="s">
        <v>2061</v>
      </c>
    </row>
    <row r="340" customFormat="false" ht="15" hidden="false" customHeight="false" outlineLevel="0" collapsed="false">
      <c r="A340" s="26" t="s">
        <v>3400</v>
      </c>
      <c r="B340" s="8" t="s">
        <v>3401</v>
      </c>
      <c r="C340" s="26" t="s">
        <v>3402</v>
      </c>
      <c r="D340" s="26" t="s">
        <v>3403</v>
      </c>
      <c r="E340" s="26" t="s">
        <v>2058</v>
      </c>
      <c r="F340" s="26" t="s">
        <v>2059</v>
      </c>
      <c r="G340" s="26" t="s">
        <v>3399</v>
      </c>
      <c r="H340" s="26" t="s">
        <v>2061</v>
      </c>
    </row>
    <row r="341" customFormat="false" ht="15" hidden="false" customHeight="false" outlineLevel="0" collapsed="false">
      <c r="A341" s="26" t="s">
        <v>3404</v>
      </c>
      <c r="B341" s="8" t="s">
        <v>3405</v>
      </c>
      <c r="C341" s="26" t="s">
        <v>3406</v>
      </c>
      <c r="D341" s="26" t="s">
        <v>3403</v>
      </c>
      <c r="E341" s="26" t="s">
        <v>2058</v>
      </c>
      <c r="F341" s="26" t="s">
        <v>2059</v>
      </c>
      <c r="G341" s="26" t="s">
        <v>3399</v>
      </c>
      <c r="H341" s="26" t="s">
        <v>2061</v>
      </c>
    </row>
    <row r="342" customFormat="false" ht="15" hidden="false" customHeight="false" outlineLevel="0" collapsed="false">
      <c r="A342" s="26" t="s">
        <v>3407</v>
      </c>
      <c r="B342" s="8" t="s">
        <v>3408</v>
      </c>
      <c r="C342" s="26" t="s">
        <v>3409</v>
      </c>
      <c r="D342" s="26" t="s">
        <v>3410</v>
      </c>
      <c r="E342" s="26" t="s">
        <v>2058</v>
      </c>
      <c r="F342" s="26" t="s">
        <v>2059</v>
      </c>
      <c r="G342" s="26" t="s">
        <v>3411</v>
      </c>
      <c r="H342" s="26" t="s">
        <v>2066</v>
      </c>
    </row>
    <row r="343" customFormat="false" ht="15" hidden="false" customHeight="false" outlineLevel="0" collapsed="false">
      <c r="A343" s="26" t="s">
        <v>3412</v>
      </c>
      <c r="B343" s="8" t="s">
        <v>3413</v>
      </c>
      <c r="C343" s="26" t="s">
        <v>3414</v>
      </c>
      <c r="D343" s="26" t="s">
        <v>3410</v>
      </c>
      <c r="E343" s="26" t="s">
        <v>2058</v>
      </c>
      <c r="F343" s="26" t="s">
        <v>2059</v>
      </c>
      <c r="G343" s="26" t="s">
        <v>3415</v>
      </c>
      <c r="H343" s="26" t="s">
        <v>2066</v>
      </c>
    </row>
    <row r="344" customFormat="false" ht="15" hidden="false" customHeight="false" outlineLevel="0" collapsed="false">
      <c r="A344" s="26" t="s">
        <v>3416</v>
      </c>
      <c r="B344" s="8" t="s">
        <v>3417</v>
      </c>
      <c r="C344" s="26" t="s">
        <v>3418</v>
      </c>
      <c r="D344" s="26" t="s">
        <v>3419</v>
      </c>
      <c r="E344" s="26" t="s">
        <v>2058</v>
      </c>
      <c r="F344" s="26" t="s">
        <v>2059</v>
      </c>
      <c r="G344" s="26" t="s">
        <v>3411</v>
      </c>
      <c r="H344" s="26" t="s">
        <v>2066</v>
      </c>
    </row>
    <row r="345" customFormat="false" ht="15" hidden="false" customHeight="false" outlineLevel="0" collapsed="false">
      <c r="A345" s="26" t="s">
        <v>3420</v>
      </c>
      <c r="B345" s="8" t="s">
        <v>3421</v>
      </c>
      <c r="C345" s="26" t="s">
        <v>3422</v>
      </c>
      <c r="D345" s="26" t="s">
        <v>3423</v>
      </c>
      <c r="E345" s="26" t="s">
        <v>2058</v>
      </c>
      <c r="F345" s="26" t="s">
        <v>2059</v>
      </c>
      <c r="G345" s="26" t="s">
        <v>3424</v>
      </c>
      <c r="H345" s="26" t="s">
        <v>2066</v>
      </c>
    </row>
    <row r="346" customFormat="false" ht="15" hidden="false" customHeight="false" outlineLevel="0" collapsed="false">
      <c r="A346" s="26" t="s">
        <v>3425</v>
      </c>
      <c r="B346" s="8" t="s">
        <v>3426</v>
      </c>
      <c r="C346" s="26" t="s">
        <v>3427</v>
      </c>
      <c r="D346" s="26" t="s">
        <v>3428</v>
      </c>
      <c r="E346" s="26" t="s">
        <v>2058</v>
      </c>
      <c r="F346" s="26" t="s">
        <v>2059</v>
      </c>
      <c r="G346" s="26" t="s">
        <v>3429</v>
      </c>
      <c r="H346" s="26" t="s">
        <v>2066</v>
      </c>
    </row>
    <row r="347" customFormat="false" ht="15" hidden="false" customHeight="false" outlineLevel="0" collapsed="false">
      <c r="A347" s="26" t="s">
        <v>3430</v>
      </c>
      <c r="B347" s="8" t="s">
        <v>3431</v>
      </c>
      <c r="C347" s="26" t="s">
        <v>3432</v>
      </c>
      <c r="D347" s="26" t="s">
        <v>3069</v>
      </c>
      <c r="E347" s="26" t="s">
        <v>2058</v>
      </c>
      <c r="F347" s="26" t="s">
        <v>2059</v>
      </c>
      <c r="G347" s="26" t="s">
        <v>3429</v>
      </c>
      <c r="H347" s="26" t="s">
        <v>2066</v>
      </c>
    </row>
    <row r="348" customFormat="false" ht="23.85" hidden="false" customHeight="false" outlineLevel="0" collapsed="false">
      <c r="A348" s="26" t="s">
        <v>3433</v>
      </c>
      <c r="B348" s="8" t="s">
        <v>3434</v>
      </c>
      <c r="C348" s="26" t="s">
        <v>3435</v>
      </c>
      <c r="D348" s="26" t="s">
        <v>3069</v>
      </c>
      <c r="E348" s="26" t="s">
        <v>2058</v>
      </c>
      <c r="F348" s="26" t="s">
        <v>2059</v>
      </c>
      <c r="G348" s="26" t="s">
        <v>3436</v>
      </c>
      <c r="H348" s="26" t="s">
        <v>2066</v>
      </c>
    </row>
    <row r="349" customFormat="false" ht="15" hidden="false" customHeight="false" outlineLevel="0" collapsed="false">
      <c r="A349" s="26" t="s">
        <v>3437</v>
      </c>
      <c r="B349" s="8" t="s">
        <v>3438</v>
      </c>
      <c r="C349" s="26" t="s">
        <v>3439</v>
      </c>
      <c r="D349" s="26" t="s">
        <v>3358</v>
      </c>
      <c r="E349" s="26" t="s">
        <v>2058</v>
      </c>
      <c r="F349" s="26" t="s">
        <v>2059</v>
      </c>
      <c r="G349" s="26" t="s">
        <v>3440</v>
      </c>
      <c r="H349" s="26" t="s">
        <v>2061</v>
      </c>
    </row>
    <row r="350" customFormat="false" ht="15" hidden="false" customHeight="false" outlineLevel="0" collapsed="false">
      <c r="A350" s="26" t="s">
        <v>3441</v>
      </c>
      <c r="B350" s="8" t="s">
        <v>3442</v>
      </c>
      <c r="C350" s="26" t="s">
        <v>3443</v>
      </c>
      <c r="D350" s="26" t="s">
        <v>3350</v>
      </c>
      <c r="E350" s="26" t="s">
        <v>2058</v>
      </c>
      <c r="F350" s="26" t="s">
        <v>2059</v>
      </c>
      <c r="G350" s="26" t="s">
        <v>3440</v>
      </c>
      <c r="H350" s="26" t="s">
        <v>2066</v>
      </c>
    </row>
    <row r="351" customFormat="false" ht="15" hidden="false" customHeight="false" outlineLevel="0" collapsed="false">
      <c r="A351" s="26" t="s">
        <v>3444</v>
      </c>
      <c r="B351" s="8" t="s">
        <v>3445</v>
      </c>
      <c r="C351" s="26" t="s">
        <v>3446</v>
      </c>
      <c r="D351" s="26" t="s">
        <v>3350</v>
      </c>
      <c r="E351" s="26" t="s">
        <v>2058</v>
      </c>
      <c r="F351" s="26" t="s">
        <v>2059</v>
      </c>
      <c r="G351" s="26" t="s">
        <v>3440</v>
      </c>
      <c r="H351" s="26" t="s">
        <v>2096</v>
      </c>
    </row>
    <row r="352" customFormat="false" ht="15" hidden="false" customHeight="false" outlineLevel="0" collapsed="false">
      <c r="A352" s="26" t="s">
        <v>3447</v>
      </c>
      <c r="B352" s="8" t="s">
        <v>3448</v>
      </c>
      <c r="C352" s="26" t="s">
        <v>3449</v>
      </c>
      <c r="D352" s="26" t="s">
        <v>3350</v>
      </c>
      <c r="E352" s="26" t="s">
        <v>2058</v>
      </c>
      <c r="F352" s="26" t="s">
        <v>2071</v>
      </c>
      <c r="G352" s="26" t="s">
        <v>3440</v>
      </c>
      <c r="H352" s="26" t="s">
        <v>2096</v>
      </c>
    </row>
    <row r="353" customFormat="false" ht="15" hidden="false" customHeight="false" outlineLevel="0" collapsed="false">
      <c r="A353" s="26" t="s">
        <v>3450</v>
      </c>
      <c r="B353" s="8" t="s">
        <v>3451</v>
      </c>
      <c r="C353" s="26" t="s">
        <v>3452</v>
      </c>
      <c r="D353" s="26" t="s">
        <v>3369</v>
      </c>
      <c r="E353" s="26" t="s">
        <v>2058</v>
      </c>
      <c r="F353" s="26" t="s">
        <v>2071</v>
      </c>
      <c r="G353" s="26" t="s">
        <v>3440</v>
      </c>
      <c r="H353" s="26" t="s">
        <v>2096</v>
      </c>
    </row>
    <row r="354" customFormat="false" ht="15" hidden="false" customHeight="false" outlineLevel="0" collapsed="false">
      <c r="A354" s="26" t="s">
        <v>3453</v>
      </c>
      <c r="B354" s="8" t="s">
        <v>3454</v>
      </c>
      <c r="C354" s="26" t="s">
        <v>3455</v>
      </c>
      <c r="D354" s="26" t="s">
        <v>3350</v>
      </c>
      <c r="E354" s="26" t="s">
        <v>2058</v>
      </c>
      <c r="F354" s="26" t="s">
        <v>2059</v>
      </c>
      <c r="G354" s="26" t="s">
        <v>3456</v>
      </c>
      <c r="H354" s="26" t="s">
        <v>2066</v>
      </c>
    </row>
    <row r="355" customFormat="false" ht="15" hidden="false" customHeight="false" outlineLevel="0" collapsed="false">
      <c r="A355" s="26" t="s">
        <v>3457</v>
      </c>
      <c r="B355" s="8" t="s">
        <v>3458</v>
      </c>
      <c r="C355" s="26" t="s">
        <v>3459</v>
      </c>
      <c r="D355" s="26" t="s">
        <v>2742</v>
      </c>
      <c r="E355" s="26" t="s">
        <v>2058</v>
      </c>
      <c r="F355" s="26" t="s">
        <v>2059</v>
      </c>
      <c r="G355" s="26" t="s">
        <v>3456</v>
      </c>
      <c r="H355" s="26" t="s">
        <v>2066</v>
      </c>
    </row>
    <row r="356" customFormat="false" ht="15" hidden="false" customHeight="false" outlineLevel="0" collapsed="false">
      <c r="A356" s="26" t="s">
        <v>3460</v>
      </c>
      <c r="B356" s="8" t="s">
        <v>3461</v>
      </c>
      <c r="C356" s="26" t="s">
        <v>3462</v>
      </c>
      <c r="D356" s="26" t="s">
        <v>3463</v>
      </c>
      <c r="E356" s="26" t="s">
        <v>2058</v>
      </c>
      <c r="F356" s="26" t="s">
        <v>2071</v>
      </c>
      <c r="G356" s="26" t="s">
        <v>3456</v>
      </c>
      <c r="H356" s="26" t="s">
        <v>2066</v>
      </c>
    </row>
    <row r="357" customFormat="false" ht="15" hidden="false" customHeight="false" outlineLevel="0" collapsed="false">
      <c r="A357" s="26" t="s">
        <v>3464</v>
      </c>
      <c r="B357" s="8" t="s">
        <v>3465</v>
      </c>
      <c r="C357" s="26" t="s">
        <v>3466</v>
      </c>
      <c r="D357" s="26" t="s">
        <v>2831</v>
      </c>
      <c r="E357" s="26" t="s">
        <v>2058</v>
      </c>
      <c r="F357" s="26" t="s">
        <v>2071</v>
      </c>
      <c r="G357" s="26" t="s">
        <v>3456</v>
      </c>
      <c r="H357" s="26" t="s">
        <v>2096</v>
      </c>
    </row>
    <row r="358" customFormat="false" ht="15" hidden="false" customHeight="false" outlineLevel="0" collapsed="false">
      <c r="A358" s="26" t="s">
        <v>3467</v>
      </c>
      <c r="B358" s="8" t="s">
        <v>3468</v>
      </c>
      <c r="C358" s="26" t="s">
        <v>3469</v>
      </c>
      <c r="D358" s="26" t="s">
        <v>3470</v>
      </c>
      <c r="E358" s="26" t="s">
        <v>2058</v>
      </c>
      <c r="F358" s="26" t="s">
        <v>2059</v>
      </c>
      <c r="G358" s="26" t="s">
        <v>3471</v>
      </c>
      <c r="H358" s="26" t="s">
        <v>2061</v>
      </c>
    </row>
    <row r="359" customFormat="false" ht="15" hidden="false" customHeight="false" outlineLevel="0" collapsed="false">
      <c r="A359" s="26" t="s">
        <v>3472</v>
      </c>
      <c r="B359" s="8" t="s">
        <v>3473</v>
      </c>
      <c r="C359" s="26" t="s">
        <v>3474</v>
      </c>
      <c r="D359" s="26" t="s">
        <v>3470</v>
      </c>
      <c r="E359" s="26" t="s">
        <v>2058</v>
      </c>
      <c r="F359" s="26" t="s">
        <v>2059</v>
      </c>
      <c r="G359" s="26" t="s">
        <v>3471</v>
      </c>
      <c r="H359" s="26" t="s">
        <v>2061</v>
      </c>
    </row>
    <row r="360" customFormat="false" ht="23.85" hidden="false" customHeight="false" outlineLevel="0" collapsed="false">
      <c r="A360" s="26" t="s">
        <v>539</v>
      </c>
      <c r="B360" s="8" t="s">
        <v>3475</v>
      </c>
      <c r="C360" s="26" t="s">
        <v>3476</v>
      </c>
      <c r="D360" s="26" t="s">
        <v>3477</v>
      </c>
      <c r="E360" s="26" t="s">
        <v>2058</v>
      </c>
      <c r="F360" s="26" t="s">
        <v>2059</v>
      </c>
      <c r="G360" s="26" t="s">
        <v>3478</v>
      </c>
      <c r="H360" s="26" t="s">
        <v>2061</v>
      </c>
    </row>
    <row r="361" customFormat="false" ht="23.85" hidden="false" customHeight="false" outlineLevel="0" collapsed="false">
      <c r="A361" s="26" t="s">
        <v>3479</v>
      </c>
      <c r="B361" s="8" t="s">
        <v>3480</v>
      </c>
      <c r="C361" s="26" t="s">
        <v>3481</v>
      </c>
      <c r="D361" s="26" t="s">
        <v>3482</v>
      </c>
      <c r="E361" s="26" t="s">
        <v>2058</v>
      </c>
      <c r="F361" s="26" t="s">
        <v>2059</v>
      </c>
      <c r="G361" s="26" t="s">
        <v>3478</v>
      </c>
      <c r="H361" s="26" t="s">
        <v>2066</v>
      </c>
    </row>
    <row r="362" customFormat="false" ht="15" hidden="false" customHeight="false" outlineLevel="0" collapsed="false">
      <c r="A362" s="26" t="s">
        <v>3483</v>
      </c>
      <c r="B362" s="8" t="s">
        <v>3484</v>
      </c>
      <c r="C362" s="26" t="s">
        <v>3485</v>
      </c>
      <c r="D362" s="26" t="s">
        <v>3482</v>
      </c>
      <c r="E362" s="26" t="s">
        <v>2058</v>
      </c>
      <c r="F362" s="26" t="s">
        <v>2059</v>
      </c>
      <c r="G362" s="26" t="s">
        <v>3478</v>
      </c>
      <c r="H362" s="26" t="s">
        <v>2066</v>
      </c>
    </row>
    <row r="363" customFormat="false" ht="23.85" hidden="false" customHeight="false" outlineLevel="0" collapsed="false">
      <c r="A363" s="26" t="s">
        <v>3486</v>
      </c>
      <c r="B363" s="8" t="s">
        <v>3487</v>
      </c>
      <c r="C363" s="26" t="s">
        <v>3488</v>
      </c>
      <c r="D363" s="26" t="s">
        <v>3069</v>
      </c>
      <c r="E363" s="26" t="s">
        <v>2058</v>
      </c>
      <c r="F363" s="26" t="s">
        <v>2059</v>
      </c>
      <c r="G363" s="26" t="s">
        <v>3489</v>
      </c>
      <c r="H363" s="26" t="s">
        <v>2066</v>
      </c>
    </row>
    <row r="364" customFormat="false" ht="23.85" hidden="false" customHeight="false" outlineLevel="0" collapsed="false">
      <c r="A364" s="26" t="s">
        <v>3490</v>
      </c>
      <c r="B364" s="8" t="s">
        <v>3491</v>
      </c>
      <c r="C364" s="26" t="s">
        <v>3492</v>
      </c>
      <c r="D364" s="26" t="s">
        <v>3493</v>
      </c>
      <c r="E364" s="26" t="s">
        <v>2058</v>
      </c>
      <c r="F364" s="26" t="s">
        <v>2071</v>
      </c>
      <c r="G364" s="26" t="s">
        <v>3489</v>
      </c>
      <c r="H364" s="26" t="s">
        <v>2066</v>
      </c>
    </row>
    <row r="365" customFormat="false" ht="23.85" hidden="false" customHeight="false" outlineLevel="0" collapsed="false">
      <c r="A365" s="26" t="s">
        <v>3494</v>
      </c>
      <c r="B365" s="8" t="s">
        <v>3495</v>
      </c>
      <c r="C365" s="26" t="s">
        <v>3496</v>
      </c>
      <c r="D365" s="26" t="s">
        <v>3493</v>
      </c>
      <c r="E365" s="26" t="s">
        <v>2058</v>
      </c>
      <c r="F365" s="26" t="s">
        <v>2071</v>
      </c>
      <c r="G365" s="26" t="s">
        <v>3489</v>
      </c>
      <c r="H365" s="26" t="s">
        <v>2066</v>
      </c>
    </row>
    <row r="366" customFormat="false" ht="15" hidden="false" customHeight="false" outlineLevel="0" collapsed="false">
      <c r="A366" s="26" t="s">
        <v>3497</v>
      </c>
      <c r="B366" s="8" t="s">
        <v>3498</v>
      </c>
      <c r="C366" s="26" t="s">
        <v>3499</v>
      </c>
      <c r="D366" s="26" t="s">
        <v>3069</v>
      </c>
      <c r="E366" s="26" t="s">
        <v>2058</v>
      </c>
      <c r="F366" s="26" t="s">
        <v>2071</v>
      </c>
      <c r="G366" s="26" t="s">
        <v>3489</v>
      </c>
      <c r="H366" s="26" t="s">
        <v>2096</v>
      </c>
    </row>
    <row r="367" customFormat="false" ht="15" hidden="false" customHeight="false" outlineLevel="0" collapsed="false">
      <c r="A367" s="26" t="s">
        <v>3500</v>
      </c>
      <c r="B367" s="8" t="s">
        <v>3501</v>
      </c>
      <c r="C367" s="26" t="s">
        <v>3502</v>
      </c>
      <c r="D367" s="26" t="s">
        <v>3503</v>
      </c>
      <c r="E367" s="26" t="s">
        <v>2058</v>
      </c>
      <c r="F367" s="26" t="s">
        <v>2059</v>
      </c>
      <c r="G367" s="26" t="s">
        <v>3504</v>
      </c>
      <c r="H367" s="26" t="s">
        <v>2066</v>
      </c>
    </row>
    <row r="368" customFormat="false" ht="15" hidden="false" customHeight="false" outlineLevel="0" collapsed="false">
      <c r="A368" s="26" t="s">
        <v>3505</v>
      </c>
      <c r="B368" s="8" t="s">
        <v>3506</v>
      </c>
      <c r="C368" s="26" t="s">
        <v>3507</v>
      </c>
      <c r="D368" s="26" t="s">
        <v>3069</v>
      </c>
      <c r="E368" s="26" t="s">
        <v>2058</v>
      </c>
      <c r="F368" s="26" t="s">
        <v>2071</v>
      </c>
      <c r="G368" s="26" t="s">
        <v>3508</v>
      </c>
      <c r="H368" s="26" t="s">
        <v>2096</v>
      </c>
    </row>
    <row r="369" customFormat="false" ht="23.85" hidden="false" customHeight="false" outlineLevel="0" collapsed="false">
      <c r="A369" s="26" t="s">
        <v>3509</v>
      </c>
      <c r="B369" s="8" t="s">
        <v>3510</v>
      </c>
      <c r="C369" s="26" t="s">
        <v>3511</v>
      </c>
      <c r="D369" s="26" t="s">
        <v>3069</v>
      </c>
      <c r="E369" s="26" t="s">
        <v>2058</v>
      </c>
      <c r="F369" s="26" t="s">
        <v>2071</v>
      </c>
      <c r="G369" s="26" t="s">
        <v>3512</v>
      </c>
      <c r="H369" s="26" t="s">
        <v>2096</v>
      </c>
    </row>
    <row r="370" customFormat="false" ht="15" hidden="false" customHeight="false" outlineLevel="0" collapsed="false">
      <c r="A370" s="26" t="s">
        <v>3513</v>
      </c>
      <c r="B370" s="8" t="s">
        <v>3514</v>
      </c>
      <c r="C370" s="26" t="s">
        <v>3515</v>
      </c>
      <c r="D370" s="26" t="s">
        <v>3069</v>
      </c>
      <c r="E370" s="26" t="s">
        <v>2058</v>
      </c>
      <c r="F370" s="26" t="s">
        <v>2071</v>
      </c>
      <c r="G370" s="26" t="s">
        <v>3516</v>
      </c>
      <c r="H370" s="26" t="s">
        <v>2066</v>
      </c>
    </row>
    <row r="371" customFormat="false" ht="15" hidden="false" customHeight="false" outlineLevel="0" collapsed="false">
      <c r="A371" s="26" t="s">
        <v>3517</v>
      </c>
      <c r="B371" s="8" t="s">
        <v>3518</v>
      </c>
      <c r="C371" s="26" t="s">
        <v>3519</v>
      </c>
      <c r="D371" s="26" t="s">
        <v>3069</v>
      </c>
      <c r="E371" s="26" t="s">
        <v>2058</v>
      </c>
      <c r="F371" s="26" t="s">
        <v>2059</v>
      </c>
      <c r="G371" s="26" t="s">
        <v>3516</v>
      </c>
      <c r="H371" s="26" t="s">
        <v>2066</v>
      </c>
    </row>
    <row r="372" customFormat="false" ht="15" hidden="false" customHeight="false" outlineLevel="0" collapsed="false">
      <c r="A372" s="26" t="s">
        <v>3520</v>
      </c>
      <c r="B372" s="8" t="s">
        <v>3521</v>
      </c>
      <c r="C372" s="26" t="s">
        <v>3522</v>
      </c>
      <c r="D372" s="26" t="s">
        <v>2792</v>
      </c>
      <c r="E372" s="26" t="s">
        <v>2058</v>
      </c>
      <c r="F372" s="26" t="s">
        <v>2059</v>
      </c>
      <c r="G372" s="26" t="s">
        <v>3516</v>
      </c>
      <c r="H372" s="26" t="s">
        <v>2061</v>
      </c>
    </row>
    <row r="373" customFormat="false" ht="23.85" hidden="false" customHeight="false" outlineLevel="0" collapsed="false">
      <c r="A373" s="26" t="s">
        <v>3523</v>
      </c>
      <c r="B373" s="8" t="s">
        <v>3524</v>
      </c>
      <c r="C373" s="26" t="s">
        <v>3525</v>
      </c>
      <c r="D373" s="26" t="s">
        <v>3526</v>
      </c>
      <c r="E373" s="26" t="s">
        <v>2058</v>
      </c>
      <c r="F373" s="26" t="s">
        <v>2071</v>
      </c>
      <c r="G373" s="26" t="s">
        <v>3516</v>
      </c>
      <c r="H373" s="26" t="s">
        <v>2096</v>
      </c>
    </row>
    <row r="374" customFormat="false" ht="23.85" hidden="false" customHeight="false" outlineLevel="0" collapsed="false">
      <c r="A374" s="26" t="s">
        <v>3527</v>
      </c>
      <c r="B374" s="8" t="s">
        <v>3528</v>
      </c>
      <c r="C374" s="26" t="s">
        <v>3529</v>
      </c>
      <c r="D374" s="26" t="s">
        <v>3530</v>
      </c>
      <c r="E374" s="26" t="s">
        <v>2058</v>
      </c>
      <c r="F374" s="26" t="s">
        <v>2059</v>
      </c>
      <c r="G374" s="26" t="s">
        <v>3531</v>
      </c>
      <c r="H374" s="26" t="s">
        <v>2061</v>
      </c>
    </row>
    <row r="375" customFormat="false" ht="15" hidden="false" customHeight="false" outlineLevel="0" collapsed="false">
      <c r="A375" s="26" t="s">
        <v>3532</v>
      </c>
      <c r="B375" s="8" t="s">
        <v>3533</v>
      </c>
      <c r="C375" s="26" t="s">
        <v>3534</v>
      </c>
      <c r="D375" s="26" t="s">
        <v>3535</v>
      </c>
      <c r="E375" s="26" t="s">
        <v>2058</v>
      </c>
      <c r="F375" s="26" t="s">
        <v>2059</v>
      </c>
      <c r="G375" s="26" t="s">
        <v>3536</v>
      </c>
      <c r="H375" s="26" t="s">
        <v>2066</v>
      </c>
    </row>
    <row r="376" customFormat="false" ht="15" hidden="false" customHeight="false" outlineLevel="0" collapsed="false">
      <c r="A376" s="26" t="s">
        <v>3537</v>
      </c>
      <c r="B376" s="8" t="s">
        <v>3538</v>
      </c>
      <c r="C376" s="26" t="s">
        <v>3539</v>
      </c>
      <c r="D376" s="26" t="s">
        <v>3535</v>
      </c>
      <c r="E376" s="26" t="s">
        <v>2058</v>
      </c>
      <c r="F376" s="26" t="s">
        <v>2059</v>
      </c>
      <c r="G376" s="26" t="s">
        <v>3536</v>
      </c>
      <c r="H376" s="26" t="s">
        <v>2066</v>
      </c>
    </row>
    <row r="377" customFormat="false" ht="15" hidden="false" customHeight="false" outlineLevel="0" collapsed="false">
      <c r="A377" s="26" t="s">
        <v>3540</v>
      </c>
      <c r="B377" s="8" t="s">
        <v>3541</v>
      </c>
      <c r="C377" s="26" t="s">
        <v>3542</v>
      </c>
      <c r="D377" s="26" t="s">
        <v>3535</v>
      </c>
      <c r="E377" s="26" t="s">
        <v>2058</v>
      </c>
      <c r="F377" s="26" t="s">
        <v>2059</v>
      </c>
      <c r="G377" s="26" t="s">
        <v>3536</v>
      </c>
      <c r="H377" s="26" t="s">
        <v>2066</v>
      </c>
    </row>
    <row r="378" customFormat="false" ht="15" hidden="false" customHeight="false" outlineLevel="0" collapsed="false">
      <c r="A378" s="26" t="s">
        <v>3543</v>
      </c>
      <c r="B378" s="8" t="s">
        <v>3544</v>
      </c>
      <c r="C378" s="26" t="s">
        <v>3545</v>
      </c>
      <c r="D378" s="26" t="s">
        <v>3535</v>
      </c>
      <c r="E378" s="26" t="s">
        <v>2058</v>
      </c>
      <c r="F378" s="26" t="s">
        <v>2059</v>
      </c>
      <c r="G378" s="26" t="s">
        <v>3536</v>
      </c>
      <c r="H378" s="26" t="s">
        <v>2066</v>
      </c>
    </row>
    <row r="379" customFormat="false" ht="15" hidden="false" customHeight="false" outlineLevel="0" collapsed="false">
      <c r="A379" s="26" t="s">
        <v>3546</v>
      </c>
      <c r="B379" s="8" t="s">
        <v>3547</v>
      </c>
      <c r="C379" s="26" t="s">
        <v>3548</v>
      </c>
      <c r="D379" s="26" t="s">
        <v>3535</v>
      </c>
      <c r="E379" s="26" t="s">
        <v>2058</v>
      </c>
      <c r="F379" s="26" t="s">
        <v>2059</v>
      </c>
      <c r="G379" s="26" t="s">
        <v>3536</v>
      </c>
      <c r="H379" s="26" t="s">
        <v>2066</v>
      </c>
    </row>
    <row r="380" customFormat="false" ht="23.85" hidden="false" customHeight="false" outlineLevel="0" collapsed="false">
      <c r="A380" s="26" t="s">
        <v>3549</v>
      </c>
      <c r="B380" s="8" t="s">
        <v>3550</v>
      </c>
      <c r="C380" s="26" t="s">
        <v>3551</v>
      </c>
      <c r="D380" s="26" t="s">
        <v>3552</v>
      </c>
      <c r="E380" s="26" t="s">
        <v>2058</v>
      </c>
      <c r="F380" s="26" t="s">
        <v>2059</v>
      </c>
      <c r="G380" s="26" t="s">
        <v>3553</v>
      </c>
      <c r="H380" s="26" t="s">
        <v>2066</v>
      </c>
    </row>
    <row r="381" customFormat="false" ht="23.85" hidden="false" customHeight="false" outlineLevel="0" collapsed="false">
      <c r="A381" s="26" t="s">
        <v>3554</v>
      </c>
      <c r="B381" s="8" t="s">
        <v>3555</v>
      </c>
      <c r="C381" s="26" t="s">
        <v>3556</v>
      </c>
      <c r="D381" s="26" t="s">
        <v>3069</v>
      </c>
      <c r="E381" s="26" t="s">
        <v>2058</v>
      </c>
      <c r="F381" s="26" t="s">
        <v>2071</v>
      </c>
      <c r="G381" s="26" t="s">
        <v>3553</v>
      </c>
      <c r="H381" s="26" t="s">
        <v>2066</v>
      </c>
    </row>
    <row r="382" customFormat="false" ht="15" hidden="false" customHeight="false" outlineLevel="0" collapsed="false">
      <c r="A382" s="26" t="s">
        <v>3557</v>
      </c>
      <c r="B382" s="8" t="s">
        <v>3558</v>
      </c>
      <c r="C382" s="26" t="s">
        <v>3559</v>
      </c>
      <c r="D382" s="26" t="s">
        <v>3560</v>
      </c>
      <c r="E382" s="26" t="s">
        <v>2058</v>
      </c>
      <c r="F382" s="26" t="s">
        <v>2059</v>
      </c>
      <c r="G382" s="26" t="s">
        <v>3553</v>
      </c>
      <c r="H382" s="26" t="s">
        <v>2066</v>
      </c>
    </row>
    <row r="383" customFormat="false" ht="15" hidden="false" customHeight="false" outlineLevel="0" collapsed="false">
      <c r="A383" s="26" t="s">
        <v>3561</v>
      </c>
      <c r="B383" s="8" t="s">
        <v>3562</v>
      </c>
      <c r="C383" s="26" t="s">
        <v>3563</v>
      </c>
      <c r="D383" s="26" t="s">
        <v>3564</v>
      </c>
      <c r="E383" s="26" t="s">
        <v>2058</v>
      </c>
      <c r="F383" s="26" t="s">
        <v>2071</v>
      </c>
      <c r="G383" s="26" t="s">
        <v>3553</v>
      </c>
      <c r="H383" s="26" t="s">
        <v>2096</v>
      </c>
    </row>
    <row r="384" customFormat="false" ht="15" hidden="false" customHeight="false" outlineLevel="0" collapsed="false">
      <c r="A384" s="26" t="s">
        <v>3565</v>
      </c>
      <c r="B384" s="8" t="s">
        <v>3566</v>
      </c>
      <c r="C384" s="26" t="s">
        <v>3567</v>
      </c>
      <c r="D384" s="26" t="s">
        <v>3530</v>
      </c>
      <c r="E384" s="26" t="s">
        <v>2058</v>
      </c>
      <c r="F384" s="26" t="s">
        <v>2059</v>
      </c>
      <c r="G384" s="26" t="s">
        <v>3568</v>
      </c>
      <c r="H384" s="26" t="s">
        <v>2061</v>
      </c>
    </row>
    <row r="385" customFormat="false" ht="23.85" hidden="false" customHeight="false" outlineLevel="0" collapsed="false">
      <c r="A385" s="26" t="s">
        <v>3569</v>
      </c>
      <c r="B385" s="8" t="s">
        <v>3570</v>
      </c>
      <c r="C385" s="26" t="s">
        <v>3571</v>
      </c>
      <c r="D385" s="26" t="s">
        <v>3572</v>
      </c>
      <c r="E385" s="26" t="s">
        <v>2058</v>
      </c>
      <c r="F385" s="26" t="s">
        <v>2059</v>
      </c>
      <c r="G385" s="26" t="s">
        <v>3573</v>
      </c>
      <c r="H385" s="26" t="s">
        <v>2061</v>
      </c>
    </row>
    <row r="386" customFormat="false" ht="23.85" hidden="false" customHeight="false" outlineLevel="0" collapsed="false">
      <c r="A386" s="26" t="s">
        <v>3574</v>
      </c>
      <c r="B386" s="8" t="s">
        <v>3575</v>
      </c>
      <c r="C386" s="26" t="s">
        <v>3576</v>
      </c>
      <c r="D386" s="26" t="s">
        <v>3577</v>
      </c>
      <c r="E386" s="26" t="s">
        <v>2058</v>
      </c>
      <c r="F386" s="26" t="s">
        <v>2059</v>
      </c>
      <c r="G386" s="26" t="s">
        <v>3578</v>
      </c>
      <c r="H386" s="26" t="s">
        <v>2061</v>
      </c>
    </row>
    <row r="387" customFormat="false" ht="23.85" hidden="false" customHeight="false" outlineLevel="0" collapsed="false">
      <c r="A387" s="26" t="s">
        <v>3579</v>
      </c>
      <c r="B387" s="8" t="s">
        <v>3580</v>
      </c>
      <c r="C387" s="26" t="s">
        <v>3581</v>
      </c>
      <c r="D387" s="26" t="s">
        <v>3582</v>
      </c>
      <c r="E387" s="26" t="s">
        <v>2058</v>
      </c>
      <c r="F387" s="26" t="s">
        <v>2059</v>
      </c>
      <c r="G387" s="26" t="s">
        <v>3578</v>
      </c>
      <c r="H387" s="26" t="s">
        <v>2061</v>
      </c>
    </row>
    <row r="388" customFormat="false" ht="23.85" hidden="false" customHeight="false" outlineLevel="0" collapsed="false">
      <c r="A388" s="26" t="s">
        <v>3583</v>
      </c>
      <c r="B388" s="8" t="s">
        <v>3584</v>
      </c>
      <c r="C388" s="26" t="s">
        <v>2748</v>
      </c>
      <c r="D388" s="26" t="s">
        <v>2749</v>
      </c>
      <c r="E388" s="26" t="s">
        <v>2058</v>
      </c>
      <c r="F388" s="26" t="s">
        <v>2071</v>
      </c>
      <c r="G388" s="26" t="s">
        <v>3578</v>
      </c>
      <c r="H388" s="26" t="s">
        <v>2066</v>
      </c>
    </row>
    <row r="389" customFormat="false" ht="15" hidden="false" customHeight="false" outlineLevel="0" collapsed="false">
      <c r="A389" s="26" t="s">
        <v>3585</v>
      </c>
      <c r="B389" s="8" t="s">
        <v>3586</v>
      </c>
      <c r="C389" s="26" t="s">
        <v>3587</v>
      </c>
      <c r="D389" s="26" t="s">
        <v>2742</v>
      </c>
      <c r="E389" s="26" t="s">
        <v>2058</v>
      </c>
      <c r="F389" s="26" t="s">
        <v>2059</v>
      </c>
      <c r="G389" s="26" t="s">
        <v>3588</v>
      </c>
      <c r="H389" s="26" t="s">
        <v>2061</v>
      </c>
    </row>
    <row r="390" customFormat="false" ht="15" hidden="false" customHeight="false" outlineLevel="0" collapsed="false">
      <c r="A390" s="26" t="s">
        <v>3589</v>
      </c>
      <c r="B390" s="8" t="s">
        <v>3590</v>
      </c>
      <c r="C390" s="26" t="s">
        <v>3591</v>
      </c>
      <c r="D390" s="26" t="s">
        <v>2742</v>
      </c>
      <c r="E390" s="26" t="s">
        <v>2058</v>
      </c>
      <c r="F390" s="26" t="s">
        <v>2059</v>
      </c>
      <c r="G390" s="26" t="s">
        <v>3592</v>
      </c>
      <c r="H390" s="26" t="s">
        <v>2061</v>
      </c>
    </row>
    <row r="391" customFormat="false" ht="15" hidden="false" customHeight="false" outlineLevel="0" collapsed="false">
      <c r="A391" s="26" t="s">
        <v>3593</v>
      </c>
      <c r="B391" s="8" t="s">
        <v>3594</v>
      </c>
      <c r="C391" s="26" t="s">
        <v>3595</v>
      </c>
      <c r="D391" s="26" t="s">
        <v>2742</v>
      </c>
      <c r="E391" s="26" t="s">
        <v>2058</v>
      </c>
      <c r="F391" s="26" t="s">
        <v>2059</v>
      </c>
      <c r="G391" s="26" t="s">
        <v>3588</v>
      </c>
      <c r="H391" s="26" t="s">
        <v>2061</v>
      </c>
    </row>
    <row r="392" customFormat="false" ht="15" hidden="false" customHeight="false" outlineLevel="0" collapsed="false">
      <c r="A392" s="26" t="s">
        <v>3596</v>
      </c>
      <c r="B392" s="8" t="s">
        <v>3597</v>
      </c>
      <c r="C392" s="26" t="s">
        <v>3598</v>
      </c>
      <c r="D392" s="26" t="s">
        <v>2742</v>
      </c>
      <c r="E392" s="26" t="s">
        <v>2058</v>
      </c>
      <c r="F392" s="26" t="s">
        <v>2059</v>
      </c>
      <c r="G392" s="26" t="s">
        <v>3588</v>
      </c>
      <c r="H392" s="26" t="s">
        <v>2061</v>
      </c>
    </row>
    <row r="393" customFormat="false" ht="15" hidden="false" customHeight="false" outlineLevel="0" collapsed="false">
      <c r="A393" s="26" t="s">
        <v>3599</v>
      </c>
      <c r="B393" s="8" t="s">
        <v>3600</v>
      </c>
      <c r="C393" s="26" t="s">
        <v>3601</v>
      </c>
      <c r="D393" s="26" t="s">
        <v>3602</v>
      </c>
      <c r="E393" s="26" t="s">
        <v>2058</v>
      </c>
      <c r="F393" s="26" t="s">
        <v>2071</v>
      </c>
      <c r="G393" s="26" t="s">
        <v>3588</v>
      </c>
      <c r="H393" s="26" t="s">
        <v>2096</v>
      </c>
    </row>
    <row r="394" customFormat="false" ht="15" hidden="false" customHeight="false" outlineLevel="0" collapsed="false">
      <c r="A394" s="26" t="s">
        <v>3603</v>
      </c>
      <c r="B394" s="8" t="s">
        <v>3604</v>
      </c>
      <c r="C394" s="26" t="s">
        <v>3605</v>
      </c>
      <c r="D394" s="26" t="s">
        <v>3606</v>
      </c>
      <c r="E394" s="26" t="s">
        <v>2058</v>
      </c>
      <c r="F394" s="26" t="s">
        <v>2071</v>
      </c>
      <c r="G394" s="26" t="s">
        <v>3588</v>
      </c>
      <c r="H394" s="26" t="s">
        <v>2096</v>
      </c>
    </row>
    <row r="395" customFormat="false" ht="15" hidden="false" customHeight="false" outlineLevel="0" collapsed="false">
      <c r="A395" s="26" t="s">
        <v>3607</v>
      </c>
      <c r="B395" s="8" t="s">
        <v>3608</v>
      </c>
      <c r="C395" s="26" t="s">
        <v>3609</v>
      </c>
      <c r="D395" s="26" t="s">
        <v>2742</v>
      </c>
      <c r="E395" s="26" t="s">
        <v>2058</v>
      </c>
      <c r="F395" s="26" t="s">
        <v>2059</v>
      </c>
      <c r="G395" s="26" t="s">
        <v>3588</v>
      </c>
      <c r="H395" s="26" t="s">
        <v>2061</v>
      </c>
    </row>
    <row r="396" customFormat="false" ht="15" hidden="false" customHeight="false" outlineLevel="0" collapsed="false">
      <c r="A396" s="26" t="s">
        <v>704</v>
      </c>
      <c r="B396" s="8" t="s">
        <v>3610</v>
      </c>
      <c r="C396" s="26" t="s">
        <v>3611</v>
      </c>
      <c r="D396" s="26" t="s">
        <v>3069</v>
      </c>
      <c r="E396" s="26" t="s">
        <v>2058</v>
      </c>
      <c r="F396" s="26" t="s">
        <v>2059</v>
      </c>
      <c r="G396" s="26" t="s">
        <v>3429</v>
      </c>
      <c r="H396" s="26" t="s">
        <v>2066</v>
      </c>
    </row>
    <row r="397" customFormat="false" ht="23.85" hidden="false" customHeight="false" outlineLevel="0" collapsed="false">
      <c r="A397" s="26" t="s">
        <v>566</v>
      </c>
      <c r="B397" s="8" t="s">
        <v>3612</v>
      </c>
      <c r="C397" s="26" t="s">
        <v>3613</v>
      </c>
      <c r="D397" s="26" t="s">
        <v>3614</v>
      </c>
      <c r="E397" s="26" t="s">
        <v>2058</v>
      </c>
      <c r="F397" s="26" t="s">
        <v>2059</v>
      </c>
      <c r="G397" s="26" t="s">
        <v>3615</v>
      </c>
      <c r="H397" s="26" t="s">
        <v>2096</v>
      </c>
    </row>
    <row r="398" customFormat="false" ht="15" hidden="false" customHeight="false" outlineLevel="0" collapsed="false">
      <c r="A398" s="26" t="s">
        <v>3616</v>
      </c>
      <c r="B398" s="8" t="s">
        <v>3617</v>
      </c>
      <c r="C398" s="26" t="s">
        <v>3618</v>
      </c>
      <c r="D398" s="26" t="s">
        <v>3619</v>
      </c>
      <c r="E398" s="26" t="s">
        <v>2058</v>
      </c>
      <c r="F398" s="26" t="s">
        <v>2059</v>
      </c>
      <c r="G398" s="26" t="s">
        <v>3620</v>
      </c>
      <c r="H398" s="26" t="s">
        <v>2066</v>
      </c>
    </row>
    <row r="399" customFormat="false" ht="15" hidden="false" customHeight="false" outlineLevel="0" collapsed="false">
      <c r="A399" s="26" t="s">
        <v>3621</v>
      </c>
      <c r="B399" s="8" t="s">
        <v>3622</v>
      </c>
      <c r="C399" s="26" t="s">
        <v>3623</v>
      </c>
      <c r="D399" s="26" t="s">
        <v>2769</v>
      </c>
      <c r="E399" s="26" t="s">
        <v>2058</v>
      </c>
      <c r="F399" s="26" t="s">
        <v>2059</v>
      </c>
      <c r="G399" s="26" t="s">
        <v>3624</v>
      </c>
      <c r="H399" s="26" t="s">
        <v>2066</v>
      </c>
    </row>
    <row r="400" customFormat="false" ht="23.85" hidden="false" customHeight="false" outlineLevel="0" collapsed="false">
      <c r="A400" s="26" t="s">
        <v>3625</v>
      </c>
      <c r="B400" s="8" t="s">
        <v>3626</v>
      </c>
      <c r="C400" s="26" t="s">
        <v>3627</v>
      </c>
      <c r="D400" s="26" t="s">
        <v>3628</v>
      </c>
      <c r="E400" s="26" t="s">
        <v>2058</v>
      </c>
      <c r="F400" s="26" t="s">
        <v>2059</v>
      </c>
      <c r="G400" s="26" t="s">
        <v>3629</v>
      </c>
      <c r="H400" s="26" t="s">
        <v>2066</v>
      </c>
    </row>
    <row r="401" customFormat="false" ht="23.85" hidden="false" customHeight="false" outlineLevel="0" collapsed="false">
      <c r="A401" s="26" t="s">
        <v>3630</v>
      </c>
      <c r="B401" s="8" t="s">
        <v>3631</v>
      </c>
      <c r="C401" s="26" t="s">
        <v>3632</v>
      </c>
      <c r="D401" s="26" t="s">
        <v>3633</v>
      </c>
      <c r="E401" s="26" t="s">
        <v>2058</v>
      </c>
      <c r="F401" s="26" t="s">
        <v>2059</v>
      </c>
      <c r="G401" s="26" t="s">
        <v>3634</v>
      </c>
      <c r="H401" s="26" t="s">
        <v>2061</v>
      </c>
    </row>
    <row r="402" customFormat="false" ht="15" hidden="false" customHeight="false" outlineLevel="0" collapsed="false">
      <c r="A402" s="26" t="s">
        <v>3635</v>
      </c>
      <c r="B402" s="8" t="s">
        <v>3636</v>
      </c>
      <c r="C402" s="26" t="s">
        <v>3637</v>
      </c>
      <c r="D402" s="26" t="s">
        <v>3638</v>
      </c>
      <c r="E402" s="26" t="s">
        <v>2058</v>
      </c>
      <c r="F402" s="26" t="s">
        <v>2059</v>
      </c>
      <c r="G402" s="26" t="s">
        <v>3639</v>
      </c>
      <c r="H402" s="26" t="s">
        <v>2061</v>
      </c>
    </row>
    <row r="403" customFormat="false" ht="15" hidden="false" customHeight="false" outlineLevel="0" collapsed="false">
      <c r="A403" s="26" t="s">
        <v>3640</v>
      </c>
      <c r="B403" s="8" t="s">
        <v>3641</v>
      </c>
      <c r="C403" s="26" t="s">
        <v>3642</v>
      </c>
      <c r="D403" s="26" t="s">
        <v>3643</v>
      </c>
      <c r="E403" s="26" t="s">
        <v>2058</v>
      </c>
      <c r="F403" s="26" t="s">
        <v>2059</v>
      </c>
      <c r="G403" s="26" t="s">
        <v>3644</v>
      </c>
      <c r="H403" s="26" t="s">
        <v>2061</v>
      </c>
    </row>
    <row r="404" customFormat="false" ht="23.85" hidden="false" customHeight="false" outlineLevel="0" collapsed="false">
      <c r="A404" s="26" t="s">
        <v>3645</v>
      </c>
      <c r="B404" s="8" t="s">
        <v>3646</v>
      </c>
      <c r="C404" s="26" t="s">
        <v>3647</v>
      </c>
      <c r="D404" s="26" t="s">
        <v>3648</v>
      </c>
      <c r="E404" s="26" t="s">
        <v>2058</v>
      </c>
      <c r="F404" s="26" t="s">
        <v>2059</v>
      </c>
      <c r="G404" s="26" t="s">
        <v>3649</v>
      </c>
      <c r="H404" s="26" t="s">
        <v>2066</v>
      </c>
    </row>
    <row r="405" customFormat="false" ht="15" hidden="false" customHeight="false" outlineLevel="0" collapsed="false">
      <c r="A405" s="26" t="s">
        <v>3650</v>
      </c>
      <c r="B405" s="8" t="s">
        <v>3651</v>
      </c>
      <c r="C405" s="26" t="s">
        <v>3652</v>
      </c>
      <c r="D405" s="26" t="s">
        <v>2474</v>
      </c>
      <c r="E405" s="26" t="s">
        <v>2058</v>
      </c>
      <c r="F405" s="26" t="s">
        <v>2059</v>
      </c>
      <c r="G405" s="26" t="s">
        <v>3653</v>
      </c>
      <c r="H405" s="26" t="s">
        <v>2066</v>
      </c>
    </row>
    <row r="406" customFormat="false" ht="23.85" hidden="false" customHeight="false" outlineLevel="0" collapsed="false">
      <c r="A406" s="26" t="s">
        <v>3654</v>
      </c>
      <c r="B406" s="8" t="s">
        <v>3655</v>
      </c>
      <c r="C406" s="26" t="s">
        <v>3656</v>
      </c>
      <c r="D406" s="26" t="s">
        <v>3657</v>
      </c>
      <c r="E406" s="26" t="s">
        <v>2058</v>
      </c>
      <c r="F406" s="26" t="s">
        <v>2059</v>
      </c>
      <c r="G406" s="26" t="s">
        <v>3658</v>
      </c>
      <c r="H406" s="26" t="s">
        <v>2061</v>
      </c>
    </row>
    <row r="407" customFormat="false" ht="23.85" hidden="false" customHeight="false" outlineLevel="0" collapsed="false">
      <c r="A407" s="26" t="s">
        <v>3659</v>
      </c>
      <c r="B407" s="8" t="s">
        <v>3660</v>
      </c>
      <c r="C407" s="26" t="s">
        <v>3661</v>
      </c>
      <c r="D407" s="26" t="s">
        <v>3662</v>
      </c>
      <c r="E407" s="26" t="s">
        <v>2058</v>
      </c>
      <c r="F407" s="26" t="s">
        <v>2059</v>
      </c>
      <c r="G407" s="26" t="s">
        <v>3663</v>
      </c>
      <c r="H407" s="26" t="s">
        <v>2061</v>
      </c>
    </row>
    <row r="408" customFormat="false" ht="23.85" hidden="false" customHeight="false" outlineLevel="0" collapsed="false">
      <c r="A408" s="26" t="s">
        <v>3664</v>
      </c>
      <c r="B408" s="8" t="s">
        <v>3665</v>
      </c>
      <c r="C408" s="26" t="s">
        <v>3666</v>
      </c>
      <c r="D408" s="26" t="s">
        <v>3667</v>
      </c>
      <c r="E408" s="26" t="s">
        <v>2058</v>
      </c>
      <c r="F408" s="26" t="s">
        <v>2059</v>
      </c>
      <c r="G408" s="26" t="s">
        <v>3668</v>
      </c>
      <c r="H408" s="26" t="s">
        <v>2061</v>
      </c>
    </row>
    <row r="409" customFormat="false" ht="15" hidden="false" customHeight="false" outlineLevel="0" collapsed="false">
      <c r="A409" s="26" t="s">
        <v>3669</v>
      </c>
      <c r="B409" s="8" t="s">
        <v>3670</v>
      </c>
      <c r="C409" s="26" t="s">
        <v>3671</v>
      </c>
      <c r="D409" s="26" t="s">
        <v>3672</v>
      </c>
      <c r="E409" s="26" t="s">
        <v>2058</v>
      </c>
      <c r="F409" s="26" t="s">
        <v>2059</v>
      </c>
      <c r="G409" s="26" t="s">
        <v>3673</v>
      </c>
      <c r="H409" s="26" t="s">
        <v>2061</v>
      </c>
    </row>
    <row r="410" customFormat="false" ht="23.85" hidden="false" customHeight="false" outlineLevel="0" collapsed="false">
      <c r="A410" s="26" t="s">
        <v>3674</v>
      </c>
      <c r="B410" s="8" t="s">
        <v>3675</v>
      </c>
      <c r="C410" s="26" t="s">
        <v>3676</v>
      </c>
      <c r="D410" s="26" t="s">
        <v>3677</v>
      </c>
      <c r="E410" s="26" t="s">
        <v>2058</v>
      </c>
      <c r="F410" s="26" t="s">
        <v>2059</v>
      </c>
      <c r="G410" s="26" t="s">
        <v>3678</v>
      </c>
      <c r="H410" s="26" t="s">
        <v>2066</v>
      </c>
    </row>
    <row r="411" customFormat="false" ht="15" hidden="false" customHeight="false" outlineLevel="0" collapsed="false">
      <c r="A411" s="26" t="s">
        <v>3679</v>
      </c>
      <c r="B411" s="8" t="s">
        <v>3680</v>
      </c>
      <c r="C411" s="26" t="s">
        <v>3681</v>
      </c>
      <c r="D411" s="26" t="s">
        <v>3672</v>
      </c>
      <c r="E411" s="26" t="s">
        <v>2058</v>
      </c>
      <c r="F411" s="26" t="s">
        <v>2059</v>
      </c>
      <c r="G411" s="26" t="s">
        <v>3682</v>
      </c>
      <c r="H411" s="26" t="s">
        <v>2061</v>
      </c>
    </row>
    <row r="412" customFormat="false" ht="15" hidden="false" customHeight="false" outlineLevel="0" collapsed="false">
      <c r="A412" s="26" t="s">
        <v>3683</v>
      </c>
      <c r="B412" s="8" t="s">
        <v>3684</v>
      </c>
      <c r="C412" s="26" t="s">
        <v>3685</v>
      </c>
      <c r="D412" s="26" t="s">
        <v>3686</v>
      </c>
      <c r="E412" s="26" t="s">
        <v>2058</v>
      </c>
      <c r="F412" s="26" t="s">
        <v>2059</v>
      </c>
      <c r="G412" s="26" t="s">
        <v>3687</v>
      </c>
      <c r="H412" s="26" t="s">
        <v>2061</v>
      </c>
    </row>
    <row r="413" customFormat="false" ht="15" hidden="false" customHeight="false" outlineLevel="0" collapsed="false">
      <c r="A413" s="26" t="s">
        <v>723</v>
      </c>
      <c r="B413" s="8" t="s">
        <v>3688</v>
      </c>
      <c r="C413" s="26" t="s">
        <v>3689</v>
      </c>
      <c r="D413" s="26" t="s">
        <v>3690</v>
      </c>
      <c r="E413" s="26" t="s">
        <v>2058</v>
      </c>
      <c r="F413" s="26" t="s">
        <v>2059</v>
      </c>
      <c r="G413" s="26" t="s">
        <v>3691</v>
      </c>
      <c r="H413" s="26" t="s">
        <v>2066</v>
      </c>
    </row>
    <row r="414" customFormat="false" ht="15" hidden="false" customHeight="false" outlineLevel="0" collapsed="false">
      <c r="A414" s="26" t="s">
        <v>646</v>
      </c>
      <c r="B414" s="8" t="s">
        <v>3692</v>
      </c>
      <c r="C414" s="26" t="s">
        <v>3693</v>
      </c>
      <c r="D414" s="26" t="s">
        <v>2835</v>
      </c>
      <c r="E414" s="26" t="s">
        <v>2058</v>
      </c>
      <c r="F414" s="26" t="s">
        <v>2059</v>
      </c>
      <c r="G414" s="26" t="s">
        <v>3694</v>
      </c>
      <c r="H414" s="26" t="s">
        <v>2066</v>
      </c>
    </row>
    <row r="415" customFormat="false" ht="23.85" hidden="false" customHeight="false" outlineLevel="0" collapsed="false">
      <c r="A415" s="26" t="s">
        <v>3695</v>
      </c>
      <c r="B415" s="8" t="s">
        <v>3696</v>
      </c>
      <c r="C415" s="26" t="s">
        <v>3697</v>
      </c>
      <c r="D415" s="26" t="s">
        <v>3698</v>
      </c>
      <c r="E415" s="26" t="s">
        <v>2058</v>
      </c>
      <c r="F415" s="26" t="s">
        <v>2071</v>
      </c>
      <c r="G415" s="26" t="s">
        <v>3699</v>
      </c>
      <c r="H415" s="26" t="s">
        <v>2096</v>
      </c>
    </row>
    <row r="416" customFormat="false" ht="23.85" hidden="false" customHeight="false" outlineLevel="0" collapsed="false">
      <c r="A416" s="26" t="s">
        <v>3700</v>
      </c>
      <c r="B416" s="8" t="s">
        <v>3701</v>
      </c>
      <c r="C416" s="26" t="s">
        <v>3702</v>
      </c>
      <c r="D416" s="26" t="s">
        <v>3703</v>
      </c>
      <c r="E416" s="26" t="s">
        <v>2058</v>
      </c>
      <c r="F416" s="26" t="s">
        <v>2059</v>
      </c>
      <c r="G416" s="26" t="s">
        <v>3704</v>
      </c>
      <c r="H416" s="26" t="s">
        <v>2096</v>
      </c>
    </row>
    <row r="417" customFormat="false" ht="23.85" hidden="false" customHeight="false" outlineLevel="0" collapsed="false">
      <c r="A417" s="26" t="s">
        <v>3705</v>
      </c>
      <c r="B417" s="8" t="s">
        <v>3706</v>
      </c>
      <c r="C417" s="26" t="s">
        <v>3707</v>
      </c>
      <c r="D417" s="26" t="s">
        <v>3526</v>
      </c>
      <c r="E417" s="26" t="s">
        <v>2058</v>
      </c>
      <c r="F417" s="26" t="s">
        <v>2059</v>
      </c>
      <c r="G417" s="26" t="s">
        <v>3708</v>
      </c>
      <c r="H417" s="26" t="s">
        <v>2066</v>
      </c>
    </row>
    <row r="418" customFormat="false" ht="23.85" hidden="false" customHeight="false" outlineLevel="0" collapsed="false">
      <c r="A418" s="26" t="s">
        <v>3709</v>
      </c>
      <c r="B418" s="8" t="s">
        <v>3710</v>
      </c>
      <c r="C418" s="26" t="s">
        <v>3711</v>
      </c>
      <c r="D418" s="26" t="s">
        <v>3712</v>
      </c>
      <c r="E418" s="26" t="s">
        <v>2058</v>
      </c>
      <c r="F418" s="26" t="s">
        <v>2059</v>
      </c>
      <c r="G418" s="26" t="s">
        <v>3713</v>
      </c>
      <c r="H418" s="26" t="s">
        <v>2061</v>
      </c>
    </row>
    <row r="419" customFormat="false" ht="15" hidden="false" customHeight="false" outlineLevel="0" collapsed="false">
      <c r="A419" s="26" t="s">
        <v>3714</v>
      </c>
      <c r="B419" s="8" t="s">
        <v>3715</v>
      </c>
      <c r="C419" s="26" t="s">
        <v>3716</v>
      </c>
      <c r="D419" s="26" t="s">
        <v>3717</v>
      </c>
      <c r="E419" s="26" t="s">
        <v>2058</v>
      </c>
      <c r="F419" s="26" t="s">
        <v>2059</v>
      </c>
      <c r="G419" s="26" t="s">
        <v>3718</v>
      </c>
      <c r="H419" s="26" t="s">
        <v>2061</v>
      </c>
    </row>
    <row r="420" customFormat="false" ht="15" hidden="false" customHeight="false" outlineLevel="0" collapsed="false">
      <c r="A420" s="26" t="s">
        <v>671</v>
      </c>
      <c r="B420" s="8" t="s">
        <v>3719</v>
      </c>
      <c r="C420" s="26" t="s">
        <v>3720</v>
      </c>
      <c r="D420" s="26" t="s">
        <v>3721</v>
      </c>
      <c r="E420" s="26" t="s">
        <v>2058</v>
      </c>
      <c r="F420" s="26" t="s">
        <v>2059</v>
      </c>
      <c r="G420" s="26" t="s">
        <v>3722</v>
      </c>
      <c r="H420" s="26" t="s">
        <v>2061</v>
      </c>
    </row>
    <row r="421" customFormat="false" ht="15" hidden="false" customHeight="false" outlineLevel="0" collapsed="false">
      <c r="A421" s="26" t="s">
        <v>3723</v>
      </c>
      <c r="B421" s="8" t="s">
        <v>3724</v>
      </c>
      <c r="C421" s="26" t="s">
        <v>3725</v>
      </c>
      <c r="D421" s="26" t="s">
        <v>3526</v>
      </c>
      <c r="E421" s="26" t="s">
        <v>2058</v>
      </c>
      <c r="F421" s="26" t="s">
        <v>2071</v>
      </c>
      <c r="G421" s="26" t="s">
        <v>3726</v>
      </c>
      <c r="H421" s="26" t="s">
        <v>2096</v>
      </c>
    </row>
    <row r="422" customFormat="false" ht="15" hidden="false" customHeight="false" outlineLevel="0" collapsed="false">
      <c r="A422" s="26" t="s">
        <v>3727</v>
      </c>
      <c r="B422" s="8" t="s">
        <v>3728</v>
      </c>
      <c r="C422" s="26" t="s">
        <v>3729</v>
      </c>
      <c r="D422" s="26" t="s">
        <v>2769</v>
      </c>
      <c r="E422" s="26" t="s">
        <v>2058</v>
      </c>
      <c r="F422" s="26" t="s">
        <v>2059</v>
      </c>
      <c r="G422" s="26" t="s">
        <v>3730</v>
      </c>
      <c r="H422" s="26" t="s">
        <v>2066</v>
      </c>
    </row>
    <row r="423" customFormat="false" ht="15" hidden="false" customHeight="false" outlineLevel="0" collapsed="false">
      <c r="A423" s="26" t="s">
        <v>3731</v>
      </c>
      <c r="B423" s="8" t="s">
        <v>3732</v>
      </c>
      <c r="C423" s="26" t="s">
        <v>3733</v>
      </c>
      <c r="D423" s="26" t="s">
        <v>2769</v>
      </c>
      <c r="E423" s="26" t="s">
        <v>2058</v>
      </c>
      <c r="F423" s="26" t="s">
        <v>2059</v>
      </c>
      <c r="G423" s="26" t="s">
        <v>3734</v>
      </c>
      <c r="H423" s="26" t="s">
        <v>2066</v>
      </c>
    </row>
    <row r="424" customFormat="false" ht="15" hidden="false" customHeight="false" outlineLevel="0" collapsed="false">
      <c r="A424" s="26" t="s">
        <v>3735</v>
      </c>
      <c r="B424" s="8" t="s">
        <v>3736</v>
      </c>
      <c r="C424" s="26" t="s">
        <v>3737</v>
      </c>
      <c r="D424" s="26" t="s">
        <v>2769</v>
      </c>
      <c r="E424" s="26" t="s">
        <v>2058</v>
      </c>
      <c r="F424" s="26" t="s">
        <v>2059</v>
      </c>
      <c r="G424" s="26" t="s">
        <v>3738</v>
      </c>
      <c r="H424" s="26" t="s">
        <v>2066</v>
      </c>
    </row>
    <row r="425" customFormat="false" ht="23.85" hidden="false" customHeight="false" outlineLevel="0" collapsed="false">
      <c r="A425" s="26" t="s">
        <v>3739</v>
      </c>
      <c r="B425" s="8" t="s">
        <v>3740</v>
      </c>
      <c r="C425" s="26" t="s">
        <v>3741</v>
      </c>
      <c r="D425" s="26" t="s">
        <v>3742</v>
      </c>
      <c r="E425" s="26" t="s">
        <v>2058</v>
      </c>
      <c r="F425" s="26" t="s">
        <v>2059</v>
      </c>
      <c r="G425" s="26" t="s">
        <v>3743</v>
      </c>
      <c r="H425" s="26" t="s">
        <v>2061</v>
      </c>
    </row>
    <row r="426" customFormat="false" ht="23.85" hidden="false" customHeight="false" outlineLevel="0" collapsed="false">
      <c r="A426" s="26" t="s">
        <v>3744</v>
      </c>
      <c r="B426" s="8" t="s">
        <v>3745</v>
      </c>
      <c r="C426" s="26" t="s">
        <v>3746</v>
      </c>
      <c r="D426" s="26" t="s">
        <v>3742</v>
      </c>
      <c r="E426" s="26" t="s">
        <v>2058</v>
      </c>
      <c r="F426" s="26" t="s">
        <v>2059</v>
      </c>
      <c r="G426" s="26" t="s">
        <v>3747</v>
      </c>
      <c r="H426" s="26" t="s">
        <v>2061</v>
      </c>
    </row>
    <row r="427" customFormat="false" ht="23.85" hidden="false" customHeight="false" outlineLevel="0" collapsed="false">
      <c r="A427" s="26" t="s">
        <v>3748</v>
      </c>
      <c r="B427" s="8" t="s">
        <v>3749</v>
      </c>
      <c r="C427" s="26" t="s">
        <v>3750</v>
      </c>
      <c r="D427" s="26" t="s">
        <v>3751</v>
      </c>
      <c r="E427" s="26" t="s">
        <v>2058</v>
      </c>
      <c r="F427" s="26" t="s">
        <v>2059</v>
      </c>
      <c r="G427" s="26" t="s">
        <v>3752</v>
      </c>
      <c r="H427" s="26" t="s">
        <v>2061</v>
      </c>
    </row>
    <row r="428" customFormat="false" ht="15" hidden="false" customHeight="false" outlineLevel="0" collapsed="false">
      <c r="A428" s="26" t="s">
        <v>3753</v>
      </c>
      <c r="B428" s="8" t="s">
        <v>3754</v>
      </c>
      <c r="C428" s="26" t="s">
        <v>3755</v>
      </c>
      <c r="D428" s="26" t="s">
        <v>3756</v>
      </c>
      <c r="E428" s="26" t="s">
        <v>2058</v>
      </c>
      <c r="F428" s="26" t="s">
        <v>2059</v>
      </c>
      <c r="G428" s="26" t="s">
        <v>3757</v>
      </c>
      <c r="H428" s="26" t="s">
        <v>2061</v>
      </c>
    </row>
    <row r="429" customFormat="false" ht="15" hidden="false" customHeight="false" outlineLevel="0" collapsed="false">
      <c r="A429" s="26" t="s">
        <v>3758</v>
      </c>
      <c r="B429" s="8" t="s">
        <v>3759</v>
      </c>
      <c r="C429" s="26" t="s">
        <v>3760</v>
      </c>
      <c r="D429" s="26" t="s">
        <v>3761</v>
      </c>
      <c r="E429" s="26" t="s">
        <v>2058</v>
      </c>
      <c r="F429" s="26" t="s">
        <v>2059</v>
      </c>
      <c r="G429" s="26" t="s">
        <v>3762</v>
      </c>
      <c r="H429" s="26" t="s">
        <v>2061</v>
      </c>
    </row>
    <row r="430" customFormat="false" ht="15" hidden="false" customHeight="false" outlineLevel="0" collapsed="false">
      <c r="A430" s="26" t="s">
        <v>942</v>
      </c>
      <c r="B430" s="8" t="s">
        <v>3763</v>
      </c>
      <c r="C430" s="26" t="s">
        <v>3764</v>
      </c>
      <c r="D430" s="26" t="s">
        <v>3765</v>
      </c>
      <c r="E430" s="26" t="s">
        <v>2058</v>
      </c>
      <c r="F430" s="26" t="s">
        <v>2059</v>
      </c>
      <c r="G430" s="26" t="s">
        <v>3766</v>
      </c>
      <c r="H430" s="26" t="s">
        <v>2061</v>
      </c>
    </row>
    <row r="431" customFormat="false" ht="15" hidden="false" customHeight="false" outlineLevel="0" collapsed="false">
      <c r="A431" s="26" t="s">
        <v>3767</v>
      </c>
      <c r="B431" s="8" t="s">
        <v>3768</v>
      </c>
      <c r="C431" s="26" t="s">
        <v>3769</v>
      </c>
      <c r="D431" s="26" t="s">
        <v>3770</v>
      </c>
      <c r="E431" s="26" t="s">
        <v>2058</v>
      </c>
      <c r="F431" s="26" t="s">
        <v>2059</v>
      </c>
      <c r="G431" s="26" t="s">
        <v>3771</v>
      </c>
      <c r="H431" s="26" t="s">
        <v>2061</v>
      </c>
    </row>
    <row r="432" customFormat="false" ht="23.85" hidden="false" customHeight="false" outlineLevel="0" collapsed="false">
      <c r="A432" s="26" t="s">
        <v>3772</v>
      </c>
      <c r="B432" s="8" t="s">
        <v>3773</v>
      </c>
      <c r="C432" s="26" t="s">
        <v>3774</v>
      </c>
      <c r="D432" s="26" t="s">
        <v>3775</v>
      </c>
      <c r="E432" s="26" t="s">
        <v>2058</v>
      </c>
      <c r="F432" s="26" t="s">
        <v>2059</v>
      </c>
      <c r="G432" s="26" t="s">
        <v>3776</v>
      </c>
      <c r="H432" s="26" t="s">
        <v>2066</v>
      </c>
    </row>
    <row r="433" customFormat="false" ht="23.85" hidden="false" customHeight="false" outlineLevel="0" collapsed="false">
      <c r="A433" s="26" t="s">
        <v>3777</v>
      </c>
      <c r="B433" s="8" t="s">
        <v>3778</v>
      </c>
      <c r="C433" s="26" t="s">
        <v>3779</v>
      </c>
      <c r="D433" s="26" t="s">
        <v>3780</v>
      </c>
      <c r="E433" s="26" t="s">
        <v>2058</v>
      </c>
      <c r="F433" s="26" t="s">
        <v>2071</v>
      </c>
      <c r="G433" s="26" t="s">
        <v>3781</v>
      </c>
      <c r="H433" s="26" t="s">
        <v>2066</v>
      </c>
    </row>
    <row r="434" customFormat="false" ht="15" hidden="false" customHeight="false" outlineLevel="0" collapsed="false">
      <c r="A434" s="26" t="s">
        <v>3782</v>
      </c>
      <c r="B434" s="8" t="s">
        <v>3783</v>
      </c>
      <c r="C434" s="26" t="s">
        <v>3784</v>
      </c>
      <c r="D434" s="26" t="s">
        <v>2769</v>
      </c>
      <c r="E434" s="26" t="s">
        <v>2058</v>
      </c>
      <c r="F434" s="26" t="s">
        <v>2059</v>
      </c>
      <c r="G434" s="26" t="s">
        <v>3785</v>
      </c>
      <c r="H434" s="26" t="s">
        <v>2066</v>
      </c>
    </row>
    <row r="435" customFormat="false" ht="15" hidden="false" customHeight="false" outlineLevel="0" collapsed="false">
      <c r="A435" s="26" t="s">
        <v>3786</v>
      </c>
      <c r="B435" s="8" t="s">
        <v>3787</v>
      </c>
      <c r="C435" s="26" t="s">
        <v>3788</v>
      </c>
      <c r="D435" s="26" t="s">
        <v>2769</v>
      </c>
      <c r="E435" s="26" t="s">
        <v>2058</v>
      </c>
      <c r="F435" s="26" t="s">
        <v>2059</v>
      </c>
      <c r="G435" s="26" t="s">
        <v>3789</v>
      </c>
      <c r="H435" s="26" t="s">
        <v>2066</v>
      </c>
    </row>
    <row r="436" customFormat="false" ht="15" hidden="false" customHeight="false" outlineLevel="0" collapsed="false">
      <c r="A436" s="26" t="s">
        <v>3790</v>
      </c>
      <c r="B436" s="8" t="s">
        <v>3791</v>
      </c>
      <c r="C436" s="26" t="s">
        <v>3792</v>
      </c>
      <c r="D436" s="26" t="s">
        <v>2742</v>
      </c>
      <c r="E436" s="26" t="s">
        <v>2058</v>
      </c>
      <c r="F436" s="26" t="s">
        <v>2059</v>
      </c>
      <c r="G436" s="26" t="s">
        <v>3793</v>
      </c>
      <c r="H436" s="26" t="s">
        <v>2066</v>
      </c>
    </row>
    <row r="437" customFormat="false" ht="23.85" hidden="false" customHeight="false" outlineLevel="0" collapsed="false">
      <c r="A437" s="26" t="s">
        <v>3794</v>
      </c>
      <c r="B437" s="8" t="s">
        <v>3795</v>
      </c>
      <c r="C437" s="26" t="s">
        <v>3796</v>
      </c>
      <c r="D437" s="26" t="s">
        <v>2847</v>
      </c>
      <c r="E437" s="26" t="s">
        <v>2058</v>
      </c>
      <c r="F437" s="26" t="s">
        <v>2059</v>
      </c>
      <c r="G437" s="26" t="s">
        <v>3797</v>
      </c>
      <c r="H437" s="26" t="s">
        <v>2096</v>
      </c>
    </row>
    <row r="438" customFormat="false" ht="23.85" hidden="false" customHeight="false" outlineLevel="0" collapsed="false">
      <c r="A438" s="26" t="s">
        <v>3798</v>
      </c>
      <c r="B438" s="8" t="s">
        <v>3799</v>
      </c>
      <c r="C438" s="26" t="s">
        <v>3800</v>
      </c>
      <c r="D438" s="26" t="s">
        <v>3801</v>
      </c>
      <c r="E438" s="26" t="s">
        <v>2058</v>
      </c>
      <c r="F438" s="26" t="s">
        <v>2071</v>
      </c>
      <c r="G438" s="26" t="s">
        <v>3802</v>
      </c>
      <c r="H438" s="26" t="s">
        <v>2066</v>
      </c>
    </row>
    <row r="439" customFormat="false" ht="15" hidden="false" customHeight="false" outlineLevel="0" collapsed="false">
      <c r="A439" s="26" t="s">
        <v>3803</v>
      </c>
      <c r="B439" s="8" t="s">
        <v>3804</v>
      </c>
      <c r="C439" s="26" t="s">
        <v>3805</v>
      </c>
      <c r="D439" s="26" t="s">
        <v>2769</v>
      </c>
      <c r="E439" s="26" t="s">
        <v>2058</v>
      </c>
      <c r="F439" s="26" t="s">
        <v>2059</v>
      </c>
      <c r="G439" s="26" t="s">
        <v>3806</v>
      </c>
      <c r="H439" s="26" t="s">
        <v>2066</v>
      </c>
    </row>
    <row r="440" customFormat="false" ht="23.85" hidden="false" customHeight="false" outlineLevel="0" collapsed="false">
      <c r="A440" s="26" t="s">
        <v>3807</v>
      </c>
      <c r="B440" s="8" t="s">
        <v>3808</v>
      </c>
      <c r="C440" s="26" t="s">
        <v>3809</v>
      </c>
      <c r="D440" s="26" t="s">
        <v>3751</v>
      </c>
      <c r="E440" s="26" t="s">
        <v>2058</v>
      </c>
      <c r="F440" s="26" t="s">
        <v>2059</v>
      </c>
      <c r="G440" s="26" t="s">
        <v>3810</v>
      </c>
      <c r="H440" s="26" t="s">
        <v>2061</v>
      </c>
    </row>
    <row r="441" customFormat="false" ht="15" hidden="false" customHeight="false" outlineLevel="0" collapsed="false">
      <c r="A441" s="26" t="s">
        <v>3811</v>
      </c>
      <c r="B441" s="8" t="s">
        <v>3812</v>
      </c>
      <c r="C441" s="26" t="s">
        <v>3813</v>
      </c>
      <c r="D441" s="26" t="s">
        <v>3814</v>
      </c>
      <c r="E441" s="26" t="s">
        <v>2058</v>
      </c>
      <c r="F441" s="26" t="s">
        <v>2059</v>
      </c>
      <c r="G441" s="26" t="s">
        <v>3815</v>
      </c>
      <c r="H441" s="26" t="s">
        <v>2066</v>
      </c>
    </row>
    <row r="442" customFormat="false" ht="15" hidden="false" customHeight="false" outlineLevel="0" collapsed="false">
      <c r="A442" s="26" t="s">
        <v>3816</v>
      </c>
      <c r="B442" s="8" t="s">
        <v>3817</v>
      </c>
      <c r="C442" s="26" t="s">
        <v>3818</v>
      </c>
      <c r="D442" s="26" t="s">
        <v>2769</v>
      </c>
      <c r="E442" s="26" t="s">
        <v>2058</v>
      </c>
      <c r="F442" s="26" t="s">
        <v>2059</v>
      </c>
      <c r="G442" s="26" t="s">
        <v>3819</v>
      </c>
      <c r="H442" s="26" t="s">
        <v>2066</v>
      </c>
    </row>
    <row r="443" customFormat="false" ht="23.85" hidden="false" customHeight="false" outlineLevel="0" collapsed="false">
      <c r="A443" s="26" t="s">
        <v>3820</v>
      </c>
      <c r="B443" s="8" t="s">
        <v>3821</v>
      </c>
      <c r="C443" s="26" t="s">
        <v>3822</v>
      </c>
      <c r="D443" s="26" t="s">
        <v>3823</v>
      </c>
      <c r="E443" s="26" t="s">
        <v>2058</v>
      </c>
      <c r="F443" s="26" t="s">
        <v>2059</v>
      </c>
      <c r="G443" s="26" t="s">
        <v>3824</v>
      </c>
      <c r="H443" s="26" t="s">
        <v>2061</v>
      </c>
    </row>
    <row r="444" customFormat="false" ht="15" hidden="false" customHeight="false" outlineLevel="0" collapsed="false">
      <c r="A444" s="26" t="s">
        <v>3825</v>
      </c>
      <c r="B444" s="8" t="s">
        <v>3826</v>
      </c>
      <c r="C444" s="26" t="s">
        <v>3827</v>
      </c>
      <c r="D444" s="26" t="s">
        <v>3530</v>
      </c>
      <c r="E444" s="26" t="s">
        <v>2058</v>
      </c>
      <c r="F444" s="26" t="s">
        <v>2059</v>
      </c>
      <c r="G444" s="26" t="s">
        <v>3828</v>
      </c>
      <c r="H444" s="26" t="s">
        <v>2061</v>
      </c>
    </row>
    <row r="445" customFormat="false" ht="23.85" hidden="false" customHeight="false" outlineLevel="0" collapsed="false">
      <c r="A445" s="26" t="s">
        <v>3829</v>
      </c>
      <c r="B445" s="8" t="s">
        <v>3830</v>
      </c>
      <c r="C445" s="26" t="s">
        <v>3118</v>
      </c>
      <c r="D445" s="26" t="s">
        <v>2847</v>
      </c>
      <c r="E445" s="26" t="s">
        <v>2058</v>
      </c>
      <c r="F445" s="26" t="s">
        <v>2071</v>
      </c>
      <c r="G445" s="26" t="s">
        <v>3831</v>
      </c>
      <c r="H445" s="26" t="s">
        <v>2096</v>
      </c>
    </row>
    <row r="446" customFormat="false" ht="15" hidden="false" customHeight="false" outlineLevel="0" collapsed="false">
      <c r="A446" s="26" t="s">
        <v>3832</v>
      </c>
      <c r="B446" s="8" t="s">
        <v>3833</v>
      </c>
      <c r="C446" s="26" t="s">
        <v>3834</v>
      </c>
      <c r="D446" s="26" t="s">
        <v>2658</v>
      </c>
      <c r="E446" s="26" t="s">
        <v>2058</v>
      </c>
      <c r="F446" s="26" t="s">
        <v>2059</v>
      </c>
      <c r="G446" s="26" t="s">
        <v>3835</v>
      </c>
      <c r="H446" s="26" t="s">
        <v>2061</v>
      </c>
    </row>
    <row r="447" customFormat="false" ht="23.85" hidden="false" customHeight="false" outlineLevel="0" collapsed="false">
      <c r="A447" s="26" t="s">
        <v>3836</v>
      </c>
      <c r="B447" s="8" t="s">
        <v>3837</v>
      </c>
      <c r="C447" s="26" t="s">
        <v>3838</v>
      </c>
      <c r="D447" s="26" t="s">
        <v>3839</v>
      </c>
      <c r="E447" s="26" t="s">
        <v>2058</v>
      </c>
      <c r="F447" s="26" t="s">
        <v>2059</v>
      </c>
      <c r="G447" s="26" t="s">
        <v>3840</v>
      </c>
      <c r="H447" s="26" t="s">
        <v>2061</v>
      </c>
    </row>
    <row r="448" customFormat="false" ht="23.85" hidden="false" customHeight="false" outlineLevel="0" collapsed="false">
      <c r="A448" s="26" t="s">
        <v>3841</v>
      </c>
      <c r="B448" s="8" t="s">
        <v>3842</v>
      </c>
      <c r="C448" s="26" t="s">
        <v>3843</v>
      </c>
      <c r="D448" s="26" t="s">
        <v>3839</v>
      </c>
      <c r="E448" s="26" t="s">
        <v>2058</v>
      </c>
      <c r="F448" s="26" t="s">
        <v>2059</v>
      </c>
      <c r="G448" s="26" t="s">
        <v>3844</v>
      </c>
      <c r="H448" s="26" t="s">
        <v>2061</v>
      </c>
    </row>
    <row r="449" customFormat="false" ht="15" hidden="false" customHeight="false" outlineLevel="0" collapsed="false">
      <c r="A449" s="26" t="s">
        <v>3845</v>
      </c>
      <c r="B449" s="8" t="s">
        <v>3846</v>
      </c>
      <c r="C449" s="26" t="s">
        <v>3847</v>
      </c>
      <c r="D449" s="26" t="s">
        <v>2658</v>
      </c>
      <c r="E449" s="26" t="s">
        <v>2058</v>
      </c>
      <c r="F449" s="26" t="s">
        <v>2059</v>
      </c>
      <c r="G449" s="26" t="s">
        <v>3848</v>
      </c>
      <c r="H449" s="26" t="s">
        <v>2061</v>
      </c>
    </row>
    <row r="450" customFormat="false" ht="23.85" hidden="false" customHeight="false" outlineLevel="0" collapsed="false">
      <c r="A450" s="26" t="s">
        <v>3849</v>
      </c>
      <c r="B450" s="8" t="s">
        <v>3850</v>
      </c>
      <c r="C450" s="26" t="s">
        <v>3851</v>
      </c>
      <c r="D450" s="26" t="s">
        <v>2658</v>
      </c>
      <c r="E450" s="26" t="s">
        <v>2058</v>
      </c>
      <c r="F450" s="26" t="s">
        <v>2059</v>
      </c>
      <c r="G450" s="26" t="s">
        <v>3852</v>
      </c>
      <c r="H450" s="26" t="s">
        <v>2061</v>
      </c>
    </row>
    <row r="451" customFormat="false" ht="23.85" hidden="false" customHeight="false" outlineLevel="0" collapsed="false">
      <c r="A451" s="26" t="s">
        <v>3853</v>
      </c>
      <c r="B451" s="8" t="s">
        <v>3854</v>
      </c>
      <c r="C451" s="26" t="s">
        <v>3855</v>
      </c>
      <c r="D451" s="26" t="s">
        <v>2658</v>
      </c>
      <c r="E451" s="26" t="s">
        <v>2058</v>
      </c>
      <c r="F451" s="26" t="s">
        <v>2059</v>
      </c>
      <c r="G451" s="26" t="s">
        <v>3844</v>
      </c>
      <c r="H451" s="26" t="s">
        <v>2061</v>
      </c>
    </row>
    <row r="452" customFormat="false" ht="23.85" hidden="false" customHeight="false" outlineLevel="0" collapsed="false">
      <c r="A452" s="26" t="s">
        <v>3856</v>
      </c>
      <c r="B452" s="8" t="s">
        <v>3857</v>
      </c>
      <c r="C452" s="26" t="s">
        <v>3858</v>
      </c>
      <c r="D452" s="26" t="s">
        <v>2658</v>
      </c>
      <c r="E452" s="26" t="s">
        <v>2058</v>
      </c>
      <c r="F452" s="26" t="s">
        <v>2059</v>
      </c>
      <c r="G452" s="26" t="s">
        <v>3859</v>
      </c>
      <c r="H452" s="26" t="s">
        <v>2061</v>
      </c>
    </row>
    <row r="453" customFormat="false" ht="23.85" hidden="false" customHeight="false" outlineLevel="0" collapsed="false">
      <c r="A453" s="26" t="s">
        <v>3860</v>
      </c>
      <c r="B453" s="8" t="s">
        <v>3861</v>
      </c>
      <c r="C453" s="26" t="s">
        <v>3862</v>
      </c>
      <c r="D453" s="26" t="s">
        <v>2658</v>
      </c>
      <c r="E453" s="26" t="s">
        <v>2058</v>
      </c>
      <c r="F453" s="26" t="s">
        <v>2059</v>
      </c>
      <c r="G453" s="26" t="s">
        <v>3859</v>
      </c>
      <c r="H453" s="26" t="s">
        <v>2061</v>
      </c>
    </row>
    <row r="454" customFormat="false" ht="35.05" hidden="false" customHeight="false" outlineLevel="0" collapsed="false">
      <c r="A454" s="26" t="s">
        <v>3863</v>
      </c>
      <c r="B454" s="8" t="s">
        <v>3864</v>
      </c>
      <c r="C454" s="26" t="s">
        <v>3865</v>
      </c>
      <c r="D454" s="26" t="s">
        <v>3866</v>
      </c>
      <c r="E454" s="26" t="s">
        <v>2058</v>
      </c>
      <c r="F454" s="26" t="s">
        <v>2071</v>
      </c>
      <c r="G454" s="26" t="s">
        <v>3867</v>
      </c>
      <c r="H454" s="26" t="s">
        <v>2096</v>
      </c>
    </row>
    <row r="455" customFormat="false" ht="23.85" hidden="false" customHeight="false" outlineLevel="0" collapsed="false">
      <c r="A455" s="26" t="s">
        <v>3868</v>
      </c>
      <c r="B455" s="8" t="s">
        <v>3869</v>
      </c>
      <c r="C455" s="26" t="s">
        <v>3870</v>
      </c>
      <c r="D455" s="26" t="s">
        <v>3871</v>
      </c>
      <c r="E455" s="26" t="s">
        <v>2058</v>
      </c>
      <c r="F455" s="26" t="s">
        <v>2059</v>
      </c>
      <c r="G455" s="26" t="s">
        <v>3872</v>
      </c>
      <c r="H455" s="26" t="s">
        <v>2066</v>
      </c>
    </row>
    <row r="456" customFormat="false" ht="15" hidden="false" customHeight="false" outlineLevel="0" collapsed="false">
      <c r="A456" s="26" t="s">
        <v>3873</v>
      </c>
      <c r="B456" s="8" t="s">
        <v>3874</v>
      </c>
      <c r="C456" s="26" t="s">
        <v>3875</v>
      </c>
      <c r="D456" s="26" t="s">
        <v>3876</v>
      </c>
      <c r="E456" s="26" t="s">
        <v>2058</v>
      </c>
      <c r="F456" s="26" t="s">
        <v>2059</v>
      </c>
      <c r="G456" s="26" t="s">
        <v>3877</v>
      </c>
      <c r="H456" s="26" t="s">
        <v>2066</v>
      </c>
    </row>
    <row r="457" customFormat="false" ht="35.05" hidden="false" customHeight="false" outlineLevel="0" collapsed="false">
      <c r="A457" s="26" t="s">
        <v>3878</v>
      </c>
      <c r="B457" s="8" t="s">
        <v>3879</v>
      </c>
      <c r="C457" s="26" t="s">
        <v>3880</v>
      </c>
      <c r="D457" s="26" t="s">
        <v>3881</v>
      </c>
      <c r="E457" s="26" t="s">
        <v>2058</v>
      </c>
      <c r="F457" s="26" t="s">
        <v>2059</v>
      </c>
      <c r="G457" s="26" t="s">
        <v>3882</v>
      </c>
      <c r="H457" s="26" t="s">
        <v>2066</v>
      </c>
    </row>
    <row r="458" customFormat="false" ht="35.05" hidden="false" customHeight="false" outlineLevel="0" collapsed="false">
      <c r="A458" s="26" t="s">
        <v>3883</v>
      </c>
      <c r="B458" s="8" t="s">
        <v>3884</v>
      </c>
      <c r="C458" s="26" t="s">
        <v>3885</v>
      </c>
      <c r="D458" s="26" t="s">
        <v>3886</v>
      </c>
      <c r="E458" s="26" t="s">
        <v>2058</v>
      </c>
      <c r="F458" s="26" t="s">
        <v>2059</v>
      </c>
      <c r="G458" s="26" t="s">
        <v>3887</v>
      </c>
      <c r="H458" s="26" t="s">
        <v>2066</v>
      </c>
    </row>
    <row r="459" customFormat="false" ht="35.05" hidden="false" customHeight="false" outlineLevel="0" collapsed="false">
      <c r="A459" s="26" t="s">
        <v>3888</v>
      </c>
      <c r="B459" s="8" t="s">
        <v>3889</v>
      </c>
      <c r="C459" s="26" t="s">
        <v>3890</v>
      </c>
      <c r="D459" s="26" t="s">
        <v>2658</v>
      </c>
      <c r="E459" s="26" t="s">
        <v>2058</v>
      </c>
      <c r="F459" s="26" t="s">
        <v>2059</v>
      </c>
      <c r="G459" s="26" t="s">
        <v>3891</v>
      </c>
      <c r="H459" s="26" t="s">
        <v>2061</v>
      </c>
    </row>
    <row r="460" customFormat="false" ht="23.85" hidden="false" customHeight="false" outlineLevel="0" collapsed="false">
      <c r="A460" s="26" t="s">
        <v>3892</v>
      </c>
      <c r="B460" s="8" t="s">
        <v>3893</v>
      </c>
      <c r="C460" s="26" t="s">
        <v>3894</v>
      </c>
      <c r="D460" s="26" t="s">
        <v>2658</v>
      </c>
      <c r="E460" s="26" t="s">
        <v>2058</v>
      </c>
      <c r="F460" s="26" t="s">
        <v>2059</v>
      </c>
      <c r="G460" s="26" t="s">
        <v>3895</v>
      </c>
      <c r="H460" s="26" t="s">
        <v>2061</v>
      </c>
    </row>
    <row r="461" customFormat="false" ht="23.85" hidden="false" customHeight="false" outlineLevel="0" collapsed="false">
      <c r="A461" s="26" t="s">
        <v>3896</v>
      </c>
      <c r="B461" s="8" t="s">
        <v>3897</v>
      </c>
      <c r="C461" s="26" t="s">
        <v>3898</v>
      </c>
      <c r="D461" s="26" t="s">
        <v>3899</v>
      </c>
      <c r="E461" s="26" t="s">
        <v>2058</v>
      </c>
      <c r="F461" s="26" t="s">
        <v>2059</v>
      </c>
      <c r="G461" s="26" t="s">
        <v>3900</v>
      </c>
      <c r="H461" s="26" t="s">
        <v>2096</v>
      </c>
    </row>
    <row r="462" customFormat="false" ht="23.85" hidden="false" customHeight="false" outlineLevel="0" collapsed="false">
      <c r="A462" s="26" t="s">
        <v>3901</v>
      </c>
      <c r="B462" s="8" t="s">
        <v>3902</v>
      </c>
      <c r="C462" s="26" t="s">
        <v>3903</v>
      </c>
      <c r="D462" s="26" t="s">
        <v>2658</v>
      </c>
      <c r="E462" s="26" t="s">
        <v>2058</v>
      </c>
      <c r="F462" s="26" t="s">
        <v>2059</v>
      </c>
      <c r="G462" s="26" t="s">
        <v>3904</v>
      </c>
      <c r="H462" s="26" t="s">
        <v>2061</v>
      </c>
    </row>
    <row r="463" customFormat="false" ht="23.85" hidden="false" customHeight="false" outlineLevel="0" collapsed="false">
      <c r="A463" s="26" t="s">
        <v>3905</v>
      </c>
      <c r="B463" s="8" t="s">
        <v>3906</v>
      </c>
      <c r="C463" s="26" t="s">
        <v>3907</v>
      </c>
      <c r="D463" s="26" t="s">
        <v>3881</v>
      </c>
      <c r="E463" s="26" t="s">
        <v>2058</v>
      </c>
      <c r="F463" s="26" t="s">
        <v>2059</v>
      </c>
      <c r="G463" s="26" t="s">
        <v>3904</v>
      </c>
      <c r="H463" s="26" t="s">
        <v>2066</v>
      </c>
    </row>
    <row r="464" customFormat="false" ht="23.85" hidden="false" customHeight="false" outlineLevel="0" collapsed="false">
      <c r="A464" s="26" t="s">
        <v>3908</v>
      </c>
      <c r="B464" s="8" t="s">
        <v>3909</v>
      </c>
      <c r="C464" s="26" t="s">
        <v>3910</v>
      </c>
      <c r="D464" s="26" t="s">
        <v>3881</v>
      </c>
      <c r="E464" s="26" t="s">
        <v>2058</v>
      </c>
      <c r="F464" s="26" t="s">
        <v>2059</v>
      </c>
      <c r="G464" s="26" t="s">
        <v>3904</v>
      </c>
      <c r="H464" s="26" t="s">
        <v>2066</v>
      </c>
    </row>
    <row r="465" customFormat="false" ht="15" hidden="false" customHeight="false" outlineLevel="0" collapsed="false">
      <c r="A465" s="26" t="s">
        <v>3911</v>
      </c>
      <c r="B465" s="8" t="s">
        <v>3912</v>
      </c>
      <c r="C465" s="26" t="s">
        <v>3913</v>
      </c>
      <c r="D465" s="26" t="s">
        <v>3881</v>
      </c>
      <c r="E465" s="26" t="s">
        <v>2058</v>
      </c>
      <c r="F465" s="26" t="s">
        <v>2059</v>
      </c>
      <c r="G465" s="26" t="s">
        <v>3914</v>
      </c>
      <c r="H465" s="26" t="s">
        <v>2066</v>
      </c>
    </row>
    <row r="466" customFormat="false" ht="23.85" hidden="false" customHeight="false" outlineLevel="0" collapsed="false">
      <c r="A466" s="26" t="s">
        <v>3915</v>
      </c>
      <c r="B466" s="8" t="s">
        <v>3916</v>
      </c>
      <c r="C466" s="26" t="s">
        <v>3917</v>
      </c>
      <c r="D466" s="26" t="s">
        <v>3881</v>
      </c>
      <c r="E466" s="26" t="s">
        <v>2058</v>
      </c>
      <c r="F466" s="26" t="s">
        <v>2059</v>
      </c>
      <c r="G466" s="26" t="s">
        <v>3904</v>
      </c>
      <c r="H466" s="26" t="s">
        <v>2066</v>
      </c>
    </row>
    <row r="467" customFormat="false" ht="23.85" hidden="false" customHeight="false" outlineLevel="0" collapsed="false">
      <c r="A467" s="26" t="s">
        <v>3918</v>
      </c>
      <c r="B467" s="8" t="s">
        <v>3919</v>
      </c>
      <c r="C467" s="26" t="s">
        <v>3920</v>
      </c>
      <c r="D467" s="26" t="s">
        <v>2658</v>
      </c>
      <c r="E467" s="26" t="s">
        <v>2058</v>
      </c>
      <c r="F467" s="26" t="s">
        <v>2059</v>
      </c>
      <c r="G467" s="26" t="s">
        <v>3921</v>
      </c>
      <c r="H467" s="26" t="s">
        <v>2061</v>
      </c>
    </row>
    <row r="468" customFormat="false" ht="23.85" hidden="false" customHeight="false" outlineLevel="0" collapsed="false">
      <c r="A468" s="26" t="s">
        <v>3922</v>
      </c>
      <c r="B468" s="8" t="s">
        <v>3923</v>
      </c>
      <c r="C468" s="26" t="s">
        <v>3924</v>
      </c>
      <c r="D468" s="26" t="s">
        <v>2658</v>
      </c>
      <c r="E468" s="26" t="s">
        <v>2058</v>
      </c>
      <c r="F468" s="26" t="s">
        <v>2059</v>
      </c>
      <c r="G468" s="26" t="s">
        <v>3921</v>
      </c>
      <c r="H468" s="26" t="s">
        <v>2061</v>
      </c>
    </row>
    <row r="469" customFormat="false" ht="35.05" hidden="false" customHeight="false" outlineLevel="0" collapsed="false">
      <c r="A469" s="26" t="s">
        <v>3925</v>
      </c>
      <c r="B469" s="8" t="s">
        <v>3926</v>
      </c>
      <c r="C469" s="26" t="s">
        <v>3927</v>
      </c>
      <c r="D469" s="26" t="s">
        <v>2658</v>
      </c>
      <c r="E469" s="26" t="s">
        <v>2058</v>
      </c>
      <c r="F469" s="26" t="s">
        <v>2059</v>
      </c>
      <c r="G469" s="26" t="s">
        <v>3921</v>
      </c>
      <c r="H469" s="26" t="s">
        <v>2061</v>
      </c>
    </row>
    <row r="470" customFormat="false" ht="23.85" hidden="false" customHeight="false" outlineLevel="0" collapsed="false">
      <c r="A470" s="26" t="s">
        <v>3928</v>
      </c>
      <c r="B470" s="8" t="s">
        <v>3929</v>
      </c>
      <c r="C470" s="26" t="s">
        <v>3930</v>
      </c>
      <c r="D470" s="26" t="s">
        <v>2658</v>
      </c>
      <c r="E470" s="26" t="s">
        <v>2058</v>
      </c>
      <c r="F470" s="26" t="s">
        <v>2059</v>
      </c>
      <c r="G470" s="26" t="s">
        <v>3921</v>
      </c>
      <c r="H470" s="26" t="s">
        <v>2061</v>
      </c>
    </row>
    <row r="471" customFormat="false" ht="23.85" hidden="false" customHeight="false" outlineLevel="0" collapsed="false">
      <c r="A471" s="26" t="s">
        <v>3931</v>
      </c>
      <c r="B471" s="8" t="s">
        <v>3932</v>
      </c>
      <c r="C471" s="26" t="s">
        <v>3933</v>
      </c>
      <c r="D471" s="26" t="s">
        <v>2658</v>
      </c>
      <c r="E471" s="26" t="s">
        <v>2058</v>
      </c>
      <c r="F471" s="26" t="s">
        <v>2059</v>
      </c>
      <c r="G471" s="26" t="s">
        <v>3921</v>
      </c>
      <c r="H471" s="26" t="s">
        <v>2061</v>
      </c>
    </row>
    <row r="472" customFormat="false" ht="35.05" hidden="false" customHeight="false" outlineLevel="0" collapsed="false">
      <c r="A472" s="26" t="s">
        <v>3934</v>
      </c>
      <c r="B472" s="8" t="s">
        <v>3935</v>
      </c>
      <c r="C472" s="26" t="s">
        <v>3936</v>
      </c>
      <c r="D472" s="26" t="s">
        <v>2658</v>
      </c>
      <c r="E472" s="26" t="s">
        <v>2058</v>
      </c>
      <c r="F472" s="26" t="s">
        <v>2059</v>
      </c>
      <c r="G472" s="26" t="s">
        <v>3937</v>
      </c>
      <c r="H472" s="26" t="s">
        <v>2061</v>
      </c>
    </row>
    <row r="473" customFormat="false" ht="23.85" hidden="false" customHeight="false" outlineLevel="0" collapsed="false">
      <c r="A473" s="26" t="s">
        <v>3938</v>
      </c>
      <c r="B473" s="8" t="s">
        <v>3939</v>
      </c>
      <c r="C473" s="26" t="s">
        <v>3940</v>
      </c>
      <c r="D473" s="26" t="s">
        <v>3941</v>
      </c>
      <c r="E473" s="26" t="s">
        <v>2058</v>
      </c>
      <c r="F473" s="26" t="s">
        <v>2071</v>
      </c>
      <c r="G473" s="26" t="s">
        <v>3942</v>
      </c>
      <c r="H473" s="26" t="s">
        <v>2096</v>
      </c>
    </row>
    <row r="474" customFormat="false" ht="23.85" hidden="false" customHeight="false" outlineLevel="0" collapsed="false">
      <c r="A474" s="26" t="s">
        <v>3943</v>
      </c>
      <c r="B474" s="8" t="s">
        <v>3944</v>
      </c>
      <c r="C474" s="26" t="s">
        <v>3945</v>
      </c>
      <c r="D474" s="26" t="s">
        <v>3946</v>
      </c>
      <c r="E474" s="26" t="s">
        <v>2058</v>
      </c>
      <c r="F474" s="26" t="s">
        <v>2059</v>
      </c>
      <c r="G474" s="26" t="s">
        <v>3947</v>
      </c>
      <c r="H474" s="26" t="s">
        <v>2066</v>
      </c>
    </row>
    <row r="475" customFormat="false" ht="23.85" hidden="false" customHeight="false" outlineLevel="0" collapsed="false">
      <c r="A475" s="26" t="s">
        <v>3948</v>
      </c>
      <c r="B475" s="8" t="s">
        <v>3949</v>
      </c>
      <c r="C475" s="26" t="s">
        <v>3950</v>
      </c>
      <c r="D475" s="26" t="s">
        <v>3951</v>
      </c>
      <c r="E475" s="26" t="s">
        <v>2058</v>
      </c>
      <c r="F475" s="26" t="s">
        <v>2059</v>
      </c>
      <c r="G475" s="26" t="s">
        <v>3952</v>
      </c>
      <c r="H475" s="26" t="s">
        <v>2066</v>
      </c>
    </row>
    <row r="476" customFormat="false" ht="23.85" hidden="false" customHeight="false" outlineLevel="0" collapsed="false">
      <c r="A476" s="26" t="s">
        <v>3953</v>
      </c>
      <c r="B476" s="8" t="s">
        <v>3954</v>
      </c>
      <c r="C476" s="26" t="s">
        <v>3955</v>
      </c>
      <c r="D476" s="26" t="s">
        <v>3956</v>
      </c>
      <c r="E476" s="26" t="s">
        <v>2058</v>
      </c>
      <c r="F476" s="26" t="s">
        <v>2059</v>
      </c>
      <c r="G476" s="26" t="s">
        <v>3957</v>
      </c>
      <c r="H476" s="26" t="s">
        <v>2061</v>
      </c>
    </row>
    <row r="477" customFormat="false" ht="35.05" hidden="false" customHeight="false" outlineLevel="0" collapsed="false">
      <c r="A477" s="26" t="s">
        <v>3958</v>
      </c>
      <c r="B477" s="8" t="s">
        <v>3959</v>
      </c>
      <c r="C477" s="26" t="s">
        <v>3960</v>
      </c>
      <c r="D477" s="26" t="s">
        <v>3956</v>
      </c>
      <c r="E477" s="26" t="s">
        <v>2058</v>
      </c>
      <c r="F477" s="26" t="s">
        <v>2059</v>
      </c>
      <c r="G477" s="26" t="s">
        <v>3942</v>
      </c>
      <c r="H477" s="26" t="s">
        <v>2061</v>
      </c>
    </row>
    <row r="478" customFormat="false" ht="23.85" hidden="false" customHeight="false" outlineLevel="0" collapsed="false">
      <c r="A478" s="26" t="s">
        <v>3961</v>
      </c>
      <c r="B478" s="8" t="s">
        <v>3962</v>
      </c>
      <c r="C478" s="26" t="s">
        <v>3963</v>
      </c>
      <c r="D478" s="26" t="s">
        <v>3964</v>
      </c>
      <c r="E478" s="26" t="s">
        <v>2058</v>
      </c>
      <c r="F478" s="26" t="s">
        <v>2059</v>
      </c>
      <c r="G478" s="26" t="s">
        <v>3942</v>
      </c>
      <c r="H478" s="26" t="s">
        <v>2061</v>
      </c>
    </row>
    <row r="479" customFormat="false" ht="23.85" hidden="false" customHeight="false" outlineLevel="0" collapsed="false">
      <c r="A479" s="26" t="s">
        <v>3965</v>
      </c>
      <c r="B479" s="8" t="s">
        <v>3966</v>
      </c>
      <c r="C479" s="26" t="s">
        <v>3967</v>
      </c>
      <c r="D479" s="26" t="s">
        <v>3968</v>
      </c>
      <c r="E479" s="26" t="s">
        <v>2058</v>
      </c>
      <c r="F479" s="26" t="s">
        <v>2071</v>
      </c>
      <c r="G479" s="26" t="s">
        <v>3969</v>
      </c>
      <c r="H479" s="26" t="s">
        <v>2096</v>
      </c>
    </row>
    <row r="480" customFormat="false" ht="15" hidden="false" customHeight="false" outlineLevel="0" collapsed="false">
      <c r="A480" s="26" t="s">
        <v>3970</v>
      </c>
      <c r="B480" s="8" t="s">
        <v>3971</v>
      </c>
      <c r="C480" s="26" t="s">
        <v>3972</v>
      </c>
      <c r="D480" s="26" t="s">
        <v>2192</v>
      </c>
      <c r="E480" s="26" t="s">
        <v>2058</v>
      </c>
      <c r="F480" s="26" t="s">
        <v>2059</v>
      </c>
      <c r="G480" s="26" t="s">
        <v>3973</v>
      </c>
      <c r="H480" s="26" t="s">
        <v>2061</v>
      </c>
    </row>
    <row r="481" customFormat="false" ht="23.85" hidden="false" customHeight="false" outlineLevel="0" collapsed="false">
      <c r="A481" s="26" t="s">
        <v>3974</v>
      </c>
      <c r="B481" s="8" t="s">
        <v>3975</v>
      </c>
      <c r="C481" s="26" t="s">
        <v>3976</v>
      </c>
      <c r="D481" s="26" t="s">
        <v>2192</v>
      </c>
      <c r="E481" s="26" t="s">
        <v>2058</v>
      </c>
      <c r="F481" s="26" t="s">
        <v>2059</v>
      </c>
      <c r="G481" s="26" t="s">
        <v>3977</v>
      </c>
      <c r="H481" s="26" t="s">
        <v>2061</v>
      </c>
    </row>
    <row r="482" customFormat="false" ht="23.85" hidden="false" customHeight="false" outlineLevel="0" collapsed="false">
      <c r="A482" s="26" t="s">
        <v>3978</v>
      </c>
      <c r="B482" s="8" t="s">
        <v>3979</v>
      </c>
      <c r="C482" s="26" t="s">
        <v>3980</v>
      </c>
      <c r="D482" s="26" t="s">
        <v>2192</v>
      </c>
      <c r="E482" s="26" t="s">
        <v>2058</v>
      </c>
      <c r="F482" s="26" t="s">
        <v>2059</v>
      </c>
      <c r="G482" s="26" t="s">
        <v>3981</v>
      </c>
      <c r="H482" s="26" t="s">
        <v>2061</v>
      </c>
    </row>
    <row r="483" customFormat="false" ht="23.85" hidden="false" customHeight="false" outlineLevel="0" collapsed="false">
      <c r="A483" s="26" t="s">
        <v>480</v>
      </c>
      <c r="B483" s="8" t="s">
        <v>3982</v>
      </c>
      <c r="C483" s="26" t="s">
        <v>3983</v>
      </c>
      <c r="D483" s="26" t="s">
        <v>2192</v>
      </c>
      <c r="E483" s="26" t="s">
        <v>2058</v>
      </c>
      <c r="F483" s="26" t="s">
        <v>2059</v>
      </c>
      <c r="G483" s="26" t="s">
        <v>3984</v>
      </c>
      <c r="H483" s="26" t="s">
        <v>2061</v>
      </c>
    </row>
    <row r="484" customFormat="false" ht="23.85" hidden="false" customHeight="false" outlineLevel="0" collapsed="false">
      <c r="A484" s="26" t="s">
        <v>3985</v>
      </c>
      <c r="B484" s="8" t="s">
        <v>3986</v>
      </c>
      <c r="C484" s="26" t="s">
        <v>3987</v>
      </c>
      <c r="D484" s="26" t="s">
        <v>2192</v>
      </c>
      <c r="E484" s="26" t="s">
        <v>2058</v>
      </c>
      <c r="F484" s="26" t="s">
        <v>2059</v>
      </c>
      <c r="G484" s="26" t="s">
        <v>3988</v>
      </c>
      <c r="H484" s="26" t="s">
        <v>2061</v>
      </c>
    </row>
    <row r="485" customFormat="false" ht="23.85" hidden="false" customHeight="false" outlineLevel="0" collapsed="false">
      <c r="A485" s="26" t="s">
        <v>3989</v>
      </c>
      <c r="B485" s="8" t="s">
        <v>3990</v>
      </c>
      <c r="C485" s="26" t="s">
        <v>3991</v>
      </c>
      <c r="D485" s="26" t="s">
        <v>2192</v>
      </c>
      <c r="E485" s="26" t="s">
        <v>2058</v>
      </c>
      <c r="F485" s="26" t="s">
        <v>2059</v>
      </c>
      <c r="G485" s="26" t="s">
        <v>3992</v>
      </c>
      <c r="H485" s="26" t="s">
        <v>2061</v>
      </c>
    </row>
    <row r="486" customFormat="false" ht="35.05" hidden="false" customHeight="false" outlineLevel="0" collapsed="false">
      <c r="A486" s="26" t="s">
        <v>3993</v>
      </c>
      <c r="B486" s="8" t="s">
        <v>3994</v>
      </c>
      <c r="C486" s="26" t="s">
        <v>3995</v>
      </c>
      <c r="D486" s="26" t="s">
        <v>2192</v>
      </c>
      <c r="E486" s="26" t="s">
        <v>2058</v>
      </c>
      <c r="F486" s="26" t="s">
        <v>2059</v>
      </c>
      <c r="G486" s="26" t="s">
        <v>3996</v>
      </c>
      <c r="H486" s="26" t="s">
        <v>2061</v>
      </c>
    </row>
    <row r="487" customFormat="false" ht="15" hidden="false" customHeight="false" outlineLevel="0" collapsed="false">
      <c r="A487" s="26" t="s">
        <v>3997</v>
      </c>
      <c r="B487" s="8" t="s">
        <v>3998</v>
      </c>
      <c r="C487" s="26" t="s">
        <v>3999</v>
      </c>
      <c r="D487" s="26" t="s">
        <v>2192</v>
      </c>
      <c r="E487" s="26" t="s">
        <v>2058</v>
      </c>
      <c r="F487" s="26" t="s">
        <v>2059</v>
      </c>
      <c r="G487" s="26" t="s">
        <v>4000</v>
      </c>
      <c r="H487" s="26" t="s">
        <v>2061</v>
      </c>
    </row>
    <row r="488" customFormat="false" ht="23.85" hidden="false" customHeight="false" outlineLevel="0" collapsed="false">
      <c r="A488" s="26" t="s">
        <v>4001</v>
      </c>
      <c r="B488" s="8" t="s">
        <v>4002</v>
      </c>
      <c r="C488" s="26" t="s">
        <v>4003</v>
      </c>
      <c r="D488" s="26" t="s">
        <v>2192</v>
      </c>
      <c r="E488" s="26" t="s">
        <v>2058</v>
      </c>
      <c r="F488" s="26" t="s">
        <v>2059</v>
      </c>
      <c r="G488" s="26" t="s">
        <v>4000</v>
      </c>
      <c r="H488" s="26" t="s">
        <v>2061</v>
      </c>
    </row>
    <row r="489" customFormat="false" ht="23.85" hidden="false" customHeight="false" outlineLevel="0" collapsed="false">
      <c r="A489" s="26" t="s">
        <v>4004</v>
      </c>
      <c r="B489" s="8" t="s">
        <v>4005</v>
      </c>
      <c r="C489" s="26" t="s">
        <v>4006</v>
      </c>
      <c r="D489" s="26" t="s">
        <v>2192</v>
      </c>
      <c r="E489" s="26" t="s">
        <v>2058</v>
      </c>
      <c r="F489" s="26" t="s">
        <v>2059</v>
      </c>
      <c r="G489" s="26" t="s">
        <v>4007</v>
      </c>
      <c r="H489" s="26" t="s">
        <v>2061</v>
      </c>
    </row>
    <row r="490" customFormat="false" ht="23.85" hidden="false" customHeight="false" outlineLevel="0" collapsed="false">
      <c r="A490" s="26" t="s">
        <v>4008</v>
      </c>
      <c r="B490" s="8" t="s">
        <v>4009</v>
      </c>
      <c r="C490" s="26" t="s">
        <v>4010</v>
      </c>
      <c r="D490" s="26" t="s">
        <v>2192</v>
      </c>
      <c r="E490" s="26" t="s">
        <v>2058</v>
      </c>
      <c r="F490" s="26" t="s">
        <v>2059</v>
      </c>
      <c r="G490" s="26" t="s">
        <v>4011</v>
      </c>
      <c r="H490" s="26" t="s">
        <v>2061</v>
      </c>
    </row>
    <row r="491" customFormat="false" ht="35.05" hidden="false" customHeight="false" outlineLevel="0" collapsed="false">
      <c r="A491" s="26" t="s">
        <v>4012</v>
      </c>
      <c r="B491" s="8" t="s">
        <v>4013</v>
      </c>
      <c r="C491" s="26" t="s">
        <v>4014</v>
      </c>
      <c r="D491" s="26" t="s">
        <v>4015</v>
      </c>
      <c r="E491" s="26" t="s">
        <v>2058</v>
      </c>
      <c r="F491" s="26" t="s">
        <v>2071</v>
      </c>
      <c r="G491" s="26" t="s">
        <v>3904</v>
      </c>
      <c r="H491" s="26" t="s">
        <v>2066</v>
      </c>
    </row>
    <row r="492" customFormat="false" ht="23.85" hidden="false" customHeight="false" outlineLevel="0" collapsed="false">
      <c r="A492" s="26" t="s">
        <v>4016</v>
      </c>
      <c r="B492" s="8" t="s">
        <v>4017</v>
      </c>
      <c r="C492" s="26" t="s">
        <v>4018</v>
      </c>
      <c r="D492" s="26" t="s">
        <v>3150</v>
      </c>
      <c r="E492" s="26" t="s">
        <v>2058</v>
      </c>
      <c r="F492" s="26" t="s">
        <v>2059</v>
      </c>
      <c r="G492" s="26" t="s">
        <v>3914</v>
      </c>
      <c r="H492" s="26" t="s">
        <v>2096</v>
      </c>
    </row>
    <row r="493" customFormat="false" ht="23.85" hidden="false" customHeight="false" outlineLevel="0" collapsed="false">
      <c r="A493" s="26" t="s">
        <v>4019</v>
      </c>
      <c r="B493" s="8" t="s">
        <v>4020</v>
      </c>
      <c r="C493" s="26" t="s">
        <v>4021</v>
      </c>
      <c r="D493" s="26" t="s">
        <v>4022</v>
      </c>
      <c r="E493" s="26" t="s">
        <v>2058</v>
      </c>
      <c r="F493" s="26" t="s">
        <v>2059</v>
      </c>
      <c r="G493" s="26" t="s">
        <v>3914</v>
      </c>
      <c r="H493" s="26" t="s">
        <v>2096</v>
      </c>
    </row>
    <row r="494" customFormat="false" ht="23.85" hidden="false" customHeight="false" outlineLevel="0" collapsed="false">
      <c r="A494" s="26" t="s">
        <v>4023</v>
      </c>
      <c r="B494" s="8" t="s">
        <v>4024</v>
      </c>
      <c r="C494" s="26" t="s">
        <v>4025</v>
      </c>
      <c r="D494" s="26" t="s">
        <v>2658</v>
      </c>
      <c r="E494" s="26" t="s">
        <v>2058</v>
      </c>
      <c r="F494" s="26" t="s">
        <v>2059</v>
      </c>
      <c r="G494" s="26" t="s">
        <v>4026</v>
      </c>
      <c r="H494" s="26" t="s">
        <v>2061</v>
      </c>
    </row>
    <row r="495" customFormat="false" ht="35.05" hidden="false" customHeight="false" outlineLevel="0" collapsed="false">
      <c r="A495" s="26" t="s">
        <v>4027</v>
      </c>
      <c r="B495" s="8" t="s">
        <v>4028</v>
      </c>
      <c r="C495" s="26" t="s">
        <v>4029</v>
      </c>
      <c r="D495" s="26" t="s">
        <v>2658</v>
      </c>
      <c r="E495" s="26" t="s">
        <v>2058</v>
      </c>
      <c r="F495" s="26" t="s">
        <v>2059</v>
      </c>
      <c r="G495" s="26" t="s">
        <v>4030</v>
      </c>
      <c r="H495" s="26" t="s">
        <v>2061</v>
      </c>
    </row>
    <row r="496" customFormat="false" ht="35.05" hidden="false" customHeight="false" outlineLevel="0" collapsed="false">
      <c r="A496" s="26" t="s">
        <v>4031</v>
      </c>
      <c r="B496" s="8" t="s">
        <v>4032</v>
      </c>
      <c r="C496" s="26" t="s">
        <v>4033</v>
      </c>
      <c r="D496" s="26" t="s">
        <v>2658</v>
      </c>
      <c r="E496" s="26" t="s">
        <v>2058</v>
      </c>
      <c r="F496" s="26" t="s">
        <v>2059</v>
      </c>
      <c r="G496" s="26" t="s">
        <v>4034</v>
      </c>
      <c r="H496" s="26" t="s">
        <v>2061</v>
      </c>
    </row>
    <row r="497" customFormat="false" ht="23.85" hidden="false" customHeight="false" outlineLevel="0" collapsed="false">
      <c r="A497" s="26" t="s">
        <v>4035</v>
      </c>
      <c r="B497" s="8" t="s">
        <v>4036</v>
      </c>
      <c r="C497" s="26" t="s">
        <v>4037</v>
      </c>
      <c r="D497" s="26" t="s">
        <v>2658</v>
      </c>
      <c r="E497" s="26" t="s">
        <v>2058</v>
      </c>
      <c r="F497" s="26" t="s">
        <v>2059</v>
      </c>
      <c r="G497" s="26" t="s">
        <v>4038</v>
      </c>
      <c r="H497" s="26" t="s">
        <v>2061</v>
      </c>
    </row>
    <row r="498" customFormat="false" ht="23.85" hidden="false" customHeight="false" outlineLevel="0" collapsed="false">
      <c r="A498" s="26" t="s">
        <v>4039</v>
      </c>
      <c r="B498" s="8" t="s">
        <v>4040</v>
      </c>
      <c r="C498" s="26" t="s">
        <v>4041</v>
      </c>
      <c r="D498" s="26" t="s">
        <v>2658</v>
      </c>
      <c r="E498" s="26" t="s">
        <v>2058</v>
      </c>
      <c r="F498" s="26" t="s">
        <v>2059</v>
      </c>
      <c r="G498" s="26" t="s">
        <v>4042</v>
      </c>
      <c r="H498" s="26" t="s">
        <v>2061</v>
      </c>
    </row>
    <row r="499" customFormat="false" ht="35.05" hidden="false" customHeight="false" outlineLevel="0" collapsed="false">
      <c r="A499" s="26" t="s">
        <v>4043</v>
      </c>
      <c r="B499" s="8" t="s">
        <v>4044</v>
      </c>
      <c r="C499" s="26" t="s">
        <v>3432</v>
      </c>
      <c r="D499" s="26" t="s">
        <v>4045</v>
      </c>
      <c r="E499" s="26" t="s">
        <v>2058</v>
      </c>
      <c r="F499" s="26" t="s">
        <v>2059</v>
      </c>
      <c r="G499" s="26" t="s">
        <v>4046</v>
      </c>
      <c r="H499" s="26" t="s">
        <v>2066</v>
      </c>
    </row>
    <row r="500" customFormat="false" ht="23.85" hidden="false" customHeight="false" outlineLevel="0" collapsed="false">
      <c r="A500" s="26" t="s">
        <v>4047</v>
      </c>
      <c r="B500" s="8" t="s">
        <v>4048</v>
      </c>
      <c r="C500" s="26" t="s">
        <v>3611</v>
      </c>
      <c r="D500" s="26" t="s">
        <v>4049</v>
      </c>
      <c r="E500" s="26" t="s">
        <v>2058</v>
      </c>
      <c r="F500" s="26" t="s">
        <v>2059</v>
      </c>
      <c r="G500" s="26" t="s">
        <v>4050</v>
      </c>
      <c r="H500" s="26" t="s">
        <v>2066</v>
      </c>
    </row>
    <row r="501" customFormat="false" ht="23.85" hidden="false" customHeight="false" outlineLevel="0" collapsed="false">
      <c r="A501" s="26" t="s">
        <v>4051</v>
      </c>
      <c r="B501" s="8" t="s">
        <v>4052</v>
      </c>
      <c r="C501" s="26" t="s">
        <v>4053</v>
      </c>
      <c r="D501" s="26" t="s">
        <v>3968</v>
      </c>
      <c r="E501" s="26" t="s">
        <v>2058</v>
      </c>
      <c r="F501" s="26" t="s">
        <v>2071</v>
      </c>
      <c r="G501" s="26" t="s">
        <v>4054</v>
      </c>
      <c r="H501" s="26" t="s">
        <v>2096</v>
      </c>
    </row>
    <row r="502" customFormat="false" ht="35.05" hidden="false" customHeight="false" outlineLevel="0" collapsed="false">
      <c r="A502" s="26" t="s">
        <v>4055</v>
      </c>
      <c r="B502" s="8" t="s">
        <v>4056</v>
      </c>
      <c r="C502" s="26" t="s">
        <v>4053</v>
      </c>
      <c r="D502" s="26" t="s">
        <v>4057</v>
      </c>
      <c r="E502" s="26" t="s">
        <v>2058</v>
      </c>
      <c r="F502" s="26" t="s">
        <v>2059</v>
      </c>
      <c r="G502" s="26" t="s">
        <v>4058</v>
      </c>
      <c r="H502" s="26" t="s">
        <v>2061</v>
      </c>
    </row>
    <row r="503" customFormat="false" ht="23.85" hidden="false" customHeight="false" outlineLevel="0" collapsed="false">
      <c r="A503" s="26" t="s">
        <v>4059</v>
      </c>
      <c r="B503" s="8" t="s">
        <v>4060</v>
      </c>
      <c r="C503" s="26" t="s">
        <v>4061</v>
      </c>
      <c r="D503" s="26" t="s">
        <v>4057</v>
      </c>
      <c r="E503" s="26" t="s">
        <v>2058</v>
      </c>
      <c r="F503" s="26" t="s">
        <v>2059</v>
      </c>
      <c r="G503" s="26" t="s">
        <v>4062</v>
      </c>
      <c r="H503" s="26" t="s">
        <v>2061</v>
      </c>
    </row>
    <row r="504" customFormat="false" ht="35.05" hidden="false" customHeight="false" outlineLevel="0" collapsed="false">
      <c r="A504" s="26" t="s">
        <v>4063</v>
      </c>
      <c r="B504" s="8" t="s">
        <v>4064</v>
      </c>
      <c r="C504" s="26" t="s">
        <v>4065</v>
      </c>
      <c r="D504" s="26" t="s">
        <v>4066</v>
      </c>
      <c r="E504" s="26" t="s">
        <v>2058</v>
      </c>
      <c r="F504" s="26" t="s">
        <v>2071</v>
      </c>
      <c r="G504" s="26" t="s">
        <v>4067</v>
      </c>
      <c r="H504" s="26" t="s">
        <v>2096</v>
      </c>
    </row>
    <row r="505" customFormat="false" ht="23.85" hidden="false" customHeight="false" outlineLevel="0" collapsed="false">
      <c r="A505" s="26" t="s">
        <v>4068</v>
      </c>
      <c r="B505" s="8" t="s">
        <v>4069</v>
      </c>
      <c r="C505" s="26" t="s">
        <v>4070</v>
      </c>
      <c r="D505" s="26" t="s">
        <v>3968</v>
      </c>
      <c r="E505" s="26" t="s">
        <v>2058</v>
      </c>
      <c r="F505" s="26" t="s">
        <v>2071</v>
      </c>
      <c r="G505" s="26" t="s">
        <v>4071</v>
      </c>
      <c r="H505" s="26" t="s">
        <v>2096</v>
      </c>
    </row>
    <row r="506" customFormat="false" ht="35.05" hidden="false" customHeight="false" outlineLevel="0" collapsed="false">
      <c r="A506" s="26" t="s">
        <v>4072</v>
      </c>
      <c r="B506" s="8" t="s">
        <v>4073</v>
      </c>
      <c r="C506" s="26" t="s">
        <v>4074</v>
      </c>
      <c r="D506" s="26" t="s">
        <v>4075</v>
      </c>
      <c r="E506" s="26" t="s">
        <v>2058</v>
      </c>
      <c r="F506" s="26" t="s">
        <v>2071</v>
      </c>
      <c r="G506" s="26" t="s">
        <v>3302</v>
      </c>
      <c r="H506" s="26" t="s">
        <v>2066</v>
      </c>
    </row>
    <row r="507" customFormat="false" ht="23.85" hidden="false" customHeight="false" outlineLevel="0" collapsed="false">
      <c r="A507" s="26" t="s">
        <v>4076</v>
      </c>
      <c r="B507" s="8" t="s">
        <v>4077</v>
      </c>
      <c r="C507" s="26" t="s">
        <v>4078</v>
      </c>
      <c r="D507" s="26" t="s">
        <v>2209</v>
      </c>
      <c r="E507" s="26" t="s">
        <v>2058</v>
      </c>
      <c r="F507" s="26" t="s">
        <v>2059</v>
      </c>
      <c r="G507" s="26" t="s">
        <v>3302</v>
      </c>
      <c r="H507" s="26" t="s">
        <v>2061</v>
      </c>
    </row>
    <row r="508" customFormat="false" ht="23.85" hidden="false" customHeight="false" outlineLevel="0" collapsed="false">
      <c r="A508" s="26" t="s">
        <v>4079</v>
      </c>
      <c r="B508" s="8" t="s">
        <v>4080</v>
      </c>
      <c r="C508" s="26" t="s">
        <v>4081</v>
      </c>
      <c r="D508" s="26" t="s">
        <v>2209</v>
      </c>
      <c r="E508" s="26" t="s">
        <v>2058</v>
      </c>
      <c r="F508" s="26" t="s">
        <v>2059</v>
      </c>
      <c r="G508" s="26" t="s">
        <v>3302</v>
      </c>
      <c r="H508" s="26" t="s">
        <v>2061</v>
      </c>
    </row>
    <row r="509" customFormat="false" ht="35.05" hidden="false" customHeight="false" outlineLevel="0" collapsed="false">
      <c r="A509" s="26" t="s">
        <v>4082</v>
      </c>
      <c r="B509" s="8" t="s">
        <v>4083</v>
      </c>
      <c r="C509" s="26" t="s">
        <v>4084</v>
      </c>
      <c r="D509" s="26" t="s">
        <v>4085</v>
      </c>
      <c r="E509" s="26" t="s">
        <v>2058</v>
      </c>
      <c r="F509" s="26" t="s">
        <v>2059</v>
      </c>
      <c r="G509" s="26" t="s">
        <v>4086</v>
      </c>
      <c r="H509" s="26" t="s">
        <v>2061</v>
      </c>
    </row>
    <row r="510" customFormat="false" ht="23.85" hidden="false" customHeight="false" outlineLevel="0" collapsed="false">
      <c r="A510" s="26" t="s">
        <v>4087</v>
      </c>
      <c r="B510" s="8" t="s">
        <v>4088</v>
      </c>
      <c r="C510" s="26" t="s">
        <v>4089</v>
      </c>
      <c r="D510" s="26" t="s">
        <v>4085</v>
      </c>
      <c r="E510" s="26" t="s">
        <v>2058</v>
      </c>
      <c r="F510" s="26" t="s">
        <v>2059</v>
      </c>
      <c r="G510" s="26" t="s">
        <v>4086</v>
      </c>
      <c r="H510" s="26" t="s">
        <v>2061</v>
      </c>
    </row>
    <row r="511" customFormat="false" ht="35.05" hidden="false" customHeight="false" outlineLevel="0" collapsed="false">
      <c r="A511" s="26" t="s">
        <v>4090</v>
      </c>
      <c r="B511" s="8" t="s">
        <v>4091</v>
      </c>
      <c r="C511" s="26" t="s">
        <v>4092</v>
      </c>
      <c r="D511" s="26" t="s">
        <v>4085</v>
      </c>
      <c r="E511" s="26" t="s">
        <v>2058</v>
      </c>
      <c r="F511" s="26" t="s">
        <v>2059</v>
      </c>
      <c r="G511" s="26" t="s">
        <v>4086</v>
      </c>
      <c r="H511" s="26" t="s">
        <v>2061</v>
      </c>
    </row>
    <row r="512" customFormat="false" ht="46.25" hidden="false" customHeight="false" outlineLevel="0" collapsed="false">
      <c r="A512" s="26" t="s">
        <v>4093</v>
      </c>
      <c r="B512" s="8" t="s">
        <v>4094</v>
      </c>
      <c r="C512" s="26" t="s">
        <v>4095</v>
      </c>
      <c r="D512" s="26" t="s">
        <v>4085</v>
      </c>
      <c r="E512" s="26" t="s">
        <v>2058</v>
      </c>
      <c r="F512" s="26" t="s">
        <v>2059</v>
      </c>
      <c r="G512" s="26" t="s">
        <v>4086</v>
      </c>
      <c r="H512" s="26" t="s">
        <v>2061</v>
      </c>
    </row>
    <row r="513" customFormat="false" ht="23.85" hidden="false" customHeight="false" outlineLevel="0" collapsed="false">
      <c r="A513" s="26" t="s">
        <v>4096</v>
      </c>
      <c r="B513" s="8" t="s">
        <v>4097</v>
      </c>
      <c r="C513" s="26" t="s">
        <v>4098</v>
      </c>
      <c r="D513" s="26" t="s">
        <v>4085</v>
      </c>
      <c r="E513" s="26" t="s">
        <v>2058</v>
      </c>
      <c r="F513" s="26" t="s">
        <v>2059</v>
      </c>
      <c r="G513" s="26" t="s">
        <v>4086</v>
      </c>
      <c r="H513" s="26" t="s">
        <v>2061</v>
      </c>
    </row>
    <row r="514" customFormat="false" ht="35.05" hidden="false" customHeight="false" outlineLevel="0" collapsed="false">
      <c r="A514" s="26" t="s">
        <v>4099</v>
      </c>
      <c r="B514" s="8" t="s">
        <v>4100</v>
      </c>
      <c r="C514" s="26" t="s">
        <v>4101</v>
      </c>
      <c r="D514" s="26" t="s">
        <v>4085</v>
      </c>
      <c r="E514" s="26" t="s">
        <v>2058</v>
      </c>
      <c r="F514" s="26" t="s">
        <v>2059</v>
      </c>
      <c r="G514" s="26" t="s">
        <v>4086</v>
      </c>
      <c r="H514" s="26" t="s">
        <v>2061</v>
      </c>
    </row>
    <row r="515" customFormat="false" ht="35.05" hidden="false" customHeight="false" outlineLevel="0" collapsed="false">
      <c r="A515" s="26" t="s">
        <v>4102</v>
      </c>
      <c r="B515" s="8" t="s">
        <v>4103</v>
      </c>
      <c r="C515" s="26" t="s">
        <v>4104</v>
      </c>
      <c r="D515" s="26" t="s">
        <v>4105</v>
      </c>
      <c r="E515" s="26" t="s">
        <v>2058</v>
      </c>
      <c r="F515" s="26" t="s">
        <v>2059</v>
      </c>
      <c r="G515" s="26" t="s">
        <v>4106</v>
      </c>
      <c r="H515" s="26" t="s">
        <v>2061</v>
      </c>
    </row>
    <row r="516" customFormat="false" ht="15" hidden="false" customHeight="false" outlineLevel="0" collapsed="false">
      <c r="A516" s="26" t="s">
        <v>4107</v>
      </c>
      <c r="B516" s="8" t="s">
        <v>4108</v>
      </c>
      <c r="C516" s="26" t="s">
        <v>4109</v>
      </c>
      <c r="D516" s="26" t="s">
        <v>4110</v>
      </c>
      <c r="E516" s="26" t="s">
        <v>2058</v>
      </c>
      <c r="F516" s="26" t="s">
        <v>2059</v>
      </c>
      <c r="G516" s="26" t="s">
        <v>4111</v>
      </c>
      <c r="H516" s="26" t="s">
        <v>2066</v>
      </c>
    </row>
    <row r="517" customFormat="false" ht="23.85" hidden="false" customHeight="false" outlineLevel="0" collapsed="false">
      <c r="A517" s="26" t="s">
        <v>4112</v>
      </c>
      <c r="B517" s="8" t="s">
        <v>4113</v>
      </c>
      <c r="C517" s="26" t="s">
        <v>4114</v>
      </c>
      <c r="D517" s="26" t="s">
        <v>4115</v>
      </c>
      <c r="E517" s="26" t="s">
        <v>2058</v>
      </c>
      <c r="F517" s="26" t="s">
        <v>2059</v>
      </c>
      <c r="G517" s="26" t="s">
        <v>4116</v>
      </c>
      <c r="H517" s="26" t="s">
        <v>2066</v>
      </c>
    </row>
    <row r="518" customFormat="false" ht="23.85" hidden="false" customHeight="false" outlineLevel="0" collapsed="false">
      <c r="A518" s="26" t="s">
        <v>4117</v>
      </c>
      <c r="B518" s="8" t="s">
        <v>4118</v>
      </c>
      <c r="C518" s="26" t="s">
        <v>4119</v>
      </c>
      <c r="D518" s="26" t="s">
        <v>4120</v>
      </c>
      <c r="E518" s="26" t="s">
        <v>2058</v>
      </c>
      <c r="F518" s="26" t="s">
        <v>2059</v>
      </c>
      <c r="G518" s="26" t="s">
        <v>4121</v>
      </c>
      <c r="H518" s="26" t="s">
        <v>2066</v>
      </c>
    </row>
    <row r="519" customFormat="false" ht="23.85" hidden="false" customHeight="false" outlineLevel="0" collapsed="false">
      <c r="A519" s="26" t="s">
        <v>4122</v>
      </c>
      <c r="B519" s="8" t="s">
        <v>4123</v>
      </c>
      <c r="C519" s="26" t="s">
        <v>4124</v>
      </c>
      <c r="D519" s="26" t="s">
        <v>4125</v>
      </c>
      <c r="E519" s="26" t="s">
        <v>2058</v>
      </c>
      <c r="F519" s="26" t="s">
        <v>2059</v>
      </c>
      <c r="G519" s="26" t="s">
        <v>4126</v>
      </c>
      <c r="H519" s="26" t="s">
        <v>2066</v>
      </c>
    </row>
    <row r="520" customFormat="false" ht="23.85" hidden="false" customHeight="false" outlineLevel="0" collapsed="false">
      <c r="A520" s="26" t="s">
        <v>4127</v>
      </c>
      <c r="B520" s="8" t="s">
        <v>4128</v>
      </c>
      <c r="C520" s="26" t="s">
        <v>4129</v>
      </c>
      <c r="D520" s="26" t="s">
        <v>4130</v>
      </c>
      <c r="E520" s="26" t="s">
        <v>2058</v>
      </c>
      <c r="F520" s="26" t="s">
        <v>2059</v>
      </c>
      <c r="G520" s="26" t="s">
        <v>4131</v>
      </c>
      <c r="H520" s="26" t="s">
        <v>2061</v>
      </c>
    </row>
    <row r="521" customFormat="false" ht="23.85" hidden="false" customHeight="false" outlineLevel="0" collapsed="false">
      <c r="A521" s="26" t="s">
        <v>4132</v>
      </c>
      <c r="B521" s="8" t="s">
        <v>4133</v>
      </c>
      <c r="C521" s="26" t="s">
        <v>4134</v>
      </c>
      <c r="D521" s="26" t="s">
        <v>4125</v>
      </c>
      <c r="E521" s="26" t="s">
        <v>2058</v>
      </c>
      <c r="F521" s="26" t="s">
        <v>2059</v>
      </c>
      <c r="G521" s="26" t="s">
        <v>4126</v>
      </c>
      <c r="H521" s="26" t="s">
        <v>2066</v>
      </c>
    </row>
    <row r="522" customFormat="false" ht="23.85" hidden="false" customHeight="false" outlineLevel="0" collapsed="false">
      <c r="A522" s="26" t="s">
        <v>4135</v>
      </c>
      <c r="B522" s="8" t="s">
        <v>4136</v>
      </c>
      <c r="C522" s="26" t="s">
        <v>4137</v>
      </c>
      <c r="D522" s="26" t="s">
        <v>4138</v>
      </c>
      <c r="E522" s="26" t="s">
        <v>2058</v>
      </c>
      <c r="F522" s="26" t="s">
        <v>2059</v>
      </c>
      <c r="G522" s="26" t="s">
        <v>4139</v>
      </c>
      <c r="H522" s="26" t="s">
        <v>2066</v>
      </c>
    </row>
    <row r="523" customFormat="false" ht="23.85" hidden="false" customHeight="false" outlineLevel="0" collapsed="false">
      <c r="A523" s="26" t="s">
        <v>4140</v>
      </c>
      <c r="B523" s="8" t="s">
        <v>4141</v>
      </c>
      <c r="C523" s="26" t="s">
        <v>4142</v>
      </c>
      <c r="D523" s="26" t="s">
        <v>4143</v>
      </c>
      <c r="E523" s="26" t="s">
        <v>2058</v>
      </c>
      <c r="F523" s="26" t="s">
        <v>2071</v>
      </c>
      <c r="G523" s="26" t="s">
        <v>4139</v>
      </c>
      <c r="H523" s="26" t="s">
        <v>2096</v>
      </c>
    </row>
    <row r="524" customFormat="false" ht="23.85" hidden="false" customHeight="false" outlineLevel="0" collapsed="false">
      <c r="A524" s="26" t="s">
        <v>4144</v>
      </c>
      <c r="B524" s="8" t="s">
        <v>4145</v>
      </c>
      <c r="C524" s="26" t="s">
        <v>4146</v>
      </c>
      <c r="D524" s="26" t="s">
        <v>2769</v>
      </c>
      <c r="E524" s="26" t="s">
        <v>2058</v>
      </c>
      <c r="F524" s="26" t="s">
        <v>2059</v>
      </c>
      <c r="G524" s="26" t="s">
        <v>4131</v>
      </c>
      <c r="H524" s="26" t="s">
        <v>2066</v>
      </c>
    </row>
    <row r="525" customFormat="false" ht="23.85" hidden="false" customHeight="false" outlineLevel="0" collapsed="false">
      <c r="A525" s="26" t="s">
        <v>4147</v>
      </c>
      <c r="B525" s="8" t="s">
        <v>4148</v>
      </c>
      <c r="C525" s="26" t="s">
        <v>4149</v>
      </c>
      <c r="D525" s="26" t="s">
        <v>2769</v>
      </c>
      <c r="E525" s="26" t="s">
        <v>2058</v>
      </c>
      <c r="F525" s="26" t="s">
        <v>2059</v>
      </c>
      <c r="G525" s="26" t="s">
        <v>4131</v>
      </c>
      <c r="H525" s="26" t="s">
        <v>2066</v>
      </c>
    </row>
    <row r="526" customFormat="false" ht="23.85" hidden="false" customHeight="false" outlineLevel="0" collapsed="false">
      <c r="A526" s="26" t="s">
        <v>4150</v>
      </c>
      <c r="B526" s="8" t="s">
        <v>4151</v>
      </c>
      <c r="C526" s="26" t="s">
        <v>4152</v>
      </c>
      <c r="D526" s="26" t="s">
        <v>4153</v>
      </c>
      <c r="E526" s="26" t="s">
        <v>2058</v>
      </c>
      <c r="F526" s="26" t="s">
        <v>2071</v>
      </c>
      <c r="G526" s="26" t="s">
        <v>4131</v>
      </c>
      <c r="H526" s="26" t="s">
        <v>2096</v>
      </c>
    </row>
    <row r="527" customFormat="false" ht="23.85" hidden="false" customHeight="false" outlineLevel="0" collapsed="false">
      <c r="A527" s="26" t="s">
        <v>4154</v>
      </c>
      <c r="B527" s="8" t="s">
        <v>4155</v>
      </c>
      <c r="C527" s="26" t="s">
        <v>4156</v>
      </c>
      <c r="D527" s="26" t="s">
        <v>4085</v>
      </c>
      <c r="E527" s="26" t="s">
        <v>2058</v>
      </c>
      <c r="F527" s="26" t="s">
        <v>2059</v>
      </c>
      <c r="G527" s="26" t="s">
        <v>4086</v>
      </c>
      <c r="H527" s="26" t="s">
        <v>2061</v>
      </c>
    </row>
    <row r="528" customFormat="false" ht="35.05" hidden="false" customHeight="false" outlineLevel="0" collapsed="false">
      <c r="A528" s="26" t="s">
        <v>4157</v>
      </c>
      <c r="B528" s="8" t="s">
        <v>4158</v>
      </c>
      <c r="C528" s="26" t="s">
        <v>4159</v>
      </c>
      <c r="D528" s="26" t="s">
        <v>4085</v>
      </c>
      <c r="E528" s="26" t="s">
        <v>2058</v>
      </c>
      <c r="F528" s="26" t="s">
        <v>2059</v>
      </c>
      <c r="G528" s="26" t="s">
        <v>4160</v>
      </c>
      <c r="H528" s="26" t="s">
        <v>2061</v>
      </c>
    </row>
    <row r="529" customFormat="false" ht="35.05" hidden="false" customHeight="false" outlineLevel="0" collapsed="false">
      <c r="A529" s="26" t="s">
        <v>4161</v>
      </c>
      <c r="B529" s="8" t="s">
        <v>4162</v>
      </c>
      <c r="C529" s="26" t="s">
        <v>4163</v>
      </c>
      <c r="D529" s="26" t="s">
        <v>4164</v>
      </c>
      <c r="E529" s="26" t="s">
        <v>2058</v>
      </c>
      <c r="F529" s="26" t="s">
        <v>2059</v>
      </c>
      <c r="G529" s="26" t="s">
        <v>4126</v>
      </c>
      <c r="H529" s="26" t="s">
        <v>2061</v>
      </c>
    </row>
    <row r="530" customFormat="false" ht="23.85" hidden="false" customHeight="false" outlineLevel="0" collapsed="false">
      <c r="A530" s="26" t="s">
        <v>4165</v>
      </c>
      <c r="B530" s="8" t="s">
        <v>4166</v>
      </c>
      <c r="C530" s="26" t="s">
        <v>4167</v>
      </c>
      <c r="D530" s="26" t="s">
        <v>4168</v>
      </c>
      <c r="E530" s="26" t="s">
        <v>2058</v>
      </c>
      <c r="F530" s="26" t="s">
        <v>2059</v>
      </c>
      <c r="G530" s="26" t="s">
        <v>4139</v>
      </c>
      <c r="H530" s="26" t="s">
        <v>2061</v>
      </c>
    </row>
    <row r="531" customFormat="false" ht="23.85" hidden="false" customHeight="false" outlineLevel="0" collapsed="false">
      <c r="A531" s="26" t="s">
        <v>4169</v>
      </c>
      <c r="B531" s="8" t="s">
        <v>4170</v>
      </c>
      <c r="C531" s="26" t="s">
        <v>4171</v>
      </c>
      <c r="D531" s="26" t="s">
        <v>4168</v>
      </c>
      <c r="E531" s="26" t="s">
        <v>2058</v>
      </c>
      <c r="F531" s="26" t="s">
        <v>2059</v>
      </c>
      <c r="G531" s="26" t="s">
        <v>4139</v>
      </c>
      <c r="H531" s="26" t="s">
        <v>2061</v>
      </c>
    </row>
    <row r="532" customFormat="false" ht="35.05" hidden="false" customHeight="false" outlineLevel="0" collapsed="false">
      <c r="A532" s="26" t="s">
        <v>4172</v>
      </c>
      <c r="B532" s="8" t="s">
        <v>4173</v>
      </c>
      <c r="C532" s="26" t="s">
        <v>2772</v>
      </c>
      <c r="D532" s="26" t="s">
        <v>4174</v>
      </c>
      <c r="E532" s="26" t="s">
        <v>2058</v>
      </c>
      <c r="F532" s="26" t="s">
        <v>2059</v>
      </c>
      <c r="G532" s="26" t="s">
        <v>4175</v>
      </c>
      <c r="H532" s="26" t="s">
        <v>2066</v>
      </c>
    </row>
    <row r="533" customFormat="false" ht="35.05" hidden="false" customHeight="false" outlineLevel="0" collapsed="false">
      <c r="A533" s="26" t="s">
        <v>4176</v>
      </c>
      <c r="B533" s="8" t="s">
        <v>4177</v>
      </c>
      <c r="C533" s="26" t="s">
        <v>4178</v>
      </c>
      <c r="D533" s="26" t="s">
        <v>2742</v>
      </c>
      <c r="E533" s="26" t="s">
        <v>2058</v>
      </c>
      <c r="F533" s="26" t="s">
        <v>2059</v>
      </c>
      <c r="G533" s="26" t="s">
        <v>4126</v>
      </c>
      <c r="H533" s="26" t="s">
        <v>2066</v>
      </c>
    </row>
    <row r="534" customFormat="false" ht="35.05" hidden="false" customHeight="false" outlineLevel="0" collapsed="false">
      <c r="A534" s="26" t="s">
        <v>4179</v>
      </c>
      <c r="B534" s="8" t="s">
        <v>4180</v>
      </c>
      <c r="C534" s="26" t="s">
        <v>4181</v>
      </c>
      <c r="D534" s="26" t="s">
        <v>3530</v>
      </c>
      <c r="E534" s="26" t="s">
        <v>2058</v>
      </c>
      <c r="F534" s="26" t="s">
        <v>2059</v>
      </c>
      <c r="G534" s="26" t="s">
        <v>4139</v>
      </c>
      <c r="H534" s="26" t="s">
        <v>2061</v>
      </c>
    </row>
    <row r="535" customFormat="false" ht="35.05" hidden="false" customHeight="false" outlineLevel="0" collapsed="false">
      <c r="A535" s="26" t="s">
        <v>4182</v>
      </c>
      <c r="B535" s="8" t="s">
        <v>4183</v>
      </c>
      <c r="C535" s="26" t="s">
        <v>4184</v>
      </c>
      <c r="D535" s="26" t="s">
        <v>3530</v>
      </c>
      <c r="E535" s="26" t="s">
        <v>2058</v>
      </c>
      <c r="F535" s="26" t="s">
        <v>2059</v>
      </c>
      <c r="G535" s="26" t="s">
        <v>4139</v>
      </c>
      <c r="H535" s="26" t="s">
        <v>2061</v>
      </c>
    </row>
    <row r="536" customFormat="false" ht="23.85" hidden="false" customHeight="false" outlineLevel="0" collapsed="false">
      <c r="A536" s="26" t="s">
        <v>4185</v>
      </c>
      <c r="B536" s="8" t="s">
        <v>4186</v>
      </c>
      <c r="C536" s="26" t="s">
        <v>4187</v>
      </c>
      <c r="D536" s="26" t="s">
        <v>2769</v>
      </c>
      <c r="E536" s="26" t="s">
        <v>2058</v>
      </c>
      <c r="F536" s="26" t="s">
        <v>2059</v>
      </c>
      <c r="G536" s="26" t="s">
        <v>4131</v>
      </c>
      <c r="H536" s="26" t="s">
        <v>2096</v>
      </c>
    </row>
    <row r="537" customFormat="false" ht="23.85" hidden="false" customHeight="false" outlineLevel="0" collapsed="false">
      <c r="A537" s="26" t="s">
        <v>4188</v>
      </c>
      <c r="B537" s="8" t="s">
        <v>4189</v>
      </c>
      <c r="C537" s="26" t="s">
        <v>4190</v>
      </c>
      <c r="D537" s="26" t="s">
        <v>3530</v>
      </c>
      <c r="E537" s="26" t="s">
        <v>2058</v>
      </c>
      <c r="F537" s="26" t="s">
        <v>2059</v>
      </c>
      <c r="G537" s="26" t="s">
        <v>4139</v>
      </c>
      <c r="H537" s="26" t="s">
        <v>2061</v>
      </c>
    </row>
    <row r="538" customFormat="false" ht="23.85" hidden="false" customHeight="false" outlineLevel="0" collapsed="false">
      <c r="A538" s="26" t="s">
        <v>4191</v>
      </c>
      <c r="B538" s="8" t="s">
        <v>4192</v>
      </c>
      <c r="C538" s="26" t="s">
        <v>4193</v>
      </c>
      <c r="D538" s="26" t="s">
        <v>4194</v>
      </c>
      <c r="E538" s="26" t="s">
        <v>2058</v>
      </c>
      <c r="F538" s="26" t="s">
        <v>2059</v>
      </c>
      <c r="G538" s="26" t="s">
        <v>4139</v>
      </c>
      <c r="H538" s="26" t="s">
        <v>2061</v>
      </c>
    </row>
    <row r="539" customFormat="false" ht="23.85" hidden="false" customHeight="false" outlineLevel="0" collapsed="false">
      <c r="A539" s="26" t="s">
        <v>4195</v>
      </c>
      <c r="B539" s="8" t="s">
        <v>4196</v>
      </c>
      <c r="C539" s="26" t="s">
        <v>4197</v>
      </c>
      <c r="D539" s="26" t="s">
        <v>4198</v>
      </c>
      <c r="E539" s="26" t="s">
        <v>2058</v>
      </c>
      <c r="F539" s="26" t="s">
        <v>2059</v>
      </c>
      <c r="G539" s="26" t="s">
        <v>4139</v>
      </c>
      <c r="H539" s="26" t="s">
        <v>2066</v>
      </c>
    </row>
    <row r="540" customFormat="false" ht="46.25" hidden="false" customHeight="false" outlineLevel="0" collapsed="false">
      <c r="A540" s="26" t="s">
        <v>4199</v>
      </c>
      <c r="B540" s="8" t="s">
        <v>4200</v>
      </c>
      <c r="C540" s="26" t="s">
        <v>4201</v>
      </c>
      <c r="D540" s="26" t="s">
        <v>4202</v>
      </c>
      <c r="E540" s="26" t="s">
        <v>2058</v>
      </c>
      <c r="F540" s="26" t="s">
        <v>2071</v>
      </c>
      <c r="G540" s="26" t="s">
        <v>4139</v>
      </c>
      <c r="H540" s="26" t="s">
        <v>2066</v>
      </c>
    </row>
    <row r="541" customFormat="false" ht="35.05" hidden="false" customHeight="false" outlineLevel="0" collapsed="false">
      <c r="A541" s="26" t="s">
        <v>4203</v>
      </c>
      <c r="B541" s="8" t="s">
        <v>4204</v>
      </c>
      <c r="C541" s="26" t="s">
        <v>4205</v>
      </c>
      <c r="D541" s="26" t="s">
        <v>4206</v>
      </c>
      <c r="E541" s="26" t="s">
        <v>2058</v>
      </c>
      <c r="F541" s="26" t="s">
        <v>2071</v>
      </c>
      <c r="G541" s="26" t="s">
        <v>4139</v>
      </c>
      <c r="H541" s="26" t="s">
        <v>2066</v>
      </c>
    </row>
    <row r="542" customFormat="false" ht="23.85" hidden="false" customHeight="false" outlineLevel="0" collapsed="false">
      <c r="A542" s="26" t="s">
        <v>4207</v>
      </c>
      <c r="B542" s="8" t="s">
        <v>4208</v>
      </c>
      <c r="C542" s="26" t="s">
        <v>4209</v>
      </c>
      <c r="D542" s="26" t="s">
        <v>4210</v>
      </c>
      <c r="E542" s="26" t="s">
        <v>2058</v>
      </c>
      <c r="F542" s="26" t="s">
        <v>2059</v>
      </c>
      <c r="G542" s="26" t="s">
        <v>4139</v>
      </c>
      <c r="H542" s="26" t="s">
        <v>2096</v>
      </c>
    </row>
    <row r="543" customFormat="false" ht="23.85" hidden="false" customHeight="false" outlineLevel="0" collapsed="false">
      <c r="A543" s="26" t="s">
        <v>4211</v>
      </c>
      <c r="B543" s="8" t="s">
        <v>4212</v>
      </c>
      <c r="C543" s="26" t="s">
        <v>4213</v>
      </c>
      <c r="D543" s="26" t="s">
        <v>4214</v>
      </c>
      <c r="E543" s="26" t="s">
        <v>2058</v>
      </c>
      <c r="F543" s="26" t="s">
        <v>2059</v>
      </c>
      <c r="G543" s="26" t="s">
        <v>4215</v>
      </c>
      <c r="H543" s="26" t="s">
        <v>2066</v>
      </c>
    </row>
    <row r="544" customFormat="false" ht="23.85" hidden="false" customHeight="false" outlineLevel="0" collapsed="false">
      <c r="A544" s="26" t="s">
        <v>4216</v>
      </c>
      <c r="B544" s="8" t="s">
        <v>4217</v>
      </c>
      <c r="C544" s="26" t="s">
        <v>4218</v>
      </c>
      <c r="D544" s="26" t="s">
        <v>4219</v>
      </c>
      <c r="E544" s="26" t="s">
        <v>2058</v>
      </c>
      <c r="F544" s="26" t="s">
        <v>2059</v>
      </c>
      <c r="G544" s="26" t="s">
        <v>4220</v>
      </c>
      <c r="H544" s="26" t="s">
        <v>2096</v>
      </c>
    </row>
    <row r="545" customFormat="false" ht="23.85" hidden="false" customHeight="false" outlineLevel="0" collapsed="false">
      <c r="A545" s="26" t="s">
        <v>4221</v>
      </c>
      <c r="B545" s="8" t="s">
        <v>4222</v>
      </c>
      <c r="C545" s="26" t="s">
        <v>4223</v>
      </c>
      <c r="D545" s="26" t="s">
        <v>4224</v>
      </c>
      <c r="E545" s="26" t="s">
        <v>2058</v>
      </c>
      <c r="F545" s="26" t="s">
        <v>2059</v>
      </c>
      <c r="G545" s="26" t="s">
        <v>4225</v>
      </c>
      <c r="H545" s="26" t="s">
        <v>2096</v>
      </c>
    </row>
    <row r="546" customFormat="false" ht="23.85" hidden="false" customHeight="false" outlineLevel="0" collapsed="false">
      <c r="A546" s="26" t="s">
        <v>4226</v>
      </c>
      <c r="B546" s="8" t="s">
        <v>4227</v>
      </c>
      <c r="C546" s="26" t="s">
        <v>4228</v>
      </c>
      <c r="D546" s="26" t="s">
        <v>4229</v>
      </c>
      <c r="E546" s="26" t="s">
        <v>2058</v>
      </c>
      <c r="F546" s="26" t="s">
        <v>2059</v>
      </c>
      <c r="G546" s="26" t="s">
        <v>4230</v>
      </c>
      <c r="H546" s="26" t="s">
        <v>2066</v>
      </c>
    </row>
    <row r="547" customFormat="false" ht="23.85" hidden="false" customHeight="false" outlineLevel="0" collapsed="false">
      <c r="A547" s="26" t="s">
        <v>4231</v>
      </c>
      <c r="B547" s="8" t="s">
        <v>4232</v>
      </c>
      <c r="C547" s="26" t="s">
        <v>4233</v>
      </c>
      <c r="D547" s="26" t="s">
        <v>4229</v>
      </c>
      <c r="E547" s="26" t="s">
        <v>2058</v>
      </c>
      <c r="F547" s="26" t="s">
        <v>2059</v>
      </c>
      <c r="G547" s="26" t="s">
        <v>4230</v>
      </c>
      <c r="H547" s="26" t="s">
        <v>2066</v>
      </c>
    </row>
    <row r="548" customFormat="false" ht="23.85" hidden="false" customHeight="false" outlineLevel="0" collapsed="false">
      <c r="A548" s="26" t="s">
        <v>4234</v>
      </c>
      <c r="B548" s="8" t="s">
        <v>4235</v>
      </c>
      <c r="C548" s="26" t="s">
        <v>4236</v>
      </c>
      <c r="D548" s="26" t="s">
        <v>4229</v>
      </c>
      <c r="E548" s="26" t="s">
        <v>2058</v>
      </c>
      <c r="F548" s="26" t="s">
        <v>2059</v>
      </c>
      <c r="G548" s="26" t="s">
        <v>4237</v>
      </c>
      <c r="H548" s="26" t="s">
        <v>2066</v>
      </c>
    </row>
    <row r="549" customFormat="false" ht="23.85" hidden="false" customHeight="false" outlineLevel="0" collapsed="false">
      <c r="A549" s="26" t="s">
        <v>4238</v>
      </c>
      <c r="B549" s="8" t="s">
        <v>4239</v>
      </c>
      <c r="C549" s="26" t="s">
        <v>4240</v>
      </c>
      <c r="D549" s="26" t="s">
        <v>4229</v>
      </c>
      <c r="E549" s="26" t="s">
        <v>2058</v>
      </c>
      <c r="F549" s="26" t="s">
        <v>2059</v>
      </c>
      <c r="G549" s="26" t="s">
        <v>4241</v>
      </c>
      <c r="H549" s="26" t="s">
        <v>2066</v>
      </c>
    </row>
    <row r="550" customFormat="false" ht="15" hidden="false" customHeight="false" outlineLevel="0" collapsed="false">
      <c r="A550" s="26" t="s">
        <v>4242</v>
      </c>
      <c r="B550" s="8" t="s">
        <v>4243</v>
      </c>
      <c r="C550" s="26" t="s">
        <v>4244</v>
      </c>
      <c r="D550" s="26" t="s">
        <v>4229</v>
      </c>
      <c r="E550" s="26" t="s">
        <v>2058</v>
      </c>
      <c r="F550" s="26" t="s">
        <v>2059</v>
      </c>
      <c r="G550" s="26" t="s">
        <v>4245</v>
      </c>
      <c r="H550" s="26" t="s">
        <v>2066</v>
      </c>
    </row>
    <row r="551" customFormat="false" ht="23.85" hidden="false" customHeight="false" outlineLevel="0" collapsed="false">
      <c r="A551" s="26" t="s">
        <v>4246</v>
      </c>
      <c r="B551" s="8" t="s">
        <v>4247</v>
      </c>
      <c r="C551" s="26" t="s">
        <v>4248</v>
      </c>
      <c r="D551" s="26" t="s">
        <v>4229</v>
      </c>
      <c r="E551" s="26" t="s">
        <v>2058</v>
      </c>
      <c r="F551" s="26" t="s">
        <v>2059</v>
      </c>
      <c r="G551" s="26" t="s">
        <v>4249</v>
      </c>
      <c r="H551" s="26" t="s">
        <v>2066</v>
      </c>
    </row>
    <row r="552" customFormat="false" ht="23.85" hidden="false" customHeight="false" outlineLevel="0" collapsed="false">
      <c r="A552" s="26" t="s">
        <v>4250</v>
      </c>
      <c r="B552" s="8" t="s">
        <v>4251</v>
      </c>
      <c r="C552" s="26" t="s">
        <v>4252</v>
      </c>
      <c r="D552" s="26" t="s">
        <v>4229</v>
      </c>
      <c r="E552" s="26" t="s">
        <v>2058</v>
      </c>
      <c r="F552" s="26" t="s">
        <v>2059</v>
      </c>
      <c r="G552" s="26" t="s">
        <v>4249</v>
      </c>
      <c r="H552" s="26" t="s">
        <v>2066</v>
      </c>
    </row>
    <row r="553" customFormat="false" ht="23.85" hidden="false" customHeight="false" outlineLevel="0" collapsed="false">
      <c r="A553" s="26" t="s">
        <v>4253</v>
      </c>
      <c r="B553" s="8" t="s">
        <v>4254</v>
      </c>
      <c r="C553" s="26" t="s">
        <v>4255</v>
      </c>
      <c r="D553" s="26" t="s">
        <v>2658</v>
      </c>
      <c r="E553" s="26" t="s">
        <v>2058</v>
      </c>
      <c r="F553" s="26" t="s">
        <v>2059</v>
      </c>
      <c r="G553" s="26" t="s">
        <v>4230</v>
      </c>
      <c r="H553" s="26" t="s">
        <v>2061</v>
      </c>
    </row>
    <row r="554" customFormat="false" ht="23.85" hidden="false" customHeight="false" outlineLevel="0" collapsed="false">
      <c r="A554" s="26" t="s">
        <v>4256</v>
      </c>
      <c r="B554" s="8" t="s">
        <v>4257</v>
      </c>
      <c r="C554" s="26" t="s">
        <v>4258</v>
      </c>
      <c r="D554" s="26" t="s">
        <v>4259</v>
      </c>
      <c r="E554" s="26" t="s">
        <v>2058</v>
      </c>
      <c r="F554" s="26" t="s">
        <v>2059</v>
      </c>
      <c r="G554" s="26" t="s">
        <v>4230</v>
      </c>
      <c r="H554" s="26" t="s">
        <v>2066</v>
      </c>
    </row>
    <row r="555" customFormat="false" ht="23.85" hidden="false" customHeight="false" outlineLevel="0" collapsed="false">
      <c r="A555" s="26" t="s">
        <v>4260</v>
      </c>
      <c r="B555" s="8" t="s">
        <v>4261</v>
      </c>
      <c r="C555" s="26" t="s">
        <v>4262</v>
      </c>
      <c r="D555" s="26" t="s">
        <v>4229</v>
      </c>
      <c r="E555" s="26" t="s">
        <v>2058</v>
      </c>
      <c r="F555" s="26" t="s">
        <v>2059</v>
      </c>
      <c r="G555" s="26" t="s">
        <v>4263</v>
      </c>
      <c r="H555" s="26" t="s">
        <v>2066</v>
      </c>
    </row>
    <row r="556" customFormat="false" ht="23.85" hidden="false" customHeight="false" outlineLevel="0" collapsed="false">
      <c r="A556" s="26" t="s">
        <v>4264</v>
      </c>
      <c r="B556" s="8" t="s">
        <v>4265</v>
      </c>
      <c r="C556" s="26" t="s">
        <v>4266</v>
      </c>
      <c r="D556" s="26" t="s">
        <v>4267</v>
      </c>
      <c r="E556" s="26" t="s">
        <v>2058</v>
      </c>
      <c r="F556" s="26" t="s">
        <v>2059</v>
      </c>
      <c r="G556" s="26" t="s">
        <v>4268</v>
      </c>
      <c r="H556" s="26" t="s">
        <v>2066</v>
      </c>
    </row>
    <row r="557" customFormat="false" ht="23.85" hidden="false" customHeight="false" outlineLevel="0" collapsed="false">
      <c r="A557" s="26" t="s">
        <v>4269</v>
      </c>
      <c r="B557" s="8" t="s">
        <v>4270</v>
      </c>
      <c r="C557" s="26" t="s">
        <v>4271</v>
      </c>
      <c r="D557" s="26" t="s">
        <v>3839</v>
      </c>
      <c r="E557" s="26" t="s">
        <v>2058</v>
      </c>
      <c r="F557" s="26" t="s">
        <v>2059</v>
      </c>
      <c r="G557" s="26" t="s">
        <v>4230</v>
      </c>
      <c r="H557" s="26" t="s">
        <v>2061</v>
      </c>
    </row>
    <row r="558" customFormat="false" ht="23.85" hidden="false" customHeight="false" outlineLevel="0" collapsed="false">
      <c r="A558" s="26" t="s">
        <v>4272</v>
      </c>
      <c r="B558" s="8" t="s">
        <v>4273</v>
      </c>
      <c r="C558" s="26" t="s">
        <v>4274</v>
      </c>
      <c r="D558" s="26" t="s">
        <v>4275</v>
      </c>
      <c r="E558" s="26" t="s">
        <v>2058</v>
      </c>
      <c r="F558" s="26" t="s">
        <v>2071</v>
      </c>
      <c r="G558" s="26" t="s">
        <v>4276</v>
      </c>
      <c r="H558" s="26" t="s">
        <v>2096</v>
      </c>
    </row>
    <row r="559" customFormat="false" ht="23.85" hidden="false" customHeight="false" outlineLevel="0" collapsed="false">
      <c r="A559" s="26" t="s">
        <v>4277</v>
      </c>
      <c r="B559" s="8" t="s">
        <v>4278</v>
      </c>
      <c r="C559" s="26" t="s">
        <v>2432</v>
      </c>
      <c r="D559" s="26" t="s">
        <v>2420</v>
      </c>
      <c r="E559" s="26" t="s">
        <v>2058</v>
      </c>
      <c r="F559" s="26" t="s">
        <v>2059</v>
      </c>
      <c r="G559" s="26" t="s">
        <v>4279</v>
      </c>
      <c r="H559" s="26" t="s">
        <v>2061</v>
      </c>
    </row>
    <row r="560" customFormat="false" ht="35.05" hidden="false" customHeight="false" outlineLevel="0" collapsed="false">
      <c r="A560" s="26" t="s">
        <v>4280</v>
      </c>
      <c r="B560" s="8" t="s">
        <v>4281</v>
      </c>
      <c r="C560" s="26" t="s">
        <v>4282</v>
      </c>
      <c r="D560" s="26" t="s">
        <v>2455</v>
      </c>
      <c r="E560" s="26" t="s">
        <v>2058</v>
      </c>
      <c r="F560" s="26" t="s">
        <v>2059</v>
      </c>
      <c r="G560" s="26" t="s">
        <v>2327</v>
      </c>
      <c r="H560" s="26" t="s">
        <v>2061</v>
      </c>
    </row>
    <row r="561" customFormat="false" ht="23.85" hidden="false" customHeight="false" outlineLevel="0" collapsed="false">
      <c r="A561" s="26" t="s">
        <v>4283</v>
      </c>
      <c r="B561" s="8" t="s">
        <v>4284</v>
      </c>
      <c r="C561" s="26" t="s">
        <v>4285</v>
      </c>
      <c r="D561" s="26" t="s">
        <v>4286</v>
      </c>
      <c r="E561" s="26" t="s">
        <v>2058</v>
      </c>
      <c r="F561" s="26" t="s">
        <v>2059</v>
      </c>
      <c r="G561" s="26" t="s">
        <v>4287</v>
      </c>
      <c r="H561" s="26" t="s">
        <v>2061</v>
      </c>
    </row>
    <row r="562" customFormat="false" ht="23.85" hidden="false" customHeight="false" outlineLevel="0" collapsed="false">
      <c r="A562" s="26" t="s">
        <v>4288</v>
      </c>
      <c r="B562" s="8" t="s">
        <v>4289</v>
      </c>
      <c r="C562" s="26" t="s">
        <v>4290</v>
      </c>
      <c r="D562" s="26" t="s">
        <v>2420</v>
      </c>
      <c r="E562" s="26" t="s">
        <v>2058</v>
      </c>
      <c r="F562" s="26" t="s">
        <v>2059</v>
      </c>
      <c r="G562" s="26" t="s">
        <v>4291</v>
      </c>
      <c r="H562" s="26" t="s">
        <v>2061</v>
      </c>
    </row>
    <row r="563" customFormat="false" ht="23.85" hidden="false" customHeight="false" outlineLevel="0" collapsed="false">
      <c r="A563" s="26" t="s">
        <v>4292</v>
      </c>
      <c r="B563" s="8" t="s">
        <v>4293</v>
      </c>
      <c r="C563" s="26" t="s">
        <v>4294</v>
      </c>
      <c r="D563" s="26" t="s">
        <v>2420</v>
      </c>
      <c r="E563" s="26" t="s">
        <v>2058</v>
      </c>
      <c r="F563" s="26" t="s">
        <v>2059</v>
      </c>
      <c r="G563" s="26" t="s">
        <v>4295</v>
      </c>
      <c r="H563" s="26" t="s">
        <v>2061</v>
      </c>
    </row>
    <row r="564" customFormat="false" ht="23.85" hidden="false" customHeight="false" outlineLevel="0" collapsed="false">
      <c r="A564" s="26" t="s">
        <v>4296</v>
      </c>
      <c r="B564" s="8" t="s">
        <v>4297</v>
      </c>
      <c r="C564" s="26" t="s">
        <v>4298</v>
      </c>
      <c r="D564" s="26" t="s">
        <v>2420</v>
      </c>
      <c r="E564" s="26" t="s">
        <v>2058</v>
      </c>
      <c r="F564" s="26" t="s">
        <v>2059</v>
      </c>
      <c r="G564" s="26" t="s">
        <v>4299</v>
      </c>
      <c r="H564" s="26" t="s">
        <v>2061</v>
      </c>
    </row>
    <row r="565" customFormat="false" ht="23.85" hidden="false" customHeight="false" outlineLevel="0" collapsed="false">
      <c r="A565" s="26" t="s">
        <v>4300</v>
      </c>
      <c r="B565" s="8" t="s">
        <v>4301</v>
      </c>
      <c r="C565" s="26" t="s">
        <v>4302</v>
      </c>
      <c r="D565" s="26" t="s">
        <v>2415</v>
      </c>
      <c r="E565" s="26" t="s">
        <v>2058</v>
      </c>
      <c r="F565" s="26" t="s">
        <v>2059</v>
      </c>
      <c r="G565" s="26" t="s">
        <v>4303</v>
      </c>
      <c r="H565" s="26" t="s">
        <v>2061</v>
      </c>
    </row>
    <row r="566" customFormat="false" ht="23.85" hidden="false" customHeight="false" outlineLevel="0" collapsed="false">
      <c r="A566" s="26" t="s">
        <v>4304</v>
      </c>
      <c r="B566" s="8" t="s">
        <v>4305</v>
      </c>
      <c r="C566" s="26" t="s">
        <v>4306</v>
      </c>
      <c r="D566" s="26" t="s">
        <v>4307</v>
      </c>
      <c r="E566" s="26" t="s">
        <v>2058</v>
      </c>
      <c r="F566" s="26" t="s">
        <v>2059</v>
      </c>
      <c r="G566" s="26" t="s">
        <v>4308</v>
      </c>
      <c r="H566" s="26" t="s">
        <v>2066</v>
      </c>
    </row>
    <row r="567" customFormat="false" ht="23.85" hidden="false" customHeight="false" outlineLevel="0" collapsed="false">
      <c r="A567" s="26" t="s">
        <v>511</v>
      </c>
      <c r="B567" s="8" t="s">
        <v>4309</v>
      </c>
      <c r="C567" s="26" t="s">
        <v>4310</v>
      </c>
      <c r="D567" s="26" t="s">
        <v>4311</v>
      </c>
      <c r="E567" s="26" t="s">
        <v>2058</v>
      </c>
      <c r="F567" s="26" t="s">
        <v>2059</v>
      </c>
      <c r="G567" s="26" t="s">
        <v>4308</v>
      </c>
      <c r="H567" s="26" t="s">
        <v>2066</v>
      </c>
    </row>
    <row r="568" customFormat="false" ht="35.05" hidden="false" customHeight="false" outlineLevel="0" collapsed="false">
      <c r="A568" s="26" t="s">
        <v>4312</v>
      </c>
      <c r="B568" s="8" t="s">
        <v>4313</v>
      </c>
      <c r="C568" s="26" t="s">
        <v>4314</v>
      </c>
      <c r="D568" s="26" t="s">
        <v>4315</v>
      </c>
      <c r="E568" s="26" t="s">
        <v>2058</v>
      </c>
      <c r="F568" s="26" t="s">
        <v>2059</v>
      </c>
      <c r="G568" s="26" t="s">
        <v>4316</v>
      </c>
      <c r="H568" s="26" t="s">
        <v>2066</v>
      </c>
    </row>
    <row r="569" customFormat="false" ht="35.05" hidden="false" customHeight="false" outlineLevel="0" collapsed="false">
      <c r="A569" s="26" t="s">
        <v>4317</v>
      </c>
      <c r="B569" s="8" t="s">
        <v>4318</v>
      </c>
      <c r="C569" s="26" t="s">
        <v>4319</v>
      </c>
      <c r="D569" s="26" t="s">
        <v>4320</v>
      </c>
      <c r="E569" s="26" t="s">
        <v>2058</v>
      </c>
      <c r="F569" s="26" t="s">
        <v>2059</v>
      </c>
      <c r="G569" s="26" t="s">
        <v>4321</v>
      </c>
      <c r="H569" s="26" t="s">
        <v>2066</v>
      </c>
    </row>
    <row r="570" customFormat="false" ht="23.85" hidden="false" customHeight="false" outlineLevel="0" collapsed="false">
      <c r="A570" s="26" t="s">
        <v>4322</v>
      </c>
      <c r="B570" s="8" t="s">
        <v>4323</v>
      </c>
      <c r="C570" s="26" t="s">
        <v>4324</v>
      </c>
      <c r="D570" s="26" t="s">
        <v>2658</v>
      </c>
      <c r="E570" s="26" t="s">
        <v>2058</v>
      </c>
      <c r="F570" s="26" t="s">
        <v>2059</v>
      </c>
      <c r="G570" s="26" t="s">
        <v>4325</v>
      </c>
      <c r="H570" s="26" t="s">
        <v>2061</v>
      </c>
    </row>
    <row r="571" customFormat="false" ht="23.85" hidden="false" customHeight="false" outlineLevel="0" collapsed="false">
      <c r="A571" s="26" t="s">
        <v>4326</v>
      </c>
      <c r="B571" s="8" t="s">
        <v>4327</v>
      </c>
      <c r="C571" s="26" t="s">
        <v>4328</v>
      </c>
      <c r="D571" s="26" t="s">
        <v>4307</v>
      </c>
      <c r="E571" s="26" t="s">
        <v>2058</v>
      </c>
      <c r="F571" s="26" t="s">
        <v>2059</v>
      </c>
      <c r="G571" s="26" t="s">
        <v>4329</v>
      </c>
      <c r="H571" s="26" t="s">
        <v>2066</v>
      </c>
    </row>
    <row r="572" customFormat="false" ht="23.85" hidden="false" customHeight="false" outlineLevel="0" collapsed="false">
      <c r="A572" s="26" t="s">
        <v>4330</v>
      </c>
      <c r="B572" s="8" t="s">
        <v>4331</v>
      </c>
      <c r="C572" s="26" t="s">
        <v>4332</v>
      </c>
      <c r="D572" s="26" t="s">
        <v>4307</v>
      </c>
      <c r="E572" s="26" t="s">
        <v>2058</v>
      </c>
      <c r="F572" s="26" t="s">
        <v>2059</v>
      </c>
      <c r="G572" s="26" t="s">
        <v>4333</v>
      </c>
      <c r="H572" s="26" t="s">
        <v>2066</v>
      </c>
    </row>
    <row r="573" customFormat="false" ht="23.85" hidden="false" customHeight="false" outlineLevel="0" collapsed="false">
      <c r="A573" s="26" t="s">
        <v>4334</v>
      </c>
      <c r="B573" s="8" t="s">
        <v>4335</v>
      </c>
      <c r="C573" s="26" t="s">
        <v>4336</v>
      </c>
      <c r="D573" s="26" t="s">
        <v>4224</v>
      </c>
      <c r="E573" s="26" t="s">
        <v>2058</v>
      </c>
      <c r="F573" s="26" t="s">
        <v>2071</v>
      </c>
      <c r="G573" s="26" t="s">
        <v>4337</v>
      </c>
      <c r="H573" s="26" t="s">
        <v>2096</v>
      </c>
    </row>
    <row r="574" customFormat="false" ht="23.85" hidden="false" customHeight="false" outlineLevel="0" collapsed="false">
      <c r="A574" s="26" t="s">
        <v>4338</v>
      </c>
      <c r="B574" s="8" t="s">
        <v>4339</v>
      </c>
      <c r="C574" s="26" t="s">
        <v>4340</v>
      </c>
      <c r="D574" s="26" t="s">
        <v>4341</v>
      </c>
      <c r="E574" s="26" t="s">
        <v>2058</v>
      </c>
      <c r="F574" s="26" t="s">
        <v>2059</v>
      </c>
      <c r="G574" s="26" t="s">
        <v>4308</v>
      </c>
      <c r="H574" s="26" t="s">
        <v>2066</v>
      </c>
    </row>
    <row r="575" customFormat="false" ht="23.85" hidden="false" customHeight="false" outlineLevel="0" collapsed="false">
      <c r="A575" s="26" t="s">
        <v>4342</v>
      </c>
      <c r="B575" s="8" t="s">
        <v>4343</v>
      </c>
      <c r="C575" s="26" t="s">
        <v>4344</v>
      </c>
      <c r="D575" s="26" t="s">
        <v>2415</v>
      </c>
      <c r="E575" s="26" t="s">
        <v>2058</v>
      </c>
      <c r="F575" s="26" t="s">
        <v>2059</v>
      </c>
      <c r="G575" s="26" t="s">
        <v>4345</v>
      </c>
      <c r="H575" s="26" t="s">
        <v>2061</v>
      </c>
    </row>
    <row r="576" customFormat="false" ht="23.85" hidden="false" customHeight="false" outlineLevel="0" collapsed="false">
      <c r="A576" s="26" t="s">
        <v>4346</v>
      </c>
      <c r="B576" s="8" t="s">
        <v>4347</v>
      </c>
      <c r="C576" s="26" t="s">
        <v>4348</v>
      </c>
      <c r="D576" s="26" t="s">
        <v>4349</v>
      </c>
      <c r="E576" s="26" t="s">
        <v>2058</v>
      </c>
      <c r="F576" s="26" t="s">
        <v>2059</v>
      </c>
      <c r="G576" s="26" t="s">
        <v>4350</v>
      </c>
      <c r="H576" s="26" t="s">
        <v>2066</v>
      </c>
    </row>
    <row r="577" customFormat="false" ht="23.85" hidden="false" customHeight="false" outlineLevel="0" collapsed="false">
      <c r="A577" s="26" t="s">
        <v>4351</v>
      </c>
      <c r="B577" s="8" t="s">
        <v>4352</v>
      </c>
      <c r="C577" s="26" t="s">
        <v>4353</v>
      </c>
      <c r="D577" s="26" t="s">
        <v>4354</v>
      </c>
      <c r="E577" s="26" t="s">
        <v>2058</v>
      </c>
      <c r="F577" s="26" t="s">
        <v>2059</v>
      </c>
      <c r="G577" s="26" t="s">
        <v>4355</v>
      </c>
      <c r="H577" s="26" t="s">
        <v>2061</v>
      </c>
    </row>
    <row r="578" customFormat="false" ht="23.85" hidden="false" customHeight="false" outlineLevel="0" collapsed="false">
      <c r="A578" s="26" t="s">
        <v>4356</v>
      </c>
      <c r="B578" s="8" t="s">
        <v>4357</v>
      </c>
      <c r="C578" s="26" t="s">
        <v>4358</v>
      </c>
      <c r="D578" s="26" t="s">
        <v>4307</v>
      </c>
      <c r="E578" s="26" t="s">
        <v>2058</v>
      </c>
      <c r="F578" s="26" t="s">
        <v>2059</v>
      </c>
      <c r="G578" s="26" t="s">
        <v>4359</v>
      </c>
      <c r="H578" s="26" t="s">
        <v>2066</v>
      </c>
    </row>
    <row r="579" customFormat="false" ht="23.85" hidden="false" customHeight="false" outlineLevel="0" collapsed="false">
      <c r="A579" s="26" t="s">
        <v>4360</v>
      </c>
      <c r="B579" s="8" t="s">
        <v>4361</v>
      </c>
      <c r="C579" s="26" t="s">
        <v>4362</v>
      </c>
      <c r="D579" s="26" t="s">
        <v>4307</v>
      </c>
      <c r="E579" s="26" t="s">
        <v>2058</v>
      </c>
      <c r="F579" s="26" t="s">
        <v>2059</v>
      </c>
      <c r="G579" s="26" t="s">
        <v>4363</v>
      </c>
      <c r="H579" s="26" t="s">
        <v>2066</v>
      </c>
    </row>
    <row r="580" customFormat="false" ht="23.85" hidden="false" customHeight="false" outlineLevel="0" collapsed="false">
      <c r="A580" s="26" t="s">
        <v>4364</v>
      </c>
      <c r="B580" s="8" t="s">
        <v>4365</v>
      </c>
      <c r="C580" s="26" t="s">
        <v>4366</v>
      </c>
      <c r="D580" s="26" t="s">
        <v>4307</v>
      </c>
      <c r="E580" s="26" t="s">
        <v>2058</v>
      </c>
      <c r="F580" s="26" t="s">
        <v>2059</v>
      </c>
      <c r="G580" s="26" t="s">
        <v>4359</v>
      </c>
      <c r="H580" s="26" t="s">
        <v>2066</v>
      </c>
    </row>
    <row r="581" customFormat="false" ht="23.85" hidden="false" customHeight="false" outlineLevel="0" collapsed="false">
      <c r="A581" s="26" t="s">
        <v>4367</v>
      </c>
      <c r="B581" s="8" t="s">
        <v>4368</v>
      </c>
      <c r="C581" s="26" t="s">
        <v>4369</v>
      </c>
      <c r="D581" s="26" t="s">
        <v>4307</v>
      </c>
      <c r="E581" s="26" t="s">
        <v>2058</v>
      </c>
      <c r="F581" s="26" t="s">
        <v>2059</v>
      </c>
      <c r="G581" s="26" t="s">
        <v>4359</v>
      </c>
      <c r="H581" s="26" t="s">
        <v>2066</v>
      </c>
    </row>
    <row r="582" customFormat="false" ht="23.85" hidden="false" customHeight="false" outlineLevel="0" collapsed="false">
      <c r="A582" s="26" t="s">
        <v>4370</v>
      </c>
      <c r="B582" s="8" t="s">
        <v>4371</v>
      </c>
      <c r="C582" s="26" t="s">
        <v>4372</v>
      </c>
      <c r="D582" s="26" t="s">
        <v>4373</v>
      </c>
      <c r="E582" s="26" t="s">
        <v>2058</v>
      </c>
      <c r="F582" s="26" t="s">
        <v>2071</v>
      </c>
      <c r="G582" s="26" t="s">
        <v>4374</v>
      </c>
      <c r="H582" s="26" t="s">
        <v>2096</v>
      </c>
    </row>
    <row r="583" customFormat="false" ht="23.85" hidden="false" customHeight="false" outlineLevel="0" collapsed="false">
      <c r="A583" s="26" t="s">
        <v>4375</v>
      </c>
      <c r="B583" s="8" t="s">
        <v>4376</v>
      </c>
      <c r="C583" s="26" t="s">
        <v>4377</v>
      </c>
      <c r="D583" s="26" t="s">
        <v>4307</v>
      </c>
      <c r="E583" s="26" t="s">
        <v>2058</v>
      </c>
      <c r="F583" s="26" t="s">
        <v>2059</v>
      </c>
      <c r="G583" s="26" t="s">
        <v>4378</v>
      </c>
      <c r="H583" s="26" t="s">
        <v>2066</v>
      </c>
    </row>
    <row r="584" customFormat="false" ht="23.85" hidden="false" customHeight="false" outlineLevel="0" collapsed="false">
      <c r="A584" s="26" t="s">
        <v>4379</v>
      </c>
      <c r="B584" s="8" t="s">
        <v>4380</v>
      </c>
      <c r="C584" s="26" t="s">
        <v>4381</v>
      </c>
      <c r="D584" s="26" t="s">
        <v>4307</v>
      </c>
      <c r="E584" s="26" t="s">
        <v>2058</v>
      </c>
      <c r="F584" s="26" t="s">
        <v>2059</v>
      </c>
      <c r="G584" s="26" t="s">
        <v>4378</v>
      </c>
      <c r="H584" s="26" t="s">
        <v>2066</v>
      </c>
    </row>
    <row r="585" customFormat="false" ht="23.85" hidden="false" customHeight="false" outlineLevel="0" collapsed="false">
      <c r="A585" s="26" t="s">
        <v>4382</v>
      </c>
      <c r="B585" s="8" t="s">
        <v>4383</v>
      </c>
      <c r="C585" s="26" t="s">
        <v>4384</v>
      </c>
      <c r="D585" s="26" t="s">
        <v>2658</v>
      </c>
      <c r="E585" s="26" t="s">
        <v>2058</v>
      </c>
      <c r="F585" s="26" t="s">
        <v>2059</v>
      </c>
      <c r="G585" s="26" t="s">
        <v>4385</v>
      </c>
      <c r="H585" s="26" t="s">
        <v>2061</v>
      </c>
    </row>
    <row r="586" customFormat="false" ht="35.05" hidden="false" customHeight="false" outlineLevel="0" collapsed="false">
      <c r="A586" s="26" t="s">
        <v>4386</v>
      </c>
      <c r="B586" s="8" t="s">
        <v>4387</v>
      </c>
      <c r="C586" s="26" t="s">
        <v>4388</v>
      </c>
      <c r="D586" s="26" t="s">
        <v>4389</v>
      </c>
      <c r="E586" s="26" t="s">
        <v>2058</v>
      </c>
      <c r="F586" s="26" t="s">
        <v>2059</v>
      </c>
      <c r="G586" s="26" t="s">
        <v>4390</v>
      </c>
      <c r="H586" s="26" t="s">
        <v>2066</v>
      </c>
    </row>
    <row r="587" customFormat="false" ht="35.05" hidden="false" customHeight="false" outlineLevel="0" collapsed="false">
      <c r="A587" s="26" t="s">
        <v>4391</v>
      </c>
      <c r="B587" s="8" t="s">
        <v>4392</v>
      </c>
      <c r="C587" s="26" t="s">
        <v>4393</v>
      </c>
      <c r="D587" s="26" t="s">
        <v>4394</v>
      </c>
      <c r="E587" s="26" t="s">
        <v>2058</v>
      </c>
      <c r="F587" s="26" t="s">
        <v>2059</v>
      </c>
      <c r="G587" s="26" t="s">
        <v>4390</v>
      </c>
      <c r="H587" s="26" t="s">
        <v>2096</v>
      </c>
    </row>
    <row r="588" customFormat="false" ht="35.05" hidden="false" customHeight="false" outlineLevel="0" collapsed="false">
      <c r="A588" s="26" t="s">
        <v>4395</v>
      </c>
      <c r="B588" s="8" t="s">
        <v>4396</v>
      </c>
      <c r="C588" s="26" t="s">
        <v>4397</v>
      </c>
      <c r="D588" s="26" t="s">
        <v>4398</v>
      </c>
      <c r="E588" s="26" t="s">
        <v>2058</v>
      </c>
      <c r="F588" s="26" t="s">
        <v>2059</v>
      </c>
      <c r="G588" s="26" t="s">
        <v>4399</v>
      </c>
      <c r="H588" s="26" t="s">
        <v>2096</v>
      </c>
    </row>
    <row r="589" customFormat="false" ht="35.05" hidden="false" customHeight="false" outlineLevel="0" collapsed="false">
      <c r="A589" s="26" t="s">
        <v>4400</v>
      </c>
      <c r="B589" s="8" t="s">
        <v>4401</v>
      </c>
      <c r="C589" s="26" t="s">
        <v>4402</v>
      </c>
      <c r="D589" s="26" t="s">
        <v>3839</v>
      </c>
      <c r="E589" s="26" t="s">
        <v>2058</v>
      </c>
      <c r="F589" s="26" t="s">
        <v>2059</v>
      </c>
      <c r="G589" s="26" t="s">
        <v>4399</v>
      </c>
      <c r="H589" s="26" t="s">
        <v>2061</v>
      </c>
    </row>
    <row r="590" customFormat="false" ht="35.05" hidden="false" customHeight="false" outlineLevel="0" collapsed="false">
      <c r="A590" s="26" t="s">
        <v>4403</v>
      </c>
      <c r="B590" s="8" t="s">
        <v>4404</v>
      </c>
      <c r="C590" s="26" t="s">
        <v>4405</v>
      </c>
      <c r="D590" s="26" t="s">
        <v>2742</v>
      </c>
      <c r="E590" s="26" t="s">
        <v>2058</v>
      </c>
      <c r="F590" s="26" t="s">
        <v>2059</v>
      </c>
      <c r="G590" s="26" t="s">
        <v>4406</v>
      </c>
      <c r="H590" s="26" t="s">
        <v>2066</v>
      </c>
    </row>
    <row r="591" customFormat="false" ht="35.05" hidden="false" customHeight="false" outlineLevel="0" collapsed="false">
      <c r="A591" s="26" t="s">
        <v>4407</v>
      </c>
      <c r="B591" s="8" t="s">
        <v>4408</v>
      </c>
      <c r="C591" s="26" t="s">
        <v>2117</v>
      </c>
      <c r="D591" s="26" t="s">
        <v>4409</v>
      </c>
      <c r="E591" s="26" t="s">
        <v>2058</v>
      </c>
      <c r="F591" s="26" t="s">
        <v>2059</v>
      </c>
      <c r="G591" s="26" t="s">
        <v>4410</v>
      </c>
      <c r="H591" s="26" t="s">
        <v>2061</v>
      </c>
    </row>
    <row r="592" customFormat="false" ht="35.05" hidden="false" customHeight="false" outlineLevel="0" collapsed="false">
      <c r="A592" s="26" t="s">
        <v>4411</v>
      </c>
      <c r="B592" s="8" t="s">
        <v>4412</v>
      </c>
      <c r="C592" s="26" t="s">
        <v>4413</v>
      </c>
      <c r="D592" s="26" t="s">
        <v>4409</v>
      </c>
      <c r="E592" s="26" t="s">
        <v>2058</v>
      </c>
      <c r="F592" s="26" t="s">
        <v>2059</v>
      </c>
      <c r="G592" s="26" t="s">
        <v>4414</v>
      </c>
      <c r="H592" s="26" t="s">
        <v>2061</v>
      </c>
    </row>
    <row r="593" customFormat="false" ht="35.05" hidden="false" customHeight="false" outlineLevel="0" collapsed="false">
      <c r="A593" s="26" t="s">
        <v>4415</v>
      </c>
      <c r="B593" s="8" t="s">
        <v>4416</v>
      </c>
      <c r="C593" s="26" t="s">
        <v>4417</v>
      </c>
      <c r="D593" s="26" t="s">
        <v>4409</v>
      </c>
      <c r="E593" s="26" t="s">
        <v>2058</v>
      </c>
      <c r="F593" s="26" t="s">
        <v>2059</v>
      </c>
      <c r="G593" s="26" t="s">
        <v>4410</v>
      </c>
      <c r="H593" s="26" t="s">
        <v>2061</v>
      </c>
    </row>
    <row r="594" customFormat="false" ht="23.85" hidden="false" customHeight="false" outlineLevel="0" collapsed="false">
      <c r="A594" s="26" t="s">
        <v>4418</v>
      </c>
      <c r="B594" s="8" t="s">
        <v>4419</v>
      </c>
      <c r="C594" s="26" t="s">
        <v>2199</v>
      </c>
      <c r="D594" s="26" t="s">
        <v>4420</v>
      </c>
      <c r="E594" s="26" t="s">
        <v>2058</v>
      </c>
      <c r="F594" s="26" t="s">
        <v>2059</v>
      </c>
      <c r="G594" s="26" t="s">
        <v>4421</v>
      </c>
      <c r="H594" s="26" t="s">
        <v>2066</v>
      </c>
    </row>
    <row r="595" customFormat="false" ht="23.85" hidden="false" customHeight="false" outlineLevel="0" collapsed="false">
      <c r="A595" s="26" t="s">
        <v>4422</v>
      </c>
      <c r="B595" s="8" t="s">
        <v>4423</v>
      </c>
      <c r="C595" s="26" t="s">
        <v>2203</v>
      </c>
      <c r="D595" s="26" t="s">
        <v>4424</v>
      </c>
      <c r="E595" s="26" t="s">
        <v>2058</v>
      </c>
      <c r="F595" s="26" t="s">
        <v>2059</v>
      </c>
      <c r="G595" s="26" t="s">
        <v>4425</v>
      </c>
      <c r="H595" s="26" t="s">
        <v>2096</v>
      </c>
    </row>
    <row r="596" customFormat="false" ht="23.85" hidden="false" customHeight="false" outlineLevel="0" collapsed="false">
      <c r="A596" s="26" t="s">
        <v>4426</v>
      </c>
      <c r="B596" s="8" t="s">
        <v>4427</v>
      </c>
      <c r="C596" s="26" t="s">
        <v>2108</v>
      </c>
      <c r="D596" s="26" t="s">
        <v>4428</v>
      </c>
      <c r="E596" s="26" t="s">
        <v>2058</v>
      </c>
      <c r="F596" s="26" t="s">
        <v>2059</v>
      </c>
      <c r="G596" s="26" t="s">
        <v>4429</v>
      </c>
      <c r="H596" s="26" t="s">
        <v>2066</v>
      </c>
    </row>
    <row r="597" customFormat="false" ht="23.85" hidden="false" customHeight="false" outlineLevel="0" collapsed="false">
      <c r="A597" s="26" t="s">
        <v>4430</v>
      </c>
      <c r="B597" s="8" t="s">
        <v>4431</v>
      </c>
      <c r="C597" s="26" t="s">
        <v>2084</v>
      </c>
      <c r="D597" s="26" t="s">
        <v>4432</v>
      </c>
      <c r="E597" s="26" t="s">
        <v>2058</v>
      </c>
      <c r="F597" s="26" t="s">
        <v>2059</v>
      </c>
      <c r="G597" s="26" t="s">
        <v>4433</v>
      </c>
      <c r="H597" s="26" t="s">
        <v>2066</v>
      </c>
    </row>
    <row r="598" customFormat="false" ht="23.85" hidden="false" customHeight="false" outlineLevel="0" collapsed="false">
      <c r="A598" s="26" t="s">
        <v>4434</v>
      </c>
      <c r="B598" s="8" t="s">
        <v>4435</v>
      </c>
      <c r="C598" s="26" t="s">
        <v>2236</v>
      </c>
      <c r="D598" s="26" t="s">
        <v>2450</v>
      </c>
      <c r="E598" s="26" t="s">
        <v>2058</v>
      </c>
      <c r="F598" s="26" t="s">
        <v>2059</v>
      </c>
      <c r="G598" s="26" t="s">
        <v>4436</v>
      </c>
      <c r="H598" s="26" t="s">
        <v>2061</v>
      </c>
    </row>
    <row r="599" customFormat="false" ht="23.85" hidden="false" customHeight="false" outlineLevel="0" collapsed="false">
      <c r="A599" s="26" t="s">
        <v>4437</v>
      </c>
      <c r="B599" s="8" t="s">
        <v>4438</v>
      </c>
      <c r="C599" s="26" t="s">
        <v>2231</v>
      </c>
      <c r="D599" s="26" t="s">
        <v>2450</v>
      </c>
      <c r="E599" s="26" t="s">
        <v>2058</v>
      </c>
      <c r="F599" s="26" t="s">
        <v>2059</v>
      </c>
      <c r="G599" s="26" t="s">
        <v>4439</v>
      </c>
      <c r="H599" s="26" t="s">
        <v>2061</v>
      </c>
    </row>
    <row r="600" customFormat="false" ht="23.85" hidden="false" customHeight="false" outlineLevel="0" collapsed="false">
      <c r="A600" s="26" t="s">
        <v>4440</v>
      </c>
      <c r="B600" s="8" t="s">
        <v>4441</v>
      </c>
      <c r="C600" s="26" t="s">
        <v>2208</v>
      </c>
      <c r="D600" s="26" t="s">
        <v>2455</v>
      </c>
      <c r="E600" s="26" t="s">
        <v>2058</v>
      </c>
      <c r="F600" s="26" t="s">
        <v>2059</v>
      </c>
      <c r="G600" s="26" t="s">
        <v>4442</v>
      </c>
      <c r="H600" s="26" t="s">
        <v>2061</v>
      </c>
    </row>
    <row r="601" customFormat="false" ht="23.85" hidden="false" customHeight="false" outlineLevel="0" collapsed="false">
      <c r="A601" s="26" t="s">
        <v>4443</v>
      </c>
      <c r="B601" s="8" t="s">
        <v>4444</v>
      </c>
      <c r="C601" s="26" t="s">
        <v>2191</v>
      </c>
      <c r="D601" s="26" t="s">
        <v>2192</v>
      </c>
      <c r="E601" s="26" t="s">
        <v>2058</v>
      </c>
      <c r="F601" s="26" t="s">
        <v>2059</v>
      </c>
      <c r="G601" s="26" t="s">
        <v>4445</v>
      </c>
      <c r="H601" s="26" t="s">
        <v>2061</v>
      </c>
    </row>
    <row r="602" customFormat="false" ht="23.85" hidden="false" customHeight="false" outlineLevel="0" collapsed="false">
      <c r="A602" s="26" t="s">
        <v>4446</v>
      </c>
      <c r="B602" s="8" t="s">
        <v>4447</v>
      </c>
      <c r="C602" s="26" t="s">
        <v>2196</v>
      </c>
      <c r="D602" s="26" t="s">
        <v>2192</v>
      </c>
      <c r="E602" s="26" t="s">
        <v>2058</v>
      </c>
      <c r="F602" s="26" t="s">
        <v>2059</v>
      </c>
      <c r="G602" s="26" t="s">
        <v>4445</v>
      </c>
      <c r="H602" s="26" t="s">
        <v>2061</v>
      </c>
    </row>
    <row r="603" customFormat="false" ht="15" hidden="false" customHeight="false" outlineLevel="0" collapsed="false">
      <c r="A603" s="26" t="s">
        <v>4448</v>
      </c>
      <c r="B603" s="8" t="s">
        <v>4449</v>
      </c>
      <c r="C603" s="26" t="s">
        <v>2277</v>
      </c>
      <c r="D603" s="26" t="s">
        <v>2192</v>
      </c>
      <c r="E603" s="26" t="s">
        <v>2058</v>
      </c>
      <c r="F603" s="26" t="s">
        <v>2059</v>
      </c>
      <c r="G603" s="26" t="s">
        <v>4450</v>
      </c>
      <c r="H603" s="26" t="s">
        <v>2061</v>
      </c>
    </row>
    <row r="604" customFormat="false" ht="23.85" hidden="false" customHeight="false" outlineLevel="0" collapsed="false">
      <c r="A604" s="26" t="s">
        <v>4451</v>
      </c>
      <c r="B604" s="8" t="s">
        <v>4452</v>
      </c>
      <c r="C604" s="26" t="s">
        <v>2281</v>
      </c>
      <c r="D604" s="26" t="s">
        <v>2192</v>
      </c>
      <c r="E604" s="26" t="s">
        <v>2058</v>
      </c>
      <c r="F604" s="26" t="s">
        <v>2059</v>
      </c>
      <c r="G604" s="26" t="s">
        <v>4450</v>
      </c>
      <c r="H604" s="26" t="s">
        <v>2061</v>
      </c>
    </row>
    <row r="605" customFormat="false" ht="23.85" hidden="false" customHeight="false" outlineLevel="0" collapsed="false">
      <c r="A605" s="26" t="s">
        <v>4453</v>
      </c>
      <c r="B605" s="8" t="s">
        <v>4454</v>
      </c>
      <c r="C605" s="26" t="s">
        <v>2317</v>
      </c>
      <c r="D605" s="26" t="s">
        <v>4455</v>
      </c>
      <c r="E605" s="26" t="s">
        <v>2058</v>
      </c>
      <c r="F605" s="26" t="s">
        <v>2059</v>
      </c>
      <c r="G605" s="26" t="s">
        <v>4456</v>
      </c>
      <c r="H605" s="26" t="s">
        <v>2061</v>
      </c>
    </row>
    <row r="606" customFormat="false" ht="23.85" hidden="false" customHeight="false" outlineLevel="0" collapsed="false">
      <c r="A606" s="26" t="s">
        <v>4457</v>
      </c>
      <c r="B606" s="8" t="s">
        <v>4458</v>
      </c>
      <c r="C606" s="26" t="s">
        <v>2335</v>
      </c>
      <c r="D606" s="26" t="s">
        <v>4459</v>
      </c>
      <c r="E606" s="26" t="s">
        <v>2058</v>
      </c>
      <c r="F606" s="26" t="s">
        <v>2059</v>
      </c>
      <c r="G606" s="26" t="s">
        <v>4460</v>
      </c>
      <c r="H606" s="26" t="s">
        <v>2066</v>
      </c>
    </row>
    <row r="607" customFormat="false" ht="23.85" hidden="false" customHeight="false" outlineLevel="0" collapsed="false">
      <c r="A607" s="26" t="s">
        <v>4461</v>
      </c>
      <c r="B607" s="8" t="s">
        <v>4462</v>
      </c>
      <c r="C607" s="26" t="s">
        <v>2400</v>
      </c>
      <c r="D607" s="26" t="s">
        <v>4463</v>
      </c>
      <c r="E607" s="26" t="s">
        <v>2058</v>
      </c>
      <c r="F607" s="26" t="s">
        <v>2059</v>
      </c>
      <c r="G607" s="26" t="s">
        <v>4464</v>
      </c>
      <c r="H607" s="26" t="s">
        <v>2061</v>
      </c>
    </row>
    <row r="608" customFormat="false" ht="23.85" hidden="false" customHeight="false" outlineLevel="0" collapsed="false">
      <c r="A608" s="26" t="s">
        <v>4465</v>
      </c>
      <c r="B608" s="8" t="s">
        <v>4466</v>
      </c>
      <c r="C608" s="26" t="s">
        <v>3017</v>
      </c>
      <c r="D608" s="26" t="s">
        <v>4467</v>
      </c>
      <c r="E608" s="26" t="s">
        <v>2058</v>
      </c>
      <c r="F608" s="26" t="s">
        <v>2059</v>
      </c>
      <c r="G608" s="26" t="s">
        <v>4468</v>
      </c>
      <c r="H608" s="26" t="s">
        <v>2061</v>
      </c>
    </row>
    <row r="609" customFormat="false" ht="23.85" hidden="false" customHeight="false" outlineLevel="0" collapsed="false">
      <c r="A609" s="26" t="s">
        <v>4469</v>
      </c>
      <c r="B609" s="8" t="s">
        <v>4470</v>
      </c>
      <c r="C609" s="26" t="s">
        <v>3025</v>
      </c>
      <c r="D609" s="26" t="s">
        <v>4467</v>
      </c>
      <c r="E609" s="26" t="s">
        <v>2058</v>
      </c>
      <c r="F609" s="26" t="s">
        <v>2059</v>
      </c>
      <c r="G609" s="26" t="s">
        <v>4471</v>
      </c>
      <c r="H609" s="26" t="s">
        <v>2061</v>
      </c>
    </row>
    <row r="610" customFormat="false" ht="23.85" hidden="false" customHeight="false" outlineLevel="0" collapsed="false">
      <c r="A610" s="26" t="s">
        <v>4472</v>
      </c>
      <c r="B610" s="8" t="s">
        <v>4473</v>
      </c>
      <c r="C610" s="26" t="s">
        <v>3032</v>
      </c>
      <c r="D610" s="26" t="s">
        <v>4467</v>
      </c>
      <c r="E610" s="26" t="s">
        <v>2058</v>
      </c>
      <c r="F610" s="26" t="s">
        <v>2059</v>
      </c>
      <c r="G610" s="26" t="s">
        <v>4474</v>
      </c>
      <c r="H610" s="26" t="s">
        <v>2061</v>
      </c>
    </row>
    <row r="611" customFormat="false" ht="23.85" hidden="false" customHeight="false" outlineLevel="0" collapsed="false">
      <c r="A611" s="26" t="s">
        <v>4475</v>
      </c>
      <c r="B611" s="8" t="s">
        <v>4476</v>
      </c>
      <c r="C611" s="26" t="s">
        <v>3217</v>
      </c>
      <c r="D611" s="26" t="s">
        <v>4477</v>
      </c>
      <c r="E611" s="26" t="s">
        <v>2058</v>
      </c>
      <c r="F611" s="26" t="s">
        <v>2059</v>
      </c>
      <c r="G611" s="26" t="s">
        <v>4478</v>
      </c>
      <c r="H611" s="26" t="s">
        <v>2061</v>
      </c>
    </row>
    <row r="612" customFormat="false" ht="23.85" hidden="false" customHeight="false" outlineLevel="0" collapsed="false">
      <c r="A612" s="26" t="s">
        <v>4479</v>
      </c>
      <c r="B612" s="8" t="s">
        <v>4480</v>
      </c>
      <c r="C612" s="26" t="s">
        <v>3271</v>
      </c>
      <c r="D612" s="26" t="s">
        <v>4481</v>
      </c>
      <c r="E612" s="26" t="s">
        <v>2058</v>
      </c>
      <c r="F612" s="26" t="s">
        <v>2059</v>
      </c>
      <c r="G612" s="26" t="s">
        <v>4482</v>
      </c>
      <c r="H612" s="26" t="s">
        <v>2061</v>
      </c>
    </row>
    <row r="613" customFormat="false" ht="15" hidden="false" customHeight="false" outlineLevel="0" collapsed="false">
      <c r="A613" s="26" t="s">
        <v>4483</v>
      </c>
      <c r="B613" s="8" t="s">
        <v>4484</v>
      </c>
      <c r="C613" s="26" t="s">
        <v>4485</v>
      </c>
      <c r="D613" s="26" t="s">
        <v>4486</v>
      </c>
      <c r="E613" s="26" t="s">
        <v>2058</v>
      </c>
      <c r="F613" s="26" t="s">
        <v>2059</v>
      </c>
      <c r="G613" s="26" t="s">
        <v>4482</v>
      </c>
      <c r="H613" s="26" t="s">
        <v>2066</v>
      </c>
    </row>
    <row r="614" customFormat="false" ht="23.85" hidden="false" customHeight="false" outlineLevel="0" collapsed="false">
      <c r="A614" s="26" t="s">
        <v>4487</v>
      </c>
      <c r="B614" s="8" t="s">
        <v>4488</v>
      </c>
      <c r="C614" s="26" t="s">
        <v>3221</v>
      </c>
      <c r="D614" s="26" t="s">
        <v>4477</v>
      </c>
      <c r="E614" s="26" t="s">
        <v>2058</v>
      </c>
      <c r="F614" s="26" t="s">
        <v>2059</v>
      </c>
      <c r="G614" s="26" t="s">
        <v>4489</v>
      </c>
      <c r="H614" s="26" t="s">
        <v>2061</v>
      </c>
    </row>
    <row r="615" customFormat="false" ht="23.85" hidden="false" customHeight="false" outlineLevel="0" collapsed="false">
      <c r="A615" s="26" t="s">
        <v>4490</v>
      </c>
      <c r="B615" s="8" t="s">
        <v>4491</v>
      </c>
      <c r="C615" s="26" t="s">
        <v>3314</v>
      </c>
      <c r="D615" s="26" t="s">
        <v>4492</v>
      </c>
      <c r="E615" s="26" t="s">
        <v>2058</v>
      </c>
      <c r="F615" s="26" t="s">
        <v>2059</v>
      </c>
      <c r="G615" s="26" t="s">
        <v>4493</v>
      </c>
      <c r="H615" s="26" t="s">
        <v>2061</v>
      </c>
    </row>
    <row r="616" customFormat="false" ht="23.85" hidden="false" customHeight="false" outlineLevel="0" collapsed="false">
      <c r="A616" s="26" t="s">
        <v>4494</v>
      </c>
      <c r="B616" s="8" t="s">
        <v>4495</v>
      </c>
      <c r="C616" s="26" t="s">
        <v>3349</v>
      </c>
      <c r="D616" s="26" t="s">
        <v>3350</v>
      </c>
      <c r="E616" s="26" t="s">
        <v>2058</v>
      </c>
      <c r="F616" s="26" t="s">
        <v>2059</v>
      </c>
      <c r="G616" s="26" t="s">
        <v>4496</v>
      </c>
      <c r="H616" s="26" t="s">
        <v>2066</v>
      </c>
    </row>
    <row r="617" customFormat="false" ht="23.85" hidden="false" customHeight="false" outlineLevel="0" collapsed="false">
      <c r="A617" s="26" t="s">
        <v>4497</v>
      </c>
      <c r="B617" s="8" t="s">
        <v>4498</v>
      </c>
      <c r="C617" s="26" t="s">
        <v>3354</v>
      </c>
      <c r="D617" s="26" t="s">
        <v>3350</v>
      </c>
      <c r="E617" s="26" t="s">
        <v>2058</v>
      </c>
      <c r="F617" s="26" t="s">
        <v>2059</v>
      </c>
      <c r="G617" s="26" t="s">
        <v>4496</v>
      </c>
      <c r="H617" s="26" t="s">
        <v>2066</v>
      </c>
    </row>
    <row r="618" customFormat="false" ht="23.85" hidden="false" customHeight="false" outlineLevel="0" collapsed="false">
      <c r="A618" s="26" t="s">
        <v>4499</v>
      </c>
      <c r="B618" s="8" t="s">
        <v>4500</v>
      </c>
      <c r="C618" s="26" t="s">
        <v>3834</v>
      </c>
      <c r="D618" s="26" t="s">
        <v>4501</v>
      </c>
      <c r="E618" s="26" t="s">
        <v>2058</v>
      </c>
      <c r="F618" s="26" t="s">
        <v>2059</v>
      </c>
      <c r="G618" s="26" t="s">
        <v>4502</v>
      </c>
      <c r="H618" s="26" t="s">
        <v>2061</v>
      </c>
    </row>
    <row r="619" customFormat="false" ht="23.85" hidden="false" customHeight="false" outlineLevel="0" collapsed="false">
      <c r="A619" s="26" t="s">
        <v>4503</v>
      </c>
      <c r="B619" s="8" t="s">
        <v>4504</v>
      </c>
      <c r="C619" s="26" t="s">
        <v>3476</v>
      </c>
      <c r="D619" s="26" t="s">
        <v>4505</v>
      </c>
      <c r="E619" s="26" t="s">
        <v>2058</v>
      </c>
      <c r="F619" s="26" t="s">
        <v>2059</v>
      </c>
      <c r="G619" s="26" t="s">
        <v>4506</v>
      </c>
      <c r="H619" s="26" t="s">
        <v>2061</v>
      </c>
    </row>
    <row r="620" customFormat="false" ht="23.85" hidden="false" customHeight="false" outlineLevel="0" collapsed="false">
      <c r="A620" s="26" t="s">
        <v>4507</v>
      </c>
      <c r="B620" s="8" t="s">
        <v>4508</v>
      </c>
      <c r="C620" s="26" t="s">
        <v>3488</v>
      </c>
      <c r="D620" s="26" t="s">
        <v>3069</v>
      </c>
      <c r="E620" s="26" t="s">
        <v>2058</v>
      </c>
      <c r="F620" s="26" t="s">
        <v>2059</v>
      </c>
      <c r="G620" s="26" t="s">
        <v>4509</v>
      </c>
      <c r="H620" s="26" t="s">
        <v>2066</v>
      </c>
    </row>
    <row r="621" customFormat="false" ht="23.85" hidden="false" customHeight="false" outlineLevel="0" collapsed="false">
      <c r="A621" s="26" t="s">
        <v>4510</v>
      </c>
      <c r="B621" s="8" t="s">
        <v>4511</v>
      </c>
      <c r="C621" s="26" t="s">
        <v>3376</v>
      </c>
      <c r="D621" s="26" t="s">
        <v>3386</v>
      </c>
      <c r="E621" s="26" t="s">
        <v>2058</v>
      </c>
      <c r="F621" s="26" t="s">
        <v>2059</v>
      </c>
      <c r="G621" s="26" t="s">
        <v>4512</v>
      </c>
      <c r="H621" s="26" t="s">
        <v>2061</v>
      </c>
    </row>
    <row r="622" customFormat="false" ht="15" hidden="false" customHeight="false" outlineLevel="0" collapsed="false">
      <c r="A622" s="26" t="s">
        <v>4513</v>
      </c>
      <c r="B622" s="8" t="s">
        <v>4514</v>
      </c>
      <c r="C622" s="26" t="s">
        <v>2685</v>
      </c>
      <c r="D622" s="26" t="s">
        <v>4501</v>
      </c>
      <c r="E622" s="26" t="s">
        <v>2058</v>
      </c>
      <c r="F622" s="26" t="s">
        <v>2059</v>
      </c>
      <c r="G622" s="26" t="s">
        <v>4515</v>
      </c>
      <c r="H622" s="26" t="s">
        <v>2061</v>
      </c>
    </row>
    <row r="623" customFormat="false" ht="23.85" hidden="false" customHeight="false" outlineLevel="0" collapsed="false">
      <c r="A623" s="26" t="s">
        <v>4516</v>
      </c>
      <c r="B623" s="8" t="s">
        <v>4517</v>
      </c>
      <c r="C623" s="26" t="s">
        <v>2784</v>
      </c>
      <c r="D623" s="26" t="s">
        <v>4501</v>
      </c>
      <c r="E623" s="26" t="s">
        <v>2058</v>
      </c>
      <c r="F623" s="26" t="s">
        <v>2059</v>
      </c>
      <c r="G623" s="26" t="s">
        <v>4518</v>
      </c>
      <c r="H623" s="26" t="s">
        <v>2061</v>
      </c>
    </row>
    <row r="624" customFormat="false" ht="23.85" hidden="false" customHeight="false" outlineLevel="0" collapsed="false">
      <c r="A624" s="26" t="s">
        <v>4519</v>
      </c>
      <c r="B624" s="8" t="s">
        <v>4520</v>
      </c>
      <c r="C624" s="26" t="s">
        <v>4521</v>
      </c>
      <c r="D624" s="26" t="s">
        <v>4501</v>
      </c>
      <c r="E624" s="26" t="s">
        <v>2058</v>
      </c>
      <c r="F624" s="26" t="s">
        <v>2059</v>
      </c>
      <c r="G624" s="26" t="s">
        <v>4518</v>
      </c>
      <c r="H624" s="26" t="s">
        <v>2061</v>
      </c>
    </row>
    <row r="625" customFormat="false" ht="23.85" hidden="false" customHeight="false" outlineLevel="0" collapsed="false">
      <c r="A625" s="26" t="s">
        <v>4522</v>
      </c>
      <c r="B625" s="8" t="s">
        <v>4523</v>
      </c>
      <c r="C625" s="26" t="s">
        <v>3711</v>
      </c>
      <c r="D625" s="26" t="s">
        <v>3712</v>
      </c>
      <c r="E625" s="26" t="s">
        <v>2058</v>
      </c>
      <c r="F625" s="26" t="s">
        <v>2059</v>
      </c>
      <c r="G625" s="26" t="s">
        <v>4524</v>
      </c>
      <c r="H625" s="26" t="s">
        <v>2061</v>
      </c>
    </row>
    <row r="626" customFormat="false" ht="23.85" hidden="false" customHeight="false" outlineLevel="0" collapsed="false">
      <c r="A626" s="26" t="s">
        <v>4525</v>
      </c>
      <c r="B626" s="8" t="s">
        <v>4526</v>
      </c>
      <c r="C626" s="26" t="s">
        <v>3716</v>
      </c>
      <c r="D626" s="26" t="s">
        <v>3717</v>
      </c>
      <c r="E626" s="26" t="s">
        <v>2058</v>
      </c>
      <c r="F626" s="26" t="s">
        <v>2059</v>
      </c>
      <c r="G626" s="26" t="s">
        <v>4524</v>
      </c>
      <c r="H626" s="26" t="s">
        <v>2061</v>
      </c>
    </row>
    <row r="627" customFormat="false" ht="15" hidden="false" customHeight="false" outlineLevel="0" collapsed="false">
      <c r="A627" s="26" t="s">
        <v>4527</v>
      </c>
      <c r="B627" s="8" t="s">
        <v>4528</v>
      </c>
      <c r="C627" s="26" t="s">
        <v>3720</v>
      </c>
      <c r="D627" s="26" t="s">
        <v>4529</v>
      </c>
      <c r="E627" s="26" t="s">
        <v>2058</v>
      </c>
      <c r="F627" s="26" t="s">
        <v>2059</v>
      </c>
      <c r="G627" s="26" t="s">
        <v>4524</v>
      </c>
      <c r="H627" s="26" t="s">
        <v>2061</v>
      </c>
    </row>
    <row r="628" customFormat="false" ht="23.85" hidden="false" customHeight="false" outlineLevel="0" collapsed="false">
      <c r="A628" s="26" t="s">
        <v>4530</v>
      </c>
      <c r="B628" s="8" t="s">
        <v>4531</v>
      </c>
      <c r="C628" s="26" t="s">
        <v>3764</v>
      </c>
      <c r="D628" s="26" t="s">
        <v>4532</v>
      </c>
      <c r="E628" s="26" t="s">
        <v>2058</v>
      </c>
      <c r="F628" s="26" t="s">
        <v>2059</v>
      </c>
      <c r="G628" s="26" t="s">
        <v>4533</v>
      </c>
      <c r="H628" s="26" t="s">
        <v>2061</v>
      </c>
    </row>
    <row r="629" customFormat="false" ht="23.85" hidden="false" customHeight="false" outlineLevel="0" collapsed="false">
      <c r="A629" s="26" t="s">
        <v>4534</v>
      </c>
      <c r="B629" s="8" t="s">
        <v>4535</v>
      </c>
      <c r="C629" s="26" t="s">
        <v>3755</v>
      </c>
      <c r="D629" s="26" t="s">
        <v>3756</v>
      </c>
      <c r="E629" s="26" t="s">
        <v>2058</v>
      </c>
      <c r="F629" s="26" t="s">
        <v>2059</v>
      </c>
      <c r="G629" s="26" t="s">
        <v>4533</v>
      </c>
      <c r="H629" s="26" t="s">
        <v>2061</v>
      </c>
    </row>
    <row r="630" customFormat="false" ht="15" hidden="false" customHeight="false" outlineLevel="0" collapsed="false">
      <c r="A630" s="26" t="s">
        <v>4536</v>
      </c>
      <c r="B630" s="8" t="s">
        <v>4537</v>
      </c>
      <c r="C630" s="26" t="s">
        <v>3769</v>
      </c>
      <c r="D630" s="26" t="s">
        <v>4538</v>
      </c>
      <c r="E630" s="26" t="s">
        <v>2058</v>
      </c>
      <c r="F630" s="26" t="s">
        <v>2059</v>
      </c>
      <c r="G630" s="26" t="s">
        <v>4533</v>
      </c>
      <c r="H630" s="26" t="s">
        <v>2061</v>
      </c>
    </row>
    <row r="631" customFormat="false" ht="23.85" hidden="false" customHeight="false" outlineLevel="0" collapsed="false">
      <c r="A631" s="26" t="s">
        <v>4539</v>
      </c>
      <c r="B631" s="8" t="s">
        <v>4540</v>
      </c>
      <c r="C631" s="26" t="s">
        <v>3774</v>
      </c>
      <c r="D631" s="26" t="s">
        <v>4541</v>
      </c>
      <c r="E631" s="26" t="s">
        <v>2058</v>
      </c>
      <c r="F631" s="26" t="s">
        <v>2059</v>
      </c>
      <c r="G631" s="26" t="s">
        <v>4533</v>
      </c>
      <c r="H631" s="26" t="s">
        <v>2066</v>
      </c>
    </row>
    <row r="632" customFormat="false" ht="23.85" hidden="false" customHeight="false" outlineLevel="0" collapsed="false">
      <c r="A632" s="26" t="s">
        <v>4542</v>
      </c>
      <c r="B632" s="8" t="s">
        <v>4543</v>
      </c>
      <c r="C632" s="26" t="s">
        <v>2469</v>
      </c>
      <c r="D632" s="26" t="s">
        <v>2192</v>
      </c>
      <c r="E632" s="26" t="s">
        <v>2058</v>
      </c>
      <c r="F632" s="26" t="s">
        <v>2059</v>
      </c>
      <c r="G632" s="26" t="s">
        <v>4544</v>
      </c>
      <c r="H632" s="26" t="s">
        <v>2061</v>
      </c>
    </row>
    <row r="633" customFormat="false" ht="23.85" hidden="false" customHeight="false" outlineLevel="0" collapsed="false">
      <c r="A633" s="26" t="s">
        <v>4545</v>
      </c>
      <c r="B633" s="8" t="s">
        <v>4546</v>
      </c>
      <c r="C633" s="26" t="s">
        <v>2630</v>
      </c>
      <c r="D633" s="26" t="s">
        <v>2192</v>
      </c>
      <c r="E633" s="26" t="s">
        <v>2058</v>
      </c>
      <c r="F633" s="26" t="s">
        <v>2059</v>
      </c>
      <c r="G633" s="26" t="s">
        <v>4544</v>
      </c>
      <c r="H633" s="26" t="s">
        <v>2061</v>
      </c>
    </row>
    <row r="634" customFormat="false" ht="23.85" hidden="false" customHeight="false" outlineLevel="0" collapsed="false">
      <c r="A634" s="26" t="s">
        <v>4547</v>
      </c>
      <c r="B634" s="8" t="s">
        <v>4548</v>
      </c>
      <c r="C634" s="26" t="s">
        <v>2414</v>
      </c>
      <c r="D634" s="26" t="s">
        <v>2192</v>
      </c>
      <c r="E634" s="26" t="s">
        <v>2058</v>
      </c>
      <c r="F634" s="26" t="s">
        <v>2059</v>
      </c>
      <c r="G634" s="26" t="s">
        <v>4544</v>
      </c>
      <c r="H634" s="26" t="s">
        <v>2061</v>
      </c>
    </row>
    <row r="635" customFormat="false" ht="15" hidden="false" customHeight="false" outlineLevel="0" collapsed="false">
      <c r="A635" s="26" t="s">
        <v>4549</v>
      </c>
      <c r="B635" s="8" t="s">
        <v>4550</v>
      </c>
      <c r="C635" s="26" t="s">
        <v>2466</v>
      </c>
      <c r="D635" s="26" t="s">
        <v>2192</v>
      </c>
      <c r="E635" s="26" t="s">
        <v>2058</v>
      </c>
      <c r="F635" s="26" t="s">
        <v>2059</v>
      </c>
      <c r="G635" s="26" t="s">
        <v>4544</v>
      </c>
      <c r="H635" s="26" t="s">
        <v>2061</v>
      </c>
    </row>
    <row r="636" customFormat="false" ht="15" hidden="false" customHeight="false" outlineLevel="0" collapsed="false">
      <c r="A636" s="26" t="s">
        <v>4551</v>
      </c>
      <c r="B636" s="8" t="s">
        <v>4552</v>
      </c>
      <c r="C636" s="26" t="s">
        <v>4553</v>
      </c>
      <c r="D636" s="26" t="s">
        <v>2420</v>
      </c>
      <c r="E636" s="26" t="s">
        <v>2058</v>
      </c>
      <c r="F636" s="26" t="s">
        <v>2059</v>
      </c>
      <c r="G636" s="26" t="s">
        <v>4544</v>
      </c>
      <c r="H636" s="26" t="s">
        <v>2061</v>
      </c>
    </row>
    <row r="637" customFormat="false" ht="23.85" hidden="false" customHeight="false" outlineLevel="0" collapsed="false">
      <c r="A637" s="26" t="s">
        <v>4554</v>
      </c>
      <c r="B637" s="8" t="s">
        <v>4555</v>
      </c>
      <c r="C637" s="26" t="s">
        <v>2477</v>
      </c>
      <c r="D637" s="26" t="s">
        <v>2478</v>
      </c>
      <c r="E637" s="26" t="s">
        <v>2058</v>
      </c>
      <c r="F637" s="26" t="s">
        <v>2059</v>
      </c>
      <c r="G637" s="26" t="s">
        <v>4556</v>
      </c>
      <c r="H637" s="26" t="s">
        <v>2066</v>
      </c>
    </row>
    <row r="638" customFormat="false" ht="46.25" hidden="false" customHeight="false" outlineLevel="0" collapsed="false">
      <c r="A638" s="26" t="s">
        <v>4557</v>
      </c>
      <c r="B638" s="8" t="s">
        <v>4558</v>
      </c>
      <c r="C638" s="26" t="s">
        <v>2056</v>
      </c>
      <c r="D638" s="26" t="s">
        <v>2057</v>
      </c>
      <c r="E638" s="26" t="s">
        <v>2058</v>
      </c>
      <c r="F638" s="26" t="s">
        <v>2059</v>
      </c>
      <c r="G638" s="26" t="s">
        <v>4559</v>
      </c>
      <c r="H638" s="26" t="s">
        <v>2061</v>
      </c>
    </row>
    <row r="639" customFormat="false" ht="23.85" hidden="false" customHeight="false" outlineLevel="0" collapsed="false">
      <c r="A639" s="26" t="s">
        <v>4560</v>
      </c>
      <c r="B639" s="8" t="s">
        <v>4561</v>
      </c>
      <c r="C639" s="26" t="s">
        <v>2063</v>
      </c>
      <c r="D639" s="26" t="s">
        <v>2064</v>
      </c>
      <c r="E639" s="26" t="s">
        <v>2058</v>
      </c>
      <c r="F639" s="26" t="s">
        <v>2059</v>
      </c>
      <c r="G639" s="26" t="s">
        <v>4559</v>
      </c>
      <c r="H639" s="26" t="s">
        <v>2066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2026-10-14T19:35:54Z</dcterms:created>
  <dc:creator>openpyxl</dc:creator>
  <dc:description/>
  <dc:language>en-US</dc:language>
  <cp:lastModifiedBy/>
  <dcterms:modified xsi:type="dcterms:W3CDTF">2026-10-14T19:35:56Z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