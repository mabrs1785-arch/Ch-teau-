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Hypotheses" sheetId="2" state="visible" r:id="rId4"/>
    <sheet name="Budget" sheetId="3" state="visible" r:id="rId5"/>
    <sheet name="Sources" sheetId="4" state="visible" r:id="rId6"/>
  </sheets>
  <definedNames>
    <definedName function="false" hidden="false" name="assurance_taux" vbProcedure="false">Hypotheses!$D$12</definedName>
    <definedName function="false" hidden="false" name="assurance_taux_def" vbProcedure="false">Hypotheses!$E$12</definedName>
    <definedName function="false" hidden="false" name="assurance_taux_fav" vbProcedure="false">Hypotheses!$C$12</definedName>
    <definedName function="false" hidden="false" name="bois_cout_ha" vbProcedure="false">Hypotheses!$D$35</definedName>
    <definedName function="false" hidden="false" name="bois_cout_ha_def" vbProcedure="false">Hypotheses!$E$35</definedName>
    <definedName function="false" hidden="false" name="bois_cout_ha_fav" vbProcedure="false">Hypotheses!$C$35</definedName>
    <definedName function="false" hidden="false" name="box_entretien" vbProcedure="false">Hypotheses!$D$36</definedName>
    <definedName function="false" hidden="false" name="box_entretien_def" vbProcedure="false">Hypotheses!$E$36</definedName>
    <definedName function="false" hidden="false" name="box_entretien_fav" vbProcedure="false">Hypotheses!$C$36</definedName>
    <definedName function="false" hidden="false" name="chauffage_kwh_m2" vbProcedure="false">Hypotheses!$D$156</definedName>
    <definedName function="false" hidden="false" name="chauffage_kwh_m2_def" vbProcedure="false">Hypotheses!$E$156</definedName>
    <definedName function="false" hidden="false" name="chauffage_kwh_m2_fav" vbProcedure="false">Hypotheses!$C$156</definedName>
    <definedName function="false" hidden="false" name="cheval_an" vbProcedure="false">Hypotheses!$D$37</definedName>
    <definedName function="false" hidden="false" name="cheval_an_def" vbProcedure="false">Hypotheses!$E$37</definedName>
    <definedName function="false" hidden="false" name="cheval_an_fav" vbProcedure="false">Hypotheses!$C$37</definedName>
    <definedName function="false" hidden="false" name="cloture_ml" vbProcedure="false">Hypotheses!$D$38</definedName>
    <definedName function="false" hidden="false" name="cloture_ml_def" vbProcedure="false">Hypotheses!$E$38</definedName>
    <definedName function="false" hidden="false" name="cloture_ml_fav" vbProcedure="false">Hypotheses!$C$38</definedName>
    <definedName function="false" hidden="false" name="cloture_vie" vbProcedure="false">Hypotheses!$D$39</definedName>
    <definedName function="false" hidden="false" name="cloture_vie_def" vbProcedure="false">Hypotheses!$E$39</definedName>
    <definedName function="false" hidden="false" name="cloture_vie_fav" vbProcedure="false">Hypotheses!$C$39</definedName>
    <definedName function="false" hidden="false" name="cout_admin_salarie" vbProcedure="false">Hypotheses!$D$57</definedName>
    <definedName function="false" hidden="false" name="cout_admin_salarie_def" vbProcedure="false">Hypotheses!$E$57</definedName>
    <definedName function="false" hidden="false" name="cout_admin_salarie_fav" vbProcedure="false">Hypotheses!$C$57</definedName>
    <definedName function="false" hidden="false" name="cout_agent_entretien" vbProcedure="false">Hypotheses!$D$58</definedName>
    <definedName function="false" hidden="false" name="cout_agent_entretien_def" vbProcedure="false">Hypotheses!$E$58</definedName>
    <definedName function="false" hidden="false" name="cout_agent_entretien_fav" vbProcedure="false">Hypotheses!$C$58</definedName>
    <definedName function="false" hidden="false" name="cout_chef_jardinier" vbProcedure="false">Hypotheses!$D$59</definedName>
    <definedName function="false" hidden="false" name="cout_chef_jardinier_def" vbProcedure="false">Hypotheses!$E$59</definedName>
    <definedName function="false" hidden="false" name="cout_chef_jardinier_fav" vbProcedure="false">Hypotheses!$C$59</definedName>
    <definedName function="false" hidden="false" name="cout_jardinier" vbProcedure="false">Hypotheses!$D$60</definedName>
    <definedName function="false" hidden="false" name="cout_jardinier_def" vbProcedure="false">Hypotheses!$E$60</definedName>
    <definedName function="false" hidden="false" name="cout_jardinier_fav" vbProcedure="false">Hypotheses!$C$60</definedName>
    <definedName function="false" hidden="false" name="cout_maison" vbProcedure="false">Hypotheses!$D$61</definedName>
    <definedName function="false" hidden="false" name="cout_maison_def" vbProcedure="false">Hypotheses!$E$61</definedName>
    <definedName function="false" hidden="false" name="cout_maison_fav" vbProcedure="false">Hypotheses!$C$61</definedName>
    <definedName function="false" hidden="false" name="cout_ouvrier_agricole" vbProcedure="false">Hypotheses!$D$62</definedName>
    <definedName function="false" hidden="false" name="cout_ouvrier_agricole_def" vbProcedure="false">Hypotheses!$E$62</definedName>
    <definedName function="false" hidden="false" name="cout_ouvrier_agricole_fav" vbProcedure="false">Hypotheses!$C$62</definedName>
    <definedName function="false" hidden="false" name="cout_resp_ecurie" vbProcedure="false">Hypotheses!$D$63</definedName>
    <definedName function="false" hidden="false" name="cout_resp_ecurie_def" vbProcedure="false">Hypotheses!$E$63</definedName>
    <definedName function="false" hidden="false" name="cout_resp_ecurie_fav" vbProcedure="false">Hypotheses!$C$63</definedName>
    <definedName function="false" hidden="false" name="cout_soigneur" vbProcedure="false">Hypotheses!$D$64</definedName>
    <definedName function="false" hidden="false" name="cout_soigneur_def" vbProcedure="false">Hypotheses!$E$64</definedName>
    <definedName function="false" hidden="false" name="cout_soigneur_fav" vbProcedure="false">Hypotheses!$C$64</definedName>
    <definedName function="false" hidden="false" name="dette_duree" vbProcedure="false">Hypotheses!$D$100</definedName>
    <definedName function="false" hidden="false" name="dette_duree_def" vbProcedure="false">Hypotheses!$E$100</definedName>
    <definedName function="false" hidden="false" name="dette_duree_fav" vbProcedure="false">Hypotheses!$C$100</definedName>
    <definedName function="false" hidden="false" name="dette_quotite" vbProcedure="false">Hypotheses!$D$101</definedName>
    <definedName function="false" hidden="false" name="dette_quotite_def" vbProcedure="false">Hypotheses!$E$101</definedName>
    <definedName function="false" hidden="false" name="dette_quotite_fav" vbProcedure="false">Hypotheses!$C$101</definedName>
    <definedName function="false" hidden="false" name="dette_taux" vbProcedure="false">Hypotheses!$D$102</definedName>
    <definedName function="false" hidden="false" name="dette_taux_def" vbProcedure="false">Hypotheses!$E$102</definedName>
    <definedName function="false" hidden="false" name="dette_taux_fav" vbProcedure="false">Hypotheses!$C$102</definedName>
    <definedName function="false" hidden="false" name="equip_entretien_taux" vbProcedure="false">Hypotheses!$D$40</definedName>
    <definedName function="false" hidden="false" name="equip_entretien_taux_def" vbProcedure="false">Hypotheses!$E$40</definedName>
    <definedName function="false" hidden="false" name="equip_entretien_taux_fav" vbProcedure="false">Hypotheses!$C$40</definedName>
    <definedName function="false" hidden="false" name="equip_vie" vbProcedure="false">Hypotheses!$D$41</definedName>
    <definedName function="false" hidden="false" name="equip_vie_def" vbProcedure="false">Hypotheses!$E$41</definedName>
    <definedName function="false" hidden="false" name="equip_vie_fav" vbProcedure="false">Hypotheses!$C$41</definedName>
    <definedName function="false" hidden="false" name="horsgel_kwh_m2" vbProcedure="false">Hypotheses!$D$157</definedName>
    <definedName function="false" hidden="false" name="horsgel_kwh_m2_def" vbProcedure="false">Hypotheses!$E$157</definedName>
    <definedName function="false" hidden="false" name="horsgel_kwh_m2_fav" vbProcedure="false">Hypotheses!$C$157</definedName>
    <definedName function="false" hidden="false" name="jardin_ha" vbProcedure="false">Hypotheses!$D$42</definedName>
    <definedName function="false" hidden="false" name="jardin_ha_def" vbProcedure="false">Hypotheses!$E$42</definedName>
    <definedName function="false" hidden="false" name="jardin_ha_fav" vbProcedure="false">Hypotheses!$C$42</definedName>
    <definedName function="false" hidden="false" name="manege_cout_m2" vbProcedure="false">Hypotheses!$D$43</definedName>
    <definedName function="false" hidden="false" name="manege_cout_m2_def" vbProcedure="false">Hypotheses!$E$43</definedName>
    <definedName function="false" hidden="false" name="manege_cout_m2_fav" vbProcedure="false">Hypotheses!$C$43</definedName>
    <definedName function="false" hidden="false" name="manege_vie" vbProcedure="false">Hypotheses!$D$44</definedName>
    <definedName function="false" hidden="false" name="manege_vie_def" vbProcedure="false">Hypotheses!$E$44</definedName>
    <definedName function="false" hidden="false" name="manege_vie_fav" vbProcedure="false">Hypotheses!$C$44</definedName>
    <definedName function="false" hidden="false" name="parc_ha" vbProcedure="false">Hypotheses!$D$45</definedName>
    <definedName function="false" hidden="false" name="parc_ha_def" vbProcedure="false">Hypotheses!$E$45</definedName>
    <definedName function="false" hidden="false" name="parc_ha_fav" vbProcedure="false">Hypotheses!$C$45</definedName>
    <definedName function="false" hidden="false" name="prairie_ha" vbProcedure="false">Hypotheses!$D$46</definedName>
    <definedName function="false" hidden="false" name="prairie_ha_def" vbProcedure="false">Hypotheses!$E$46</definedName>
    <definedName function="false" hidden="false" name="prairie_ha_fav" vbProcedure="false">Hypotheses!$C$46</definedName>
    <definedName function="false" hidden="false" name="prix_chaleur_kwh" vbProcedure="false">Hypotheses!$D$158</definedName>
    <definedName function="false" hidden="false" name="prix_chaleur_kwh_def" vbProcedure="false">Hypotheses!$E$158</definedName>
    <definedName function="false" hidden="false" name="prix_chaleur_kwh_fav" vbProcedure="false">Hypotheses!$C$158</definedName>
    <definedName function="false" hidden="false" name="prix_elec_kwh" vbProcedure="false">Hypotheses!$D$159</definedName>
    <definedName function="false" hidden="false" name="prix_elec_kwh_def" vbProcedure="false">Hypotheses!$E$159</definedName>
    <definedName function="false" hidden="false" name="prix_elec_kwh_fav" vbProcedure="false">Hypotheses!$C$159</definedName>
    <definedName function="false" hidden="false" name="S1_admin" vbProcedure="false">Hypotheses!$D$6</definedName>
    <definedName function="false" hidden="false" name="S1_admin_def" vbProcedure="false">Hypotheses!$E$6</definedName>
    <definedName function="false" hidden="false" name="S1_admin_fav" vbProcedure="false">Hypotheses!$C$6</definedName>
    <definedName function="false" hidden="false" name="S1_assurances_autres" vbProcedure="false">Hypotheses!$D$7</definedName>
    <definedName function="false" hidden="false" name="S1_assurances_autres_def" vbProcedure="false">Hypotheses!$E$7</definedName>
    <definedName function="false" hidden="false" name="S1_assurances_autres_fav" vbProcedure="false">Hypotheses!$C$7</definedName>
    <definedName function="false" hidden="false" name="S1_cout_direction" vbProcedure="false">Hypotheses!$D$51</definedName>
    <definedName function="false" hidden="false" name="S1_cout_direction_def" vbProcedure="false">Hypotheses!$E$51</definedName>
    <definedName function="false" hidden="false" name="S1_cout_direction_fav" vbProcedure="false">Hypotheses!$C$51</definedName>
    <definedName function="false" hidden="false" name="S1_cout_gouvernance" vbProcedure="false">Hypotheses!$D$52</definedName>
    <definedName function="false" hidden="false" name="S1_cout_gouvernance_def" vbProcedure="false">Hypotheses!$E$52</definedName>
    <definedName function="false" hidden="false" name="S1_cout_gouvernance_fav" vbProcedure="false">Hypotheses!$C$52</definedName>
    <definedName function="false" hidden="false" name="S1_eau" vbProcedure="false">Hypotheses!$D$147</definedName>
    <definedName function="false" hidden="false" name="S1_eau_def" vbProcedure="false">Hypotheses!$E$147</definedName>
    <definedName function="false" hidden="false" name="S1_eau_fav" vbProcedure="false">Hypotheses!$C$147</definedName>
    <definedName function="false" hidden="false" name="S1_elec_kwh" vbProcedure="false">Hypotheses!$D$148</definedName>
    <definedName function="false" hidden="false" name="S1_elec_kwh_def" vbProcedure="false">Hypotheses!$E$148</definedName>
    <definedName function="false" hidden="false" name="S1_elec_kwh_fav" vbProcedure="false">Hypotheses!$C$148</definedName>
    <definedName function="false" hidden="false" name="S1_etp_admin" vbProcedure="false">Hypotheses!$D$66</definedName>
    <definedName function="false" hidden="false" name="S1_etp_admin_def" vbProcedure="false">Hypotheses!$E$66</definedName>
    <definedName function="false" hidden="false" name="S1_etp_admin_fav" vbProcedure="false">Hypotheses!$C$66</definedName>
    <definedName function="false" hidden="false" name="S1_etp_agricole" vbProcedure="false">Hypotheses!$D$67</definedName>
    <definedName function="false" hidden="false" name="S1_etp_agricole_def" vbProcedure="false">Hypotheses!$E$67</definedName>
    <definedName function="false" hidden="false" name="S1_etp_agricole_fav" vbProcedure="false">Hypotheses!$C$67</definedName>
    <definedName function="false" hidden="false" name="S1_etp_chef_jardinier" vbProcedure="false">Hypotheses!$D$68</definedName>
    <definedName function="false" hidden="false" name="S1_etp_chef_jardinier_def" vbProcedure="false">Hypotheses!$E$68</definedName>
    <definedName function="false" hidden="false" name="S1_etp_chef_jardinier_fav" vbProcedure="false">Hypotheses!$C$68</definedName>
    <definedName function="false" hidden="false" name="S1_etp_direction" vbProcedure="false">Hypotheses!$D$69</definedName>
    <definedName function="false" hidden="false" name="S1_etp_direction_def" vbProcedure="false">Hypotheses!$E$69</definedName>
    <definedName function="false" hidden="false" name="S1_etp_direction_fav" vbProcedure="false">Hypotheses!$C$69</definedName>
    <definedName function="false" hidden="false" name="S1_etp_entretien" vbProcedure="false">Hypotheses!$D$70</definedName>
    <definedName function="false" hidden="false" name="S1_etp_entretien_def" vbProcedure="false">Hypotheses!$E$70</definedName>
    <definedName function="false" hidden="false" name="S1_etp_entretien_fav" vbProcedure="false">Hypotheses!$C$70</definedName>
    <definedName function="false" hidden="false" name="S1_etp_gouvernance" vbProcedure="false">Hypotheses!$D$71</definedName>
    <definedName function="false" hidden="false" name="S1_etp_gouvernance_def" vbProcedure="false">Hypotheses!$E$71</definedName>
    <definedName function="false" hidden="false" name="S1_etp_gouvernance_fav" vbProcedure="false">Hypotheses!$C$71</definedName>
    <definedName function="false" hidden="false" name="S1_etp_jardin" vbProcedure="false">Hypotheses!$D$72</definedName>
    <definedName function="false" hidden="false" name="S1_etp_jardin_def" vbProcedure="false">Hypotheses!$E$72</definedName>
    <definedName function="false" hidden="false" name="S1_etp_jardin_fav" vbProcedure="false">Hypotheses!$C$72</definedName>
    <definedName function="false" hidden="false" name="S1_etp_maison" vbProcedure="false">Hypotheses!$D$73</definedName>
    <definedName function="false" hidden="false" name="S1_etp_maison_def" vbProcedure="false">Hypotheses!$E$73</definedName>
    <definedName function="false" hidden="false" name="S1_etp_maison_fav" vbProcedure="false">Hypotheses!$C$73</definedName>
    <definedName function="false" hidden="false" name="S1_etp_resp_ecurie" vbProcedure="false">Hypotheses!$D$74</definedName>
    <definedName function="false" hidden="false" name="S1_etp_resp_ecurie_def" vbProcedure="false">Hypotheses!$E$74</definedName>
    <definedName function="false" hidden="false" name="S1_etp_resp_ecurie_fav" vbProcedure="false">Hypotheses!$C$74</definedName>
    <definedName function="false" hidden="false" name="S1_etp_soigneur" vbProcedure="false">Hypotheses!$D$75</definedName>
    <definedName function="false" hidden="false" name="S1_etp_soigneur_def" vbProcedure="false">Hypotheses!$E$75</definedName>
    <definedName function="false" hidden="false" name="S1_etp_soigneur_fav" vbProcedure="false">Hypotheses!$C$75</definedName>
    <definedName function="false" hidden="false" name="S1_ha_bois" vbProcedure="false">Hypotheses!$D$104</definedName>
    <definedName function="false" hidden="false" name="S1_ha_bois_def" vbProcedure="false">Hypotheses!$E$104</definedName>
    <definedName function="false" hidden="false" name="S1_ha_bois_fav" vbProcedure="false">Hypotheses!$C$104</definedName>
    <definedName function="false" hidden="false" name="S1_ha_jardins" vbProcedure="false">Hypotheses!$D$105</definedName>
    <definedName function="false" hidden="false" name="S1_ha_jardins_def" vbProcedure="false">Hypotheses!$E$105</definedName>
    <definedName function="false" hidden="false" name="S1_ha_jardins_fav" vbProcedure="false">Hypotheses!$C$105</definedName>
    <definedName function="false" hidden="false" name="S1_ha_parc" vbProcedure="false">Hypotheses!$D$106</definedName>
    <definedName function="false" hidden="false" name="S1_ha_parc_def" vbProcedure="false">Hypotheses!$E$106</definedName>
    <definedName function="false" hidden="false" name="S1_ha_parc_fav" vbProcedure="false">Hypotheses!$C$106</definedName>
    <definedName function="false" hidden="false" name="S1_ha_prairies" vbProcedure="false">Hypotheses!$D$107</definedName>
    <definedName function="false" hidden="false" name="S1_ha_prairies_def" vbProcedure="false">Hypotheses!$E$107</definedName>
    <definedName function="false" hidden="false" name="S1_ha_prairies_fav" vbProcedure="false">Hypotheses!$C$107</definedName>
    <definedName function="false" hidden="false" name="S1_honoraires_patrimoine" vbProcedure="false">Hypotheses!$D$18</definedName>
    <definedName function="false" hidden="false" name="S1_honoraires_patrimoine_def" vbProcedure="false">Hypotheses!$E$18</definedName>
    <definedName function="false" hidden="false" name="S1_honoraires_patrimoine_fav" vbProcedure="false">Hypotheses!$C$18</definedName>
    <definedName function="false" hidden="false" name="S1_ml_clotures" vbProcedure="false">Hypotheses!$D$108</definedName>
    <definedName function="false" hidden="false" name="S1_ml_clotures_def" vbProcedure="false">Hypotheses!$E$108</definedName>
    <definedName function="false" hidden="false" name="S1_ml_clotures_fav" vbProcedure="false">Hypotheses!$C$108</definedName>
    <definedName function="false" hidden="false" name="S1_nb_baies" vbProcedure="false">Hypotheses!$D$109</definedName>
    <definedName function="false" hidden="false" name="S1_nb_baies_def" vbProcedure="false">Hypotheses!$E$109</definedName>
    <definedName function="false" hidden="false" name="S1_nb_baies_fav" vbProcedure="false">Hypotheses!$C$109</definedName>
    <definedName function="false" hidden="false" name="S1_nb_boxes" vbProcedure="false">Hypotheses!$D$110</definedName>
    <definedName function="false" hidden="false" name="S1_nb_boxes_def" vbProcedure="false">Hypotheses!$E$110</definedName>
    <definedName function="false" hidden="false" name="S1_nb_boxes_fav" vbProcedure="false">Hypotheses!$C$110</definedName>
    <definedName function="false" hidden="false" name="S1_nb_chevaux" vbProcedure="false">Hypotheses!$D$111</definedName>
    <definedName function="false" hidden="false" name="S1_nb_chevaux_def" vbProcedure="false">Hypotheses!$E$111</definedName>
    <definedName function="false" hidden="false" name="S1_nb_chevaux_fav" vbProcedure="false">Hypotheses!$C$111</definedName>
    <definedName function="false" hidden="false" name="S1_prix_achat" vbProcedure="false">Hypotheses!$D$97</definedName>
    <definedName function="false" hidden="false" name="S1_prix_achat_def" vbProcedure="false">Hypotheses!$E$97</definedName>
    <definedName function="false" hidden="false" name="S1_prix_achat_fav" vbProcedure="false">Hypotheses!$C$97</definedName>
    <definedName function="false" hidden="false" name="S1_securite" vbProcedure="false">Hypotheses!$D$19</definedName>
    <definedName function="false" hidden="false" name="S1_securite_def" vbProcedure="false">Hypotheses!$E$19</definedName>
    <definedName function="false" hidden="false" name="S1_securite_fav" vbProcedure="false">Hypotheses!$C$19</definedName>
    <definedName function="false" hidden="false" name="S1_surf_chateau" vbProcedure="false">Hypotheses!$D$112</definedName>
    <definedName function="false" hidden="false" name="S1_surf_chateau_def" vbProcedure="false">Hypotheses!$E$112</definedName>
    <definedName function="false" hidden="false" name="S1_surf_chateau_fav" vbProcedure="false">Hypotheses!$C$112</definedName>
    <definedName function="false" hidden="false" name="S1_surf_chauffee" vbProcedure="false">Hypotheses!$D$149</definedName>
    <definedName function="false" hidden="false" name="S1_surf_chauffee_def" vbProcedure="false">Hypotheses!$E$149</definedName>
    <definedName function="false" hidden="false" name="S1_surf_chauffee_fav" vbProcedure="false">Hypotheses!$C$149</definedName>
    <definedName function="false" hidden="false" name="S1_surf_dep" vbProcedure="false">Hypotheses!$D$113</definedName>
    <definedName function="false" hidden="false" name="S1_surf_dep_def" vbProcedure="false">Hypotheses!$E$113</definedName>
    <definedName function="false" hidden="false" name="S1_surf_dep_fav" vbProcedure="false">Hypotheses!$C$113</definedName>
    <definedName function="false" hidden="false" name="S1_surf_facades" vbProcedure="false">Hypotheses!$D$114</definedName>
    <definedName function="false" hidden="false" name="S1_surf_facades_def" vbProcedure="false">Hypotheses!$E$114</definedName>
    <definedName function="false" hidden="false" name="S1_surf_facades_fav" vbProcedure="false">Hypotheses!$C$114</definedName>
    <definedName function="false" hidden="false" name="S1_surf_manege" vbProcedure="false">Hypotheses!$D$115</definedName>
    <definedName function="false" hidden="false" name="S1_surf_manege_def" vbProcedure="false">Hypotheses!$E$115</definedName>
    <definedName function="false" hidden="false" name="S1_surf_manege_fav" vbProcedure="false">Hypotheses!$C$115</definedName>
    <definedName function="false" hidden="false" name="S1_surf_pistes" vbProcedure="false">Hypotheses!$D$116</definedName>
    <definedName function="false" hidden="false" name="S1_surf_pistes_def" vbProcedure="false">Hypotheses!$E$116</definedName>
    <definedName function="false" hidden="false" name="S1_surf_pistes_fav" vbProcedure="false">Hypotheses!$C$116</definedName>
    <definedName function="false" hidden="false" name="S1_surf_toits" vbProcedure="false">Hypotheses!$D$117</definedName>
    <definedName function="false" hidden="false" name="S1_surf_toits_def" vbProcedure="false">Hypotheses!$E$117</definedName>
    <definedName function="false" hidden="false" name="S1_surf_toits_fav" vbProcedure="false">Hypotheses!$C$117</definedName>
    <definedName function="false" hidden="false" name="S1_valeur_equip" vbProcedure="false">Hypotheses!$D$32</definedName>
    <definedName function="false" hidden="false" name="S1_valeur_equip_def" vbProcedure="false">Hypotheses!$E$32</definedName>
    <definedName function="false" hidden="false" name="S1_valeur_equip_fav" vbProcedure="false">Hypotheses!$C$32</definedName>
    <definedName function="false" hidden="false" name="S1_vr_m2" vbProcedure="false">Hypotheses!$D$20</definedName>
    <definedName function="false" hidden="false" name="S1_vr_m2_def" vbProcedure="false">Hypotheses!$E$20</definedName>
    <definedName function="false" hidden="false" name="S1_vr_m2_fav" vbProcedure="false">Hypotheses!$C$20</definedName>
    <definedName function="false" hidden="false" name="S2_admin" vbProcedure="false">Hypotheses!$D$8</definedName>
    <definedName function="false" hidden="false" name="S2_admin_def" vbProcedure="false">Hypotheses!$E$8</definedName>
    <definedName function="false" hidden="false" name="S2_admin_fav" vbProcedure="false">Hypotheses!$C$8</definedName>
    <definedName function="false" hidden="false" name="S2_assurances_autres" vbProcedure="false">Hypotheses!$D$9</definedName>
    <definedName function="false" hidden="false" name="S2_assurances_autres_def" vbProcedure="false">Hypotheses!$E$9</definedName>
    <definedName function="false" hidden="false" name="S2_assurances_autres_fav" vbProcedure="false">Hypotheses!$C$9</definedName>
    <definedName function="false" hidden="false" name="S2_cout_direction" vbProcedure="false">Hypotheses!$D$53</definedName>
    <definedName function="false" hidden="false" name="S2_cout_direction_def" vbProcedure="false">Hypotheses!$E$53</definedName>
    <definedName function="false" hidden="false" name="S2_cout_direction_fav" vbProcedure="false">Hypotheses!$C$53</definedName>
    <definedName function="false" hidden="false" name="S2_cout_gouvernance" vbProcedure="false">Hypotheses!$D$54</definedName>
    <definedName function="false" hidden="false" name="S2_cout_gouvernance_def" vbProcedure="false">Hypotheses!$E$54</definedName>
    <definedName function="false" hidden="false" name="S2_cout_gouvernance_fav" vbProcedure="false">Hypotheses!$C$54</definedName>
    <definedName function="false" hidden="false" name="S2_eau" vbProcedure="false">Hypotheses!$D$150</definedName>
    <definedName function="false" hidden="false" name="S2_eau_def" vbProcedure="false">Hypotheses!$E$150</definedName>
    <definedName function="false" hidden="false" name="S2_eau_fav" vbProcedure="false">Hypotheses!$C$150</definedName>
    <definedName function="false" hidden="false" name="S2_elec_kwh" vbProcedure="false">Hypotheses!$D$151</definedName>
    <definedName function="false" hidden="false" name="S2_elec_kwh_def" vbProcedure="false">Hypotheses!$E$151</definedName>
    <definedName function="false" hidden="false" name="S2_elec_kwh_fav" vbProcedure="false">Hypotheses!$C$151</definedName>
    <definedName function="false" hidden="false" name="S2_etp_admin" vbProcedure="false">Hypotheses!$D$76</definedName>
    <definedName function="false" hidden="false" name="S2_etp_admin_def" vbProcedure="false">Hypotheses!$E$76</definedName>
    <definedName function="false" hidden="false" name="S2_etp_admin_fav" vbProcedure="false">Hypotheses!$C$76</definedName>
    <definedName function="false" hidden="false" name="S2_etp_agricole" vbProcedure="false">Hypotheses!$D$77</definedName>
    <definedName function="false" hidden="false" name="S2_etp_agricole_def" vbProcedure="false">Hypotheses!$E$77</definedName>
    <definedName function="false" hidden="false" name="S2_etp_agricole_fav" vbProcedure="false">Hypotheses!$C$77</definedName>
    <definedName function="false" hidden="false" name="S2_etp_chef_jardinier" vbProcedure="false">Hypotheses!$D$78</definedName>
    <definedName function="false" hidden="false" name="S2_etp_chef_jardinier_def" vbProcedure="false">Hypotheses!$E$78</definedName>
    <definedName function="false" hidden="false" name="S2_etp_chef_jardinier_fav" vbProcedure="false">Hypotheses!$C$78</definedName>
    <definedName function="false" hidden="false" name="S2_etp_direction" vbProcedure="false">Hypotheses!$D$79</definedName>
    <definedName function="false" hidden="false" name="S2_etp_direction_def" vbProcedure="false">Hypotheses!$E$79</definedName>
    <definedName function="false" hidden="false" name="S2_etp_direction_fav" vbProcedure="false">Hypotheses!$C$79</definedName>
    <definedName function="false" hidden="false" name="S2_etp_entretien" vbProcedure="false">Hypotheses!$D$80</definedName>
    <definedName function="false" hidden="false" name="S2_etp_entretien_def" vbProcedure="false">Hypotheses!$E$80</definedName>
    <definedName function="false" hidden="false" name="S2_etp_entretien_fav" vbProcedure="false">Hypotheses!$C$80</definedName>
    <definedName function="false" hidden="false" name="S2_etp_gouvernance" vbProcedure="false">Hypotheses!$D$81</definedName>
    <definedName function="false" hidden="false" name="S2_etp_gouvernance_def" vbProcedure="false">Hypotheses!$E$81</definedName>
    <definedName function="false" hidden="false" name="S2_etp_gouvernance_fav" vbProcedure="false">Hypotheses!$C$81</definedName>
    <definedName function="false" hidden="false" name="S2_etp_jardin" vbProcedure="false">Hypotheses!$D$82</definedName>
    <definedName function="false" hidden="false" name="S2_etp_jardin_def" vbProcedure="false">Hypotheses!$E$82</definedName>
    <definedName function="false" hidden="false" name="S2_etp_jardin_fav" vbProcedure="false">Hypotheses!$C$82</definedName>
    <definedName function="false" hidden="false" name="S2_etp_maison" vbProcedure="false">Hypotheses!$D$83</definedName>
    <definedName function="false" hidden="false" name="S2_etp_maison_def" vbProcedure="false">Hypotheses!$E$83</definedName>
    <definedName function="false" hidden="false" name="S2_etp_maison_fav" vbProcedure="false">Hypotheses!$C$83</definedName>
    <definedName function="false" hidden="false" name="S2_etp_resp_ecurie" vbProcedure="false">Hypotheses!$D$84</definedName>
    <definedName function="false" hidden="false" name="S2_etp_resp_ecurie_def" vbProcedure="false">Hypotheses!$E$84</definedName>
    <definedName function="false" hidden="false" name="S2_etp_resp_ecurie_fav" vbProcedure="false">Hypotheses!$C$84</definedName>
    <definedName function="false" hidden="false" name="S2_etp_soigneur" vbProcedure="false">Hypotheses!$D$85</definedName>
    <definedName function="false" hidden="false" name="S2_etp_soigneur_def" vbProcedure="false">Hypotheses!$E$85</definedName>
    <definedName function="false" hidden="false" name="S2_etp_soigneur_fav" vbProcedure="false">Hypotheses!$C$85</definedName>
    <definedName function="false" hidden="false" name="S2_ha_bois" vbProcedure="false">Hypotheses!$D$118</definedName>
    <definedName function="false" hidden="false" name="S2_ha_bois_def" vbProcedure="false">Hypotheses!$E$118</definedName>
    <definedName function="false" hidden="false" name="S2_ha_bois_fav" vbProcedure="false">Hypotheses!$C$118</definedName>
    <definedName function="false" hidden="false" name="S2_ha_jardins" vbProcedure="false">Hypotheses!$D$119</definedName>
    <definedName function="false" hidden="false" name="S2_ha_jardins_def" vbProcedure="false">Hypotheses!$E$119</definedName>
    <definedName function="false" hidden="false" name="S2_ha_jardins_fav" vbProcedure="false">Hypotheses!$C$119</definedName>
    <definedName function="false" hidden="false" name="S2_ha_parc" vbProcedure="false">Hypotheses!$D$120</definedName>
    <definedName function="false" hidden="false" name="S2_ha_parc_def" vbProcedure="false">Hypotheses!$E$120</definedName>
    <definedName function="false" hidden="false" name="S2_ha_parc_fav" vbProcedure="false">Hypotheses!$C$120</definedName>
    <definedName function="false" hidden="false" name="S2_ha_prairies" vbProcedure="false">Hypotheses!$D$121</definedName>
    <definedName function="false" hidden="false" name="S2_ha_prairies_def" vbProcedure="false">Hypotheses!$E$121</definedName>
    <definedName function="false" hidden="false" name="S2_ha_prairies_fav" vbProcedure="false">Hypotheses!$C$121</definedName>
    <definedName function="false" hidden="false" name="S2_honoraires_patrimoine" vbProcedure="false">Hypotheses!$D$21</definedName>
    <definedName function="false" hidden="false" name="S2_honoraires_patrimoine_def" vbProcedure="false">Hypotheses!$E$21</definedName>
    <definedName function="false" hidden="false" name="S2_honoraires_patrimoine_fav" vbProcedure="false">Hypotheses!$C$21</definedName>
    <definedName function="false" hidden="false" name="S2_ml_clotures" vbProcedure="false">Hypotheses!$D$122</definedName>
    <definedName function="false" hidden="false" name="S2_ml_clotures_def" vbProcedure="false">Hypotheses!$E$122</definedName>
    <definedName function="false" hidden="false" name="S2_ml_clotures_fav" vbProcedure="false">Hypotheses!$C$122</definedName>
    <definedName function="false" hidden="false" name="S2_nb_baies" vbProcedure="false">Hypotheses!$D$123</definedName>
    <definedName function="false" hidden="false" name="S2_nb_baies_def" vbProcedure="false">Hypotheses!$E$123</definedName>
    <definedName function="false" hidden="false" name="S2_nb_baies_fav" vbProcedure="false">Hypotheses!$C$123</definedName>
    <definedName function="false" hidden="false" name="S2_nb_boxes" vbProcedure="false">Hypotheses!$D$124</definedName>
    <definedName function="false" hidden="false" name="S2_nb_boxes_def" vbProcedure="false">Hypotheses!$E$124</definedName>
    <definedName function="false" hidden="false" name="S2_nb_boxes_fav" vbProcedure="false">Hypotheses!$C$124</definedName>
    <definedName function="false" hidden="false" name="S2_nb_chevaux" vbProcedure="false">Hypotheses!$D$125</definedName>
    <definedName function="false" hidden="false" name="S2_nb_chevaux_def" vbProcedure="false">Hypotheses!$E$125</definedName>
    <definedName function="false" hidden="false" name="S2_nb_chevaux_fav" vbProcedure="false">Hypotheses!$C$125</definedName>
    <definedName function="false" hidden="false" name="S2_prix_achat" vbProcedure="false">Hypotheses!$D$98</definedName>
    <definedName function="false" hidden="false" name="S2_prix_achat_def" vbProcedure="false">Hypotheses!$E$98</definedName>
    <definedName function="false" hidden="false" name="S2_prix_achat_fav" vbProcedure="false">Hypotheses!$C$98</definedName>
    <definedName function="false" hidden="false" name="S2_securite" vbProcedure="false">Hypotheses!$D$22</definedName>
    <definedName function="false" hidden="false" name="S2_securite_def" vbProcedure="false">Hypotheses!$E$22</definedName>
    <definedName function="false" hidden="false" name="S2_securite_fav" vbProcedure="false">Hypotheses!$C$22</definedName>
    <definedName function="false" hidden="false" name="S2_surf_chateau" vbProcedure="false">Hypotheses!$D$126</definedName>
    <definedName function="false" hidden="false" name="S2_surf_chateau_def" vbProcedure="false">Hypotheses!$E$126</definedName>
    <definedName function="false" hidden="false" name="S2_surf_chateau_fav" vbProcedure="false">Hypotheses!$C$126</definedName>
    <definedName function="false" hidden="false" name="S2_surf_chauffee" vbProcedure="false">Hypotheses!$D$152</definedName>
    <definedName function="false" hidden="false" name="S2_surf_chauffee_def" vbProcedure="false">Hypotheses!$E$152</definedName>
    <definedName function="false" hidden="false" name="S2_surf_chauffee_fav" vbProcedure="false">Hypotheses!$C$152</definedName>
    <definedName function="false" hidden="false" name="S2_surf_dep" vbProcedure="false">Hypotheses!$D$127</definedName>
    <definedName function="false" hidden="false" name="S2_surf_dep_def" vbProcedure="false">Hypotheses!$E$127</definedName>
    <definedName function="false" hidden="false" name="S2_surf_dep_fav" vbProcedure="false">Hypotheses!$C$127</definedName>
    <definedName function="false" hidden="false" name="S2_surf_facades" vbProcedure="false">Hypotheses!$D$128</definedName>
    <definedName function="false" hidden="false" name="S2_surf_facades_def" vbProcedure="false">Hypotheses!$E$128</definedName>
    <definedName function="false" hidden="false" name="S2_surf_facades_fav" vbProcedure="false">Hypotheses!$C$128</definedName>
    <definedName function="false" hidden="false" name="S2_surf_manege" vbProcedure="false">Hypotheses!$D$129</definedName>
    <definedName function="false" hidden="false" name="S2_surf_manege_def" vbProcedure="false">Hypotheses!$E$129</definedName>
    <definedName function="false" hidden="false" name="S2_surf_manege_fav" vbProcedure="false">Hypotheses!$C$129</definedName>
    <definedName function="false" hidden="false" name="S2_surf_pistes" vbProcedure="false">Hypotheses!$D$130</definedName>
    <definedName function="false" hidden="false" name="S2_surf_pistes_def" vbProcedure="false">Hypotheses!$E$130</definedName>
    <definedName function="false" hidden="false" name="S2_surf_pistes_fav" vbProcedure="false">Hypotheses!$C$130</definedName>
    <definedName function="false" hidden="false" name="S2_surf_toits" vbProcedure="false">Hypotheses!$D$131</definedName>
    <definedName function="false" hidden="false" name="S2_surf_toits_def" vbProcedure="false">Hypotheses!$E$131</definedName>
    <definedName function="false" hidden="false" name="S2_surf_toits_fav" vbProcedure="false">Hypotheses!$C$131</definedName>
    <definedName function="false" hidden="false" name="S2_valeur_equip" vbProcedure="false">Hypotheses!$D$33</definedName>
    <definedName function="false" hidden="false" name="S2_valeur_equip_def" vbProcedure="false">Hypotheses!$E$33</definedName>
    <definedName function="false" hidden="false" name="S2_valeur_equip_fav" vbProcedure="false">Hypotheses!$C$33</definedName>
    <definedName function="false" hidden="false" name="S2_vr_m2" vbProcedure="false">Hypotheses!$D$23</definedName>
    <definedName function="false" hidden="false" name="S2_vr_m2_def" vbProcedure="false">Hypotheses!$E$23</definedName>
    <definedName function="false" hidden="false" name="S2_vr_m2_fav" vbProcedure="false">Hypotheses!$C$23</definedName>
    <definedName function="false" hidden="false" name="S3_admin" vbProcedure="false">Hypotheses!$D$10</definedName>
    <definedName function="false" hidden="false" name="S3_admin_def" vbProcedure="false">Hypotheses!$E$10</definedName>
    <definedName function="false" hidden="false" name="S3_admin_fav" vbProcedure="false">Hypotheses!$C$10</definedName>
    <definedName function="false" hidden="false" name="S3_assurances_autres" vbProcedure="false">Hypotheses!$D$11</definedName>
    <definedName function="false" hidden="false" name="S3_assurances_autres_def" vbProcedure="false">Hypotheses!$E$11</definedName>
    <definedName function="false" hidden="false" name="S3_assurances_autres_fav" vbProcedure="false">Hypotheses!$C$11</definedName>
    <definedName function="false" hidden="false" name="S3_cout_direction" vbProcedure="false">Hypotheses!$D$55</definedName>
    <definedName function="false" hidden="false" name="S3_cout_direction_def" vbProcedure="false">Hypotheses!$E$55</definedName>
    <definedName function="false" hidden="false" name="S3_cout_direction_fav" vbProcedure="false">Hypotheses!$C$55</definedName>
    <definedName function="false" hidden="false" name="S3_cout_gouvernance" vbProcedure="false">Hypotheses!$D$56</definedName>
    <definedName function="false" hidden="false" name="S3_cout_gouvernance_def" vbProcedure="false">Hypotheses!$E$56</definedName>
    <definedName function="false" hidden="false" name="S3_cout_gouvernance_fav" vbProcedure="false">Hypotheses!$C$56</definedName>
    <definedName function="false" hidden="false" name="S3_eau" vbProcedure="false">Hypotheses!$D$153</definedName>
    <definedName function="false" hidden="false" name="S3_eau_def" vbProcedure="false">Hypotheses!$E$153</definedName>
    <definedName function="false" hidden="false" name="S3_eau_fav" vbProcedure="false">Hypotheses!$C$153</definedName>
    <definedName function="false" hidden="false" name="S3_elec_kwh" vbProcedure="false">Hypotheses!$D$154</definedName>
    <definedName function="false" hidden="false" name="S3_elec_kwh_def" vbProcedure="false">Hypotheses!$E$154</definedName>
    <definedName function="false" hidden="false" name="S3_elec_kwh_fav" vbProcedure="false">Hypotheses!$C$154</definedName>
    <definedName function="false" hidden="false" name="S3_etp_admin" vbProcedure="false">Hypotheses!$D$86</definedName>
    <definedName function="false" hidden="false" name="S3_etp_admin_def" vbProcedure="false">Hypotheses!$E$86</definedName>
    <definedName function="false" hidden="false" name="S3_etp_admin_fav" vbProcedure="false">Hypotheses!$C$86</definedName>
    <definedName function="false" hidden="false" name="S3_etp_agricole" vbProcedure="false">Hypotheses!$D$87</definedName>
    <definedName function="false" hidden="false" name="S3_etp_agricole_def" vbProcedure="false">Hypotheses!$E$87</definedName>
    <definedName function="false" hidden="false" name="S3_etp_agricole_fav" vbProcedure="false">Hypotheses!$C$87</definedName>
    <definedName function="false" hidden="false" name="S3_etp_chef_jardinier" vbProcedure="false">Hypotheses!$D$88</definedName>
    <definedName function="false" hidden="false" name="S3_etp_chef_jardinier_def" vbProcedure="false">Hypotheses!$E$88</definedName>
    <definedName function="false" hidden="false" name="S3_etp_chef_jardinier_fav" vbProcedure="false">Hypotheses!$C$88</definedName>
    <definedName function="false" hidden="false" name="S3_etp_direction" vbProcedure="false">Hypotheses!$D$89</definedName>
    <definedName function="false" hidden="false" name="S3_etp_direction_def" vbProcedure="false">Hypotheses!$E$89</definedName>
    <definedName function="false" hidden="false" name="S3_etp_direction_fav" vbProcedure="false">Hypotheses!$C$89</definedName>
    <definedName function="false" hidden="false" name="S3_etp_entretien" vbProcedure="false">Hypotheses!$D$90</definedName>
    <definedName function="false" hidden="false" name="S3_etp_entretien_def" vbProcedure="false">Hypotheses!$E$90</definedName>
    <definedName function="false" hidden="false" name="S3_etp_entretien_fav" vbProcedure="false">Hypotheses!$C$90</definedName>
    <definedName function="false" hidden="false" name="S3_etp_gouvernance" vbProcedure="false">Hypotheses!$D$91</definedName>
    <definedName function="false" hidden="false" name="S3_etp_gouvernance_def" vbProcedure="false">Hypotheses!$E$91</definedName>
    <definedName function="false" hidden="false" name="S3_etp_gouvernance_fav" vbProcedure="false">Hypotheses!$C$91</definedName>
    <definedName function="false" hidden="false" name="S3_etp_jardin" vbProcedure="false">Hypotheses!$D$92</definedName>
    <definedName function="false" hidden="false" name="S3_etp_jardin_def" vbProcedure="false">Hypotheses!$E$92</definedName>
    <definedName function="false" hidden="false" name="S3_etp_jardin_fav" vbProcedure="false">Hypotheses!$C$92</definedName>
    <definedName function="false" hidden="false" name="S3_etp_maison" vbProcedure="false">Hypotheses!$D$93</definedName>
    <definedName function="false" hidden="false" name="S3_etp_maison_def" vbProcedure="false">Hypotheses!$E$93</definedName>
    <definedName function="false" hidden="false" name="S3_etp_maison_fav" vbProcedure="false">Hypotheses!$C$93</definedName>
    <definedName function="false" hidden="false" name="S3_etp_resp_ecurie" vbProcedure="false">Hypotheses!$D$94</definedName>
    <definedName function="false" hidden="false" name="S3_etp_resp_ecurie_def" vbProcedure="false">Hypotheses!$E$94</definedName>
    <definedName function="false" hidden="false" name="S3_etp_resp_ecurie_fav" vbProcedure="false">Hypotheses!$C$94</definedName>
    <definedName function="false" hidden="false" name="S3_etp_soigneur" vbProcedure="false">Hypotheses!$D$95</definedName>
    <definedName function="false" hidden="false" name="S3_etp_soigneur_def" vbProcedure="false">Hypotheses!$E$95</definedName>
    <definedName function="false" hidden="false" name="S3_etp_soigneur_fav" vbProcedure="false">Hypotheses!$C$95</definedName>
    <definedName function="false" hidden="false" name="S3_ha_bois" vbProcedure="false">Hypotheses!$D$132</definedName>
    <definedName function="false" hidden="false" name="S3_ha_bois_def" vbProcedure="false">Hypotheses!$E$132</definedName>
    <definedName function="false" hidden="false" name="S3_ha_bois_fav" vbProcedure="false">Hypotheses!$C$132</definedName>
    <definedName function="false" hidden="false" name="S3_ha_jardins" vbProcedure="false">Hypotheses!$D$133</definedName>
    <definedName function="false" hidden="false" name="S3_ha_jardins_def" vbProcedure="false">Hypotheses!$E$133</definedName>
    <definedName function="false" hidden="false" name="S3_ha_jardins_fav" vbProcedure="false">Hypotheses!$C$133</definedName>
    <definedName function="false" hidden="false" name="S3_ha_parc" vbProcedure="false">Hypotheses!$D$134</definedName>
    <definedName function="false" hidden="false" name="S3_ha_parc_def" vbProcedure="false">Hypotheses!$E$134</definedName>
    <definedName function="false" hidden="false" name="S3_ha_parc_fav" vbProcedure="false">Hypotheses!$C$134</definedName>
    <definedName function="false" hidden="false" name="S3_ha_prairies" vbProcedure="false">Hypotheses!$D$135</definedName>
    <definedName function="false" hidden="false" name="S3_ha_prairies_def" vbProcedure="false">Hypotheses!$E$135</definedName>
    <definedName function="false" hidden="false" name="S3_ha_prairies_fav" vbProcedure="false">Hypotheses!$C$135</definedName>
    <definedName function="false" hidden="false" name="S3_honoraires_patrimoine" vbProcedure="false">Hypotheses!$D$24</definedName>
    <definedName function="false" hidden="false" name="S3_honoraires_patrimoine_def" vbProcedure="false">Hypotheses!$E$24</definedName>
    <definedName function="false" hidden="false" name="S3_honoraires_patrimoine_fav" vbProcedure="false">Hypotheses!$C$24</definedName>
    <definedName function="false" hidden="false" name="S3_ml_clotures" vbProcedure="false">Hypotheses!$D$136</definedName>
    <definedName function="false" hidden="false" name="S3_ml_clotures_def" vbProcedure="false">Hypotheses!$E$136</definedName>
    <definedName function="false" hidden="false" name="S3_ml_clotures_fav" vbProcedure="false">Hypotheses!$C$136</definedName>
    <definedName function="false" hidden="false" name="S3_nb_baies" vbProcedure="false">Hypotheses!$D$137</definedName>
    <definedName function="false" hidden="false" name="S3_nb_baies_def" vbProcedure="false">Hypotheses!$E$137</definedName>
    <definedName function="false" hidden="false" name="S3_nb_baies_fav" vbProcedure="false">Hypotheses!$C$137</definedName>
    <definedName function="false" hidden="false" name="S3_nb_boxes" vbProcedure="false">Hypotheses!$D$138</definedName>
    <definedName function="false" hidden="false" name="S3_nb_boxes_def" vbProcedure="false">Hypotheses!$E$138</definedName>
    <definedName function="false" hidden="false" name="S3_nb_boxes_fav" vbProcedure="false">Hypotheses!$C$138</definedName>
    <definedName function="false" hidden="false" name="S3_nb_chevaux" vbProcedure="false">Hypotheses!$D$139</definedName>
    <definedName function="false" hidden="false" name="S3_nb_chevaux_def" vbProcedure="false">Hypotheses!$E$139</definedName>
    <definedName function="false" hidden="false" name="S3_nb_chevaux_fav" vbProcedure="false">Hypotheses!$C$139</definedName>
    <definedName function="false" hidden="false" name="S3_prix_achat" vbProcedure="false">Hypotheses!$D$99</definedName>
    <definedName function="false" hidden="false" name="S3_prix_achat_def" vbProcedure="false">Hypotheses!$E$99</definedName>
    <definedName function="false" hidden="false" name="S3_prix_achat_fav" vbProcedure="false">Hypotheses!$C$99</definedName>
    <definedName function="false" hidden="false" name="S3_securite" vbProcedure="false">Hypotheses!$D$25</definedName>
    <definedName function="false" hidden="false" name="S3_securite_def" vbProcedure="false">Hypotheses!$E$25</definedName>
    <definedName function="false" hidden="false" name="S3_securite_fav" vbProcedure="false">Hypotheses!$C$25</definedName>
    <definedName function="false" hidden="false" name="S3_surf_chateau" vbProcedure="false">Hypotheses!$D$140</definedName>
    <definedName function="false" hidden="false" name="S3_surf_chateau_def" vbProcedure="false">Hypotheses!$E$140</definedName>
    <definedName function="false" hidden="false" name="S3_surf_chateau_fav" vbProcedure="false">Hypotheses!$C$140</definedName>
    <definedName function="false" hidden="false" name="S3_surf_chauffee" vbProcedure="false">Hypotheses!$D$155</definedName>
    <definedName function="false" hidden="false" name="S3_surf_chauffee_def" vbProcedure="false">Hypotheses!$E$155</definedName>
    <definedName function="false" hidden="false" name="S3_surf_chauffee_fav" vbProcedure="false">Hypotheses!$C$155</definedName>
    <definedName function="false" hidden="false" name="S3_surf_dep" vbProcedure="false">Hypotheses!$D$141</definedName>
    <definedName function="false" hidden="false" name="S3_surf_dep_def" vbProcedure="false">Hypotheses!$E$141</definedName>
    <definedName function="false" hidden="false" name="S3_surf_dep_fav" vbProcedure="false">Hypotheses!$C$141</definedName>
    <definedName function="false" hidden="false" name="S3_surf_facades" vbProcedure="false">Hypotheses!$D$142</definedName>
    <definedName function="false" hidden="false" name="S3_surf_facades_def" vbProcedure="false">Hypotheses!$E$142</definedName>
    <definedName function="false" hidden="false" name="S3_surf_facades_fav" vbProcedure="false">Hypotheses!$C$142</definedName>
    <definedName function="false" hidden="false" name="S3_surf_manege" vbProcedure="false">Hypotheses!$D$143</definedName>
    <definedName function="false" hidden="false" name="S3_surf_manege_def" vbProcedure="false">Hypotheses!$E$143</definedName>
    <definedName function="false" hidden="false" name="S3_surf_manege_fav" vbProcedure="false">Hypotheses!$C$143</definedName>
    <definedName function="false" hidden="false" name="S3_surf_pistes" vbProcedure="false">Hypotheses!$D$144</definedName>
    <definedName function="false" hidden="false" name="S3_surf_pistes_def" vbProcedure="false">Hypotheses!$E$144</definedName>
    <definedName function="false" hidden="false" name="S3_surf_pistes_fav" vbProcedure="false">Hypotheses!$C$144</definedName>
    <definedName function="false" hidden="false" name="S3_surf_toits" vbProcedure="false">Hypotheses!$D$145</definedName>
    <definedName function="false" hidden="false" name="S3_surf_toits_def" vbProcedure="false">Hypotheses!$E$145</definedName>
    <definedName function="false" hidden="false" name="S3_surf_toits_fav" vbProcedure="false">Hypotheses!$C$145</definedName>
    <definedName function="false" hidden="false" name="S3_valeur_equip" vbProcedure="false">Hypotheses!$D$34</definedName>
    <definedName function="false" hidden="false" name="S3_valeur_equip_def" vbProcedure="false">Hypotheses!$E$34</definedName>
    <definedName function="false" hidden="false" name="S3_valeur_equip_fav" vbProcedure="false">Hypotheses!$C$34</definedName>
    <definedName function="false" hidden="false" name="S3_vr_m2" vbProcedure="false">Hypotheses!$D$26</definedName>
    <definedName function="false" hidden="false" name="S3_vr_m2_def" vbProcedure="false">Hypotheses!$E$26</definedName>
    <definedName function="false" hidden="false" name="S3_vr_m2_fav" vbProcedure="false">Hypotheses!$C$26</definedName>
    <definedName function="false" hidden="false" name="sol_cout_m2" vbProcedure="false">Hypotheses!$D$47</definedName>
    <definedName function="false" hidden="false" name="sol_cout_m2_def" vbProcedure="false">Hypotheses!$E$47</definedName>
    <definedName function="false" hidden="false" name="sol_cout_m2_fav" vbProcedure="false">Hypotheses!$C$47</definedName>
    <definedName function="false" hidden="false" name="sol_vie" vbProcedure="false">Hypotheses!$D$48</definedName>
    <definedName function="false" hidden="false" name="sol_vie_def" vbProcedure="false">Hypotheses!$E$48</definedName>
    <definedName function="false" hidden="false" name="sol_vie_fav" vbProcedure="false">Hypotheses!$C$48</definedName>
    <definedName function="false" hidden="false" name="taux_aleas_travaux" vbProcedure="false">Hypotheses!$D$27</definedName>
    <definedName function="false" hidden="false" name="taux_aleas_travaux_def" vbProcedure="false">Hypotheses!$E$27</definedName>
    <definedName function="false" hidden="false" name="taux_aleas_travaux_fav" vbProcedure="false">Hypotheses!$C$27</definedName>
    <definedName function="false" hidden="false" name="taux_entretien_courant" vbProcedure="false">Hypotheses!$D$28</definedName>
    <definedName function="false" hidden="false" name="taux_entretien_courant_def" vbProcedure="false">Hypotheses!$E$28</definedName>
    <definedName function="false" hidden="false" name="taux_entretien_courant_fav" vbProcedure="false">Hypotheses!$C$28</definedName>
    <definedName function="false" hidden="false" name="taux_gros_entretien" vbProcedure="false">Hypotheses!$D$29</definedName>
    <definedName function="false" hidden="false" name="taux_gros_entretien_def" vbProcedure="false">Hypotheses!$E$29</definedName>
    <definedName function="false" hidden="false" name="taux_gros_entretien_fav" vbProcedure="false">Hypotheses!$C$29</definedName>
    <definedName function="false" hidden="false" name="taux_imprevus" vbProcedure="false">Hypotheses!$D$13</definedName>
    <definedName function="false" hidden="false" name="taux_imprevus_def" vbProcedure="false">Hypotheses!$E$13</definedName>
    <definedName function="false" hidden="false" name="taux_imprevus_fav" vbProcedure="false">Hypotheses!$C$13</definedName>
    <definedName function="false" hidden="false" name="taux_invest_futurs" vbProcedure="false">Hypotheses!$D$14</definedName>
    <definedName function="false" hidden="false" name="taux_invest_futurs_def" vbProcedure="false">Hypotheses!$E$14</definedName>
    <definedName function="false" hidden="false" name="taux_invest_futurs_fav" vbProcedure="false">Hypotheses!$C$14</definedName>
    <definedName function="false" hidden="false" name="tfnb_ha" vbProcedure="false">Hypotheses!$D$49</definedName>
    <definedName function="false" hidden="false" name="tfnb_ha_def" vbProcedure="false">Hypotheses!$E$49</definedName>
    <definedName function="false" hidden="false" name="tfnb_ha_fav" vbProcedure="false">Hypotheses!$C$49</definedName>
    <definedName function="false" hidden="false" name="tf_chateau_m2" vbProcedure="false">Hypotheses!$D$15</definedName>
    <definedName function="false" hidden="false" name="tf_chateau_m2_def" vbProcedure="false">Hypotheses!$E$15</definedName>
    <definedName function="false" hidden="false" name="tf_chateau_m2_fav" vbProcedure="false">Hypotheses!$C$15</definedName>
    <definedName function="false" hidden="false" name="tf_dep_m2" vbProcedure="false">Hypotheses!$D$16</definedName>
    <definedName function="false" hidden="false" name="tf_dep_m2_def" vbProcedure="false">Hypotheses!$E$16</definedName>
    <definedName function="false" hidden="false" name="tf_dep_m2_fav" vbProcedure="false">Hypotheses!$C$16</definedName>
    <definedName function="false" hidden="false" name="vr_dep_ratio" vbProcedure="false">Hypotheses!$D$30</definedName>
    <definedName function="false" hidden="false" name="vr_dep_ratio_def" vbProcedure="false">Hypotheses!$E$30</definedName>
    <definedName function="false" hidden="false" name="vr_dep_ratio_fav" vbProcedure="false">Hypotheses!$C$30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<sst xmlns="http://schemas.openxmlformats.org/spreadsheetml/2006/main" count="4656" uniqueCount="2379">
  <si>
    <t xml:space="preserve">MODÈLE — L'ÉQUATION ÉCONOMIQUE D'UN CHÂTEAU</t>
  </si>
  <si>
    <t xml:space="preserve">Objet : budget annuel de fonctionnement de trois domaines types (S1, S2, S3), contribution nette des moteurs de revenus, comparaison des modèles économiques, projection sur 20 ans de la meilleure solution, stress tests.</t>
  </si>
  <si>
    <t xml:space="preserve">Unités : € constants 2026, TTC pour un propriétaire particulier, sauf mention contraire.</t>
  </si>
  <si>
    <t xml:space="preserve">Couleurs : bleu = saisie modifiable (feuille Hypotheses) ; noir = formule ; fond jaune = hypothèse clé ; vert = lien vers une autre feuille.</t>
  </si>
  <si>
    <t xml:space="preserve">Statuts : SOURCÉ (source citée, voir feuille Sources), ESTIMATION (raisonnement sur sources), HYPOTHÈSE (choix de modélisation à valider).</t>
  </si>
  <si>
    <t xml:space="preserve">Trois cas par hypothèse : favorable, central, défavorable pour l'équilibre du domaine.</t>
  </si>
  <si>
    <t xml:space="preserve">Toutes les cellules calculées sont des formules : modifier une hypothèse recalcule tout.</t>
  </si>
  <si>
    <t xml:space="preserve">Méthode, définitions et limites : voir 00_PILOTAGE/Cadre_analytique.md et 03_LIVRABLES/.</t>
  </si>
  <si>
    <t xml:space="preserve">Vérification : chaque formule a été recalculée par LibreOffice et comparée à un calcul Python indépendant (02_MODELE/sorties/verification.json).</t>
  </si>
  <si>
    <t xml:space="preserve">HYPOTHÈSES DU MODÈLE — une ligne par paramètre (saisies en bleu)</t>
  </si>
  <si>
    <t xml:space="preserve">Favorable / Central / Défavorable : valeurs pour l'équilibre du domaine (favorable = coût plus bas ou recette plus haute). Statut : SOURCÉ (source citée), ESTIMATION (raisonnement sur sources), HYPOTHÈSE (choix de modélisation). Identifiants de sources : voir la feuille Sources.</t>
  </si>
  <si>
    <t xml:space="preserve">Nom (identifiant)</t>
  </si>
  <si>
    <t xml:space="preserve">Libellé</t>
  </si>
  <si>
    <t xml:space="preserve">Favorable</t>
  </si>
  <si>
    <t xml:space="preserve">Central</t>
  </si>
  <si>
    <t xml:space="preserve">Défavorable</t>
  </si>
  <si>
    <t xml:space="preserve">Unité</t>
  </si>
  <si>
    <t xml:space="preserve">Statut</t>
  </si>
  <si>
    <t xml:space="preserve">Sources</t>
  </si>
  <si>
    <t xml:space="preserve">Note / justification</t>
  </si>
  <si>
    <t xml:space="preserve">Groupe</t>
  </si>
  <si>
    <t xml:space="preserve">— Assurances, taxes, administration —</t>
  </si>
  <si>
    <t xml:space="preserve">S1_admin</t>
  </si>
  <si>
    <t xml:space="preserve">S1 — administration (comptabilité, banque, informatique, télécoms)</t>
  </si>
  <si>
    <t xml:space="preserve">€/an TTC</t>
  </si>
  <si>
    <t xml:space="preserve">HYPOTHÈSE</t>
  </si>
  <si>
    <t xml:space="preserve">Assurances, taxes, administration</t>
  </si>
  <si>
    <t xml:space="preserve">S1_assurances_autres</t>
  </si>
  <si>
    <t xml:space="preserve">S1 — RC, véhicules, chevaux, contenu</t>
  </si>
  <si>
    <t xml:space="preserve">R1-27</t>
  </si>
  <si>
    <t xml:space="preserve">S2_admin</t>
  </si>
  <si>
    <t xml:space="preserve">S2 — administration</t>
  </si>
  <si>
    <t xml:space="preserve">S2_assurances_autres</t>
  </si>
  <si>
    <t xml:space="preserve">S2 — RC, véhicules, chevaux, contenu</t>
  </si>
  <si>
    <t xml:space="preserve">S3_admin</t>
  </si>
  <si>
    <t xml:space="preserve">S3 — administration</t>
  </si>
  <si>
    <t xml:space="preserve">S3_assurances_autres</t>
  </si>
  <si>
    <t xml:space="preserve">S3 — RC, véhicules, chevaux, contenu, œuvres</t>
  </si>
  <si>
    <t xml:space="preserve">assurance_taux</t>
  </si>
  <si>
    <t xml:space="preserve">Prime d'assurance des bâtiments, en ‰ de la valeur de reconstruction</t>
  </si>
  <si>
    <t xml:space="preserve">taux par an</t>
  </si>
  <si>
    <t xml:space="preserve">ESTIMATION</t>
  </si>
  <si>
    <t xml:space="preserve">R1-26; R1-27; R1-28; R1-32</t>
  </si>
  <si>
    <t xml:space="preserve">Barème d'un courtier : ≈ 5 ‰ (fiabilité faible). Cas observés 3 à 10 fois plus bas (petit château MH : 2 198 €/an ; Olhain : ≈ 7 500 €/an en moyenne sur 40 ans). Taux central retenu entre les deux. Risque de résiliation documenté (Olhain, 2026). À remplacer par des devis.</t>
  </si>
  <si>
    <t xml:space="preserve">taux_imprevus</t>
  </si>
  <si>
    <t xml:space="preserve">Imprévus d'exploitation, en % des charges de fonctionnement</t>
  </si>
  <si>
    <t xml:space="preserve">%</t>
  </si>
  <si>
    <t xml:space="preserve">Absences, pannes, hausses ponctuelles. Les gros sinistres non assurés sont simulés à part (Monte-Carlo).</t>
  </si>
  <si>
    <t xml:space="preserve">taux_invest_futurs</t>
  </si>
  <si>
    <t xml:space="preserve">Investissements futurs, en % des charges et provisions</t>
  </si>
  <si>
    <t xml:space="preserve">Améliorations, mises aux normes, embellissements. Le brief exige de les financer.</t>
  </si>
  <si>
    <t xml:space="preserve">tf_chateau_m2</t>
  </si>
  <si>
    <t xml:space="preserve">Taxe foncière bâtie du château, par m² de plancher</t>
  </si>
  <si>
    <t xml:space="preserve">€/m²/an</t>
  </si>
  <si>
    <t xml:space="preserve">R1-30; R1-31; R1-32</t>
  </si>
  <si>
    <t xml:space="preserve">Un seul repère : 2 652 € pour 512 m² habitables (≈ 5,2 €/m²). La taxe dépend de la catégorie cadastrale fixée en 1970 et du taux communal, pas de la surface.</t>
  </si>
  <si>
    <t xml:space="preserve">tf_dep_m2</t>
  </si>
  <si>
    <t xml:space="preserve">Taxe foncière bâtie des dépendances, par m²</t>
  </si>
  <si>
    <t xml:space="preserve">R1</t>
  </si>
  <si>
    <t xml:space="preserve">— Bâti —</t>
  </si>
  <si>
    <t xml:space="preserve">S1_honoraires_patrimoine</t>
  </si>
  <si>
    <t xml:space="preserve">S1 — architecte du patrimoine : état sanitaire et suivi</t>
  </si>
  <si>
    <t xml:space="preserve">R1-05</t>
  </si>
  <si>
    <t xml:space="preserve">Rapport d'état quinquennal annualisé (pratique britannique « quinquennial survey »).</t>
  </si>
  <si>
    <t xml:space="preserve">Bâti</t>
  </si>
  <si>
    <t xml:space="preserve">S1_securite</t>
  </si>
  <si>
    <t xml:space="preserve">S1 — sécurité (télésurveillance, détection incendie, maintenance)</t>
  </si>
  <si>
    <t xml:space="preserve">R1-26</t>
  </si>
  <si>
    <t xml:space="preserve">Coûts introuvables (R1 § 8). Les courtiers recommandent ces dispositifs pour modérer la prime.</t>
  </si>
  <si>
    <t xml:space="preserve">S1_vr_m2</t>
  </si>
  <si>
    <t xml:space="preserve">S1 — valeur de reconstruction à l'identique du château</t>
  </si>
  <si>
    <t xml:space="preserve">€/m²</t>
  </si>
  <si>
    <t xml:space="preserve">R1-26; R1-27</t>
  </si>
  <si>
    <t xml:space="preserve">Bornes sourcées : 2 400 €/m² (exemple d'un courtier, Figaro 2020, surface développée) et 5 000-10 000 €/m² (courtier 2026, fiabilité faible). Château simple, non protégé ou inscrit : bas de la fourchette. Affectation par scénario = hypothèse.</t>
  </si>
  <si>
    <t xml:space="preserve">S2_honoraires_patrimoine</t>
  </si>
  <si>
    <t xml:space="preserve">S2 — architecte du patrimoine : état sanitaire et suivi</t>
  </si>
  <si>
    <t xml:space="preserve">S2_securite</t>
  </si>
  <si>
    <t xml:space="preserve">S2 — sécurité</t>
  </si>
  <si>
    <t xml:space="preserve">S2_vr_m2</t>
  </si>
  <si>
    <t xml:space="preserve">S2 — valeur de reconstruction à l'identique du château</t>
  </si>
  <si>
    <t xml:space="preserve">Château inscrit : entre l'exemple de 2020 actualisé et le bas du barème du courtier de 2026.</t>
  </si>
  <si>
    <t xml:space="preserve">S3_honoraires_patrimoine</t>
  </si>
  <si>
    <t xml:space="preserve">S3 — architecte du patrimoine : état sanitaire et suivi</t>
  </si>
  <si>
    <t xml:space="preserve">S3_securite</t>
  </si>
  <si>
    <t xml:space="preserve">S3 — sécurité (dont rondes et système incendie)</t>
  </si>
  <si>
    <t xml:space="preserve">S3_vr_m2</t>
  </si>
  <si>
    <t xml:space="preserve">S3 — valeur de reconstruction à l'identique du château</t>
  </si>
  <si>
    <t xml:space="preserve">Château classé avec décors : fourchette du courtier (5 000 à 10 000 €/m²), fiabilité faible.</t>
  </si>
  <si>
    <t xml:space="preserve">taux_aleas_travaux</t>
  </si>
  <si>
    <t xml:space="preserve">Aléas de chantier et découvertes, en % du gros entretien</t>
  </si>
  <si>
    <t xml:space="preserve">% du gros entretien</t>
  </si>
  <si>
    <t xml:space="preserve">Dépassement observé de +29 % sur un chantier britannique (devis 42 k£, facture 54 k£).</t>
  </si>
  <si>
    <t xml:space="preserve">taux_entretien_courant</t>
  </si>
  <si>
    <t xml:space="preserve">Entretien courant annuel, en % de la valeur de reconstruction</t>
  </si>
  <si>
    <t xml:space="preserve">% par an</t>
  </si>
  <si>
    <t xml:space="preserve">R1-07</t>
  </si>
  <si>
    <t xml:space="preserve">Part « courante » dans la règle globale de 2 à 4 %. La ventilation n'est pas sourcée (R1 § 9.1).</t>
  </si>
  <si>
    <t xml:space="preserve">taux_gros_entretien</t>
  </si>
  <si>
    <t xml:space="preserve">Provision de gros entretien, en % de la valeur de reconstruction</t>
  </si>
  <si>
    <t xml:space="preserve">R1-07; R1-08; R1-05</t>
  </si>
  <si>
    <t xml:space="preserve">La règle du NRC (2 à 4 % de la valeur de remplacement pour l'entretien-réparation, « absolute minimum ») porte sur des bâtiments publics américains, transposition à valider. Recoupement : les maisons historiques britanniques dépensent ≈ 156-161 k£ TTC/an et accumulent pourtant ≈ 2 M£ de retard chacune (R1-05). Une dépense « normale » est donc insuffisante pour un état d'exception.</t>
  </si>
  <si>
    <t xml:space="preserve">vr_dep_ratio</t>
  </si>
  <si>
    <t xml:space="preserve">Valeur de reconstruction des dépendances / celle du château (au m²)</t>
  </si>
  <si>
    <t xml:space="preserve">ratio</t>
  </si>
  <si>
    <t xml:space="preserve">Écuries, granges et communs, de construction plus simple. Aucune source.</t>
  </si>
  <si>
    <t xml:space="preserve">— Jardins, terres, équipements, chevaux —</t>
  </si>
  <si>
    <t xml:space="preserve">S1_valeur_equip</t>
  </si>
  <si>
    <t xml:space="preserve">S1 — parc de matériel à neuf (tracteur compact, broyeur, épandeur, tondeuses, utilitaire)</t>
  </si>
  <si>
    <t xml:space="preserve">€ HT</t>
  </si>
  <si>
    <t xml:space="preserve">R2-30</t>
  </si>
  <si>
    <t xml:space="preserve">≈ 130 000 € selon le guide des cuma 2025-2026, plus ≈ 40 000 € de tondeuses et d'utilitaire (hypothèse).</t>
  </si>
  <si>
    <t xml:space="preserve">Jardins, terres, équipements, chevaux</t>
  </si>
  <si>
    <t xml:space="preserve">S2_valeur_equip</t>
  </si>
  <si>
    <t xml:space="preserve">S2 — parc de matériel à neuf (2 tracteurs, télescopique, fenaison, épandeur, tondeuses, utilitaires)</t>
  </si>
  <si>
    <t xml:space="preserve">≈ 436 000 € selon le guide des cuma, plus ≈ 60 000 € de tondeuses et de véhicules (hypothèse).</t>
  </si>
  <si>
    <t xml:space="preserve">S3_valeur_equip</t>
  </si>
  <si>
    <t xml:space="preserve">S3 — parc de matériel à neuf</t>
  </si>
  <si>
    <t xml:space="preserve">≈ 565 000 € selon le guide des cuma, plus ≈ 100 000 € (hypothèse).</t>
  </si>
  <si>
    <t xml:space="preserve">bois_cout_ha</t>
  </si>
  <si>
    <t xml:space="preserve">Bois : gestion courante</t>
  </si>
  <si>
    <t xml:space="preserve">€/ha/an</t>
  </si>
  <si>
    <t xml:space="preserve">À recouper avec R8 (revenu forestier net).</t>
  </si>
  <si>
    <t xml:space="preserve">box_entretien</t>
  </si>
  <si>
    <t xml:space="preserve">Entretien et renouvellement d'un box</t>
  </si>
  <si>
    <t xml:space="preserve">€/box/an</t>
  </si>
  <si>
    <t xml:space="preserve">R2-28</t>
  </si>
  <si>
    <t xml:space="preserve">Box de 8 000 à 25 000 € sur 25 ans.</t>
  </si>
  <si>
    <t xml:space="preserve">cheval_an</t>
  </si>
  <si>
    <t xml:space="preserve">Coût annuel d'un cheval au box hors personnel (alimentation, litière, maréchal, vétérinaire, assurance, eau)</t>
  </si>
  <si>
    <t xml:space="preserve">€/cheval/an TTC</t>
  </si>
  <si>
    <t xml:space="preserve">R2-17; R2-18; R2-24; R2-21</t>
  </si>
  <si>
    <t xml:space="preserve">Alimentation + litière 1 000 à 2 000 € ; maréchal 525 à 1 040 € ; soins 270 à 500 € ; aléas 300 à 500 € ; assurance 450 à 750 € (prix de 2012 majorés d'environ 20 %). Hors compétition.</t>
  </si>
  <si>
    <t xml:space="preserve">cloture_ml</t>
  </si>
  <si>
    <t xml:space="preserve">Clôture équestre de qualité posée</t>
  </si>
  <si>
    <t xml:space="preserve">€/ml</t>
  </si>
  <si>
    <t xml:space="preserve">R2</t>
  </si>
  <si>
    <t xml:space="preserve">Fourchette proposée par R2 sans source (20 à 60 €/ml).</t>
  </si>
  <si>
    <t xml:space="preserve">cloture_vie</t>
  </si>
  <si>
    <t xml:space="preserve">Durée de vie des clôtures</t>
  </si>
  <si>
    <t xml:space="preserve">années</t>
  </si>
  <si>
    <t xml:space="preserve">equip_entretien_taux</t>
  </si>
  <si>
    <t xml:space="preserve">Entretien, réparations et carburant du matériel, en % de sa valeur</t>
  </si>
  <si>
    <t xml:space="preserve">equip_vie</t>
  </si>
  <si>
    <t xml:space="preserve">Durée de renouvellement moyenne du matériel</t>
  </si>
  <si>
    <t xml:space="preserve">SOURCÉ</t>
  </si>
  <si>
    <t xml:space="preserve">Durées d'amortissement des cuma : 8,2 à 10,7 ans.</t>
  </si>
  <si>
    <t xml:space="preserve">jardin_ha</t>
  </si>
  <si>
    <t xml:space="preserve">Jardins réguliers : fournitures, végétaux, traitements, sous-traitance (hors personnel)</t>
  </si>
  <si>
    <t xml:space="preserve">€/ha/an TTC</t>
  </si>
  <si>
    <t xml:space="preserve">Coûts au m² introuvables (Plante &amp; Cité réservé aux adhérents). Hypothèse à remplacer par des devis.</t>
  </si>
  <si>
    <t xml:space="preserve">manege_cout_m2</t>
  </si>
  <si>
    <t xml:space="preserve">Manège couvert : coût de construction</t>
  </si>
  <si>
    <t xml:space="preserve">R2-27</t>
  </si>
  <si>
    <t xml:space="preserve">220 000 à 305 000 € pour 60 × 25 m (fiabilité faible).</t>
  </si>
  <si>
    <t xml:space="preserve">manege_vie</t>
  </si>
  <si>
    <t xml:space="preserve">Durée de vie d'un manège</t>
  </si>
  <si>
    <t xml:space="preserve">Acier galvanisé 30 à 40 ans ; bois 20 à 30 ans.</t>
  </si>
  <si>
    <t xml:space="preserve">parc_ha</t>
  </si>
  <si>
    <t xml:space="preserve">Parc : fauche, élagage par arboriste, replantation (hors personnel)</t>
  </si>
  <si>
    <t xml:space="preserve">prairie_ha</t>
  </si>
  <si>
    <t xml:space="preserve">Prairies : entretien hors récolte</t>
  </si>
  <si>
    <t xml:space="preserve">R2-17; R2-26</t>
  </si>
  <si>
    <t xml:space="preserve">Repères : 120 €/ha (2012, entretien par un professionnel) et 185 €/ha/an (2008, hors récolte).</t>
  </si>
  <si>
    <t xml:space="preserve">sol_cout_m2</t>
  </si>
  <si>
    <t xml:space="preserve">Réfection des sols équestres (sable fibré, nivellement)</t>
  </si>
  <si>
    <t xml:space="preserve">Sable classique 3 à 8 €/m², fibré 10 à 15 €/m² (site commercial, fiabilité faible).</t>
  </si>
  <si>
    <t xml:space="preserve">sol_vie</t>
  </si>
  <si>
    <t xml:space="preserve">Durée de vie d'un sol équestre</t>
  </si>
  <si>
    <t xml:space="preserve">Durée de vie introuvable (R2).</t>
  </si>
  <si>
    <t xml:space="preserve">tfnb_ha</t>
  </si>
  <si>
    <t xml:space="preserve">Taxe foncière sur le non bâti</t>
  </si>
  <si>
    <t xml:space="preserve">Aucune donnée trouvée ; exonérations partielles possibles pour les terres agricoles (à vérifier, R3).</t>
  </si>
  <si>
    <t xml:space="preserve">— Personnel — coûts employeur annuels —</t>
  </si>
  <si>
    <t xml:space="preserve">S1_cout_direction</t>
  </si>
  <si>
    <t xml:space="preserve">S1 — régisseur (sans objet)</t>
  </si>
  <si>
    <t xml:space="preserve">€/ETP/an</t>
  </si>
  <si>
    <t xml:space="preserve">Personnel — coûts employeur annuels</t>
  </si>
  <si>
    <t xml:space="preserve">S1_cout_gouvernance</t>
  </si>
  <si>
    <t xml:space="preserve">S1 — gouvernante (sans objet)</t>
  </si>
  <si>
    <t xml:space="preserve">S2_cout_direction</t>
  </si>
  <si>
    <t xml:space="preserve">S2 — régisseur de domaine (2,0 / 2,5 / 3,0 SMIC)</t>
  </si>
  <si>
    <t xml:space="preserve">R2-11; R2-07</t>
  </si>
  <si>
    <t xml:space="preserve">Coût employeur annuel calculé par R2 avec le simulateur officiel URSSAF (RGDU 2026, SMIC à 12,31 €/h depuis le 01/06/2026). Le niveau de salaire en multiple du SMIC est une HYPOTHÈSE, faute de salaires de marché publiés.</t>
  </si>
  <si>
    <t xml:space="preserve">S2_cout_gouvernance</t>
  </si>
  <si>
    <t xml:space="preserve">S2 — gouvernante (1,3 / 1,4 / 1,5 SMIC × 1,30)</t>
  </si>
  <si>
    <t xml:space="preserve">R2-03; R2-12</t>
  </si>
  <si>
    <t xml:space="preserve">S3_cout_direction</t>
  </si>
  <si>
    <t xml:space="preserve">S3 — directeur de domaine (2,5 / 3,0 / 3,5 SMIC)</t>
  </si>
  <si>
    <t xml:space="preserve">R2-11</t>
  </si>
  <si>
    <t xml:space="preserve">Coût employeur annuel calculé par R2 avec le simulateur officiel URSSAF (RGDU 2026, SMIC à 12,31 €/h depuis le 01/06/2026). Le niveau de salaire en multiple du SMIC est une HYPOTHÈSE, faute de salaires de marché publiés. Valeur défavorable extrapolée (au-delà des points du simulateur).</t>
  </si>
  <si>
    <t xml:space="preserve">S3_cout_gouvernance</t>
  </si>
  <si>
    <t xml:space="preserve">S3 — majordome et gouvernante, coût moyen par ETP</t>
  </si>
  <si>
    <t xml:space="preserve">Moyenne d'un majordome à 2,5 SMIC (72 814 €) et d'une gouvernante à 1,5 SMIC (43 688 €), selon R2 § 9.4.</t>
  </si>
  <si>
    <t xml:space="preserve">cout_admin_salarie</t>
  </si>
  <si>
    <t xml:space="preserve">Assistant(e) administratif(ve) / comptable (1,4 / 1,5 / 1,6 SMIC)</t>
  </si>
  <si>
    <t xml:space="preserve">R2-11; R2-05</t>
  </si>
  <si>
    <t xml:space="preserve">cout_agent_entretien</t>
  </si>
  <si>
    <t xml:space="preserve">Gardien, homme d'entretien (1,2 / 1,3 / 1,4 SMIC)</t>
  </si>
  <si>
    <t xml:space="preserve">cout_chef_jardinier</t>
  </si>
  <si>
    <t xml:space="preserve">Chef jardinier (1,5 / 1,75 / 2,0 SMIC)</t>
  </si>
  <si>
    <t xml:space="preserve">cout_jardinier</t>
  </si>
  <si>
    <t xml:space="preserve">Jardinier qualifié (1,1 / 1,2 / 1,3 SMIC)</t>
  </si>
  <si>
    <t xml:space="preserve">Coût employeur annuel calculé par R2 avec le simulateur officiel URSSAF (RGDU 2026, SMIC à 12,31 €/h depuis le 01/06/2026). Le niveau de salaire en multiple du SMIC est une HYPOTHÈSE, faute de salaires de marché publiés. Grille du paysage O.4 à O.6 = 12,59 à 13,56 €/h.</t>
  </si>
  <si>
    <t xml:space="preserve">cout_maison</t>
  </si>
  <si>
    <t xml:space="preserve">Employé(e) de maison, particulier employeur (1,0 / 1,1 / 1,2 SMIC × 1,30)</t>
  </si>
  <si>
    <t xml:space="preserve">Particulier employeur : pas de RGDU ; coût estimé à brut × 1,30 par R2 (fragile, à vérifier avec le simulateur CESU).</t>
  </si>
  <si>
    <t xml:space="preserve">cout_ouvrier_agricole</t>
  </si>
  <si>
    <t xml:space="preserve">Ouvrier agricole qualifié (1,1 / 1,2 / 1,3 SMIC)</t>
  </si>
  <si>
    <t xml:space="preserve">R2-11; R2-09</t>
  </si>
  <si>
    <t xml:space="preserve">cout_resp_ecurie</t>
  </si>
  <si>
    <t xml:space="preserve">Responsable d'écurie, cavalier (1,3 / 1,4 / 1,5 SMIC)</t>
  </si>
  <si>
    <t xml:space="preserve">cout_soigneur</t>
  </si>
  <si>
    <t xml:space="preserve">Soigneur, palefrenier (1,0 / 1,0 / 1,1 SMIC)</t>
  </si>
  <si>
    <t xml:space="preserve">— Personnel — effectifs (ETP) du domaine —</t>
  </si>
  <si>
    <t xml:space="preserve">S1_etp_admin</t>
  </si>
  <si>
    <t xml:space="preserve">S1 — ETP admin</t>
  </si>
  <si>
    <t xml:space="preserve">ETP</t>
  </si>
  <si>
    <t xml:space="preserve">HYPOTHÈSE d'effectif pour le domaine et les chevaux du propriétaire uniquement. R2 compte 13 ETP en S2 et 29 ETP en S3 avec une écurie pleine de 40 à 50 chevaux : l'excédent relève d'une activité de pension, modélisée à part comme moteur de revenus.</t>
  </si>
  <si>
    <t xml:space="preserve">Personnel — effectifs (ETP) du domaine</t>
  </si>
  <si>
    <t xml:space="preserve">S1_etp_agricole</t>
  </si>
  <si>
    <t xml:space="preserve">S1 — ETP agricole</t>
  </si>
  <si>
    <t xml:space="preserve">S1_etp_chef_jardinier</t>
  </si>
  <si>
    <t xml:space="preserve">S1 — ETP chef jardinier</t>
  </si>
  <si>
    <t xml:space="preserve">S1_etp_direction</t>
  </si>
  <si>
    <t xml:space="preserve">S1 — ETP direction</t>
  </si>
  <si>
    <t xml:space="preserve">S1_etp_entretien</t>
  </si>
  <si>
    <t xml:space="preserve">S1 — ETP entretien</t>
  </si>
  <si>
    <t xml:space="preserve">S1_etp_gouvernance</t>
  </si>
  <si>
    <t xml:space="preserve">S1 — ETP gouvernance</t>
  </si>
  <si>
    <t xml:space="preserve">S1_etp_jardin</t>
  </si>
  <si>
    <t xml:space="preserve">S1 — ETP jardin</t>
  </si>
  <si>
    <t xml:space="preserve">S1_etp_maison</t>
  </si>
  <si>
    <t xml:space="preserve">S1 — ETP maison</t>
  </si>
  <si>
    <t xml:space="preserve">S1_etp_resp_ecurie</t>
  </si>
  <si>
    <t xml:space="preserve">S1 — ETP resp ecurie</t>
  </si>
  <si>
    <t xml:space="preserve">S1_etp_soigneur</t>
  </si>
  <si>
    <t xml:space="preserve">S1 — ETP soigneur</t>
  </si>
  <si>
    <t xml:space="preserve">S2_etp_admin</t>
  </si>
  <si>
    <t xml:space="preserve">S2 — ETP admin</t>
  </si>
  <si>
    <t xml:space="preserve">S2_etp_agricole</t>
  </si>
  <si>
    <t xml:space="preserve">S2 — ETP agricole</t>
  </si>
  <si>
    <t xml:space="preserve">S2_etp_chef_jardinier</t>
  </si>
  <si>
    <t xml:space="preserve">S2 — ETP chef jardinier</t>
  </si>
  <si>
    <t xml:space="preserve">S2_etp_direction</t>
  </si>
  <si>
    <t xml:space="preserve">S2 — ETP direction</t>
  </si>
  <si>
    <t xml:space="preserve">S2_etp_entretien</t>
  </si>
  <si>
    <t xml:space="preserve">S2 — ETP entretien</t>
  </si>
  <si>
    <t xml:space="preserve">S2_etp_gouvernance</t>
  </si>
  <si>
    <t xml:space="preserve">S2 — ETP gouvernance</t>
  </si>
  <si>
    <t xml:space="preserve">S2_etp_jardin</t>
  </si>
  <si>
    <t xml:space="preserve">S2 — ETP jardin</t>
  </si>
  <si>
    <t xml:space="preserve">S2_etp_maison</t>
  </si>
  <si>
    <t xml:space="preserve">S2 — ETP maison</t>
  </si>
  <si>
    <t xml:space="preserve">S2_etp_resp_ecurie</t>
  </si>
  <si>
    <t xml:space="preserve">S2 — ETP resp ecurie</t>
  </si>
  <si>
    <t xml:space="preserve">S2_etp_soigneur</t>
  </si>
  <si>
    <t xml:space="preserve">S2 — ETP soigneur</t>
  </si>
  <si>
    <t xml:space="preserve">S3_etp_admin</t>
  </si>
  <si>
    <t xml:space="preserve">S3 — ETP admin</t>
  </si>
  <si>
    <t xml:space="preserve">S3_etp_agricole</t>
  </si>
  <si>
    <t xml:space="preserve">S3 — ETP agricole</t>
  </si>
  <si>
    <t xml:space="preserve">S3_etp_chef_jardinier</t>
  </si>
  <si>
    <t xml:space="preserve">S3 — ETP chef jardinier</t>
  </si>
  <si>
    <t xml:space="preserve">S3_etp_direction</t>
  </si>
  <si>
    <t xml:space="preserve">S3 — ETP direction</t>
  </si>
  <si>
    <t xml:space="preserve">S3_etp_entretien</t>
  </si>
  <si>
    <t xml:space="preserve">S3 — ETP entretien</t>
  </si>
  <si>
    <t xml:space="preserve">S3_etp_gouvernance</t>
  </si>
  <si>
    <t xml:space="preserve">S3 — ETP gouvernance</t>
  </si>
  <si>
    <t xml:space="preserve">S3_etp_jardin</t>
  </si>
  <si>
    <t xml:space="preserve">S3 — ETP jardin</t>
  </si>
  <si>
    <t xml:space="preserve">S3_etp_maison</t>
  </si>
  <si>
    <t xml:space="preserve">S3 — ETP maison</t>
  </si>
  <si>
    <t xml:space="preserve">S3_etp_resp_ecurie</t>
  </si>
  <si>
    <t xml:space="preserve">S3 — ETP resp ecurie</t>
  </si>
  <si>
    <t xml:space="preserve">S3_etp_soigneur</t>
  </si>
  <si>
    <t xml:space="preserve">S3 — ETP soigneur</t>
  </si>
  <si>
    <t xml:space="preserve">— Scénario dette —</t>
  </si>
  <si>
    <t xml:space="preserve">S1_prix_achat</t>
  </si>
  <si>
    <t xml:space="preserve">S1 — prix d'achat</t>
  </si>
  <si>
    <t xml:space="preserve">€</t>
  </si>
  <si>
    <t xml:space="preserve">D-02</t>
  </si>
  <si>
    <t xml:space="preserve">Marché : prix affichés de 920 k€ à 20 M€, prix de vente moyen de 2,415 M€ (Kretz, 2026).</t>
  </si>
  <si>
    <t xml:space="preserve">Scénario dette</t>
  </si>
  <si>
    <t xml:space="preserve">S2_prix_achat</t>
  </si>
  <si>
    <t xml:space="preserve">S2 — prix d'achat</t>
  </si>
  <si>
    <t xml:space="preserve">S3_prix_achat</t>
  </si>
  <si>
    <t xml:space="preserve">S3 — prix d'achat</t>
  </si>
  <si>
    <t xml:space="preserve">dette_duree</t>
  </si>
  <si>
    <t xml:space="preserve">Durée de l'emprunt</t>
  </si>
  <si>
    <t xml:space="preserve">dette_quotite</t>
  </si>
  <si>
    <t xml:space="preserve">Part du prix financée par emprunt</t>
  </si>
  <si>
    <t xml:space="preserve">dette_taux</t>
  </si>
  <si>
    <t xml:space="preserve">Taux d'intérêt de l'emprunt</t>
  </si>
  <si>
    <t xml:space="preserve">D-05</t>
  </si>
  <si>
    <t xml:space="preserve">Crédits immobiliers aux particuliers : 3,27 % sur 20 ans (août 2026). Prime ajoutée pour un bien atypique ou un emprunteur professionnel.</t>
  </si>
  <si>
    <t xml:space="preserve">— Scénarios — description physique —</t>
  </si>
  <si>
    <t xml:space="preserve">S1_ha_bois</t>
  </si>
  <si>
    <t xml:space="preserve">S1 — bois</t>
  </si>
  <si>
    <t xml:space="preserve">ha</t>
  </si>
  <si>
    <t xml:space="preserve">Scénarios — description physique</t>
  </si>
  <si>
    <t xml:space="preserve">S1_ha_jardins</t>
  </si>
  <si>
    <t xml:space="preserve">S1 — jardins entretenus (abords, potager)</t>
  </si>
  <si>
    <t xml:space="preserve">S1_ha_parc</t>
  </si>
  <si>
    <t xml:space="preserve">S1 — parc et pelouses</t>
  </si>
  <si>
    <t xml:space="preserve">S1_ha_prairies</t>
  </si>
  <si>
    <t xml:space="preserve">S1 — prés, paddocks et prairies de fauche</t>
  </si>
  <si>
    <t xml:space="preserve">S1_ml_clotures</t>
  </si>
  <si>
    <t xml:space="preserve">S1 — clôtures équestres et périphériques</t>
  </si>
  <si>
    <t xml:space="preserve">ml</t>
  </si>
  <si>
    <t xml:space="preserve">Pour 35 ha de prés découpés en paddocks : ≈ 85 ml/ha.</t>
  </si>
  <si>
    <t xml:space="preserve">S1_nb_baies</t>
  </si>
  <si>
    <t xml:space="preserve">S1 — nombre de baies (fenêtres et portes-fenêtres)</t>
  </si>
  <si>
    <t xml:space="preserve">unités</t>
  </si>
  <si>
    <t xml:space="preserve">Environ une baie pour 15 m² de plancher du château + dépendances.</t>
  </si>
  <si>
    <t xml:space="preserve">S1_nb_boxes</t>
  </si>
  <si>
    <t xml:space="preserve">S1 — boxes</t>
  </si>
  <si>
    <t xml:space="preserve">boxes</t>
  </si>
  <si>
    <t xml:space="preserve">S1_nb_chevaux</t>
  </si>
  <si>
    <t xml:space="preserve">S1 — chevaux appartenant au propriétaire</t>
  </si>
  <si>
    <t xml:space="preserve">chevaux</t>
  </si>
  <si>
    <t xml:space="preserve">Les autres boxes sont vides ou utilisés par une activité.</t>
  </si>
  <si>
    <t xml:space="preserve">S1_surf_chateau</t>
  </si>
  <si>
    <t xml:space="preserve">S1 — surface de plancher du château</t>
  </si>
  <si>
    <t xml:space="preserve">m²</t>
  </si>
  <si>
    <t xml:space="preserve">Choix de scénario : petit château ou grande maison de maître, environ 700 m² habitables.</t>
  </si>
  <si>
    <t xml:space="preserve">S1_surf_dep</t>
  </si>
  <si>
    <t xml:space="preserve">S1 — dépendances (écurie, grange)</t>
  </si>
  <si>
    <t xml:space="preserve">S1_surf_facades</t>
  </si>
  <si>
    <t xml:space="preserve">S1 — façades (château et dépendances)</t>
  </si>
  <si>
    <t xml:space="preserve">Géométrie (ESTIMATION) : emprise ≈ plancher / nombre de niveaux ; toiture développée ≈ emprise × 1,4 (pente) ; façades ≈ périmètre × hauteur. Ordre de grandeur à remplacer par les métrés réels d'un bien. Château : périmètre ≈ 78 m × 12 m ; dépendances ≈ 150 m × 6 m.</t>
  </si>
  <si>
    <t xml:space="preserve">S1_surf_manege</t>
  </si>
  <si>
    <t xml:space="preserve">S1 — manège couvert (bâtiment)</t>
  </si>
  <si>
    <t xml:space="preserve">S1_surf_pistes</t>
  </si>
  <si>
    <t xml:space="preserve">S1 — carrières (surface de sol équestre)</t>
  </si>
  <si>
    <t xml:space="preserve">Une carrière de 60 × 30 m.</t>
  </si>
  <si>
    <t xml:space="preserve">S1_surf_toits</t>
  </si>
  <si>
    <t xml:space="preserve">S1 — toitures développées (château et dépendances)</t>
  </si>
  <si>
    <t xml:space="preserve">Géométrie (ESTIMATION) : emprise ≈ plancher / nombre de niveaux ; toiture développée ≈ emprise × 1,4 (pente) ; façades ≈ périmètre × hauteur. Ordre de grandeur à remplacer par les métrés réels d'un bien. Château : 3 niveaux, emprise ≈ 350 m² → ≈ 500 m² de toiture ; dépendances de plain-pied ≈ 600 m² d'emprise → ≈ 700 m².</t>
  </si>
  <si>
    <t xml:space="preserve">S2_ha_bois</t>
  </si>
  <si>
    <t xml:space="preserve">S2 — bois</t>
  </si>
  <si>
    <t xml:space="preserve">S2_ha_jardins</t>
  </si>
  <si>
    <t xml:space="preserve">S2 — jardins réguliers et potager</t>
  </si>
  <si>
    <t xml:space="preserve">S2_ha_parc</t>
  </si>
  <si>
    <t xml:space="preserve">S2 — parc paysager</t>
  </si>
  <si>
    <t xml:space="preserve">S2_ha_prairies</t>
  </si>
  <si>
    <t xml:space="preserve">S2 — prés, paddocks et prairies de fauche</t>
  </si>
  <si>
    <t xml:space="preserve">S2_ml_clotures</t>
  </si>
  <si>
    <t xml:space="preserve">S2 — clôtures</t>
  </si>
  <si>
    <t xml:space="preserve">Pour 80 ha de prés : ≈ 85 ml/ha.</t>
  </si>
  <si>
    <t xml:space="preserve">S2_nb_baies</t>
  </si>
  <si>
    <t xml:space="preserve">S2 — nombre de baies</t>
  </si>
  <si>
    <t xml:space="preserve">S2_nb_boxes</t>
  </si>
  <si>
    <t xml:space="preserve">S2 — boxes</t>
  </si>
  <si>
    <t xml:space="preserve">S2_nb_chevaux</t>
  </si>
  <si>
    <t xml:space="preserve">S2 — chevaux appartenant au propriétaire</t>
  </si>
  <si>
    <t xml:space="preserve">S2_surf_chateau</t>
  </si>
  <si>
    <t xml:space="preserve">S2 — surface de plancher du château</t>
  </si>
  <si>
    <t xml:space="preserve">Choix de scénario : château de taille moyenne à grande.</t>
  </si>
  <si>
    <t xml:space="preserve">S2_surf_dep</t>
  </si>
  <si>
    <t xml:space="preserve">S2 — dépendances (écuries historiques, communs, granges)</t>
  </si>
  <si>
    <t xml:space="preserve">S2_surf_facades</t>
  </si>
  <si>
    <t xml:space="preserve">S2 — façades</t>
  </si>
  <si>
    <t xml:space="preserve">Géométrie (ESTIMATION) : emprise ≈ plancher / nombre de niveaux ; toiture développée ≈ emprise × 1,4 (pente) ; façades ≈ périmètre × hauteur. Ordre de grandeur à remplacer par les métrés réels d'un bien. Château : ≈ 115 m × 14 m ; dépendances ≈ 350 m × 7 m.</t>
  </si>
  <si>
    <t xml:space="preserve">S2_surf_manege</t>
  </si>
  <si>
    <t xml:space="preserve">S2 — manège couvert (bâtiment)</t>
  </si>
  <si>
    <t xml:space="preserve">S2_surf_pistes</t>
  </si>
  <si>
    <t xml:space="preserve">S2 — carrières et sol du manège</t>
  </si>
  <si>
    <t xml:space="preserve">Deux carrières de 70 × 40 m et le sol d'un manège de 60 × 25 m.</t>
  </si>
  <si>
    <t xml:space="preserve">S2_surf_toits</t>
  </si>
  <si>
    <t xml:space="preserve">S2 — toitures développées</t>
  </si>
  <si>
    <t xml:space="preserve">Géométrie (ESTIMATION) : emprise ≈ plancher / nombre de niveaux ; toiture développée ≈ emprise × 1,4 (pente) ; façades ≈ périmètre × hauteur. Ordre de grandeur à remplacer par les métrés réels d'un bien. Château ≈ 700 m² d'emprise → ≈ 1 000 m² ; dépendances ≈ 1 650 m² d'emprise → ≈ 2 300 m².</t>
  </si>
  <si>
    <t xml:space="preserve">S3_ha_bois</t>
  </si>
  <si>
    <t xml:space="preserve">S3 — bois</t>
  </si>
  <si>
    <t xml:space="preserve">S3_ha_jardins</t>
  </si>
  <si>
    <t xml:space="preserve">S3 — jardins réguliers, parterres, potager</t>
  </si>
  <si>
    <t xml:space="preserve">S3_ha_parc</t>
  </si>
  <si>
    <t xml:space="preserve">S3 — parc paysager</t>
  </si>
  <si>
    <t xml:space="preserve">S3_ha_prairies</t>
  </si>
  <si>
    <t xml:space="preserve">S3 — prés, paddocks et terres</t>
  </si>
  <si>
    <t xml:space="preserve">S3_ml_clotures</t>
  </si>
  <si>
    <t xml:space="preserve">S3 — clôtures</t>
  </si>
  <si>
    <t xml:space="preserve">Pour 120 ha : ≈ 85 ml/ha.</t>
  </si>
  <si>
    <t xml:space="preserve">S3_nb_baies</t>
  </si>
  <si>
    <t xml:space="preserve">S3 — nombre de baies</t>
  </si>
  <si>
    <t xml:space="preserve">S3_nb_boxes</t>
  </si>
  <si>
    <t xml:space="preserve">S3 — boxes</t>
  </si>
  <si>
    <t xml:space="preserve">S3_nb_chevaux</t>
  </si>
  <si>
    <t xml:space="preserve">S3 — chevaux appartenant au propriétaire</t>
  </si>
  <si>
    <t xml:space="preserve">S3_surf_chateau</t>
  </si>
  <si>
    <t xml:space="preserve">S3 — surface de plancher du château</t>
  </si>
  <si>
    <t xml:space="preserve">Choix de scénario : grand château historique avec décors intérieurs.</t>
  </si>
  <si>
    <t xml:space="preserve">S3_surf_dep</t>
  </si>
  <si>
    <t xml:space="preserve">S3 — dépendances (orangerie, communs, chapelle, logements, écuries)</t>
  </si>
  <si>
    <t xml:space="preserve">S3_surf_facades</t>
  </si>
  <si>
    <t xml:space="preserve">S3 — façades</t>
  </si>
  <si>
    <t xml:space="preserve">Géométrie (ESTIMATION) : emprise ≈ plancher / nombre de niveaux ; toiture développée ≈ emprise × 1,4 (pente) ; façades ≈ périmètre × hauteur. Ordre de grandeur à remplacer par les métrés réels d'un bien. Château : ≈ 170 m × 16 m ; dépendances ≈ 500 m × 7 m.</t>
  </si>
  <si>
    <t xml:space="preserve">S3_surf_manege</t>
  </si>
  <si>
    <t xml:space="preserve">S3 — manège couvert (bâtiment)</t>
  </si>
  <si>
    <t xml:space="preserve">S3_surf_pistes</t>
  </si>
  <si>
    <t xml:space="preserve">S3 — carrières et sol du manège</t>
  </si>
  <si>
    <t xml:space="preserve">S3_surf_toits</t>
  </si>
  <si>
    <t xml:space="preserve">S3 — toitures développées</t>
  </si>
  <si>
    <t xml:space="preserve">Géométrie (ESTIMATION) : emprise ≈ plancher / nombre de niveaux ; toiture développée ≈ emprise × 1,4 (pente) ; façades ≈ périmètre × hauteur. Ordre de grandeur à remplacer par les métrés réels d'un bien. Château ≈ 1 500 m² d'emprise → ≈ 2 100 m² ; dépendances ≈ 2 800 m² d'emprise → ≈ 3 900 m².</t>
  </si>
  <si>
    <t xml:space="preserve">— Énergie et eau —</t>
  </si>
  <si>
    <t xml:space="preserve">S1_eau</t>
  </si>
  <si>
    <t xml:space="preserve">S1 — eau et assainissement</t>
  </si>
  <si>
    <t xml:space="preserve">R1-32</t>
  </si>
  <si>
    <t xml:space="preserve">Repère : 432 €/an pour un petit château sans chevaux (déclaration d'un vendeur).</t>
  </si>
  <si>
    <t xml:space="preserve">Énergie et eau</t>
  </si>
  <si>
    <t xml:space="preserve">S1_elec_kwh</t>
  </si>
  <si>
    <t xml:space="preserve">S1 — électricité spécifique (maison, écurie, extérieurs)</t>
  </si>
  <si>
    <t xml:space="preserve">kWh/an</t>
  </si>
  <si>
    <t xml:space="preserve">S1_surf_chauffee</t>
  </si>
  <si>
    <t xml:space="preserve">S1 — surface chauffée à confort</t>
  </si>
  <si>
    <t xml:space="preserve">50 à 80 % des 700 m² habitables (R1 § 9.1).</t>
  </si>
  <si>
    <t xml:space="preserve">S2_eau</t>
  </si>
  <si>
    <t xml:space="preserve">S2 — eau et assainissement</t>
  </si>
  <si>
    <t xml:space="preserve">S2_elec_kwh</t>
  </si>
  <si>
    <t xml:space="preserve">S2 — électricité spécifique (dont manège éclairé, écuries, ateliers)</t>
  </si>
  <si>
    <t xml:space="preserve">S2_surf_chauffee</t>
  </si>
  <si>
    <t xml:space="preserve">S2 — surface chauffée à confort</t>
  </si>
  <si>
    <t xml:space="preserve">40 à 60 % du château.</t>
  </si>
  <si>
    <t xml:space="preserve">S3_eau</t>
  </si>
  <si>
    <t xml:space="preserve">S3 — eau et assainissement (dont arrosage des jardins)</t>
  </si>
  <si>
    <t xml:space="preserve">S3_elec_kwh</t>
  </si>
  <si>
    <t xml:space="preserve">S3 — électricité spécifique</t>
  </si>
  <si>
    <t xml:space="preserve">S3_surf_chauffee</t>
  </si>
  <si>
    <t xml:space="preserve">S3 — surface chauffée à confort</t>
  </si>
  <si>
    <t xml:space="preserve">30 à 50 % du château.</t>
  </si>
  <si>
    <t xml:space="preserve">chauffage_kwh_m2</t>
  </si>
  <si>
    <t xml:space="preserve">Consommation de chauffage et d'eau chaude par m² chauffé</t>
  </si>
  <si>
    <t xml:space="preserve">kWh/m²/an</t>
  </si>
  <si>
    <t xml:space="preserve">R1-21</t>
  </si>
  <si>
    <t xml:space="preserve">Aucune mesure de château trouvée. Repère : le SDES juge « très énergivore » un logement au-delà de 450 kWh/m² d'énergie finale.</t>
  </si>
  <si>
    <t xml:space="preserve">horsgel_kwh_m2</t>
  </si>
  <si>
    <t xml:space="preserve">Consommation hors-gel par m² non habité du château</t>
  </si>
  <si>
    <t xml:space="preserve">Maintien hors-gel et lutte contre l'humidité.</t>
  </si>
  <si>
    <t xml:space="preserve">prix_chaleur_kwh</t>
  </si>
  <si>
    <t xml:space="preserve">Prix de l'énergie de chauffage livrée</t>
  </si>
  <si>
    <t xml:space="preserve">€ TTC/kWh</t>
  </si>
  <si>
    <t xml:space="preserve">R1-22; R1-25</t>
  </si>
  <si>
    <t xml:space="preserve">Bornes : granulés en vrac 10,4 c€ TTC/kWh (2023, ADEME repris par un tiers) ; gaz, prix repère 19,49 c€ TTC/kWh au 1er novembre 2026.</t>
  </si>
  <si>
    <t xml:space="preserve">prix_elec_kwh</t>
  </si>
  <si>
    <t xml:space="preserve">Prix moyen de l'électricité</t>
  </si>
  <si>
    <t xml:space="preserve">R1-24</t>
  </si>
  <si>
    <t xml:space="preserve">Tarif réglementé au 1er août 2026 : 1 072 € TTC pour 4,5 MWh, soit ≈ 238 €/MWh, abonnement compris.</t>
  </si>
  <si>
    <t xml:space="preserve">BUDGET ANNUEL DE FONCTIONNEMENT — trois domaines types, trois cas (€ 2026 TTC)</t>
  </si>
  <si>
    <t xml:space="preserve">Chaque cellule est une formule construite à partir des hypothèses nommées (feuille Hypotheses). La provision de gros entretien retient le maximum de deux méthodes indépendantes (composants et ratio de la valeur de restauration).</t>
  </si>
  <si>
    <t xml:space="preserve">Ligne</t>
  </si>
  <si>
    <t xml:space="preserve">Catégorie</t>
  </si>
  <si>
    <t xml:space="preserve">TVA contenue</t>
  </si>
  <si>
    <t xml:space="preserve">S1 Favorable</t>
  </si>
  <si>
    <t xml:space="preserve">S1 Central</t>
  </si>
  <si>
    <t xml:space="preserve">S1 Défavorable</t>
  </si>
  <si>
    <t xml:space="preserve">S2 Favorable</t>
  </si>
  <si>
    <t xml:space="preserve">S2 Central</t>
  </si>
  <si>
    <t xml:space="preserve">S2 Défavorable</t>
  </si>
  <si>
    <t xml:space="preserve">S3 Favorable</t>
  </si>
  <si>
    <t xml:space="preserve">S3 Central</t>
  </si>
  <si>
    <t xml:space="preserve">S3 Défavorable</t>
  </si>
  <si>
    <t xml:space="preserve">valeur_reconstruction</t>
  </si>
  <si>
    <t xml:space="preserve">Valeur de reconstruction à l'identique (château + dépendances), base de calcul</t>
  </si>
  <si>
    <t xml:space="preserve">Base</t>
  </si>
  <si>
    <t xml:space="preserve">bati_courant</t>
  </si>
  <si>
    <t xml:space="preserve">Entretien courant du bâti (petites réparations, contrats, contrôles)</t>
  </si>
  <si>
    <t xml:space="preserve">A. Bâti</t>
  </si>
  <si>
    <t xml:space="preserve">bati_ge</t>
  </si>
  <si>
    <t xml:space="preserve">Provision de gros entretien et de conservation (campagnes de toiture, maçonnerie, menuiseries, réseaux)</t>
  </si>
  <si>
    <t xml:space="preserve">imprevus_travaux</t>
  </si>
  <si>
    <t xml:space="preserve">Aléas de chantier et découvertes (en % du gros entretien)</t>
  </si>
  <si>
    <t xml:space="preserve">securite</t>
  </si>
  <si>
    <t xml:space="preserve">Sécurité : alarme, télésurveillance, protection incendie</t>
  </si>
  <si>
    <t xml:space="preserve">pers_direction</t>
  </si>
  <si>
    <t xml:space="preserve">Personnel : régisseur ou directeur de domaine</t>
  </si>
  <si>
    <t xml:space="preserve">B. Personnel</t>
  </si>
  <si>
    <t xml:space="preserve">pers_admin</t>
  </si>
  <si>
    <t xml:space="preserve">Personnel : assistant(e) administratif(ve) et comptable</t>
  </si>
  <si>
    <t xml:space="preserve">pers_chef_jardinier</t>
  </si>
  <si>
    <t xml:space="preserve">Personnel : chef jardinier</t>
  </si>
  <si>
    <t xml:space="preserve">pers_jardins</t>
  </si>
  <si>
    <t xml:space="preserve">Personnel : jardiniers</t>
  </si>
  <si>
    <t xml:space="preserve">pers_entretien</t>
  </si>
  <si>
    <t xml:space="preserve">Personnel : gardien, maintenance des bâtiments</t>
  </si>
  <si>
    <t xml:space="preserve">pers_agricole</t>
  </si>
  <si>
    <t xml:space="preserve">Personnel : ouvrier agricole et forestier (prés, clôtures, foin, bois)</t>
  </si>
  <si>
    <t xml:space="preserve">pers_equestre</t>
  </si>
  <si>
    <t xml:space="preserve">Personnel : soigneurs des chevaux du propriétaire</t>
  </si>
  <si>
    <t xml:space="preserve">pers_resp_ecurie</t>
  </si>
  <si>
    <t xml:space="preserve">Personnel : responsable d'écurie et cavalier</t>
  </si>
  <si>
    <t xml:space="preserve">pers_gouvernance</t>
  </si>
  <si>
    <t xml:space="preserve">Personnel de maison encadrant (gouvernante, majordome) — particulier employeur</t>
  </si>
  <si>
    <t xml:space="preserve">pers_maison</t>
  </si>
  <si>
    <t xml:space="preserve">Personnel : employés de maison — particulier employeur</t>
  </si>
  <si>
    <t xml:space="preserve">jardins_reguliers</t>
  </si>
  <si>
    <t xml:space="preserve">Jardins réguliers et potager : fournitures, végétaux, sous-traitance</t>
  </si>
  <si>
    <t xml:space="preserve">C. Jardins et terres</t>
  </si>
  <si>
    <t xml:space="preserve">parc</t>
  </si>
  <si>
    <t xml:space="preserve">Parc paysager : fournitures, fauche, élagage et replantation</t>
  </si>
  <si>
    <t xml:space="preserve">prairies</t>
  </si>
  <si>
    <t xml:space="preserve">Prairies et paddocks : entretien, amendements, fauche</t>
  </si>
  <si>
    <t xml:space="preserve">clotures</t>
  </si>
  <si>
    <t xml:space="preserve">Clôtures : provision de renouvellement</t>
  </si>
  <si>
    <t xml:space="preserve">bois</t>
  </si>
  <si>
    <t xml:space="preserve">Bois : gestion courante (hors recettes de coupe)</t>
  </si>
  <si>
    <t xml:space="preserve">equip_renouv</t>
  </si>
  <si>
    <t xml:space="preserve">Équipements : renouvellement (tracteurs, tondeuses, véhicules, camion)</t>
  </si>
  <si>
    <t xml:space="preserve">D. Équipements</t>
  </si>
  <si>
    <t xml:space="preserve">equip_entretien</t>
  </si>
  <si>
    <t xml:space="preserve">Équipements : entretien et carburant</t>
  </si>
  <si>
    <t xml:space="preserve">Chevaux du propriétaire : alimentation, litière, maréchal, vétérinaire, assurance (hors personnel)</t>
  </si>
  <si>
    <t xml:space="preserve">E. Chevaux</t>
  </si>
  <si>
    <t xml:space="preserve">installations_eq</t>
  </si>
  <si>
    <t xml:space="preserve">Installations équestres : sols, boxes, bâtiment du manège (provision)</t>
  </si>
  <si>
    <t xml:space="preserve">chauffage</t>
  </si>
  <si>
    <t xml:space="preserve">Chauffage et eau chaude des surfaces habitées</t>
  </si>
  <si>
    <t xml:space="preserve">F. Énergie</t>
  </si>
  <si>
    <t xml:space="preserve">hors_gel</t>
  </si>
  <si>
    <t xml:space="preserve">Hors-gel et tempérage des surfaces non habitées du château</t>
  </si>
  <si>
    <t xml:space="preserve">electricite</t>
  </si>
  <si>
    <t xml:space="preserve">Électricité spécifique (éclairage, pompes, écuries, ateliers, extérieurs)</t>
  </si>
  <si>
    <t xml:space="preserve">eau</t>
  </si>
  <si>
    <t xml:space="preserve">Eau et assainissement</t>
  </si>
  <si>
    <t xml:space="preserve">assurance_bati</t>
  </si>
  <si>
    <t xml:space="preserve">Assurance des bâtiments (en ‰ de la valeur de reconstruction)</t>
  </si>
  <si>
    <t xml:space="preserve">G. Assurances</t>
  </si>
  <si>
    <t xml:space="preserve">assurance_autres</t>
  </si>
  <si>
    <t xml:space="preserve">Responsabilité civile, véhicules, chevaux, contenu</t>
  </si>
  <si>
    <t xml:space="preserve">taxe_fonciere_bati</t>
  </si>
  <si>
    <t xml:space="preserve">Taxe foncière sur les propriétés bâties</t>
  </si>
  <si>
    <t xml:space="preserve">H. Impôts et taxes</t>
  </si>
  <si>
    <t xml:space="preserve">taxe_fonciere_non_bati</t>
  </si>
  <si>
    <t xml:space="preserve">Taxe foncière sur les propriétés non bâties</t>
  </si>
  <si>
    <t xml:space="preserve">admin</t>
  </si>
  <si>
    <t xml:space="preserve">Administration : expert-comptable, juridique, banque, informatique, télécoms</t>
  </si>
  <si>
    <t xml:space="preserve">I. Administration</t>
  </si>
  <si>
    <t xml:space="preserve">honoraires_patrimoine</t>
  </si>
  <si>
    <t xml:space="preserve">Architecte du patrimoine : état sanitaire et suivi (hors maîtrise d'œuvre des chantiers)</t>
  </si>
  <si>
    <t xml:space="preserve">dont_personnel_calc</t>
  </si>
  <si>
    <t xml:space="preserve">Sous-total du personnel</t>
  </si>
  <si>
    <t xml:space="preserve">etp_total</t>
  </si>
  <si>
    <t xml:space="preserve">Effectif total (ETP)</t>
  </si>
  <si>
    <t xml:space="preserve">st_fonctionnement</t>
  </si>
  <si>
    <t xml:space="preserve">Sous-total des charges de fonctionnement</t>
  </si>
  <si>
    <t xml:space="preserve">Totaux</t>
  </si>
  <si>
    <t xml:space="preserve">st_provisions</t>
  </si>
  <si>
    <t xml:space="preserve">Sous-total des provisions (gros entretien, aléas de chantier, renouvellements)</t>
  </si>
  <si>
    <t xml:space="preserve">imprevus</t>
  </si>
  <si>
    <t xml:space="preserve">Imprévus d'exploitation (en % des charges de fonctionnement)</t>
  </si>
  <si>
    <t xml:space="preserve">J. Imprévus</t>
  </si>
  <si>
    <t xml:space="preserve">invest_futurs</t>
  </si>
  <si>
    <t xml:space="preserve">Investissements futurs : améliorations, mises aux normes, embellissements</t>
  </si>
  <si>
    <t xml:space="preserve">K. Investissements futurs</t>
  </si>
  <si>
    <t xml:space="preserve">total_besoin</t>
  </si>
  <si>
    <t xml:space="preserve">BESOIN ANNUEL DE TRÉSORERIE DU DOMAINE (hors dette, hors activités)</t>
  </si>
  <si>
    <t xml:space="preserve">dont_personnel</t>
  </si>
  <si>
    <t xml:space="preserve">dont personnel</t>
  </si>
  <si>
    <t xml:space="preserve">Indicateurs</t>
  </si>
  <si>
    <t xml:space="preserve">dont_bati</t>
  </si>
  <si>
    <t xml:space="preserve">dont bâti (entretien courant, gros entretien, aléas, assurance, taxe foncière bâtie, sécurité)</t>
  </si>
  <si>
    <t xml:space="preserve">part_personnel</t>
  </si>
  <si>
    <t xml:space="preserve">Part du personnel dans le besoin total</t>
  </si>
  <si>
    <t xml:space="preserve">part_bati</t>
  </si>
  <si>
    <t xml:space="preserve">Part du bâti dans le besoin total</t>
  </si>
  <si>
    <t xml:space="preserve">besoin_ht_societe</t>
  </si>
  <si>
    <t xml:space="preserve">Besoin si les charges sont portées par une société assujettie (TVA récupérée, ordre de grandeur)</t>
  </si>
  <si>
    <t xml:space="preserve">besoin_par_m2</t>
  </si>
  <si>
    <t xml:space="preserve">Besoin total par m² de plancher bâti (château + dépendances), en €/m²</t>
  </si>
  <si>
    <t xml:space="preserve">besoin_en_pct_valeur</t>
  </si>
  <si>
    <t xml:space="preserve">Besoin annuel en % de la valeur de reconstruction</t>
  </si>
  <si>
    <t xml:space="preserve">dette_annuite</t>
  </si>
  <si>
    <t xml:space="preserve">Scénario complémentaire : annuité d'une dette d'acquisition</t>
  </si>
  <si>
    <t xml:space="preserve">total_avec_dette</t>
  </si>
  <si>
    <t xml:space="preserve">BESOIN ANNUEL AVEC DETTE D'ACQUISITION (scénario complémentaire)</t>
  </si>
  <si>
    <t xml:space="preserve">REGISTRE DES SOURCES (consolidé à partir de 01_RECHERCHE/sources/*.csv)</t>
  </si>
  <si>
    <t xml:space="preserve">Identifiant</t>
  </si>
  <si>
    <t xml:space="preserve">Titre / donnée</t>
  </si>
  <si>
    <t xml:space="preserve">URL</t>
  </si>
  <si>
    <t xml:space="preserve">Type</t>
  </si>
  <si>
    <t xml:space="preserve">Consultée le</t>
  </si>
  <si>
    <t xml:space="preserve">Utilisée dans</t>
  </si>
  <si>
    <t xml:space="preserve">Fiabilité</t>
  </si>
  <si>
    <t xml:space="preserve">D-01</t>
  </si>
  <si>
    <t xml:space="preserve">Banque de France — Projections macroéconomiques intermédiaires, septembre 2026 (IPCH 2025 0,9 % </t>
  </si>
  <si>
    <t xml:space="preserve"> 2026 2,3 % </t>
  </si>
  <si>
    <t xml:space="preserve"> 2027 1,9 % </t>
  </si>
  <si>
    <t xml:space="preserve"> 2028 1,6 % </t>
  </si>
  <si>
    <t xml:space="preserve"> SMPT 2,0 / 2,6 / 2,4 % </t>
  </si>
  <si>
    <t xml:space="preserve"> PIB 0,4 / 0,9 / 1,2 %)</t>
  </si>
  <si>
    <t xml:space="preserve">https://www.banque-france.fr/fr/publications-et-statistiques/publications/projections-macroeconomiques-intermediaires-septembre-2026</t>
  </si>
  <si>
    <t xml:space="preserve">MySweetImmo (17/09/2026), citant Kretz Real Estate : environ 1 500 châteaux à vendre, environ 400 transactions par an, 18 à 24 mois pour vendre, prix affichés de 920 k€ à 20 M€, prix de vente moyen de 2,415 M€ sur le portefeuille Kretz</t>
  </si>
  <si>
    <t xml:space="preserve">https://www.mysweetimmo.com/2026/09/17/journees-du-patrimoine-pourquoi-vendre-un-chateau-peut-prendre-2-ans/</t>
  </si>
  <si>
    <t xml:space="preserve">presse immobilière citant un réseau d'agences</t>
  </si>
  <si>
    <t xml:space="preserve">2026-10-14</t>
  </si>
  <si>
    <t xml:space="preserve">page_lue</t>
  </si>
  <si>
    <t xml:space="preserve">valeur des biens (assurance, IFI, scénario de dette), liquidité</t>
  </si>
  <si>
    <t xml:space="preserve">moyenne</t>
  </si>
  <si>
    <t xml:space="preserve">D-03</t>
  </si>
  <si>
    <t xml:space="preserve">Résultat de recherche : Barnes (septembre 2025), environ 45 000 châteaux en France, environ 1 500 en vente, de 400 k€ à 10 M€ et plus</t>
  </si>
  <si>
    <t xml:space="preserve">https://www.galivel.com/media/files/etude_pc_2025_1609.pdf</t>
  </si>
  <si>
    <t xml:space="preserve">étude d'agence (extrait)</t>
  </si>
  <si>
    <t xml:space="preserve">extrait</t>
  </si>
  <si>
    <t xml:space="preserve">contexte du marché</t>
  </si>
  <si>
    <t xml:space="preserve">D-04</t>
  </si>
  <si>
    <t xml:space="preserve">Résultat de recherche : indice BT01, de 132,0 (janvier 2025) à 133,7 (décembre 2025), soit environ +1,3 % sur 2025 </t>
  </si>
  <si>
    <t xml:space="preserve"> composition de l'index actualisée en janvier 2026 (INSEE)</t>
  </si>
  <si>
    <t xml:space="preserve">https://www.weblex.fr/chiffres-cles/indice-national-du-batiment-bt-01-tous-corps-d-etat-annee-2025</t>
  </si>
  <si>
    <t xml:space="preserve">site d'information juridique reprenant l'INSEE</t>
  </si>
  <si>
    <t xml:space="preserve">hypothèse d'inflation des travaux</t>
  </si>
  <si>
    <t xml:space="preserve">Résultat de recherche : Observatoire Crédit Logement/CSA, août 2026, taux moyen de 3,31 % (3,27 % sur 20 ans), crédits aux particuliers hors assurance</t>
  </si>
  <si>
    <t xml:space="preserve">https://selectra.info/finance/actualites/marche/credit-immobilier-taux-septembre-2026-hausse</t>
  </si>
  <si>
    <t xml:space="preserve">presse financière (extrait)</t>
  </si>
  <si>
    <t xml:space="preserve">scénario de dette (borne basse, car il s'agit de crédits aux particuliers)</t>
  </si>
  <si>
    <t xml:space="preserve">D-06</t>
  </si>
  <si>
    <t xml:space="preserve">Résultat de recherche : La Demeure Historique, note de mai 2019, « 40 000 € par an au minimum » pour un monument, hors ouverture au public et hors restauration (à lire en entier par R1)</t>
  </si>
  <si>
    <t xml:space="preserve">https://www.demeure-historique.org/wp-content/uploads/2019/06/Note-DH-DNS-05062019.pdf</t>
  </si>
  <si>
    <t xml:space="preserve">association de propriétaires (extrait)</t>
  </si>
  <si>
    <t xml:space="preserve">budget S1 (plancher)</t>
  </si>
  <si>
    <t xml:space="preserve">R1-01</t>
  </si>
  <si>
    <t xml:space="preserve">La Demeure Historique — Note « Dialogue national de Sécurité – Établissements patrimoniaux » (27 mai 2019, 3 p.)</t>
  </si>
  <si>
    <t xml:space="preserve">note d'association (propriétaires privés de MH)</t>
  </si>
  <si>
    <t xml:space="preserve">§1 ratios globaux, §8 sûreté</t>
  </si>
  <si>
    <t xml:space="preserve">R1-02</t>
  </si>
  <si>
    <t xml:space="preserve">La Demeure Historique — Communiqué de presse « La transmission des monuments historiques » (21 octobre 2019, 1 p.)</t>
  </si>
  <si>
    <t xml:space="preserve">https://www.demeure-historique.org/wp-content/uploads/2022/05/La-transmission-des-monuments-historiques.pdf</t>
  </si>
  <si>
    <t xml:space="preserve">communiqué de presse</t>
  </si>
  <si>
    <t xml:space="preserve">§1 (aucun chiffre de coût : document sans donnée exploitable)</t>
  </si>
  <si>
    <t xml:space="preserve">faible</t>
  </si>
  <si>
    <t xml:space="preserve">R1-03</t>
  </si>
  <si>
    <t xml:space="preserve">La Demeure Historique, revue n° 201 (2016) — Dossier « Le financement public des travaux dans les monuments historiques privés » (A. Proust)</t>
  </si>
  <si>
    <t xml:space="preserve">https://www.demeure-historique.org/wp-content/uploads/2022/09/article-DH201-financement-public-des-travaux.pdf</t>
  </si>
  <si>
    <t xml:space="preserve">article de revue d'association (données 1997-2014)</t>
  </si>
  <si>
    <t xml:space="preserve">§6 subventions</t>
  </si>
  <si>
    <t xml:space="preserve">R1-04</t>
  </si>
  <si>
    <t xml:space="preserve">Museums Association, Museums Journal — « New report highlights ongoing risk of repair backlog at historic houses » (R. Atkinson, 18 novembre 2025)</t>
  </si>
  <si>
    <t xml:space="preserve">https://www.museumsassociation.org/museums-journal/news/2025/11/new-report-highlights-ongoing-risk-of-repair-backlog-at-historic-houses/</t>
  </si>
  <si>
    <t xml:space="preserve">presse professionnelle (Royaume-Uni)</t>
  </si>
  <si>
    <t xml:space="preserve">§1.2 Historic Houses</t>
  </si>
  <si>
    <t xml:space="preserve">Harlow Consulting pour Historic Houses — « VAT-Rebates for Repairs to Publicly Accessible Heritage Sites » (rapport, 73 p., 28 janvier 2025, enquête 2024 n=121)</t>
  </si>
  <si>
    <t xml:space="preserve">https://cdn.historichouses.org/app/uploads/2025/01/hh-vat-research-report-final-v4-20250128.pdf</t>
  </si>
  <si>
    <t xml:space="preserve">rapport d'étude commandé par une association de propriétaires (Royaume-Uni)</t>
  </si>
  <si>
    <t xml:space="preserve">§1.2 dépenses d'entretien par maison, retard d'entretien, études de cas, assurance</t>
  </si>
  <si>
    <t xml:space="preserve">R1-06</t>
  </si>
  <si>
    <t xml:space="preserve">Historic Houses — infographie « Key findings from the Historic Houses member surveys » (2025, données enquêtes 2024/25 et 2022)</t>
  </si>
  <si>
    <t xml:space="preserve">https://cdn.historichouses.org/app/uploads/2025/04/10-planning-infographic-2025-v1.pdf</t>
  </si>
  <si>
    <t xml:space="preserve">infographie d'association (Royaume-Uni)</t>
  </si>
  <si>
    <t xml:space="preserve">§1.2 retard d'entretien 2 Md£, 160 000 £/an</t>
  </si>
  <si>
    <t xml:space="preserve">National Research Council (2001) — « Deferred Maintenance Reporting for Federal Facilities », chapitre « Inadequate Funding for Maintenance and Repair » (cite le rapport NRC 1990 « Committing to the Cost of Ownership »)</t>
  </si>
  <si>
    <t xml:space="preserve">https://www.nationalacademies.org/read/10095/chapter/35</t>
  </si>
  <si>
    <t xml:space="preserve">rapport académique (États-Unis, bâtiments publics)</t>
  </si>
  <si>
    <t xml:space="preserve">§1.3 règle de pouce 2 à 4 % de la valeur de remplacement</t>
  </si>
  <si>
    <t xml:space="preserve">haute</t>
  </si>
  <si>
    <t xml:space="preserve">R1-08</t>
  </si>
  <si>
    <t xml:space="preserve">Résultat de recherche (synthèse) sur la recommandation NRC 1990 « 2 to 4 percent of current replacement value » (« absolute minimum », backlog)</t>
  </si>
  <si>
    <t xml:space="preserve">https://nap.nationalacademies.org/read/9807/chapter/4</t>
  </si>
  <si>
    <t xml:space="preserve">extrait de moteur de recherche</t>
  </si>
  <si>
    <t xml:space="preserve">§1.3</t>
  </si>
  <si>
    <t xml:space="preserve">R1-09</t>
  </si>
  <si>
    <t xml:space="preserve">La Demeure Historique — Compte rendu de la table ronde 1 du 98e congrès national (document du 14 février 2023)</t>
  </si>
  <si>
    <t xml:space="preserve">https://www.demeure-historique.org/wp-content/uploads/2023/02/98e-Congres-national-CR-TR1.pdf</t>
  </si>
  <si>
    <t xml:space="preserve">compte rendu de colloque (propos de la DGPA, de parlementaires)</t>
  </si>
  <si>
    <t xml:space="preserve">§3 énergie (combles), §6 FIP</t>
  </si>
  <si>
    <t xml:space="preserve">R1-10</t>
  </si>
  <si>
    <t xml:space="preserve">La Demeure Historique — « 2017-2022 Quels enjeux pour le patrimoine et les monuments historiques de notre pays ? Sept questions aux candidats aux élections législatives » (mai 2017, 22 p., inclut l'enquête « Tournelle » sur 513 monuments, données 2010)</t>
  </si>
  <si>
    <t xml:space="preserve">https://www.demeure-historique.org/wp-content/uploads/2017/05/Dossier-legislatives.pdf</t>
  </si>
  <si>
    <t xml:space="preserve">document de plaidoyer d'association</t>
  </si>
  <si>
    <t xml:space="preserve">§1.1, contre-exemples (MH en vente, durée de détention), ERP</t>
  </si>
  <si>
    <t xml:space="preserve">R1-11</t>
  </si>
  <si>
    <t xml:space="preserve">Fondation du patrimoine — page projet « Château de Jarnioux » (Rhône), devis par phase de couverture 2021-2023</t>
  </si>
  <si>
    <t xml:space="preserve">https://www.fondation-patrimoine.org/les-projets/chateau-de-jarnioux/76090</t>
  </si>
  <si>
    <t xml:space="preserve">page projet de fondation reconnue d'utilité publique</t>
  </si>
  <si>
    <t xml:space="preserve">§2 montants de chantiers</t>
  </si>
  <si>
    <t xml:space="preserve">R1-12</t>
  </si>
  <si>
    <t xml:space="preserve">Fondation du patrimoine — page projet « Château de Bas à Champigneulles » (Meurthe-et-Moselle), Loto du patrimoine 2022</t>
  </si>
  <si>
    <t xml:space="preserve">https://www.fondation-patrimoine.org/les-projets/chateau-de-bas-a-champigneulles/79953</t>
  </si>
  <si>
    <t xml:space="preserve">§2 montants, §6 Loto du patrimoine</t>
  </si>
  <si>
    <t xml:space="preserve">R1-13</t>
  </si>
  <si>
    <t xml:space="preserve">Fondation du patrimoine — page projet « Les toitures du château de Vauville » (Manche, inscrit MH), Loto du patrimoine 2025</t>
  </si>
  <si>
    <t xml:space="preserve">https://www.fondation-patrimoine.org/les-projets/les-toitures-du-chateau-de-vauville/103583</t>
  </si>
  <si>
    <t xml:space="preserve">R1-14</t>
  </si>
  <si>
    <t xml:space="preserve">Fondation du patrimoine — page projet « Château de Montautre à Fromental »</t>
  </si>
  <si>
    <t xml:space="preserve">https://www.fondation-patrimoine.org/les-projets/chateau-de-montautre-a-fromental/78692</t>
  </si>
  <si>
    <t xml:space="preserve">R1-15</t>
  </si>
  <si>
    <t xml:space="preserve">Fondation du patrimoine — page projet « Château de Grainville » (Eure)</t>
  </si>
  <si>
    <t xml:space="preserve">https://www.fondation-patrimoine.org/les-projets/chateau-de-grainville/80357</t>
  </si>
  <si>
    <t xml:space="preserve">R1-16</t>
  </si>
  <si>
    <t xml:space="preserve">Fondation du patrimoine — page projet « Château de Meung-sur-Loire » (Loiret), Loto du patrimoine</t>
  </si>
  <si>
    <t xml:space="preserve">https://www.fondation-patrimoine.org/les-projets/chateau-de-meung-sur-loire/67394</t>
  </si>
  <si>
    <t xml:space="preserve">R1-17</t>
  </si>
  <si>
    <t xml:space="preserve">Ministère de la Culture, DRAC Grand Est — « Le donjon du château fort de Sedan en restauration » (7 juin 2024)</t>
  </si>
  <si>
    <t xml:space="preserve">https://www.culture.gouv.fr/regions/drac-grand-est/actu/an/2024/le-donjon-du-chateau-fort-de-sedan-en-restauration</t>
  </si>
  <si>
    <t xml:space="preserve">site officiel (ministère)</t>
  </si>
  <si>
    <t xml:space="preserve">§2 montant de chantier, §6 taux DRAC</t>
  </si>
  <si>
    <t xml:space="preserve">R1-18</t>
  </si>
  <si>
    <t xml:space="preserve">Ministère de la Culture (sous-direction des MH) — « Ouvrages de couverture – Ardoises. Fascicule technique, CCTP, bordereau de prix unitaire, mode de métré » (août 2011, 132 p.)</t>
  </si>
  <si>
    <t xml:space="preserve">https://www.culture.gouv.fr/content/download/50134/file/GuideMoaMoe_Couverture_Ardoises_20110801.pdf</t>
  </si>
  <si>
    <t xml:space="preserve">guide technique officiel</t>
  </si>
  <si>
    <t xml:space="preserve">§2 entretien des couvertures (aucun prix dans le bordereau)</t>
  </si>
  <si>
    <t xml:space="preserve">R1-19</t>
  </si>
  <si>
    <t xml:space="preserve">Ville de Bayonne — délibération n° 43 du 18 juillet 2019 « Église Saint-André – Réfection à l'identique de la couverture de la chapelle de l'Adoration »</t>
  </si>
  <si>
    <t xml:space="preserve">https://www.bayonne.fr/fileadmin/medias/Publications/Deliberations/Conseil_municipal_du_18_juillet_2019/N___43_-_PATRIMOINE_IMMOBILIER_-_Eglise_Saint-Andre_-_Refection_couverture_chapelle_de_l_Adoration_-_Autorisation_depot_declaration_prealable_correspondante.pdf</t>
  </si>
  <si>
    <t xml:space="preserve">délibération municipale</t>
  </si>
  <si>
    <t xml:space="preserve">§2 (aucun montant : document sans donnée chiffrée)</t>
  </si>
  <si>
    <t xml:space="preserve">R1-20</t>
  </si>
  <si>
    <t xml:space="preserve">La Maison Saint-Gobain — « Les avantages d'une toiture en zinc » (mis à jour le 4 décembre 2025)</t>
  </si>
  <si>
    <t xml:space="preserve">https://www.lamaisonsaintgobain.fr/guides-travaux/toiture-charpente/les-avantages-d-une-toiture-en-zinc</t>
  </si>
  <si>
    <t xml:space="preserve">site d'un industriel (contenu commercial)</t>
  </si>
  <si>
    <t xml:space="preserve">§2 durées de vie couvertures</t>
  </si>
  <si>
    <t xml:space="preserve">SDES / ONRE — « Le parc de logements par classe de performance énergétique au 1er janvier 2025 » (novembre 2025, 9 p.)</t>
  </si>
  <si>
    <t xml:space="preserve">https://www.locservice.fr/actualites/wp-content/uploads/statistiques-sdes-rapport-15-onre-parc-logements-dpe-1er-janvier-2025-nov2025.pdf</t>
  </si>
  <si>
    <t xml:space="preserve">statistique publique (copie du PDF officiel hébergée par un tiers)</t>
  </si>
  <si>
    <t xml:space="preserve">§3 énergie (bâti d'avant 1948, fioul)</t>
  </si>
  <si>
    <t xml:space="preserve">R1-22</t>
  </si>
  <si>
    <t xml:space="preserve">Hellio (blog) — « Quelle énergie est la moins chère pour se chauffer ? » (mis à jour le 27 janvier 2025), tableau des prix 2018-2023 repris de l'enquête ADEME sur les prix des combustibles bois 2023</t>
  </si>
  <si>
    <t xml:space="preserve">https://particulier.hellio.com/blog/conseils/energie-moins-chere</t>
  </si>
  <si>
    <t xml:space="preserve">site commercial reprenant une source publique (ADEME)</t>
  </si>
  <si>
    <t xml:space="preserve">§3 prix des énergies 2018-2023</t>
  </si>
  <si>
    <t xml:space="preserve">R1-23</t>
  </si>
  <si>
    <t xml:space="preserve">ADEME Librairie — fiches « Enquête sur les prix des combustibles bois en 2023 » et « … en 2024 » (édition 05/2025, mise en ligne 29/10/2025) — PDF accessibles seulement contre adresse e-mail (non téléchargés)</t>
  </si>
  <si>
    <t xml:space="preserve">https://librairie.ademe.fr/energies/8718-enquete-sur-les-prix-des-combustibles-bois-en-2024.html</t>
  </si>
  <si>
    <t xml:space="preserve">agence publique (fiche catalogue)</t>
  </si>
  <si>
    <t xml:space="preserve">§3 (aucun chiffre sur la fiche)</t>
  </si>
  <si>
    <t xml:space="preserve">Service-public.gouv.fr — actualité « Quelle évolution pour votre facture d'électricité au 1er août ? » (21 juillet 2026)</t>
  </si>
  <si>
    <t xml:space="preserve">https://www.service-public.gouv.fr/particuliers/actualites/A18776</t>
  </si>
  <si>
    <t xml:space="preserve">site officiel (DILA)</t>
  </si>
  <si>
    <t xml:space="preserve">§3 électricité TRVE 2026</t>
  </si>
  <si>
    <t xml:space="preserve">R1-25</t>
  </si>
  <si>
    <t xml:space="preserve">Service-public.gouv.fr — actualité « Le prix repère de vente de gaz va augmenter de 6,6 % en novembre » (12 octobre 2026)</t>
  </si>
  <si>
    <t xml:space="preserve">https://www.service-public.gouv.fr/particuliers/actualites/A17956</t>
  </si>
  <si>
    <t xml:space="preserve">§3 gaz 2026</t>
  </si>
  <si>
    <t xml:space="preserve">Le Figaro (A. Michel) — « Comment assurer un bien exceptionnel ? » (25 février 2020), coupure de presse hébergée par le Groupe Mercure</t>
  </si>
  <si>
    <t xml:space="preserve">https://groupe-mercure.fr/wp-content/uploads/2022/11/2020-02-25-wwwlefigarofr-assurer-bien-exceptionnel.pdf</t>
  </si>
  <si>
    <t xml:space="preserve">presse nationale (propos d'un courtier, SLA-Verspieren)</t>
  </si>
  <si>
    <t xml:space="preserve">§4 assurance (prime minimale, valeur de reconstruction)</t>
  </si>
  <si>
    <t xml:space="preserve">France Épargne — « Assurance château 2026 : 15 000 à 30 000 €/an (600 m² et +) » (21 novembre 2025, mis à jour le 25 mai 2026)</t>
  </si>
  <si>
    <t xml:space="preserve">https://www.france-epargne.fr/academy/assurance-patrimoine/assurance-chateau-le-guide-complet-2025</t>
  </si>
  <si>
    <t xml:space="preserve">site d'un courtier (contenu commercial, chiffres non sourcés)</t>
  </si>
  <si>
    <t xml:space="preserve">§4 assurance (taux 5 ‰, primes par surface, coût de reconstruction), §2 toiture</t>
  </si>
  <si>
    <t xml:space="preserve">R1-28</t>
  </si>
  <si>
    <t xml:space="preserve">Assemblée nationale — Question écrite n° 12985 (T. Frappé) « Difficultés d'assurance et fermeture au public du château d'Olhain », QE publiée au JO le 17 février 2026, réponse le 28 avril 2026</t>
  </si>
  <si>
    <t xml:space="preserve">https://questions.assemblee-nationale.fr/dyn/17/questions/QANR5L17QE12985.pdf</t>
  </si>
  <si>
    <t xml:space="preserve">document parlementaire officiel</t>
  </si>
  <si>
    <t xml:space="preserve">§4 assurance, contre-exemples</t>
  </si>
  <si>
    <t xml:space="preserve">R1-29</t>
  </si>
  <si>
    <t xml:space="preserve">France Épargne — actualité « Châteaux et demeures de prestige : la nouvelle carte des argiles et la surprime CatNat alourdissent la facture » (7 juillet 2026)</t>
  </si>
  <si>
    <t xml:space="preserve">https://www.france-epargne.fr/news/chateaux-et-demeures-de-prestige-la-nouvelle-carte-des-argiles-et-la-surprime-catnat-alourdissent-la.md</t>
  </si>
  <si>
    <t xml:space="preserve">site d'un courtier (reprend l'arrêté du 22 décembre 2023 et France Assureurs)</t>
  </si>
  <si>
    <t xml:space="preserve">§4 assurance (surprime CatNat), §7 imprévus</t>
  </si>
  <si>
    <t xml:space="preserve">R1-30</t>
  </si>
  <si>
    <t xml:space="preserve">Service-public.gouv.fr — fiche F59 « Taxe foncière sur les propriétés bâties » (vérifiée le 25 septembre 2026)</t>
  </si>
  <si>
    <t xml:space="preserve">https://www.service-public.gouv.fr/particuliers/vosdroits/F59</t>
  </si>
  <si>
    <t xml:space="preserve">§5 taxe foncière (calcul)</t>
  </si>
  <si>
    <t xml:space="preserve">R1-31</t>
  </si>
  <si>
    <t xml:space="preserve">La Demeure Historique — fiche fiscalité F/7 « Impôts locaux : un monument historique est-il une maison exceptionnelle ? » (juin 2003, PDF 2012)</t>
  </si>
  <si>
    <t xml:space="preserve">https://www.demeure-historique.org/wp-content/uploads/2024/04/2-MH-et-maisons-exceptionnelles.pdf</t>
  </si>
  <si>
    <t xml:space="preserve">fiche technique d'association (jurisprudence 2000 et 2003)</t>
  </si>
  <si>
    <t xml:space="preserve">§5 taxe foncière (valeur locative des MH)</t>
  </si>
  <si>
    <t xml:space="preserve">French-Property.com — annonce n° 249493 (Prestige Property Group), château « historic monument » à Erny-Saint-Julien (62), 512 m² habitables, 6,56 ha, charges annuelles déclarées (annonce retirée, date non indiquée)</t>
  </si>
  <si>
    <t xml:space="preserve">https://french-property.com/sale-property/127-249493</t>
  </si>
  <si>
    <t xml:space="preserve">annonce immobilière (déclaratif du vendeur)</t>
  </si>
  <si>
    <t xml:space="preserve">§4, §5, §9 exemple de charges réelles d'un petit château</t>
  </si>
  <si>
    <t xml:space="preserve">R1-33</t>
  </si>
  <si>
    <t xml:space="preserve">Assemblée nationale — Avis n° 2043, tome III (commission des affaires culturelles, rapporteur J. Patrier-Leitus) sur le PLF 2026, mission Culture, programme 175 « Patrimoines » (enregistré le 29 octobre 2025)</t>
  </si>
  <si>
    <t xml:space="preserve">https://www.assemblee-nationale.fr/dyn/opendata/AVISANR5L17B2043-tIII.html</t>
  </si>
  <si>
    <t xml:space="preserve">rapport parlementaire officiel</t>
  </si>
  <si>
    <t xml:space="preserve">§6 programme 175 2026, FIP, MH en péril</t>
  </si>
  <si>
    <t xml:space="preserve">R1-34</t>
  </si>
  <si>
    <t xml:space="preserve">Sénat — « L'essentiel sur… PLF 2026 – L'avis de la commission sur les crédits du programme Patrimoines » (avis a25-144 tome 21, 3 décembre 2025, 10 p.)</t>
  </si>
  <si>
    <t xml:space="preserve">https://www.senat.fr/rap/a25-144-21/a25-144-21-syn.pdf</t>
  </si>
  <si>
    <t xml:space="preserve">§6 taux moyens DRAC 2025, programme 175 2026, Loto du patrimoine, état sanitaire des MH</t>
  </si>
  <si>
    <t xml:space="preserve">R1-35</t>
  </si>
  <si>
    <t xml:space="preserve">Ministère de la Culture — « Bilans des sinistres dans les monuments historiques » (chiffres 2025 et 2013-2025 vus seulement dans le résultat de recherche, page non ouverte : URL d'origine en 404)</t>
  </si>
  <si>
    <t xml:space="preserve">https://www.culture.gouv.fr/switchToLanguage/419505/fre-FR</t>
  </si>
  <si>
    <t xml:space="preserve">§7 sinistres</t>
  </si>
  <si>
    <t xml:space="preserve">R1-36</t>
  </si>
  <si>
    <t xml:space="preserve">Service-public.gouv.fr — fiche F447 « Assainissement des eaux usées domestiques » (vérifiée le 12 décembre 2025)</t>
  </si>
  <si>
    <t xml:space="preserve">https://www.service-public.gouv.fr/particuliers/vosdroits/F447</t>
  </si>
  <si>
    <t xml:space="preserve">§8 postes techniques (SPANC)</t>
  </si>
  <si>
    <t xml:space="preserve">R1-37</t>
  </si>
  <si>
    <t xml:space="preserve">Banque centrale européenne — taux de référence EUR/GBP (dernier taux 0,84385 au 14 octobre 2026)</t>
  </si>
  <si>
    <t xml:space="preserve">https://www.ecb.europa.eu/stats/policy_and_exchange_rates/euro_reference_exchange_rates/html/eurofxref-graph-gbp.en.html</t>
  </si>
  <si>
    <t xml:space="preserve">statistique officielle (BCE)</t>
  </si>
  <si>
    <t xml:space="preserve">§1.2 et §9 conversion £/€</t>
  </si>
  <si>
    <t xml:space="preserve">R1-38</t>
  </si>
  <si>
    <t xml:space="preserve">Service-public.gouv.fr — fiche F16096 « Diagnostic immobilier : diagnostic de performance énergétique (DPE) » (vérifiée le 1er janvier 2026)</t>
  </si>
  <si>
    <t xml:space="preserve">https://www.service-public.gouv.fr/particuliers/vosdroits/F16096</t>
  </si>
  <si>
    <t xml:space="preserve">§3 énergie (MH hors champ du DPE)</t>
  </si>
  <si>
    <t xml:space="preserve">R1-39</t>
  </si>
  <si>
    <t xml:space="preserve">Quelle Énergie — « Isolation de la toiture : la toiture en ardoise » (prix indicatif de l'ardoise posée) — vu seulement dans un résultat de recherche</t>
  </si>
  <si>
    <t xml:space="preserve">https://www.quelleenergie.fr/economies-energie/isolation-toiture/ardoise</t>
  </si>
  <si>
    <t xml:space="preserve">site commercial grand public</t>
  </si>
  <si>
    <t xml:space="preserve">§2.3 prix grand public (non retenu)</t>
  </si>
  <si>
    <t xml:space="preserve">R1-40</t>
  </si>
  <si>
    <t xml:space="preserve">Ootravaux — « Prix réparation toiture ardoise » — vu seulement dans un résultat de recherche</t>
  </si>
  <si>
    <t xml:space="preserve">https://www.ootravaux.fr/construction-renovation/toiture/couverture/prix-reparation-toiture-ardoise.html</t>
  </si>
  <si>
    <t xml:space="preserve">R1-41</t>
  </si>
  <si>
    <t xml:space="preserve">Ootravaux — « Prix toiture m2 » — vu seulement dans un résultat de recherche</t>
  </si>
  <si>
    <t xml:space="preserve">https://www.ootravaux.fr/construction-renovation/toiture/couverture/travaux-toiture/prix-toiture-m2.html</t>
  </si>
  <si>
    <t xml:space="preserve">R1-42</t>
  </si>
  <si>
    <t xml:space="preserve">TotalEnergies — « Quelle est la durée de vie d'une chaudière ? » — vu seulement dans un résultat de recherche</t>
  </si>
  <si>
    <t xml:space="preserve">https://www.totalenergies.fr/particuliers/parlons-energie/dossiers-energie/chauffage-et-climatisation/quelle-est-la-duree-de-vie-d-une-chaudiere</t>
  </si>
  <si>
    <t xml:space="preserve">site d'un fournisseur d'énergie</t>
  </si>
  <si>
    <t xml:space="preserve">§2.5 durées de vie</t>
  </si>
  <si>
    <t xml:space="preserve">R1-43</t>
  </si>
  <si>
    <t xml:space="preserve">MoneyPark / ImmoWorld (Helvetia) — « Tableau des durées de vie » (PDF, ouverture en erreur 504, chiffres vus seulement dans un résultat de recherche)</t>
  </si>
  <si>
    <t xml:space="preserve">https://www.moneypark.ch/content/dam/os/ch/web/documents/immoworld/tableau-des-durees-de-vie.pdf</t>
  </si>
  <si>
    <t xml:space="preserve">document commercial (Suisse)</t>
  </si>
  <si>
    <t xml:space="preserve">R2-01</t>
  </si>
  <si>
    <t xml:space="preserve">Smic : montant (Service-public.gouv.fr, fiche F2300, vérifiée le 01/06/2026)</t>
  </si>
  <si>
    <t xml:space="preserve">https://www.service-public.gouv.fr/particuliers/vosdroits/F2300</t>
  </si>
  <si>
    <t xml:space="preserve">§1.1</t>
  </si>
  <si>
    <t xml:space="preserve">R2-02</t>
  </si>
  <si>
    <t xml:space="preserve">Réduction générale dégressive unique (RGDU) des cotisations patronales (entreprendre.service-public.gouv.fr, fiche F24542, vérifiée le 15/06/2026)</t>
  </si>
  <si>
    <t xml:space="preserve">https://entreprendre.service-public.gouv.fr/vosdroits/F24542</t>
  </si>
  <si>
    <t xml:space="preserve">§1.1 §1.2 §1.3</t>
  </si>
  <si>
    <t xml:space="preserve">R2-03</t>
  </si>
  <si>
    <t xml:space="preserve">Particuliers employeurs : les grilles de salaires (fiche-paie.net, avenant n°10 du 5 février 2026, article mis à jour le 14/08/2026)</t>
  </si>
  <si>
    <t xml:space="preserve">https://www.fiche-paie.net/page/particuliers-employeurs-les-grilles-de-salaires</t>
  </si>
  <si>
    <t xml:space="preserve">site spécialisé paie (secondaire)</t>
  </si>
  <si>
    <t xml:space="preserve">§1.4 §2.2</t>
  </si>
  <si>
    <t xml:space="preserve">R2-04</t>
  </si>
  <si>
    <t xml:space="preserve">Employés de maison : ce que change la hausse du Smic en 2026 (L'Écho du mardi, M. Hurlin, 16/01/2026)</t>
  </si>
  <si>
    <t xml:space="preserve">https://www.echodumardi.com/juridique/employes-de-maison-ce-que-change-la-hausse-du-smic-en-2026/</t>
  </si>
  <si>
    <t xml:space="preserve">presse régionale</t>
  </si>
  <si>
    <t xml:space="preserve">§1.1 §1.4</t>
  </si>
  <si>
    <t xml:space="preserve">R2-05</t>
  </si>
  <si>
    <t xml:space="preserve">Grille des salaires du personnel des centres équestres en 2026 (Juristique, avenant n°6 du 20/01/2026, IDCC 7026)</t>
  </si>
  <si>
    <t xml:space="preserve">https://www.juristique.org/conventionnel/salaires-centres-equestres-2026</t>
  </si>
  <si>
    <t xml:space="preserve">site juridique (secondaire)</t>
  </si>
  <si>
    <t xml:space="preserve">R2-06</t>
  </si>
  <si>
    <t xml:space="preserve">Résultat de recherche : CCN des personnels des activités hippiques du 16/11/2023 (IDCC 7026) regroupant les CCN 7012, 7013 et 7014 (Legisocial, Juritravail)</t>
  </si>
  <si>
    <t xml:space="preserve">https://www.legisocial.fr/conventions-collectives-nationales/7026-personnel-des-activites-hippiques/</t>
  </si>
  <si>
    <t xml:space="preserve">§1.4</t>
  </si>
  <si>
    <t xml:space="preserve">R2-07</t>
  </si>
  <si>
    <t xml:space="preserve">Avenant n°46 du 17 septembre 2025 à la CCN des entreprises du paysage du 10 octobre 2008 (IDCC 7018, NOR AGRS2597131M), copie PDF hébergée par Tripalio</t>
  </si>
  <si>
    <t xml:space="preserve">https://presse.tripalio.fr/wp-content/uploads/2025/11/IDCC-7018-17-09-2025.pdf</t>
  </si>
  <si>
    <t xml:space="preserve">texte conventionnel (copie)</t>
  </si>
  <si>
    <t xml:space="preserve">R2-08</t>
  </si>
  <si>
    <t xml:space="preserve">Résultat de recherche : extension de l'avenant n°46 paysage par arrêté du 11/12/2025 publié au JO du 26/12/2025 (attribution incertaine parmi les résultats salerya.fr, travail-industrie.com, fiche-paie.net : URL = résultat le plus proche, non ouvert)</t>
  </si>
  <si>
    <t xml:space="preserve">https://travail-industrie.com/outils/conventions-collectives/entreprises-paysage-grille-salaires-deplacements-droits-idcc-7018</t>
  </si>
  <si>
    <t xml:space="preserve">site spécialisé (secondaire)</t>
  </si>
  <si>
    <t xml:space="preserve">R2-09</t>
  </si>
  <si>
    <t xml:space="preserve">Salaires applicables dans les CUMA à compter du 1er mai 2026 (FD CUMA 53, 07/04/2026, d'après la CCN Production agricole et CUMA, avenant n°10)</t>
  </si>
  <si>
    <t xml:space="preserve">https://mayenne.cuma.fr/app/uploads/sites/52/2026/01/02-grille-smc-01-05-2026.pdf</t>
  </si>
  <si>
    <t xml:space="preserve">organisation professionnelle agricole</t>
  </si>
  <si>
    <t xml:space="preserve">R2-10</t>
  </si>
  <si>
    <t xml:space="preserve">Résultat de recherche : avenant n°11 du 2 juillet 2026 production agricole (+1,96 % en moyenne, non étendu) selon Juristique</t>
  </si>
  <si>
    <t xml:space="preserve">https://www.juristique.org/conventionnel/salaires-production-agricole-cuma-2026</t>
  </si>
  <si>
    <t xml:space="preserve">Simulateur officiel URSSAF mon-entreprise, API publique /api/v1/evaluate (calcul du coût employeur, règles au 01/07/2026, 35 requêtes POST sans compte ni donnée personnelle, scripts conservés dans le scratchpad de session)</t>
  </si>
  <si>
    <t xml:space="preserve">https://mon-entreprise.urssaf.fr/api/v1/evaluate</t>
  </si>
  <si>
    <t xml:space="preserve">outil officiel (URSSAF), calcul</t>
  </si>
  <si>
    <t xml:space="preserve">§1.2 §1.3 §9</t>
  </si>
  <si>
    <t xml:space="preserve">R2-12</t>
  </si>
  <si>
    <t xml:space="preserve">Emploi à domicile : l'employeur peut-il être exonéré des cotisations sociales ? (Service-public.gouv.fr F12384, vérifiée le 01/06/2026)</t>
  </si>
  <si>
    <t xml:space="preserve">https://www.service-public.gouv.fr/particuliers/vosdroits/F12384</t>
  </si>
  <si>
    <t xml:space="preserve">§1.5 §9.1</t>
  </si>
  <si>
    <t xml:space="preserve">R2-13</t>
  </si>
  <si>
    <t xml:space="preserve">Impôt sur le revenu - Crédit d'impôt pour l'emploi d'un salarié à domicile (Service-public.gouv.fr F12, vérifiée le 15/04/2026)</t>
  </si>
  <si>
    <t xml:space="preserve">https://www.service-public.gouv.fr/particuliers/vosdroits/F12</t>
  </si>
  <si>
    <t xml:space="preserve">§1.5</t>
  </si>
  <si>
    <t xml:space="preserve">R2-14</t>
  </si>
  <si>
    <t xml:space="preserve">Rapport d'activité équi-ressources 2022 (IFCE / équi-ressources, PDF de mars 2023, texte extrait avec pdftotext)</t>
  </si>
  <si>
    <t xml:space="preserve">https://agrorientation.com/uploads/files/Filieres/cheval/Rapport_activite_equiressources_2022.pdf</t>
  </si>
  <si>
    <t xml:space="preserve">rapport d'organisme public (IFCE)</t>
  </si>
  <si>
    <t xml:space="preserve">§2.1 §10</t>
  </si>
  <si>
    <t xml:space="preserve">R2-15</t>
  </si>
  <si>
    <t xml:space="preserve">Dans le secret des jardins de Villandry (France.fr, Atout France, 17/01/2024)</t>
  </si>
  <si>
    <t xml:space="preserve">https://www.france.fr/fr/article/l'importance-et-la-particularite-des-jardins-dans-le-val-de-loire/</t>
  </si>
  <si>
    <t xml:space="preserve">site institutionnel tourisme (Atout France)</t>
  </si>
  <si>
    <t xml:space="preserve">§3.1 §9</t>
  </si>
  <si>
    <t xml:space="preserve">R2-16</t>
  </si>
  <si>
    <t xml:space="preserve">La gestion différenciée : méthodologie de mise en œuvre, fiche de synthèse (Plante &amp; Cité, B. Chassaing, mai 2014, mise à jour 2021) - aucun chiffre de coût</t>
  </si>
  <si>
    <t xml:space="preserve">https://plante-et-cite.fr/files/ressource/file:1807</t>
  </si>
  <si>
    <t xml:space="preserve">organisme technique national (Plante &amp; Cité)</t>
  </si>
  <si>
    <t xml:space="preserve">§3.2</t>
  </si>
  <si>
    <t xml:space="preserve">R2-17</t>
  </si>
  <si>
    <t xml:space="preserve">IFCE Observatoire économique et social du cheval, Fiche n°1 « Cheval d'extérieur hébergé au pré au domicile du particulier » (données 2011-2012, anciennes, PDF texte extrait)</t>
  </si>
  <si>
    <t xml:space="preserve">https://www.ifce.fr/wp-content/uploads/2015/06/OESC_Entretien_FICHE_1.pdf</t>
  </si>
  <si>
    <t xml:space="preserve">organisme public (IFCE)</t>
  </si>
  <si>
    <t xml:space="preserve">§5.3 §6.1 §8.1</t>
  </si>
  <si>
    <t xml:space="preserve">R2-18</t>
  </si>
  <si>
    <t xml:space="preserve">IFCE Observatoire économique et social du cheval, Fiche n°4 « Cheval de compétition amateur hébergé en pension box » (données 2011-2012, anciennes, PDF texte extrait)</t>
  </si>
  <si>
    <t xml:space="preserve">https://www.ifce.fr/wp-content/uploads/2015/06/OESC-Entretien-FICHE_4.pdf</t>
  </si>
  <si>
    <t xml:space="preserve">§4.2 §6.1 §9.5</t>
  </si>
  <si>
    <t xml:space="preserve">R2-19</t>
  </si>
  <si>
    <t xml:space="preserve">Résultat de recherche : fiche de la préfecture de Maine-et-Loire « obligation à tout détenteur d'équidés » (coût annuel d'un cheval au pré 650 à 1 300 €)</t>
  </si>
  <si>
    <t xml:space="preserve">https://www.maine-et-loire.gouv.fr/contenu/telechargement/13907/95734/file/obligation_a_tout_detenteur_d_equides.pdf</t>
  </si>
  <si>
    <t xml:space="preserve">site officiel (préfecture)</t>
  </si>
  <si>
    <t xml:space="preserve">§6.1</t>
  </si>
  <si>
    <t xml:space="preserve">R2-20</t>
  </si>
  <si>
    <t xml:space="preserve">Arrêté préfectoral de l'Aveyron n°12-2025-09-29-00003 du 29/09/2025 constatant l'indice des fermages 2025 et les minima et maxima 2025-2026 (copie PDF hébergée par la commune de Laguiole)</t>
  </si>
  <si>
    <t xml:space="preserve">https://www.laguiole12.fr/uploads/sites/81/2025/11/arrete-prefectoral-indice-fermages-2025.pdf</t>
  </si>
  <si>
    <t xml:space="preserve">texte officiel (préfecture)</t>
  </si>
  <si>
    <t xml:space="preserve">§5.1</t>
  </si>
  <si>
    <t xml:space="preserve">R2-21</t>
  </si>
  <si>
    <t xml:space="preserve">Résultat de recherche : barème 2024 de la Chambre d'agriculture de l'Yonne (foin départ ferme 102-107 €/t brute en prairie naturelle, 117-127 €/t en luzerne) - PDF devenu 404</t>
  </si>
  <si>
    <t xml:space="preserve">https://bourgognefranchecomte.chambres-agriculture.fr/fileadmin/user_upload/Bourgogne-Franche-Comte/061_Inst-Bourgogne-Franche-Comte/CA89/Foncier/Baremes-2024.pdf</t>
  </si>
  <si>
    <t xml:space="preserve">organisme agricole (chambre)</t>
  </si>
  <si>
    <t xml:space="preserve">§5.2 §9.5</t>
  </si>
  <si>
    <t xml:space="preserve">R2-22</t>
  </si>
  <si>
    <t xml:space="preserve">Résultat de recherche : Synthèse prix fourrages 2024, Chambre d'agriculture Nouvelle-Aquitaine (foin sur pied 64-69 €/t, paille 70 €/t dans le calcul) - PDF devenu 404</t>
  </si>
  <si>
    <t xml:space="preserve">https://cmds.chambre-agriculture.fr/fileadmin/user_upload/Nouvelle-Aquitaine/208_Inst-cmds/Actualites/2024/Documents/Synthese_prix_fourrages_2024.pdf</t>
  </si>
  <si>
    <t xml:space="preserve">R2-23</t>
  </si>
  <si>
    <t xml:space="preserve">Résultat de recherche : barème 2025 Chambre d'agriculture Hauts-de-France (paille en andain 25-30 €/t, fumier bovin en tas 18-22 €/t) - attribution incertaine : URL = résultat le plus proche, non ouvert</t>
  </si>
  <si>
    <t xml:space="preserve">https://reussir.fr/grandes-cultures/echange-paille-fumier-2023-comment-definir-les-modalites</t>
  </si>
  <si>
    <t xml:space="preserve">presse agricole / chambre (non ouvert)</t>
  </si>
  <si>
    <t xml:space="preserve">§5.2 §8.3</t>
  </si>
  <si>
    <t xml:space="preserve">R2-24</t>
  </si>
  <si>
    <t xml:space="preserve">IFCE / REFE, 4e journée du Réseau économique de la filière équine (19/01/2011) : « Un système d'alimentation avec des coûts maîtrisés dans une écurie de pensions » (P. et A. Artaud, Hérault, données 2008-2010, cas unique, PDF texte extrait)</t>
  </si>
  <si>
    <t xml:space="preserve">https://www.ifce.fr/wp-content/uploads/2015/07/OESC-2012Temoignage-Systeme_couts_maitrises_Artaud.pdf</t>
  </si>
  <si>
    <t xml:space="preserve">organisme public (IFCE), témoignage d'exploitant</t>
  </si>
  <si>
    <t xml:space="preserve">§6.2 §6.3 §9 §10</t>
  </si>
  <si>
    <t xml:space="preserve">R2-25</t>
  </si>
  <si>
    <t xml:space="preserve">Résultat de recherche : monographie Réseau Équin / Idele (données 2019) - centre équestre + pension, 3 UMO, 54 équidés dont 25 en pension, carrière 30 x 60 m, manège 43 x 20 m (PDF protégé, non ouvert)</t>
  </si>
  <si>
    <t xml:space="preserve">https://idele.fr/fileadmin/medias/Documents/Monographie_d_exploitation_equine_1.pdf</t>
  </si>
  <si>
    <t xml:space="preserve">organisme technique (Idele / Réseau Équin)</t>
  </si>
  <si>
    <t xml:space="preserve">§6.3 §9</t>
  </si>
  <si>
    <t xml:space="preserve">R2-26</t>
  </si>
  <si>
    <t xml:space="preserve">Résultat de recherche : Chambres d'agriculture Hauts-de-France « pension hébergement » (environ 1 000 € par box en aménagement de bâtiment existant avec autoconstruction, entretien prairie hors récolte environ 185 €/ha/an, données 2008) - PDF devenu 404</t>
  </si>
  <si>
    <t xml:space="preserve">https://hautsdefrance.chambres-agriculture.fr/fileadmin/user_upload/National/FAL_commun/publications/Hauts-de-France/pension_hebergement.pdf</t>
  </si>
  <si>
    <t xml:space="preserve">§5.3 §7</t>
  </si>
  <si>
    <t xml:space="preserve">Combien coûte la construction d'un manège équestre ? (HelloPro, guide d'achat, « chiffres constatés en octobre 2026 », HT ou TTC non précisé)</t>
  </si>
  <si>
    <t xml:space="preserve">https://conseils.hellopro.fr/combien-coute-la-construction-d-un-manege-equestre-4612.html</t>
  </si>
  <si>
    <t xml:space="preserve">site commercial (place de marché B2B)</t>
  </si>
  <si>
    <t xml:space="preserve">§7 §9.5</t>
  </si>
  <si>
    <t xml:space="preserve">Combien coûte un box pour cheval ? (HelloPro, guide d'achat, « chiffres constatés en octobre 2026 », HT ou TTC non précisé)</t>
  </si>
  <si>
    <t xml:space="preserve">https://conseils.hellopro.fr/combien-coute-un-box-pour-cheval-4665.html</t>
  </si>
  <si>
    <t xml:space="preserve">R2-29</t>
  </si>
  <si>
    <t xml:space="preserve">Résultat de recherche : référentiel prix bâtiment équin, Chambre d'agriculture de Normandie (PDF non lu : réseau des chambres « actuellement en maintenance » le 14/10/2026)</t>
  </si>
  <si>
    <t xml:space="preserve">https://refonte-normandie.chambres-agriculture.fr/fileadmin/user_upload/National/FAL_commun/publications/Normandie/equin-referentiel-prix-batiment-Normandie.pdf</t>
  </si>
  <si>
    <t xml:space="preserve">§7</t>
  </si>
  <si>
    <t xml:space="preserve">Guide des coûts de revient des matériels en cuma, Édition Est 2025-2026 (FRCUMA Hauts-de-France, Grand Est, Centre-Val de Loire, BFC, AURA, PACA, parution octobre 2025, données comptables 2023-2024, pages lues en image)</t>
  </si>
  <si>
    <t xml:space="preserve">https://www.cuma.fr/app/uploads/sites/4/2026/01/guide-des-couts-de-revient-gpr-edition-est-2025-2026.pdf</t>
  </si>
  <si>
    <t xml:space="preserve">organisme professionnel agricole (réseau cuma)</t>
  </si>
  <si>
    <t xml:space="preserve">§4 §9.5 §10</t>
  </si>
  <si>
    <t xml:space="preserve">R2-31</t>
  </si>
  <si>
    <t xml:space="preserve">IFCE (P. Doligez), présentation « Gérer son fumier » (26/11/2020, références DEXEL Idele 2018, PDF texte extrait)</t>
  </si>
  <si>
    <t xml:space="preserve">https://www.ifce.fr/wp-content/uploads/2020/11/Gerer_son_fumier_26112020.pdf</t>
  </si>
  <si>
    <t xml:space="preserve">§8.3 §9.5</t>
  </si>
  <si>
    <t xml:space="preserve">R2-32</t>
  </si>
  <si>
    <t xml:space="preserve">MSA Auvergne, « La gestion du fumier de cheval - Fiches ressources filière équine » (sources IFCE, document postérieur à 2023, PDF texte extrait)</t>
  </si>
  <si>
    <t xml:space="preserve">https://auvergne.msa.fr/lfp/documents/98805/400893979/La+gestion+du+fumier+-+fili%C3%A8re+%C3%A9quine.pdf</t>
  </si>
  <si>
    <t xml:space="preserve">organisme public (MSA)</t>
  </si>
  <si>
    <t xml:space="preserve">§6.1 §8 §10</t>
  </si>
  <si>
    <t xml:space="preserve">R3-01</t>
  </si>
  <si>
    <t xml:space="preserve">Service-public : Impôt sur la fortune immobilière (IFI) : personnes et biens concernés (F563, vérifié le 06/03/2026)</t>
  </si>
  <si>
    <t xml:space="preserve">https://www.service-public.gouv.fr/particuliers/vosdroits/F563</t>
  </si>
  <si>
    <t xml:space="preserve">site officiel administration</t>
  </si>
  <si>
    <t xml:space="preserve">Q3 IFI</t>
  </si>
  <si>
    <t xml:space="preserve">R3-02</t>
  </si>
  <si>
    <t xml:space="preserve">BOFiP BOI-ANNX-000093-20181219 : tableau synthétique du régime des monuments historiques et immeubles labellisés Fondation du patrimoine</t>
  </si>
  <si>
    <t xml:space="preserve">https://bofip.impots.gouv.fr/bofip/1813-PGP.html/identifiant=BOI-ANNX-000093-20181219</t>
  </si>
  <si>
    <t xml:space="preserve">doctrine fiscale officielle</t>
  </si>
  <si>
    <t xml:space="preserve">Q1 MH</t>
  </si>
  <si>
    <t xml:space="preserve">R3-03</t>
  </si>
  <si>
    <t xml:space="preserve">BOFiP BOI-RFPI-SPEC-30-10-20181219 : monuments historiques et assimilés, immeubles concernés</t>
  </si>
  <si>
    <t xml:space="preserve">https://bofip.impots.gouv.fr/bofip/1951-PGP.html/identifiant=BOI-RFPI-SPEC-30-10-20181219</t>
  </si>
  <si>
    <t xml:space="preserve">R3-04</t>
  </si>
  <si>
    <t xml:space="preserve">BOFiP BOI-RFPI-SPEC-30-20-10-20181219 : MH, immeuble procurant des recettes imposables et non occupé par son propriétaire (export PDF, texte extrait)</t>
  </si>
  <si>
    <t xml:space="preserve">https://bofip.impots.gouv.fr/export/pdf/5746 (page : https://bofip.impots.gouv.fr/bofip/3427-PGP.html/identifiant=BOI-RFPI-SPEC-30-20-10-20181219)</t>
  </si>
  <si>
    <t xml:space="preserve">R3-05</t>
  </si>
  <si>
    <t xml:space="preserve">BOFiP BOI-RFPI-SPEC-30-20-20-20181219 : MH, immeuble ne procurant pas de recettes imposables</t>
  </si>
  <si>
    <t xml:space="preserve">https://bofip.impots.gouv.fr/doctrine/pgp/3429-PGP</t>
  </si>
  <si>
    <t xml:space="preserve">R3-06</t>
  </si>
  <si>
    <t xml:space="preserve">BOFiP BOI-RFPI-SPEC-30-30-20181219 : MH, conditions (conservation 15 ans, détention directe, copropriété)</t>
  </si>
  <si>
    <t xml:space="preserve">https://bofip.impots.gouv.fr/bofip/1935-PGP</t>
  </si>
  <si>
    <t xml:space="preserve">R3-07</t>
  </si>
  <si>
    <t xml:space="preserve">BOFiP BOI-RFPI-SPEC-30-20181219 : régime des monuments historiques et assimilés, présentation générale</t>
  </si>
  <si>
    <t xml:space="preserve">https://bofip.impots.gouv.fr/bofip/1817-PGP.html/identifiant%3DBOI-RFPI-SPEC-30-20181219</t>
  </si>
  <si>
    <t xml:space="preserve">R3-08</t>
  </si>
  <si>
    <t xml:space="preserve">Fondation du patrimoine : Défiscaliser vos travaux (label)</t>
  </si>
  <si>
    <t xml:space="preserve">https://www.fondation-patrimoine.org/c/soumettre-un-projet/defiscaliser-travaux/232</t>
  </si>
  <si>
    <t xml:space="preserve">site d'organisme reconnu d'utilité publique (Fondation du patrimoine)</t>
  </si>
  <si>
    <t xml:space="preserve">Q1 label FdP</t>
  </si>
  <si>
    <t xml:space="preserve">R3-09</t>
  </si>
  <si>
    <t xml:space="preserve">Fondation du patrimoine : Organiser une collecte de dons</t>
  </si>
  <si>
    <t xml:space="preserve">https://www.fondation-patrimoine.org/c/soumettre-un-projet/organiser-une-collecte/233</t>
  </si>
  <si>
    <t xml:space="preserve">Q4 mécénat</t>
  </si>
  <si>
    <t xml:space="preserve">R3-10</t>
  </si>
  <si>
    <t xml:space="preserve">BOFiP BOI-IR-RICI-250-10-20-30-20120912 : dons à la Fondation du patrimoine pour des immeubles privés (version en vigueur depuis 2012)</t>
  </si>
  <si>
    <t xml:space="preserve">https://bofip.impots.gouv.fr/bofip/5870-PGP</t>
  </si>
  <si>
    <t xml:space="preserve">haute (version de 2012 : vérifier l'article 200 CGI actuel)</t>
  </si>
  <si>
    <t xml:space="preserve">R3-11</t>
  </si>
  <si>
    <t xml:space="preserve">Sénat, avis PLF 2026 culture-patrimoines (a25-144-21, synthèse) — vu en résultat de recherche</t>
  </si>
  <si>
    <t xml:space="preserve">rapport parlementaire</t>
  </si>
  <si>
    <t xml:space="preserve">Q1 contexte subventions</t>
  </si>
  <si>
    <t xml:space="preserve">R3-12</t>
  </si>
  <si>
    <t xml:space="preserve">Assemblée nationale, amendement n° 885 PLF 2026 (exonération IFI et taxe foncière des MH ouverts au public) — vu en résultat de recherche, marqué « Rejeté »</t>
  </si>
  <si>
    <t xml:space="preserve">https://www.assemblee-nationale.fr/dyn/17/amendements/1906A/AN/885.pdf</t>
  </si>
  <si>
    <t xml:space="preserve">document parlementaire</t>
  </si>
  <si>
    <t xml:space="preserve">Q1 Q3</t>
  </si>
  <si>
    <t xml:space="preserve">R3-13</t>
  </si>
  <si>
    <t xml:space="preserve">BOFiP BOI-ENR-DMTG-10-20-30-60 (version du 06/11/2025) : exonération DMTG des monuments historiques (art. 795 A CGI)</t>
  </si>
  <si>
    <t xml:space="preserve">https://bofip.impots.gouv.fr/bofip/2318-PGP</t>
  </si>
  <si>
    <t xml:space="preserve">Q2 transmission</t>
  </si>
  <si>
    <t xml:space="preserve">R3-14</t>
  </si>
  <si>
    <t xml:space="preserve">BOFiP actualité ACTU-2023-00069 du 25/07/2023 : décret n° 2023-103 du 16/02/2023, convention type 795 A et conditions d'ouverture</t>
  </si>
  <si>
    <t xml:space="preserve">https://bofip.impots.gouv.fr/bofip/13906-PGP.html/ACTU-2023-00069</t>
  </si>
  <si>
    <t xml:space="preserve">R3-15</t>
  </si>
  <si>
    <t xml:space="preserve">Service-public : Calcul de l'impôt sur la fortune immobilière (IFI) (F138, vérifié le 06/03/2026)</t>
  </si>
  <si>
    <t xml:space="preserve">https://www.service-public.gouv.fr/particuliers/vosdroits/F138</t>
  </si>
  <si>
    <t xml:space="preserve">R3-16</t>
  </si>
  <si>
    <t xml:space="preserve">Service-public : Prélèvements sociaux (CSG, CRDS...) sur les revenus du patrimoine et de placements (F2329, vérifié le 30/06/2026)</t>
  </si>
  <si>
    <t xml:space="preserve">https://www.service-public.gouv.fr/particuliers/vosdroits/F2329</t>
  </si>
  <si>
    <t xml:space="preserve">Q5 PFU</t>
  </si>
  <si>
    <t xml:space="preserve">R3-17</t>
  </si>
  <si>
    <t xml:space="preserve">Que Choisir (O. Puren, 19/01/2026) : Hausse de la CSG, vos revenus sont-ils concernés ?</t>
  </si>
  <si>
    <t xml:space="preserve">https://www.quechoisir.org/actualite-hausse-de-la-csg-vos-revenus-sont-ils-concernes-n173786/</t>
  </si>
  <si>
    <t xml:space="preserve">presse consommateurs</t>
  </si>
  <si>
    <t xml:space="preserve">R3-18</t>
  </si>
  <si>
    <t xml:space="preserve">Simon Associés, Lettre de la fiscalité février 2026 : loi de finances pour 2026 (n° 2026-103 du 19/02/2026) (PDF ouvert, texte extrait localement)</t>
  </si>
  <si>
    <t xml:space="preserve">https://simonassocies.com/wp-content/uploads/2026/02/Lettre-de-la-Fiscalite-Fevrier-2026-Loi-de-finances-VDEF-1.pdf</t>
  </si>
  <si>
    <t xml:space="preserve">cabinet d'avocats</t>
  </si>
  <si>
    <t xml:space="preserve">Q5 holdings, Q1, Q6</t>
  </si>
  <si>
    <t xml:space="preserve">R3-19</t>
  </si>
  <si>
    <t xml:space="preserve">Eurex (ATH), Les principales mesures de la loi de finances 2026, février 2026 (PDF ouvert, texte extrait localement)</t>
  </si>
  <si>
    <t xml:space="preserve">https://www.eurex.fr/wp-content/uploads/2026/02/Eurex-Les-principales-mesures-de-la-loi-de-finances-2026-Fev-2026.pdf</t>
  </si>
  <si>
    <t xml:space="preserve">cabinet d'expertise comptable</t>
  </si>
  <si>
    <t xml:space="preserve">Q5 holdings</t>
  </si>
  <si>
    <t xml:space="preserve">R3-20</t>
  </si>
  <si>
    <t xml:space="preserve">Service-public Entreprendre : Impôt sur les sociétés (IS) : taux, déclaration, paiement (F23575, vérifié le 17/02/2026)</t>
  </si>
  <si>
    <t xml:space="preserve">https://entreprendre.service-public.gouv.fr/vosdroits/F23575</t>
  </si>
  <si>
    <t xml:space="preserve">Q5 IS</t>
  </si>
  <si>
    <t xml:space="preserve">R3-21</t>
  </si>
  <si>
    <t xml:space="preserve">Assemblée nationale, question écrite n° 4099 (R. Ramos) et réponse du ministère de l'Économie (JO 14/02/2023) : TVA 5,5 % des centres équestres (PDF, texte extrait)</t>
  </si>
  <si>
    <t xml:space="preserve">https://questions.assemblee-nationale.fr/dyn/16/questions/QANR5L16QE4099.pdf</t>
  </si>
  <si>
    <t xml:space="preserve">réponse ministérielle</t>
  </si>
  <si>
    <t xml:space="preserve">Q6 TVA équestre</t>
  </si>
  <si>
    <t xml:space="preserve">R3-22</t>
  </si>
  <si>
    <t xml:space="preserve">BOFiP BOI-TVA-SECT-80-10-30-50-20260325 : taux de TVA applicables aux opérations portant sur les équidés (version en vigueur depuis le 25/03/2026)</t>
  </si>
  <si>
    <t xml:space="preserve">https://bofip.impots.gouv.fr/bofip/9265-PGP.html/identifiant=BOI-TVA-SECT-80-10-30-50-20260325</t>
  </si>
  <si>
    <t xml:space="preserve">R3-23</t>
  </si>
  <si>
    <t xml:space="preserve">BOFiP BOI-TVA-LIQ-30-20-50-20251203 : taux réduit de 10 % des droits d'admission (expositions, sites, monuments) (version en vigueur depuis le 03/12/2025)</t>
  </si>
  <si>
    <t xml:space="preserve">https://bofip.impots.gouv.fr/bofip/250-PGP.html/identifiant=BOI-TVA-LIQ-30-20-50-20251203</t>
  </si>
  <si>
    <t xml:space="preserve">Q6 TVA visites, location de salles</t>
  </si>
  <si>
    <t xml:space="preserve">R3-24</t>
  </si>
  <si>
    <t xml:space="preserve">Service-public Entreprendre : Taux de TVA dans le secteur de l'hébergement et de l'hôtellerie (F37288, vérifié le 01/01/2024)</t>
  </si>
  <si>
    <t xml:space="preserve">https://entreprendre.service-public.gouv.fr/vosdroits/F37288</t>
  </si>
  <si>
    <t xml:space="preserve">Q6 TVA hébergement</t>
  </si>
  <si>
    <t xml:space="preserve">R3-25</t>
  </si>
  <si>
    <t xml:space="preserve">Service-public Entreprendre : Taux de TVA dans le secteur agricole (F37786, vérifié le 21/02/2026)</t>
  </si>
  <si>
    <t xml:space="preserve">https://entreprendre.service-public.gouv.fr/vosdroits/F37786</t>
  </si>
  <si>
    <t xml:space="preserve">Q6 TVA agricole</t>
  </si>
  <si>
    <t xml:space="preserve">R3-26</t>
  </si>
  <si>
    <t xml:space="preserve">Service-public Entreprendre : Taux de TVA dans le secteur des loisirs (culture, sport, etc.) (F37605, vérifié le 11/08/2026)</t>
  </si>
  <si>
    <t xml:space="preserve">https://entreprendre.service-public.gouv.fr/vosdroits/F37605</t>
  </si>
  <si>
    <t xml:space="preserve">Q6 TVA loisirs, équestre</t>
  </si>
  <si>
    <t xml:space="preserve">R3-27</t>
  </si>
  <si>
    <t xml:space="preserve">Service-public Entreprendre : Franchise en base de TVA (F21746, vérifié le 01/01/2026)</t>
  </si>
  <si>
    <t xml:space="preserve">https://entreprendre.service-public.gouv.fr/vosdroits/F21746</t>
  </si>
  <si>
    <t xml:space="preserve">Q6 franchise TVA</t>
  </si>
  <si>
    <t xml:space="preserve">R3-28</t>
  </si>
  <si>
    <t xml:space="preserve">Service-public Entreprendre : Conditions d'application du statut du bail à ferme (ou bail rural) (F38953, vérifié le 16/06/2025)</t>
  </si>
  <si>
    <t xml:space="preserve">https://entreprendre.service-public.gouv.fr/vosdroits/F38953</t>
  </si>
  <si>
    <t xml:space="preserve">Q7 bail rural</t>
  </si>
  <si>
    <t xml:space="preserve">R3-29</t>
  </si>
  <si>
    <t xml:space="preserve">Service-public Entreprendre : Taux de TVA sur les produits alimentaires et les boissons (F22399, vérifié le 03/12/2025)</t>
  </si>
  <si>
    <t xml:space="preserve">https://entreprendre.service-public.gouv.fr/vosdroits/F22399</t>
  </si>
  <si>
    <t xml:space="preserve">Q6 TVA restauration</t>
  </si>
  <si>
    <t xml:space="preserve">R3-30</t>
  </si>
  <si>
    <t xml:space="preserve">Service-public Entreprendre : Taux de TVA dans le secteur des énergies et des déchets (F37826, vérifié le 21/02/2026)</t>
  </si>
  <si>
    <t xml:space="preserve">https://entreprendre.service-public.gouv.fr/vosdroits/F37826</t>
  </si>
  <si>
    <t xml:space="preserve">Q6 TVA énergie</t>
  </si>
  <si>
    <t xml:space="preserve">R3-31</t>
  </si>
  <si>
    <t xml:space="preserve">Service-public Entreprendre : Hébergement touristique et micro-entreprise : règles applicables aux revenus 2025 (F39451, vérifié le 21/02/2026)</t>
  </si>
  <si>
    <t xml:space="preserve">https://entreprendre.service-public.gouv.fr/vosdroits/F39451</t>
  </si>
  <si>
    <t xml:space="preserve">Q5 meublés</t>
  </si>
  <si>
    <t xml:space="preserve">R3-32</t>
  </si>
  <si>
    <t xml:space="preserve">Service-public Entreprendre : Régime fiscal du loueur en meublé professionnel (LMP) (F32805, vérifié le 21/02/2026)</t>
  </si>
  <si>
    <t xml:space="preserve">https://entreprendre.service-public.gouv.fr/vosdroits/F32805</t>
  </si>
  <si>
    <t xml:space="preserve">R3-33</t>
  </si>
  <si>
    <t xml:space="preserve">Service-public Entreprendre : Régime fiscal de la micro-entreprise (F23267, vérifié le 13/05/2026)</t>
  </si>
  <si>
    <t xml:space="preserve">https://entreprendre.service-public.gouv.fr/vosdroits/F23267</t>
  </si>
  <si>
    <t xml:space="preserve">Q5 micro-BIC</t>
  </si>
  <si>
    <t xml:space="preserve">R3-34</t>
  </si>
  <si>
    <t xml:space="preserve">Service-public Entreprendre, actualité A17883 (26/11/2024, mise à jour 20/01/2025) : Locations touristiques, loi n° 2024-1039 du 19/11/2024</t>
  </si>
  <si>
    <t xml:space="preserve">https://entreprendre.service-public.gouv.fr/actualites/A17883</t>
  </si>
  <si>
    <t xml:space="preserve">Q5 meublés Le Meur</t>
  </si>
  <si>
    <t xml:space="preserve">R3-35</t>
  </si>
  <si>
    <t xml:space="preserve">Service-public Entreprendre : Ouvrir une chambre d'hôtes (F17452, vérifié le 21/05/2026)</t>
  </si>
  <si>
    <t xml:space="preserve">https://entreprendre.service-public.gouv.fr/vosdroits/F17452</t>
  </si>
  <si>
    <t xml:space="preserve">Q5 chambres d'hôtes</t>
  </si>
  <si>
    <t xml:space="preserve">R3-36</t>
  </si>
  <si>
    <t xml:space="preserve">Service-public : Impôt sur le revenu - Revenus d'une location meublée (F32744, vérifié le 15/04/2026)</t>
  </si>
  <si>
    <t xml:space="preserve">https://www.service-public.gouv.fr/particuliers/vosdroits/F32744</t>
  </si>
  <si>
    <t xml:space="preserve">Q5 LMNP</t>
  </si>
  <si>
    <t xml:space="preserve">R3-37</t>
  </si>
  <si>
    <t xml:space="preserve">Service-public : Impôt sur le revenu - Plus-value immobilière (F10864)</t>
  </si>
  <si>
    <t xml:space="preserve">https://www.service-public.gouv.fr/particuliers/vosdroits/F10864</t>
  </si>
  <si>
    <t xml:space="preserve">Q5 LMNP plus-value</t>
  </si>
  <si>
    <t xml:space="preserve">R3-38</t>
  </si>
  <si>
    <t xml:space="preserve">Service-public Entreprendre : Qu'est-ce qu'un établissement recevant du public (ERP) ? (F32351, vérifié le 26/09/2025)</t>
  </si>
  <si>
    <t xml:space="preserve">https://entreprendre.service-public.gouv.fr/vosdroits/F32351</t>
  </si>
  <si>
    <t xml:space="preserve">Q8 ERP</t>
  </si>
  <si>
    <t xml:space="preserve">R3-39</t>
  </si>
  <si>
    <t xml:space="preserve">Service-public Entreprendre : Règles de sécurité incendie d'un ERP (F31684, vérifié le 30/04/2025)</t>
  </si>
  <si>
    <t xml:space="preserve">https://entreprendre.service-public.gouv.fr/vosdroits/F31684</t>
  </si>
  <si>
    <t xml:space="preserve">R3-40</t>
  </si>
  <si>
    <t xml:space="preserve">Service-public Entreprendre : Accessibilité d'un établissement recevant du public (ERP) (F32873, vérifié le 28/11/2025)</t>
  </si>
  <si>
    <t xml:space="preserve">https://entreprendre.service-public.gouv.fr/vosdroits/F32873</t>
  </si>
  <si>
    <t xml:space="preserve">Q8 accessibilité</t>
  </si>
  <si>
    <t xml:space="preserve">R3-41</t>
  </si>
  <si>
    <t xml:space="preserve">Service-public : Peut-on construire ou aménager un terrain en zone agricole ? (F924, vérifié le 11/04/2025)</t>
  </si>
  <si>
    <t xml:space="preserve">https://www.service-public.gouv.fr/particuliers/vosdroits/F924</t>
  </si>
  <si>
    <t xml:space="preserve">Q8 urbanisme</t>
  </si>
  <si>
    <t xml:space="preserve">R3-42</t>
  </si>
  <si>
    <t xml:space="preserve">Service-public Entreprendre : Mécénat d'entreprise : dons en faveur d'organismes sans but lucratif (F22263, vérifié le 20/07/2026)</t>
  </si>
  <si>
    <t xml:space="preserve">https://entreprendre.service-public.gouv.fr/vosdroits/F22263</t>
  </si>
  <si>
    <t xml:space="preserve">Q4 mécénat entreprise</t>
  </si>
  <si>
    <t xml:space="preserve">R3-43</t>
  </si>
  <si>
    <t xml:space="preserve">BOFiP BOI-IR-RICI-250-10-10-20170510 : dons des particuliers, conditions générales (intérêt général, cercle restreint)</t>
  </si>
  <si>
    <t xml:space="preserve">https://bofip.impots.gouv.fr/bofip/5825-PGP</t>
  </si>
  <si>
    <t xml:space="preserve">Q4 mécénat, fonds de dotation</t>
  </si>
  <si>
    <t xml:space="preserve">R3-44</t>
  </si>
  <si>
    <t xml:space="preserve">Eurojuris (F. Maillard, cabinet 1927 Avocats, 13/05/2024) : décret n° 2024-318 du 8 avril 2024 sur l'agrivoltaïsme</t>
  </si>
  <si>
    <t xml:space="preserve">https://www.eurojuris.fr/categories/environnement-10300/articles/devret-installations-agrivoltaisme-42454.htm</t>
  </si>
  <si>
    <t xml:space="preserve">réseau d'avocats</t>
  </si>
  <si>
    <t xml:space="preserve">Q8 agrivoltaïsme</t>
  </si>
  <si>
    <t xml:space="preserve">R3-45</t>
  </si>
  <si>
    <t xml:space="preserve">Eurojuris (L. Bézie, 06/11/2013) : Le bail rural et les activités équestres</t>
  </si>
  <si>
    <t xml:space="preserve">https://www.eurojuris.fr/actualites-juridiques/actualites-juridiques-entreprises/droit-gestion-entreprise/droit-construction-immobilier/articles/bail-rural-activites-equestres-1252.htm</t>
  </si>
  <si>
    <t xml:space="preserve">R3-46</t>
  </si>
  <si>
    <t xml:space="preserve">Le Monde du Droit (06/07/2009) : Cass. 3e civ., 13 mai 2009, n° 08-16.421 : l'activité de gardiennage de chevaux ne relève pas du statut des baux ruraux</t>
  </si>
  <si>
    <t xml:space="preserve">https://www.lemondedudroit.fr/affaires/275-baux-commerciaux/26774-lactivite-de-gardiennage-de-chevaux-ne-releve-pas-du-statut-des-baux-ruraux.html</t>
  </si>
  <si>
    <t xml:space="preserve">presse juridique</t>
  </si>
  <si>
    <t xml:space="preserve">R3-47</t>
  </si>
  <si>
    <t xml:space="preserve">Doctrine.fr : CA Amiens, 6 décembre 2016 (confirmation d'un jugement du tribunal paritaire de Senlis, requalification portant sur 14 boxes, une sellerie et un paddock) — vu en résultat de recherche</t>
  </si>
  <si>
    <t xml:space="preserve">https://www.doctrine.fr/d/CA/Amiens/2016/C02FDF2E7E57DAA8A3C38</t>
  </si>
  <si>
    <t xml:space="preserve">base de jurisprudence</t>
  </si>
  <si>
    <t xml:space="preserve">R3-48</t>
  </si>
  <si>
    <t xml:space="preserve">Assemblée nationale, question écrite n° 31336 (Y. Braun-Pivet) et réponse du ministère de la Justice (JO 03/11/2020) : sous-location des boxes d'écuries dans le cadre du bail rural (PDF, texte extrait)</t>
  </si>
  <si>
    <t xml:space="preserve">https://questions.assemblee-nationale.fr/dyn/15/questions/QANR5L15QE31336.pdf</t>
  </si>
  <si>
    <t xml:space="preserve">R3-49</t>
  </si>
  <si>
    <t xml:space="preserve">Service-public : Demande d'autorisation spéciale de travaux en abords de monuments historiques ou dans un site patrimonial remarquable (cerfa 16291*01, R65385, vérifié le 12/06/2026)</t>
  </si>
  <si>
    <t xml:space="preserve">https://www.service-public.gouv.fr/particuliers/vosdroits/R65385</t>
  </si>
  <si>
    <t xml:space="preserve">Q8 abords</t>
  </si>
  <si>
    <t xml:space="preserve">R3-50</t>
  </si>
  <si>
    <t xml:space="preserve">Ministère de la Culture : Protéger des immeubles au titre des monuments historiques (effets de la protection)</t>
  </si>
  <si>
    <t xml:space="preserve">https://www.culture.gouv.fr/Thematiques/Monuments-Sites/Interventions-demarches/Proteger-un-objet-un-immeuble-un-espace/Proteger-des-immeubles-au-titre-des-monuments-historiques</t>
  </si>
  <si>
    <t xml:space="preserve">site officiel ministère</t>
  </si>
  <si>
    <t xml:space="preserve">Q8 travaux MH</t>
  </si>
  <si>
    <t xml:space="preserve">R3-51</t>
  </si>
  <si>
    <t xml:space="preserve">Ministère de la Culture : Les abords des monuments historiques</t>
  </si>
  <si>
    <t xml:space="preserve">https://www.culture.gouv.fr/thematiques/monuments-sites/monuments-historiques-sites-patrimoniaux/les-abords-des-monuments-historiques</t>
  </si>
  <si>
    <t xml:space="preserve">R3-52</t>
  </si>
  <si>
    <t xml:space="preserve">DGS et DGPR (N. Commeau, D. Ollandini), présentation CidB du 05/12/2018 : décret n° 2017-1244 du 7 août 2017 relatif aux bruits et sons amplifiés (PDF, texte extrait)</t>
  </si>
  <si>
    <t xml:space="preserve">https://www.bruit.fr/images/pdf/rennes-5-decembre-2018/commeau-ollandini-cidb-sons-amplifies.pdf</t>
  </si>
  <si>
    <t xml:space="preserve">présentation officielle des ministères (Santé, Écologie)</t>
  </si>
  <si>
    <t xml:space="preserve">Q8 bruit</t>
  </si>
  <si>
    <t xml:space="preserve">R3-53</t>
  </si>
  <si>
    <t xml:space="preserve">Seban Avocats (09/11/2017) : Reconnaissance de la puissance fondée en titre d'une microcentrale hydroélectrique (CAA Nantes, 29/09/2017, n° 16NT00251)</t>
  </si>
  <si>
    <t xml:space="preserve">https://www.seban-associes.avocat.fr/?p=89263</t>
  </si>
  <si>
    <t xml:space="preserve">Q8 hydro</t>
  </si>
  <si>
    <t xml:space="preserve">R3-54</t>
  </si>
  <si>
    <t xml:space="preserve">Doctrine.fr : TA Poitiers, 26 décembre 2024 (moulin de Villégats : puissance fondée en titre fixée à 39 kW au lieu de 273 kW demandés) — vu en résultat de recherche</t>
  </si>
  <si>
    <t xml:space="preserve">https://www.doctrine.fr/d/TA/Poitiers/2024/TAC30BB68CA06C3535E01D</t>
  </si>
  <si>
    <t xml:space="preserve">R3-55</t>
  </si>
  <si>
    <t xml:space="preserve">BOFiP BOI-RFPI-CHAMP-30-20-20200812 : revenus fonciers, sociétés (logements mis gratuitement à disposition des associés)</t>
  </si>
  <si>
    <t xml:space="preserve">https://bofip.impots.gouv.fr/bofip/1237-PGP.html/identifiant=BOI-RFPI-CHAMP-30-20-20200812</t>
  </si>
  <si>
    <t xml:space="preserve">Q9 occupation privée</t>
  </si>
  <si>
    <t xml:space="preserve">R3-56</t>
  </si>
  <si>
    <t xml:space="preserve">BOFiP BOI-RPPM-RCM-10-20-20-10-20120912 : revenus distribués, avantages accordés aux associés (acte anormal de gestion)</t>
  </si>
  <si>
    <t xml:space="preserve">https://bofip.impots.gouv.fr/bofip/2362-PGP</t>
  </si>
  <si>
    <t xml:space="preserve">R3-57</t>
  </si>
  <si>
    <t xml:space="preserve">Service-public Entreprendre : Revenus du dirigeant d'une société (F36065, « Vérifié le 26 avril 2024 » mais contenu mentionnant le PFU à 31,4 %)</t>
  </si>
  <si>
    <t xml:space="preserve">https://entreprendre.service-public.gouv.fr/vosdroits/F36065</t>
  </si>
  <si>
    <t xml:space="preserve">Q9 Q5 dirigeant, dividendes</t>
  </si>
  <si>
    <t xml:space="preserve">R3-58</t>
  </si>
  <si>
    <t xml:space="preserve">Service-public : Fonds de dotation (F24469, vérifié le 18/06/2025)</t>
  </si>
  <si>
    <t xml:space="preserve">https://www.service-public.gouv.fr/particuliers/vosdroits/F24469</t>
  </si>
  <si>
    <t xml:space="preserve">Q4 fonds de dotation</t>
  </si>
  <si>
    <t xml:space="preserve">R3-59</t>
  </si>
  <si>
    <t xml:space="preserve">Service-public Entreprendre : Société civile immobilière (SCI) : ce qu'il faut savoir (F38553, vérifié le 07/10/2025)</t>
  </si>
  <si>
    <t xml:space="preserve">https://entreprendre.service-public.gouv.fr/vosdroits/F38553</t>
  </si>
  <si>
    <t xml:space="preserve">Q5 SCI, Q9</t>
  </si>
  <si>
    <t xml:space="preserve">R3-60</t>
  </si>
  <si>
    <t xml:space="preserve">Service-public Entreprendre : Aide à l'embauche de travailleurs saisonniers agricoles (TO-DE) (F31205, vérifié le 23/12/2025)</t>
  </si>
  <si>
    <t xml:space="preserve">https://entreprendre.service-public.gouv.fr/vosdroits/F31205</t>
  </si>
  <si>
    <t xml:space="preserve">Q10 droit du travail</t>
  </si>
  <si>
    <t xml:space="preserve">R3-61</t>
  </si>
  <si>
    <t xml:space="preserve">BOFiP BOI-IS-BASE-10-10-10-10 (version du 26/06/2024) : régime des sociétés mères et filiales, quote-part de frais et charges</t>
  </si>
  <si>
    <t xml:space="preserve">https://bofip.impots.gouv.fr/bofip/1924-PGP</t>
  </si>
  <si>
    <t xml:space="preserve">Q5 mère-fille</t>
  </si>
  <si>
    <t xml:space="preserve">R3-62</t>
  </si>
  <si>
    <t xml:space="preserve">BOFiP BOI-BIC-PVMV-30-10-20170503 : suppression de la condition de droits de vote du régime mère-fille depuis le 03/02/2016 — vu en résultat de recherche</t>
  </si>
  <si>
    <t xml:space="preserve">https://bofip.impots.gouv.fr/bofip/6356-PGP.html/identifiant=BOI-BIC-PVMV-30-10-20170503</t>
  </si>
  <si>
    <t xml:space="preserve">R3-63</t>
  </si>
  <si>
    <t xml:space="preserve">Service-public : Faut-il une autorisation d'urbanisme pour poser des ombrières photovoltaïques ou des panneaux solaires au sol ? (F31923, vérifié le 17/01/2025)</t>
  </si>
  <si>
    <t xml:space="preserve">https://www.service-public.gouv.fr/particuliers/vosdroits/F31923</t>
  </si>
  <si>
    <t xml:space="preserve">Q8 photovoltaïque, secteurs protégés</t>
  </si>
  <si>
    <t xml:space="preserve">R4-01</t>
  </si>
  <si>
    <t xml:space="preserve">API Recherche d'entreprises (annuaire-entreprises, État) - requête « chateau de chenonceau »</t>
  </si>
  <si>
    <t xml:space="preserve">https://recherche-entreprises.api.gouv.fr/search?q=chateau%20de%20chenonceau&amp;per_page=5</t>
  </si>
  <si>
    <t xml:space="preserve">registre officiel (API data.gouv)</t>
  </si>
  <si>
    <t xml:space="preserve">Cas Chenonceau</t>
  </si>
  <si>
    <t xml:space="preserve">R4-02</t>
  </si>
  <si>
    <t xml:space="preserve">API Recherche d'entreprises - requête « vaux le vicomte »</t>
  </si>
  <si>
    <t xml:space="preserve">https://recherche-entreprises.api.gouv.fr/search?q=vaux%20le%20vicomte&amp;per_page=10</t>
  </si>
  <si>
    <t xml:space="preserve">Cas Vaux-le-Vicomte</t>
  </si>
  <si>
    <t xml:space="preserve">R4-03</t>
  </si>
  <si>
    <t xml:space="preserve">API Recherche d'entreprises - requête « chateau de cheverny »</t>
  </si>
  <si>
    <t xml:space="preserve">https://recherche-entreprises.api.gouv.fr/search?q=chateau%20de%20cheverny&amp;per_page=10</t>
  </si>
  <si>
    <t xml:space="preserve">Cas Cheverny</t>
  </si>
  <si>
    <t xml:space="preserve">R4-04</t>
  </si>
  <si>
    <t xml:space="preserve">API Recherche d'entreprises - requête « chateau de villandry »</t>
  </si>
  <si>
    <t xml:space="preserve">https://recherche-entreprises.api.gouv.fr/search?q=chateau%20de%20villandry&amp;per_page=10</t>
  </si>
  <si>
    <t xml:space="preserve">Cas Villandry</t>
  </si>
  <si>
    <t xml:space="preserve">R4-05</t>
  </si>
  <si>
    <t xml:space="preserve">API Recherche d'entreprises - requête « chenonceau »</t>
  </si>
  <si>
    <t xml:space="preserve">https://recherche-entreprises.api.gouv.fr/search?q=chenonceau&amp;per_page=10</t>
  </si>
  <si>
    <t xml:space="preserve">R4-06</t>
  </si>
  <si>
    <t xml:space="preserve">API Recherche d'entreprises - requête « chateau de brissac »</t>
  </si>
  <si>
    <t xml:space="preserve">https://recherche-entreprises.api.gouv.fr/search?q=chateau%20de%20brissac&amp;per_page=10</t>
  </si>
  <si>
    <t xml:space="preserve">Cas Brissac</t>
  </si>
  <si>
    <t xml:space="preserve">R4-07</t>
  </si>
  <si>
    <t xml:space="preserve">API Recherche d'entreprises - requête « courances »</t>
  </si>
  <si>
    <t xml:space="preserve">https://recherche-entreprises.api.gouv.fr/search?q=courances&amp;per_page=15</t>
  </si>
  <si>
    <t xml:space="preserve">Cas Courances</t>
  </si>
  <si>
    <t xml:space="preserve">R4-08</t>
  </si>
  <si>
    <t xml:space="preserve">API Recherche d'entreprises - requête « domaine des etangs » (CP 16310)</t>
  </si>
  <si>
    <t xml:space="preserve">https://recherche-entreprises.api.gouv.fr/search?q=domaine%20des%20etangs&amp;code_postal=16310&amp;per_page=10</t>
  </si>
  <si>
    <t xml:space="preserve">Cas Domaine des Étangs</t>
  </si>
  <si>
    <t xml:space="preserve">R4-09</t>
  </si>
  <si>
    <t xml:space="preserve">API Recherche d'entreprises - requête « ygrande »</t>
  </si>
  <si>
    <t xml:space="preserve">https://recherche-entreprises.api.gouv.fr/search?q=ygrande&amp;per_page=15</t>
  </si>
  <si>
    <t xml:space="preserve">Échec Ygrande</t>
  </si>
  <si>
    <t xml:space="preserve">R4-10</t>
  </si>
  <si>
    <t xml:space="preserve">API Recherche d'entreprises - requête « chateau » CP 03160 (Ygrande, Bourbon-l'Archambault)</t>
  </si>
  <si>
    <t xml:space="preserve">https://recherche-entreprises.api.gouv.fr/search?q=chateau&amp;code_postal=03160&amp;per_page=20</t>
  </si>
  <si>
    <t xml:space="preserve">R4-11</t>
  </si>
  <si>
    <t xml:space="preserve">API Recherche d'entreprises - hôtels (NAF 55.10Z) CP 03160</t>
  </si>
  <si>
    <t xml:space="preserve">https://recherche-entreprises.api.gouv.fr/search?activite_principale=55.10Z&amp;code_postal=03160&amp;per_page=20</t>
  </si>
  <si>
    <t xml:space="preserve">R4-12</t>
  </si>
  <si>
    <t xml:space="preserve">API Recherche d'entreprises - requête « parc de courances »</t>
  </si>
  <si>
    <t xml:space="preserve">https://recherche-entreprises.api.gouv.fr/search?q=parc%20de%20courances&amp;per_page=10</t>
  </si>
  <si>
    <t xml:space="preserve">R4-13</t>
  </si>
  <si>
    <t xml:space="preserve">API Recherche d'entreprises - requête « breteuil » CP 78460</t>
  </si>
  <si>
    <t xml:space="preserve">https://recherche-entreprises.api.gouv.fr/search?q=breteuil&amp;code_postal=78460&amp;per_page=15</t>
  </si>
  <si>
    <t xml:space="preserve">Cas Breteuil</t>
  </si>
  <si>
    <t xml:space="preserve">R4-14</t>
  </si>
  <si>
    <t xml:space="preserve">API Recherche d'entreprises - requête « champ de bataille » CP 27110</t>
  </si>
  <si>
    <t xml:space="preserve">https://recherche-entreprises.api.gouv.fr/search?q=champ%20de%20bataille&amp;code_postal=27110&amp;per_page=15</t>
  </si>
  <si>
    <t xml:space="preserve">Cas Champ de Bataille</t>
  </si>
  <si>
    <t xml:space="preserve">R4-15</t>
  </si>
  <si>
    <t xml:space="preserve">API Recherche d'entreprises - requête « pole international du cheval »</t>
  </si>
  <si>
    <t xml:space="preserve">https://recherche-entreprises.api.gouv.fr/search?q=pole%20international%20du%20cheval&amp;per_page=10</t>
  </si>
  <si>
    <t xml:space="preserve">Cas Pôle international du cheval Deauville</t>
  </si>
  <si>
    <t xml:space="preserve">R4-16</t>
  </si>
  <si>
    <t xml:space="preserve">API Recherche d'entreprises - requête « haras du pin »</t>
  </si>
  <si>
    <t xml:space="preserve">https://recherche-entreprises.api.gouv.fr/search?q=haras%20du%20pin&amp;per_page=10</t>
  </si>
  <si>
    <t xml:space="preserve">Cas Haras du Pin</t>
  </si>
  <si>
    <t xml:space="preserve">R4-17</t>
  </si>
  <si>
    <t xml:space="preserve">API Recherche d'entreprises - requête « haras de jardy »</t>
  </si>
  <si>
    <t xml:space="preserve">https://recherche-entreprises.api.gouv.fr/search?q=haras%20de%20jardy&amp;per_page=10</t>
  </si>
  <si>
    <t xml:space="preserve">Cas Haras de Jardy</t>
  </si>
  <si>
    <t xml:space="preserve">R4-18</t>
  </si>
  <si>
    <t xml:space="preserve">BODACC (API open data DILA) - annonces de la société GROUPE COEUR ET DETENTE (SIREN 421318247, Ygrande)</t>
  </si>
  <si>
    <t xml:space="preserve">https://bodacc-datadila.opendatasoft.com/api/explore/v2.1/catalog/datasets/annonces-commerciales/records?where=registre%20like%20%22421318247%22&amp;limit=20&amp;order_by=dateparution%20desc</t>
  </si>
  <si>
    <t xml:space="preserve">journal officiel (BODACC, API DILA)</t>
  </si>
  <si>
    <t xml:space="preserve">R4-19</t>
  </si>
  <si>
    <t xml:space="preserve">API Recherche d'entreprises - requête « mothe chandeniers »</t>
  </si>
  <si>
    <t xml:space="preserve">https://recherche-entreprises.api.gouv.fr/search?q=mothe%20chandeniers&amp;per_page=10</t>
  </si>
  <si>
    <t xml:space="preserve">Cas Mothe-Chandeniers</t>
  </si>
  <si>
    <t xml:space="preserve">R4-20</t>
  </si>
  <si>
    <t xml:space="preserve">API Recherche d'entreprises - requête « gudanes »</t>
  </si>
  <si>
    <t xml:space="preserve">https://recherche-entreprises.api.gouv.fr/search?q=gudanes&amp;per_page=10</t>
  </si>
  <si>
    <t xml:space="preserve">Cas Gudanes</t>
  </si>
  <si>
    <t xml:space="preserve">R4-21</t>
  </si>
  <si>
    <t xml:space="preserve">API Recherche d'entreprises - requête « motte husson »</t>
  </si>
  <si>
    <t xml:space="preserve">https://recherche-entreprises.api.gouv.fr/search?q=motte%20husson&amp;per_page=10</t>
  </si>
  <si>
    <t xml:space="preserve">Cas Motte-Husson</t>
  </si>
  <si>
    <t xml:space="preserve">R4-22</t>
  </si>
  <si>
    <t xml:space="preserve">API Recherche d'entreprises - société GROUPE COEUR ET DETENTE (SIREN 421318247)</t>
  </si>
  <si>
    <t xml:space="preserve">https://recherche-entreprises.api.gouv.fr/search?q=421318247</t>
  </si>
  <si>
    <t xml:space="preserve">R4-23</t>
  </si>
  <si>
    <t xml:space="preserve">Site du Château d'Ygrande - page d'accueil</t>
  </si>
  <si>
    <t xml:space="preserve">https://www.chateauygrande.fr/</t>
  </si>
  <si>
    <t xml:space="preserve">site du domaine</t>
  </si>
  <si>
    <t xml:space="preserve">R4-24</t>
  </si>
  <si>
    <t xml:space="preserve">Site du Château d'Ygrande - CGU (éditeur du site)</t>
  </si>
  <si>
    <t xml:space="preserve">https://www.chateauygrande.fr/fr/cgu/</t>
  </si>
  <si>
    <t xml:space="preserve">R4-25</t>
  </si>
  <si>
    <t xml:space="preserve">Doctrine - fiche « GROUPE COEUR ET DETENTE (CHATEAU D'YGRANDE) Liquidation judiciaire » (page fermée, vue en résultat de recherche)</t>
  </si>
  <si>
    <t xml:space="preserve">https://www.doctrine.fr/e/ENT4995DA5C55E4022E8C47</t>
  </si>
  <si>
    <t xml:space="preserve">base juridique privée</t>
  </si>
  <si>
    <t xml:space="preserve">R4-26</t>
  </si>
  <si>
    <t xml:space="preserve">API Recherche d'entreprises - requête « haras d etreham »</t>
  </si>
  <si>
    <t xml:space="preserve">https://recherche-entreprises.api.gouv.fr/search?q=haras%20d%20etreham&amp;per_page=10</t>
  </si>
  <si>
    <t xml:space="preserve">Cas Haras d'Étreham</t>
  </si>
  <si>
    <t xml:space="preserve">R4-27</t>
  </si>
  <si>
    <t xml:space="preserve">API Recherche d'entreprises - requête « smith haut lafitte »</t>
  </si>
  <si>
    <t xml:space="preserve">https://recherche-entreprises.api.gouv.fr/search?q=smith%20haut%20lafitte&amp;per_page=10</t>
  </si>
  <si>
    <t xml:space="preserve">Cas Smith Haut Lafitte</t>
  </si>
  <si>
    <t xml:space="preserve">R4-28</t>
  </si>
  <si>
    <t xml:space="preserve">API Recherche d'entreprises - requête « chateau de pommard »</t>
  </si>
  <si>
    <t xml:space="preserve">https://recherche-entreprises.api.gouv.fr/search?q=chateau%20de%20pommard&amp;per_page=10</t>
  </si>
  <si>
    <t xml:space="preserve">Cas Château de Pommard</t>
  </si>
  <si>
    <t xml:space="preserve">R4-29</t>
  </si>
  <si>
    <t xml:space="preserve">API Recherche d'entreprises - requête « domaine de chantilly »</t>
  </si>
  <si>
    <t xml:space="preserve">https://recherche-entreprises.api.gouv.fr/search?q=domaine%20de%20chantilly&amp;per_page=10</t>
  </si>
  <si>
    <t xml:space="preserve">Cas Chantilly</t>
  </si>
  <si>
    <t xml:space="preserve">R4-30</t>
  </si>
  <si>
    <t xml:space="preserve">Wikipédia FR - Château de Vaux-le-Vicomte (lecture partielle, 100 000 premiers caractères)</t>
  </si>
  <si>
    <t xml:space="preserve">https://fr.wikipedia.org/wiki/Château_de_Vaux-le-Vicomte</t>
  </si>
  <si>
    <t xml:space="preserve">encyclopédie collaborative</t>
  </si>
  <si>
    <t xml:space="preserve">R4-31</t>
  </si>
  <si>
    <t xml:space="preserve">France Télévisions (francetvpro) - dossier de presse du documentaire sur Vaux-le-Vicomte, France 5, 19 juin 2016</t>
  </si>
  <si>
    <t xml:space="preserve">https://www.francetvpro.fr/contenu-de-presse/19227</t>
  </si>
  <si>
    <t xml:space="preserve">dossier de presse audiovisuel</t>
  </si>
  <si>
    <t xml:space="preserve">R4-32</t>
  </si>
  <si>
    <t xml:space="preserve">HSE Saint-Pétersbourg - « Classic Manor-Palace of Vaux-Le-Vicomte in the Hands of Three Brothers » (page ouverte sans le contenu - chiffres vus seulement en résultat de recherche)</t>
  </si>
  <si>
    <t xml:space="preserve">https://spb.hse.ru/soc/illuminated/news/229205627.html</t>
  </si>
  <si>
    <t xml:space="preserve">article universitaire (compte rendu)</t>
  </si>
  <si>
    <t xml:space="preserve">R4-33</t>
  </si>
  <si>
    <t xml:space="preserve">Wikipédia FR - Château de Chenonceau (lecture partielle : partie historique seulement)</t>
  </si>
  <si>
    <t xml:space="preserve">https://fr.wikipedia.org/wiki/Château_de_Chenonceau</t>
  </si>
  <si>
    <t xml:space="preserve">Cas Chenonceau (aucun chiffre moderne trouvé)</t>
  </si>
  <si>
    <t xml:space="preserve">R4-34</t>
  </si>
  <si>
    <t xml:space="preserve">API Recherche d'entreprises - filtre « chateau » + NAF 55.10Z (hôtels) + CA &gt;= 1 M€, page 1 (105 résultats au total)</t>
  </si>
  <si>
    <t xml:space="preserve">https://recherche-entreprises.api.gouv.fr/search?q=chateau&amp;activite_principale=55.10Z&amp;ca_min=1000000&amp;per_page=25</t>
  </si>
  <si>
    <t xml:space="preserve">Échantillon châteaux-hôtels</t>
  </si>
  <si>
    <t xml:space="preserve">R4-35</t>
  </si>
  <si>
    <t xml:space="preserve">API Recherche d'entreprises - même filtre, page 2</t>
  </si>
  <si>
    <t xml:space="preserve">https://recherche-entreprises.api.gouv.fr/search?q=chateau&amp;activite_principale=55.10Z&amp;ca_min=1000000&amp;per_page=25&amp;page=2</t>
  </si>
  <si>
    <t xml:space="preserve">R4-36</t>
  </si>
  <si>
    <t xml:space="preserve">ADT Loir-et-Cher - « Repères 2023 » (PDF inaccessible : erreur DNS - contenu vu seulement en résultat de recherche)</t>
  </si>
  <si>
    <t xml:space="preserve">https://static.provoyage.val-de-loire-41.com/wp-content/uploads/2024/06/reperes2023.pdf</t>
  </si>
  <si>
    <t xml:space="preserve">observatoire départemental du tourisme</t>
  </si>
  <si>
    <t xml:space="preserve">Cas Cheverny (fréquentation non communiquée)</t>
  </si>
  <si>
    <t xml:space="preserve">R4-37</t>
  </si>
  <si>
    <t xml:space="preserve">API Recherche d'entreprises - filtre « chateau » + NAF 82.30Z (organisation d'événements) + CA &gt;= 300 k€</t>
  </si>
  <si>
    <t xml:space="preserve">https://recherche-entreprises.api.gouv.fr/search?q=chateau&amp;activite_principale=82.30Z&amp;ca_min=300000&amp;per_page=25</t>
  </si>
  <si>
    <t xml:space="preserve">Échantillon lieux de réception</t>
  </si>
  <si>
    <t xml:space="preserve">R4-38</t>
  </si>
  <si>
    <t xml:space="preserve">API Recherche d'entreprises - filtre « chateau » + NAF 68.20B (location) + CA &gt;= 500 k€</t>
  </si>
  <si>
    <t xml:space="preserve">https://recherche-entreprises.api.gouv.fr/search?q=chateau&amp;activite_principale=68.20B&amp;ca_min=500000&amp;per_page=25</t>
  </si>
  <si>
    <t xml:space="preserve">Échantillon lieux de réception (peu exploitable)</t>
  </si>
  <si>
    <t xml:space="preserve">R4-39</t>
  </si>
  <si>
    <t xml:space="preserve">API Recherche d'entreprises - filtre « haras » + CA &gt;= 1 M€</t>
  </si>
  <si>
    <t xml:space="preserve">https://recherche-entreprises.api.gouv.fr/search?q=haras&amp;ca_min=1000000&amp;per_page=25</t>
  </si>
  <si>
    <t xml:space="preserve">Échantillon haras privés</t>
  </si>
  <si>
    <t xml:space="preserve">R4-40</t>
  </si>
  <si>
    <t xml:space="preserve">API Recherche d'entreprises - filtre « ecurie » + NAF 93.19Z + CA &gt;= 500 k€ (7 résultats)</t>
  </si>
  <si>
    <t xml:space="preserve">https://recherche-entreprises.api.gouv.fr/search?q=ecurie&amp;activite_principale=93.19Z&amp;ca_min=500000&amp;per_page=25</t>
  </si>
  <si>
    <t xml:space="preserve">Échantillon écuries</t>
  </si>
  <si>
    <t xml:space="preserve">R4-41</t>
  </si>
  <si>
    <t xml:space="preserve">Wikipédia FR - Château de la Mothe-Chandeniers (cite Le Point 04/12/2017, Dartagnans, France 3, Challenges, Infogreffe)</t>
  </si>
  <si>
    <t xml:space="preserve">https://fr.wikipedia.org/wiki/Château_de_la_Mothe-Chandeniers</t>
  </si>
  <si>
    <t xml:space="preserve">R4-42</t>
  </si>
  <si>
    <t xml:space="preserve">Wikipédia FR - Puy du Fou (lecture partielle, 100 000 premiers caractères)</t>
  </si>
  <si>
    <t xml:space="preserve">https://fr.wikipedia.org/wiki/Puy_du_Fou</t>
  </si>
  <si>
    <t xml:space="preserve">Cas Puy du Fou</t>
  </si>
  <si>
    <t xml:space="preserve">R4-43</t>
  </si>
  <si>
    <t xml:space="preserve">Wikipédia FR - Château de Gudanes (HTTP 404, page inexistante)</t>
  </si>
  <si>
    <t xml:space="preserve">https://fr.wikipedia.org/wiki/Château_de_Gudanes</t>
  </si>
  <si>
    <t xml:space="preserve">Cas Gudanes (aucune donnée)</t>
  </si>
  <si>
    <t xml:space="preserve">R4-44</t>
  </si>
  <si>
    <t xml:space="preserve">Wikipedia EN - Escape to the Chateau</t>
  </si>
  <si>
    <t xml:space="preserve">https://en.wikipedia.org/wiki/Escape_to_the_Chateau</t>
  </si>
  <si>
    <t xml:space="preserve">R4-45</t>
  </si>
  <si>
    <t xml:space="preserve">Sénat - Question écrite n° 14331 de M. Édouard Courtial (JO Sénat 13/02/2020) et réponse du ministère de la Culture (JO Sénat 10/09/2020) sur le domaine de Chantilly</t>
  </si>
  <si>
    <t xml:space="preserve">https://www.senat.fr/questions/base/2020/qSEQ200214331.html</t>
  </si>
  <si>
    <t xml:space="preserve">texte parlementaire officiel</t>
  </si>
  <si>
    <t xml:space="preserve">R4-46</t>
  </si>
  <si>
    <t xml:space="preserve">Time Out Paris - « Ce monument emblématique à 1h de Paris lance un financement participatif pour sa rénovation à 68 millions d'euros » (09/02/2026, reprend The Independent)</t>
  </si>
  <si>
    <t xml:space="preserve">https://www.timeout.fr/paris/actualites/ce-monument-emblematique-a-1h-de-paris-lance-un-financement-participatif-pour-sa-renovation-a-68-millions-deuros-020926</t>
  </si>
  <si>
    <t xml:space="preserve">presse</t>
  </si>
  <si>
    <t xml:space="preserve">R4-47</t>
  </si>
  <si>
    <t xml:space="preserve">Option Finance - « Le domaine de Chantilly recherche des soutiens » (HTTP 403 - chiffres vus seulement en résultat de recherche)</t>
  </si>
  <si>
    <t xml:space="preserve">https://www.optionfinance.fr/carrieres/le-domaine-de-chantilly-recherche-des-soutiens.html</t>
  </si>
  <si>
    <t xml:space="preserve">presse économique</t>
  </si>
  <si>
    <t xml:space="preserve">R4-48</t>
  </si>
  <si>
    <t xml:space="preserve">Thoroughbred Racing - « How the Covid shutdown has given historic Chantilly such a battering » (HTTP 502 - vu seulement en résultat de recherche)</t>
  </si>
  <si>
    <t xml:space="preserve">https://thoroughbredracing.com/articles/how-covid-shutdown-has-given-historic-chantilly-such-battering</t>
  </si>
  <si>
    <t xml:space="preserve">presse spécialisée</t>
  </si>
  <si>
    <t xml:space="preserve">R4-49</t>
  </si>
  <si>
    <t xml:space="preserve">Robb Report Singapore - « Inside Domaine des Etangs, a French castle reimagined by Auberge » (Chrissie McClatchie, 22/11/2023)</t>
  </si>
  <si>
    <t xml:space="preserve">https://robbreport.com.sg/inside-domaine-des-etangs-a-french-castle-reimagined-by-auberge/</t>
  </si>
  <si>
    <t xml:space="preserve">presse magazine luxe</t>
  </si>
  <si>
    <t xml:space="preserve">R4-50</t>
  </si>
  <si>
    <t xml:space="preserve">Country Life - « Domaine des Etangs review » (vu seulement en résultat de recherche : hôtel depuis 2015, 29 chambres)</t>
  </si>
  <si>
    <t xml:space="preserve">https://countrylife.co.uk/travel/domaine-des-etangs-review-slice-french-heaven-earth-209935</t>
  </si>
  <si>
    <t xml:space="preserve">presse magazine</t>
  </si>
  <si>
    <t xml:space="preserve">R4-51</t>
  </si>
  <si>
    <t xml:space="preserve">La Demeure Historique - « Dossier présidentielle 2022 » (PDF, février 2022 - texte extrait localement du fichier téléchargé par WebFetch)</t>
  </si>
  <si>
    <t xml:space="preserve">https://www.demeure-historique.org/wp-content/uploads/2022/02/Dossier-presidentielle-2022.pdf</t>
  </si>
  <si>
    <t xml:space="preserve">document de plaidoyer d'association (reconnue d'utilité publique)</t>
  </si>
  <si>
    <t xml:space="preserve">Contexte marché / échecs (reventes)</t>
  </si>
  <si>
    <t xml:space="preserve">R4-52</t>
  </si>
  <si>
    <t xml:space="preserve">La Demeure Historique - « 2017-2022 Quels enjeux pour le patrimoine... Sept questions aux candidats aux élections législatives des 11 et 18 juin 2017 » (PDF - texte extrait localement)</t>
  </si>
  <si>
    <t xml:space="preserve">Contexte marché / échecs (reventes) / ERP</t>
  </si>
  <si>
    <t xml:space="preserve">R4-53</t>
  </si>
  <si>
    <t xml:space="preserve">Vie-publique.fr - rapport PDF 277948 sur les monuments détenus par des propriétaires privés (HTTP 503, non lu)</t>
  </si>
  <si>
    <t xml:space="preserve">https://www.vie-publique.fr/sites/default/files/rapport/pdf/277948_0.pdf</t>
  </si>
  <si>
    <t xml:space="preserve">rapport public</t>
  </si>
  <si>
    <t xml:space="preserve">Non utilisé (inaccessible)</t>
  </si>
  <si>
    <t xml:space="preserve">R4-54</t>
  </si>
  <si>
    <t xml:space="preserve">The Connexion - « PHOTOS: 'We wanted a small bolthole but bought a ruined French chateau' » (Gillian Harvey, 05/08/2022, modifié 07/02/2025) - Château de Gudanes</t>
  </si>
  <si>
    <t xml:space="preserve">https://www.connexionfrance.com/news/photos-we-wanted-a-small-bolthole-but-bought-a-ruined-french-chateau/244599</t>
  </si>
  <si>
    <t xml:space="preserve">presse (anglophones en France)</t>
  </si>
  <si>
    <t xml:space="preserve">R4-55</t>
  </si>
  <si>
    <t xml:space="preserve">Companies House (UK) - recherche d'officers « Angela Strawbridge »</t>
  </si>
  <si>
    <t xml:space="preserve">https://find-and-update.company-information.service.gov.uk/search/officers?q=Angela+Strawbridge</t>
  </si>
  <si>
    <t xml:space="preserve">registre officiel britannique</t>
  </si>
  <si>
    <t xml:space="preserve">R4-56</t>
  </si>
  <si>
    <t xml:space="preserve">Companies House - mandats d'Angela Strawbridge (adresse Château de la Motte-Husson)</t>
  </si>
  <si>
    <t xml:space="preserve">https://find-and-update.company-information.service.gov.uk/officers/CJ-8BaNPABN8_uS0D8rWBPg7AA4/appointments</t>
  </si>
  <si>
    <t xml:space="preserve">R4-57</t>
  </si>
  <si>
    <t xml:space="preserve">Companies House - mandat d'Angela Strawbridge (ESCAPE TO THE CHATEAU LIMITED)</t>
  </si>
  <si>
    <t xml:space="preserve">https://find-and-update.company-information.service.gov.uk/officers/4t4q5MHTzVayuPShMtion9kRO5U/appointments</t>
  </si>
  <si>
    <t xml:space="preserve">R4-58</t>
  </si>
  <si>
    <t xml:space="preserve">Companies House - ESCAPE TO THE CHATEAU LIMITED (12032099), fiche société</t>
  </si>
  <si>
    <t xml:space="preserve">https://find-and-update.company-information.service.gov.uk/company/12032099</t>
  </si>
  <si>
    <t xml:space="preserve">R4-59</t>
  </si>
  <si>
    <t xml:space="preserve">Companies House - CHATEAU TELEVISION LIMITED (12462133), historique des dépôts</t>
  </si>
  <si>
    <t xml:space="preserve">https://find-and-update.company-information.service.gov.uk/company/12462133/filing-history</t>
  </si>
  <si>
    <t xml:space="preserve">R4-60</t>
  </si>
  <si>
    <t xml:space="preserve">Companies House - CHATEAU-DE-LA-MOTTE HUSSON LIMITED (10674609), fiche société (dissoute le 08/08/2023)</t>
  </si>
  <si>
    <t xml:space="preserve">https://find-and-update.company-information.service.gov.uk/company/10674609</t>
  </si>
  <si>
    <t xml:space="preserve">R4-61</t>
  </si>
  <si>
    <t xml:space="preserve">Hachette UK - fiche du livre « Living the Château Dream » (vue seulement en résultat de recherche)</t>
  </si>
  <si>
    <t xml:space="preserve">https://www.hachette.co.uk/titles/dick-strawbridge-2/living-the-ch%c3%a2teau-dream/9781841885391/</t>
  </si>
  <si>
    <t xml:space="preserve">éditeur (texte promotionnel)</t>
  </si>
  <si>
    <t xml:space="preserve">R4-62</t>
  </si>
  <si>
    <t xml:space="preserve">Paris ZigZag - « Château de la Mothe-Chandeniers : écolodges » (Mélina Hoffmann, modifié le 09/12/2024)</t>
  </si>
  <si>
    <t xml:space="preserve">https://www.pariszigzag.fr/france/chateau-mothe-chandeniers-ecolodges/</t>
  </si>
  <si>
    <t xml:space="preserve">presse loisirs</t>
  </si>
  <si>
    <t xml:space="preserve">R4-63</t>
  </si>
  <si>
    <t xml:space="preserve">BODACC (API DILA) - annonces de la SAS CHATEAU DE LA MOTHE-CHANDENIERS (SIREN 835113820)</t>
  </si>
  <si>
    <t xml:space="preserve">https://bodacc-datadila.opendatasoft.com/api/explore/v2.1/catalog/datasets/annonces-commerciales/records?where=registre%20like%20%22835113820%22&amp;limit=30&amp;order_by=dateparution%20desc</t>
  </si>
  <si>
    <t xml:space="preserve">R4-64</t>
  </si>
  <si>
    <t xml:space="preserve">France 3 Nouvelle-Aquitaine - article de décembre 2020 sur la 3e campagne (domaine non accessible par WebFetch - cité par Wikipédia)</t>
  </si>
  <si>
    <t xml:space="preserve">https://france3-regions.francetvinfo.fr/nouvelle-aquitaine/vienne/poitiers/vienne-chateau-mothe-chandeniers-se-cherche-nouveau-co-proprietaires-1905192.html</t>
  </si>
  <si>
    <t xml:space="preserve">R4-65</t>
  </si>
  <si>
    <t xml:space="preserve">Acteurs publics - « Polémique sur la possible privatisation du Versailles du cheval » (22/02/2012) - Haras national du Pin</t>
  </si>
  <si>
    <t xml:space="preserve">https://acteurspublics.fr/articles/polemique-sur-la-possible-privatisation-du-versailles-du-cheval/</t>
  </si>
  <si>
    <t xml:space="preserve">presse administration publique</t>
  </si>
  <si>
    <t xml:space="preserve">R4-66</t>
  </si>
  <si>
    <t xml:space="preserve">Sénat - étude d'impact du projet de loi pjl20-709 (dissolution de l'EPA Haras national du Pin) (HTTP 503 à deux reprises - contenu vu seulement en résultat de recherche)</t>
  </si>
  <si>
    <t xml:space="preserve">https://www.senat.fr/leg/etudes-impact/pjl20-709-ei/pjl20-709-ei.pdf</t>
  </si>
  <si>
    <t xml:space="preserve">R4-67</t>
  </si>
  <si>
    <t xml:space="preserve">Ministère de l'Agriculture - document téléchargeable 56428 (budget prévisionnel 2016 du Haras du Pin d'après le résultat de recherche - HTTP 503)</t>
  </si>
  <si>
    <t xml:space="preserve">https://agriculture.gouv.fr/telecharger/56428</t>
  </si>
  <si>
    <t xml:space="preserve">document administratif officiel</t>
  </si>
  <si>
    <t xml:space="preserve">R4-68</t>
  </si>
  <si>
    <t xml:space="preserve">Wikipédia FR - Haras de Jardy (bandeau « sources insuffisantes » depuis 2019)</t>
  </si>
  <si>
    <t xml:space="preserve">https://fr.wikipedia.org/wiki/Haras_de_Jardy</t>
  </si>
  <si>
    <t xml:space="preserve">R4-69</t>
  </si>
  <si>
    <t xml:space="preserve">API Recherche d'entreprises - requête « haras de montaigu »</t>
  </si>
  <si>
    <t xml:space="preserve">https://recherche-entreprises.api.gouv.fr/search?q=haras%20de%20montaigu&amp;per_page=5</t>
  </si>
  <si>
    <t xml:space="preserve">Haras privés normands</t>
  </si>
  <si>
    <t xml:space="preserve">R4-70</t>
  </si>
  <si>
    <t xml:space="preserve">API Recherche d'entreprises - requête « haras du logis saint germain »</t>
  </si>
  <si>
    <t xml:space="preserve">https://recherche-entreprises.api.gouv.fr/search?q=haras%20du%20logis%20saint%20germain&amp;per_page=5</t>
  </si>
  <si>
    <t xml:space="preserve">R4-71</t>
  </si>
  <si>
    <t xml:space="preserve">API Recherche d'entreprises - requête « haras du quesnay »</t>
  </si>
  <si>
    <t xml:space="preserve">https://recherche-entreprises.api.gouv.fr/search?q=haras%20du%20quesnay&amp;per_page=5</t>
  </si>
  <si>
    <t xml:space="preserve">R4-72</t>
  </si>
  <si>
    <t xml:space="preserve">API Recherche d'entreprises - requête « haras de bonneval »</t>
  </si>
  <si>
    <t xml:space="preserve">https://recherche-entreprises.api.gouv.fr/search?q=haras%20de%20bonneval&amp;per_page=5</t>
  </si>
  <si>
    <t xml:space="preserve">R4-73</t>
  </si>
  <si>
    <t xml:space="preserve">API Recherche d'entreprises - requête « haras de fresnay le buffard »</t>
  </si>
  <si>
    <t xml:space="preserve">https://recherche-entreprises.api.gouv.fr/search?q=haras%20de%20fresnay%20le%20buffard&amp;per_page=5</t>
  </si>
  <si>
    <t xml:space="preserve">R4-74</t>
  </si>
  <si>
    <t xml:space="preserve">BODACC (API DILA) - procédures collectives 2023-2026, nom contenant « chateau », jugement contenant « liquidation » (327 annonces) - enregistrements 1 à 100</t>
  </si>
  <si>
    <t xml:space="preserve">https://bodacc-datadila.opendatasoft.com/api/explore/v2.1/catalog/datasets/annonces-commerciales/records?where=familleavis_lib%3D%22Proc%C3%A9dures%20collectives%22%20and%20search(commercant%2C%22chateau%22)%20and%20search(jugement%2C%22liquidation%22)%20and%20dateparution%3E%3Ddate%272023-01-01%27&amp;limit=100&amp;order_by=dateparution%20desc</t>
  </si>
  <si>
    <t xml:space="preserve">Échecs (liquidations)</t>
  </si>
  <si>
    <t xml:space="preserve">R4-75</t>
  </si>
  <si>
    <t xml:space="preserve">BODACC (API DILA) - même requête, enregistrements 101 à 200 (lecture partielle)</t>
  </si>
  <si>
    <t xml:space="preserve">https://bodacc-datadila.opendatasoft.com/api/explore/v2.1/catalog/datasets/annonces-commerciales/records?where=familleavis_lib%3D%22Proc%C3%A9dures%20collectives%22%20and%20search(commercant%2C%22chateau%22)%20and%20search(jugement%2C%22liquidation%22)%20and%20dateparution%3E%3Ddate%272023-01-01%27&amp;limit=100&amp;offset=100&amp;order_by=dateparution%20desc</t>
  </si>
  <si>
    <t xml:space="preserve">R4-76</t>
  </si>
  <si>
    <t xml:space="preserve">BODACC (API DILA) - même requête, enregistrements 201 à 300 (lecture partielle)</t>
  </si>
  <si>
    <t xml:space="preserve">https://bodacc-datadila.opendatasoft.com/api/explore/v2.1/catalog/datasets/annonces-commerciales/records?where=familleavis_lib%3D%22Proc%C3%A9dures%20collectives%22%20and%20search(commercant%2C%22chateau%22)%20and%20search(jugement%2C%22liquidation%22)%20and%20dateparution%3E%3Ddate%272023-01-01%27&amp;limit=100&amp;offset=200&amp;order_by=dateparution%20desc</t>
  </si>
  <si>
    <t xml:space="preserve">R4-77</t>
  </si>
  <si>
    <t xml:space="preserve">Wikipédia FR - Château Smith Haut Lafitte (cite Le Point 29/07/2010)</t>
  </si>
  <si>
    <t xml:space="preserve">https://fr.wikipedia.org/wiki/Château_Smith_Haut_Lafitte</t>
  </si>
  <si>
    <t xml:space="preserve">R4-78</t>
  </si>
  <si>
    <t xml:space="preserve">Wikipédia FR - Château de Pommard (cite Le Figaro, 17/09/2014 - bandeau « sources » 2021)</t>
  </si>
  <si>
    <t xml:space="preserve">https://fr.wikipedia.org/wiki/Château_de_Pommard</t>
  </si>
  <si>
    <t xml:space="preserve">R4-79</t>
  </si>
  <si>
    <t xml:space="preserve">Wikipédia FR - Château du Champ-de-Bataille (cite Le Monde 22/03/2024, actu.fr 2023)</t>
  </si>
  <si>
    <t xml:space="preserve">https://fr.wikipedia.org/wiki/Château_du_Champ-de-Bataille</t>
  </si>
  <si>
    <t xml:space="preserve">R4-80</t>
  </si>
  <si>
    <t xml:space="preserve">Wikipédia FR - Château de Courances</t>
  </si>
  <si>
    <t xml:space="preserve">https://fr.wikipedia.org/wiki/Château_de_Courances</t>
  </si>
  <si>
    <t xml:space="preserve">R4-81</t>
  </si>
  <si>
    <t xml:space="preserve">Site officiel du Domaine de Courances (page d'accueil et navigation)</t>
  </si>
  <si>
    <t xml:space="preserve">https://www.domainedecourances.com</t>
  </si>
  <si>
    <t xml:space="preserve">R4-82</t>
  </si>
  <si>
    <t xml:space="preserve">Wikipédia FR - Château de Breteuil (cite Le Figaro Magazine 2021 sans URL)</t>
  </si>
  <si>
    <t xml:space="preserve">https://fr.wikipedia.org/wiki/Château_de_Breteuil</t>
  </si>
  <si>
    <t xml:space="preserve">R4-83</t>
  </si>
  <si>
    <t xml:space="preserve">Wikipédia FR - Château de Brissac</t>
  </si>
  <si>
    <t xml:space="preserve">https://fr.wikipedia.org/wiki/Château_de_Brissac</t>
  </si>
  <si>
    <t xml:space="preserve">R4-84</t>
  </si>
  <si>
    <t xml:space="preserve">Wikipédia FR - Château de Cheverny (tableau de fréquentation 2011-2016, cite France 3 et ADT 41)</t>
  </si>
  <si>
    <t xml:space="preserve">https://fr.wikipedia.org/wiki/Château_de_Cheverny</t>
  </si>
  <si>
    <t xml:space="preserve">R4-85</t>
  </si>
  <si>
    <t xml:space="preserve">Wikipédia FR - Château de Villandry (lecture partielle)</t>
  </si>
  <si>
    <t xml:space="preserve">https://fr.wikipedia.org/wiki/Château_de_Villandry</t>
  </si>
  <si>
    <t xml:space="preserve">R4-86</t>
  </si>
  <si>
    <t xml:space="preserve">Résultats de recherche « Vaux-le-Vicomte modèle économique » (TourMaG, CNC, Avygeo… - phrases vues seulement dans les extraits : ouverture en 1968, plus de 70 salariés, objectif 400 000 visiteurs en 2020)</t>
  </si>
  <si>
    <t xml:space="preserve">https://www.tourmag.com/Groupes-vivez-une-journee-Grand-Siecle-et-bonnes-manieres-a-Vaux-le-Vicomte_a87719.html</t>
  </si>
  <si>
    <t xml:space="preserve">presse tourisme (extraits)</t>
  </si>
  <si>
    <t xml:space="preserve">R4-87</t>
  </si>
  <si>
    <t xml:space="preserve">Ministère de la Culture (DRAC Centre-Val de Loire) - « Val de Loire Unesco » (11/07/2017), fréquentation de Chenonceau</t>
  </si>
  <si>
    <t xml:space="preserve">https://www.culture.gouv.fr/switchToLanguage/168969/fre-FR</t>
  </si>
  <si>
    <t xml:space="preserve">site officiel ministériel</t>
  </si>
  <si>
    <t xml:space="preserve">R4-88</t>
  </si>
  <si>
    <t xml:space="preserve">MADD Bordeaux - exposition « Paysans designers » : fiche Domaine de Courances (2021-2022)</t>
  </si>
  <si>
    <t xml:space="preserve">https://plan-paysans-designers.madd-bordeaux.fr/en/dans-les-champs/domaine-de-courances-essonne-3/</t>
  </si>
  <si>
    <t xml:space="preserve">site de musée (exposition)</t>
  </si>
  <si>
    <t xml:space="preserve">R4-89</t>
  </si>
  <si>
    <t xml:space="preserve">Résultats de recherche « Courances » (Sortiraparis, Gault&amp;Millau, agroforesterie.fr - PDF en 404) : 1 800 ha moitié bois moitié champs, dix cousins propriétaires, potager bio en 2015, 10 chambres et suites et 2 appartements</t>
  </si>
  <si>
    <t xml:space="preserve">https://www.sortiraparis.com/arts-culture/histoire-patrimoine/articles/283209-le-chateau-et-domaine-de-courances-et-ses-superbes-jardins-remarquables</t>
  </si>
  <si>
    <t xml:space="preserve">presse (extraits)</t>
  </si>
  <si>
    <t xml:space="preserve">R4-90</t>
  </si>
  <si>
    <t xml:space="preserve">Revue Conflits - « Chantilly – Il était une fois les Grandes Écuries… » (Pétronille de Lestrade, 26/09/2021)</t>
  </si>
  <si>
    <t xml:space="preserve">https://www.revueconflits.com/chantilly-il-etait-une-fois-les-grandes-ecuries</t>
  </si>
  <si>
    <t xml:space="preserve">presse (revue)</t>
  </si>
  <si>
    <t xml:space="preserve">Cas Chantilly (équestre)</t>
  </si>
  <si>
    <t xml:space="preserve">R4-91</t>
  </si>
  <si>
    <t xml:space="preserve">Résultats de recherche « Grandes Écuries Chantilly spectacle » (Paris Select Book 2025, Sanef - pages en 403) : distribution et tarifs du spectacle</t>
  </si>
  <si>
    <t xml:space="preserve">https://www.parisselectbook.com/?p=177538</t>
  </si>
  <si>
    <t xml:space="preserve">presse loisirs (extraits)</t>
  </si>
  <si>
    <t xml:space="preserve">R4-92</t>
  </si>
  <si>
    <t xml:space="preserve">API Recherche d'entreprises - requête « haras de la cense »</t>
  </si>
  <si>
    <t xml:space="preserve">https://recherche-entreprises.api.gouv.fr/search?q=haras%20de%20la%20cense&amp;per_page=5</t>
  </si>
  <si>
    <t xml:space="preserve">Domaines équestres privés</t>
  </si>
  <si>
    <t xml:space="preserve">R4-93</t>
  </si>
  <si>
    <t xml:space="preserve">API Recherche d'entreprises - requête « domaine equestre » + CA &gt;= 300 k€</t>
  </si>
  <si>
    <t xml:space="preserve">https://recherche-entreprises.api.gouv.fr/search?q=domaine%20equestre&amp;ca_min=300000&amp;per_page=25</t>
  </si>
  <si>
    <t xml:space="preserve">R4-94</t>
  </si>
  <si>
    <t xml:space="preserve">The Independent (via Yahoo News) - « Channel 4 severs ties with Escape to the Chateau stars » (Tom Murray, 20/05/2023)</t>
  </si>
  <si>
    <t xml:space="preserve">https://sg.news.yahoo.com/channel-4-severs-ties-escape-055036949.html</t>
  </si>
  <si>
    <t xml:space="preserve">presse nationale britannique</t>
  </si>
  <si>
    <t xml:space="preserve">Cas Motte-Husson (difficultés)</t>
  </si>
  <si>
    <t xml:space="preserve">R4-95</t>
  </si>
  <si>
    <t xml:space="preserve">Yorkshire Evening Post - « Channel 4 drops Escape to the Chateau stars Dick and Angel Strawbridge after bullying claims » (HTTP 403 - vu seulement en résultat de recherche)</t>
  </si>
  <si>
    <t xml:space="preserve">https://www.yorkshireeveningpost.co.uk/read-this/channel-4-drops-escape-to-the-chateau-stars-dick-and-angel-strawbridge-4147890</t>
  </si>
  <si>
    <t xml:space="preserve">presse régionale britannique</t>
  </si>
  <si>
    <t xml:space="preserve">R5-01</t>
  </si>
  <si>
    <t xml:space="preserve">The Goodwood Estate Company Limited - Group strategic report and audited consolidated financial statements year ended 31 December 2025 (PDF Companies House)</t>
  </si>
  <si>
    <t xml:space="preserve">https://find-and-update.company-information.service.gov.uk/company/00553452/filing-history/MzU0OTg3NDM4MGFkaXF6a2N4/document?format=pdf&amp;download=0</t>
  </si>
  <si>
    <t xml:space="preserve">comptes annuels audités (registre officiel)</t>
  </si>
  <si>
    <t xml:space="preserve">R5 §1.1</t>
  </si>
  <si>
    <t xml:space="preserve">R5-02</t>
  </si>
  <si>
    <t xml:space="preserve">Companies House - historique des dépôts de comptes de The Goodwood Estate Company Limited (00553452)</t>
  </si>
  <si>
    <t xml:space="preserve">https://find-and-update.company-information.service.gov.uk/company/00553452/filing-history?category=accounts</t>
  </si>
  <si>
    <t xml:space="preserve">registre officiel</t>
  </si>
  <si>
    <t xml:space="preserve">R5-03</t>
  </si>
  <si>
    <t xml:space="preserve">Blenheim Palace Heritage Foundation - Report of the Trustees and consolidated financial statements year ended 31 March 2025 (PDF Companies House)</t>
  </si>
  <si>
    <t xml:space="preserve">https://find-and-update.company-information.service.gov.uk/company/09430048/filing-history/MzQ4ODEzMTc4M2FkaXF6a2N4/document?format=pdf&amp;download=0</t>
  </si>
  <si>
    <t xml:space="preserve">comptes annuels audités de charity (registre officiel)</t>
  </si>
  <si>
    <t xml:space="preserve">R5 §1.2</t>
  </si>
  <si>
    <t xml:space="preserve">R5-04</t>
  </si>
  <si>
    <t xml:space="preserve">Companies House - historique des dépôts de comptes de Blenheim Palace Heritage Foundation (09430048)</t>
  </si>
  <si>
    <t xml:space="preserve">https://find-and-update.company-information.service.gov.uk/company/09430048/filing-history?category=accounts</t>
  </si>
  <si>
    <t xml:space="preserve">R5-05</t>
  </si>
  <si>
    <t xml:space="preserve">Chatsworth House Trust - Council of Management's report and consolidated financial statements year ended 31 March 2025 (PDF Companies House)</t>
  </si>
  <si>
    <t xml:space="preserve">https://find-and-update.company-information.service.gov.uk/company/01541046/filing-history/MzQ5MDAzMTU2MmFkaXF6a2N4/document?format=pdf&amp;download=0</t>
  </si>
  <si>
    <t xml:space="preserve">R5 §1.3</t>
  </si>
  <si>
    <t xml:space="preserve">R5-06</t>
  </si>
  <si>
    <t xml:space="preserve">Companies House - historique des dépôts de comptes de Chatsworth House Trust (01541046)</t>
  </si>
  <si>
    <t xml:space="preserve">https://find-and-update.company-information.service.gov.uk/company/01541046/filing-history?category=accounts</t>
  </si>
  <si>
    <t xml:space="preserve">R5-07</t>
  </si>
  <si>
    <t xml:space="preserve">Burghley House Preservation Trust Limited - Annual Report 2026 and consolidated financial statements year ended 31 January 2026 (PDF Companies House)</t>
  </si>
  <si>
    <t xml:space="preserve">https://find-and-update.company-information.service.gov.uk/company/00951524/filing-history/MzUzOTA5NTUzNmFkaXF6a2N4/document?format=pdf&amp;download=0</t>
  </si>
  <si>
    <t xml:space="preserve">R5 §1.4</t>
  </si>
  <si>
    <t xml:space="preserve">R5-08</t>
  </si>
  <si>
    <t xml:space="preserve">Burghley Horse Trials Limited - Directors' report and financial statements year ended 31 January 2026 (PDF Companies House)</t>
  </si>
  <si>
    <t xml:space="preserve">https://find-and-update.company-information.service.gov.uk/company/07087188/filing-history/MzUzOTA5MjA4M2FkaXF6a2N4/document?format=pdf&amp;download=0</t>
  </si>
  <si>
    <t xml:space="preserve">R5-09</t>
  </si>
  <si>
    <t xml:space="preserve">Companies House - recherches internes et historiques de dépôts (Burghley 00951524, Burghley Horse Trials 07087188, Badminton Horse Trials 03270324, liste des sociétés de concours complet dissoutes)</t>
  </si>
  <si>
    <t xml:space="preserve">https://find-and-update.company-information.service.gov.uk/search/companies?q=burghley+horse+trials</t>
  </si>
  <si>
    <t xml:space="preserve">R5 §1.4 §1.5</t>
  </si>
  <si>
    <t xml:space="preserve">R5-10</t>
  </si>
  <si>
    <t xml:space="preserve">Badminton Horse Trials Ltd - Total exemption full accounts 30 September 2025 (PDF Companies House)</t>
  </si>
  <si>
    <t xml:space="preserve">https://find-and-update.company-information.service.gov.uk/company/03270324/filing-history/MzUyMTI2NzYwNGFkaXF6a2N4/document?format=pdf&amp;download=0</t>
  </si>
  <si>
    <t xml:space="preserve">comptes annuels (registre officiel)</t>
  </si>
  <si>
    <t xml:space="preserve">R5 §1.5</t>
  </si>
  <si>
    <t xml:space="preserve">R5-11</t>
  </si>
  <si>
    <t xml:space="preserve">Castle Howard Estate Limited - Strategic report and audited financial statements year ended 31 January 2025 (PDF Companies House)</t>
  </si>
  <si>
    <t xml:space="preserve">https://find-and-update.company-information.service.gov.uk/company/00480214/filing-history/MzQ4NTM0NjMxOGFkaXF6a2N4/document?format=pdf&amp;download=0</t>
  </si>
  <si>
    <t xml:space="preserve">R5 §1.6</t>
  </si>
  <si>
    <t xml:space="preserve">R5-12</t>
  </si>
  <si>
    <t xml:space="preserve">Longleat Enterprises Limited - Strategic report and audited financial statements year ended 31 December 2025 (PDF Companies House)</t>
  </si>
  <si>
    <t xml:space="preserve">https://find-and-update.company-information.service.gov.uk/company/00789512/filing-history/MzU0NDU1MzI2NWFkaXF6a2N4/document?format=pdf&amp;download=0</t>
  </si>
  <si>
    <t xml:space="preserve">R5 §1.7</t>
  </si>
  <si>
    <t xml:space="preserve">R5-13</t>
  </si>
  <si>
    <t xml:space="preserve">Highclere Enterprises LLP - Filleted unaudited financial statements year ended 31 March 2025 (PDF Companies House)</t>
  </si>
  <si>
    <t xml:space="preserve">https://find-and-update.company-information.service.gov.uk/company/OC305641/filing-history/MzUxMjQ5NDk3MWFkaXF6a2N4/document?format=pdf&amp;download=0</t>
  </si>
  <si>
    <t xml:space="preserve">R5 §1.8</t>
  </si>
  <si>
    <t xml:space="preserve">R5-14</t>
  </si>
  <si>
    <t xml:space="preserve">Northumberland Estates Limited - Group strategic report and audited consolidated financial statements year ended 31 March 2026 (PDF Companies House)</t>
  </si>
  <si>
    <t xml:space="preserve">https://find-and-update.company-information.service.gov.uk/company/05941545/filing-history/MzU0NTg2NTU3M2FkaXF6a2N4/document?format=pdf&amp;download=0</t>
  </si>
  <si>
    <t xml:space="preserve">R5 §1.9</t>
  </si>
  <si>
    <t xml:space="preserve">R5-15</t>
  </si>
  <si>
    <t xml:space="preserve">Historic Houses - The economic, social and cultural impact of independent historic houses (UK key stats 2025, PDF)</t>
  </si>
  <si>
    <t xml:space="preserve">https://cdn.historichouses.org/app/uploads/2025/04/05-uk-key-stats-2025-v5.pdf</t>
  </si>
  <si>
    <t xml:space="preserve">fiche statistique d'association professionnelle (enquête membres)</t>
  </si>
  <si>
    <t xml:space="preserve">R5 §1.10</t>
  </si>
  <si>
    <t xml:space="preserve">R5-16</t>
  </si>
  <si>
    <t xml:space="preserve">Museums Association - New report highlights ongoing risk of repair backlog at historic houses (18/11/2025)</t>
  </si>
  <si>
    <t xml:space="preserve">presse professionnelle</t>
  </si>
  <si>
    <t xml:space="preserve">R5-17</t>
  </si>
  <si>
    <t xml:space="preserve">HMRC Trusts, Settlements and Estates Manual - TSEM5800 Heritage maintenance funds</t>
  </si>
  <si>
    <t xml:space="preserve">https://www.gov.uk/hmrc-internal-manuals/trusts-settlements-and-estates-manual/tsem5800</t>
  </si>
  <si>
    <t xml:space="preserve">texte administratif officiel</t>
  </si>
  <si>
    <t xml:space="preserve">R5-18</t>
  </si>
  <si>
    <t xml:space="preserve">HMRC Inheritance Tax Manual - IHTM11250 Exemptions: maintenance funds</t>
  </si>
  <si>
    <t xml:space="preserve">https://www.gov.uk/hmrc-internal-manuals/inheritance-tax-manual/ihtm11250</t>
  </si>
  <si>
    <t xml:space="preserve">R5-19</t>
  </si>
  <si>
    <t xml:space="preserve">HMRC - Guidance on capital taxation and the national heritage (chapitre 8 Maintenance Funds, mise à jour 23/08/2024)</t>
  </si>
  <si>
    <t xml:space="preserve">https://www.gov.uk/government/publications/capital-taxation-and-tax-exempt-heritage-assets/guidance-on-capital-taxation-and-the-national-heritage</t>
  </si>
  <si>
    <t xml:space="preserve">guide administratif officiel</t>
  </si>
  <si>
    <t xml:space="preserve">R5-20</t>
  </si>
  <si>
    <t xml:space="preserve">Spear's - How Lady Carnarvon turned Highclere Castle, the real Downton Abbey, into one of the most successful country homes (07/02/2022)</t>
  </si>
  <si>
    <t xml:space="preserve">https://spearswms.com/wealth/highclere-castle-lady-carnarvon/</t>
  </si>
  <si>
    <t xml:space="preserve">presse économique (entretien)</t>
  </si>
  <si>
    <t xml:space="preserve">R5 §1.11</t>
  </si>
  <si>
    <t xml:space="preserve">R5-21</t>
  </si>
  <si>
    <t xml:space="preserve">The Irish National Stud DAC - Consolidated financial statements 2024 (PDF)</t>
  </si>
  <si>
    <t xml:space="preserve">https://irishnationalstud.ie/wp-content/uploads/2025/07/INS-CONSOL-Typesigned_-FY24.pdf</t>
  </si>
  <si>
    <t xml:space="preserve">comptes annuels audités (société publique)</t>
  </si>
  <si>
    <t xml:space="preserve">R5 §2.1</t>
  </si>
  <si>
    <t xml:space="preserve">R5-22</t>
  </si>
  <si>
    <t xml:space="preserve">The Irish Field - Irish National Stud posts improved results (10/07/2026)</t>
  </si>
  <si>
    <t xml:space="preserve">https://www.theirishfield.ie/amp/bloodstock/news/irish-national-stud-posts-improved-results-923266</t>
  </si>
  <si>
    <t xml:space="preserve">R5-23</t>
  </si>
  <si>
    <t xml:space="preserve">Castle Leslie Estate - Hospitality Year End Report 2023 (No financials) (PDF)</t>
  </si>
  <si>
    <t xml:space="preserve">https://www.castleleslie.com/wp-content/uploads/2024/08/CLE-Hospitality-Year-End-Report-2023-7-No-financials.pdf</t>
  </si>
  <si>
    <t xml:space="preserve">rapport d'entreprise (sans comptes)</t>
  </si>
  <si>
    <t xml:space="preserve">R5 §2.2</t>
  </si>
  <si>
    <t xml:space="preserve">R5-24</t>
  </si>
  <si>
    <t xml:space="preserve">Castle Leslie Estate - Welcome to the Castle Leslie Equestrian Centre</t>
  </si>
  <si>
    <t xml:space="preserve">https://www.castleleslie.com/equestrian/</t>
  </si>
  <si>
    <t xml:space="preserve">site officiel du domaine</t>
  </si>
  <si>
    <t xml:space="preserve">R5-25</t>
  </si>
  <si>
    <t xml:space="preserve">Lampoon Magazine - Chronicles from Reschio: 1500 Hectares of Regenerated Forest (Carlo Mazzoni, 15/08/2025)</t>
  </si>
  <si>
    <t xml:space="preserve">https://lampoonmagazine.com/reschio-benedikt-bolza-architecture-estate-castle-farmhouses-forest-umbria-nencia-corsini/</t>
  </si>
  <si>
    <t xml:space="preserve">R5 §3.1</t>
  </si>
  <si>
    <t xml:space="preserve">R5-26</t>
  </si>
  <si>
    <t xml:space="preserve">Reschio - site officiel, page d'accueil</t>
  </si>
  <si>
    <t xml:space="preserve">https://www.reschio.com/</t>
  </si>
  <si>
    <t xml:space="preserve">R5-27</t>
  </si>
  <si>
    <t xml:space="preserve">Reschio - Own a House</t>
  </si>
  <si>
    <t xml:space="preserve">https://www.reschio.com/own-a-house</t>
  </si>
  <si>
    <t xml:space="preserve">R5-28</t>
  </si>
  <si>
    <t xml:space="preserve">Reschio - Horses</t>
  </si>
  <si>
    <t xml:space="preserve">https://www.reschio.com/horses</t>
  </si>
  <si>
    <t xml:space="preserve">R5-29</t>
  </si>
  <si>
    <t xml:space="preserve">Résultats de recherche web (Reschio: 1200 ou 1500 ha, hôtel de 36 chambres, 20 maisons vendues selon une source plus ancienne)</t>
  </si>
  <si>
    <t xml:space="preserve">https://www.culturedmag.com/article/2021/06/28/castello-di-reschio-opens-as-unparalleled-mecca-of-italian-authenticity</t>
  </si>
  <si>
    <t xml:space="preserve">presse (vu en extrait de recherche seulement)</t>
  </si>
  <si>
    <t xml:space="preserve">R5-30</t>
  </si>
  <si>
    <t xml:space="preserve">snobb.net - La Donaira: pure luxury, pure nature and pure conscience (Karethe Linaae, 01/07/2020)</t>
  </si>
  <si>
    <t xml:space="preserve">https://snobb.net/2020/07/la-donaira-pure-luxury-pure-nature-and-pure-conscience</t>
  </si>
  <si>
    <t xml:space="preserve">R5 §4.1</t>
  </si>
  <si>
    <t xml:space="preserve">R5-31</t>
  </si>
  <si>
    <t xml:space="preserve">La Donaira - site officiel, page d'accueil</t>
  </si>
  <si>
    <t xml:space="preserve">https://www.ladonaira.com/</t>
  </si>
  <si>
    <t xml:space="preserve">R5-32</t>
  </si>
  <si>
    <t xml:space="preserve">La Donaira - Lusitanos</t>
  </si>
  <si>
    <t xml:space="preserve">https://www.ladonaira.com/lusitanos</t>
  </si>
  <si>
    <t xml:space="preserve">R5-33</t>
  </si>
  <si>
    <t xml:space="preserve">La Donaira - Lusitanos for sale</t>
  </si>
  <si>
    <t xml:space="preserve">https://www.ladonaira.com/lusitanos-for-sale</t>
  </si>
  <si>
    <t xml:space="preserve">R5-34</t>
  </si>
  <si>
    <t xml:space="preserve">Biltmore - Biltmore House by the Numbers (fact sheet PDF, 2018)</t>
  </si>
  <si>
    <t xml:space="preserve">https://www.biltmore.com/wp-content/uploads/2019/07/FactSheet_BiltmoreBytheNumbers.pdf</t>
  </si>
  <si>
    <t xml:space="preserve">fiche officielle de l'entreprise</t>
  </si>
  <si>
    <t xml:space="preserve">R5 §5.1</t>
  </si>
  <si>
    <t xml:space="preserve">R5-35</t>
  </si>
  <si>
    <t xml:space="preserve">Biltmore Report to Our Community 2024 - Economic Impact (vu en résultat de recherche, page vide pour l'outil)</t>
  </si>
  <si>
    <t xml:space="preserve">https://compassmedia.mydigitalpublication.com/article/Economic+Impact/5015516/850075/article.html</t>
  </si>
  <si>
    <t xml:space="preserve">rapport d'entreprise</t>
  </si>
  <si>
    <t xml:space="preserve">R5-36</t>
  </si>
  <si>
    <t xml:space="preserve">TrueNicks - Into Mischief, Vekoma Lead 2026 Spendthrift Stud Roster (07/10/2025)</t>
  </si>
  <si>
    <t xml:space="preserve">https://truenicks.com/articles/287787/into-mischief-vekoma-lead-2026-spendthrift-stud-roster</t>
  </si>
  <si>
    <t xml:space="preserve">presse spécialisée hippique</t>
  </si>
  <si>
    <t xml:space="preserve">R5 §5.2</t>
  </si>
  <si>
    <t xml:space="preserve">R5-37</t>
  </si>
  <si>
    <t xml:space="preserve">WKYT - Into Mischief's Derby legacy: Lexington stallion could make history again (01/05/2026)</t>
  </si>
  <si>
    <t xml:space="preserve">https://www.wkyt.com/2026/05/01/into-mischiefs-derby-legacy-lexington-stallion-could-make-history-again</t>
  </si>
  <si>
    <t xml:space="preserve">presse locale</t>
  </si>
  <si>
    <t xml:space="preserve">R5-38</t>
  </si>
  <si>
    <t xml:space="preserve">The Land Report - Wellington Equestrian Market Jumps to $692,000 Per Acre (Cary Estes, 01/05/2023)</t>
  </si>
  <si>
    <t xml:space="preserve">https://landreport.com/wellington-692000-per-acre</t>
  </si>
  <si>
    <t xml:space="preserve">presse spécialisée foncier</t>
  </si>
  <si>
    <t xml:space="preserve">R5 §5.3</t>
  </si>
  <si>
    <t xml:space="preserve">R5-39</t>
  </si>
  <si>
    <t xml:space="preserve">Town-Crier - Study: 2025 WEF Delivered $538.2 Million In Economic Impact (05/09/2025)</t>
  </si>
  <si>
    <t xml:space="preserve">https://gotowncrier.com/2025/09/study-2025-wef-delivered-538-2-million-in-economic-impact</t>
  </si>
  <si>
    <t xml:space="preserve">R5-40</t>
  </si>
  <si>
    <t xml:space="preserve">Wentworth Woodhouse Preservation Trust - Trustees' report and consolidated financial statements year ended 31 March 2025 (PDF Companies House)</t>
  </si>
  <si>
    <t xml:space="preserve">https://find-and-update.company-information.service.gov.uk/company/08809187/filing-history/MzQ5MzQyNzI3MmFkaXF6a2N4/document?format=pdf&amp;download=0</t>
  </si>
  <si>
    <t xml:space="preserve">R5 §6.1</t>
  </si>
  <si>
    <t xml:space="preserve">R5-41</t>
  </si>
  <si>
    <t xml:space="preserve">Résultat de recherche - Wentworth Woodhouse stately home saved with 7m sale to trust (Batley News / Dewsbury Reporter, page 403)</t>
  </si>
  <si>
    <t xml:space="preserve">https://www.batleynews.co.uk/news/breaking-yorkshires-wentworth-woodhouse-stately-home-saved-aps7m-sale-trust-477792</t>
  </si>
  <si>
    <t xml:space="preserve">presse locale (vu en extrait de recherche seulement)</t>
  </si>
  <si>
    <t xml:space="preserve">R5-42</t>
  </si>
  <si>
    <t xml:space="preserve">Travel Extra - Adare Manor hotel resort reports third successive loss for 2025 (31/07/2026)</t>
  </si>
  <si>
    <t xml:space="preserve">https://www.travelextra.ie/adare-manor-hotel-resort-reports-third-successive-loss-for-2025/</t>
  </si>
  <si>
    <t xml:space="preserve">presse professionnelle tourisme</t>
  </si>
  <si>
    <t xml:space="preserve">R5 §2.3</t>
  </si>
  <si>
    <t xml:space="preserve">R5-43</t>
  </si>
  <si>
    <t xml:space="preserve">Travel Extra - Mount Juliet estate back in the black as it reports 9.38m profit (29/11/2024)</t>
  </si>
  <si>
    <t xml:space="preserve">https://www.travelextra.ie/mount-juliet-estate-back-in-the-black-as-it-reports-e9-38m-profit/</t>
  </si>
  <si>
    <t xml:space="preserve">R5-44</t>
  </si>
  <si>
    <t xml:space="preserve">Irish Times - Mount Juliet golf resort profits hit 9.4m (28/11/2024) (chiffre d'affaires vu en extrait de recherche seulement)</t>
  </si>
  <si>
    <t xml:space="preserve">https://irishtimes.com/business/2024/11/28/mount-juliet-golf-resort-profits-hit-94m</t>
  </si>
  <si>
    <t xml:space="preserve">R5-45</t>
  </si>
  <si>
    <t xml:space="preserve">Explore West Norfolk (Borough Council of King's Lynn &amp; West Norfolk) - Holkham Hall</t>
  </si>
  <si>
    <t xml:space="preserve">https://explorewestnorfolk.co.uk/venues/holkham-hall-63</t>
  </si>
  <si>
    <t xml:space="preserve">site touristique d'une collectivité</t>
  </si>
  <si>
    <t xml:space="preserve">R5 §1.12</t>
  </si>
  <si>
    <t xml:space="preserve">R5-46</t>
  </si>
  <si>
    <t xml:space="preserve">Résultats de recherche sur Holkham (conférence St George's Society 2017, rachat de McDonnell Caravans en octobre 2024)</t>
  </si>
  <si>
    <t xml:space="preserve">https://www.stgeorgessociety.org/events/2017/11/08/holkam-a-family-home-for-over-400-years-fty8f</t>
  </si>
  <si>
    <t xml:space="preserve">annonce d'événement et presse (vus en extrait de recherche seulement)</t>
  </si>
  <si>
    <t xml:space="preserve">R5-47</t>
  </si>
  <si>
    <t xml:space="preserve">Assemblée nationale - Question écrite n° 13372 (17e législature), Droit de préemption concernant le bâti agricole, réponse publiée au JO le 28/04/2026 p. 3676</t>
  </si>
  <si>
    <t xml:space="preserve">https://www.assemblee-nationale.fr/dyn/17/questions/QANR5L17QE13372</t>
  </si>
  <si>
    <t xml:space="preserve">réponse ministérielle officielle</t>
  </si>
  <si>
    <t xml:space="preserve">R5 §8.2</t>
  </si>
  <si>
    <t xml:space="preserve">R5-48</t>
  </si>
  <si>
    <t xml:space="preserve">Assemblée nationale - Question écrite n° 91548 (14e législature), changement de destination en zone A ou N (CDPENAF, CDNPS), réponse publiée au JO le 13/09/2016 p. 8216</t>
  </si>
  <si>
    <t xml:space="preserve">https://www.assemblee-nationale.fr/dyn/14/questions/QANR5L14QE91548</t>
  </si>
  <si>
    <t xml:space="preserve">R5 §8.1</t>
  </si>
  <si>
    <t xml:space="preserve">R5-49</t>
  </si>
  <si>
    <t xml:space="preserve">Companies House - recherche Coke Estates Limited (01171497) et historiques de dépôts de Coke Estates et Holkham Holiday Parks Limited (11802261)</t>
  </si>
  <si>
    <t xml:space="preserve">https://find-and-update.company-information.service.gov.uk/company/01171497/filing-history?category=accounts</t>
  </si>
  <si>
    <t xml:space="preserve">R5-50</t>
  </si>
  <si>
    <t xml:space="preserve">Eurojuris (A. Gaucher-Piola, avocat) - Droit de préemption de la SAFER sur les bâtiments agricoles (20/09/2007)</t>
  </si>
  <si>
    <t xml:space="preserve">https://www.eurojuris.fr/urbanisme/articles/droit-preemption-safer-sur-batiments-agricoles-6456.htm</t>
  </si>
  <si>
    <t xml:space="preserve">article d'avocat (ancien)</t>
  </si>
  <si>
    <t xml:space="preserve">R5-51</t>
  </si>
  <si>
    <t xml:space="preserve">Résultats de recherche Historic Houses (documents non ouverts: vat-summary-v10.pdf, rapport TVA 2025, infographie 2023) mentionnant une dépense annuelle d'environ 160 millions de livres</t>
  </si>
  <si>
    <t xml:space="preserve">https://historichouses.org/app/uploads/2025/01/hh-vat-research-report-final-v4-20250128.pdf</t>
  </si>
  <si>
    <t xml:space="preserve">documents d'association (vus en extrait de recherche seulement, document exact non identifié)</t>
  </si>
  <si>
    <t xml:space="preserve">R5-52</t>
  </si>
  <si>
    <t xml:space="preserve">Résultats de recherche Adare Manor (Irish Examiner, Limerick Leader: Tizzard Holdings, statut unlimited, pas d'obligation de dépôt des comptes)</t>
  </si>
  <si>
    <t xml:space="preserve">https://www.irishexaminer.com/business/companies/arid-41888824.html</t>
  </si>
  <si>
    <t xml:space="preserve">presse économique (vue en extrait de recherche seulement)</t>
  </si>
  <si>
    <t xml:space="preserve">R6-01</t>
  </si>
  <si>
    <t xml:space="preserve">IFCE-OESC — Chiffres clés 2025, bilan statistique de la filière équine française, données 2024 (dépliant PDF, créé le 13/03/2026)</t>
  </si>
  <si>
    <t xml:space="preserve">https://equipedia.ifce.fr/bibliotheque/6.Statistiques/6.1.Ecus-depliant/IFCE-depliant-chiffres-cles-2025.pdf</t>
  </si>
  <si>
    <t xml:space="preserve">statistique officielle (établissement public)</t>
  </si>
  <si>
    <t xml:space="preserve">§1 filière, §5 courses, §7 compétitions</t>
  </si>
  <si>
    <t xml:space="preserve">R6-02</t>
  </si>
  <si>
    <t xml:space="preserve">Inosys Réseaux d'élevage / Réseau Équin (Idele, IFCE, Chambres d'agriculture) — Cas-type EQCE3 « Centre équestre tout public Compétition », campagne 2025 (PDF, mars 2026, réf. 00 26 602 014)</t>
  </si>
  <si>
    <t xml:space="preserve">https://chevaux-normandie.com/wp-content/uploads/2026/06/Cas-type-competition_2025.pdf</t>
  </si>
  <si>
    <t xml:space="preserve">référence technico-économique (instituts techniques)</t>
  </si>
  <si>
    <t xml:space="preserve">§2 références, §3 pension, §9 tableau modèles</t>
  </si>
  <si>
    <t xml:space="preserve">R6-03</t>
  </si>
  <si>
    <t xml:space="preserve">Réseau Équin (Idele, IFCE, Chambres d'agriculture, Conseils des chevaux) — Synthèse nationale des exploitations du Réseau Équin 2023, repères technico-économiques 2021 (88 exploitations, PDF juillet 2023)</t>
  </si>
  <si>
    <t xml:space="preserve">https://chevaux-normandie.com/wp-content/uploads/2024/04/Synthese-nationale-2023.pdf</t>
  </si>
  <si>
    <t xml:space="preserve">§2 références, §3 pension, §5 entraîneur, §9 tableau modèles</t>
  </si>
  <si>
    <t xml:space="preserve">R6-04</t>
  </si>
  <si>
    <t xml:space="preserve">Commune de Bry-sur-Marne (94) — délibération 2025DELIB0067 du 30/06/2025, tarifs du centre équestre municipal (concession UCPA) saison 2025-2026 (PDF)</t>
  </si>
  <si>
    <t xml:space="preserve">https://www.brysurmarne.fr/app/uploads/2025/07/CM-du-30-juin-2025-2025DELIB0067-Actualisation-des-tarifs-du-centre-equestre-municipal-de-Bry-sur-Marne-pour-la-saison-sportive-2025-2026.pdf</t>
  </si>
  <si>
    <t xml:space="preserve">acte administratif (délibération municipale)</t>
  </si>
  <si>
    <t xml:space="preserve">§3 pension</t>
  </si>
  <si>
    <t xml:space="preserve">R6-05</t>
  </si>
  <si>
    <t xml:space="preserve">IFCE-OESC — Annuaire ECUS 2023 (données 2022), 96 p., PDF hébergé par l'AQPS (téléchargé par curl car &gt; 10 Mo pour WebFetch)</t>
  </si>
  <si>
    <t xml:space="preserve">https://www.aqps.fr/wp-content/uploads/2024/02/Annuaire-ECUS-2023.pdf</t>
  </si>
  <si>
    <t xml:space="preserve">§4 commerce et élevage, §5 courses</t>
  </si>
  <si>
    <t xml:space="preserve">R6-06</t>
  </si>
  <si>
    <t xml:space="preserve">France Galop — Rapport d'activité 2025 / comptes sociaux 2025 (46 p., PDF publié en juin 2026)</t>
  </si>
  <si>
    <t xml:space="preserve">https://www.france-galop.com/sites/default/files/2026-06/fg_comptes_sociaux_2025.pdf</t>
  </si>
  <si>
    <t xml:space="preserve">comptes officiels (société mère des courses au galop)</t>
  </si>
  <si>
    <t xml:space="preserve">§5 courses</t>
  </si>
  <si>
    <t xml:space="preserve">R6-07</t>
  </si>
  <si>
    <t xml:space="preserve">France Galop — Programme officiel Obstacles février-mai 2024 (216 p., PDF, téléchargé par curl car &gt; 10 Mo pour WebFetch), page 3 « Prime au propriétaire »</t>
  </si>
  <si>
    <t xml:space="preserve">https://www.france-galop.com/sites/default/files/2024-01/obstacles_fev_2024_mai_2024_v6.pdf</t>
  </si>
  <si>
    <t xml:space="preserve">règlement officiel (conditions de courses)</t>
  </si>
  <si>
    <t xml:space="preserve">R6-08</t>
  </si>
  <si>
    <t xml:space="preserve">Arqana — Statistiques annuelles (page 2026 lue par WebFetch, années 2025 et 2024 lues par curl avec cookie de session, la sélection d'année passant par une redirection 302 que WebFetch ne suit pas)</t>
  </si>
  <si>
    <t xml:space="preserve">https://www.arqana.com/statistiques_annuelles.html</t>
  </si>
  <si>
    <t xml:space="preserve">statistiques d'une maison de ventes (source primaire)</t>
  </si>
  <si>
    <t xml:space="preserve">§5 courses et ventes</t>
  </si>
  <si>
    <t xml:space="preserve">R6-09</t>
  </si>
  <si>
    <t xml:space="preserve">Arqana — Processus de vente (frais vendeur, rachat, inscription)</t>
  </si>
  <si>
    <t xml:space="preserve">https://www.arqana.com/processus_de_vente.html</t>
  </si>
  <si>
    <t xml:space="preserve">conditions commerciales (maison de ventes)</t>
  </si>
  <si>
    <t xml:space="preserve">§5 courses et ventes, §6 haras</t>
  </si>
  <si>
    <t xml:space="preserve">R6-10</t>
  </si>
  <si>
    <t xml:space="preserve">Arqana — Processus d'achat (frais acheteur, TVA, paiement)</t>
  </si>
  <si>
    <t xml:space="preserve">https://www.arqana.com/processus_d_achat.html</t>
  </si>
  <si>
    <t xml:space="preserve">R6-11</t>
  </si>
  <si>
    <t xml:space="preserve">Chambres d'agriculture (Hauts-de-France / Normandie) — fiches « pension reproduction » (résultat de recherche seulement, PDF en 404/503 à l'ouverture, non daté)</t>
  </si>
  <si>
    <t xml:space="preserve">https://refonte-normandie.chambres-agriculture.fr/fileadmin/user_upload/Normandie/506_Fichiers-communs/PDF/EQUINS/pension-reproduction-activite-complementaire.pdf</t>
  </si>
  <si>
    <t xml:space="preserve">fiche technique de chambre d'agriculture</t>
  </si>
  <si>
    <t xml:space="preserve">§6 haras</t>
  </si>
  <si>
    <t xml:space="preserve">R6-12</t>
  </si>
  <si>
    <t xml:space="preserve">Aga Khan Studs — fiche étalon Siyouni (Haras de Bonneval), tarif 2026</t>
  </si>
  <si>
    <t xml:space="preserve">https://www.agakhanstuds.com/all-stallions/siyouni/</t>
  </si>
  <si>
    <t xml:space="preserve">site d'un haras (source primaire commerciale)</t>
  </si>
  <si>
    <t xml:space="preserve">R6-13</t>
  </si>
  <si>
    <t xml:space="preserve">Aga Khan Studs — fiche étalon Zarak (Haras de Bonneval), tarif 2026</t>
  </si>
  <si>
    <t xml:space="preserve">https://www.agakhanstuds.com/all-stallions/zarak/</t>
  </si>
  <si>
    <t xml:space="preserve">R6-14</t>
  </si>
  <si>
    <t xml:space="preserve">Aga Khan Studs — « Aga Khan Studs fees 2026 » (article, non daté sur la page)</t>
  </si>
  <si>
    <t xml:space="preserve">https://www.agakhanstuds.com/news/stallions/aga-khan-studs-fees-2026/</t>
  </si>
  <si>
    <t xml:space="preserve">R6-15</t>
  </si>
  <si>
    <t xml:space="preserve">Haras de Jardy (Marnes-la-Coquette, Hauts-de-Seine) — page « Les pensions » et plaquette « Pensions chevaux de propriétaires » (image JPG mise en ligne en mars 2026, lue visuellement)</t>
  </si>
  <si>
    <t xml:space="preserve">https://harasdejardy.com/wp-content/uploads/2026/03/Plaquette_proprietaires_Jardy.jpg</t>
  </si>
  <si>
    <t xml:space="preserve">tarif public d'un établissement équestre</t>
  </si>
  <si>
    <t xml:space="preserve">R6-16</t>
  </si>
  <si>
    <t xml:space="preserve">IFCE-OESC — « Gestion de la fin de vie : quels dispositifs pour répondre aux besoins futurs ? » Synthèse 2021 (enquêtes de juin 2019 : 658 propriétaires, 164 structures), PDF 18 p.</t>
  </si>
  <si>
    <t xml:space="preserve">https://equipedia.ifce.fr/fileadmin/bibliotheque/6.Statistiques/6.5.Notes-thematiques/Rapport-Gestion-fin-de-vie-cheval-2020.pdf</t>
  </si>
  <si>
    <t xml:space="preserve">étude statistique (établissement public)</t>
  </si>
  <si>
    <t xml:space="preserve">§3 pension (retraite, demande)</t>
  </si>
  <si>
    <t xml:space="preserve">R6-17</t>
  </si>
  <si>
    <t xml:space="preserve">Syndicat mixte du Haras national de Lamballe (22) — « Point budgétaire, rapport d'activité 2025 au 22 novembre 2025 » (PDF 18 p.)</t>
  </si>
  <si>
    <t xml:space="preserve">https://www.haras-lamballe.com/front/media/document/3/25-11-22-point-budegtaire-rapport-d-activite.pdf</t>
  </si>
  <si>
    <t xml:space="preserve">document budgétaire d'une collectivité (syndicat mixte)</t>
  </si>
  <si>
    <t xml:space="preserve">§7 événements, §8 risques, contre-exemples</t>
  </si>
  <si>
    <t xml:space="preserve">R6-18</t>
  </si>
  <si>
    <t xml:space="preserve">Acteurs publics — « Polémique sur la possible privatisation du Versailles du cheval » (Haras du Pin), 22/02/2012</t>
  </si>
  <si>
    <t xml:space="preserve">presse spécialisée (secteur public)</t>
  </si>
  <si>
    <t xml:space="preserve">contre-exemples</t>
  </si>
  <si>
    <t xml:space="preserve">R6-19</t>
  </si>
  <si>
    <t xml:space="preserve">Sénat — étude d'impact du projet de loi pjl20-709 (dissolution de l'établissement public du Haras national du Pin, transfert des biens au département de l'Orne et à l'État) — vu seulement en résultat de recherche</t>
  </si>
  <si>
    <t xml:space="preserve">R6-20</t>
  </si>
  <si>
    <t xml:space="preserve">Mondial du Lion — dossier de presse 2025 (PDF 25 p., 13/10/2025)</t>
  </si>
  <si>
    <t xml:space="preserve">https://www.mondialdulion.com/wp-content/uploads/2025/10/DOSSIER-DE-PRESSE-FR.pdf</t>
  </si>
  <si>
    <t xml:space="preserve">dossier de presse d'un organisateur</t>
  </si>
  <si>
    <t xml:space="preserve">§7 événements</t>
  </si>
  <si>
    <t xml:space="preserve">R6-21</t>
  </si>
  <si>
    <t xml:space="preserve">Polo Club du Domaine de Chantilly — page « Membership » (tarifs 2026 annoncés via un lien Dropbox supprimé)</t>
  </si>
  <si>
    <t xml:space="preserve">https://www.poloclubchantilly.com/membership</t>
  </si>
  <si>
    <t xml:space="preserve">site d'un club</t>
  </si>
  <si>
    <t xml:space="preserve">§7 polo</t>
  </si>
  <si>
    <t xml:space="preserve">R6-22</t>
  </si>
  <si>
    <t xml:space="preserve">Around the Rings (Infobae) — « FEI cancels European mainland events due to EHV-1 neurological form » (communiqué FEI repris)</t>
  </si>
  <si>
    <t xml:space="preserve">https://www.infobae.com/aroundtherings/federations/2021/07/12/fei-cancels-european-mainland-events-due-to-ehv-1-neurological-form</t>
  </si>
  <si>
    <t xml:space="preserve">presse spécialisée reprenant un communiqué officiel</t>
  </si>
  <si>
    <t xml:space="preserve">§8 risques</t>
  </si>
  <si>
    <t xml:space="preserve">R6-23</t>
  </si>
  <si>
    <t xml:space="preserve">Préfecture de l'Orne — « Épidémie de rhinopneumonie, 15 mars 2021 » (communiqué FFE-SHF) — vu seulement en résultat de recherche (PDF en 503)</t>
  </si>
  <si>
    <t xml:space="preserve">https://www.orne.gouv.fr/contenu/telechargement/11501/98689/file/epidemie_de_rhinopneumonie_15_mars_2021_cle04d22c.pdf</t>
  </si>
  <si>
    <t xml:space="preserve">communiqué officiel</t>
  </si>
  <si>
    <t xml:space="preserve">R6-24</t>
  </si>
  <si>
    <t xml:space="preserve">IFCE / Réseau Économique de la Filière Équine — J. Pavie, B. Morhain, « Coûts de production dans les élevages équins », 4e journée REFErences, 19/01/2011 (diaporama PDF 9 p.)</t>
  </si>
  <si>
    <t xml:space="preserve">https://www.ifce.fr/wp-content/uploads/2015/07/OESC-4-Coûts-de-production_Pavie_Morhain.pdf</t>
  </si>
  <si>
    <t xml:space="preserve">référence technico-économique (ancienne)</t>
  </si>
  <si>
    <t xml:space="preserve">§4 élevage de sport</t>
  </si>
  <si>
    <t xml:space="preserve">R6-25</t>
  </si>
  <si>
    <t xml:space="preserve">Ville de Paris (DJS) — Avis d'appel public à candidature, convention d'occupation temporaire du domaine public pour l'exploitation du centre équestre de la Cartoucherie (Bois de Vincennes, Paris 12e), PDF du 08/01/2021</t>
  </si>
  <si>
    <t xml:space="preserve">https://cdn.paris.fr/paris/2021/01/15/6efbddef7a8dc5a7b0e1fffd8708e2d4.pdf</t>
  </si>
  <si>
    <t xml:space="preserve">acte administratif (avis de concession)</t>
  </si>
  <si>
    <t xml:space="preserve">§4 location d'écuries</t>
  </si>
  <si>
    <t xml:space="preserve">R6-26</t>
  </si>
  <si>
    <t xml:space="preserve">Inosys Réseaux d'élevage / Idele — Monographie « Centre de reproduction : des services développés par un éleveur pour les éleveurs », Haras du Rond Pré (Grand Est), saison 2022, décembre 2023, réf. 00 23 602 033 (PDF 4 p., page 3 lue aussi en image)</t>
  </si>
  <si>
    <t xml:space="preserve">https://chevaux-normandie.com/wp-content/uploads/2024/04/Monographie-Haras-du-Rond-Pre-1.pdf</t>
  </si>
  <si>
    <t xml:space="preserve">référence technico-économique (monographie)</t>
  </si>
  <si>
    <t xml:space="preserve">§6 haras, §6.3 reproduction, §9 tableau modèles</t>
  </si>
  <si>
    <t xml:space="preserve">R6-27</t>
  </si>
  <si>
    <t xml:space="preserve">Conseil des Chevaux de Normandie (Equi'Up, FNADT) — « Trajectoires économiques des entreprises normandes de la filière équine au cours de la crise Covid 2020 » (PDF 13 p., décembre 2021)</t>
  </si>
  <si>
    <t xml:space="preserve">https://equiup.chevaux-normandie.com/uploads/Ressources/Economique/Pilotage%20d'entreprise/EQUIUP211015-etude%20equicer%20VF.pdf</t>
  </si>
  <si>
    <t xml:space="preserve">étude économique (conseil régional des équidés)</t>
  </si>
  <si>
    <t xml:space="preserve">§8 risques (choc 2020)</t>
  </si>
  <si>
    <t xml:space="preserve">R6-28</t>
  </si>
  <si>
    <t xml:space="preserve">Haras de Hus (Petit-Mars, Loire-Atlantique) — page « Centre de reproduction : nos tarifs » (année non écrite dans le texte, fichier image nommé 2026, tarifs HT)</t>
  </si>
  <si>
    <t xml:space="preserve">https://www.harasdehus.com/fr/centre-reproduction/nos-tarifs.html</t>
  </si>
  <si>
    <t xml:space="preserve">tarif public d'un centre de reproduction</t>
  </si>
  <si>
    <t xml:space="preserve">§6 haras, centre de reproduction</t>
  </si>
  <si>
    <t xml:space="preserve">R7-01</t>
  </si>
  <si>
    <t xml:space="preserve">INSEE - Mariages et Pacs : données annuelles de 1990 à 2025</t>
  </si>
  <si>
    <t xml:space="preserve">https://www.insee.fr/fr/statistiques/2381498</t>
  </si>
  <si>
    <t xml:space="preserve">statistique officielle</t>
  </si>
  <si>
    <t xml:space="preserve">§1 Mariages, §8 Chocs</t>
  </si>
  <si>
    <t xml:space="preserve">R7-02</t>
  </si>
  <si>
    <t xml:space="preserve">INSEE Première n°2033 - Bilan démographique 2024 (janvier 2025)</t>
  </si>
  <si>
    <t xml:space="preserve">https://www.insee.fr/fr/statistiques/8327319</t>
  </si>
  <si>
    <t xml:space="preserve">R7-03</t>
  </si>
  <si>
    <t xml:space="preserve">Mariages.net - Rapport sur le Secteur Nuptial 2026 (3e édition, 1 304 couples mariés en 2025)</t>
  </si>
  <si>
    <t xml:space="preserve">https://www.mariages.net/articles/survivre-organisation-mariage-france-faits-curiosites-rapport-secteur-nuptial--c11444</t>
  </si>
  <si>
    <t xml:space="preserve">étude privée (plateforme)</t>
  </si>
  <si>
    <t xml:space="preserve">§1 Mariages</t>
  </si>
  <si>
    <t xml:space="preserve">R7-04</t>
  </si>
  <si>
    <t xml:space="preserve">Journal de l'économie - Mariage : prix, traditions, lieux… (28 mai 2026, cite Mariages.net, Hyatt, Sofinco)</t>
  </si>
  <si>
    <t xml:space="preserve">https://www.journaldeleconomie.fr/?p=47317</t>
  </si>
  <si>
    <t xml:space="preserve">R7-05</t>
  </si>
  <si>
    <t xml:space="preserve">Mariages.net - annuaire Château mariage (compteur de résultats)</t>
  </si>
  <si>
    <t xml:space="preserve">https://www.mariages.net/chateau-mariage</t>
  </si>
  <si>
    <t xml:space="preserve">plateforme (annuaire)</t>
  </si>
  <si>
    <t xml:space="preserve">§1 Concurrence</t>
  </si>
  <si>
    <t xml:space="preserve">R7-06</t>
  </si>
  <si>
    <t xml:space="preserve">Mariages.net - annuaire Domaine mariage (compteur de résultats)</t>
  </si>
  <si>
    <t xml:space="preserve">https://www.mariages.net/domaine-mariage</t>
  </si>
  <si>
    <t xml:space="preserve">R7-07</t>
  </si>
  <si>
    <t xml:space="preserve">Château de Picomtal - Brochure mariages 2026-2027 (PDF)</t>
  </si>
  <si>
    <t xml:space="preserve">https://www.picomtal.fr/sites/default/files/documents/2025-10/brochure-mariages-picomtal-2026-2027.pdf</t>
  </si>
  <si>
    <t xml:space="preserve">site du domaine (grille tarifaire)</t>
  </si>
  <si>
    <t xml:space="preserve">§1.4 Tarifs mariage</t>
  </si>
  <si>
    <t xml:space="preserve">R7-08</t>
  </si>
  <si>
    <t xml:space="preserve">Château de Berne - Hiring a château exclusively for a wedding: the two packages (14 août 2026)</t>
  </si>
  <si>
    <t xml:space="preserve">https://www.chateauberne.com/en/wp-json/wp/v2/posts/28026</t>
  </si>
  <si>
    <t xml:space="preserve">R7-09</t>
  </si>
  <si>
    <t xml:space="preserve">Bridebook - fiche Château des Pères (Piré-sur-Seiche)</t>
  </si>
  <si>
    <t xml:space="preserve">https://bridebook.com/fr/wedding-venues/ch-teau-des-p-res-pir-sur-seiche-ille-et-vilaine-freaXqZMgl</t>
  </si>
  <si>
    <t xml:space="preserve">R7-10</t>
  </si>
  <si>
    <t xml:space="preserve">1001 Salles - Guide complet : comment choisir sa salle de mariage en France en 2026 (17 février 2026)</t>
  </si>
  <si>
    <t xml:space="preserve">https://www.1001salles.com/blog/article/2562/guide-complet-comment-choisir-sa-salle-de-mariage-en-france-en-2026</t>
  </si>
  <si>
    <t xml:space="preserve">blog commercial</t>
  </si>
  <si>
    <t xml:space="preserve">§1.4 Tarifs, §1.5 Saisonnalité</t>
  </si>
  <si>
    <t xml:space="preserve">R7-11</t>
  </si>
  <si>
    <t xml:space="preserve">1001 Salles - Château de mariage à Bordeaux : prix, fourchettes (page en erreur 522)</t>
  </si>
  <si>
    <t xml:space="preserve">https://www.1001salles.com/blog/article/2589/chateau-de-mariage-a-bordeaux-prix-fourchettes-et-conseils-pour-votre-budget</t>
  </si>
  <si>
    <t xml:space="preserve">§1.4 Tarifs</t>
  </si>
  <si>
    <t xml:space="preserve">R7-12</t>
  </si>
  <si>
    <t xml:space="preserve">Centre des monuments nationaux - Grille tarifaire tournages et prises de vue CMN 2024 (PDF, modifié nov. 2025)</t>
  </si>
  <si>
    <t xml:space="preserve">https://www.monuments-nationaux.fr/content/download/9853454/file/Grille%20tarifaire%20tournages%20et%20prises%20de%20vue%20CMN%202024.pdf?version=15&amp;inLanguage=fre-FR</t>
  </si>
  <si>
    <t xml:space="preserve">établissement public (grille officielle)</t>
  </si>
  <si>
    <t xml:space="preserve">§3 Tournages</t>
  </si>
  <si>
    <t xml:space="preserve">R7-13</t>
  </si>
  <si>
    <t xml:space="preserve">Centre des monuments nationaux - Grilles tarifaires privatisation CMN (PDF, créé nov. 2025)</t>
  </si>
  <si>
    <t xml:space="preserve">https://www.monuments-nationaux.fr/content/download/9862216/file/Grilles%20tarifaires%20privatisation%20CMN.pdf?version=16&amp;inLanguage=fre-FR</t>
  </si>
  <si>
    <t xml:space="preserve">§1.4 bis, §2 Séminaires</t>
  </si>
  <si>
    <t xml:space="preserve">R7-14</t>
  </si>
  <si>
    <t xml:space="preserve">Centre des monuments nationaux - pages Tournage et prise de vue / Privatisation</t>
  </si>
  <si>
    <t xml:space="preserve">https://www.monuments-nationaux.fr/tournage-et-prise-de-vue</t>
  </si>
  <si>
    <t xml:space="preserve">établissement public</t>
  </si>
  <si>
    <t xml:space="preserve">R7-15</t>
  </si>
  <si>
    <t xml:space="preserve">Insee Focus n°225 - Se marier en été est une habitude récente : 150 ans de saisonnalité des mariages (11/02/2021)</t>
  </si>
  <si>
    <t xml:space="preserve">https://www.insee.fr/fr/statistiques/5018214</t>
  </si>
  <si>
    <t xml:space="preserve">§1.5 Saisonnalité</t>
  </si>
  <si>
    <t xml:space="preserve">R7-16</t>
  </si>
  <si>
    <t xml:space="preserve">Insee Focus n°260 - Une chute historique du nombre de mariages en 2020 à la suite des restrictions sanitaires (11/02/2022)</t>
  </si>
  <si>
    <t xml:space="preserve">https://www.insee.fr/fr/statistiques/6050251</t>
  </si>
  <si>
    <t xml:space="preserve">§1.5, §8 Chocs</t>
  </si>
  <si>
    <t xml:space="preserve">R7-17</t>
  </si>
  <si>
    <t xml:space="preserve">Atout France - recherche interne « mariage » sur atout-france.fr</t>
  </si>
  <si>
    <t xml:space="preserve">https://www.atout-france.fr/fr/recherche?search_api_fulltext=mariage</t>
  </si>
  <si>
    <t xml:space="preserve">agence publique (catalogue)</t>
  </si>
  <si>
    <t xml:space="preserve">§1.6 Destination</t>
  </si>
  <si>
    <t xml:space="preserve">R7-18</t>
  </si>
  <si>
    <t xml:space="preserve">Atout France - Salon EPEX 2025 (Inde, MICE et destination weddings)</t>
  </si>
  <si>
    <t xml:space="preserve">https://www.atout-france.fr/fr/catalogue/rendez-vous/salon-epex-2025</t>
  </si>
  <si>
    <t xml:space="preserve">agence publique</t>
  </si>
  <si>
    <t xml:space="preserve">R7-19</t>
  </si>
  <si>
    <t xml:space="preserve">Atout France - Wedding Planner Event avec Business France</t>
  </si>
  <si>
    <t xml:space="preserve">https://www.atout-france.fr/fr/catalogue/operations-carte/wedding-planner-event-avec-business-france</t>
  </si>
  <si>
    <t xml:space="preserve">R7-20</t>
  </si>
  <si>
    <t xml:space="preserve">La Demeure Historique - Dossier de presse « Châteaux près d'ici » (31 mars 2026, PDF)</t>
  </si>
  <si>
    <t xml:space="preserve">https://www.demeure-historique.org/wp-content/uploads/2026/03/Dossier-de-presse-Chateaux-pres-dici-VF-31.03.pdf</t>
  </si>
  <si>
    <t xml:space="preserve">association professionnelle (communiqué)</t>
  </si>
  <si>
    <t xml:space="preserve">§7.1 Visites</t>
  </si>
  <si>
    <t xml:space="preserve">R7-21</t>
  </si>
  <si>
    <t xml:space="preserve">La Demeure Historique - Communiqué « Sauvons nos monuments ! » (31.03.2021, PDF)</t>
  </si>
  <si>
    <t xml:space="preserve">https://www.demeure-historique.org/wp-content/uploads/2022/05/Sauvons-nos-monuments-.pdf</t>
  </si>
  <si>
    <t xml:space="preserve">§8 Chocs</t>
  </si>
  <si>
    <t xml:space="preserve">R7-22</t>
  </si>
  <si>
    <t xml:space="preserve">La Demeure Historique - page d'accueil (chiffres clés)</t>
  </si>
  <si>
    <t xml:space="preserve">https://www.demeure-historique.org/</t>
  </si>
  <si>
    <t xml:space="preserve">association professionnelle</t>
  </si>
  <si>
    <t xml:space="preserve">R7-23</t>
  </si>
  <si>
    <t xml:space="preserve">La Demeure Historique - Dossier « Une vraie stratégie » (octobre 2017, PDF)</t>
  </si>
  <si>
    <t xml:space="preserve">https://demeure-historique.org/wp-content/uploads/2017/11/dossier-une-vraie-strategie-light-2.pdf</t>
  </si>
  <si>
    <t xml:space="preserve">association professionnelle (dossier)</t>
  </si>
  <si>
    <t xml:space="preserve">§7.1 Visites, §1.7 ERP, échecs</t>
  </si>
  <si>
    <t xml:space="preserve">R7-24</t>
  </si>
  <si>
    <t xml:space="preserve">Unimev - Event Data Book 2026 : les chiffres qui font parler notre filière (3 sept. 2026)</t>
  </si>
  <si>
    <t xml:space="preserve">https://www.unimev.fr/articles/abdf3cc1-92a7-f111-9b33-000d3a4c7d4d/event-data-book-2026-les-chiffres-qui-font-parler-notre-filiere</t>
  </si>
  <si>
    <t xml:space="preserve">fédération professionnelle</t>
  </si>
  <si>
    <t xml:space="preserve">§2 Séminaires</t>
  </si>
  <si>
    <t xml:space="preserve">R7-25</t>
  </si>
  <si>
    <t xml:space="preserve">Voyages d'Affaires - B. Abittan (Châteauform') : « Je serai prudent en 2025 » (06/01/2025)</t>
  </si>
  <si>
    <t xml:space="preserve">https://www.voyages-d-affaires.com/?p=188143</t>
  </si>
  <si>
    <t xml:space="preserve">R7-26</t>
  </si>
  <si>
    <t xml:space="preserve">Voyages d'Affaires - Châteauform' : de nouvelles solutions pour entretenir le lien à distance (28/01/2021)</t>
  </si>
  <si>
    <t xml:space="preserve">https://www.voyages-d-affaires.com/?p=104795</t>
  </si>
  <si>
    <t xml:space="preserve">§2 Séminaires, §8 Chocs</t>
  </si>
  <si>
    <t xml:space="preserve">R7-27</t>
  </si>
  <si>
    <t xml:space="preserve">Château de La Roche-Guyon - Fiche produit séminaires 2023 (PDF)</t>
  </si>
  <si>
    <t xml:space="preserve">https://www.chateaudelarocheguyon.fr/wp-content/uploads/2019/09/1_Ficheproduitseminaire-2023.pdf</t>
  </si>
  <si>
    <t xml:space="preserve">§2.2 Prix séminaires</t>
  </si>
  <si>
    <t xml:space="preserve">R7-28</t>
  </si>
  <si>
    <t xml:space="preserve">Funbooker - fiche Château de Châtenay (95)</t>
  </si>
  <si>
    <t xml:space="preserve">https://www.funbooker.com/fr/annonce/chateau-de-chatenay-95/voir</t>
  </si>
  <si>
    <t xml:space="preserve">R7-29</t>
  </si>
  <si>
    <t xml:space="preserve">Funbooker - fiche Château de Couches (71)</t>
  </si>
  <si>
    <t xml:space="preserve">https://www.funbooker.com/fr/annonce/chateau-de-couches-dans-la-saone-et-loire-71/voir</t>
  </si>
  <si>
    <t xml:space="preserve">R7-30</t>
  </si>
  <si>
    <t xml:space="preserve">Funbooker - fiche L'Ermitage (69)</t>
  </si>
  <si>
    <t xml:space="preserve">https://www.funbooker.com/fr/annonce/lermitage-69/voir</t>
  </si>
  <si>
    <t xml:space="preserve">R7-31</t>
  </si>
  <si>
    <t xml:space="preserve">1001 Salles Pro - Séminaire d'entreprise à Paris : comment choisir (page en erreur 522)</t>
  </si>
  <si>
    <t xml:space="preserve">https://www.1001salles.com/pro/blog/article/2665/seminaire-d-entreprise-a-paris-comment-choisir-le-bon-lieu-et-le-bon-format</t>
  </si>
  <si>
    <t xml:space="preserve">R7-32</t>
  </si>
  <si>
    <t xml:space="preserve">Giggster - Location de châteaux pour tournages (France, catégorie castle)</t>
  </si>
  <si>
    <t xml:space="preserve">https://giggster.com/fr/book/castle</t>
  </si>
  <si>
    <t xml:space="preserve">§3.2 Tournages</t>
  </si>
  <si>
    <t xml:space="preserve">R7-33</t>
  </si>
  <si>
    <t xml:space="preserve">Château de Gudanes - page Photography &amp; Film (commercial)</t>
  </si>
  <si>
    <t xml:space="preserve">https://www.chateaugudanes.com/commercial</t>
  </si>
  <si>
    <t xml:space="preserve">R7-34</t>
  </si>
  <si>
    <t xml:space="preserve">Fondation du Château de Chillon - formulaire demande de tournage professionnels (2025, PDF)</t>
  </si>
  <si>
    <t xml:space="preserve">https://www.chillon.ch/wp-content/uploads/2025/12/demande-de-tournage-professionnels-fr.pdf</t>
  </si>
  <si>
    <t xml:space="preserve">fondation (grille)</t>
  </si>
  <si>
    <t xml:space="preserve">R7-35</t>
  </si>
  <si>
    <t xml:space="preserve">Slate.fr - James Bond à Versailles ? (date non vue, page en 403)</t>
  </si>
  <si>
    <t xml:space="preserve">https://www.slate.fr/story/19617/james-bond-versailles</t>
  </si>
  <si>
    <t xml:space="preserve">R7-36</t>
  </si>
  <si>
    <t xml:space="preserve">Film Paris Region - Chiffres clefs</t>
  </si>
  <si>
    <t xml:space="preserve">https://www.filmparisregion.com/fr/choisir-ile-de-france/chiffres-clefs</t>
  </si>
  <si>
    <t xml:space="preserve">commission du film (agence régionale)</t>
  </si>
  <si>
    <t xml:space="preserve">§3.3 Tournages</t>
  </si>
  <si>
    <t xml:space="preserve">R7-37</t>
  </si>
  <si>
    <t xml:space="preserve">Film Paris Region - Base décors</t>
  </si>
  <si>
    <t xml:space="preserve">https://www.filmparisregion.com/fr/base-decors</t>
  </si>
  <si>
    <t xml:space="preserve">R7-38</t>
  </si>
  <si>
    <t xml:space="preserve">UMIH-GNC - Observatoire mensuel des performances hôtelières Décembre 2025 (données MKG_destination, PDF)</t>
  </si>
  <si>
    <t xml:space="preserve">https://www.umih.fr/assets/files/site/ressources/observatoires-et-etudes/Observatoire_mensuel_des_performances_hotelieres_UMIH___GNC_Decembre_2025.pdf</t>
  </si>
  <si>
    <t xml:space="preserve">organisation professionnelle (données MKG)</t>
  </si>
  <si>
    <t xml:space="preserve">§4.1 Hôtels</t>
  </si>
  <si>
    <t xml:space="preserve">R7-39</t>
  </si>
  <si>
    <t xml:space="preserve">Voyages d'Affaires - Hôtellerie française : le bilan 2025 et les perspectives d'In Extenso (09/02/2026)</t>
  </si>
  <si>
    <t xml:space="preserve">https://www.voyages-d-affaires.com/?p=216609</t>
  </si>
  <si>
    <t xml:space="preserve">presse professionnelle (données In Extenso)</t>
  </si>
  <si>
    <t xml:space="preserve">R7-40</t>
  </si>
  <si>
    <t xml:space="preserve">TourMaG - Bilan 2025 : le chiffre d'affaires de l'hôtellerie française a progressé de 2% (09/02/2026)</t>
  </si>
  <si>
    <t xml:space="preserve">https://www.tourmag.com/Bilan-2025-le-chiffre-d-affaires-de-l-hotellerie-francaise-a-progresse-de-2_a130416.html</t>
  </si>
  <si>
    <t xml:space="preserve">R7-41</t>
  </si>
  <si>
    <t xml:space="preserve">L'Hôtellerie Restauration - L'hôtel Louise de la Vallière, un château comme à l'époque royale (18/10/2022)</t>
  </si>
  <si>
    <t xml:space="preserve">https://www.lhotellerie-restauration.fr/actualite/l-hotel-louise-de-la-valliere-un-chateau-comme-a-l-epoque-royale</t>
  </si>
  <si>
    <t xml:space="preserve">§4.2 Investissement hôtel</t>
  </si>
  <si>
    <t xml:space="preserve">R7-42</t>
  </si>
  <si>
    <t xml:space="preserve">Le Journal des Entreprises - LJ Hôtels transforme un château biterrois en futur 5 étoiles (page en 503)</t>
  </si>
  <si>
    <t xml:space="preserve">https://www.lejournaldesentreprises.com/article/lj-hotels-transforme-un-chateau-biterrois-en-futur-5-etoiles-2108334</t>
  </si>
  <si>
    <t xml:space="preserve">presse économique régionale</t>
  </si>
  <si>
    <t xml:space="preserve">R7-43</t>
  </si>
  <si>
    <t xml:space="preserve">Le Journal des Entreprises - Le Château de Portereau se métamorphose en hôtel 4 étoiles (page en 503)</t>
  </si>
  <si>
    <t xml:space="preserve">https://www.lejournaldesentreprises.com/article/ancien-siege-social-de-maisons-du-monde-le-chateau-de-portereau-se-metamorphose-en-hotel-4-etoiles-2136672</t>
  </si>
  <si>
    <t xml:space="preserve">R7-44</t>
  </si>
  <si>
    <t xml:space="preserve">Hospitality ON - 5e étoile pour le Château Eza</t>
  </si>
  <si>
    <t xml:space="preserve">https://hospitality-on.com/fr/developpement/5e-etoile-pour-le-chateau-eza</t>
  </si>
  <si>
    <t xml:space="preserve">R7-45</t>
  </si>
  <si>
    <t xml:space="preserve">HVS - Hotel Management Contracts in Europe (20/06/2007)</t>
  </si>
  <si>
    <t xml:space="preserve">https://www.hvs.com/article/2820-Hotel-Management-Contracts-In-Europe</t>
  </si>
  <si>
    <t xml:space="preserve">cabinet de conseil hôtelier</t>
  </si>
  <si>
    <t xml:space="preserve">§4.3 Contrats de gestion</t>
  </si>
  <si>
    <t xml:space="preserve">R7-46</t>
  </si>
  <si>
    <t xml:space="preserve">Batiweb - Château de Versailles : Lov Hotel Collection retenu pour réaliser un hôtel de luxe</t>
  </si>
  <si>
    <t xml:space="preserve">https://www.batiweb.com/actualites/architecture/chateau-de-versailles-lov-hotel-collection-retenu-pour-realiser-un-hotel-de-luxe-28159</t>
  </si>
  <si>
    <t xml:space="preserve">§4.3 Baux</t>
  </si>
  <si>
    <t xml:space="preserve">R7-47</t>
  </si>
  <si>
    <t xml:space="preserve">Hospitality ON - French luxury hotels confirm a model driven by price, not by volumes (page en 403)</t>
  </si>
  <si>
    <t xml:space="preserve">https://hospitality-on.com/en/hospitality/french-luxury-hotels-confirm-model-driven-price-not-volumes</t>
  </si>
  <si>
    <t xml:space="preserve">§4.4 GOP</t>
  </si>
  <si>
    <t xml:space="preserve">R7-48</t>
  </si>
  <si>
    <t xml:space="preserve">L'Écho touristique - Gîtes de France : une hausse des nuitées de 3% en 2024 (page en 403)</t>
  </si>
  <si>
    <t xml:space="preserve">https://www.lechotouristique.com/article/gites-de-france-une-hausse-des-nuitees-de-3-en-2024</t>
  </si>
  <si>
    <t xml:space="preserve">§5.1 Gîtes</t>
  </si>
  <si>
    <t xml:space="preserve">R7-49</t>
  </si>
  <si>
    <t xml:space="preserve">TourMaG - Vacances d'été 2025 : Gîtes de France dresse un bilan positif (03/09/2025)</t>
  </si>
  <si>
    <t xml:space="preserve">https://www.tourmag.com/Vacances-d-ete-2025-Gites-de-France-dresse-un-bilan-positif_a128279.html</t>
  </si>
  <si>
    <t xml:space="preserve">R7-50</t>
  </si>
  <si>
    <t xml:space="preserve">Ardèche Tourisme (observatoire) - Les meublés de tourisme, bilan 2024 (PDF)</t>
  </si>
  <si>
    <t xml:space="preserve">https://pro.ardeche-guide.com/wp-content/uploads/2025/03/les-gites-bilan-2024.pdf</t>
  </si>
  <si>
    <t xml:space="preserve">R7-51</t>
  </si>
  <si>
    <t xml:space="preserve">modelesdebusinessplan.com - marché des logements de tourisme (panier moyen gîtes / chambres d'hôtes)</t>
  </si>
  <si>
    <t xml:space="preserve">https://modelesdebusinessplan.com/blogs/infos/marche-logements-tourisme-chiffres</t>
  </si>
  <si>
    <t xml:space="preserve">site commercial</t>
  </si>
  <si>
    <t xml:space="preserve">R7-52</t>
  </si>
  <si>
    <t xml:space="preserve">Service-Public.gouv.fr - fiche F2043 Location d'une résidence secondaire en meublé de tourisme (vérifiée le 21/05/2026)</t>
  </si>
  <si>
    <t xml:space="preserve">https://www.service-public.gouv.fr/particuliers/vosdroits/F2043</t>
  </si>
  <si>
    <t xml:space="preserve">site officiel</t>
  </si>
  <si>
    <t xml:space="preserve">§5.2 Réglementation</t>
  </si>
  <si>
    <t xml:space="preserve">R7-53</t>
  </si>
  <si>
    <t xml:space="preserve">Le Collectionist - page d'accueil (nombre de propriétés)</t>
  </si>
  <si>
    <t xml:space="preserve">https://www.lecollectionist.com/fr</t>
  </si>
  <si>
    <t xml:space="preserve">plateforme de location de luxe</t>
  </si>
  <si>
    <t xml:space="preserve">§5.3 Location luxe</t>
  </si>
  <si>
    <t xml:space="preserve">R7-54</t>
  </si>
  <si>
    <t xml:space="preserve">Le Collectionist - Location villas de luxe Normandie</t>
  </si>
  <si>
    <t xml:space="preserve">https://www.lecollectionist.com/fr/location-villas-luxe/normandie</t>
  </si>
  <si>
    <t xml:space="preserve">R7-55</t>
  </si>
  <si>
    <t xml:space="preserve">Le Collectionist - Location villas de luxe Provence</t>
  </si>
  <si>
    <t xml:space="preserve">https://www.lecollectionist.com/fr/location-villas-luxe/provence</t>
  </si>
  <si>
    <t xml:space="preserve">R7-56</t>
  </si>
  <si>
    <t xml:space="preserve">Le Collectionist - Location villas de luxe Dordogne-Périgord</t>
  </si>
  <si>
    <t xml:space="preserve">https://www.lecollectionist.com/fr/location-villas-luxe/dordogne-perigord</t>
  </si>
  <si>
    <t xml:space="preserve">R7-57</t>
  </si>
  <si>
    <t xml:space="preserve">Le Collectionist - Location villas de luxe environs de Bordeaux</t>
  </si>
  <si>
    <t xml:space="preserve">https://www.lecollectionist.com/fr/location-villas-luxe/environs-de-bordeaux</t>
  </si>
  <si>
    <t xml:space="preserve">R7-58</t>
  </si>
  <si>
    <t xml:space="preserve">TourMaG - Hébergements insolites : un marché en croissance qui s'organise (20/07/2022, étude Protourisme)</t>
  </si>
  <si>
    <t xml:space="preserve">https://www.tourmag.com/Hebergements-insolites-un-marche-en-croissance-qui-s-organise_a114762.html</t>
  </si>
  <si>
    <t xml:space="preserve">presse professionnelle (étude Protourisme)</t>
  </si>
  <si>
    <t xml:space="preserve">§6 Glamping</t>
  </si>
  <si>
    <t xml:space="preserve">R7-59</t>
  </si>
  <si>
    <t xml:space="preserve">Hospitality ON - Les hébergements insolites arrivent à l'âge de raison (3e observatoire, page en 403)</t>
  </si>
  <si>
    <t xml:space="preserve">https://hospitality-on.com/fr/insolite/les-hebergements-insolites-arrivent-lage-de-raison-selon-le-3e-observatoire-du-secteur</t>
  </si>
  <si>
    <t xml:space="preserve">R7-60</t>
  </si>
  <si>
    <t xml:space="preserve">Tarn-et-Garonne Tourisme - Créer son hébergement insolite (liste et tarifs)</t>
  </si>
  <si>
    <t xml:space="preserve">https://tourisme-tarnetgaronne.fr/app/uploads/tarnetgaronne/2022/11/Creer-son-hebergement-insolite.pdf</t>
  </si>
  <si>
    <t xml:space="preserve">agence départementale du tourisme</t>
  </si>
  <si>
    <t xml:space="preserve">R7-61</t>
  </si>
  <si>
    <t xml:space="preserve">Beancount.io - Glamping business bookkeeping guide (2026)</t>
  </si>
  <si>
    <t xml:space="preserve">https://beancount.io/fr/blog/2026/09/25/glamping-business-bookkeeping-nightly-rates-occupancy-payouts-guide</t>
  </si>
  <si>
    <t xml:space="preserve">site commercial (éditeur logiciel)</t>
  </si>
  <si>
    <t xml:space="preserve">R7-62</t>
  </si>
  <si>
    <t xml:space="preserve">Service-Public.gouv.fr - fiche F17665 Permis d'aménager (vérifiée le 13/02/2026)</t>
  </si>
  <si>
    <t xml:space="preserve">https://www.service-public.gouv.fr/particuliers/vosdroits/F17665</t>
  </si>
  <si>
    <t xml:space="preserve">§6 Glamping (urbanisme)</t>
  </si>
  <si>
    <t xml:space="preserve">R7-63</t>
  </si>
  <si>
    <t xml:space="preserve">API Recherche d'entreprises (data.gouv / DINUM) - données financières publiées (requêtes chateauform, chateau NAF 82.30Z, chateau reception)</t>
  </si>
  <si>
    <t xml:space="preserve">https://recherche-entreprises.api.gouv.fr/search?q=chateau&amp;activite_principale=82.30Z&amp;per_page=25&amp;page=1</t>
  </si>
  <si>
    <t xml:space="preserve">base officielle (API publique)</t>
  </si>
  <si>
    <t xml:space="preserve">§1.8 Comptes, §2 Séminaires</t>
  </si>
  <si>
    <t xml:space="preserve">R7-64</t>
  </si>
  <si>
    <t xml:space="preserve">BODACC (DILA) - API open data annonces commerciales, procédures collectives 2024-2026 (requêtes « chateau » et activités hôtel/réception/mariage/hôtes/séminaire/hébergement)</t>
  </si>
  <si>
    <t xml:space="preserve">https://bodacc-datadila.opendatasoft.com/api/explore/v2.1/catalog/datasets/annonces-commerciales/records?select=commercant%2Cville%2Ccount(*)%20as%20n&amp;where=search(commercant%2C%22chateau%22)%20and%20familleavis_lib%3D%22Proc%C3%A9dures%20collectives%22%20and%20dateparution%3E%3Ddate%272024-01-01%27&amp;group_by=commercant%2Cville&amp;limit=100</t>
  </si>
  <si>
    <t xml:space="preserve">journal officiel (données ouvertes)</t>
  </si>
  <si>
    <t xml:space="preserve">Contre-exemples et échecs</t>
  </si>
  <si>
    <t xml:space="preserve">R7-65</t>
  </si>
  <si>
    <t xml:space="preserve">BODACC A n°149 du 7 août 2026 - annonce n°3475 (Laetitia Bataillé Events, liquidation judiciaire, TC Toulon)</t>
  </si>
  <si>
    <t xml:space="preserve">https://www.bodacc.fr/telechargements/COMMERCIALES/PDF/A/2026/20260149/1/BODACC_A_PDF_Unitaire_20260149_03475.pdf</t>
  </si>
  <si>
    <t xml:space="preserve">journal officiel</t>
  </si>
  <si>
    <t xml:space="preserve">R7-66</t>
  </si>
  <si>
    <t xml:space="preserve">Doctrine.fr - fiche GROUPE COEUR ET DETENTE (CHATEAU D'YGRANDE) (page d'inscription, non lisible)</t>
  </si>
  <si>
    <t xml:space="preserve">R7-67</t>
  </si>
  <si>
    <t xml:space="preserve">Château de Cheverny - Prices &amp; opening hours</t>
  </si>
  <si>
    <t xml:space="preserve">https://www.chateau-cheverny.fr/en/practical-information/prices-opening-hours</t>
  </si>
  <si>
    <t xml:space="preserve">§7.2 Visites</t>
  </si>
  <si>
    <t xml:space="preserve">R7-68</t>
  </si>
  <si>
    <t xml:space="preserve">Château de Cheverny - Room rentals</t>
  </si>
  <si>
    <t xml:space="preserve">https://www.chateau-cheverny.fr/en/room-rentals</t>
  </si>
  <si>
    <t xml:space="preserve">§7.2 Visites, §2 Séminaires</t>
  </si>
  <si>
    <t xml:space="preserve">R7-69</t>
  </si>
  <si>
    <t xml:space="preserve">Château de Breteuil - Horaires, tarifs, accès</t>
  </si>
  <si>
    <t xml:space="preserve">https://www.breteuil.fr/fr/horaires-tarifs-acces-chateau-breteuil/</t>
  </si>
  <si>
    <t xml:space="preserve">R7-70</t>
  </si>
  <si>
    <t xml:space="preserve">Château de Breteuil - Privatisation château et orangerie (tarifs sur demande)</t>
  </si>
  <si>
    <t xml:space="preserve">https://www.breteuil.fr/fr/privatisation-chateau-orangerie-breteuil/</t>
  </si>
  <si>
    <t xml:space="preserve">R7-71</t>
  </si>
  <si>
    <t xml:space="preserve">Paris Zigzag - Ce château privé à 45 min de Paris ouvre exceptionnellement au public (Ormesson)</t>
  </si>
  <si>
    <t xml:space="preserve">https://www.pariszigzag.fr/paris-au-quotidien/chateau-ormesson-ouverture/</t>
  </si>
  <si>
    <t xml:space="preserve">presse en ligne</t>
  </si>
  <si>
    <t xml:space="preserve">R7-72</t>
  </si>
  <si>
    <t xml:space="preserve">Restaurants-de-France - fiche Château de Sarzay (avis)</t>
  </si>
  <si>
    <t xml:space="preserve">https://restaurants-de-france.fr/hotel/fr-fr/fiche/chateau-de-sarzay-96114.html</t>
  </si>
  <si>
    <t xml:space="preserve">annuaire en ligne</t>
  </si>
  <si>
    <t xml:space="preserve">R7-73</t>
  </si>
  <si>
    <t xml:space="preserve">Château de Cheverny - Presentation of the estate</t>
  </si>
  <si>
    <t xml:space="preserve">https://www.chateau-cheverny.fr/en/presentation-du-domaine</t>
  </si>
  <si>
    <t xml:space="preserve">R7-74</t>
  </si>
  <si>
    <t xml:space="preserve">TourMaG - Séminaires : l'Europe du Sud dans le viseur de Châteauform' (23/03/2022)</t>
  </si>
  <si>
    <t xml:space="preserve">https://www.tourmag.com/Seminaires-l-Europe-du-Sud-dans-le-viseur-de-Chateauform_a113108.html</t>
  </si>
  <si>
    <t xml:space="preserve">R8-01</t>
  </si>
  <si>
    <t xml:space="preserve">Louer son terrain pour des panneaux solaires : comment cela fonctionne ? (les-energies-renouvelables.eu, mis à jour le 8 janvier 2026)</t>
  </si>
  <si>
    <t xml:space="preserve">https://www.les-energies-renouvelables.eu/conseils/panneaux-solaires-pour-entreprise-professionnels/louer-son-terrain-pour-des-panneaux-solaires-comment-cela-fonctionne/</t>
  </si>
  <si>
    <t xml:space="preserve">site commercial / conseil</t>
  </si>
  <si>
    <t xml:space="preserve">R8 §1.1 loyers PV au sol</t>
  </si>
  <si>
    <t xml:space="preserve">R8-02</t>
  </si>
  <si>
    <t xml:space="preserve">Des surfaces additionnelles grâce à l'agrivoltaïsme (Réussir Pâtre, 8 février 2021)</t>
  </si>
  <si>
    <t xml:space="preserve">https://www.reussir.fr/patre/des-surfaces-additionnelles-grace-lagrivoltaisme</t>
  </si>
  <si>
    <t xml:space="preserve">presse agricole spécialisée</t>
  </si>
  <si>
    <t xml:space="preserve">R8 §1.2 pâturage ovin sous panneaux</t>
  </si>
  <si>
    <t xml:space="preserve">R8-03</t>
  </si>
  <si>
    <t xml:space="preserve">Agrivoltaïsme (Wikipédia, version consultée le 2026-10-14)</t>
  </si>
  <si>
    <t xml:space="preserve">https://fr.wikipedia.org/wiki/Agrivolta%C3%AFsme</t>
  </si>
  <si>
    <t xml:space="preserve">R8 §1.2 cadre loi APER / décret 2024-318</t>
  </si>
  <si>
    <t xml:space="preserve">R8-04</t>
  </si>
  <si>
    <t xml:space="preserve">Forêt française : l'État chiffre la dégradation, le foncier bat des records (France Épargne, 16 septembre 2026)</t>
  </si>
  <si>
    <t xml:space="preserve">https://www.france-epargne.fr/news/foret-francaise-letat-chiffre-la-degradation-le-foncier-bat-des-records</t>
  </si>
  <si>
    <t xml:space="preserve">presse économique (reprend Safer / Société Forestière / France Bois Forêt / DG Trésor)</t>
  </si>
  <si>
    <t xml:space="preserve">R8 §1.5 forêt prix 2025</t>
  </si>
  <si>
    <t xml:space="preserve">R8-05</t>
  </si>
  <si>
    <t xml:space="preserve">Prix des bois sur pied en forêt privée : un recul de 4 % en 2025 (France Bois Forêt, communiqué du 26 mai 2026, PDF)</t>
  </si>
  <si>
    <t xml:space="preserve">https://franceboisforet.fr/wp-content/uploads/2026/05/CP_PlaquettePrixDesBois_v4.pdf</t>
  </si>
  <si>
    <t xml:space="preserve">interprofession (observatoire économique)</t>
  </si>
  <si>
    <t xml:space="preserve">R8 §1.5 forêt prix bois sur pied</t>
  </si>
  <si>
    <t xml:space="preserve">R8-06</t>
  </si>
  <si>
    <t xml:space="preserve">Le marché des forêts en France — Indicateur 2020 (Safer / Société Forestière, PDF 64 p.)</t>
  </si>
  <si>
    <t xml:space="preserve">https://www.ofme.org/documents/actualite/202202/2020_Indicateur_marche_forets_SAFER.pdf</t>
  </si>
  <si>
    <t xml:space="preserve">étude de marché institutionnelle</t>
  </si>
  <si>
    <t xml:space="preserve">R8 §1.5 (constat : aucun chiffre de rendement dans l'indicateur)</t>
  </si>
  <si>
    <t xml:space="preserve">R8-07</t>
  </si>
  <si>
    <t xml:space="preserve">Adjudications de chasse en forêt domaniale (ONF)</t>
  </si>
  <si>
    <t xml:space="preserve">https://www.onf.fr/chasse/adjudications-de-chasse</t>
  </si>
  <si>
    <t xml:space="preserve">établissement public (ONF)</t>
  </si>
  <si>
    <t xml:space="preserve">R8 §1.6 chasse (aucun prix publié)</t>
  </si>
  <si>
    <t xml:space="preserve">R8-08</t>
  </si>
  <si>
    <t xml:space="preserve">Et si la truffe trouvait une place sur votre exploitation ? (Terre-net, Sophie Guyomard, 2 octobre 2026)</t>
  </si>
  <si>
    <t xml:space="preserve">https://www.terre-net.fr/productions-vegetales/article/904311/et-si-la-truffe-trouvait-une-place-sur-votre-exploitation</t>
  </si>
  <si>
    <t xml:space="preserve">presse agricole spécialisée (reprend chambre d'agriculture de la Somme / Agri-Truffe)</t>
  </si>
  <si>
    <t xml:space="preserve">R8 §1.8 truffières</t>
  </si>
  <si>
    <t xml:space="preserve">R8-09</t>
  </si>
  <si>
    <t xml:space="preserve">Enquête truffe : le véritable prix de l'or noir (UFC-Que Choisir, 18 décembre 2024)</t>
  </si>
  <si>
    <t xml:space="preserve">https://www.quechoisir.org/enquete-truffe-le-veritable-prix-de-l-or-noir-n147866/</t>
  </si>
  <si>
    <t xml:space="preserve">R8 §1.8 truffières (variabilité des rendements)</t>
  </si>
  <si>
    <t xml:space="preserve">R8-10</t>
  </si>
  <si>
    <t xml:space="preserve">Délibération CRE n° 2026-58 du 5 mars 2026 portant avis sur un projet d'arrêté modifiant l'arrêté H16 (PDF 9 p.)</t>
  </si>
  <si>
    <t xml:space="preserve">https://www.cre.fr/fileadmin/Documents/Deliberations/2026/260305_2026-58_avis_H16.pdf</t>
  </si>
  <si>
    <t xml:space="preserve">autorité de régulation (CRE)</t>
  </si>
  <si>
    <t xml:space="preserve">R8 §1.4 petite hydroélectricité (seuils OA/CR, plafonds d'heures)</t>
  </si>
  <si>
    <t xml:space="preserve">R8-11</t>
  </si>
  <si>
    <t xml:space="preserve">Question écrite n° 8832 (16e législature) « Production électrique générée par les moulins à eau », réponse publiée au JO le 12 décembre 2023 (PDF)</t>
  </si>
  <si>
    <t xml:space="preserve">https://www.assemblee-nationale.fr/dyn/16/questions/QANR5L16QE8832.pdf</t>
  </si>
  <si>
    <t xml:space="preserve">réponse ministérielle (Assemblée nationale)</t>
  </si>
  <si>
    <t xml:space="preserve">R8 §1.4 tarif H16 ≈ 170 €/MWh pour ≈ 100 kW</t>
  </si>
  <si>
    <t xml:space="preserve">R8-12</t>
  </si>
  <si>
    <t xml:space="preserve">CRE, Coûts et rentabilités de la petite hydroélectricité en métropole continentale, rapport du 30 janvier 2020 (PDF 37 p.)</t>
  </si>
  <si>
    <t xml:space="preserve">https://cre.fr/content/download/21963/278862</t>
  </si>
  <si>
    <t xml:space="preserve">rapport d'audit de la CRE</t>
  </si>
  <si>
    <t xml:space="preserve">R8 §1.4 coûts, productible, TRI de la petite hydro</t>
  </si>
  <si>
    <t xml:space="preserve">R8-13</t>
  </si>
  <si>
    <t xml:space="preserve">Label bas-carbone — page d'accueil (chiffres clés) (ministère de la Transition écologique)</t>
  </si>
  <si>
    <t xml:space="preserve">https://label-bas-carbone.ecologie.gouv.fr/</t>
  </si>
  <si>
    <t xml:space="preserve">site officiel du label</t>
  </si>
  <si>
    <t xml:space="preserve">R8 §1.7 crédits carbone (volumes du label)</t>
  </si>
  <si>
    <t xml:space="preserve">R8-14</t>
  </si>
  <si>
    <t xml:space="preserve">Label bas carbone : le bilan après 6 ans d'existence (Terre-net, Amélie Bachelet, 25 août 2025, d'après I4CE juin 2025)</t>
  </si>
  <si>
    <t xml:space="preserve">https://www.terre-net.fr/changement-climatique/article/886550/label-bas-carbone-le-bilan-apres-6-ans-d-existence</t>
  </si>
  <si>
    <t xml:space="preserve">presse agricole (reprend une étude I4CE)</t>
  </si>
  <si>
    <t xml:space="preserve">R8 §1.7 prix moyen 35 €/t</t>
  </si>
  <si>
    <t xml:space="preserve">R8-15</t>
  </si>
  <si>
    <t xml:space="preserve">Label bas-carbone — La méthode Boisement (V3 du 6 septembre 2025)</t>
  </si>
  <si>
    <t xml:space="preserve">https://label-bas-carbone.ecologie.gouv.fr/la-methode-boisement</t>
  </si>
  <si>
    <t xml:space="preserve">R8 §1.7 conditions de la méthode boisement</t>
  </si>
  <si>
    <t xml:space="preserve">R8-16</t>
  </si>
  <si>
    <t xml:space="preserve">Label bas-carbone — liste des projets labellisés (projets individuels)</t>
  </si>
  <si>
    <t xml:space="preserve">https://label-bas-carbone.ecologie.gouv.fr/liste-projets-labellises?taxonomies_entity_list_filter_field_project_type_tref%5B2%5D=2</t>
  </si>
  <si>
    <t xml:space="preserve">site officiel du label (registre)</t>
  </si>
  <si>
    <t xml:space="preserve">R8 §1.7 crédits par hectare observés</t>
  </si>
  <si>
    <t xml:space="preserve">R8-17</t>
  </si>
  <si>
    <t xml:space="preserve">Prix du gardiennage d'un camping-car : tarifs et options (Wikicampers, 30 novembre 2025)</t>
  </si>
  <si>
    <t xml:space="preserve">https://www.wikicampers.fr/blog/combien-coute-le-gardiennage-dun-camping-car/</t>
  </si>
  <si>
    <t xml:space="preserve">blog commercial (plateforme de location)</t>
  </si>
  <si>
    <t xml:space="preserve">R8 §2.2 hivernage camping-cars</t>
  </si>
  <si>
    <t xml:space="preserve">R8-18</t>
  </si>
  <si>
    <t xml:space="preserve">Hôtels pour voitures de collection (Forbes Belgique, Philippe Coulée, 16 août 2026)</t>
  </si>
  <si>
    <t xml:space="preserve">https://www.forbes.be/fr/hotels-pour-voitures-de-collection/</t>
  </si>
  <si>
    <t xml:space="preserve">R8 §2.1 gardiennage de voitures de collection</t>
  </si>
  <si>
    <t xml:space="preserve">R8-19</t>
  </si>
  <si>
    <t xml:space="preserve">Comparis.ch — annonce de gardiennage de voitures de collection à Saint-Sulpice (VD) (vu dans les résultats de recherche)</t>
  </si>
  <si>
    <t xml:space="preserve">https://www.comparis.ch/immobilien/marktplatz/details/show/33471271</t>
  </si>
  <si>
    <t xml:space="preserve">annonce immobilière (Suisse)</t>
  </si>
  <si>
    <t xml:space="preserve">R8 §2.1 gardiennage CHF 250/mois</t>
  </si>
  <si>
    <t xml:space="preserve">R8-20</t>
  </si>
  <si>
    <t xml:space="preserve">Les Chais de France : stockage de vin pour les particuliers à Paris en cave individuelle (La Passion du Vin, messages de l'entreprise des 6 février et 18 septembre 2020)</t>
  </si>
  <si>
    <t xml:space="preserve">https://www.lapassionduvin.com/vitrine-des-cavistes/49356-les-chais-de-france-stockage-de-vin-pour-les-particuliers-a-paris-en-cave-individuelle</t>
  </si>
  <si>
    <t xml:space="preserve">forum spécialisé (message publié par l'entreprise)</t>
  </si>
  <si>
    <t xml:space="preserve">R8 §2.3 stockage de vins</t>
  </si>
  <si>
    <t xml:space="preserve">R8-21</t>
  </si>
  <si>
    <t xml:space="preserve">Nouveau : iDealwine lance sa cave de stockage idéale (iDealwine, 2 mars 2022, modifié le 3 octobre 2025)</t>
  </si>
  <si>
    <t xml:space="preserve">https://www.idealwine.net/nouveau-idealwine-lance-sa-cave-de-stockage-ideale/</t>
  </si>
  <si>
    <t xml:space="preserve">R8 §2.3 conditions techniques de stockage de vin</t>
  </si>
  <si>
    <t xml:space="preserve">R8-22</t>
  </si>
  <si>
    <t xml:space="preserve">Carte des loyers — Indicateurs de loyers d'annonce par commune en 2025 (ministère de la Transition écologique / ANIL, data.gouv.fr, mise à jour du 11 décembre 2025)</t>
  </si>
  <si>
    <t xml:space="preserve">https://www.data.gouv.fr/fr/datasets/carte-des-loyers-indicateurs-de-loyers-dannonce-par-commune-en-2025/</t>
  </si>
  <si>
    <t xml:space="preserve">données publiques officielles</t>
  </si>
  <si>
    <t xml:space="preserve">R8 §3.1 loyers résidentiels ruraux (méthode)</t>
  </si>
  <si>
    <t xml:space="preserve">R8-23</t>
  </si>
  <si>
    <t xml:space="preserve">Carte des loyers 2025 — fichier maisons pred-mai-mef-dhup.csv (40 premières lignes lues)</t>
  </si>
  <si>
    <t xml:space="preserve">https://static.data.gouv.fr/resources/carte-des-loyers-indicateurs-de-loyers-dannonce-par-commune-en-2025/20251211-145039/pred-mai-mef-dhup.csv</t>
  </si>
  <si>
    <t xml:space="preserve">données publiques officielles (CSV)</t>
  </si>
  <si>
    <t xml:space="preserve">R8 §3.1 loyers de maisons en communes rurales</t>
  </si>
  <si>
    <t xml:space="preserve">R8-24</t>
  </si>
  <si>
    <t xml:space="preserve">CAUE 74, Références 2025 — Réhabilitation ancienne ferme, Le Biot (PDF)</t>
  </si>
  <si>
    <t xml:space="preserve">https://references.caue74.fr/wp-content/uploads/2025/03/REFERENCES_2025_WEB_BIOT.pdf</t>
  </si>
  <si>
    <t xml:space="preserve">organisme public de conseil (CAUE), fiche de réalisation</t>
  </si>
  <si>
    <t xml:space="preserve">R8 §3.2 coût de transformation d'une grange en logement</t>
  </si>
  <si>
    <t xml:space="preserve">R8-25</t>
  </si>
  <si>
    <t xml:space="preserve">Réhabiliter une grange (Habitatpresto, vu dans les résultats de recherche)</t>
  </si>
  <si>
    <t xml:space="preserve">https://www.habitatpresto.com/mag/renovation/rehabiliter-grange-renovation</t>
  </si>
  <si>
    <t xml:space="preserve">R8 §3.2 fourchette générale de rénovation</t>
  </si>
  <si>
    <t xml:space="preserve">R8-26</t>
  </si>
  <si>
    <t xml:space="preserve">Château de Ferrières-en-Brie (Wikipédia, version consultée le 2026-10-14)</t>
  </si>
  <si>
    <t xml:space="preserve">https://fr.wikipedia.org/wiki/Ch%C3%A2teau_de_Ferri%C3%A8res-en-Brie</t>
  </si>
  <si>
    <t xml:space="preserve">R8 §4 locataires institutionnels (école Ferrières)</t>
  </si>
  <si>
    <t xml:space="preserve">R8-27</t>
  </si>
  <si>
    <t xml:space="preserve">Institut Lyfe (Wikipédia, version consultée le 2026-10-14)</t>
  </si>
  <si>
    <t xml:space="preserve">https://fr.wikipedia.org/wiki/Institut_Lyfe</t>
  </si>
  <si>
    <t xml:space="preserve">R8 §4 locataires institutionnels (château du Vivier)</t>
  </si>
  <si>
    <t xml:space="preserve">R8-28</t>
  </si>
  <si>
    <t xml:space="preserve">École nationale supérieure de pâtisserie (Wikipédia, version consultée le 2026-10-14)</t>
  </si>
  <si>
    <t xml:space="preserve">https://fr.wikipedia.org/wiki/%C3%89cole_nationale_sup%C3%A9rieure_de_p%C3%A2tisserie</t>
  </si>
  <si>
    <t xml:space="preserve">R8 §4 locataires institutionnels (château de Montbarnier, Yssingeaux)</t>
  </si>
  <si>
    <t xml:space="preserve">R8-29</t>
  </si>
  <si>
    <t xml:space="preserve">ASPIM — Collecte et performance des fonds immobiliers grand public en 2025 (communiqué du 9 février 2026)</t>
  </si>
  <si>
    <t xml:space="preserve">https://www.aspim.fr/actualites/collecte-et-performance-des-fonds-immobiliers-grand-public-en-2025-des-signaux-damelioration-dans-des-marches-encore-sous-contraintes/</t>
  </si>
  <si>
    <t xml:space="preserve">association professionnelle (données de marché)</t>
  </si>
  <si>
    <t xml:space="preserve">R8 §7.3 rendement des SCPI 2024-2025</t>
  </si>
  <si>
    <t xml:space="preserve">R8-30</t>
  </si>
  <si>
    <t xml:space="preserve">ASPIM — Collecte et performance des fonds immobiliers grand public au premier semestre 2026 (communiqué du 5 août 2026)</t>
  </si>
  <si>
    <t xml:space="preserve">https://www.aspim.fr/actualites/collecte-et-performance-des-fonds-immobiliers-grand-public-au-premier-semestre-2026/</t>
  </si>
  <si>
    <t xml:space="preserve">R8 §7.3 SCPI 1er semestre 2026</t>
  </si>
  <si>
    <t xml:space="preserve">R8-31</t>
  </si>
  <si>
    <t xml:space="preserve">Service-public.gouv.fr — Impôt sur le revenu : revenus d'épargne et de placement (F2613, vérifié le 15 avril 2026)</t>
  </si>
  <si>
    <t xml:space="preserve">https://www.service-public.gouv.fr/particuliers/vosdroits/F2613</t>
  </si>
  <si>
    <t xml:space="preserve">site officiel de l'administration</t>
  </si>
  <si>
    <t xml:space="preserve">R8 §7.2 PFU et prélèvements sociaux 2026</t>
  </si>
  <si>
    <t xml:space="preserve">R8-32</t>
  </si>
  <si>
    <t xml:space="preserve">UBS Global Investment Returns Yearbook 2025 (page de présentation)</t>
  </si>
  <si>
    <t xml:space="preserve">https://www.ubs.com/global/en/investment-bank/insights-and-data/2025/global-investment-returns-yearbook-2025.html</t>
  </si>
  <si>
    <t xml:space="preserve">banque (étude Dimson-Marsh-Staunton)</t>
  </si>
  <si>
    <t xml:space="preserve">R8 §7.1 rendements réels de long terme</t>
  </si>
  <si>
    <t xml:space="preserve">R8-33</t>
  </si>
  <si>
    <t xml:space="preserve">NBER Working Paper 24112 — The Rate of Return on Everything, 1870–2015 (Jordà et al.)</t>
  </si>
  <si>
    <t xml:space="preserve">https://www.nber.org/papers/w24112</t>
  </si>
  <si>
    <t xml:space="preserve">article académique (résumé)</t>
  </si>
  <si>
    <t xml:space="preserve">R8 §7.1 (résumé sans chiffres)</t>
  </si>
  <si>
    <t xml:space="preserve">R8-34</t>
  </si>
  <si>
    <t xml:space="preserve">2025 NACUBO-Commonfund Study of Endowments — Summary and Key Insights (PDF)</t>
  </si>
  <si>
    <t xml:space="preserve">https://edge.sitecorecloud.io/nacubo1-nacubo-prd-dc8b/media/Nacubo/Documents/EndowmentFiles/2025-NCSE---Summary-and-Key-Insights-from-the-2025-NCSE-FINAL.pdf</t>
  </si>
  <si>
    <t xml:space="preserve">étude annuelle de référence (associations professionnelles)</t>
  </si>
  <si>
    <t xml:space="preserve">R8 §7.1 taux de dépense des dotations</t>
  </si>
  <si>
    <t xml:space="preserve">R8-35</t>
  </si>
  <si>
    <t xml:space="preserve">Argos Index® mid-market — 2e trimestre 2026 (Argos Wityu / Epsilon Research, PDF)</t>
  </si>
  <si>
    <t xml:space="preserve">https://argos.fund/wp-content/uploads/2026/09/ARGOS-INDEX-Q2-2026_FR.pdf</t>
  </si>
  <si>
    <t xml:space="preserve">indice de référence du capital-investissement (zone euro)</t>
  </si>
  <si>
    <t xml:space="preserve">R8 §7.5 multiples de valorisation des PME</t>
  </si>
  <si>
    <t xml:space="preserve">R8-36</t>
  </si>
  <si>
    <t xml:space="preserve">Question écrite n° 75244 (12e législature) « transmission », question publiée le 11 octobre 2005, réponse le 15 novembre 2005 (PDF)</t>
  </si>
  <si>
    <t xml:space="preserve">https://www.assemblee-nationale.fr/dyn/12/questions/QANR5L12QE75244.pdf</t>
  </si>
  <si>
    <t xml:space="preserve">question parlementaire citant une étude OSEO-BDPME</t>
  </si>
  <si>
    <t xml:space="preserve">R8 §7.5 taux d'échec des transmissions</t>
  </si>
  <si>
    <t xml:space="preserve">R8-37</t>
  </si>
  <si>
    <t xml:space="preserve">Transmission des commerces : comment éviter le gâchis (Banque des Territoires, vu dans les résultats de recherche, page en maintenance)</t>
  </si>
  <si>
    <t xml:space="preserve">https://www.banquedesterritoires.fr/transmission-des-commerces-comment-eviter-le-gachis</t>
  </si>
  <si>
    <t xml:space="preserve">presse institutionnelle (Caisse des Dépôts)</t>
  </si>
  <si>
    <t xml:space="preserve">R8 §7.5 survie à 5 ans des établissements repris</t>
  </si>
  <si>
    <t xml:space="preserve">R8-38</t>
  </si>
  <si>
    <t xml:space="preserve">Polo de Paris (Wikipédia, version consultée le 2026-10-14)</t>
  </si>
  <si>
    <t xml:space="preserve">https://fr.wikipedia.org/wiki/Polo_de_Paris</t>
  </si>
  <si>
    <t xml:space="preserve">R8 §5 cotisations de club (données 2010)</t>
  </si>
  <si>
    <t xml:space="preserve">R8-39</t>
  </si>
  <si>
    <t xml:space="preserve">Soho House (club) (Wikipedia, version consultée le 2026-10-14)</t>
  </si>
  <si>
    <t xml:space="preserve">https://en.wikipedia.org/wiki/Soho_House_(club)</t>
  </si>
  <si>
    <t xml:space="preserve">R8 §5 modèle Soho Farmhouse / pertes du groupe</t>
  </si>
  <si>
    <t xml:space="preserve">R8-40</t>
  </si>
  <si>
    <t xml:space="preserve">Reschio — About us (site officiel du domaine)</t>
  </si>
  <si>
    <t xml:space="preserve">https://www.reschio.com/about-us</t>
  </si>
  <si>
    <t xml:space="preserve">R8 §6.1 modèle de Castello di Reschio</t>
  </si>
  <si>
    <t xml:space="preserve">R8-41</t>
  </si>
  <si>
    <t xml:space="preserve">Why the ultra-wealthy are buying estates in a part of Italy most Americans have never heard of (Resident, URL datée du 4 juin 2026)</t>
  </si>
  <si>
    <t xml:space="preserve">https://resident.com/amp/story/real-estate-resources/2026/06/04/why-the-ultra-wealthy-are-buying-estates-in-a-part-of-italy-most-americans-have-never-heard-of</t>
  </si>
  <si>
    <t xml:space="preserve">R8 §6.1 Reschio (surface, modèle)</t>
  </si>
  <si>
    <t xml:space="preserve">R8-42</t>
  </si>
  <si>
    <t xml:space="preserve">Luxury farmhouses for sale in Italy (Country Life, texte non lisible, vu dans les résultats de recherche)</t>
  </si>
  <si>
    <t xml:space="preserve">https://countrylife.co.uk/news/luxury-farmhouses-for-sale-in-italy-26095</t>
  </si>
  <si>
    <t xml:space="preserve">presse immobilière de prestige</t>
  </si>
  <si>
    <t xml:space="preserve">R8 §6.1 Reschio (nombre de fermes vendues)</t>
  </si>
  <si>
    <t xml:space="preserve">R8-43</t>
  </si>
  <si>
    <t xml:space="preserve">Castello di Reschio (Wikipedia, version consultée le 2026-10-14)</t>
  </si>
  <si>
    <t xml:space="preserve">https://en.wikipedia.org/wiki/Castello_di_Reschio</t>
  </si>
  <si>
    <t xml:space="preserve">R8 §6.1 Reschio (date d'achat)</t>
  </si>
  <si>
    <t xml:space="preserve">R8-44</t>
  </si>
  <si>
    <t xml:space="preserve">Usufruit, nue-propriété, pleine propriété : quelles différences ? (Service-public, F33076, vérifié le 6 décembre 2024)</t>
  </si>
  <si>
    <t xml:space="preserve">https://www.service-public.gouv.fr/particuliers/vosdroits/F33076</t>
  </si>
  <si>
    <t xml:space="preserve">R8 §6.3 démembrement</t>
  </si>
  <si>
    <t xml:space="preserve">R8-45</t>
  </si>
  <si>
    <t xml:space="preserve">Fonds de dotation (Wikipédia, version consultée le 2026-10-14)</t>
  </si>
  <si>
    <t xml:space="preserve">https://fr.wikipedia.org/wiki/Fonds_de_dotation</t>
  </si>
  <si>
    <t xml:space="preserve">encyclopédie collaborative (sections signalées comme à sourcer)</t>
  </si>
  <si>
    <t xml:space="preserve">R8 §6.4 fonds de dotation</t>
  </si>
  <si>
    <t xml:space="preserve">R8-46</t>
  </si>
  <si>
    <t xml:space="preserve">Fondation de Coubertin (Wikipédia, version consultée le 2026-10-14)</t>
  </si>
  <si>
    <t xml:space="preserve">https://fr.wikipedia.org/wiki/Fondation_de_Coubertin</t>
  </si>
  <si>
    <t xml:space="preserve">R8 §6.4 et §8.2 domaine porté par une fondation, pôle d'artisans</t>
  </si>
  <si>
    <t xml:space="preserve">R8-47</t>
  </si>
  <si>
    <t xml:space="preserve">France compétences — Référentiel unique des NPEC applicables au 1er septembre 2026 (fichier xlsx dans une archive zip, décret n° 2026-832 du 29 août 2026)</t>
  </si>
  <si>
    <t xml:space="preserve">https://www.francecompetences.fr/app/uploads/2026/09/Referentiel-unique-des-NPEC-1er-septembre-2026.zip</t>
  </si>
  <si>
    <t xml:space="preserve">référentiel officiel (autorité publique)</t>
  </si>
  <si>
    <t xml:space="preserve">R8 §8.1 CFA métiers du cheval et du patrimoine</t>
  </si>
  <si>
    <t xml:space="preserve">R8-48</t>
  </si>
  <si>
    <t xml:space="preserve">France compétences — page d'accueil (liens vers les NPEC)</t>
  </si>
  <si>
    <t xml:space="preserve">https://www.francecompetences.fr/</t>
  </si>
  <si>
    <t xml:space="preserve">R8 §8.1 accès au référentiel</t>
  </si>
  <si>
    <t xml:space="preserve">R8-49</t>
  </si>
  <si>
    <t xml:space="preserve">Castello di Reschio opens as unparalleled mecca of Italian authenticity (Cultured, URL datée du 28 juin 2021, vu dans les résultats de recherche)</t>
  </si>
  <si>
    <t xml:space="preserve">R8 §6.1 ouverture de l'hôtel du château (2021), 30 fermes restaurées</t>
  </si>
</sst>
</file>

<file path=xl/styles.xml><?xml version="1.0" encoding="utf-8"?>
<styleSheet xmlns="http://schemas.openxmlformats.org/spreadsheetml/2006/main">
  <numFmts count="5">
    <numFmt numFmtId="164" formatCode="General"/>
    <numFmt numFmtId="165" formatCode="#,##0&quot; €&quot;;\-#,##0&quot; €&quot;;\-"/>
    <numFmt numFmtId="166" formatCode="0.0%;\-0.0%;\-"/>
    <numFmt numFmtId="167" formatCode="#,##0.###;\-#,##0.###;\-"/>
    <numFmt numFmtId="168" formatCode="#,##0.00&quot; €&quot;;\-#,##0.00&quot; €&quot;;\-"/>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color rgb="FFFFFFFF"/>
      <name val="Arial"/>
      <family val="0"/>
      <charset val="1"/>
    </font>
    <font>
      <b val="true"/>
      <sz val="10"/>
      <name val="Arial"/>
      <family val="0"/>
      <charset val="1"/>
    </font>
    <font>
      <sz val="10"/>
      <color rgb="FF0000FF"/>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E8EEF5"/>
        <bgColor rgb="FFE2EFDA"/>
      </patternFill>
    </fill>
    <fill>
      <patternFill patternType="solid">
        <fgColor rgb="FFFCE4D6"/>
        <bgColor rgb="FFFFF2CC"/>
      </patternFill>
    </fill>
    <fill>
      <patternFill patternType="solid">
        <fgColor rgb="FFFFFF00"/>
        <bgColor rgb="FFFFFF00"/>
      </patternFill>
    </fill>
    <fill>
      <patternFill patternType="solid">
        <fgColor rgb="FFFFF2CC"/>
        <bgColor rgb="FFFCE4D6"/>
      </patternFill>
    </fill>
    <fill>
      <patternFill patternType="solid">
        <fgColor rgb="FFE2EFDA"/>
        <bgColor rgb="FFE8EEF5"/>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EE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6.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8"/>
    <col collapsed="false" customWidth="true" hidden="false" outlineLevel="0" max="5" min="3" style="0" width="13"/>
    <col collapsed="false" customWidth="true" hidden="false" outlineLevel="0" max="6" min="6" style="0" width="16"/>
    <col collapsed="false" customWidth="true" hidden="false" outlineLevel="0" max="7" min="7" style="0" width="13"/>
    <col collapsed="false" customWidth="true" hidden="false" outlineLevel="0" max="8" min="8" style="0" width="22"/>
    <col collapsed="false" customWidth="true" hidden="false" outlineLevel="0" max="9" min="9" style="0" width="70"/>
    <col collapsed="false" customWidth="true" hidden="false" outlineLevel="0" max="10" min="10" style="0" width="18"/>
  </cols>
  <sheetData>
    <row r="1" customFormat="false" ht="16.15" hidden="false" customHeight="false" outlineLevel="0" collapsed="false">
      <c r="A1" s="1" t="s">
        <v>9</v>
      </c>
    </row>
    <row r="2" customFormat="false" ht="42" hidden="false" customHeight="true" outlineLevel="0" collapsed="false">
      <c r="A2" s="3" t="s">
        <v>10</v>
      </c>
      <c r="B2" s="3"/>
      <c r="C2" s="3"/>
      <c r="D2" s="3"/>
      <c r="E2" s="3"/>
      <c r="F2" s="3"/>
      <c r="G2" s="3"/>
      <c r="H2" s="3"/>
      <c r="I2" s="3"/>
      <c r="J2" s="3"/>
    </row>
    <row r="4" customFormat="false" ht="15" hidden="false" customHeight="false" outlineLevel="0" collapsed="false">
      <c r="A4" s="4" t="s">
        <v>11</v>
      </c>
      <c r="B4" s="4" t="s">
        <v>12</v>
      </c>
      <c r="C4" s="4" t="s">
        <v>13</v>
      </c>
      <c r="D4" s="4" t="s">
        <v>14</v>
      </c>
      <c r="E4" s="4" t="s">
        <v>15</v>
      </c>
      <c r="F4" s="4" t="s">
        <v>16</v>
      </c>
      <c r="G4" s="4" t="s">
        <v>17</v>
      </c>
      <c r="H4" s="4" t="s">
        <v>18</v>
      </c>
      <c r="I4" s="4" t="s">
        <v>19</v>
      </c>
      <c r="J4" s="4" t="s">
        <v>20</v>
      </c>
    </row>
    <row r="5" customFormat="false" ht="15" hidden="false" customHeight="false" outlineLevel="0" collapsed="false">
      <c r="A5" s="5" t="s">
        <v>21</v>
      </c>
    </row>
    <row r="6" customFormat="false" ht="15" hidden="false" customHeight="false" outlineLevel="0" collapsed="false">
      <c r="A6" s="2" t="s">
        <v>22</v>
      </c>
      <c r="B6" s="2" t="s">
        <v>23</v>
      </c>
      <c r="C6" s="6" t="n">
        <v>4000</v>
      </c>
      <c r="D6" s="6" t="n">
        <v>7000</v>
      </c>
      <c r="E6" s="6" t="n">
        <v>12000</v>
      </c>
      <c r="F6" s="2" t="s">
        <v>24</v>
      </c>
      <c r="G6" s="7" t="s">
        <v>25</v>
      </c>
      <c r="H6" s="2"/>
      <c r="I6" s="8"/>
      <c r="J6" s="2" t="s">
        <v>26</v>
      </c>
    </row>
    <row r="7" customFormat="false" ht="15" hidden="false" customHeight="false" outlineLevel="0" collapsed="false">
      <c r="A7" s="2" t="s">
        <v>27</v>
      </c>
      <c r="B7" s="2" t="s">
        <v>28</v>
      </c>
      <c r="C7" s="6" t="n">
        <v>2000</v>
      </c>
      <c r="D7" s="6" t="n">
        <v>3500</v>
      </c>
      <c r="E7" s="6" t="n">
        <v>6000</v>
      </c>
      <c r="F7" s="2" t="s">
        <v>24</v>
      </c>
      <c r="G7" s="7" t="s">
        <v>25</v>
      </c>
      <c r="H7" s="2" t="s">
        <v>29</v>
      </c>
      <c r="I7" s="8"/>
      <c r="J7" s="2" t="s">
        <v>26</v>
      </c>
    </row>
    <row r="8" customFormat="false" ht="15" hidden="false" customHeight="false" outlineLevel="0" collapsed="false">
      <c r="A8" s="2" t="s">
        <v>30</v>
      </c>
      <c r="B8" s="2" t="s">
        <v>31</v>
      </c>
      <c r="C8" s="6" t="n">
        <v>15000</v>
      </c>
      <c r="D8" s="6" t="n">
        <v>25000</v>
      </c>
      <c r="E8" s="6" t="n">
        <v>40000</v>
      </c>
      <c r="F8" s="2" t="s">
        <v>24</v>
      </c>
      <c r="G8" s="7" t="s">
        <v>25</v>
      </c>
      <c r="H8" s="2"/>
      <c r="I8" s="8"/>
      <c r="J8" s="2" t="s">
        <v>26</v>
      </c>
    </row>
    <row r="9" customFormat="false" ht="15" hidden="false" customHeight="false" outlineLevel="0" collapsed="false">
      <c r="A9" s="2" t="s">
        <v>32</v>
      </c>
      <c r="B9" s="2" t="s">
        <v>33</v>
      </c>
      <c r="C9" s="6" t="n">
        <v>5000</v>
      </c>
      <c r="D9" s="6" t="n">
        <v>9000</v>
      </c>
      <c r="E9" s="6" t="n">
        <v>15000</v>
      </c>
      <c r="F9" s="2" t="s">
        <v>24</v>
      </c>
      <c r="G9" s="7" t="s">
        <v>25</v>
      </c>
      <c r="H9" s="2" t="s">
        <v>29</v>
      </c>
      <c r="I9" s="8"/>
      <c r="J9" s="2" t="s">
        <v>26</v>
      </c>
    </row>
    <row r="10" customFormat="false" ht="15" hidden="false" customHeight="false" outlineLevel="0" collapsed="false">
      <c r="A10" s="2" t="s">
        <v>34</v>
      </c>
      <c r="B10" s="2" t="s">
        <v>35</v>
      </c>
      <c r="C10" s="6" t="n">
        <v>40000</v>
      </c>
      <c r="D10" s="6" t="n">
        <v>70000</v>
      </c>
      <c r="E10" s="6" t="n">
        <v>110000</v>
      </c>
      <c r="F10" s="2" t="s">
        <v>24</v>
      </c>
      <c r="G10" s="7" t="s">
        <v>25</v>
      </c>
      <c r="H10" s="2"/>
      <c r="I10" s="8"/>
      <c r="J10" s="2" t="s">
        <v>26</v>
      </c>
    </row>
    <row r="11" customFormat="false" ht="15" hidden="false" customHeight="false" outlineLevel="0" collapsed="false">
      <c r="A11" s="2" t="s">
        <v>36</v>
      </c>
      <c r="B11" s="2" t="s">
        <v>37</v>
      </c>
      <c r="C11" s="6" t="n">
        <v>12000</v>
      </c>
      <c r="D11" s="6" t="n">
        <v>20000</v>
      </c>
      <c r="E11" s="6" t="n">
        <v>35000</v>
      </c>
      <c r="F11" s="2" t="s">
        <v>24</v>
      </c>
      <c r="G11" s="7" t="s">
        <v>25</v>
      </c>
      <c r="H11" s="2" t="s">
        <v>29</v>
      </c>
      <c r="I11" s="8"/>
      <c r="J11" s="2" t="s">
        <v>26</v>
      </c>
    </row>
    <row r="12" customFormat="false" ht="46.25" hidden="false" customHeight="false" outlineLevel="0" collapsed="false">
      <c r="A12" s="2" t="s">
        <v>38</v>
      </c>
      <c r="B12" s="2" t="s">
        <v>39</v>
      </c>
      <c r="C12" s="9" t="n">
        <v>0.0015</v>
      </c>
      <c r="D12" s="10" t="n">
        <v>0.003</v>
      </c>
      <c r="E12" s="9" t="n">
        <v>0.005</v>
      </c>
      <c r="F12" s="2" t="s">
        <v>40</v>
      </c>
      <c r="G12" s="11" t="s">
        <v>41</v>
      </c>
      <c r="H12" s="2" t="s">
        <v>42</v>
      </c>
      <c r="I12" s="8" t="s">
        <v>43</v>
      </c>
      <c r="J12" s="2" t="s">
        <v>26</v>
      </c>
    </row>
    <row r="13" customFormat="false" ht="23.85" hidden="false" customHeight="false" outlineLevel="0" collapsed="false">
      <c r="A13" s="2" t="s">
        <v>44</v>
      </c>
      <c r="B13" s="2" t="s">
        <v>45</v>
      </c>
      <c r="C13" s="9" t="n">
        <v>0.02</v>
      </c>
      <c r="D13" s="9" t="n">
        <v>0.03</v>
      </c>
      <c r="E13" s="9" t="n">
        <v>0.05</v>
      </c>
      <c r="F13" s="2" t="s">
        <v>46</v>
      </c>
      <c r="G13" s="7" t="s">
        <v>25</v>
      </c>
      <c r="H13" s="2"/>
      <c r="I13" s="8" t="s">
        <v>47</v>
      </c>
      <c r="J13" s="2" t="s">
        <v>26</v>
      </c>
    </row>
    <row r="14" customFormat="false" ht="15" hidden="false" customHeight="false" outlineLevel="0" collapsed="false">
      <c r="A14" s="2" t="s">
        <v>48</v>
      </c>
      <c r="B14" s="2" t="s">
        <v>49</v>
      </c>
      <c r="C14" s="9" t="n">
        <v>0.02</v>
      </c>
      <c r="D14" s="9" t="n">
        <v>0.04</v>
      </c>
      <c r="E14" s="9" t="n">
        <v>0.06</v>
      </c>
      <c r="F14" s="2" t="s">
        <v>46</v>
      </c>
      <c r="G14" s="7" t="s">
        <v>25</v>
      </c>
      <c r="H14" s="2"/>
      <c r="I14" s="8" t="s">
        <v>50</v>
      </c>
      <c r="J14" s="2" t="s">
        <v>26</v>
      </c>
    </row>
    <row r="15" customFormat="false" ht="23.85" hidden="false" customHeight="false" outlineLevel="0" collapsed="false">
      <c r="A15" s="2" t="s">
        <v>51</v>
      </c>
      <c r="B15" s="2" t="s">
        <v>52</v>
      </c>
      <c r="C15" s="6" t="n">
        <v>3</v>
      </c>
      <c r="D15" s="6" t="n">
        <v>6</v>
      </c>
      <c r="E15" s="6" t="n">
        <v>10</v>
      </c>
      <c r="F15" s="2" t="s">
        <v>53</v>
      </c>
      <c r="G15" s="7" t="s">
        <v>25</v>
      </c>
      <c r="H15" s="2" t="s">
        <v>54</v>
      </c>
      <c r="I15" s="8" t="s">
        <v>55</v>
      </c>
      <c r="J15" s="2" t="s">
        <v>26</v>
      </c>
    </row>
    <row r="16" customFormat="false" ht="15" hidden="false" customHeight="false" outlineLevel="0" collapsed="false">
      <c r="A16" s="2" t="s">
        <v>56</v>
      </c>
      <c r="B16" s="2" t="s">
        <v>57</v>
      </c>
      <c r="C16" s="6" t="n">
        <v>1</v>
      </c>
      <c r="D16" s="6" t="n">
        <v>2</v>
      </c>
      <c r="E16" s="6" t="n">
        <v>3</v>
      </c>
      <c r="F16" s="2" t="s">
        <v>53</v>
      </c>
      <c r="G16" s="7" t="s">
        <v>25</v>
      </c>
      <c r="H16" s="2" t="s">
        <v>58</v>
      </c>
      <c r="I16" s="8"/>
      <c r="J16" s="2" t="s">
        <v>26</v>
      </c>
    </row>
    <row r="17" customFormat="false" ht="15" hidden="false" customHeight="false" outlineLevel="0" collapsed="false">
      <c r="A17" s="5" t="s">
        <v>59</v>
      </c>
    </row>
    <row r="18" customFormat="false" ht="15" hidden="false" customHeight="false" outlineLevel="0" collapsed="false">
      <c r="A18" s="2" t="s">
        <v>60</v>
      </c>
      <c r="B18" s="2" t="s">
        <v>61</v>
      </c>
      <c r="C18" s="6" t="n">
        <v>0</v>
      </c>
      <c r="D18" s="6" t="n">
        <v>1500</v>
      </c>
      <c r="E18" s="6" t="n">
        <v>4000</v>
      </c>
      <c r="F18" s="2" t="s">
        <v>24</v>
      </c>
      <c r="G18" s="7" t="s">
        <v>25</v>
      </c>
      <c r="H18" s="2" t="s">
        <v>62</v>
      </c>
      <c r="I18" s="8" t="s">
        <v>63</v>
      </c>
      <c r="J18" s="2" t="s">
        <v>64</v>
      </c>
    </row>
    <row r="19" customFormat="false" ht="23.85" hidden="false" customHeight="false" outlineLevel="0" collapsed="false">
      <c r="A19" s="2" t="s">
        <v>65</v>
      </c>
      <c r="B19" s="2" t="s">
        <v>66</v>
      </c>
      <c r="C19" s="6" t="n">
        <v>1500</v>
      </c>
      <c r="D19" s="6" t="n">
        <v>2500</v>
      </c>
      <c r="E19" s="6" t="n">
        <v>4000</v>
      </c>
      <c r="F19" s="2" t="s">
        <v>24</v>
      </c>
      <c r="G19" s="7" t="s">
        <v>25</v>
      </c>
      <c r="H19" s="2" t="s">
        <v>67</v>
      </c>
      <c r="I19" s="8" t="s">
        <v>68</v>
      </c>
      <c r="J19" s="2" t="s">
        <v>64</v>
      </c>
    </row>
    <row r="20" customFormat="false" ht="35.05" hidden="false" customHeight="false" outlineLevel="0" collapsed="false">
      <c r="A20" s="2" t="s">
        <v>69</v>
      </c>
      <c r="B20" s="2" t="s">
        <v>70</v>
      </c>
      <c r="C20" s="6" t="n">
        <v>2400</v>
      </c>
      <c r="D20" s="6" t="n">
        <v>3000</v>
      </c>
      <c r="E20" s="6" t="n">
        <v>4000</v>
      </c>
      <c r="F20" s="2" t="s">
        <v>71</v>
      </c>
      <c r="G20" s="11" t="s">
        <v>41</v>
      </c>
      <c r="H20" s="2" t="s">
        <v>72</v>
      </c>
      <c r="I20" s="8" t="s">
        <v>73</v>
      </c>
      <c r="J20" s="2" t="s">
        <v>64</v>
      </c>
    </row>
    <row r="21" customFormat="false" ht="15" hidden="false" customHeight="false" outlineLevel="0" collapsed="false">
      <c r="A21" s="2" t="s">
        <v>74</v>
      </c>
      <c r="B21" s="2" t="s">
        <v>75</v>
      </c>
      <c r="C21" s="6" t="n">
        <v>3000</v>
      </c>
      <c r="D21" s="6" t="n">
        <v>6000</v>
      </c>
      <c r="E21" s="6" t="n">
        <v>10000</v>
      </c>
      <c r="F21" s="2" t="s">
        <v>24</v>
      </c>
      <c r="G21" s="7" t="s">
        <v>25</v>
      </c>
      <c r="H21" s="2" t="s">
        <v>62</v>
      </c>
      <c r="I21" s="8"/>
      <c r="J21" s="2" t="s">
        <v>64</v>
      </c>
    </row>
    <row r="22" customFormat="false" ht="15" hidden="false" customHeight="false" outlineLevel="0" collapsed="false">
      <c r="A22" s="2" t="s">
        <v>76</v>
      </c>
      <c r="B22" s="2" t="s">
        <v>77</v>
      </c>
      <c r="C22" s="6" t="n">
        <v>4000</v>
      </c>
      <c r="D22" s="6" t="n">
        <v>7000</v>
      </c>
      <c r="E22" s="6" t="n">
        <v>12000</v>
      </c>
      <c r="F22" s="2" t="s">
        <v>24</v>
      </c>
      <c r="G22" s="7" t="s">
        <v>25</v>
      </c>
      <c r="H22" s="2" t="s">
        <v>67</v>
      </c>
      <c r="I22" s="8"/>
      <c r="J22" s="2" t="s">
        <v>64</v>
      </c>
    </row>
    <row r="23" customFormat="false" ht="23.85" hidden="false" customHeight="false" outlineLevel="0" collapsed="false">
      <c r="A23" s="2" t="s">
        <v>78</v>
      </c>
      <c r="B23" s="2" t="s">
        <v>79</v>
      </c>
      <c r="C23" s="6" t="n">
        <v>2800</v>
      </c>
      <c r="D23" s="12" t="n">
        <v>3700</v>
      </c>
      <c r="E23" s="6" t="n">
        <v>5000</v>
      </c>
      <c r="F23" s="2" t="s">
        <v>71</v>
      </c>
      <c r="G23" s="11" t="s">
        <v>41</v>
      </c>
      <c r="H23" s="2" t="s">
        <v>72</v>
      </c>
      <c r="I23" s="8" t="s">
        <v>80</v>
      </c>
      <c r="J23" s="2" t="s">
        <v>64</v>
      </c>
    </row>
    <row r="24" customFormat="false" ht="15" hidden="false" customHeight="false" outlineLevel="0" collapsed="false">
      <c r="A24" s="2" t="s">
        <v>81</v>
      </c>
      <c r="B24" s="2" t="s">
        <v>82</v>
      </c>
      <c r="C24" s="6" t="n">
        <v>8000</v>
      </c>
      <c r="D24" s="6" t="n">
        <v>15000</v>
      </c>
      <c r="E24" s="6" t="n">
        <v>25000</v>
      </c>
      <c r="F24" s="2" t="s">
        <v>24</v>
      </c>
      <c r="G24" s="7" t="s">
        <v>25</v>
      </c>
      <c r="H24" s="2" t="s">
        <v>62</v>
      </c>
      <c r="I24" s="8"/>
      <c r="J24" s="2" t="s">
        <v>64</v>
      </c>
    </row>
    <row r="25" customFormat="false" ht="15" hidden="false" customHeight="false" outlineLevel="0" collapsed="false">
      <c r="A25" s="2" t="s">
        <v>83</v>
      </c>
      <c r="B25" s="2" t="s">
        <v>84</v>
      </c>
      <c r="C25" s="6" t="n">
        <v>15000</v>
      </c>
      <c r="D25" s="6" t="n">
        <v>25000</v>
      </c>
      <c r="E25" s="6" t="n">
        <v>40000</v>
      </c>
      <c r="F25" s="2" t="s">
        <v>24</v>
      </c>
      <c r="G25" s="7" t="s">
        <v>25</v>
      </c>
      <c r="H25" s="2" t="s">
        <v>67</v>
      </c>
      <c r="I25" s="8"/>
      <c r="J25" s="2" t="s">
        <v>64</v>
      </c>
    </row>
    <row r="26" customFormat="false" ht="23.85" hidden="false" customHeight="false" outlineLevel="0" collapsed="false">
      <c r="A26" s="2" t="s">
        <v>85</v>
      </c>
      <c r="B26" s="2" t="s">
        <v>86</v>
      </c>
      <c r="C26" s="6" t="n">
        <v>5000</v>
      </c>
      <c r="D26" s="6" t="n">
        <v>7000</v>
      </c>
      <c r="E26" s="6" t="n">
        <v>10000</v>
      </c>
      <c r="F26" s="2" t="s">
        <v>71</v>
      </c>
      <c r="G26" s="11" t="s">
        <v>41</v>
      </c>
      <c r="H26" s="2" t="s">
        <v>29</v>
      </c>
      <c r="I26" s="8" t="s">
        <v>87</v>
      </c>
      <c r="J26" s="2" t="s">
        <v>64</v>
      </c>
    </row>
    <row r="27" customFormat="false" ht="23.85" hidden="false" customHeight="false" outlineLevel="0" collapsed="false">
      <c r="A27" s="2" t="s">
        <v>88</v>
      </c>
      <c r="B27" s="2" t="s">
        <v>89</v>
      </c>
      <c r="C27" s="9" t="n">
        <v>0.1</v>
      </c>
      <c r="D27" s="9" t="n">
        <v>0.15</v>
      </c>
      <c r="E27" s="9" t="n">
        <v>0.2</v>
      </c>
      <c r="F27" s="2" t="s">
        <v>90</v>
      </c>
      <c r="G27" s="7" t="s">
        <v>25</v>
      </c>
      <c r="H27" s="2" t="s">
        <v>62</v>
      </c>
      <c r="I27" s="8" t="s">
        <v>91</v>
      </c>
      <c r="J27" s="2" t="s">
        <v>64</v>
      </c>
    </row>
    <row r="28" customFormat="false" ht="23.85" hidden="false" customHeight="false" outlineLevel="0" collapsed="false">
      <c r="A28" s="2" t="s">
        <v>92</v>
      </c>
      <c r="B28" s="2" t="s">
        <v>93</v>
      </c>
      <c r="C28" s="9" t="n">
        <v>0.005</v>
      </c>
      <c r="D28" s="9" t="n">
        <v>0.0075</v>
      </c>
      <c r="E28" s="9" t="n">
        <v>0.01</v>
      </c>
      <c r="F28" s="2" t="s">
        <v>94</v>
      </c>
      <c r="G28" s="7" t="s">
        <v>25</v>
      </c>
      <c r="H28" s="2" t="s">
        <v>95</v>
      </c>
      <c r="I28" s="8" t="s">
        <v>96</v>
      </c>
      <c r="J28" s="2" t="s">
        <v>64</v>
      </c>
    </row>
    <row r="29" customFormat="false" ht="57.45" hidden="false" customHeight="false" outlineLevel="0" collapsed="false">
      <c r="A29" s="2" t="s">
        <v>97</v>
      </c>
      <c r="B29" s="2" t="s">
        <v>98</v>
      </c>
      <c r="C29" s="9" t="n">
        <v>0.015</v>
      </c>
      <c r="D29" s="10" t="n">
        <v>0.0225</v>
      </c>
      <c r="E29" s="9" t="n">
        <v>0.03</v>
      </c>
      <c r="F29" s="2" t="s">
        <v>94</v>
      </c>
      <c r="G29" s="11" t="s">
        <v>41</v>
      </c>
      <c r="H29" s="2" t="s">
        <v>99</v>
      </c>
      <c r="I29" s="8" t="s">
        <v>100</v>
      </c>
      <c r="J29" s="2" t="s">
        <v>64</v>
      </c>
    </row>
    <row r="30" customFormat="false" ht="15" hidden="false" customHeight="false" outlineLevel="0" collapsed="false">
      <c r="A30" s="2" t="s">
        <v>101</v>
      </c>
      <c r="B30" s="2" t="s">
        <v>102</v>
      </c>
      <c r="C30" s="13" t="n">
        <v>0.4</v>
      </c>
      <c r="D30" s="13" t="n">
        <v>0.5</v>
      </c>
      <c r="E30" s="13" t="n">
        <v>0.6</v>
      </c>
      <c r="F30" s="2" t="s">
        <v>103</v>
      </c>
      <c r="G30" s="7" t="s">
        <v>25</v>
      </c>
      <c r="H30" s="2" t="s">
        <v>58</v>
      </c>
      <c r="I30" s="8" t="s">
        <v>104</v>
      </c>
      <c r="J30" s="2" t="s">
        <v>64</v>
      </c>
    </row>
    <row r="31" customFormat="false" ht="15" hidden="false" customHeight="false" outlineLevel="0" collapsed="false">
      <c r="A31" s="5" t="s">
        <v>105</v>
      </c>
    </row>
    <row r="32" customFormat="false" ht="23.85" hidden="false" customHeight="false" outlineLevel="0" collapsed="false">
      <c r="A32" s="2" t="s">
        <v>106</v>
      </c>
      <c r="B32" s="2" t="s">
        <v>107</v>
      </c>
      <c r="C32" s="6" t="n">
        <v>170000</v>
      </c>
      <c r="D32" s="6" t="n">
        <v>170000</v>
      </c>
      <c r="E32" s="6" t="n">
        <v>170000</v>
      </c>
      <c r="F32" s="2" t="s">
        <v>108</v>
      </c>
      <c r="G32" s="11" t="s">
        <v>41</v>
      </c>
      <c r="H32" s="2" t="s">
        <v>109</v>
      </c>
      <c r="I32" s="8" t="s">
        <v>110</v>
      </c>
      <c r="J32" s="2" t="s">
        <v>111</v>
      </c>
    </row>
    <row r="33" customFormat="false" ht="23.85" hidden="false" customHeight="false" outlineLevel="0" collapsed="false">
      <c r="A33" s="2" t="s">
        <v>112</v>
      </c>
      <c r="B33" s="2" t="s">
        <v>113</v>
      </c>
      <c r="C33" s="6" t="n">
        <v>500000</v>
      </c>
      <c r="D33" s="6" t="n">
        <v>500000</v>
      </c>
      <c r="E33" s="6" t="n">
        <v>500000</v>
      </c>
      <c r="F33" s="2" t="s">
        <v>108</v>
      </c>
      <c r="G33" s="11" t="s">
        <v>41</v>
      </c>
      <c r="H33" s="2" t="s">
        <v>109</v>
      </c>
      <c r="I33" s="8" t="s">
        <v>114</v>
      </c>
      <c r="J33" s="2" t="s">
        <v>111</v>
      </c>
    </row>
    <row r="34" customFormat="false" ht="15" hidden="false" customHeight="false" outlineLevel="0" collapsed="false">
      <c r="A34" s="2" t="s">
        <v>115</v>
      </c>
      <c r="B34" s="2" t="s">
        <v>116</v>
      </c>
      <c r="C34" s="6" t="n">
        <v>665000</v>
      </c>
      <c r="D34" s="6" t="n">
        <v>665000</v>
      </c>
      <c r="E34" s="6" t="n">
        <v>665000</v>
      </c>
      <c r="F34" s="2" t="s">
        <v>108</v>
      </c>
      <c r="G34" s="11" t="s">
        <v>41</v>
      </c>
      <c r="H34" s="2" t="s">
        <v>109</v>
      </c>
      <c r="I34" s="8" t="s">
        <v>117</v>
      </c>
      <c r="J34" s="2" t="s">
        <v>111</v>
      </c>
    </row>
    <row r="35" customFormat="false" ht="15" hidden="false" customHeight="false" outlineLevel="0" collapsed="false">
      <c r="A35" s="2" t="s">
        <v>118</v>
      </c>
      <c r="B35" s="2" t="s">
        <v>119</v>
      </c>
      <c r="C35" s="6" t="n">
        <v>15</v>
      </c>
      <c r="D35" s="6" t="n">
        <v>30</v>
      </c>
      <c r="E35" s="6" t="n">
        <v>60</v>
      </c>
      <c r="F35" s="2" t="s">
        <v>120</v>
      </c>
      <c r="G35" s="7" t="s">
        <v>25</v>
      </c>
      <c r="H35" s="2"/>
      <c r="I35" s="8" t="s">
        <v>121</v>
      </c>
      <c r="J35" s="2" t="s">
        <v>111</v>
      </c>
    </row>
    <row r="36" customFormat="false" ht="15" hidden="false" customHeight="false" outlineLevel="0" collapsed="false">
      <c r="A36" s="2" t="s">
        <v>122</v>
      </c>
      <c r="B36" s="2" t="s">
        <v>123</v>
      </c>
      <c r="C36" s="6" t="n">
        <v>300</v>
      </c>
      <c r="D36" s="6" t="n">
        <v>500</v>
      </c>
      <c r="E36" s="6" t="n">
        <v>900</v>
      </c>
      <c r="F36" s="2" t="s">
        <v>124</v>
      </c>
      <c r="G36" s="11" t="s">
        <v>41</v>
      </c>
      <c r="H36" s="2" t="s">
        <v>125</v>
      </c>
      <c r="I36" s="8" t="s">
        <v>126</v>
      </c>
      <c r="J36" s="2" t="s">
        <v>111</v>
      </c>
    </row>
    <row r="37" customFormat="false" ht="35.05" hidden="false" customHeight="false" outlineLevel="0" collapsed="false">
      <c r="A37" s="2" t="s">
        <v>127</v>
      </c>
      <c r="B37" s="2" t="s">
        <v>128</v>
      </c>
      <c r="C37" s="6" t="n">
        <v>2900</v>
      </c>
      <c r="D37" s="6" t="n">
        <v>4000</v>
      </c>
      <c r="E37" s="6" t="n">
        <v>5500</v>
      </c>
      <c r="F37" s="2" t="s">
        <v>129</v>
      </c>
      <c r="G37" s="11" t="s">
        <v>41</v>
      </c>
      <c r="H37" s="2" t="s">
        <v>130</v>
      </c>
      <c r="I37" s="8" t="s">
        <v>131</v>
      </c>
      <c r="J37" s="2" t="s">
        <v>111</v>
      </c>
    </row>
    <row r="38" customFormat="false" ht="15" hidden="false" customHeight="false" outlineLevel="0" collapsed="false">
      <c r="A38" s="2" t="s">
        <v>132</v>
      </c>
      <c r="B38" s="2" t="s">
        <v>133</v>
      </c>
      <c r="C38" s="6" t="n">
        <v>20</v>
      </c>
      <c r="D38" s="6" t="n">
        <v>35</v>
      </c>
      <c r="E38" s="6" t="n">
        <v>60</v>
      </c>
      <c r="F38" s="2" t="s">
        <v>134</v>
      </c>
      <c r="G38" s="7" t="s">
        <v>25</v>
      </c>
      <c r="H38" s="2" t="s">
        <v>135</v>
      </c>
      <c r="I38" s="8" t="s">
        <v>136</v>
      </c>
      <c r="J38" s="2" t="s">
        <v>111</v>
      </c>
    </row>
    <row r="39" customFormat="false" ht="15" hidden="false" customHeight="false" outlineLevel="0" collapsed="false">
      <c r="A39" s="2" t="s">
        <v>137</v>
      </c>
      <c r="B39" s="2" t="s">
        <v>138</v>
      </c>
      <c r="C39" s="13" t="n">
        <v>25</v>
      </c>
      <c r="D39" s="13" t="n">
        <v>20</v>
      </c>
      <c r="E39" s="13" t="n">
        <v>15</v>
      </c>
      <c r="F39" s="2" t="s">
        <v>139</v>
      </c>
      <c r="G39" s="7" t="s">
        <v>25</v>
      </c>
      <c r="H39" s="2" t="s">
        <v>135</v>
      </c>
      <c r="I39" s="8"/>
      <c r="J39" s="2" t="s">
        <v>111</v>
      </c>
    </row>
    <row r="40" customFormat="false" ht="15" hidden="false" customHeight="false" outlineLevel="0" collapsed="false">
      <c r="A40" s="2" t="s">
        <v>140</v>
      </c>
      <c r="B40" s="2" t="s">
        <v>141</v>
      </c>
      <c r="C40" s="9" t="n">
        <v>0.04</v>
      </c>
      <c r="D40" s="9" t="n">
        <v>0.06</v>
      </c>
      <c r="E40" s="9" t="n">
        <v>0.08</v>
      </c>
      <c r="F40" s="2" t="s">
        <v>94</v>
      </c>
      <c r="G40" s="7" t="s">
        <v>25</v>
      </c>
      <c r="H40" s="2" t="s">
        <v>109</v>
      </c>
      <c r="I40" s="8"/>
      <c r="J40" s="2" t="s">
        <v>111</v>
      </c>
    </row>
    <row r="41" customFormat="false" ht="15" hidden="false" customHeight="false" outlineLevel="0" collapsed="false">
      <c r="A41" s="2" t="s">
        <v>142</v>
      </c>
      <c r="B41" s="2" t="s">
        <v>143</v>
      </c>
      <c r="C41" s="13" t="n">
        <v>12</v>
      </c>
      <c r="D41" s="13" t="n">
        <v>10</v>
      </c>
      <c r="E41" s="13" t="n">
        <v>8</v>
      </c>
      <c r="F41" s="2" t="s">
        <v>139</v>
      </c>
      <c r="G41" s="14" t="s">
        <v>144</v>
      </c>
      <c r="H41" s="2" t="s">
        <v>109</v>
      </c>
      <c r="I41" s="8" t="s">
        <v>145</v>
      </c>
      <c r="J41" s="2" t="s">
        <v>111</v>
      </c>
    </row>
    <row r="42" customFormat="false" ht="23.85" hidden="false" customHeight="false" outlineLevel="0" collapsed="false">
      <c r="A42" s="2" t="s">
        <v>146</v>
      </c>
      <c r="B42" s="2" t="s">
        <v>147</v>
      </c>
      <c r="C42" s="6" t="n">
        <v>3000</v>
      </c>
      <c r="D42" s="6" t="n">
        <v>5000</v>
      </c>
      <c r="E42" s="6" t="n">
        <v>8000</v>
      </c>
      <c r="F42" s="2" t="s">
        <v>148</v>
      </c>
      <c r="G42" s="7" t="s">
        <v>25</v>
      </c>
      <c r="H42" s="2" t="s">
        <v>135</v>
      </c>
      <c r="I42" s="8" t="s">
        <v>149</v>
      </c>
      <c r="J42" s="2" t="s">
        <v>111</v>
      </c>
    </row>
    <row r="43" customFormat="false" ht="15" hidden="false" customHeight="false" outlineLevel="0" collapsed="false">
      <c r="A43" s="2" t="s">
        <v>150</v>
      </c>
      <c r="B43" s="2" t="s">
        <v>151</v>
      </c>
      <c r="C43" s="6" t="n">
        <v>150</v>
      </c>
      <c r="D43" s="6" t="n">
        <v>180</v>
      </c>
      <c r="E43" s="6" t="n">
        <v>250</v>
      </c>
      <c r="F43" s="2" t="s">
        <v>71</v>
      </c>
      <c r="G43" s="11" t="s">
        <v>41</v>
      </c>
      <c r="H43" s="2" t="s">
        <v>152</v>
      </c>
      <c r="I43" s="8" t="s">
        <v>153</v>
      </c>
      <c r="J43" s="2" t="s">
        <v>111</v>
      </c>
    </row>
    <row r="44" customFormat="false" ht="15" hidden="false" customHeight="false" outlineLevel="0" collapsed="false">
      <c r="A44" s="2" t="s">
        <v>154</v>
      </c>
      <c r="B44" s="2" t="s">
        <v>155</v>
      </c>
      <c r="C44" s="13" t="n">
        <v>35</v>
      </c>
      <c r="D44" s="13" t="n">
        <v>30</v>
      </c>
      <c r="E44" s="13" t="n">
        <v>25</v>
      </c>
      <c r="F44" s="2" t="s">
        <v>139</v>
      </c>
      <c r="G44" s="14" t="s">
        <v>144</v>
      </c>
      <c r="H44" s="2" t="s">
        <v>152</v>
      </c>
      <c r="I44" s="8" t="s">
        <v>156</v>
      </c>
      <c r="J44" s="2" t="s">
        <v>111</v>
      </c>
    </row>
    <row r="45" customFormat="false" ht="15" hidden="false" customHeight="false" outlineLevel="0" collapsed="false">
      <c r="A45" s="2" t="s">
        <v>157</v>
      </c>
      <c r="B45" s="2" t="s">
        <v>158</v>
      </c>
      <c r="C45" s="6" t="n">
        <v>500</v>
      </c>
      <c r="D45" s="6" t="n">
        <v>800</v>
      </c>
      <c r="E45" s="6" t="n">
        <v>1500</v>
      </c>
      <c r="F45" s="2" t="s">
        <v>148</v>
      </c>
      <c r="G45" s="7" t="s">
        <v>25</v>
      </c>
      <c r="H45" s="2" t="s">
        <v>135</v>
      </c>
      <c r="I45" s="8"/>
      <c r="J45" s="2" t="s">
        <v>111</v>
      </c>
    </row>
    <row r="46" customFormat="false" ht="23.85" hidden="false" customHeight="false" outlineLevel="0" collapsed="false">
      <c r="A46" s="2" t="s">
        <v>159</v>
      </c>
      <c r="B46" s="2" t="s">
        <v>160</v>
      </c>
      <c r="C46" s="6" t="n">
        <v>120</v>
      </c>
      <c r="D46" s="6" t="n">
        <v>180</v>
      </c>
      <c r="E46" s="6" t="n">
        <v>250</v>
      </c>
      <c r="F46" s="2" t="s">
        <v>120</v>
      </c>
      <c r="G46" s="11" t="s">
        <v>41</v>
      </c>
      <c r="H46" s="2" t="s">
        <v>161</v>
      </c>
      <c r="I46" s="8" t="s">
        <v>162</v>
      </c>
      <c r="J46" s="2" t="s">
        <v>111</v>
      </c>
    </row>
    <row r="47" customFormat="false" ht="15" hidden="false" customHeight="false" outlineLevel="0" collapsed="false">
      <c r="A47" s="2" t="s">
        <v>163</v>
      </c>
      <c r="B47" s="2" t="s">
        <v>164</v>
      </c>
      <c r="C47" s="6" t="n">
        <v>8</v>
      </c>
      <c r="D47" s="6" t="n">
        <v>12</v>
      </c>
      <c r="E47" s="6" t="n">
        <v>18</v>
      </c>
      <c r="F47" s="2" t="s">
        <v>71</v>
      </c>
      <c r="G47" s="11" t="s">
        <v>41</v>
      </c>
      <c r="H47" s="2" t="s">
        <v>152</v>
      </c>
      <c r="I47" s="8" t="s">
        <v>165</v>
      </c>
      <c r="J47" s="2" t="s">
        <v>111</v>
      </c>
    </row>
    <row r="48" customFormat="false" ht="15" hidden="false" customHeight="false" outlineLevel="0" collapsed="false">
      <c r="A48" s="2" t="s">
        <v>166</v>
      </c>
      <c r="B48" s="2" t="s">
        <v>167</v>
      </c>
      <c r="C48" s="13" t="n">
        <v>12</v>
      </c>
      <c r="D48" s="13" t="n">
        <v>10</v>
      </c>
      <c r="E48" s="13" t="n">
        <v>8</v>
      </c>
      <c r="F48" s="2" t="s">
        <v>139</v>
      </c>
      <c r="G48" s="7" t="s">
        <v>25</v>
      </c>
      <c r="H48" s="2"/>
      <c r="I48" s="8" t="s">
        <v>168</v>
      </c>
      <c r="J48" s="2" t="s">
        <v>111</v>
      </c>
    </row>
    <row r="49" customFormat="false" ht="23.85" hidden="false" customHeight="false" outlineLevel="0" collapsed="false">
      <c r="A49" s="2" t="s">
        <v>169</v>
      </c>
      <c r="B49" s="2" t="s">
        <v>170</v>
      </c>
      <c r="C49" s="6" t="n">
        <v>6</v>
      </c>
      <c r="D49" s="6" t="n">
        <v>12</v>
      </c>
      <c r="E49" s="6" t="n">
        <v>25</v>
      </c>
      <c r="F49" s="2" t="s">
        <v>120</v>
      </c>
      <c r="G49" s="7" t="s">
        <v>25</v>
      </c>
      <c r="H49" s="2"/>
      <c r="I49" s="8" t="s">
        <v>171</v>
      </c>
      <c r="J49" s="2" t="s">
        <v>111</v>
      </c>
    </row>
    <row r="50" customFormat="false" ht="15" hidden="false" customHeight="false" outlineLevel="0" collapsed="false">
      <c r="A50" s="5" t="s">
        <v>172</v>
      </c>
    </row>
    <row r="51" customFormat="false" ht="15" hidden="false" customHeight="false" outlineLevel="0" collapsed="false">
      <c r="A51" s="2" t="s">
        <v>173</v>
      </c>
      <c r="B51" s="2" t="s">
        <v>174</v>
      </c>
      <c r="C51" s="6" t="n">
        <v>0</v>
      </c>
      <c r="D51" s="6" t="n">
        <v>0</v>
      </c>
      <c r="E51" s="6" t="n">
        <v>0</v>
      </c>
      <c r="F51" s="2" t="s">
        <v>175</v>
      </c>
      <c r="G51" s="7" t="s">
        <v>25</v>
      </c>
      <c r="H51" s="2"/>
      <c r="I51" s="8"/>
      <c r="J51" s="2" t="s">
        <v>176</v>
      </c>
    </row>
    <row r="52" customFormat="false" ht="15" hidden="false" customHeight="false" outlineLevel="0" collapsed="false">
      <c r="A52" s="2" t="s">
        <v>177</v>
      </c>
      <c r="B52" s="2" t="s">
        <v>178</v>
      </c>
      <c r="C52" s="6" t="n">
        <v>0</v>
      </c>
      <c r="D52" s="6" t="n">
        <v>0</v>
      </c>
      <c r="E52" s="6" t="n">
        <v>0</v>
      </c>
      <c r="F52" s="2" t="s">
        <v>175</v>
      </c>
      <c r="G52" s="7" t="s">
        <v>25</v>
      </c>
      <c r="H52" s="2"/>
      <c r="I52" s="8"/>
      <c r="J52" s="2" t="s">
        <v>176</v>
      </c>
    </row>
    <row r="53" customFormat="false" ht="35.05" hidden="false" customHeight="false" outlineLevel="0" collapsed="false">
      <c r="A53" s="2" t="s">
        <v>179</v>
      </c>
      <c r="B53" s="2" t="s">
        <v>180</v>
      </c>
      <c r="C53" s="6" t="n">
        <v>62277</v>
      </c>
      <c r="D53" s="6" t="n">
        <v>79253</v>
      </c>
      <c r="E53" s="6" t="n">
        <v>96730</v>
      </c>
      <c r="F53" s="2" t="s">
        <v>175</v>
      </c>
      <c r="G53" s="11" t="s">
        <v>41</v>
      </c>
      <c r="H53" s="2" t="s">
        <v>181</v>
      </c>
      <c r="I53" s="8" t="s">
        <v>182</v>
      </c>
      <c r="J53" s="2" t="s">
        <v>176</v>
      </c>
    </row>
    <row r="54" customFormat="false" ht="15" hidden="false" customHeight="false" outlineLevel="0" collapsed="false">
      <c r="A54" s="2" t="s">
        <v>183</v>
      </c>
      <c r="B54" s="2" t="s">
        <v>184</v>
      </c>
      <c r="C54" s="6" t="n">
        <v>37863</v>
      </c>
      <c r="D54" s="6" t="n">
        <v>40776</v>
      </c>
      <c r="E54" s="6" t="n">
        <v>43688</v>
      </c>
      <c r="F54" s="2" t="s">
        <v>175</v>
      </c>
      <c r="G54" s="11" t="s">
        <v>41</v>
      </c>
      <c r="H54" s="2" t="s">
        <v>185</v>
      </c>
      <c r="I54" s="8"/>
      <c r="J54" s="2" t="s">
        <v>176</v>
      </c>
    </row>
    <row r="55" customFormat="false" ht="46.25" hidden="false" customHeight="false" outlineLevel="0" collapsed="false">
      <c r="A55" s="2" t="s">
        <v>186</v>
      </c>
      <c r="B55" s="2" t="s">
        <v>187</v>
      </c>
      <c r="C55" s="6" t="n">
        <v>79253</v>
      </c>
      <c r="D55" s="6" t="n">
        <v>96730</v>
      </c>
      <c r="E55" s="6" t="n">
        <v>115000</v>
      </c>
      <c r="F55" s="2" t="s">
        <v>175</v>
      </c>
      <c r="G55" s="11" t="s">
        <v>41</v>
      </c>
      <c r="H55" s="2" t="s">
        <v>188</v>
      </c>
      <c r="I55" s="8" t="s">
        <v>189</v>
      </c>
      <c r="J55" s="2" t="s">
        <v>176</v>
      </c>
    </row>
    <row r="56" customFormat="false" ht="23.85" hidden="false" customHeight="false" outlineLevel="0" collapsed="false">
      <c r="A56" s="2" t="s">
        <v>190</v>
      </c>
      <c r="B56" s="2" t="s">
        <v>191</v>
      </c>
      <c r="C56" s="6" t="n">
        <v>50000</v>
      </c>
      <c r="D56" s="6" t="n">
        <v>58251</v>
      </c>
      <c r="E56" s="6" t="n">
        <v>66000</v>
      </c>
      <c r="F56" s="2" t="s">
        <v>175</v>
      </c>
      <c r="G56" s="11" t="s">
        <v>41</v>
      </c>
      <c r="H56" s="2" t="s">
        <v>185</v>
      </c>
      <c r="I56" s="8" t="s">
        <v>192</v>
      </c>
      <c r="J56" s="2" t="s">
        <v>176</v>
      </c>
    </row>
    <row r="57" customFormat="false" ht="35.05" hidden="false" customHeight="false" outlineLevel="0" collapsed="false">
      <c r="A57" s="2" t="s">
        <v>193</v>
      </c>
      <c r="B57" s="2" t="s">
        <v>194</v>
      </c>
      <c r="C57" s="6" t="n">
        <v>40479</v>
      </c>
      <c r="D57" s="6" t="n">
        <v>44289</v>
      </c>
      <c r="E57" s="6" t="n">
        <v>48000</v>
      </c>
      <c r="F57" s="2" t="s">
        <v>175</v>
      </c>
      <c r="G57" s="11" t="s">
        <v>41</v>
      </c>
      <c r="H57" s="2" t="s">
        <v>195</v>
      </c>
      <c r="I57" s="8" t="s">
        <v>182</v>
      </c>
      <c r="J57" s="2" t="s">
        <v>176</v>
      </c>
    </row>
    <row r="58" customFormat="false" ht="35.05" hidden="false" customHeight="false" outlineLevel="0" collapsed="false">
      <c r="A58" s="2" t="s">
        <v>196</v>
      </c>
      <c r="B58" s="2" t="s">
        <v>197</v>
      </c>
      <c r="C58" s="6" t="n">
        <v>32531</v>
      </c>
      <c r="D58" s="6" t="n">
        <v>36566</v>
      </c>
      <c r="E58" s="6" t="n">
        <v>40479</v>
      </c>
      <c r="F58" s="2" t="s">
        <v>175</v>
      </c>
      <c r="G58" s="11" t="s">
        <v>41</v>
      </c>
      <c r="H58" s="2" t="s">
        <v>188</v>
      </c>
      <c r="I58" s="8" t="s">
        <v>182</v>
      </c>
      <c r="J58" s="2" t="s">
        <v>176</v>
      </c>
    </row>
    <row r="59" customFormat="false" ht="35.05" hidden="false" customHeight="false" outlineLevel="0" collapsed="false">
      <c r="A59" s="2" t="s">
        <v>198</v>
      </c>
      <c r="B59" s="2" t="s">
        <v>199</v>
      </c>
      <c r="C59" s="6" t="n">
        <v>44289</v>
      </c>
      <c r="D59" s="6" t="n">
        <v>53470</v>
      </c>
      <c r="E59" s="6" t="n">
        <v>62277</v>
      </c>
      <c r="F59" s="2" t="s">
        <v>175</v>
      </c>
      <c r="G59" s="11" t="s">
        <v>41</v>
      </c>
      <c r="H59" s="2" t="s">
        <v>181</v>
      </c>
      <c r="I59" s="8" t="s">
        <v>182</v>
      </c>
      <c r="J59" s="2" t="s">
        <v>176</v>
      </c>
    </row>
    <row r="60" customFormat="false" ht="46.25" hidden="false" customHeight="false" outlineLevel="0" collapsed="false">
      <c r="A60" s="2" t="s">
        <v>200</v>
      </c>
      <c r="B60" s="2" t="s">
        <v>201</v>
      </c>
      <c r="C60" s="6" t="n">
        <v>28346</v>
      </c>
      <c r="D60" s="12" t="n">
        <v>32531</v>
      </c>
      <c r="E60" s="6" t="n">
        <v>36566</v>
      </c>
      <c r="F60" s="2" t="s">
        <v>175</v>
      </c>
      <c r="G60" s="11" t="s">
        <v>41</v>
      </c>
      <c r="H60" s="2" t="s">
        <v>181</v>
      </c>
      <c r="I60" s="8" t="s">
        <v>202</v>
      </c>
      <c r="J60" s="2" t="s">
        <v>176</v>
      </c>
    </row>
    <row r="61" customFormat="false" ht="23.85" hidden="false" customHeight="false" outlineLevel="0" collapsed="false">
      <c r="A61" s="2" t="s">
        <v>203</v>
      </c>
      <c r="B61" s="2" t="s">
        <v>204</v>
      </c>
      <c r="C61" s="6" t="n">
        <v>29125</v>
      </c>
      <c r="D61" s="6" t="n">
        <v>32038</v>
      </c>
      <c r="E61" s="6" t="n">
        <v>34950</v>
      </c>
      <c r="F61" s="2" t="s">
        <v>175</v>
      </c>
      <c r="G61" s="11" t="s">
        <v>41</v>
      </c>
      <c r="H61" s="2" t="s">
        <v>185</v>
      </c>
      <c r="I61" s="8" t="s">
        <v>205</v>
      </c>
      <c r="J61" s="2" t="s">
        <v>176</v>
      </c>
    </row>
    <row r="62" customFormat="false" ht="35.05" hidden="false" customHeight="false" outlineLevel="0" collapsed="false">
      <c r="A62" s="2" t="s">
        <v>206</v>
      </c>
      <c r="B62" s="2" t="s">
        <v>207</v>
      </c>
      <c r="C62" s="6" t="n">
        <v>28346</v>
      </c>
      <c r="D62" s="6" t="n">
        <v>32531</v>
      </c>
      <c r="E62" s="6" t="n">
        <v>36566</v>
      </c>
      <c r="F62" s="2" t="s">
        <v>175</v>
      </c>
      <c r="G62" s="11" t="s">
        <v>41</v>
      </c>
      <c r="H62" s="2" t="s">
        <v>208</v>
      </c>
      <c r="I62" s="8" t="s">
        <v>182</v>
      </c>
      <c r="J62" s="2" t="s">
        <v>176</v>
      </c>
    </row>
    <row r="63" customFormat="false" ht="35.05" hidden="false" customHeight="false" outlineLevel="0" collapsed="false">
      <c r="A63" s="2" t="s">
        <v>209</v>
      </c>
      <c r="B63" s="2" t="s">
        <v>210</v>
      </c>
      <c r="C63" s="6" t="n">
        <v>36566</v>
      </c>
      <c r="D63" s="6" t="n">
        <v>40479</v>
      </c>
      <c r="E63" s="6" t="n">
        <v>44289</v>
      </c>
      <c r="F63" s="2" t="s">
        <v>175</v>
      </c>
      <c r="G63" s="11" t="s">
        <v>41</v>
      </c>
      <c r="H63" s="2" t="s">
        <v>195</v>
      </c>
      <c r="I63" s="8" t="s">
        <v>182</v>
      </c>
      <c r="J63" s="2" t="s">
        <v>176</v>
      </c>
    </row>
    <row r="64" customFormat="false" ht="35.05" hidden="false" customHeight="false" outlineLevel="0" collapsed="false">
      <c r="A64" s="2" t="s">
        <v>211</v>
      </c>
      <c r="B64" s="2" t="s">
        <v>212</v>
      </c>
      <c r="C64" s="6" t="n">
        <v>23853</v>
      </c>
      <c r="D64" s="6" t="n">
        <v>23973</v>
      </c>
      <c r="E64" s="6" t="n">
        <v>28216</v>
      </c>
      <c r="F64" s="2" t="s">
        <v>175</v>
      </c>
      <c r="G64" s="11" t="s">
        <v>41</v>
      </c>
      <c r="H64" s="2" t="s">
        <v>195</v>
      </c>
      <c r="I64" s="8" t="s">
        <v>182</v>
      </c>
      <c r="J64" s="2" t="s">
        <v>176</v>
      </c>
    </row>
    <row r="65" customFormat="false" ht="15" hidden="false" customHeight="false" outlineLevel="0" collapsed="false">
      <c r="A65" s="5" t="s">
        <v>213</v>
      </c>
    </row>
    <row r="66" customFormat="false" ht="46.25" hidden="false" customHeight="false" outlineLevel="0" collapsed="false">
      <c r="A66" s="2" t="s">
        <v>214</v>
      </c>
      <c r="B66" s="2" t="s">
        <v>215</v>
      </c>
      <c r="C66" s="13" t="n">
        <v>0</v>
      </c>
      <c r="D66" s="13" t="n">
        <v>0</v>
      </c>
      <c r="E66" s="13" t="n">
        <v>0</v>
      </c>
      <c r="F66" s="2" t="s">
        <v>216</v>
      </c>
      <c r="G66" s="7" t="s">
        <v>25</v>
      </c>
      <c r="H66" s="2" t="s">
        <v>135</v>
      </c>
      <c r="I66" s="8" t="s">
        <v>217</v>
      </c>
      <c r="J66" s="2" t="s">
        <v>218</v>
      </c>
    </row>
    <row r="67" customFormat="false" ht="46.25" hidden="false" customHeight="false" outlineLevel="0" collapsed="false">
      <c r="A67" s="2" t="s">
        <v>219</v>
      </c>
      <c r="B67" s="2" t="s">
        <v>220</v>
      </c>
      <c r="C67" s="13" t="n">
        <v>0</v>
      </c>
      <c r="D67" s="13" t="n">
        <v>0</v>
      </c>
      <c r="E67" s="13" t="n">
        <v>0</v>
      </c>
      <c r="F67" s="2" t="s">
        <v>216</v>
      </c>
      <c r="G67" s="7" t="s">
        <v>25</v>
      </c>
      <c r="H67" s="2" t="s">
        <v>135</v>
      </c>
      <c r="I67" s="8" t="s">
        <v>217</v>
      </c>
      <c r="J67" s="2" t="s">
        <v>218</v>
      </c>
    </row>
    <row r="68" customFormat="false" ht="46.25" hidden="false" customHeight="false" outlineLevel="0" collapsed="false">
      <c r="A68" s="2" t="s">
        <v>221</v>
      </c>
      <c r="B68" s="2" t="s">
        <v>222</v>
      </c>
      <c r="C68" s="13" t="n">
        <v>0</v>
      </c>
      <c r="D68" s="13" t="n">
        <v>0</v>
      </c>
      <c r="E68" s="13" t="n">
        <v>0</v>
      </c>
      <c r="F68" s="2" t="s">
        <v>216</v>
      </c>
      <c r="G68" s="7" t="s">
        <v>25</v>
      </c>
      <c r="H68" s="2" t="s">
        <v>135</v>
      </c>
      <c r="I68" s="8" t="s">
        <v>217</v>
      </c>
      <c r="J68" s="2" t="s">
        <v>218</v>
      </c>
    </row>
    <row r="69" customFormat="false" ht="46.25" hidden="false" customHeight="false" outlineLevel="0" collapsed="false">
      <c r="A69" s="2" t="s">
        <v>223</v>
      </c>
      <c r="B69" s="2" t="s">
        <v>224</v>
      </c>
      <c r="C69" s="13" t="n">
        <v>0</v>
      </c>
      <c r="D69" s="13" t="n">
        <v>0</v>
      </c>
      <c r="E69" s="13" t="n">
        <v>0</v>
      </c>
      <c r="F69" s="2" t="s">
        <v>216</v>
      </c>
      <c r="G69" s="7" t="s">
        <v>25</v>
      </c>
      <c r="H69" s="2" t="s">
        <v>135</v>
      </c>
      <c r="I69" s="8" t="s">
        <v>217</v>
      </c>
      <c r="J69" s="2" t="s">
        <v>218</v>
      </c>
    </row>
    <row r="70" customFormat="false" ht="46.25" hidden="false" customHeight="false" outlineLevel="0" collapsed="false">
      <c r="A70" s="2" t="s">
        <v>225</v>
      </c>
      <c r="B70" s="2" t="s">
        <v>226</v>
      </c>
      <c r="C70" s="13" t="n">
        <v>0</v>
      </c>
      <c r="D70" s="13" t="n">
        <v>0</v>
      </c>
      <c r="E70" s="13" t="n">
        <v>0</v>
      </c>
      <c r="F70" s="2" t="s">
        <v>216</v>
      </c>
      <c r="G70" s="7" t="s">
        <v>25</v>
      </c>
      <c r="H70" s="2" t="s">
        <v>135</v>
      </c>
      <c r="I70" s="8" t="s">
        <v>217</v>
      </c>
      <c r="J70" s="2" t="s">
        <v>218</v>
      </c>
    </row>
    <row r="71" customFormat="false" ht="46.25" hidden="false" customHeight="false" outlineLevel="0" collapsed="false">
      <c r="A71" s="2" t="s">
        <v>227</v>
      </c>
      <c r="B71" s="2" t="s">
        <v>228</v>
      </c>
      <c r="C71" s="13" t="n">
        <v>0</v>
      </c>
      <c r="D71" s="13" t="n">
        <v>0</v>
      </c>
      <c r="E71" s="13" t="n">
        <v>0</v>
      </c>
      <c r="F71" s="2" t="s">
        <v>216</v>
      </c>
      <c r="G71" s="7" t="s">
        <v>25</v>
      </c>
      <c r="H71" s="2" t="s">
        <v>135</v>
      </c>
      <c r="I71" s="8" t="s">
        <v>217</v>
      </c>
      <c r="J71" s="2" t="s">
        <v>218</v>
      </c>
    </row>
    <row r="72" customFormat="false" ht="46.25" hidden="false" customHeight="false" outlineLevel="0" collapsed="false">
      <c r="A72" s="2" t="s">
        <v>229</v>
      </c>
      <c r="B72" s="2" t="s">
        <v>230</v>
      </c>
      <c r="C72" s="13" t="n">
        <v>1</v>
      </c>
      <c r="D72" s="13" t="n">
        <v>1</v>
      </c>
      <c r="E72" s="13" t="n">
        <v>1</v>
      </c>
      <c r="F72" s="2" t="s">
        <v>216</v>
      </c>
      <c r="G72" s="7" t="s">
        <v>25</v>
      </c>
      <c r="H72" s="2" t="s">
        <v>135</v>
      </c>
      <c r="I72" s="8" t="s">
        <v>217</v>
      </c>
      <c r="J72" s="2" t="s">
        <v>218</v>
      </c>
    </row>
    <row r="73" customFormat="false" ht="46.25" hidden="false" customHeight="false" outlineLevel="0" collapsed="false">
      <c r="A73" s="2" t="s">
        <v>231</v>
      </c>
      <c r="B73" s="2" t="s">
        <v>232</v>
      </c>
      <c r="C73" s="13" t="n">
        <v>0.5</v>
      </c>
      <c r="D73" s="13" t="n">
        <v>0.5</v>
      </c>
      <c r="E73" s="13" t="n">
        <v>0.5</v>
      </c>
      <c r="F73" s="2" t="s">
        <v>216</v>
      </c>
      <c r="G73" s="7" t="s">
        <v>25</v>
      </c>
      <c r="H73" s="2" t="s">
        <v>135</v>
      </c>
      <c r="I73" s="8" t="s">
        <v>217</v>
      </c>
      <c r="J73" s="2" t="s">
        <v>218</v>
      </c>
    </row>
    <row r="74" customFormat="false" ht="46.25" hidden="false" customHeight="false" outlineLevel="0" collapsed="false">
      <c r="A74" s="2" t="s">
        <v>233</v>
      </c>
      <c r="B74" s="2" t="s">
        <v>234</v>
      </c>
      <c r="C74" s="13" t="n">
        <v>0</v>
      </c>
      <c r="D74" s="13" t="n">
        <v>0</v>
      </c>
      <c r="E74" s="13" t="n">
        <v>0</v>
      </c>
      <c r="F74" s="2" t="s">
        <v>216</v>
      </c>
      <c r="G74" s="7" t="s">
        <v>25</v>
      </c>
      <c r="H74" s="2" t="s">
        <v>135</v>
      </c>
      <c r="I74" s="8" t="s">
        <v>217</v>
      </c>
      <c r="J74" s="2" t="s">
        <v>218</v>
      </c>
    </row>
    <row r="75" customFormat="false" ht="46.25" hidden="false" customHeight="false" outlineLevel="0" collapsed="false">
      <c r="A75" s="2" t="s">
        <v>235</v>
      </c>
      <c r="B75" s="2" t="s">
        <v>236</v>
      </c>
      <c r="C75" s="13" t="n">
        <v>0.6</v>
      </c>
      <c r="D75" s="13" t="n">
        <v>0.6</v>
      </c>
      <c r="E75" s="13" t="n">
        <v>0.6</v>
      </c>
      <c r="F75" s="2" t="s">
        <v>216</v>
      </c>
      <c r="G75" s="7" t="s">
        <v>25</v>
      </c>
      <c r="H75" s="2" t="s">
        <v>135</v>
      </c>
      <c r="I75" s="8" t="s">
        <v>217</v>
      </c>
      <c r="J75" s="2" t="s">
        <v>218</v>
      </c>
    </row>
    <row r="76" customFormat="false" ht="46.25" hidden="false" customHeight="false" outlineLevel="0" collapsed="false">
      <c r="A76" s="2" t="s">
        <v>237</v>
      </c>
      <c r="B76" s="2" t="s">
        <v>238</v>
      </c>
      <c r="C76" s="13" t="n">
        <v>0</v>
      </c>
      <c r="D76" s="13" t="n">
        <v>0</v>
      </c>
      <c r="E76" s="13" t="n">
        <v>0</v>
      </c>
      <c r="F76" s="2" t="s">
        <v>216</v>
      </c>
      <c r="G76" s="7" t="s">
        <v>25</v>
      </c>
      <c r="H76" s="2" t="s">
        <v>135</v>
      </c>
      <c r="I76" s="8" t="s">
        <v>217</v>
      </c>
      <c r="J76" s="2" t="s">
        <v>218</v>
      </c>
    </row>
    <row r="77" customFormat="false" ht="46.25" hidden="false" customHeight="false" outlineLevel="0" collapsed="false">
      <c r="A77" s="2" t="s">
        <v>239</v>
      </c>
      <c r="B77" s="2" t="s">
        <v>240</v>
      </c>
      <c r="C77" s="13" t="n">
        <v>1</v>
      </c>
      <c r="D77" s="13" t="n">
        <v>1</v>
      </c>
      <c r="E77" s="13" t="n">
        <v>1</v>
      </c>
      <c r="F77" s="2" t="s">
        <v>216</v>
      </c>
      <c r="G77" s="7" t="s">
        <v>25</v>
      </c>
      <c r="H77" s="2" t="s">
        <v>135</v>
      </c>
      <c r="I77" s="8" t="s">
        <v>217</v>
      </c>
      <c r="J77" s="2" t="s">
        <v>218</v>
      </c>
    </row>
    <row r="78" customFormat="false" ht="46.25" hidden="false" customHeight="false" outlineLevel="0" collapsed="false">
      <c r="A78" s="2" t="s">
        <v>241</v>
      </c>
      <c r="B78" s="2" t="s">
        <v>242</v>
      </c>
      <c r="C78" s="13" t="n">
        <v>1</v>
      </c>
      <c r="D78" s="13" t="n">
        <v>1</v>
      </c>
      <c r="E78" s="13" t="n">
        <v>1</v>
      </c>
      <c r="F78" s="2" t="s">
        <v>216</v>
      </c>
      <c r="G78" s="7" t="s">
        <v>25</v>
      </c>
      <c r="H78" s="2" t="s">
        <v>135</v>
      </c>
      <c r="I78" s="8" t="s">
        <v>217</v>
      </c>
      <c r="J78" s="2" t="s">
        <v>218</v>
      </c>
    </row>
    <row r="79" customFormat="false" ht="46.25" hidden="false" customHeight="false" outlineLevel="0" collapsed="false">
      <c r="A79" s="2" t="s">
        <v>243</v>
      </c>
      <c r="B79" s="2" t="s">
        <v>244</v>
      </c>
      <c r="C79" s="13" t="n">
        <v>1</v>
      </c>
      <c r="D79" s="13" t="n">
        <v>1</v>
      </c>
      <c r="E79" s="13" t="n">
        <v>1</v>
      </c>
      <c r="F79" s="2" t="s">
        <v>216</v>
      </c>
      <c r="G79" s="7" t="s">
        <v>25</v>
      </c>
      <c r="H79" s="2" t="s">
        <v>135</v>
      </c>
      <c r="I79" s="8" t="s">
        <v>217</v>
      </c>
      <c r="J79" s="2" t="s">
        <v>218</v>
      </c>
    </row>
    <row r="80" customFormat="false" ht="46.25" hidden="false" customHeight="false" outlineLevel="0" collapsed="false">
      <c r="A80" s="2" t="s">
        <v>245</v>
      </c>
      <c r="B80" s="2" t="s">
        <v>246</v>
      </c>
      <c r="C80" s="13" t="n">
        <v>1</v>
      </c>
      <c r="D80" s="13" t="n">
        <v>1</v>
      </c>
      <c r="E80" s="13" t="n">
        <v>1</v>
      </c>
      <c r="F80" s="2" t="s">
        <v>216</v>
      </c>
      <c r="G80" s="7" t="s">
        <v>25</v>
      </c>
      <c r="H80" s="2" t="s">
        <v>135</v>
      </c>
      <c r="I80" s="8" t="s">
        <v>217</v>
      </c>
      <c r="J80" s="2" t="s">
        <v>218</v>
      </c>
    </row>
    <row r="81" customFormat="false" ht="46.25" hidden="false" customHeight="false" outlineLevel="0" collapsed="false">
      <c r="A81" s="2" t="s">
        <v>247</v>
      </c>
      <c r="B81" s="2" t="s">
        <v>248</v>
      </c>
      <c r="C81" s="13" t="n">
        <v>1</v>
      </c>
      <c r="D81" s="13" t="n">
        <v>1</v>
      </c>
      <c r="E81" s="13" t="n">
        <v>1</v>
      </c>
      <c r="F81" s="2" t="s">
        <v>216</v>
      </c>
      <c r="G81" s="7" t="s">
        <v>25</v>
      </c>
      <c r="H81" s="2" t="s">
        <v>135</v>
      </c>
      <c r="I81" s="8" t="s">
        <v>217</v>
      </c>
      <c r="J81" s="2" t="s">
        <v>218</v>
      </c>
    </row>
    <row r="82" customFormat="false" ht="46.25" hidden="false" customHeight="false" outlineLevel="0" collapsed="false">
      <c r="A82" s="2" t="s">
        <v>249</v>
      </c>
      <c r="B82" s="2" t="s">
        <v>250</v>
      </c>
      <c r="C82" s="13" t="n">
        <v>2</v>
      </c>
      <c r="D82" s="13" t="n">
        <v>2</v>
      </c>
      <c r="E82" s="13" t="n">
        <v>2</v>
      </c>
      <c r="F82" s="2" t="s">
        <v>216</v>
      </c>
      <c r="G82" s="7" t="s">
        <v>25</v>
      </c>
      <c r="H82" s="2" t="s">
        <v>135</v>
      </c>
      <c r="I82" s="8" t="s">
        <v>217</v>
      </c>
      <c r="J82" s="2" t="s">
        <v>218</v>
      </c>
    </row>
    <row r="83" customFormat="false" ht="46.25" hidden="false" customHeight="false" outlineLevel="0" collapsed="false">
      <c r="A83" s="2" t="s">
        <v>251</v>
      </c>
      <c r="B83" s="2" t="s">
        <v>252</v>
      </c>
      <c r="C83" s="13" t="n">
        <v>1</v>
      </c>
      <c r="D83" s="13" t="n">
        <v>1</v>
      </c>
      <c r="E83" s="13" t="n">
        <v>1</v>
      </c>
      <c r="F83" s="2" t="s">
        <v>216</v>
      </c>
      <c r="G83" s="7" t="s">
        <v>25</v>
      </c>
      <c r="H83" s="2" t="s">
        <v>135</v>
      </c>
      <c r="I83" s="8" t="s">
        <v>217</v>
      </c>
      <c r="J83" s="2" t="s">
        <v>218</v>
      </c>
    </row>
    <row r="84" customFormat="false" ht="46.25" hidden="false" customHeight="false" outlineLevel="0" collapsed="false">
      <c r="A84" s="2" t="s">
        <v>253</v>
      </c>
      <c r="B84" s="2" t="s">
        <v>254</v>
      </c>
      <c r="C84" s="13" t="n">
        <v>1</v>
      </c>
      <c r="D84" s="13" t="n">
        <v>1</v>
      </c>
      <c r="E84" s="13" t="n">
        <v>1</v>
      </c>
      <c r="F84" s="2" t="s">
        <v>216</v>
      </c>
      <c r="G84" s="7" t="s">
        <v>25</v>
      </c>
      <c r="H84" s="2" t="s">
        <v>135</v>
      </c>
      <c r="I84" s="8" t="s">
        <v>217</v>
      </c>
      <c r="J84" s="2" t="s">
        <v>218</v>
      </c>
    </row>
    <row r="85" customFormat="false" ht="46.25" hidden="false" customHeight="false" outlineLevel="0" collapsed="false">
      <c r="A85" s="2" t="s">
        <v>255</v>
      </c>
      <c r="B85" s="2" t="s">
        <v>256</v>
      </c>
      <c r="C85" s="13" t="n">
        <v>1</v>
      </c>
      <c r="D85" s="13" t="n">
        <v>1</v>
      </c>
      <c r="E85" s="13" t="n">
        <v>1</v>
      </c>
      <c r="F85" s="2" t="s">
        <v>216</v>
      </c>
      <c r="G85" s="7" t="s">
        <v>25</v>
      </c>
      <c r="H85" s="2" t="s">
        <v>135</v>
      </c>
      <c r="I85" s="8" t="s">
        <v>217</v>
      </c>
      <c r="J85" s="2" t="s">
        <v>218</v>
      </c>
    </row>
    <row r="86" customFormat="false" ht="46.25" hidden="false" customHeight="false" outlineLevel="0" collapsed="false">
      <c r="A86" s="2" t="s">
        <v>257</v>
      </c>
      <c r="B86" s="2" t="s">
        <v>258</v>
      </c>
      <c r="C86" s="13" t="n">
        <v>1</v>
      </c>
      <c r="D86" s="13" t="n">
        <v>1</v>
      </c>
      <c r="E86" s="13" t="n">
        <v>1</v>
      </c>
      <c r="F86" s="2" t="s">
        <v>216</v>
      </c>
      <c r="G86" s="7" t="s">
        <v>25</v>
      </c>
      <c r="H86" s="2" t="s">
        <v>135</v>
      </c>
      <c r="I86" s="8" t="s">
        <v>217</v>
      </c>
      <c r="J86" s="2" t="s">
        <v>218</v>
      </c>
    </row>
    <row r="87" customFormat="false" ht="46.25" hidden="false" customHeight="false" outlineLevel="0" collapsed="false">
      <c r="A87" s="2" t="s">
        <v>259</v>
      </c>
      <c r="B87" s="2" t="s">
        <v>260</v>
      </c>
      <c r="C87" s="13" t="n">
        <v>2</v>
      </c>
      <c r="D87" s="13" t="n">
        <v>2</v>
      </c>
      <c r="E87" s="13" t="n">
        <v>2</v>
      </c>
      <c r="F87" s="2" t="s">
        <v>216</v>
      </c>
      <c r="G87" s="7" t="s">
        <v>25</v>
      </c>
      <c r="H87" s="2" t="s">
        <v>135</v>
      </c>
      <c r="I87" s="8" t="s">
        <v>217</v>
      </c>
      <c r="J87" s="2" t="s">
        <v>218</v>
      </c>
    </row>
    <row r="88" customFormat="false" ht="46.25" hidden="false" customHeight="false" outlineLevel="0" collapsed="false">
      <c r="A88" s="2" t="s">
        <v>261</v>
      </c>
      <c r="B88" s="2" t="s">
        <v>262</v>
      </c>
      <c r="C88" s="13" t="n">
        <v>1</v>
      </c>
      <c r="D88" s="13" t="n">
        <v>1</v>
      </c>
      <c r="E88" s="13" t="n">
        <v>1</v>
      </c>
      <c r="F88" s="2" t="s">
        <v>216</v>
      </c>
      <c r="G88" s="7" t="s">
        <v>25</v>
      </c>
      <c r="H88" s="2" t="s">
        <v>135</v>
      </c>
      <c r="I88" s="8" t="s">
        <v>217</v>
      </c>
      <c r="J88" s="2" t="s">
        <v>218</v>
      </c>
    </row>
    <row r="89" customFormat="false" ht="46.25" hidden="false" customHeight="false" outlineLevel="0" collapsed="false">
      <c r="A89" s="2" t="s">
        <v>263</v>
      </c>
      <c r="B89" s="2" t="s">
        <v>264</v>
      </c>
      <c r="C89" s="13" t="n">
        <v>1</v>
      </c>
      <c r="D89" s="13" t="n">
        <v>1</v>
      </c>
      <c r="E89" s="13" t="n">
        <v>1</v>
      </c>
      <c r="F89" s="2" t="s">
        <v>216</v>
      </c>
      <c r="G89" s="7" t="s">
        <v>25</v>
      </c>
      <c r="H89" s="2" t="s">
        <v>135</v>
      </c>
      <c r="I89" s="8" t="s">
        <v>217</v>
      </c>
      <c r="J89" s="2" t="s">
        <v>218</v>
      </c>
    </row>
    <row r="90" customFormat="false" ht="46.25" hidden="false" customHeight="false" outlineLevel="0" collapsed="false">
      <c r="A90" s="2" t="s">
        <v>265</v>
      </c>
      <c r="B90" s="2" t="s">
        <v>266</v>
      </c>
      <c r="C90" s="13" t="n">
        <v>2</v>
      </c>
      <c r="D90" s="13" t="n">
        <v>2</v>
      </c>
      <c r="E90" s="13" t="n">
        <v>2</v>
      </c>
      <c r="F90" s="2" t="s">
        <v>216</v>
      </c>
      <c r="G90" s="7" t="s">
        <v>25</v>
      </c>
      <c r="H90" s="2" t="s">
        <v>135</v>
      </c>
      <c r="I90" s="8" t="s">
        <v>217</v>
      </c>
      <c r="J90" s="2" t="s">
        <v>218</v>
      </c>
    </row>
    <row r="91" customFormat="false" ht="46.25" hidden="false" customHeight="false" outlineLevel="0" collapsed="false">
      <c r="A91" s="2" t="s">
        <v>267</v>
      </c>
      <c r="B91" s="2" t="s">
        <v>268</v>
      </c>
      <c r="C91" s="13" t="n">
        <v>2</v>
      </c>
      <c r="D91" s="13" t="n">
        <v>2</v>
      </c>
      <c r="E91" s="13" t="n">
        <v>2</v>
      </c>
      <c r="F91" s="2" t="s">
        <v>216</v>
      </c>
      <c r="G91" s="7" t="s">
        <v>25</v>
      </c>
      <c r="H91" s="2" t="s">
        <v>135</v>
      </c>
      <c r="I91" s="8" t="s">
        <v>217</v>
      </c>
      <c r="J91" s="2" t="s">
        <v>218</v>
      </c>
    </row>
    <row r="92" customFormat="false" ht="46.25" hidden="false" customHeight="false" outlineLevel="0" collapsed="false">
      <c r="A92" s="2" t="s">
        <v>269</v>
      </c>
      <c r="B92" s="2" t="s">
        <v>270</v>
      </c>
      <c r="C92" s="13" t="n">
        <v>11</v>
      </c>
      <c r="D92" s="13" t="n">
        <v>11</v>
      </c>
      <c r="E92" s="13" t="n">
        <v>11</v>
      </c>
      <c r="F92" s="2" t="s">
        <v>216</v>
      </c>
      <c r="G92" s="7" t="s">
        <v>25</v>
      </c>
      <c r="H92" s="2" t="s">
        <v>135</v>
      </c>
      <c r="I92" s="8" t="s">
        <v>217</v>
      </c>
      <c r="J92" s="2" t="s">
        <v>218</v>
      </c>
    </row>
    <row r="93" customFormat="false" ht="46.25" hidden="false" customHeight="false" outlineLevel="0" collapsed="false">
      <c r="A93" s="2" t="s">
        <v>271</v>
      </c>
      <c r="B93" s="2" t="s">
        <v>272</v>
      </c>
      <c r="C93" s="13" t="n">
        <v>2</v>
      </c>
      <c r="D93" s="13" t="n">
        <v>2</v>
      </c>
      <c r="E93" s="13" t="n">
        <v>2</v>
      </c>
      <c r="F93" s="2" t="s">
        <v>216</v>
      </c>
      <c r="G93" s="7" t="s">
        <v>25</v>
      </c>
      <c r="H93" s="2" t="s">
        <v>135</v>
      </c>
      <c r="I93" s="8" t="s">
        <v>217</v>
      </c>
      <c r="J93" s="2" t="s">
        <v>218</v>
      </c>
    </row>
    <row r="94" customFormat="false" ht="46.25" hidden="false" customHeight="false" outlineLevel="0" collapsed="false">
      <c r="A94" s="2" t="s">
        <v>273</v>
      </c>
      <c r="B94" s="2" t="s">
        <v>274</v>
      </c>
      <c r="C94" s="13" t="n">
        <v>1</v>
      </c>
      <c r="D94" s="13" t="n">
        <v>1</v>
      </c>
      <c r="E94" s="13" t="n">
        <v>1</v>
      </c>
      <c r="F94" s="2" t="s">
        <v>216</v>
      </c>
      <c r="G94" s="7" t="s">
        <v>25</v>
      </c>
      <c r="H94" s="2" t="s">
        <v>135</v>
      </c>
      <c r="I94" s="8" t="s">
        <v>217</v>
      </c>
      <c r="J94" s="2" t="s">
        <v>218</v>
      </c>
    </row>
    <row r="95" customFormat="false" ht="46.25" hidden="false" customHeight="false" outlineLevel="0" collapsed="false">
      <c r="A95" s="2" t="s">
        <v>275</v>
      </c>
      <c r="B95" s="2" t="s">
        <v>276</v>
      </c>
      <c r="C95" s="13" t="n">
        <v>1.5</v>
      </c>
      <c r="D95" s="13" t="n">
        <v>1.5</v>
      </c>
      <c r="E95" s="13" t="n">
        <v>1.5</v>
      </c>
      <c r="F95" s="2" t="s">
        <v>216</v>
      </c>
      <c r="G95" s="7" t="s">
        <v>25</v>
      </c>
      <c r="H95" s="2" t="s">
        <v>135</v>
      </c>
      <c r="I95" s="8" t="s">
        <v>217</v>
      </c>
      <c r="J95" s="2" t="s">
        <v>218</v>
      </c>
    </row>
    <row r="96" customFormat="false" ht="15" hidden="false" customHeight="false" outlineLevel="0" collapsed="false">
      <c r="A96" s="5" t="s">
        <v>277</v>
      </c>
    </row>
    <row r="97" customFormat="false" ht="23.85" hidden="false" customHeight="false" outlineLevel="0" collapsed="false">
      <c r="A97" s="2" t="s">
        <v>278</v>
      </c>
      <c r="B97" s="2" t="s">
        <v>279</v>
      </c>
      <c r="C97" s="6" t="n">
        <v>1200000</v>
      </c>
      <c r="D97" s="6" t="n">
        <v>1200000</v>
      </c>
      <c r="E97" s="6" t="n">
        <v>1200000</v>
      </c>
      <c r="F97" s="2" t="s">
        <v>280</v>
      </c>
      <c r="G97" s="7" t="s">
        <v>25</v>
      </c>
      <c r="H97" s="2" t="s">
        <v>281</v>
      </c>
      <c r="I97" s="8" t="s">
        <v>282</v>
      </c>
      <c r="J97" s="2" t="s">
        <v>283</v>
      </c>
    </row>
    <row r="98" customFormat="false" ht="15" hidden="false" customHeight="false" outlineLevel="0" collapsed="false">
      <c r="A98" s="2" t="s">
        <v>284</v>
      </c>
      <c r="B98" s="2" t="s">
        <v>285</v>
      </c>
      <c r="C98" s="6" t="n">
        <v>3500000</v>
      </c>
      <c r="D98" s="6" t="n">
        <v>3500000</v>
      </c>
      <c r="E98" s="6" t="n">
        <v>3500000</v>
      </c>
      <c r="F98" s="2" t="s">
        <v>280</v>
      </c>
      <c r="G98" s="7" t="s">
        <v>25</v>
      </c>
      <c r="H98" s="2" t="s">
        <v>281</v>
      </c>
      <c r="I98" s="8"/>
      <c r="J98" s="2" t="s">
        <v>283</v>
      </c>
    </row>
    <row r="99" customFormat="false" ht="15" hidden="false" customHeight="false" outlineLevel="0" collapsed="false">
      <c r="A99" s="2" t="s">
        <v>286</v>
      </c>
      <c r="B99" s="2" t="s">
        <v>287</v>
      </c>
      <c r="C99" s="6" t="n">
        <v>9000000</v>
      </c>
      <c r="D99" s="6" t="n">
        <v>9000000</v>
      </c>
      <c r="E99" s="6" t="n">
        <v>9000000</v>
      </c>
      <c r="F99" s="2" t="s">
        <v>280</v>
      </c>
      <c r="G99" s="7" t="s">
        <v>25</v>
      </c>
      <c r="H99" s="2" t="s">
        <v>281</v>
      </c>
      <c r="I99" s="8"/>
      <c r="J99" s="2" t="s">
        <v>283</v>
      </c>
    </row>
    <row r="100" customFormat="false" ht="15" hidden="false" customHeight="false" outlineLevel="0" collapsed="false">
      <c r="A100" s="2" t="s">
        <v>288</v>
      </c>
      <c r="B100" s="2" t="s">
        <v>289</v>
      </c>
      <c r="C100" s="13" t="n">
        <v>25</v>
      </c>
      <c r="D100" s="13" t="n">
        <v>20</v>
      </c>
      <c r="E100" s="13" t="n">
        <v>15</v>
      </c>
      <c r="F100" s="2" t="s">
        <v>139</v>
      </c>
      <c r="G100" s="7" t="s">
        <v>25</v>
      </c>
      <c r="H100" s="2"/>
      <c r="I100" s="8"/>
      <c r="J100" s="2" t="s">
        <v>283</v>
      </c>
    </row>
    <row r="101" customFormat="false" ht="15" hidden="false" customHeight="false" outlineLevel="0" collapsed="false">
      <c r="A101" s="2" t="s">
        <v>290</v>
      </c>
      <c r="B101" s="2" t="s">
        <v>291</v>
      </c>
      <c r="C101" s="9" t="n">
        <v>0.5</v>
      </c>
      <c r="D101" s="9" t="n">
        <v>0.7</v>
      </c>
      <c r="E101" s="9" t="n">
        <v>0.8</v>
      </c>
      <c r="F101" s="2" t="s">
        <v>46</v>
      </c>
      <c r="G101" s="7" t="s">
        <v>25</v>
      </c>
      <c r="H101" s="2"/>
      <c r="I101" s="8"/>
      <c r="J101" s="2" t="s">
        <v>283</v>
      </c>
    </row>
    <row r="102" customFormat="false" ht="23.85" hidden="false" customHeight="false" outlineLevel="0" collapsed="false">
      <c r="A102" s="2" t="s">
        <v>292</v>
      </c>
      <c r="B102" s="2" t="s">
        <v>293</v>
      </c>
      <c r="C102" s="9" t="n">
        <v>0.035</v>
      </c>
      <c r="D102" s="9" t="n">
        <v>0.042</v>
      </c>
      <c r="E102" s="9" t="n">
        <v>0.055</v>
      </c>
      <c r="F102" s="2" t="s">
        <v>94</v>
      </c>
      <c r="G102" s="11" t="s">
        <v>41</v>
      </c>
      <c r="H102" s="2" t="s">
        <v>294</v>
      </c>
      <c r="I102" s="8" t="s">
        <v>295</v>
      </c>
      <c r="J102" s="2" t="s">
        <v>283</v>
      </c>
    </row>
    <row r="103" customFormat="false" ht="15" hidden="false" customHeight="false" outlineLevel="0" collapsed="false">
      <c r="A103" s="5" t="s">
        <v>296</v>
      </c>
    </row>
    <row r="104" customFormat="false" ht="15" hidden="false" customHeight="false" outlineLevel="0" collapsed="false">
      <c r="A104" s="2" t="s">
        <v>297</v>
      </c>
      <c r="B104" s="2" t="s">
        <v>298</v>
      </c>
      <c r="C104" s="13" t="n">
        <v>12</v>
      </c>
      <c r="D104" s="13" t="n">
        <v>12</v>
      </c>
      <c r="E104" s="13" t="n">
        <v>12</v>
      </c>
      <c r="F104" s="2" t="s">
        <v>299</v>
      </c>
      <c r="G104" s="7" t="s">
        <v>25</v>
      </c>
      <c r="H104" s="2"/>
      <c r="I104" s="8"/>
      <c r="J104" s="2" t="s">
        <v>300</v>
      </c>
    </row>
    <row r="105" customFormat="false" ht="15" hidden="false" customHeight="false" outlineLevel="0" collapsed="false">
      <c r="A105" s="2" t="s">
        <v>301</v>
      </c>
      <c r="B105" s="2" t="s">
        <v>302</v>
      </c>
      <c r="C105" s="13" t="n">
        <v>0.5</v>
      </c>
      <c r="D105" s="13" t="n">
        <v>0.5</v>
      </c>
      <c r="E105" s="13" t="n">
        <v>0.5</v>
      </c>
      <c r="F105" s="2" t="s">
        <v>299</v>
      </c>
      <c r="G105" s="7" t="s">
        <v>25</v>
      </c>
      <c r="H105" s="2"/>
      <c r="I105" s="8"/>
      <c r="J105" s="2" t="s">
        <v>300</v>
      </c>
    </row>
    <row r="106" customFormat="false" ht="15" hidden="false" customHeight="false" outlineLevel="0" collapsed="false">
      <c r="A106" s="2" t="s">
        <v>303</v>
      </c>
      <c r="B106" s="2" t="s">
        <v>304</v>
      </c>
      <c r="C106" s="13" t="n">
        <v>2.5</v>
      </c>
      <c r="D106" s="13" t="n">
        <v>2.5</v>
      </c>
      <c r="E106" s="13" t="n">
        <v>2.5</v>
      </c>
      <c r="F106" s="2" t="s">
        <v>299</v>
      </c>
      <c r="G106" s="7" t="s">
        <v>25</v>
      </c>
      <c r="H106" s="2"/>
      <c r="I106" s="8"/>
      <c r="J106" s="2" t="s">
        <v>300</v>
      </c>
    </row>
    <row r="107" customFormat="false" ht="15" hidden="false" customHeight="false" outlineLevel="0" collapsed="false">
      <c r="A107" s="2" t="s">
        <v>305</v>
      </c>
      <c r="B107" s="2" t="s">
        <v>306</v>
      </c>
      <c r="C107" s="13" t="n">
        <v>35</v>
      </c>
      <c r="D107" s="13" t="n">
        <v>35</v>
      </c>
      <c r="E107" s="13" t="n">
        <v>35</v>
      </c>
      <c r="F107" s="2" t="s">
        <v>299</v>
      </c>
      <c r="G107" s="7" t="s">
        <v>25</v>
      </c>
      <c r="H107" s="2"/>
      <c r="I107" s="8"/>
      <c r="J107" s="2" t="s">
        <v>300</v>
      </c>
    </row>
    <row r="108" customFormat="false" ht="15" hidden="false" customHeight="false" outlineLevel="0" collapsed="false">
      <c r="A108" s="2" t="s">
        <v>307</v>
      </c>
      <c r="B108" s="2" t="s">
        <v>308</v>
      </c>
      <c r="C108" s="13" t="n">
        <v>3000</v>
      </c>
      <c r="D108" s="13" t="n">
        <v>3000</v>
      </c>
      <c r="E108" s="13" t="n">
        <v>3000</v>
      </c>
      <c r="F108" s="2" t="s">
        <v>309</v>
      </c>
      <c r="G108" s="11" t="s">
        <v>41</v>
      </c>
      <c r="H108" s="2"/>
      <c r="I108" s="8" t="s">
        <v>310</v>
      </c>
      <c r="J108" s="2" t="s">
        <v>300</v>
      </c>
    </row>
    <row r="109" customFormat="false" ht="15" hidden="false" customHeight="false" outlineLevel="0" collapsed="false">
      <c r="A109" s="2" t="s">
        <v>311</v>
      </c>
      <c r="B109" s="2" t="s">
        <v>312</v>
      </c>
      <c r="C109" s="13" t="n">
        <v>60</v>
      </c>
      <c r="D109" s="13" t="n">
        <v>60</v>
      </c>
      <c r="E109" s="13" t="n">
        <v>60</v>
      </c>
      <c r="F109" s="2" t="s">
        <v>313</v>
      </c>
      <c r="G109" s="11" t="s">
        <v>41</v>
      </c>
      <c r="H109" s="2"/>
      <c r="I109" s="8" t="s">
        <v>314</v>
      </c>
      <c r="J109" s="2" t="s">
        <v>300</v>
      </c>
    </row>
    <row r="110" customFormat="false" ht="15" hidden="false" customHeight="false" outlineLevel="0" collapsed="false">
      <c r="A110" s="2" t="s">
        <v>315</v>
      </c>
      <c r="B110" s="2" t="s">
        <v>316</v>
      </c>
      <c r="C110" s="13" t="n">
        <v>12</v>
      </c>
      <c r="D110" s="13" t="n">
        <v>12</v>
      </c>
      <c r="E110" s="13" t="n">
        <v>12</v>
      </c>
      <c r="F110" s="2" t="s">
        <v>317</v>
      </c>
      <c r="G110" s="7" t="s">
        <v>25</v>
      </c>
      <c r="H110" s="2"/>
      <c r="I110" s="8"/>
      <c r="J110" s="2" t="s">
        <v>300</v>
      </c>
    </row>
    <row r="111" customFormat="false" ht="15" hidden="false" customHeight="false" outlineLevel="0" collapsed="false">
      <c r="A111" s="2" t="s">
        <v>318</v>
      </c>
      <c r="B111" s="2" t="s">
        <v>319</v>
      </c>
      <c r="C111" s="13" t="n">
        <v>4</v>
      </c>
      <c r="D111" s="13" t="n">
        <v>4</v>
      </c>
      <c r="E111" s="13" t="n">
        <v>4</v>
      </c>
      <c r="F111" s="2" t="s">
        <v>320</v>
      </c>
      <c r="G111" s="7" t="s">
        <v>25</v>
      </c>
      <c r="H111" s="2"/>
      <c r="I111" s="8" t="s">
        <v>321</v>
      </c>
      <c r="J111" s="2" t="s">
        <v>300</v>
      </c>
    </row>
    <row r="112" customFormat="false" ht="23.85" hidden="false" customHeight="false" outlineLevel="0" collapsed="false">
      <c r="A112" s="2" t="s">
        <v>322</v>
      </c>
      <c r="B112" s="2" t="s">
        <v>323</v>
      </c>
      <c r="C112" s="13" t="n">
        <v>900</v>
      </c>
      <c r="D112" s="13" t="n">
        <v>900</v>
      </c>
      <c r="E112" s="13" t="n">
        <v>900</v>
      </c>
      <c r="F112" s="2" t="s">
        <v>324</v>
      </c>
      <c r="G112" s="7" t="s">
        <v>25</v>
      </c>
      <c r="H112" s="2"/>
      <c r="I112" s="8" t="s">
        <v>325</v>
      </c>
      <c r="J112" s="2" t="s">
        <v>300</v>
      </c>
    </row>
    <row r="113" customFormat="false" ht="15" hidden="false" customHeight="false" outlineLevel="0" collapsed="false">
      <c r="A113" s="2" t="s">
        <v>326</v>
      </c>
      <c r="B113" s="2" t="s">
        <v>327</v>
      </c>
      <c r="C113" s="13" t="n">
        <v>600</v>
      </c>
      <c r="D113" s="13" t="n">
        <v>600</v>
      </c>
      <c r="E113" s="13" t="n">
        <v>600</v>
      </c>
      <c r="F113" s="2" t="s">
        <v>324</v>
      </c>
      <c r="G113" s="7" t="s">
        <v>25</v>
      </c>
      <c r="H113" s="2"/>
      <c r="I113" s="8"/>
      <c r="J113" s="2" t="s">
        <v>300</v>
      </c>
    </row>
    <row r="114" customFormat="false" ht="46.25" hidden="false" customHeight="false" outlineLevel="0" collapsed="false">
      <c r="A114" s="2" t="s">
        <v>328</v>
      </c>
      <c r="B114" s="2" t="s">
        <v>329</v>
      </c>
      <c r="C114" s="13" t="n">
        <v>1800</v>
      </c>
      <c r="D114" s="13" t="n">
        <v>1800</v>
      </c>
      <c r="E114" s="13" t="n">
        <v>1800</v>
      </c>
      <c r="F114" s="2" t="s">
        <v>324</v>
      </c>
      <c r="G114" s="11" t="s">
        <v>41</v>
      </c>
      <c r="H114" s="2"/>
      <c r="I114" s="8" t="s">
        <v>330</v>
      </c>
      <c r="J114" s="2" t="s">
        <v>300</v>
      </c>
    </row>
    <row r="115" customFormat="false" ht="15" hidden="false" customHeight="false" outlineLevel="0" collapsed="false">
      <c r="A115" s="2" t="s">
        <v>331</v>
      </c>
      <c r="B115" s="2" t="s">
        <v>332</v>
      </c>
      <c r="C115" s="13" t="n">
        <v>0</v>
      </c>
      <c r="D115" s="13" t="n">
        <v>0</v>
      </c>
      <c r="E115" s="13" t="n">
        <v>0</v>
      </c>
      <c r="F115" s="2" t="s">
        <v>324</v>
      </c>
      <c r="G115" s="7" t="s">
        <v>25</v>
      </c>
      <c r="H115" s="2"/>
      <c r="I115" s="8"/>
      <c r="J115" s="2" t="s">
        <v>300</v>
      </c>
    </row>
    <row r="116" customFormat="false" ht="15" hidden="false" customHeight="false" outlineLevel="0" collapsed="false">
      <c r="A116" s="2" t="s">
        <v>333</v>
      </c>
      <c r="B116" s="2" t="s">
        <v>334</v>
      </c>
      <c r="C116" s="13" t="n">
        <v>1800</v>
      </c>
      <c r="D116" s="13" t="n">
        <v>1800</v>
      </c>
      <c r="E116" s="13" t="n">
        <v>1800</v>
      </c>
      <c r="F116" s="2" t="s">
        <v>324</v>
      </c>
      <c r="G116" s="7" t="s">
        <v>25</v>
      </c>
      <c r="H116" s="2"/>
      <c r="I116" s="8" t="s">
        <v>335</v>
      </c>
      <c r="J116" s="2" t="s">
        <v>300</v>
      </c>
    </row>
    <row r="117" customFormat="false" ht="57.45" hidden="false" customHeight="false" outlineLevel="0" collapsed="false">
      <c r="A117" s="2" t="s">
        <v>336</v>
      </c>
      <c r="B117" s="2" t="s">
        <v>337</v>
      </c>
      <c r="C117" s="13" t="n">
        <v>1200</v>
      </c>
      <c r="D117" s="13" t="n">
        <v>1200</v>
      </c>
      <c r="E117" s="13" t="n">
        <v>1200</v>
      </c>
      <c r="F117" s="2" t="s">
        <v>324</v>
      </c>
      <c r="G117" s="11" t="s">
        <v>41</v>
      </c>
      <c r="H117" s="2"/>
      <c r="I117" s="8" t="s">
        <v>338</v>
      </c>
      <c r="J117" s="2" t="s">
        <v>300</v>
      </c>
    </row>
    <row r="118" customFormat="false" ht="15" hidden="false" customHeight="false" outlineLevel="0" collapsed="false">
      <c r="A118" s="2" t="s">
        <v>339</v>
      </c>
      <c r="B118" s="2" t="s">
        <v>340</v>
      </c>
      <c r="C118" s="13" t="n">
        <v>30</v>
      </c>
      <c r="D118" s="13" t="n">
        <v>30</v>
      </c>
      <c r="E118" s="13" t="n">
        <v>30</v>
      </c>
      <c r="F118" s="2" t="s">
        <v>299</v>
      </c>
      <c r="G118" s="7" t="s">
        <v>25</v>
      </c>
      <c r="H118" s="2"/>
      <c r="I118" s="8"/>
      <c r="J118" s="2" t="s">
        <v>300</v>
      </c>
    </row>
    <row r="119" customFormat="false" ht="15" hidden="false" customHeight="false" outlineLevel="0" collapsed="false">
      <c r="A119" s="2" t="s">
        <v>341</v>
      </c>
      <c r="B119" s="2" t="s">
        <v>342</v>
      </c>
      <c r="C119" s="13" t="n">
        <v>2</v>
      </c>
      <c r="D119" s="13" t="n">
        <v>2</v>
      </c>
      <c r="E119" s="13" t="n">
        <v>2</v>
      </c>
      <c r="F119" s="2" t="s">
        <v>299</v>
      </c>
      <c r="G119" s="7" t="s">
        <v>25</v>
      </c>
      <c r="H119" s="2"/>
      <c r="I119" s="8"/>
      <c r="J119" s="2" t="s">
        <v>300</v>
      </c>
    </row>
    <row r="120" customFormat="false" ht="15" hidden="false" customHeight="false" outlineLevel="0" collapsed="false">
      <c r="A120" s="2" t="s">
        <v>343</v>
      </c>
      <c r="B120" s="2" t="s">
        <v>344</v>
      </c>
      <c r="C120" s="13" t="n">
        <v>8</v>
      </c>
      <c r="D120" s="13" t="n">
        <v>8</v>
      </c>
      <c r="E120" s="13" t="n">
        <v>8</v>
      </c>
      <c r="F120" s="2" t="s">
        <v>299</v>
      </c>
      <c r="G120" s="7" t="s">
        <v>25</v>
      </c>
      <c r="H120" s="2"/>
      <c r="I120" s="8"/>
      <c r="J120" s="2" t="s">
        <v>300</v>
      </c>
    </row>
    <row r="121" customFormat="false" ht="15" hidden="false" customHeight="false" outlineLevel="0" collapsed="false">
      <c r="A121" s="2" t="s">
        <v>345</v>
      </c>
      <c r="B121" s="2" t="s">
        <v>346</v>
      </c>
      <c r="C121" s="13" t="n">
        <v>80</v>
      </c>
      <c r="D121" s="13" t="n">
        <v>80</v>
      </c>
      <c r="E121" s="13" t="n">
        <v>80</v>
      </c>
      <c r="F121" s="2" t="s">
        <v>299</v>
      </c>
      <c r="G121" s="7" t="s">
        <v>25</v>
      </c>
      <c r="H121" s="2"/>
      <c r="I121" s="8"/>
      <c r="J121" s="2" t="s">
        <v>300</v>
      </c>
    </row>
    <row r="122" customFormat="false" ht="15" hidden="false" customHeight="false" outlineLevel="0" collapsed="false">
      <c r="A122" s="2" t="s">
        <v>347</v>
      </c>
      <c r="B122" s="2" t="s">
        <v>348</v>
      </c>
      <c r="C122" s="13" t="n">
        <v>7000</v>
      </c>
      <c r="D122" s="13" t="n">
        <v>7000</v>
      </c>
      <c r="E122" s="13" t="n">
        <v>7000</v>
      </c>
      <c r="F122" s="2" t="s">
        <v>309</v>
      </c>
      <c r="G122" s="11" t="s">
        <v>41</v>
      </c>
      <c r="H122" s="2"/>
      <c r="I122" s="8" t="s">
        <v>349</v>
      </c>
      <c r="J122" s="2" t="s">
        <v>300</v>
      </c>
    </row>
    <row r="123" customFormat="false" ht="15" hidden="false" customHeight="false" outlineLevel="0" collapsed="false">
      <c r="A123" s="2" t="s">
        <v>350</v>
      </c>
      <c r="B123" s="2" t="s">
        <v>351</v>
      </c>
      <c r="C123" s="13" t="n">
        <v>130</v>
      </c>
      <c r="D123" s="13" t="n">
        <v>130</v>
      </c>
      <c r="E123" s="13" t="n">
        <v>130</v>
      </c>
      <c r="F123" s="2" t="s">
        <v>313</v>
      </c>
      <c r="G123" s="11" t="s">
        <v>41</v>
      </c>
      <c r="H123" s="2"/>
      <c r="I123" s="8"/>
      <c r="J123" s="2" t="s">
        <v>300</v>
      </c>
    </row>
    <row r="124" customFormat="false" ht="15" hidden="false" customHeight="false" outlineLevel="0" collapsed="false">
      <c r="A124" s="2" t="s">
        <v>352</v>
      </c>
      <c r="B124" s="2" t="s">
        <v>353</v>
      </c>
      <c r="C124" s="13" t="n">
        <v>40</v>
      </c>
      <c r="D124" s="13" t="n">
        <v>40</v>
      </c>
      <c r="E124" s="13" t="n">
        <v>40</v>
      </c>
      <c r="F124" s="2" t="s">
        <v>317</v>
      </c>
      <c r="G124" s="7" t="s">
        <v>25</v>
      </c>
      <c r="H124" s="2"/>
      <c r="I124" s="8"/>
      <c r="J124" s="2" t="s">
        <v>300</v>
      </c>
    </row>
    <row r="125" customFormat="false" ht="15" hidden="false" customHeight="false" outlineLevel="0" collapsed="false">
      <c r="A125" s="2" t="s">
        <v>354</v>
      </c>
      <c r="B125" s="2" t="s">
        <v>355</v>
      </c>
      <c r="C125" s="13" t="n">
        <v>8</v>
      </c>
      <c r="D125" s="13" t="n">
        <v>8</v>
      </c>
      <c r="E125" s="13" t="n">
        <v>8</v>
      </c>
      <c r="F125" s="2" t="s">
        <v>320</v>
      </c>
      <c r="G125" s="7" t="s">
        <v>25</v>
      </c>
      <c r="H125" s="2"/>
      <c r="I125" s="8"/>
      <c r="J125" s="2" t="s">
        <v>300</v>
      </c>
    </row>
    <row r="126" customFormat="false" ht="15" hidden="false" customHeight="false" outlineLevel="0" collapsed="false">
      <c r="A126" s="2" t="s">
        <v>356</v>
      </c>
      <c r="B126" s="2" t="s">
        <v>357</v>
      </c>
      <c r="C126" s="13" t="n">
        <v>2000</v>
      </c>
      <c r="D126" s="13" t="n">
        <v>2000</v>
      </c>
      <c r="E126" s="13" t="n">
        <v>2000</v>
      </c>
      <c r="F126" s="2" t="s">
        <v>324</v>
      </c>
      <c r="G126" s="7" t="s">
        <v>25</v>
      </c>
      <c r="H126" s="2"/>
      <c r="I126" s="8" t="s">
        <v>358</v>
      </c>
      <c r="J126" s="2" t="s">
        <v>300</v>
      </c>
    </row>
    <row r="127" customFormat="false" ht="15" hidden="false" customHeight="false" outlineLevel="0" collapsed="false">
      <c r="A127" s="2" t="s">
        <v>359</v>
      </c>
      <c r="B127" s="2" t="s">
        <v>360</v>
      </c>
      <c r="C127" s="13" t="n">
        <v>2500</v>
      </c>
      <c r="D127" s="13" t="n">
        <v>2500</v>
      </c>
      <c r="E127" s="13" t="n">
        <v>2500</v>
      </c>
      <c r="F127" s="2" t="s">
        <v>324</v>
      </c>
      <c r="G127" s="7" t="s">
        <v>25</v>
      </c>
      <c r="H127" s="2"/>
      <c r="I127" s="8"/>
      <c r="J127" s="2" t="s">
        <v>300</v>
      </c>
    </row>
    <row r="128" customFormat="false" ht="46.25" hidden="false" customHeight="false" outlineLevel="0" collapsed="false">
      <c r="A128" s="2" t="s">
        <v>361</v>
      </c>
      <c r="B128" s="2" t="s">
        <v>362</v>
      </c>
      <c r="C128" s="13" t="n">
        <v>4000</v>
      </c>
      <c r="D128" s="13" t="n">
        <v>4000</v>
      </c>
      <c r="E128" s="13" t="n">
        <v>4000</v>
      </c>
      <c r="F128" s="2" t="s">
        <v>324</v>
      </c>
      <c r="G128" s="11" t="s">
        <v>41</v>
      </c>
      <c r="H128" s="2"/>
      <c r="I128" s="8" t="s">
        <v>363</v>
      </c>
      <c r="J128" s="2" t="s">
        <v>300</v>
      </c>
    </row>
    <row r="129" customFormat="false" ht="15" hidden="false" customHeight="false" outlineLevel="0" collapsed="false">
      <c r="A129" s="2" t="s">
        <v>364</v>
      </c>
      <c r="B129" s="2" t="s">
        <v>365</v>
      </c>
      <c r="C129" s="13" t="n">
        <v>1500</v>
      </c>
      <c r="D129" s="13" t="n">
        <v>1500</v>
      </c>
      <c r="E129" s="13" t="n">
        <v>1500</v>
      </c>
      <c r="F129" s="2" t="s">
        <v>324</v>
      </c>
      <c r="G129" s="7" t="s">
        <v>25</v>
      </c>
      <c r="H129" s="2"/>
      <c r="I129" s="8"/>
      <c r="J129" s="2" t="s">
        <v>300</v>
      </c>
    </row>
    <row r="130" customFormat="false" ht="15" hidden="false" customHeight="false" outlineLevel="0" collapsed="false">
      <c r="A130" s="2" t="s">
        <v>366</v>
      </c>
      <c r="B130" s="2" t="s">
        <v>367</v>
      </c>
      <c r="C130" s="13" t="n">
        <v>7100</v>
      </c>
      <c r="D130" s="13" t="n">
        <v>7100</v>
      </c>
      <c r="E130" s="13" t="n">
        <v>7100</v>
      </c>
      <c r="F130" s="2" t="s">
        <v>324</v>
      </c>
      <c r="G130" s="7" t="s">
        <v>25</v>
      </c>
      <c r="H130" s="2"/>
      <c r="I130" s="8" t="s">
        <v>368</v>
      </c>
      <c r="J130" s="2" t="s">
        <v>300</v>
      </c>
    </row>
    <row r="131" customFormat="false" ht="46.25" hidden="false" customHeight="false" outlineLevel="0" collapsed="false">
      <c r="A131" s="2" t="s">
        <v>369</v>
      </c>
      <c r="B131" s="2" t="s">
        <v>370</v>
      </c>
      <c r="C131" s="13" t="n">
        <v>3300</v>
      </c>
      <c r="D131" s="13" t="n">
        <v>3300</v>
      </c>
      <c r="E131" s="13" t="n">
        <v>3300</v>
      </c>
      <c r="F131" s="2" t="s">
        <v>324</v>
      </c>
      <c r="G131" s="11" t="s">
        <v>41</v>
      </c>
      <c r="H131" s="2"/>
      <c r="I131" s="8" t="s">
        <v>371</v>
      </c>
      <c r="J131" s="2" t="s">
        <v>300</v>
      </c>
    </row>
    <row r="132" customFormat="false" ht="15" hidden="false" customHeight="false" outlineLevel="0" collapsed="false">
      <c r="A132" s="2" t="s">
        <v>372</v>
      </c>
      <c r="B132" s="2" t="s">
        <v>373</v>
      </c>
      <c r="C132" s="13" t="n">
        <v>120</v>
      </c>
      <c r="D132" s="13" t="n">
        <v>120</v>
      </c>
      <c r="E132" s="13" t="n">
        <v>120</v>
      </c>
      <c r="F132" s="2" t="s">
        <v>299</v>
      </c>
      <c r="G132" s="7" t="s">
        <v>25</v>
      </c>
      <c r="H132" s="2"/>
      <c r="I132" s="8"/>
      <c r="J132" s="2" t="s">
        <v>300</v>
      </c>
    </row>
    <row r="133" customFormat="false" ht="15" hidden="false" customHeight="false" outlineLevel="0" collapsed="false">
      <c r="A133" s="2" t="s">
        <v>374</v>
      </c>
      <c r="B133" s="2" t="s">
        <v>375</v>
      </c>
      <c r="C133" s="13" t="n">
        <v>10</v>
      </c>
      <c r="D133" s="13" t="n">
        <v>10</v>
      </c>
      <c r="E133" s="13" t="n">
        <v>10</v>
      </c>
      <c r="F133" s="2" t="s">
        <v>299</v>
      </c>
      <c r="G133" s="7" t="s">
        <v>25</v>
      </c>
      <c r="H133" s="2"/>
      <c r="I133" s="8"/>
      <c r="J133" s="2" t="s">
        <v>300</v>
      </c>
    </row>
    <row r="134" customFormat="false" ht="15" hidden="false" customHeight="false" outlineLevel="0" collapsed="false">
      <c r="A134" s="2" t="s">
        <v>376</v>
      </c>
      <c r="B134" s="2" t="s">
        <v>377</v>
      </c>
      <c r="C134" s="13" t="n">
        <v>50</v>
      </c>
      <c r="D134" s="13" t="n">
        <v>50</v>
      </c>
      <c r="E134" s="13" t="n">
        <v>50</v>
      </c>
      <c r="F134" s="2" t="s">
        <v>299</v>
      </c>
      <c r="G134" s="7" t="s">
        <v>25</v>
      </c>
      <c r="H134" s="2"/>
      <c r="I134" s="8"/>
      <c r="J134" s="2" t="s">
        <v>300</v>
      </c>
    </row>
    <row r="135" customFormat="false" ht="15" hidden="false" customHeight="false" outlineLevel="0" collapsed="false">
      <c r="A135" s="2" t="s">
        <v>378</v>
      </c>
      <c r="B135" s="2" t="s">
        <v>379</v>
      </c>
      <c r="C135" s="13" t="n">
        <v>120</v>
      </c>
      <c r="D135" s="13" t="n">
        <v>120</v>
      </c>
      <c r="E135" s="13" t="n">
        <v>120</v>
      </c>
      <c r="F135" s="2" t="s">
        <v>299</v>
      </c>
      <c r="G135" s="7" t="s">
        <v>25</v>
      </c>
      <c r="H135" s="2"/>
      <c r="I135" s="8"/>
      <c r="J135" s="2" t="s">
        <v>300</v>
      </c>
    </row>
    <row r="136" customFormat="false" ht="15" hidden="false" customHeight="false" outlineLevel="0" collapsed="false">
      <c r="A136" s="2" t="s">
        <v>380</v>
      </c>
      <c r="B136" s="2" t="s">
        <v>381</v>
      </c>
      <c r="C136" s="13" t="n">
        <v>10000</v>
      </c>
      <c r="D136" s="13" t="n">
        <v>10000</v>
      </c>
      <c r="E136" s="13" t="n">
        <v>10000</v>
      </c>
      <c r="F136" s="2" t="s">
        <v>309</v>
      </c>
      <c r="G136" s="11" t="s">
        <v>41</v>
      </c>
      <c r="H136" s="2"/>
      <c r="I136" s="8" t="s">
        <v>382</v>
      </c>
      <c r="J136" s="2" t="s">
        <v>300</v>
      </c>
    </row>
    <row r="137" customFormat="false" ht="15" hidden="false" customHeight="false" outlineLevel="0" collapsed="false">
      <c r="A137" s="2" t="s">
        <v>383</v>
      </c>
      <c r="B137" s="2" t="s">
        <v>384</v>
      </c>
      <c r="C137" s="13" t="n">
        <v>260</v>
      </c>
      <c r="D137" s="13" t="n">
        <v>260</v>
      </c>
      <c r="E137" s="13" t="n">
        <v>260</v>
      </c>
      <c r="F137" s="2" t="s">
        <v>313</v>
      </c>
      <c r="G137" s="11" t="s">
        <v>41</v>
      </c>
      <c r="H137" s="2"/>
      <c r="I137" s="8"/>
      <c r="J137" s="2" t="s">
        <v>300</v>
      </c>
    </row>
    <row r="138" customFormat="false" ht="15" hidden="false" customHeight="false" outlineLevel="0" collapsed="false">
      <c r="A138" s="2" t="s">
        <v>385</v>
      </c>
      <c r="B138" s="2" t="s">
        <v>386</v>
      </c>
      <c r="C138" s="13" t="n">
        <v>50</v>
      </c>
      <c r="D138" s="13" t="n">
        <v>50</v>
      </c>
      <c r="E138" s="13" t="n">
        <v>50</v>
      </c>
      <c r="F138" s="2" t="s">
        <v>317</v>
      </c>
      <c r="G138" s="7" t="s">
        <v>25</v>
      </c>
      <c r="H138" s="2"/>
      <c r="I138" s="8"/>
      <c r="J138" s="2" t="s">
        <v>300</v>
      </c>
    </row>
    <row r="139" customFormat="false" ht="15" hidden="false" customHeight="false" outlineLevel="0" collapsed="false">
      <c r="A139" s="2" t="s">
        <v>387</v>
      </c>
      <c r="B139" s="2" t="s">
        <v>388</v>
      </c>
      <c r="C139" s="13" t="n">
        <v>12</v>
      </c>
      <c r="D139" s="13" t="n">
        <v>12</v>
      </c>
      <c r="E139" s="13" t="n">
        <v>12</v>
      </c>
      <c r="F139" s="2" t="s">
        <v>320</v>
      </c>
      <c r="G139" s="7" t="s">
        <v>25</v>
      </c>
      <c r="H139" s="2"/>
      <c r="I139" s="8"/>
      <c r="J139" s="2" t="s">
        <v>300</v>
      </c>
    </row>
    <row r="140" customFormat="false" ht="15" hidden="false" customHeight="false" outlineLevel="0" collapsed="false">
      <c r="A140" s="2" t="s">
        <v>389</v>
      </c>
      <c r="B140" s="2" t="s">
        <v>390</v>
      </c>
      <c r="C140" s="13" t="n">
        <v>4500</v>
      </c>
      <c r="D140" s="13" t="n">
        <v>4500</v>
      </c>
      <c r="E140" s="13" t="n">
        <v>4500</v>
      </c>
      <c r="F140" s="2" t="s">
        <v>324</v>
      </c>
      <c r="G140" s="7" t="s">
        <v>25</v>
      </c>
      <c r="H140" s="2"/>
      <c r="I140" s="8" t="s">
        <v>391</v>
      </c>
      <c r="J140" s="2" t="s">
        <v>300</v>
      </c>
    </row>
    <row r="141" customFormat="false" ht="15" hidden="false" customHeight="false" outlineLevel="0" collapsed="false">
      <c r="A141" s="2" t="s">
        <v>392</v>
      </c>
      <c r="B141" s="2" t="s">
        <v>393</v>
      </c>
      <c r="C141" s="13" t="n">
        <v>4000</v>
      </c>
      <c r="D141" s="13" t="n">
        <v>4000</v>
      </c>
      <c r="E141" s="13" t="n">
        <v>4000</v>
      </c>
      <c r="F141" s="2" t="s">
        <v>324</v>
      </c>
      <c r="G141" s="7" t="s">
        <v>25</v>
      </c>
      <c r="H141" s="2"/>
      <c r="I141" s="8"/>
      <c r="J141" s="2" t="s">
        <v>300</v>
      </c>
    </row>
    <row r="142" customFormat="false" ht="46.25" hidden="false" customHeight="false" outlineLevel="0" collapsed="false">
      <c r="A142" s="2" t="s">
        <v>394</v>
      </c>
      <c r="B142" s="2" t="s">
        <v>395</v>
      </c>
      <c r="C142" s="13" t="n">
        <v>6200</v>
      </c>
      <c r="D142" s="13" t="n">
        <v>6200</v>
      </c>
      <c r="E142" s="13" t="n">
        <v>6200</v>
      </c>
      <c r="F142" s="2" t="s">
        <v>324</v>
      </c>
      <c r="G142" s="11" t="s">
        <v>41</v>
      </c>
      <c r="H142" s="2"/>
      <c r="I142" s="8" t="s">
        <v>396</v>
      </c>
      <c r="J142" s="2" t="s">
        <v>300</v>
      </c>
    </row>
    <row r="143" customFormat="false" ht="15" hidden="false" customHeight="false" outlineLevel="0" collapsed="false">
      <c r="A143" s="2" t="s">
        <v>397</v>
      </c>
      <c r="B143" s="2" t="s">
        <v>398</v>
      </c>
      <c r="C143" s="13" t="n">
        <v>1500</v>
      </c>
      <c r="D143" s="13" t="n">
        <v>1500</v>
      </c>
      <c r="E143" s="13" t="n">
        <v>1500</v>
      </c>
      <c r="F143" s="2" t="s">
        <v>324</v>
      </c>
      <c r="G143" s="7" t="s">
        <v>25</v>
      </c>
      <c r="H143" s="2"/>
      <c r="I143" s="8"/>
      <c r="J143" s="2" t="s">
        <v>300</v>
      </c>
    </row>
    <row r="144" customFormat="false" ht="15" hidden="false" customHeight="false" outlineLevel="0" collapsed="false">
      <c r="A144" s="2" t="s">
        <v>399</v>
      </c>
      <c r="B144" s="2" t="s">
        <v>400</v>
      </c>
      <c r="C144" s="13" t="n">
        <v>7500</v>
      </c>
      <c r="D144" s="13" t="n">
        <v>7500</v>
      </c>
      <c r="E144" s="13" t="n">
        <v>7500</v>
      </c>
      <c r="F144" s="2" t="s">
        <v>324</v>
      </c>
      <c r="G144" s="7" t="s">
        <v>25</v>
      </c>
      <c r="H144" s="2"/>
      <c r="I144" s="8"/>
      <c r="J144" s="2" t="s">
        <v>300</v>
      </c>
    </row>
    <row r="145" customFormat="false" ht="46.25" hidden="false" customHeight="false" outlineLevel="0" collapsed="false">
      <c r="A145" s="2" t="s">
        <v>401</v>
      </c>
      <c r="B145" s="2" t="s">
        <v>402</v>
      </c>
      <c r="C145" s="13" t="n">
        <v>6000</v>
      </c>
      <c r="D145" s="13" t="n">
        <v>6000</v>
      </c>
      <c r="E145" s="13" t="n">
        <v>6000</v>
      </c>
      <c r="F145" s="2" t="s">
        <v>324</v>
      </c>
      <c r="G145" s="11" t="s">
        <v>41</v>
      </c>
      <c r="H145" s="2"/>
      <c r="I145" s="8" t="s">
        <v>403</v>
      </c>
      <c r="J145" s="2" t="s">
        <v>300</v>
      </c>
    </row>
    <row r="146" customFormat="false" ht="15" hidden="false" customHeight="false" outlineLevel="0" collapsed="false">
      <c r="A146" s="5" t="s">
        <v>404</v>
      </c>
    </row>
    <row r="147" customFormat="false" ht="15" hidden="false" customHeight="false" outlineLevel="0" collapsed="false">
      <c r="A147" s="2" t="s">
        <v>405</v>
      </c>
      <c r="B147" s="2" t="s">
        <v>406</v>
      </c>
      <c r="C147" s="6" t="n">
        <v>1500</v>
      </c>
      <c r="D147" s="6" t="n">
        <v>2500</v>
      </c>
      <c r="E147" s="6" t="n">
        <v>4000</v>
      </c>
      <c r="F147" s="2" t="s">
        <v>24</v>
      </c>
      <c r="G147" s="7" t="s">
        <v>25</v>
      </c>
      <c r="H147" s="2" t="s">
        <v>407</v>
      </c>
      <c r="I147" s="8" t="s">
        <v>408</v>
      </c>
      <c r="J147" s="2" t="s">
        <v>409</v>
      </c>
    </row>
    <row r="148" customFormat="false" ht="15" hidden="false" customHeight="false" outlineLevel="0" collapsed="false">
      <c r="A148" s="2" t="s">
        <v>410</v>
      </c>
      <c r="B148" s="2" t="s">
        <v>411</v>
      </c>
      <c r="C148" s="13" t="n">
        <v>15000</v>
      </c>
      <c r="D148" s="13" t="n">
        <v>20000</v>
      </c>
      <c r="E148" s="13" t="n">
        <v>30000</v>
      </c>
      <c r="F148" s="2" t="s">
        <v>412</v>
      </c>
      <c r="G148" s="7" t="s">
        <v>25</v>
      </c>
      <c r="H148" s="2"/>
      <c r="I148" s="8"/>
      <c r="J148" s="2" t="s">
        <v>409</v>
      </c>
    </row>
    <row r="149" customFormat="false" ht="15" hidden="false" customHeight="false" outlineLevel="0" collapsed="false">
      <c r="A149" s="2" t="s">
        <v>413</v>
      </c>
      <c r="B149" s="2" t="s">
        <v>414</v>
      </c>
      <c r="C149" s="13" t="n">
        <v>350</v>
      </c>
      <c r="D149" s="13" t="n">
        <v>450</v>
      </c>
      <c r="E149" s="13" t="n">
        <v>560</v>
      </c>
      <c r="F149" s="2" t="s">
        <v>324</v>
      </c>
      <c r="G149" s="7" t="s">
        <v>25</v>
      </c>
      <c r="H149" s="2" t="s">
        <v>58</v>
      </c>
      <c r="I149" s="8" t="s">
        <v>415</v>
      </c>
      <c r="J149" s="2" t="s">
        <v>409</v>
      </c>
    </row>
    <row r="150" customFormat="false" ht="15" hidden="false" customHeight="false" outlineLevel="0" collapsed="false">
      <c r="A150" s="2" t="s">
        <v>416</v>
      </c>
      <c r="B150" s="2" t="s">
        <v>417</v>
      </c>
      <c r="C150" s="6" t="n">
        <v>4000</v>
      </c>
      <c r="D150" s="6" t="n">
        <v>7000</v>
      </c>
      <c r="E150" s="6" t="n">
        <v>12000</v>
      </c>
      <c r="F150" s="2" t="s">
        <v>24</v>
      </c>
      <c r="G150" s="7" t="s">
        <v>25</v>
      </c>
      <c r="H150" s="2"/>
      <c r="I150" s="8"/>
      <c r="J150" s="2" t="s">
        <v>409</v>
      </c>
    </row>
    <row r="151" customFormat="false" ht="15" hidden="false" customHeight="false" outlineLevel="0" collapsed="false">
      <c r="A151" s="2" t="s">
        <v>418</v>
      </c>
      <c r="B151" s="2" t="s">
        <v>419</v>
      </c>
      <c r="C151" s="13" t="n">
        <v>40000</v>
      </c>
      <c r="D151" s="13" t="n">
        <v>60000</v>
      </c>
      <c r="E151" s="13" t="n">
        <v>90000</v>
      </c>
      <c r="F151" s="2" t="s">
        <v>412</v>
      </c>
      <c r="G151" s="7" t="s">
        <v>25</v>
      </c>
      <c r="H151" s="2"/>
      <c r="I151" s="8"/>
      <c r="J151" s="2" t="s">
        <v>409</v>
      </c>
    </row>
    <row r="152" customFormat="false" ht="15" hidden="false" customHeight="false" outlineLevel="0" collapsed="false">
      <c r="A152" s="2" t="s">
        <v>420</v>
      </c>
      <c r="B152" s="2" t="s">
        <v>421</v>
      </c>
      <c r="C152" s="13" t="n">
        <v>800</v>
      </c>
      <c r="D152" s="13" t="n">
        <v>1000</v>
      </c>
      <c r="E152" s="13" t="n">
        <v>1200</v>
      </c>
      <c r="F152" s="2" t="s">
        <v>324</v>
      </c>
      <c r="G152" s="7" t="s">
        <v>25</v>
      </c>
      <c r="H152" s="2" t="s">
        <v>58</v>
      </c>
      <c r="I152" s="8" t="s">
        <v>422</v>
      </c>
      <c r="J152" s="2" t="s">
        <v>409</v>
      </c>
    </row>
    <row r="153" customFormat="false" ht="15" hidden="false" customHeight="false" outlineLevel="0" collapsed="false">
      <c r="A153" s="2" t="s">
        <v>423</v>
      </c>
      <c r="B153" s="2" t="s">
        <v>424</v>
      </c>
      <c r="C153" s="6" t="n">
        <v>10000</v>
      </c>
      <c r="D153" s="6" t="n">
        <v>18000</v>
      </c>
      <c r="E153" s="6" t="n">
        <v>30000</v>
      </c>
      <c r="F153" s="2" t="s">
        <v>24</v>
      </c>
      <c r="G153" s="7" t="s">
        <v>25</v>
      </c>
      <c r="H153" s="2"/>
      <c r="I153" s="8"/>
      <c r="J153" s="2" t="s">
        <v>409</v>
      </c>
    </row>
    <row r="154" customFormat="false" ht="15" hidden="false" customHeight="false" outlineLevel="0" collapsed="false">
      <c r="A154" s="2" t="s">
        <v>425</v>
      </c>
      <c r="B154" s="2" t="s">
        <v>426</v>
      </c>
      <c r="C154" s="13" t="n">
        <v>100000</v>
      </c>
      <c r="D154" s="13" t="n">
        <v>150000</v>
      </c>
      <c r="E154" s="13" t="n">
        <v>220000</v>
      </c>
      <c r="F154" s="2" t="s">
        <v>412</v>
      </c>
      <c r="G154" s="7" t="s">
        <v>25</v>
      </c>
      <c r="H154" s="2"/>
      <c r="I154" s="8"/>
      <c r="J154" s="2" t="s">
        <v>409</v>
      </c>
    </row>
    <row r="155" customFormat="false" ht="15" hidden="false" customHeight="false" outlineLevel="0" collapsed="false">
      <c r="A155" s="2" t="s">
        <v>427</v>
      </c>
      <c r="B155" s="2" t="s">
        <v>428</v>
      </c>
      <c r="C155" s="13" t="n">
        <v>1350</v>
      </c>
      <c r="D155" s="13" t="n">
        <v>1800</v>
      </c>
      <c r="E155" s="13" t="n">
        <v>2250</v>
      </c>
      <c r="F155" s="2" t="s">
        <v>324</v>
      </c>
      <c r="G155" s="7" t="s">
        <v>25</v>
      </c>
      <c r="H155" s="2" t="s">
        <v>58</v>
      </c>
      <c r="I155" s="8" t="s">
        <v>429</v>
      </c>
      <c r="J155" s="2" t="s">
        <v>409</v>
      </c>
    </row>
    <row r="156" customFormat="false" ht="23.85" hidden="false" customHeight="false" outlineLevel="0" collapsed="false">
      <c r="A156" s="2" t="s">
        <v>430</v>
      </c>
      <c r="B156" s="2" t="s">
        <v>431</v>
      </c>
      <c r="C156" s="13" t="n">
        <v>150</v>
      </c>
      <c r="D156" s="13" t="n">
        <v>220</v>
      </c>
      <c r="E156" s="13" t="n">
        <v>300</v>
      </c>
      <c r="F156" s="2" t="s">
        <v>432</v>
      </c>
      <c r="G156" s="7" t="s">
        <v>25</v>
      </c>
      <c r="H156" s="2" t="s">
        <v>433</v>
      </c>
      <c r="I156" s="8" t="s">
        <v>434</v>
      </c>
      <c r="J156" s="2" t="s">
        <v>409</v>
      </c>
    </row>
    <row r="157" customFormat="false" ht="15" hidden="false" customHeight="false" outlineLevel="0" collapsed="false">
      <c r="A157" s="2" t="s">
        <v>435</v>
      </c>
      <c r="B157" s="2" t="s">
        <v>436</v>
      </c>
      <c r="C157" s="13" t="n">
        <v>15</v>
      </c>
      <c r="D157" s="13" t="n">
        <v>30</v>
      </c>
      <c r="E157" s="13" t="n">
        <v>50</v>
      </c>
      <c r="F157" s="2" t="s">
        <v>432</v>
      </c>
      <c r="G157" s="7" t="s">
        <v>25</v>
      </c>
      <c r="H157" s="2"/>
      <c r="I157" s="8" t="s">
        <v>437</v>
      </c>
      <c r="J157" s="2" t="s">
        <v>409</v>
      </c>
    </row>
    <row r="158" customFormat="false" ht="23.85" hidden="false" customHeight="false" outlineLevel="0" collapsed="false">
      <c r="A158" s="2" t="s">
        <v>438</v>
      </c>
      <c r="B158" s="2" t="s">
        <v>439</v>
      </c>
      <c r="C158" s="15" t="n">
        <v>0.1</v>
      </c>
      <c r="D158" s="15" t="n">
        <v>0.15</v>
      </c>
      <c r="E158" s="15" t="n">
        <v>0.2</v>
      </c>
      <c r="F158" s="2" t="s">
        <v>440</v>
      </c>
      <c r="G158" s="14" t="s">
        <v>144</v>
      </c>
      <c r="H158" s="2" t="s">
        <v>441</v>
      </c>
      <c r="I158" s="8" t="s">
        <v>442</v>
      </c>
      <c r="J158" s="2" t="s">
        <v>409</v>
      </c>
    </row>
    <row r="159" customFormat="false" ht="23.85" hidden="false" customHeight="false" outlineLevel="0" collapsed="false">
      <c r="A159" s="2" t="s">
        <v>443</v>
      </c>
      <c r="B159" s="2" t="s">
        <v>444</v>
      </c>
      <c r="C159" s="15" t="n">
        <v>0.2</v>
      </c>
      <c r="D159" s="15" t="n">
        <v>0.238</v>
      </c>
      <c r="E159" s="15" t="n">
        <v>0.28</v>
      </c>
      <c r="F159" s="2" t="s">
        <v>440</v>
      </c>
      <c r="G159" s="11" t="s">
        <v>41</v>
      </c>
      <c r="H159" s="2" t="s">
        <v>445</v>
      </c>
      <c r="I159" s="8" t="s">
        <v>446</v>
      </c>
      <c r="J159" s="2" t="s">
        <v>409</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62"/>
    <col collapsed="false" customWidth="true" hidden="false" outlineLevel="0" max="3" min="3" style="0" width="20"/>
    <col collapsed="false" customWidth="true" hidden="false" outlineLevel="0" max="4" min="4" style="0" width="10"/>
    <col collapsed="false" customWidth="true" hidden="false" outlineLevel="0" max="13" min="5" style="0" width="15"/>
  </cols>
  <sheetData>
    <row r="1" customFormat="false" ht="16.15" hidden="false" customHeight="false" outlineLevel="0" collapsed="false">
      <c r="A1" s="1" t="s">
        <v>447</v>
      </c>
    </row>
    <row r="2" customFormat="false" ht="54" hidden="false" customHeight="true" outlineLevel="0" collapsed="false">
      <c r="A2" s="3" t="s">
        <v>448</v>
      </c>
      <c r="B2" s="3"/>
      <c r="C2" s="3"/>
      <c r="D2" s="3"/>
      <c r="E2" s="3"/>
      <c r="F2" s="3"/>
      <c r="G2" s="3"/>
      <c r="H2" s="3"/>
      <c r="I2" s="3"/>
      <c r="J2" s="3"/>
      <c r="K2" s="3"/>
      <c r="L2" s="3"/>
      <c r="M2" s="3"/>
    </row>
    <row r="4" customFormat="false" ht="23.85" hidden="false" customHeight="false" outlineLevel="0" collapsed="false">
      <c r="A4" s="4" t="s">
        <v>449</v>
      </c>
      <c r="B4" s="4" t="s">
        <v>12</v>
      </c>
      <c r="C4" s="4" t="s">
        <v>450</v>
      </c>
      <c r="D4" s="4" t="s">
        <v>451</v>
      </c>
      <c r="E4" s="4" t="s">
        <v>452</v>
      </c>
      <c r="F4" s="4" t="s">
        <v>453</v>
      </c>
      <c r="G4" s="4" t="s">
        <v>454</v>
      </c>
      <c r="H4" s="4" t="s">
        <v>455</v>
      </c>
      <c r="I4" s="4" t="s">
        <v>456</v>
      </c>
      <c r="J4" s="4" t="s">
        <v>457</v>
      </c>
      <c r="K4" s="4" t="s">
        <v>458</v>
      </c>
      <c r="L4" s="4" t="s">
        <v>459</v>
      </c>
      <c r="M4" s="4" t="s">
        <v>460</v>
      </c>
    </row>
    <row r="5" customFormat="false" ht="15" hidden="false" customHeight="false" outlineLevel="0" collapsed="false">
      <c r="A5" s="2" t="s">
        <v>461</v>
      </c>
      <c r="B5" s="2" t="s">
        <v>462</v>
      </c>
      <c r="C5" s="2" t="s">
        <v>463</v>
      </c>
      <c r="D5" s="16" t="n">
        <v>0</v>
      </c>
      <c r="E5" s="17" t="n">
        <f aca="false">S1_surf_chateau*S1_vr_m2_fav+S1_surf_dep*S1_vr_m2_fav*vr_dep_ratio_fav</f>
        <v>2736000</v>
      </c>
      <c r="F5" s="17" t="n">
        <f aca="false">S1_surf_chateau*S1_vr_m2+S1_surf_dep*S1_vr_m2*vr_dep_ratio</f>
        <v>3600000</v>
      </c>
      <c r="G5" s="17" t="n">
        <f aca="false">S1_surf_chateau*S1_vr_m2_def+S1_surf_dep*S1_vr_m2_def*vr_dep_ratio_def</f>
        <v>5040000</v>
      </c>
      <c r="H5" s="17" t="n">
        <f aca="false">S2_surf_chateau*S2_vr_m2_fav+S2_surf_dep*S2_vr_m2_fav*vr_dep_ratio_fav</f>
        <v>8400000</v>
      </c>
      <c r="I5" s="17" t="n">
        <f aca="false">S2_surf_chateau*S2_vr_m2+S2_surf_dep*S2_vr_m2*vr_dep_ratio</f>
        <v>12025000</v>
      </c>
      <c r="J5" s="17" t="n">
        <f aca="false">S2_surf_chateau*S2_vr_m2_def+S2_surf_dep*S2_vr_m2_def*vr_dep_ratio_def</f>
        <v>17500000</v>
      </c>
      <c r="K5" s="17" t="n">
        <f aca="false">S3_surf_chateau*S3_vr_m2_fav+S3_surf_dep*S3_vr_m2_fav*vr_dep_ratio_fav</f>
        <v>30500000</v>
      </c>
      <c r="L5" s="17" t="n">
        <f aca="false">S3_surf_chateau*S3_vr_m2+S3_surf_dep*S3_vr_m2*vr_dep_ratio</f>
        <v>45500000</v>
      </c>
      <c r="M5" s="17" t="n">
        <f aca="false">S3_surf_chateau*S3_vr_m2_def+S3_surf_dep*S3_vr_m2_def*vr_dep_ratio_def</f>
        <v>69000000</v>
      </c>
    </row>
    <row r="6" customFormat="false" ht="15" hidden="false" customHeight="false" outlineLevel="0" collapsed="false">
      <c r="A6" s="2" t="s">
        <v>464</v>
      </c>
      <c r="B6" s="2" t="s">
        <v>465</v>
      </c>
      <c r="C6" s="2" t="s">
        <v>466</v>
      </c>
      <c r="D6" s="16" t="n">
        <v>0.1</v>
      </c>
      <c r="E6" s="17" t="n">
        <f aca="false">E5*taux_entretien_courant_fav</f>
        <v>13680</v>
      </c>
      <c r="F6" s="17" t="n">
        <f aca="false">F5*taux_entretien_courant</f>
        <v>27000</v>
      </c>
      <c r="G6" s="17" t="n">
        <f aca="false">G5*taux_entretien_courant_def</f>
        <v>50400</v>
      </c>
      <c r="H6" s="17" t="n">
        <f aca="false">H5*taux_entretien_courant_fav</f>
        <v>42000</v>
      </c>
      <c r="I6" s="17" t="n">
        <f aca="false">I5*taux_entretien_courant</f>
        <v>90187.5</v>
      </c>
      <c r="J6" s="17" t="n">
        <f aca="false">J5*taux_entretien_courant_def</f>
        <v>175000</v>
      </c>
      <c r="K6" s="17" t="n">
        <f aca="false">K5*taux_entretien_courant_fav</f>
        <v>152500</v>
      </c>
      <c r="L6" s="17" t="n">
        <f aca="false">L5*taux_entretien_courant</f>
        <v>341250</v>
      </c>
      <c r="M6" s="17" t="n">
        <f aca="false">M5*taux_entretien_courant_def</f>
        <v>690000</v>
      </c>
    </row>
    <row r="7" customFormat="false" ht="15" hidden="false" customHeight="false" outlineLevel="0" collapsed="false">
      <c r="A7" s="2" t="s">
        <v>467</v>
      </c>
      <c r="B7" s="2" t="s">
        <v>468</v>
      </c>
      <c r="C7" s="2" t="s">
        <v>466</v>
      </c>
      <c r="D7" s="16" t="n">
        <v>0.1</v>
      </c>
      <c r="E7" s="17" t="n">
        <f aca="false">E5*taux_gros_entretien_fav</f>
        <v>41040</v>
      </c>
      <c r="F7" s="17" t="n">
        <f aca="false">F5*taux_gros_entretien</f>
        <v>81000</v>
      </c>
      <c r="G7" s="17" t="n">
        <f aca="false">G5*taux_gros_entretien_def</f>
        <v>151200</v>
      </c>
      <c r="H7" s="17" t="n">
        <f aca="false">H5*taux_gros_entretien_fav</f>
        <v>126000</v>
      </c>
      <c r="I7" s="17" t="n">
        <f aca="false">I5*taux_gros_entretien</f>
        <v>270562.5</v>
      </c>
      <c r="J7" s="17" t="n">
        <f aca="false">J5*taux_gros_entretien_def</f>
        <v>525000</v>
      </c>
      <c r="K7" s="17" t="n">
        <f aca="false">K5*taux_gros_entretien_fav</f>
        <v>457500</v>
      </c>
      <c r="L7" s="17" t="n">
        <f aca="false">L5*taux_gros_entretien</f>
        <v>1023750</v>
      </c>
      <c r="M7" s="17" t="n">
        <f aca="false">M5*taux_gros_entretien_def</f>
        <v>2070000</v>
      </c>
    </row>
    <row r="8" customFormat="false" ht="15" hidden="false" customHeight="false" outlineLevel="0" collapsed="false">
      <c r="A8" s="2" t="s">
        <v>469</v>
      </c>
      <c r="B8" s="2" t="s">
        <v>470</v>
      </c>
      <c r="C8" s="2" t="s">
        <v>466</v>
      </c>
      <c r="D8" s="16" t="n">
        <v>0.1</v>
      </c>
      <c r="E8" s="17" t="n">
        <f aca="false">E7*taux_aleas_travaux_fav</f>
        <v>4104</v>
      </c>
      <c r="F8" s="17" t="n">
        <f aca="false">F7*taux_aleas_travaux</f>
        <v>12150</v>
      </c>
      <c r="G8" s="17" t="n">
        <f aca="false">G7*taux_aleas_travaux_def</f>
        <v>30240</v>
      </c>
      <c r="H8" s="17" t="n">
        <f aca="false">H7*taux_aleas_travaux_fav</f>
        <v>12600</v>
      </c>
      <c r="I8" s="17" t="n">
        <f aca="false">I7*taux_aleas_travaux</f>
        <v>40584.375</v>
      </c>
      <c r="J8" s="17" t="n">
        <f aca="false">J7*taux_aleas_travaux_def</f>
        <v>105000</v>
      </c>
      <c r="K8" s="17" t="n">
        <f aca="false">K7*taux_aleas_travaux_fav</f>
        <v>45750</v>
      </c>
      <c r="L8" s="17" t="n">
        <f aca="false">L7*taux_aleas_travaux</f>
        <v>153562.5</v>
      </c>
      <c r="M8" s="17" t="n">
        <f aca="false">M7*taux_aleas_travaux_def</f>
        <v>414000</v>
      </c>
    </row>
    <row r="9" customFormat="false" ht="15" hidden="false" customHeight="false" outlineLevel="0" collapsed="false">
      <c r="A9" s="2" t="s">
        <v>471</v>
      </c>
      <c r="B9" s="2" t="s">
        <v>472</v>
      </c>
      <c r="C9" s="2" t="s">
        <v>466</v>
      </c>
      <c r="D9" s="16" t="n">
        <v>0.2</v>
      </c>
      <c r="E9" s="17" t="n">
        <f aca="false">S1_securite_fav</f>
        <v>1500</v>
      </c>
      <c r="F9" s="17" t="n">
        <f aca="false">S1_securite</f>
        <v>2500</v>
      </c>
      <c r="G9" s="17" t="n">
        <f aca="false">S1_securite_def</f>
        <v>4000</v>
      </c>
      <c r="H9" s="17" t="n">
        <f aca="false">S2_securite_fav</f>
        <v>4000</v>
      </c>
      <c r="I9" s="17" t="n">
        <f aca="false">S2_securite</f>
        <v>7000</v>
      </c>
      <c r="J9" s="17" t="n">
        <f aca="false">S2_securite_def</f>
        <v>12000</v>
      </c>
      <c r="K9" s="17" t="n">
        <f aca="false">S3_securite_fav</f>
        <v>15000</v>
      </c>
      <c r="L9" s="17" t="n">
        <f aca="false">S3_securite</f>
        <v>25000</v>
      </c>
      <c r="M9" s="17" t="n">
        <f aca="false">S3_securite_def</f>
        <v>40000</v>
      </c>
    </row>
    <row r="10" customFormat="false" ht="15" hidden="false" customHeight="false" outlineLevel="0" collapsed="false">
      <c r="A10" s="2" t="s">
        <v>473</v>
      </c>
      <c r="B10" s="2" t="s">
        <v>474</v>
      </c>
      <c r="C10" s="2" t="s">
        <v>475</v>
      </c>
      <c r="D10" s="16" t="n">
        <v>0</v>
      </c>
      <c r="E10" s="17" t="n">
        <f aca="false">S1_etp_direction*S1_cout_direction_fav</f>
        <v>0</v>
      </c>
      <c r="F10" s="17" t="n">
        <f aca="false">S1_etp_direction*S1_cout_direction</f>
        <v>0</v>
      </c>
      <c r="G10" s="17" t="n">
        <f aca="false">S1_etp_direction*S1_cout_direction_def</f>
        <v>0</v>
      </c>
      <c r="H10" s="17" t="n">
        <f aca="false">S2_etp_direction*S2_cout_direction_fav</f>
        <v>62277</v>
      </c>
      <c r="I10" s="17" t="n">
        <f aca="false">S2_etp_direction*S2_cout_direction</f>
        <v>79253</v>
      </c>
      <c r="J10" s="17" t="n">
        <f aca="false">S2_etp_direction*S2_cout_direction_def</f>
        <v>96730</v>
      </c>
      <c r="K10" s="17" t="n">
        <f aca="false">S3_etp_direction*S3_cout_direction_fav</f>
        <v>79253</v>
      </c>
      <c r="L10" s="17" t="n">
        <f aca="false">S3_etp_direction*S3_cout_direction</f>
        <v>96730</v>
      </c>
      <c r="M10" s="17" t="n">
        <f aca="false">S3_etp_direction*S3_cout_direction_def</f>
        <v>115000</v>
      </c>
    </row>
    <row r="11" customFormat="false" ht="15" hidden="false" customHeight="false" outlineLevel="0" collapsed="false">
      <c r="A11" s="2" t="s">
        <v>476</v>
      </c>
      <c r="B11" s="2" t="s">
        <v>477</v>
      </c>
      <c r="C11" s="2" t="s">
        <v>475</v>
      </c>
      <c r="D11" s="16" t="n">
        <v>0</v>
      </c>
      <c r="E11" s="17" t="n">
        <f aca="false">S1_etp_admin*cout_admin_salarie_fav</f>
        <v>0</v>
      </c>
      <c r="F11" s="17" t="n">
        <f aca="false">S1_etp_admin*cout_admin_salarie</f>
        <v>0</v>
      </c>
      <c r="G11" s="17" t="n">
        <f aca="false">S1_etp_admin*cout_admin_salarie_def</f>
        <v>0</v>
      </c>
      <c r="H11" s="17" t="n">
        <f aca="false">S2_etp_admin*cout_admin_salarie_fav</f>
        <v>0</v>
      </c>
      <c r="I11" s="17" t="n">
        <f aca="false">S2_etp_admin*cout_admin_salarie</f>
        <v>0</v>
      </c>
      <c r="J11" s="17" t="n">
        <f aca="false">S2_etp_admin*cout_admin_salarie_def</f>
        <v>0</v>
      </c>
      <c r="K11" s="17" t="n">
        <f aca="false">S3_etp_admin*cout_admin_salarie_fav</f>
        <v>40479</v>
      </c>
      <c r="L11" s="17" t="n">
        <f aca="false">S3_etp_admin*cout_admin_salarie</f>
        <v>44289</v>
      </c>
      <c r="M11" s="17" t="n">
        <f aca="false">S3_etp_admin*cout_admin_salarie_def</f>
        <v>48000</v>
      </c>
    </row>
    <row r="12" customFormat="false" ht="15" hidden="false" customHeight="false" outlineLevel="0" collapsed="false">
      <c r="A12" s="2" t="s">
        <v>478</v>
      </c>
      <c r="B12" s="2" t="s">
        <v>479</v>
      </c>
      <c r="C12" s="2" t="s">
        <v>475</v>
      </c>
      <c r="D12" s="16" t="n">
        <v>0</v>
      </c>
      <c r="E12" s="17" t="n">
        <f aca="false">S1_etp_chef_jardinier*cout_chef_jardinier_fav</f>
        <v>0</v>
      </c>
      <c r="F12" s="17" t="n">
        <f aca="false">S1_etp_chef_jardinier*cout_chef_jardinier</f>
        <v>0</v>
      </c>
      <c r="G12" s="17" t="n">
        <f aca="false">S1_etp_chef_jardinier*cout_chef_jardinier_def</f>
        <v>0</v>
      </c>
      <c r="H12" s="17" t="n">
        <f aca="false">S2_etp_chef_jardinier*cout_chef_jardinier_fav</f>
        <v>44289</v>
      </c>
      <c r="I12" s="17" t="n">
        <f aca="false">S2_etp_chef_jardinier*cout_chef_jardinier</f>
        <v>53470</v>
      </c>
      <c r="J12" s="17" t="n">
        <f aca="false">S2_etp_chef_jardinier*cout_chef_jardinier_def</f>
        <v>62277</v>
      </c>
      <c r="K12" s="17" t="n">
        <f aca="false">S3_etp_chef_jardinier*cout_chef_jardinier_fav</f>
        <v>44289</v>
      </c>
      <c r="L12" s="17" t="n">
        <f aca="false">S3_etp_chef_jardinier*cout_chef_jardinier</f>
        <v>53470</v>
      </c>
      <c r="M12" s="17" t="n">
        <f aca="false">S3_etp_chef_jardinier*cout_chef_jardinier_def</f>
        <v>62277</v>
      </c>
    </row>
    <row r="13" customFormat="false" ht="15" hidden="false" customHeight="false" outlineLevel="0" collapsed="false">
      <c r="A13" s="2" t="s">
        <v>480</v>
      </c>
      <c r="B13" s="2" t="s">
        <v>481</v>
      </c>
      <c r="C13" s="2" t="s">
        <v>475</v>
      </c>
      <c r="D13" s="16" t="n">
        <v>0</v>
      </c>
      <c r="E13" s="17" t="n">
        <f aca="false">S1_etp_jardin*cout_jardinier_fav</f>
        <v>28346</v>
      </c>
      <c r="F13" s="17" t="n">
        <f aca="false">S1_etp_jardin*cout_jardinier</f>
        <v>32531</v>
      </c>
      <c r="G13" s="17" t="n">
        <f aca="false">S1_etp_jardin*cout_jardinier_def</f>
        <v>36566</v>
      </c>
      <c r="H13" s="17" t="n">
        <f aca="false">S2_etp_jardin*cout_jardinier_fav</f>
        <v>56692</v>
      </c>
      <c r="I13" s="17" t="n">
        <f aca="false">S2_etp_jardin*cout_jardinier</f>
        <v>65062</v>
      </c>
      <c r="J13" s="17" t="n">
        <f aca="false">S2_etp_jardin*cout_jardinier_def</f>
        <v>73132</v>
      </c>
      <c r="K13" s="17" t="n">
        <f aca="false">S3_etp_jardin*cout_jardinier_fav</f>
        <v>311806</v>
      </c>
      <c r="L13" s="17" t="n">
        <f aca="false">S3_etp_jardin*cout_jardinier</f>
        <v>357841</v>
      </c>
      <c r="M13" s="17" t="n">
        <f aca="false">S3_etp_jardin*cout_jardinier_def</f>
        <v>402226</v>
      </c>
    </row>
    <row r="14" customFormat="false" ht="15" hidden="false" customHeight="false" outlineLevel="0" collapsed="false">
      <c r="A14" s="2" t="s">
        <v>482</v>
      </c>
      <c r="B14" s="2" t="s">
        <v>483</v>
      </c>
      <c r="C14" s="2" t="s">
        <v>475</v>
      </c>
      <c r="D14" s="16" t="n">
        <v>0</v>
      </c>
      <c r="E14" s="17" t="n">
        <f aca="false">S1_etp_entretien*cout_agent_entretien_fav</f>
        <v>0</v>
      </c>
      <c r="F14" s="17" t="n">
        <f aca="false">S1_etp_entretien*cout_agent_entretien</f>
        <v>0</v>
      </c>
      <c r="G14" s="17" t="n">
        <f aca="false">S1_etp_entretien*cout_agent_entretien_def</f>
        <v>0</v>
      </c>
      <c r="H14" s="17" t="n">
        <f aca="false">S2_etp_entretien*cout_agent_entretien_fav</f>
        <v>32531</v>
      </c>
      <c r="I14" s="17" t="n">
        <f aca="false">S2_etp_entretien*cout_agent_entretien</f>
        <v>36566</v>
      </c>
      <c r="J14" s="17" t="n">
        <f aca="false">S2_etp_entretien*cout_agent_entretien_def</f>
        <v>40479</v>
      </c>
      <c r="K14" s="17" t="n">
        <f aca="false">S3_etp_entretien*cout_agent_entretien_fav</f>
        <v>65062</v>
      </c>
      <c r="L14" s="17" t="n">
        <f aca="false">S3_etp_entretien*cout_agent_entretien</f>
        <v>73132</v>
      </c>
      <c r="M14" s="17" t="n">
        <f aca="false">S3_etp_entretien*cout_agent_entretien_def</f>
        <v>80958</v>
      </c>
    </row>
    <row r="15" customFormat="false" ht="15" hidden="false" customHeight="false" outlineLevel="0" collapsed="false">
      <c r="A15" s="2" t="s">
        <v>484</v>
      </c>
      <c r="B15" s="2" t="s">
        <v>485</v>
      </c>
      <c r="C15" s="2" t="s">
        <v>475</v>
      </c>
      <c r="D15" s="16" t="n">
        <v>0</v>
      </c>
      <c r="E15" s="17" t="n">
        <f aca="false">S1_etp_agricole*cout_ouvrier_agricole_fav</f>
        <v>0</v>
      </c>
      <c r="F15" s="17" t="n">
        <f aca="false">S1_etp_agricole*cout_ouvrier_agricole</f>
        <v>0</v>
      </c>
      <c r="G15" s="17" t="n">
        <f aca="false">S1_etp_agricole*cout_ouvrier_agricole_def</f>
        <v>0</v>
      </c>
      <c r="H15" s="17" t="n">
        <f aca="false">S2_etp_agricole*cout_ouvrier_agricole_fav</f>
        <v>28346</v>
      </c>
      <c r="I15" s="17" t="n">
        <f aca="false">S2_etp_agricole*cout_ouvrier_agricole</f>
        <v>32531</v>
      </c>
      <c r="J15" s="17" t="n">
        <f aca="false">S2_etp_agricole*cout_ouvrier_agricole_def</f>
        <v>36566</v>
      </c>
      <c r="K15" s="17" t="n">
        <f aca="false">S3_etp_agricole*cout_ouvrier_agricole_fav</f>
        <v>56692</v>
      </c>
      <c r="L15" s="17" t="n">
        <f aca="false">S3_etp_agricole*cout_ouvrier_agricole</f>
        <v>65062</v>
      </c>
      <c r="M15" s="17" t="n">
        <f aca="false">S3_etp_agricole*cout_ouvrier_agricole_def</f>
        <v>73132</v>
      </c>
    </row>
    <row r="16" customFormat="false" ht="15" hidden="false" customHeight="false" outlineLevel="0" collapsed="false">
      <c r="A16" s="2" t="s">
        <v>486</v>
      </c>
      <c r="B16" s="2" t="s">
        <v>487</v>
      </c>
      <c r="C16" s="2" t="s">
        <v>475</v>
      </c>
      <c r="D16" s="16" t="n">
        <v>0</v>
      </c>
      <c r="E16" s="17" t="n">
        <f aca="false">S1_etp_soigneur*cout_soigneur_fav</f>
        <v>14311.8</v>
      </c>
      <c r="F16" s="17" t="n">
        <f aca="false">S1_etp_soigneur*cout_soigneur</f>
        <v>14383.8</v>
      </c>
      <c r="G16" s="17" t="n">
        <f aca="false">S1_etp_soigneur*cout_soigneur_def</f>
        <v>16929.6</v>
      </c>
      <c r="H16" s="17" t="n">
        <f aca="false">S2_etp_soigneur*cout_soigneur_fav</f>
        <v>23853</v>
      </c>
      <c r="I16" s="17" t="n">
        <f aca="false">S2_etp_soigneur*cout_soigneur</f>
        <v>23973</v>
      </c>
      <c r="J16" s="17" t="n">
        <f aca="false">S2_etp_soigneur*cout_soigneur_def</f>
        <v>28216</v>
      </c>
      <c r="K16" s="17" t="n">
        <f aca="false">S3_etp_soigneur*cout_soigneur_fav</f>
        <v>35779.5</v>
      </c>
      <c r="L16" s="17" t="n">
        <f aca="false">S3_etp_soigneur*cout_soigneur</f>
        <v>35959.5</v>
      </c>
      <c r="M16" s="17" t="n">
        <f aca="false">S3_etp_soigneur*cout_soigneur_def</f>
        <v>42324</v>
      </c>
    </row>
    <row r="17" customFormat="false" ht="15" hidden="false" customHeight="false" outlineLevel="0" collapsed="false">
      <c r="A17" s="2" t="s">
        <v>488</v>
      </c>
      <c r="B17" s="2" t="s">
        <v>489</v>
      </c>
      <c r="C17" s="2" t="s">
        <v>475</v>
      </c>
      <c r="D17" s="16" t="n">
        <v>0</v>
      </c>
      <c r="E17" s="17" t="n">
        <f aca="false">S1_etp_resp_ecurie*cout_resp_ecurie_fav</f>
        <v>0</v>
      </c>
      <c r="F17" s="17" t="n">
        <f aca="false">S1_etp_resp_ecurie*cout_resp_ecurie</f>
        <v>0</v>
      </c>
      <c r="G17" s="17" t="n">
        <f aca="false">S1_etp_resp_ecurie*cout_resp_ecurie_def</f>
        <v>0</v>
      </c>
      <c r="H17" s="17" t="n">
        <f aca="false">S2_etp_resp_ecurie*cout_resp_ecurie_fav</f>
        <v>36566</v>
      </c>
      <c r="I17" s="17" t="n">
        <f aca="false">S2_etp_resp_ecurie*cout_resp_ecurie</f>
        <v>40479</v>
      </c>
      <c r="J17" s="17" t="n">
        <f aca="false">S2_etp_resp_ecurie*cout_resp_ecurie_def</f>
        <v>44289</v>
      </c>
      <c r="K17" s="17" t="n">
        <f aca="false">S3_etp_resp_ecurie*cout_resp_ecurie_fav</f>
        <v>36566</v>
      </c>
      <c r="L17" s="17" t="n">
        <f aca="false">S3_etp_resp_ecurie*cout_resp_ecurie</f>
        <v>40479</v>
      </c>
      <c r="M17" s="17" t="n">
        <f aca="false">S3_etp_resp_ecurie*cout_resp_ecurie_def</f>
        <v>44289</v>
      </c>
    </row>
    <row r="18" customFormat="false" ht="15" hidden="false" customHeight="false" outlineLevel="0" collapsed="false">
      <c r="A18" s="2" t="s">
        <v>490</v>
      </c>
      <c r="B18" s="2" t="s">
        <v>491</v>
      </c>
      <c r="C18" s="2" t="s">
        <v>475</v>
      </c>
      <c r="D18" s="16" t="n">
        <v>0</v>
      </c>
      <c r="E18" s="17" t="n">
        <f aca="false">S1_etp_gouvernance*S1_cout_gouvernance_fav</f>
        <v>0</v>
      </c>
      <c r="F18" s="17" t="n">
        <f aca="false">S1_etp_gouvernance*S1_cout_gouvernance</f>
        <v>0</v>
      </c>
      <c r="G18" s="17" t="n">
        <f aca="false">S1_etp_gouvernance*S1_cout_gouvernance_def</f>
        <v>0</v>
      </c>
      <c r="H18" s="17" t="n">
        <f aca="false">S2_etp_gouvernance*S2_cout_gouvernance_fav</f>
        <v>37863</v>
      </c>
      <c r="I18" s="17" t="n">
        <f aca="false">S2_etp_gouvernance*S2_cout_gouvernance</f>
        <v>40776</v>
      </c>
      <c r="J18" s="17" t="n">
        <f aca="false">S2_etp_gouvernance*S2_cout_gouvernance_def</f>
        <v>43688</v>
      </c>
      <c r="K18" s="17" t="n">
        <f aca="false">S3_etp_gouvernance*S3_cout_gouvernance_fav</f>
        <v>100000</v>
      </c>
      <c r="L18" s="17" t="n">
        <f aca="false">S3_etp_gouvernance*S3_cout_gouvernance</f>
        <v>116502</v>
      </c>
      <c r="M18" s="17" t="n">
        <f aca="false">S3_etp_gouvernance*S3_cout_gouvernance_def</f>
        <v>132000</v>
      </c>
    </row>
    <row r="19" customFormat="false" ht="15" hidden="false" customHeight="false" outlineLevel="0" collapsed="false">
      <c r="A19" s="2" t="s">
        <v>492</v>
      </c>
      <c r="B19" s="2" t="s">
        <v>493</v>
      </c>
      <c r="C19" s="2" t="s">
        <v>475</v>
      </c>
      <c r="D19" s="16" t="n">
        <v>0</v>
      </c>
      <c r="E19" s="17" t="n">
        <f aca="false">S1_etp_maison*cout_maison_fav</f>
        <v>14562.5</v>
      </c>
      <c r="F19" s="17" t="n">
        <f aca="false">S1_etp_maison*cout_maison</f>
        <v>16019</v>
      </c>
      <c r="G19" s="17" t="n">
        <f aca="false">S1_etp_maison*cout_maison_def</f>
        <v>17475</v>
      </c>
      <c r="H19" s="17" t="n">
        <f aca="false">S2_etp_maison*cout_maison_fav</f>
        <v>29125</v>
      </c>
      <c r="I19" s="17" t="n">
        <f aca="false">S2_etp_maison*cout_maison</f>
        <v>32038</v>
      </c>
      <c r="J19" s="17" t="n">
        <f aca="false">S2_etp_maison*cout_maison_def</f>
        <v>34950</v>
      </c>
      <c r="K19" s="17" t="n">
        <f aca="false">S3_etp_maison*cout_maison_fav</f>
        <v>58250</v>
      </c>
      <c r="L19" s="17" t="n">
        <f aca="false">S3_etp_maison*cout_maison</f>
        <v>64076</v>
      </c>
      <c r="M19" s="17" t="n">
        <f aca="false">S3_etp_maison*cout_maison_def</f>
        <v>69900</v>
      </c>
    </row>
    <row r="20" customFormat="false" ht="15" hidden="false" customHeight="false" outlineLevel="0" collapsed="false">
      <c r="A20" s="2" t="s">
        <v>494</v>
      </c>
      <c r="B20" s="2" t="s">
        <v>495</v>
      </c>
      <c r="C20" s="2" t="s">
        <v>496</v>
      </c>
      <c r="D20" s="16" t="n">
        <v>0.2</v>
      </c>
      <c r="E20" s="17" t="n">
        <f aca="false">S1_ha_jardins*jardin_ha_fav</f>
        <v>1500</v>
      </c>
      <c r="F20" s="17" t="n">
        <f aca="false">S1_ha_jardins*jardin_ha</f>
        <v>2500</v>
      </c>
      <c r="G20" s="17" t="n">
        <f aca="false">S1_ha_jardins*jardin_ha_def</f>
        <v>4000</v>
      </c>
      <c r="H20" s="17" t="n">
        <f aca="false">S2_ha_jardins*jardin_ha_fav</f>
        <v>6000</v>
      </c>
      <c r="I20" s="17" t="n">
        <f aca="false">S2_ha_jardins*jardin_ha</f>
        <v>10000</v>
      </c>
      <c r="J20" s="17" t="n">
        <f aca="false">S2_ha_jardins*jardin_ha_def</f>
        <v>16000</v>
      </c>
      <c r="K20" s="17" t="n">
        <f aca="false">S3_ha_jardins*jardin_ha_fav</f>
        <v>30000</v>
      </c>
      <c r="L20" s="17" t="n">
        <f aca="false">S3_ha_jardins*jardin_ha</f>
        <v>50000</v>
      </c>
      <c r="M20" s="17" t="n">
        <f aca="false">S3_ha_jardins*jardin_ha_def</f>
        <v>80000</v>
      </c>
    </row>
    <row r="21" customFormat="false" ht="15" hidden="false" customHeight="false" outlineLevel="0" collapsed="false">
      <c r="A21" s="2" t="s">
        <v>497</v>
      </c>
      <c r="B21" s="2" t="s">
        <v>498</v>
      </c>
      <c r="C21" s="2" t="s">
        <v>496</v>
      </c>
      <c r="D21" s="16" t="n">
        <v>0.2</v>
      </c>
      <c r="E21" s="17" t="n">
        <f aca="false">S1_ha_parc*parc_ha_fav</f>
        <v>1250</v>
      </c>
      <c r="F21" s="17" t="n">
        <f aca="false">S1_ha_parc*parc_ha</f>
        <v>2000</v>
      </c>
      <c r="G21" s="17" t="n">
        <f aca="false">S1_ha_parc*parc_ha_def</f>
        <v>3750</v>
      </c>
      <c r="H21" s="17" t="n">
        <f aca="false">S2_ha_parc*parc_ha_fav</f>
        <v>4000</v>
      </c>
      <c r="I21" s="17" t="n">
        <f aca="false">S2_ha_parc*parc_ha</f>
        <v>6400</v>
      </c>
      <c r="J21" s="17" t="n">
        <f aca="false">S2_ha_parc*parc_ha_def</f>
        <v>12000</v>
      </c>
      <c r="K21" s="17" t="n">
        <f aca="false">S3_ha_parc*parc_ha_fav</f>
        <v>25000</v>
      </c>
      <c r="L21" s="17" t="n">
        <f aca="false">S3_ha_parc*parc_ha</f>
        <v>40000</v>
      </c>
      <c r="M21" s="17" t="n">
        <f aca="false">S3_ha_parc*parc_ha_def</f>
        <v>75000</v>
      </c>
    </row>
    <row r="22" customFormat="false" ht="15" hidden="false" customHeight="false" outlineLevel="0" collapsed="false">
      <c r="A22" s="2" t="s">
        <v>499</v>
      </c>
      <c r="B22" s="2" t="s">
        <v>500</v>
      </c>
      <c r="C22" s="2" t="s">
        <v>496</v>
      </c>
      <c r="D22" s="16" t="n">
        <v>0.2</v>
      </c>
      <c r="E22" s="17" t="n">
        <f aca="false">S1_ha_prairies*prairie_ha_fav</f>
        <v>4200</v>
      </c>
      <c r="F22" s="17" t="n">
        <f aca="false">S1_ha_prairies*prairie_ha</f>
        <v>6300</v>
      </c>
      <c r="G22" s="17" t="n">
        <f aca="false">S1_ha_prairies*prairie_ha_def</f>
        <v>8750</v>
      </c>
      <c r="H22" s="17" t="n">
        <f aca="false">S2_ha_prairies*prairie_ha_fav</f>
        <v>9600</v>
      </c>
      <c r="I22" s="17" t="n">
        <f aca="false">S2_ha_prairies*prairie_ha</f>
        <v>14400</v>
      </c>
      <c r="J22" s="17" t="n">
        <f aca="false">S2_ha_prairies*prairie_ha_def</f>
        <v>20000</v>
      </c>
      <c r="K22" s="17" t="n">
        <f aca="false">S3_ha_prairies*prairie_ha_fav</f>
        <v>14400</v>
      </c>
      <c r="L22" s="17" t="n">
        <f aca="false">S3_ha_prairies*prairie_ha</f>
        <v>21600</v>
      </c>
      <c r="M22" s="17" t="n">
        <f aca="false">S3_ha_prairies*prairie_ha_def</f>
        <v>30000</v>
      </c>
    </row>
    <row r="23" customFormat="false" ht="15" hidden="false" customHeight="false" outlineLevel="0" collapsed="false">
      <c r="A23" s="2" t="s">
        <v>501</v>
      </c>
      <c r="B23" s="2" t="s">
        <v>502</v>
      </c>
      <c r="C23" s="2" t="s">
        <v>496</v>
      </c>
      <c r="D23" s="16" t="n">
        <v>0.2</v>
      </c>
      <c r="E23" s="17" t="n">
        <f aca="false">S1_ml_clotures*cloture_ml_fav/cloture_vie_fav</f>
        <v>2400</v>
      </c>
      <c r="F23" s="17" t="n">
        <f aca="false">S1_ml_clotures*cloture_ml/cloture_vie</f>
        <v>5250</v>
      </c>
      <c r="G23" s="17" t="n">
        <f aca="false">S1_ml_clotures*cloture_ml_def/cloture_vie_def</f>
        <v>12000</v>
      </c>
      <c r="H23" s="17" t="n">
        <f aca="false">S2_ml_clotures*cloture_ml_fav/cloture_vie_fav</f>
        <v>5600</v>
      </c>
      <c r="I23" s="17" t="n">
        <f aca="false">S2_ml_clotures*cloture_ml/cloture_vie</f>
        <v>12250</v>
      </c>
      <c r="J23" s="17" t="n">
        <f aca="false">S2_ml_clotures*cloture_ml_def/cloture_vie_def</f>
        <v>28000</v>
      </c>
      <c r="K23" s="17" t="n">
        <f aca="false">S3_ml_clotures*cloture_ml_fav/cloture_vie_fav</f>
        <v>8000</v>
      </c>
      <c r="L23" s="17" t="n">
        <f aca="false">S3_ml_clotures*cloture_ml/cloture_vie</f>
        <v>17500</v>
      </c>
      <c r="M23" s="17" t="n">
        <f aca="false">S3_ml_clotures*cloture_ml_def/cloture_vie_def</f>
        <v>40000</v>
      </c>
    </row>
    <row r="24" customFormat="false" ht="15" hidden="false" customHeight="false" outlineLevel="0" collapsed="false">
      <c r="A24" s="2" t="s">
        <v>503</v>
      </c>
      <c r="B24" s="2" t="s">
        <v>504</v>
      </c>
      <c r="C24" s="2" t="s">
        <v>496</v>
      </c>
      <c r="D24" s="16" t="n">
        <v>0.2</v>
      </c>
      <c r="E24" s="17" t="n">
        <f aca="false">S1_ha_bois*bois_cout_ha_fav</f>
        <v>180</v>
      </c>
      <c r="F24" s="17" t="n">
        <f aca="false">S1_ha_bois*bois_cout_ha</f>
        <v>360</v>
      </c>
      <c r="G24" s="17" t="n">
        <f aca="false">S1_ha_bois*bois_cout_ha_def</f>
        <v>720</v>
      </c>
      <c r="H24" s="17" t="n">
        <f aca="false">S2_ha_bois*bois_cout_ha_fav</f>
        <v>450</v>
      </c>
      <c r="I24" s="17" t="n">
        <f aca="false">S2_ha_bois*bois_cout_ha</f>
        <v>900</v>
      </c>
      <c r="J24" s="17" t="n">
        <f aca="false">S2_ha_bois*bois_cout_ha_def</f>
        <v>1800</v>
      </c>
      <c r="K24" s="17" t="n">
        <f aca="false">S3_ha_bois*bois_cout_ha_fav</f>
        <v>1800</v>
      </c>
      <c r="L24" s="17" t="n">
        <f aca="false">S3_ha_bois*bois_cout_ha</f>
        <v>3600</v>
      </c>
      <c r="M24" s="17" t="n">
        <f aca="false">S3_ha_bois*bois_cout_ha_def</f>
        <v>7200</v>
      </c>
    </row>
    <row r="25" customFormat="false" ht="15" hidden="false" customHeight="false" outlineLevel="0" collapsed="false">
      <c r="A25" s="2" t="s">
        <v>505</v>
      </c>
      <c r="B25" s="2" t="s">
        <v>506</v>
      </c>
      <c r="C25" s="2" t="s">
        <v>507</v>
      </c>
      <c r="D25" s="16" t="n">
        <v>0.2</v>
      </c>
      <c r="E25" s="17" t="n">
        <f aca="false">S1_valeur_equip/equip_vie_fav</f>
        <v>14166.6666666667</v>
      </c>
      <c r="F25" s="17" t="n">
        <f aca="false">S1_valeur_equip/equip_vie</f>
        <v>17000</v>
      </c>
      <c r="G25" s="17" t="n">
        <f aca="false">S1_valeur_equip/equip_vie_def</f>
        <v>21250</v>
      </c>
      <c r="H25" s="17" t="n">
        <f aca="false">S2_valeur_equip/equip_vie_fav</f>
        <v>41666.6666666667</v>
      </c>
      <c r="I25" s="17" t="n">
        <f aca="false">S2_valeur_equip/equip_vie</f>
        <v>50000</v>
      </c>
      <c r="J25" s="17" t="n">
        <f aca="false">S2_valeur_equip/equip_vie_def</f>
        <v>62500</v>
      </c>
      <c r="K25" s="17" t="n">
        <f aca="false">S3_valeur_equip/equip_vie_fav</f>
        <v>55416.6666666667</v>
      </c>
      <c r="L25" s="17" t="n">
        <f aca="false">S3_valeur_equip/equip_vie</f>
        <v>66500</v>
      </c>
      <c r="M25" s="17" t="n">
        <f aca="false">S3_valeur_equip/equip_vie_def</f>
        <v>83125</v>
      </c>
    </row>
    <row r="26" customFormat="false" ht="15" hidden="false" customHeight="false" outlineLevel="0" collapsed="false">
      <c r="A26" s="2" t="s">
        <v>508</v>
      </c>
      <c r="B26" s="2" t="s">
        <v>509</v>
      </c>
      <c r="C26" s="2" t="s">
        <v>507</v>
      </c>
      <c r="D26" s="16" t="n">
        <v>0.2</v>
      </c>
      <c r="E26" s="17" t="n">
        <f aca="false">S1_valeur_equip*equip_entretien_taux_fav</f>
        <v>6800</v>
      </c>
      <c r="F26" s="17" t="n">
        <f aca="false">S1_valeur_equip*equip_entretien_taux</f>
        <v>10200</v>
      </c>
      <c r="G26" s="17" t="n">
        <f aca="false">S1_valeur_equip*equip_entretien_taux_def</f>
        <v>13600</v>
      </c>
      <c r="H26" s="17" t="n">
        <f aca="false">S2_valeur_equip*equip_entretien_taux_fav</f>
        <v>20000</v>
      </c>
      <c r="I26" s="17" t="n">
        <f aca="false">S2_valeur_equip*equip_entretien_taux</f>
        <v>30000</v>
      </c>
      <c r="J26" s="17" t="n">
        <f aca="false">S2_valeur_equip*equip_entretien_taux_def</f>
        <v>40000</v>
      </c>
      <c r="K26" s="17" t="n">
        <f aca="false">S3_valeur_equip*equip_entretien_taux_fav</f>
        <v>26600</v>
      </c>
      <c r="L26" s="17" t="n">
        <f aca="false">S3_valeur_equip*equip_entretien_taux</f>
        <v>39900</v>
      </c>
      <c r="M26" s="17" t="n">
        <f aca="false">S3_valeur_equip*equip_entretien_taux_def</f>
        <v>53200</v>
      </c>
    </row>
    <row r="27" customFormat="false" ht="15" hidden="false" customHeight="false" outlineLevel="0" collapsed="false">
      <c r="A27" s="2" t="s">
        <v>320</v>
      </c>
      <c r="B27" s="2" t="s">
        <v>510</v>
      </c>
      <c r="C27" s="2" t="s">
        <v>511</v>
      </c>
      <c r="D27" s="16" t="n">
        <v>0.2</v>
      </c>
      <c r="E27" s="17" t="n">
        <f aca="false">S1_nb_chevaux*cheval_an_fav</f>
        <v>11600</v>
      </c>
      <c r="F27" s="17" t="n">
        <f aca="false">S1_nb_chevaux*cheval_an</f>
        <v>16000</v>
      </c>
      <c r="G27" s="17" t="n">
        <f aca="false">S1_nb_chevaux*cheval_an_def</f>
        <v>22000</v>
      </c>
      <c r="H27" s="17" t="n">
        <f aca="false">S2_nb_chevaux*cheval_an_fav</f>
        <v>23200</v>
      </c>
      <c r="I27" s="17" t="n">
        <f aca="false">S2_nb_chevaux*cheval_an</f>
        <v>32000</v>
      </c>
      <c r="J27" s="17" t="n">
        <f aca="false">S2_nb_chevaux*cheval_an_def</f>
        <v>44000</v>
      </c>
      <c r="K27" s="17" t="n">
        <f aca="false">S3_nb_chevaux*cheval_an_fav</f>
        <v>34800</v>
      </c>
      <c r="L27" s="17" t="n">
        <f aca="false">S3_nb_chevaux*cheval_an</f>
        <v>48000</v>
      </c>
      <c r="M27" s="17" t="n">
        <f aca="false">S3_nb_chevaux*cheval_an_def</f>
        <v>66000</v>
      </c>
    </row>
    <row r="28" customFormat="false" ht="15" hidden="false" customHeight="false" outlineLevel="0" collapsed="false">
      <c r="A28" s="2" t="s">
        <v>512</v>
      </c>
      <c r="B28" s="2" t="s">
        <v>513</v>
      </c>
      <c r="C28" s="2" t="s">
        <v>511</v>
      </c>
      <c r="D28" s="16" t="n">
        <v>0.2</v>
      </c>
      <c r="E28" s="17" t="n">
        <f aca="false">S1_surf_pistes*sol_cout_m2_fav/sol_vie_fav+S1_nb_boxes*box_entretien_fav+S1_surf_manege*manege_cout_m2_fav/manege_vie_fav</f>
        <v>4800</v>
      </c>
      <c r="F28" s="17" t="n">
        <f aca="false">S1_surf_pistes*sol_cout_m2/sol_vie+S1_nb_boxes*box_entretien+S1_surf_manege*manege_cout_m2/manege_vie</f>
        <v>8160</v>
      </c>
      <c r="G28" s="17" t="n">
        <f aca="false">S1_surf_pistes*sol_cout_m2_def/sol_vie_def+S1_nb_boxes*box_entretien_def+S1_surf_manege*manege_cout_m2_def/manege_vie_def</f>
        <v>14850</v>
      </c>
      <c r="H28" s="17" t="n">
        <f aca="false">S2_surf_pistes*sol_cout_m2_fav/sol_vie_fav+S2_nb_boxes*box_entretien_fav+S2_surf_manege*manege_cout_m2_fav/manege_vie_fav</f>
        <v>23161.9047619048</v>
      </c>
      <c r="I28" s="17" t="n">
        <f aca="false">S2_surf_pistes*sol_cout_m2/sol_vie+S2_nb_boxes*box_entretien+S2_surf_manege*manege_cout_m2/manege_vie</f>
        <v>37520</v>
      </c>
      <c r="J28" s="17" t="n">
        <f aca="false">S2_surf_pistes*sol_cout_m2_def/sol_vie_def+S2_nb_boxes*box_entretien_def+S2_surf_manege*manege_cout_m2_def/manege_vie_def</f>
        <v>66975</v>
      </c>
      <c r="K28" s="17" t="n">
        <f aca="false">S3_surf_pistes*sol_cout_m2_fav/sol_vie_fav+S3_nb_boxes*box_entretien_fav+S3_surf_manege*manege_cout_m2_fav/manege_vie_fav</f>
        <v>26428.5714285714</v>
      </c>
      <c r="L28" s="17" t="n">
        <f aca="false">S3_surf_pistes*sol_cout_m2/sol_vie+S3_nb_boxes*box_entretien+S3_surf_manege*manege_cout_m2/manege_vie</f>
        <v>43000</v>
      </c>
      <c r="M28" s="17" t="n">
        <f aca="false">S3_surf_pistes*sol_cout_m2_def/sol_vie_def+S3_nb_boxes*box_entretien_def+S3_surf_manege*manege_cout_m2_def/manege_vie_def</f>
        <v>76875</v>
      </c>
    </row>
    <row r="29" customFormat="false" ht="15" hidden="false" customHeight="false" outlineLevel="0" collapsed="false">
      <c r="A29" s="2" t="s">
        <v>514</v>
      </c>
      <c r="B29" s="2" t="s">
        <v>515</v>
      </c>
      <c r="C29" s="2" t="s">
        <v>516</v>
      </c>
      <c r="D29" s="16" t="n">
        <v>0.2</v>
      </c>
      <c r="E29" s="17" t="n">
        <f aca="false">S1_surf_chauffee_fav*chauffage_kwh_m2_fav*prix_chaleur_kwh_fav</f>
        <v>5250</v>
      </c>
      <c r="F29" s="17" t="n">
        <f aca="false">S1_surf_chauffee*chauffage_kwh_m2*prix_chaleur_kwh</f>
        <v>14850</v>
      </c>
      <c r="G29" s="17" t="n">
        <f aca="false">S1_surf_chauffee_def*chauffage_kwh_m2_def*prix_chaleur_kwh_def</f>
        <v>33600</v>
      </c>
      <c r="H29" s="17" t="n">
        <f aca="false">S2_surf_chauffee_fav*chauffage_kwh_m2_fav*prix_chaleur_kwh_fav</f>
        <v>12000</v>
      </c>
      <c r="I29" s="17" t="n">
        <f aca="false">S2_surf_chauffee*chauffage_kwh_m2*prix_chaleur_kwh</f>
        <v>33000</v>
      </c>
      <c r="J29" s="17" t="n">
        <f aca="false">S2_surf_chauffee_def*chauffage_kwh_m2_def*prix_chaleur_kwh_def</f>
        <v>72000</v>
      </c>
      <c r="K29" s="17" t="n">
        <f aca="false">S3_surf_chauffee_fav*chauffage_kwh_m2_fav*prix_chaleur_kwh_fav</f>
        <v>20250</v>
      </c>
      <c r="L29" s="17" t="n">
        <f aca="false">S3_surf_chauffee*chauffage_kwh_m2*prix_chaleur_kwh</f>
        <v>59400</v>
      </c>
      <c r="M29" s="17" t="n">
        <f aca="false">S3_surf_chauffee_def*chauffage_kwh_m2_def*prix_chaleur_kwh_def</f>
        <v>135000</v>
      </c>
    </row>
    <row r="30" customFormat="false" ht="15" hidden="false" customHeight="false" outlineLevel="0" collapsed="false">
      <c r="A30" s="2" t="s">
        <v>517</v>
      </c>
      <c r="B30" s="2" t="s">
        <v>518</v>
      </c>
      <c r="C30" s="2" t="s">
        <v>516</v>
      </c>
      <c r="D30" s="16" t="n">
        <v>0.2</v>
      </c>
      <c r="E30" s="17" t="n">
        <f aca="false">MAX(0,S1_surf_chateau-S1_surf_chauffee_fav)*horsgel_kwh_m2_fav*prix_chaleur_kwh_fav</f>
        <v>825</v>
      </c>
      <c r="F30" s="17" t="n">
        <f aca="false">MAX(0,S1_surf_chateau-S1_surf_chauffee)*horsgel_kwh_m2*prix_chaleur_kwh</f>
        <v>2025</v>
      </c>
      <c r="G30" s="17" t="n">
        <f aca="false">MAX(0,S1_surf_chateau-S1_surf_chauffee_def)*horsgel_kwh_m2_def*prix_chaleur_kwh_def</f>
        <v>3400</v>
      </c>
      <c r="H30" s="17" t="n">
        <f aca="false">MAX(0,S2_surf_chateau-S2_surf_chauffee_fav)*horsgel_kwh_m2_fav*prix_chaleur_kwh_fav</f>
        <v>1800</v>
      </c>
      <c r="I30" s="17" t="n">
        <f aca="false">MAX(0,S2_surf_chateau-S2_surf_chauffee)*horsgel_kwh_m2*prix_chaleur_kwh</f>
        <v>4500</v>
      </c>
      <c r="J30" s="17" t="n">
        <f aca="false">MAX(0,S2_surf_chateau-S2_surf_chauffee_def)*horsgel_kwh_m2_def*prix_chaleur_kwh_def</f>
        <v>8000</v>
      </c>
      <c r="K30" s="17" t="n">
        <f aca="false">MAX(0,S3_surf_chateau-S3_surf_chauffee_fav)*horsgel_kwh_m2_fav*prix_chaleur_kwh_fav</f>
        <v>4725</v>
      </c>
      <c r="L30" s="17" t="n">
        <f aca="false">MAX(0,S3_surf_chateau-S3_surf_chauffee)*horsgel_kwh_m2*prix_chaleur_kwh</f>
        <v>12150</v>
      </c>
      <c r="M30" s="17" t="n">
        <f aca="false">MAX(0,S3_surf_chateau-S3_surf_chauffee_def)*horsgel_kwh_m2_def*prix_chaleur_kwh_def</f>
        <v>22500</v>
      </c>
    </row>
    <row r="31" customFormat="false" ht="15" hidden="false" customHeight="false" outlineLevel="0" collapsed="false">
      <c r="A31" s="2" t="s">
        <v>519</v>
      </c>
      <c r="B31" s="2" t="s">
        <v>520</v>
      </c>
      <c r="C31" s="2" t="s">
        <v>516</v>
      </c>
      <c r="D31" s="16" t="n">
        <v>0.2</v>
      </c>
      <c r="E31" s="17" t="n">
        <f aca="false">S1_elec_kwh_fav*prix_elec_kwh_fav</f>
        <v>3000</v>
      </c>
      <c r="F31" s="17" t="n">
        <f aca="false">S1_elec_kwh*prix_elec_kwh</f>
        <v>4760</v>
      </c>
      <c r="G31" s="17" t="n">
        <f aca="false">S1_elec_kwh_def*prix_elec_kwh_def</f>
        <v>8400</v>
      </c>
      <c r="H31" s="17" t="n">
        <f aca="false">S2_elec_kwh_fav*prix_elec_kwh_fav</f>
        <v>8000</v>
      </c>
      <c r="I31" s="17" t="n">
        <f aca="false">S2_elec_kwh*prix_elec_kwh</f>
        <v>14280</v>
      </c>
      <c r="J31" s="17" t="n">
        <f aca="false">S2_elec_kwh_def*prix_elec_kwh_def</f>
        <v>25200</v>
      </c>
      <c r="K31" s="17" t="n">
        <f aca="false">S3_elec_kwh_fav*prix_elec_kwh_fav</f>
        <v>20000</v>
      </c>
      <c r="L31" s="17" t="n">
        <f aca="false">S3_elec_kwh*prix_elec_kwh</f>
        <v>35700</v>
      </c>
      <c r="M31" s="17" t="n">
        <f aca="false">S3_elec_kwh_def*prix_elec_kwh_def</f>
        <v>61600</v>
      </c>
    </row>
    <row r="32" customFormat="false" ht="15" hidden="false" customHeight="false" outlineLevel="0" collapsed="false">
      <c r="A32" s="2" t="s">
        <v>521</v>
      </c>
      <c r="B32" s="2" t="s">
        <v>522</v>
      </c>
      <c r="C32" s="2" t="s">
        <v>516</v>
      </c>
      <c r="D32" s="16" t="n">
        <v>0.1</v>
      </c>
      <c r="E32" s="17" t="n">
        <f aca="false">S1_eau_fav</f>
        <v>1500</v>
      </c>
      <c r="F32" s="17" t="n">
        <f aca="false">S1_eau</f>
        <v>2500</v>
      </c>
      <c r="G32" s="17" t="n">
        <f aca="false">S1_eau_def</f>
        <v>4000</v>
      </c>
      <c r="H32" s="17" t="n">
        <f aca="false">S2_eau_fav</f>
        <v>4000</v>
      </c>
      <c r="I32" s="17" t="n">
        <f aca="false">S2_eau</f>
        <v>7000</v>
      </c>
      <c r="J32" s="17" t="n">
        <f aca="false">S2_eau_def</f>
        <v>12000</v>
      </c>
      <c r="K32" s="17" t="n">
        <f aca="false">S3_eau_fav</f>
        <v>10000</v>
      </c>
      <c r="L32" s="17" t="n">
        <f aca="false">S3_eau</f>
        <v>18000</v>
      </c>
      <c r="M32" s="17" t="n">
        <f aca="false">S3_eau_def</f>
        <v>30000</v>
      </c>
    </row>
    <row r="33" customFormat="false" ht="15" hidden="false" customHeight="false" outlineLevel="0" collapsed="false">
      <c r="A33" s="2" t="s">
        <v>523</v>
      </c>
      <c r="B33" s="2" t="s">
        <v>524</v>
      </c>
      <c r="C33" s="2" t="s">
        <v>525</v>
      </c>
      <c r="D33" s="16" t="n">
        <v>0</v>
      </c>
      <c r="E33" s="17" t="n">
        <f aca="false">E5*assurance_taux_fav</f>
        <v>4104</v>
      </c>
      <c r="F33" s="17" t="n">
        <f aca="false">F5*assurance_taux</f>
        <v>10800</v>
      </c>
      <c r="G33" s="17" t="n">
        <f aca="false">G5*assurance_taux_def</f>
        <v>25200</v>
      </c>
      <c r="H33" s="17" t="n">
        <f aca="false">H5*assurance_taux_fav</f>
        <v>12600</v>
      </c>
      <c r="I33" s="17" t="n">
        <f aca="false">I5*assurance_taux</f>
        <v>36075</v>
      </c>
      <c r="J33" s="17" t="n">
        <f aca="false">J5*assurance_taux_def</f>
        <v>87500</v>
      </c>
      <c r="K33" s="17" t="n">
        <f aca="false">K5*assurance_taux_fav</f>
        <v>45750</v>
      </c>
      <c r="L33" s="17" t="n">
        <f aca="false">L5*assurance_taux</f>
        <v>136500</v>
      </c>
      <c r="M33" s="17" t="n">
        <f aca="false">M5*assurance_taux_def</f>
        <v>345000</v>
      </c>
    </row>
    <row r="34" customFormat="false" ht="15" hidden="false" customHeight="false" outlineLevel="0" collapsed="false">
      <c r="A34" s="2" t="s">
        <v>526</v>
      </c>
      <c r="B34" s="2" t="s">
        <v>527</v>
      </c>
      <c r="C34" s="2" t="s">
        <v>525</v>
      </c>
      <c r="D34" s="16" t="n">
        <v>0</v>
      </c>
      <c r="E34" s="17" t="n">
        <f aca="false">S1_assurances_autres_fav</f>
        <v>2000</v>
      </c>
      <c r="F34" s="17" t="n">
        <f aca="false">S1_assurances_autres</f>
        <v>3500</v>
      </c>
      <c r="G34" s="17" t="n">
        <f aca="false">S1_assurances_autres_def</f>
        <v>6000</v>
      </c>
      <c r="H34" s="17" t="n">
        <f aca="false">S2_assurances_autres_fav</f>
        <v>5000</v>
      </c>
      <c r="I34" s="17" t="n">
        <f aca="false">S2_assurances_autres</f>
        <v>9000</v>
      </c>
      <c r="J34" s="17" t="n">
        <f aca="false">S2_assurances_autres_def</f>
        <v>15000</v>
      </c>
      <c r="K34" s="17" t="n">
        <f aca="false">S3_assurances_autres_fav</f>
        <v>12000</v>
      </c>
      <c r="L34" s="17" t="n">
        <f aca="false">S3_assurances_autres</f>
        <v>20000</v>
      </c>
      <c r="M34" s="17" t="n">
        <f aca="false">S3_assurances_autres_def</f>
        <v>35000</v>
      </c>
    </row>
    <row r="35" customFormat="false" ht="15" hidden="false" customHeight="false" outlineLevel="0" collapsed="false">
      <c r="A35" s="2" t="s">
        <v>528</v>
      </c>
      <c r="B35" s="2" t="s">
        <v>529</v>
      </c>
      <c r="C35" s="2" t="s">
        <v>530</v>
      </c>
      <c r="D35" s="16" t="n">
        <v>0</v>
      </c>
      <c r="E35" s="17" t="n">
        <f aca="false">S1_surf_chateau*tf_chateau_m2_fav+S1_surf_dep*tf_dep_m2_fav</f>
        <v>3300</v>
      </c>
      <c r="F35" s="17" t="n">
        <f aca="false">S1_surf_chateau*tf_chateau_m2+S1_surf_dep*tf_dep_m2</f>
        <v>6600</v>
      </c>
      <c r="G35" s="17" t="n">
        <f aca="false">S1_surf_chateau*tf_chateau_m2_def+S1_surf_dep*tf_dep_m2_def</f>
        <v>10800</v>
      </c>
      <c r="H35" s="17" t="n">
        <f aca="false">S2_surf_chateau*tf_chateau_m2_fav+S2_surf_dep*tf_dep_m2_fav</f>
        <v>8500</v>
      </c>
      <c r="I35" s="17" t="n">
        <f aca="false">S2_surf_chateau*tf_chateau_m2+S2_surf_dep*tf_dep_m2</f>
        <v>17000</v>
      </c>
      <c r="J35" s="17" t="n">
        <f aca="false">S2_surf_chateau*tf_chateau_m2_def+S2_surf_dep*tf_dep_m2_def</f>
        <v>27500</v>
      </c>
      <c r="K35" s="17" t="n">
        <f aca="false">S3_surf_chateau*tf_chateau_m2_fav+S3_surf_dep*tf_dep_m2_fav</f>
        <v>17500</v>
      </c>
      <c r="L35" s="17" t="n">
        <f aca="false">S3_surf_chateau*tf_chateau_m2+S3_surf_dep*tf_dep_m2</f>
        <v>35000</v>
      </c>
      <c r="M35" s="17" t="n">
        <f aca="false">S3_surf_chateau*tf_chateau_m2_def+S3_surf_dep*tf_dep_m2_def</f>
        <v>57000</v>
      </c>
    </row>
    <row r="36" customFormat="false" ht="15" hidden="false" customHeight="false" outlineLevel="0" collapsed="false">
      <c r="A36" s="2" t="s">
        <v>531</v>
      </c>
      <c r="B36" s="2" t="s">
        <v>532</v>
      </c>
      <c r="C36" s="2" t="s">
        <v>530</v>
      </c>
      <c r="D36" s="16" t="n">
        <v>0</v>
      </c>
      <c r="E36" s="17" t="n">
        <f aca="false">(S1_ha_prairies+S1_ha_bois+S1_ha_parc+S1_ha_jardins)*tfnb_ha_fav</f>
        <v>300</v>
      </c>
      <c r="F36" s="17" t="n">
        <f aca="false">(S1_ha_prairies+S1_ha_bois+S1_ha_parc+S1_ha_jardins)*tfnb_ha</f>
        <v>600</v>
      </c>
      <c r="G36" s="17" t="n">
        <f aca="false">(S1_ha_prairies+S1_ha_bois+S1_ha_parc+S1_ha_jardins)*tfnb_ha_def</f>
        <v>1250</v>
      </c>
      <c r="H36" s="17" t="n">
        <f aca="false">(S2_ha_prairies+S2_ha_bois+S2_ha_parc+S2_ha_jardins)*tfnb_ha_fav</f>
        <v>720</v>
      </c>
      <c r="I36" s="17" t="n">
        <f aca="false">(S2_ha_prairies+S2_ha_bois+S2_ha_parc+S2_ha_jardins)*tfnb_ha</f>
        <v>1440</v>
      </c>
      <c r="J36" s="17" t="n">
        <f aca="false">(S2_ha_prairies+S2_ha_bois+S2_ha_parc+S2_ha_jardins)*tfnb_ha_def</f>
        <v>3000</v>
      </c>
      <c r="K36" s="17" t="n">
        <f aca="false">(S3_ha_prairies+S3_ha_bois+S3_ha_parc+S3_ha_jardins)*tfnb_ha_fav</f>
        <v>1800</v>
      </c>
      <c r="L36" s="17" t="n">
        <f aca="false">(S3_ha_prairies+S3_ha_bois+S3_ha_parc+S3_ha_jardins)*tfnb_ha</f>
        <v>3600</v>
      </c>
      <c r="M36" s="17" t="n">
        <f aca="false">(S3_ha_prairies+S3_ha_bois+S3_ha_parc+S3_ha_jardins)*tfnb_ha_def</f>
        <v>7500</v>
      </c>
    </row>
    <row r="37" customFormat="false" ht="15" hidden="false" customHeight="false" outlineLevel="0" collapsed="false">
      <c r="A37" s="2" t="s">
        <v>533</v>
      </c>
      <c r="B37" s="2" t="s">
        <v>534</v>
      </c>
      <c r="C37" s="2" t="s">
        <v>535</v>
      </c>
      <c r="D37" s="16" t="n">
        <v>0.2</v>
      </c>
      <c r="E37" s="17" t="n">
        <f aca="false">S1_admin_fav</f>
        <v>4000</v>
      </c>
      <c r="F37" s="17" t="n">
        <f aca="false">S1_admin</f>
        <v>7000</v>
      </c>
      <c r="G37" s="17" t="n">
        <f aca="false">S1_admin_def</f>
        <v>12000</v>
      </c>
      <c r="H37" s="17" t="n">
        <f aca="false">S2_admin_fav</f>
        <v>15000</v>
      </c>
      <c r="I37" s="17" t="n">
        <f aca="false">S2_admin</f>
        <v>25000</v>
      </c>
      <c r="J37" s="17" t="n">
        <f aca="false">S2_admin_def</f>
        <v>40000</v>
      </c>
      <c r="K37" s="17" t="n">
        <f aca="false">S3_admin_fav</f>
        <v>40000</v>
      </c>
      <c r="L37" s="17" t="n">
        <f aca="false">S3_admin</f>
        <v>70000</v>
      </c>
      <c r="M37" s="17" t="n">
        <f aca="false">S3_admin_def</f>
        <v>110000</v>
      </c>
    </row>
    <row r="38" customFormat="false" ht="15" hidden="false" customHeight="false" outlineLevel="0" collapsed="false">
      <c r="A38" s="2" t="s">
        <v>536</v>
      </c>
      <c r="B38" s="2" t="s">
        <v>537</v>
      </c>
      <c r="C38" s="2" t="s">
        <v>535</v>
      </c>
      <c r="D38" s="16" t="n">
        <v>0.2</v>
      </c>
      <c r="E38" s="17" t="n">
        <f aca="false">S1_honoraires_patrimoine_fav</f>
        <v>0</v>
      </c>
      <c r="F38" s="17" t="n">
        <f aca="false">S1_honoraires_patrimoine</f>
        <v>1500</v>
      </c>
      <c r="G38" s="17" t="n">
        <f aca="false">S1_honoraires_patrimoine_def</f>
        <v>4000</v>
      </c>
      <c r="H38" s="17" t="n">
        <f aca="false">S2_honoraires_patrimoine_fav</f>
        <v>3000</v>
      </c>
      <c r="I38" s="17" t="n">
        <f aca="false">S2_honoraires_patrimoine</f>
        <v>6000</v>
      </c>
      <c r="J38" s="17" t="n">
        <f aca="false">S2_honoraires_patrimoine_def</f>
        <v>10000</v>
      </c>
      <c r="K38" s="17" t="n">
        <f aca="false">S3_honoraires_patrimoine_fav</f>
        <v>8000</v>
      </c>
      <c r="L38" s="17" t="n">
        <f aca="false">S3_honoraires_patrimoine</f>
        <v>15000</v>
      </c>
      <c r="M38" s="17" t="n">
        <f aca="false">S3_honoraires_patrimoine_def</f>
        <v>25000</v>
      </c>
    </row>
    <row r="39" customFormat="false" ht="15" hidden="false" customHeight="false" outlineLevel="0" collapsed="false">
      <c r="A39" s="2" t="s">
        <v>538</v>
      </c>
      <c r="B39" s="2" t="s">
        <v>539</v>
      </c>
      <c r="C39" s="2" t="s">
        <v>475</v>
      </c>
      <c r="D39" s="16" t="n">
        <v>0</v>
      </c>
      <c r="E39" s="17" t="n">
        <f aca="false">E10+E11+E12+E13+E14+E15+E16+E17+E18+E19</f>
        <v>57220.3</v>
      </c>
      <c r="F39" s="17" t="n">
        <f aca="false">F10+F11+F12+F13+F14+F15+F16+F17+F18+F19</f>
        <v>62933.8</v>
      </c>
      <c r="G39" s="17" t="n">
        <f aca="false">G10+G11+G12+G13+G14+G15+G16+G17+G18+G19</f>
        <v>70970.6</v>
      </c>
      <c r="H39" s="17" t="n">
        <f aca="false">H10+H11+H12+H13+H14+H15+H16+H17+H18+H19</f>
        <v>351542</v>
      </c>
      <c r="I39" s="17" t="n">
        <f aca="false">I10+I11+I12+I13+I14+I15+I16+I17+I18+I19</f>
        <v>404148</v>
      </c>
      <c r="J39" s="17" t="n">
        <f aca="false">J10+J11+J12+J13+J14+J15+J16+J17+J18+J19</f>
        <v>460327</v>
      </c>
      <c r="K39" s="17" t="n">
        <f aca="false">K10+K11+K12+K13+K14+K15+K16+K17+K18+K19</f>
        <v>828176.5</v>
      </c>
      <c r="L39" s="17" t="n">
        <f aca="false">L10+L11+L12+L13+L14+L15+L16+L17+L18+L19</f>
        <v>947540.5</v>
      </c>
      <c r="M39" s="17" t="n">
        <f aca="false">M10+M11+M12+M13+M14+M15+M16+M17+M18+M19</f>
        <v>1070106</v>
      </c>
    </row>
    <row r="40" customFormat="false" ht="15" hidden="false" customHeight="false" outlineLevel="0" collapsed="false">
      <c r="A40" s="2" t="s">
        <v>540</v>
      </c>
      <c r="B40" s="2" t="s">
        <v>541</v>
      </c>
      <c r="C40" s="2" t="s">
        <v>475</v>
      </c>
      <c r="D40" s="16" t="n">
        <v>0</v>
      </c>
      <c r="E40" s="17" t="n">
        <f aca="false">S1_etp_direction+S1_etp_admin+S1_etp_chef_jardinier+S1_etp_jardin+S1_etp_entretien+S1_etp_agricole+S1_etp_soigneur+S1_etp_resp_ecurie+S1_etp_gouvernance+S1_etp_maison</f>
        <v>2.1</v>
      </c>
      <c r="F40" s="17" t="n">
        <f aca="false">S1_etp_direction+S1_etp_admin+S1_etp_chef_jardinier+S1_etp_jardin+S1_etp_entretien+S1_etp_agricole+S1_etp_soigneur+S1_etp_resp_ecurie+S1_etp_gouvernance+S1_etp_maison</f>
        <v>2.1</v>
      </c>
      <c r="G40" s="17" t="n">
        <f aca="false">S1_etp_direction+S1_etp_admin+S1_etp_chef_jardinier+S1_etp_jardin+S1_etp_entretien+S1_etp_agricole+S1_etp_soigneur+S1_etp_resp_ecurie+S1_etp_gouvernance+S1_etp_maison</f>
        <v>2.1</v>
      </c>
      <c r="H40" s="17" t="n">
        <f aca="false">S2_etp_direction+S2_etp_admin+S2_etp_chef_jardinier+S2_etp_jardin+S2_etp_entretien+S2_etp_agricole+S2_etp_soigneur+S2_etp_resp_ecurie+S2_etp_gouvernance+S2_etp_maison</f>
        <v>10</v>
      </c>
      <c r="I40" s="17" t="n">
        <f aca="false">S2_etp_direction+S2_etp_admin+S2_etp_chef_jardinier+S2_etp_jardin+S2_etp_entretien+S2_etp_agricole+S2_etp_soigneur+S2_etp_resp_ecurie+S2_etp_gouvernance+S2_etp_maison</f>
        <v>10</v>
      </c>
      <c r="J40" s="17" t="n">
        <f aca="false">S2_etp_direction+S2_etp_admin+S2_etp_chef_jardinier+S2_etp_jardin+S2_etp_entretien+S2_etp_agricole+S2_etp_soigneur+S2_etp_resp_ecurie+S2_etp_gouvernance+S2_etp_maison</f>
        <v>10</v>
      </c>
      <c r="K40" s="17" t="n">
        <f aca="false">S3_etp_direction+S3_etp_admin+S3_etp_chef_jardinier+S3_etp_jardin+S3_etp_entretien+S3_etp_agricole+S3_etp_soigneur+S3_etp_resp_ecurie+S3_etp_gouvernance+S3_etp_maison</f>
        <v>24.5</v>
      </c>
      <c r="L40" s="17" t="n">
        <f aca="false">S3_etp_direction+S3_etp_admin+S3_etp_chef_jardinier+S3_etp_jardin+S3_etp_entretien+S3_etp_agricole+S3_etp_soigneur+S3_etp_resp_ecurie+S3_etp_gouvernance+S3_etp_maison</f>
        <v>24.5</v>
      </c>
      <c r="M40" s="17" t="n">
        <f aca="false">S3_etp_direction+S3_etp_admin+S3_etp_chef_jardinier+S3_etp_jardin+S3_etp_entretien+S3_etp_agricole+S3_etp_soigneur+S3_etp_resp_ecurie+S3_etp_gouvernance+S3_etp_maison</f>
        <v>24.5</v>
      </c>
    </row>
    <row r="41" customFormat="false" ht="15" hidden="false" customHeight="false" outlineLevel="0" collapsed="false">
      <c r="A41" s="2" t="s">
        <v>542</v>
      </c>
      <c r="B41" s="18" t="s">
        <v>543</v>
      </c>
      <c r="C41" s="2" t="s">
        <v>544</v>
      </c>
      <c r="D41" s="16" t="n">
        <v>0</v>
      </c>
      <c r="E41" s="19" t="n">
        <f aca="false">E6+E9+E39+E20+E21+E22+E24+E26+E27+E29+E30+E31+E32+E33+E34+E35+E36+E37+E38</f>
        <v>122209.3</v>
      </c>
      <c r="F41" s="19" t="n">
        <f aca="false">F6+F9+F39+F20+F21+F22+F24+F26+F27+F29+F30+F31+F32+F33+F34+F35+F36+F37+F38</f>
        <v>183928.8</v>
      </c>
      <c r="G41" s="19" t="n">
        <f aca="false">G6+G9+G39+G20+G21+G22+G24+G26+G27+G29+G30+G31+G32+G33+G34+G35+G36+G37+G38</f>
        <v>286840.6</v>
      </c>
      <c r="H41" s="19" t="n">
        <f aca="false">H6+H9+H39+H20+H21+H22+H24+H26+H27+H29+H30+H31+H32+H33+H34+H35+H36+H37+H38</f>
        <v>531412</v>
      </c>
      <c r="I41" s="19" t="n">
        <f aca="false">I6+I9+I39+I20+I21+I22+I24+I26+I27+I29+I30+I31+I32+I33+I34+I35+I36+I37+I38</f>
        <v>748330.5</v>
      </c>
      <c r="J41" s="19" t="n">
        <f aca="false">J6+J9+J39+J20+J21+J22+J24+J26+J27+J29+J30+J31+J32+J33+J34+J35+J36+J37+J38</f>
        <v>1081327</v>
      </c>
      <c r="K41" s="19" t="n">
        <f aca="false">K6+K9+K39+K20+K21+K22+K24+K26+K27+K29+K30+K31+K32+K33+K34+K35+K36+K37+K38</f>
        <v>1308301.5</v>
      </c>
      <c r="L41" s="19" t="n">
        <f aca="false">L6+L9+L39+L20+L21+L22+L24+L26+L27+L29+L30+L31+L32+L33+L34+L35+L36+L37+L38</f>
        <v>1922240.5</v>
      </c>
      <c r="M41" s="19" t="n">
        <f aca="false">M6+M9+M39+M20+M21+M22+M24+M26+M27+M29+M30+M31+M32+M33+M34+M35+M36+M37+M38</f>
        <v>2940106</v>
      </c>
    </row>
    <row r="42" customFormat="false" ht="15" hidden="false" customHeight="false" outlineLevel="0" collapsed="false">
      <c r="A42" s="2" t="s">
        <v>545</v>
      </c>
      <c r="B42" s="18" t="s">
        <v>546</v>
      </c>
      <c r="C42" s="2" t="s">
        <v>544</v>
      </c>
      <c r="D42" s="16" t="n">
        <v>0</v>
      </c>
      <c r="E42" s="19" t="n">
        <f aca="false">E7+E8+E23+E25+E28</f>
        <v>66510.6666666667</v>
      </c>
      <c r="F42" s="19" t="n">
        <f aca="false">F7+F8+F23+F25+F28</f>
        <v>123560</v>
      </c>
      <c r="G42" s="19" t="n">
        <f aca="false">G7+G8+G23+G25+G28</f>
        <v>229540</v>
      </c>
      <c r="H42" s="19" t="n">
        <f aca="false">H7+H8+H23+H25+H28</f>
        <v>209028.571428571</v>
      </c>
      <c r="I42" s="19" t="n">
        <f aca="false">I7+I8+I23+I25+I28</f>
        <v>410916.875</v>
      </c>
      <c r="J42" s="19" t="n">
        <f aca="false">J7+J8+J23+J25+J28</f>
        <v>787475</v>
      </c>
      <c r="K42" s="19" t="n">
        <f aca="false">K7+K8+K23+K25+K28</f>
        <v>593095.238095238</v>
      </c>
      <c r="L42" s="19" t="n">
        <f aca="false">L7+L8+L23+L25+L28</f>
        <v>1304312.5</v>
      </c>
      <c r="M42" s="19" t="n">
        <f aca="false">M7+M8+M23+M25+M28</f>
        <v>2684000</v>
      </c>
    </row>
    <row r="43" customFormat="false" ht="15" hidden="false" customHeight="false" outlineLevel="0" collapsed="false">
      <c r="A43" s="2" t="s">
        <v>547</v>
      </c>
      <c r="B43" s="2" t="s">
        <v>548</v>
      </c>
      <c r="C43" s="2" t="s">
        <v>549</v>
      </c>
      <c r="D43" s="16" t="n">
        <v>0</v>
      </c>
      <c r="E43" s="17" t="n">
        <f aca="false">E41*taux_imprevus_fav</f>
        <v>2444.186</v>
      </c>
      <c r="F43" s="17" t="n">
        <f aca="false">F41*taux_imprevus</f>
        <v>5517.864</v>
      </c>
      <c r="G43" s="17" t="n">
        <f aca="false">G41*taux_imprevus_def</f>
        <v>14342.03</v>
      </c>
      <c r="H43" s="17" t="n">
        <f aca="false">H41*taux_imprevus_fav</f>
        <v>10628.24</v>
      </c>
      <c r="I43" s="17" t="n">
        <f aca="false">I41*taux_imprevus</f>
        <v>22449.915</v>
      </c>
      <c r="J43" s="17" t="n">
        <f aca="false">J41*taux_imprevus_def</f>
        <v>54066.35</v>
      </c>
      <c r="K43" s="17" t="n">
        <f aca="false">K41*taux_imprevus_fav</f>
        <v>26166.03</v>
      </c>
      <c r="L43" s="17" t="n">
        <f aca="false">L41*taux_imprevus</f>
        <v>57667.215</v>
      </c>
      <c r="M43" s="17" t="n">
        <f aca="false">M41*taux_imprevus_def</f>
        <v>147005.3</v>
      </c>
    </row>
    <row r="44" customFormat="false" ht="15" hidden="false" customHeight="false" outlineLevel="0" collapsed="false">
      <c r="A44" s="2" t="s">
        <v>550</v>
      </c>
      <c r="B44" s="2" t="s">
        <v>551</v>
      </c>
      <c r="C44" s="2" t="s">
        <v>552</v>
      </c>
      <c r="D44" s="16" t="n">
        <v>0.1</v>
      </c>
      <c r="E44" s="17" t="n">
        <f aca="false">(E41+E42)*taux_invest_futurs_fav</f>
        <v>3774.39933333333</v>
      </c>
      <c r="F44" s="17" t="n">
        <f aca="false">(F41+F42)*taux_invest_futurs</f>
        <v>12299.552</v>
      </c>
      <c r="G44" s="17" t="n">
        <f aca="false">(G41+G42)*taux_invest_futurs_def</f>
        <v>30982.836</v>
      </c>
      <c r="H44" s="17" t="n">
        <f aca="false">(H41+H42)*taux_invest_futurs_fav</f>
        <v>14808.8114285714</v>
      </c>
      <c r="I44" s="17" t="n">
        <f aca="false">(I41+I42)*taux_invest_futurs</f>
        <v>46369.895</v>
      </c>
      <c r="J44" s="17" t="n">
        <f aca="false">(J41+J42)*taux_invest_futurs_def</f>
        <v>112128.12</v>
      </c>
      <c r="K44" s="17" t="n">
        <f aca="false">(K41+K42)*taux_invest_futurs_fav</f>
        <v>38027.9347619048</v>
      </c>
      <c r="L44" s="17" t="n">
        <f aca="false">(L41+L42)*taux_invest_futurs</f>
        <v>129062.12</v>
      </c>
      <c r="M44" s="17" t="n">
        <f aca="false">(M41+M42)*taux_invest_futurs_def</f>
        <v>337446.36</v>
      </c>
    </row>
    <row r="45" customFormat="false" ht="15" hidden="false" customHeight="false" outlineLevel="0" collapsed="false">
      <c r="A45" s="2" t="s">
        <v>553</v>
      </c>
      <c r="B45" s="18" t="s">
        <v>554</v>
      </c>
      <c r="C45" s="2" t="s">
        <v>544</v>
      </c>
      <c r="D45" s="16" t="n">
        <v>0</v>
      </c>
      <c r="E45" s="19" t="n">
        <f aca="false">E41+E42+E43+E44</f>
        <v>194938.552</v>
      </c>
      <c r="F45" s="19" t="n">
        <f aca="false">F41+F42+F43+F44</f>
        <v>325306.216</v>
      </c>
      <c r="G45" s="19" t="n">
        <f aca="false">G41+G42+G43+G44</f>
        <v>561705.466</v>
      </c>
      <c r="H45" s="19" t="n">
        <f aca="false">H41+H42+H43+H44</f>
        <v>765877.622857143</v>
      </c>
      <c r="I45" s="19" t="n">
        <f aca="false">I41+I42+I43+I44</f>
        <v>1228067.185</v>
      </c>
      <c r="J45" s="19" t="n">
        <f aca="false">J41+J42+J43+J44</f>
        <v>2034996.47</v>
      </c>
      <c r="K45" s="19" t="n">
        <f aca="false">K41+K42+K43+K44</f>
        <v>1965590.70285714</v>
      </c>
      <c r="L45" s="19" t="n">
        <f aca="false">L41+L42+L43+L44</f>
        <v>3413282.335</v>
      </c>
      <c r="M45" s="19" t="n">
        <f aca="false">M41+M42+M43+M44</f>
        <v>6108557.66</v>
      </c>
    </row>
    <row r="46" customFormat="false" ht="15" hidden="false" customHeight="false" outlineLevel="0" collapsed="false">
      <c r="A46" s="2" t="s">
        <v>555</v>
      </c>
      <c r="B46" s="2" t="s">
        <v>556</v>
      </c>
      <c r="C46" s="2" t="s">
        <v>557</v>
      </c>
      <c r="D46" s="16" t="n">
        <v>0</v>
      </c>
      <c r="E46" s="17" t="n">
        <f aca="false">E39</f>
        <v>57220.3</v>
      </c>
      <c r="F46" s="17" t="n">
        <f aca="false">F39</f>
        <v>62933.8</v>
      </c>
      <c r="G46" s="17" t="n">
        <f aca="false">G39</f>
        <v>70970.6</v>
      </c>
      <c r="H46" s="17" t="n">
        <f aca="false">H39</f>
        <v>351542</v>
      </c>
      <c r="I46" s="17" t="n">
        <f aca="false">I39</f>
        <v>404148</v>
      </c>
      <c r="J46" s="17" t="n">
        <f aca="false">J39</f>
        <v>460327</v>
      </c>
      <c r="K46" s="17" t="n">
        <f aca="false">K39</f>
        <v>828176.5</v>
      </c>
      <c r="L46" s="17" t="n">
        <f aca="false">L39</f>
        <v>947540.5</v>
      </c>
      <c r="M46" s="17" t="n">
        <f aca="false">M39</f>
        <v>1070106</v>
      </c>
    </row>
    <row r="47" customFormat="false" ht="15" hidden="false" customHeight="false" outlineLevel="0" collapsed="false">
      <c r="A47" s="2" t="s">
        <v>558</v>
      </c>
      <c r="B47" s="2" t="s">
        <v>559</v>
      </c>
      <c r="C47" s="2" t="s">
        <v>557</v>
      </c>
      <c r="D47" s="16" t="n">
        <v>0</v>
      </c>
      <c r="E47" s="17" t="n">
        <f aca="false">E6+E7+E8+E33+E35+E9</f>
        <v>67728</v>
      </c>
      <c r="F47" s="17" t="n">
        <f aca="false">F6+F7+F8+F33+F35+F9</f>
        <v>140050</v>
      </c>
      <c r="G47" s="17" t="n">
        <f aca="false">G6+G7+G8+G33+G35+G9</f>
        <v>271840</v>
      </c>
      <c r="H47" s="17" t="n">
        <f aca="false">H6+H7+H8+H33+H35+H9</f>
        <v>205700</v>
      </c>
      <c r="I47" s="17" t="n">
        <f aca="false">I6+I7+I8+I33+I35+I9</f>
        <v>461409.375</v>
      </c>
      <c r="J47" s="17" t="n">
        <f aca="false">J6+J7+J8+J33+J35+J9</f>
        <v>932000</v>
      </c>
      <c r="K47" s="17" t="n">
        <f aca="false">K6+K7+K8+K33+K35+K9</f>
        <v>734000</v>
      </c>
      <c r="L47" s="17" t="n">
        <f aca="false">L6+L7+L8+L33+L35+L9</f>
        <v>1715062.5</v>
      </c>
      <c r="M47" s="17" t="n">
        <f aca="false">M6+M7+M8+M33+M35+M9</f>
        <v>3616000</v>
      </c>
    </row>
    <row r="48" customFormat="false" ht="15" hidden="false" customHeight="false" outlineLevel="0" collapsed="false">
      <c r="A48" s="2" t="s">
        <v>560</v>
      </c>
      <c r="B48" s="2" t="s">
        <v>561</v>
      </c>
      <c r="C48" s="2" t="s">
        <v>557</v>
      </c>
      <c r="D48" s="16" t="n">
        <v>0</v>
      </c>
      <c r="E48" s="20" t="n">
        <f aca="false">E46/E45</f>
        <v>0.293529932447636</v>
      </c>
      <c r="F48" s="20" t="n">
        <f aca="false">F46/F45</f>
        <v>0.193460182759004</v>
      </c>
      <c r="G48" s="20" t="n">
        <f aca="false">G46/G45</f>
        <v>0.1263484233212</v>
      </c>
      <c r="H48" s="20" t="n">
        <f aca="false">H46/H45</f>
        <v>0.45900544618154</v>
      </c>
      <c r="I48" s="20" t="n">
        <f aca="false">I46/I45</f>
        <v>0.329092744221482</v>
      </c>
      <c r="J48" s="20" t="n">
        <f aca="false">J46/J45</f>
        <v>0.226205306390531</v>
      </c>
      <c r="K48" s="20" t="n">
        <f aca="false">K46/K45</f>
        <v>0.4213372086041</v>
      </c>
      <c r="L48" s="20" t="n">
        <f aca="false">L46/L45</f>
        <v>0.277603903516525</v>
      </c>
      <c r="M48" s="20" t="n">
        <f aca="false">M46/M45</f>
        <v>0.175181451917407</v>
      </c>
    </row>
    <row r="49" customFormat="false" ht="15" hidden="false" customHeight="false" outlineLevel="0" collapsed="false">
      <c r="A49" s="2" t="s">
        <v>562</v>
      </c>
      <c r="B49" s="2" t="s">
        <v>563</v>
      </c>
      <c r="C49" s="2" t="s">
        <v>557</v>
      </c>
      <c r="D49" s="16" t="n">
        <v>0</v>
      </c>
      <c r="E49" s="20" t="n">
        <f aca="false">E47/E45</f>
        <v>0.347432559158437</v>
      </c>
      <c r="F49" s="20" t="n">
        <f aca="false">F47/F45</f>
        <v>0.430517442064495</v>
      </c>
      <c r="G49" s="20" t="n">
        <f aca="false">G47/G45</f>
        <v>0.483954699490142</v>
      </c>
      <c r="H49" s="20" t="n">
        <f aca="false">H47/H45</f>
        <v>0.268580767815916</v>
      </c>
      <c r="I49" s="20" t="n">
        <f aca="false">I47/I45</f>
        <v>0.375719977404982</v>
      </c>
      <c r="J49" s="20" t="n">
        <f aca="false">J47/J45</f>
        <v>0.457986052427894</v>
      </c>
      <c r="K49" s="20" t="n">
        <f aca="false">K47/K45</f>
        <v>0.373424639693845</v>
      </c>
      <c r="L49" s="20" t="n">
        <f aca="false">L47/L45</f>
        <v>0.502467224118453</v>
      </c>
      <c r="M49" s="20" t="n">
        <f aca="false">M47/M45</f>
        <v>0.591956432478039</v>
      </c>
    </row>
    <row r="50" customFormat="false" ht="15" hidden="false" customHeight="false" outlineLevel="0" collapsed="false">
      <c r="A50" s="2" t="s">
        <v>564</v>
      </c>
      <c r="B50" s="2" t="s">
        <v>565</v>
      </c>
      <c r="C50" s="2" t="s">
        <v>557</v>
      </c>
      <c r="D50" s="16" t="n">
        <v>0</v>
      </c>
      <c r="E50" s="17" t="n">
        <f aca="false">E45-(E6+E7+E8+E32+E44)*0.1/1.1-(E9+E20+E21+E22+E23+E24+E25+E26+E27+E28+E29+E30+E31+E37+E38)*0.2/1.2</f>
        <v>178866.147010101</v>
      </c>
      <c r="F50" s="17" t="n">
        <f aca="false">F45-(F6+F7+F8+F32+F44)*0.1/1.1-(F9+F20+F21+F22+F23+F24+F25+F26+F27+F28+F29+F30+F31+F37+F38)*0.2/1.2</f>
        <v>296303.908242424</v>
      </c>
      <c r="G50" s="17" t="n">
        <f aca="false">G45-(G6+G7+G8+G32+G44)*0.1/1.1-(G9+G20+G21+G22+G23+G24+G25+G26+G27+G28+G29+G30+G31+G37+G38)*0.2/1.2</f>
        <v>509728.844545455</v>
      </c>
      <c r="H50" s="17" t="n">
        <f aca="false">H45-(H6+H7+H8+H32+H44)*0.1/1.1-(H9+H20+H21+H22+H23+H24+H25+H26+H27+H28+H29+H30+H31+H37+H38)*0.2/1.2</f>
        <v>718169.787186147</v>
      </c>
      <c r="I50" s="17" t="n">
        <f aca="false">I45-(I6+I7+I8+I32+I44)*0.1/1.1-(I9+I20+I21+I22+I23+I24+I25+I26+I27+I28+I29+I30+I31+I37+I38)*0.2/1.2</f>
        <v>1139522.09984849</v>
      </c>
      <c r="J50" s="17" t="n">
        <f aca="false">J45-(J6+J7+J8+J32+J44)*0.1/1.1-(J9+J20+J21+J22+J23+J24+J25+J26+J27+J28+J29+J30+J31+J37+J38)*0.2/1.2</f>
        <v>1874117.77727273</v>
      </c>
      <c r="K50" s="17" t="n">
        <f aca="false">K45-(K6+K7+K8+K32+K44)*0.1/1.1-(K9+K20+K21+K22+K23+K24+K25+K26+K27+K28+K29+K30+K31+K37+K38)*0.2/1.2</f>
        <v>1846540.85092352</v>
      </c>
      <c r="L50" s="17" t="n">
        <f aca="false">L45-(L6+L7+L8+L32+L44)*0.1/1.1-(L9+L20+L21+L22+L23+L24+L25+L26+L27+L28+L29+L30+L31+L37+L38)*0.2/1.2</f>
        <v>3170636.915</v>
      </c>
      <c r="M50" s="17" t="n">
        <f aca="false">M45-(M6+M7+M8+M32+M44)*0.1/1.1-(M9+M20+M21+M22+M23+M24+M25+M26+M27+M28+M29+M30+M31+M37+M38)*0.2/1.2</f>
        <v>5635691.32424242</v>
      </c>
    </row>
    <row r="51" customFormat="false" ht="15" hidden="false" customHeight="false" outlineLevel="0" collapsed="false">
      <c r="A51" s="2" t="s">
        <v>566</v>
      </c>
      <c r="B51" s="2" t="s">
        <v>567</v>
      </c>
      <c r="C51" s="2" t="s">
        <v>557</v>
      </c>
      <c r="D51" s="16" t="n">
        <v>0</v>
      </c>
      <c r="E51" s="17" t="n">
        <f aca="false">E45/(S1_surf_chateau+S1_surf_dep)</f>
        <v>129.959034666667</v>
      </c>
      <c r="F51" s="17" t="n">
        <f aca="false">F45/(S1_surf_chateau+S1_surf_dep)</f>
        <v>216.870810666667</v>
      </c>
      <c r="G51" s="17" t="n">
        <f aca="false">G45/(S1_surf_chateau+S1_surf_dep)</f>
        <v>374.470310666667</v>
      </c>
      <c r="H51" s="17" t="n">
        <f aca="false">H45/(S2_surf_chateau+S2_surf_dep)</f>
        <v>170.195027301587</v>
      </c>
      <c r="I51" s="17" t="n">
        <f aca="false">I45/(S2_surf_chateau+S2_surf_dep)</f>
        <v>272.903818888889</v>
      </c>
      <c r="J51" s="17" t="n">
        <f aca="false">J45/(S2_surf_chateau+S2_surf_dep)</f>
        <v>452.221437777778</v>
      </c>
      <c r="K51" s="17" t="n">
        <f aca="false">K45/(S3_surf_chateau+S3_surf_dep)</f>
        <v>231.245965042017</v>
      </c>
      <c r="L51" s="17" t="n">
        <f aca="false">L45/(S3_surf_chateau+S3_surf_dep)</f>
        <v>401.562627647059</v>
      </c>
      <c r="M51" s="17" t="n">
        <f aca="false">M45/(S3_surf_chateau+S3_surf_dep)</f>
        <v>718.653842352941</v>
      </c>
    </row>
    <row r="52" customFormat="false" ht="15" hidden="false" customHeight="false" outlineLevel="0" collapsed="false">
      <c r="A52" s="2" t="s">
        <v>568</v>
      </c>
      <c r="B52" s="2" t="s">
        <v>569</v>
      </c>
      <c r="C52" s="2" t="s">
        <v>557</v>
      </c>
      <c r="D52" s="16" t="n">
        <v>0</v>
      </c>
      <c r="E52" s="20" t="n">
        <f aca="false">E45/E5</f>
        <v>0.0712494707602339</v>
      </c>
      <c r="F52" s="20" t="n">
        <f aca="false">F45/F5</f>
        <v>0.0903628377777778</v>
      </c>
      <c r="G52" s="20" t="n">
        <f aca="false">G45/G5</f>
        <v>0.111449497222222</v>
      </c>
      <c r="H52" s="20" t="n">
        <f aca="false">H45/H5</f>
        <v>0.0911759074829932</v>
      </c>
      <c r="I52" s="20" t="n">
        <f aca="false">I45/I5</f>
        <v>0.102126169230769</v>
      </c>
      <c r="J52" s="20" t="n">
        <f aca="false">J45/J5</f>
        <v>0.116285512571429</v>
      </c>
      <c r="K52" s="20" t="n">
        <f aca="false">K45/K5</f>
        <v>0.0644455968149883</v>
      </c>
      <c r="L52" s="20" t="n">
        <f aca="false">L45/L5</f>
        <v>0.0750171941758242</v>
      </c>
      <c r="M52" s="20" t="n">
        <f aca="false">M45/M5</f>
        <v>0.0885298211594203</v>
      </c>
    </row>
    <row r="53" customFormat="false" ht="15" hidden="false" customHeight="false" outlineLevel="0" collapsed="false">
      <c r="A53" s="2" t="s">
        <v>570</v>
      </c>
      <c r="B53" s="2" t="s">
        <v>571</v>
      </c>
      <c r="C53" s="2" t="s">
        <v>283</v>
      </c>
      <c r="D53" s="16" t="n">
        <v>0</v>
      </c>
      <c r="E53" s="17" t="n">
        <f aca="false">-PMT(dette_taux_fav,dette_duree_fav,S1_prix_achat*dette_quotite_fav)</f>
        <v>36404.4212466263</v>
      </c>
      <c r="F53" s="17" t="n">
        <f aca="false">-PMT(dette_taux,dette_duree,S1_prix_achat*dette_quotite)</f>
        <v>62908.2327120561</v>
      </c>
      <c r="G53" s="17" t="n">
        <f aca="false">-PMT(dette_taux_def,dette_duree_def,S1_prix_achat*dette_quotite_def)</f>
        <v>95640.5737006187</v>
      </c>
      <c r="H53" s="17" t="n">
        <f aca="false">-PMT(dette_taux_fav,dette_duree_fav,S2_prix_achat*dette_quotite_fav)</f>
        <v>106179.561969327</v>
      </c>
      <c r="I53" s="17" t="n">
        <f aca="false">-PMT(dette_taux,dette_duree,S2_prix_achat*dette_quotite)</f>
        <v>183482.345410164</v>
      </c>
      <c r="J53" s="17" t="n">
        <f aca="false">-PMT(dette_taux_def,dette_duree_def,S2_prix_achat*dette_quotite_def)</f>
        <v>278951.673293471</v>
      </c>
      <c r="K53" s="17" t="n">
        <f aca="false">-PMT(dette_taux_fav,dette_duree_fav,S3_prix_achat*dette_quotite_fav)</f>
        <v>273033.159349697</v>
      </c>
      <c r="L53" s="17" t="n">
        <f aca="false">-PMT(dette_taux,dette_duree,S3_prix_achat*dette_quotite)</f>
        <v>471811.745340421</v>
      </c>
      <c r="M53" s="17" t="n">
        <f aca="false">-PMT(dette_taux_def,dette_duree_def,S3_prix_achat*dette_quotite_def)</f>
        <v>717304.302754641</v>
      </c>
    </row>
    <row r="54" customFormat="false" ht="15" hidden="false" customHeight="false" outlineLevel="0" collapsed="false">
      <c r="A54" s="2" t="s">
        <v>572</v>
      </c>
      <c r="B54" s="18" t="s">
        <v>573</v>
      </c>
      <c r="C54" s="2" t="s">
        <v>283</v>
      </c>
      <c r="D54" s="16" t="n">
        <v>0</v>
      </c>
      <c r="E54" s="19" t="n">
        <f aca="false">E45+E53</f>
        <v>231342.973246626</v>
      </c>
      <c r="F54" s="19" t="n">
        <f aca="false">F45+F53</f>
        <v>388214.448712056</v>
      </c>
      <c r="G54" s="19" t="n">
        <f aca="false">G45+G53</f>
        <v>657346.039700619</v>
      </c>
      <c r="H54" s="19" t="n">
        <f aca="false">H45+H53</f>
        <v>872057.18482647</v>
      </c>
      <c r="I54" s="19" t="n">
        <f aca="false">I45+I53</f>
        <v>1411549.53041016</v>
      </c>
      <c r="J54" s="19" t="n">
        <f aca="false">J45+J53</f>
        <v>2313948.14329347</v>
      </c>
      <c r="K54" s="19" t="n">
        <f aca="false">K45+K53</f>
        <v>2238623.86220684</v>
      </c>
      <c r="L54" s="19" t="n">
        <f aca="false">L45+L53</f>
        <v>3885094.08034042</v>
      </c>
      <c r="M54" s="19" t="n">
        <f aca="false">M45+M53</f>
        <v>6825861.96275464</v>
      </c>
    </row>
  </sheetData>
  <mergeCells count="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0"/>
    <col collapsed="false" customWidth="true" hidden="false" outlineLevel="0" max="3" min="3" style="0" width="60"/>
    <col collapsed="false" customWidth="true" hidden="false" outlineLevel="0" max="4" min="4" style="0" width="22"/>
    <col collapsed="false" customWidth="true" hidden="false" outlineLevel="0" max="5" min="5" style="0" width="12"/>
    <col collapsed="false" customWidth="true" hidden="false" outlineLevel="0" max="6" min="6" style="0" width="10"/>
    <col collapsed="false" customWidth="true" hidden="false" outlineLevel="0" max="7" min="7" style="0" width="30"/>
    <col collapsed="false" customWidth="true" hidden="false" outlineLevel="0" max="8" min="8" style="0" width="10"/>
  </cols>
  <sheetData>
    <row r="1" customFormat="false" ht="16.15" hidden="false" customHeight="false" outlineLevel="0" collapsed="false">
      <c r="A1" s="1" t="s">
        <v>574</v>
      </c>
    </row>
    <row r="3" customFormat="false" ht="15" hidden="false" customHeight="false" outlineLevel="0" collapsed="false">
      <c r="A3" s="4" t="s">
        <v>575</v>
      </c>
      <c r="B3" s="4" t="s">
        <v>576</v>
      </c>
      <c r="C3" s="4" t="s">
        <v>577</v>
      </c>
      <c r="D3" s="4" t="s">
        <v>578</v>
      </c>
      <c r="E3" s="4" t="s">
        <v>579</v>
      </c>
      <c r="F3" s="4" t="s">
        <v>17</v>
      </c>
      <c r="G3" s="4" t="s">
        <v>580</v>
      </c>
      <c r="H3" s="4" t="s">
        <v>581</v>
      </c>
    </row>
    <row r="4" customFormat="false" ht="23.85" hidden="false" customHeight="false" outlineLevel="0" collapsed="false">
      <c r="A4" s="21" t="s">
        <v>582</v>
      </c>
      <c r="B4" s="8" t="s">
        <v>583</v>
      </c>
      <c r="C4" s="21" t="s">
        <v>584</v>
      </c>
      <c r="D4" s="21" t="s">
        <v>585</v>
      </c>
      <c r="E4" s="21" t="s">
        <v>586</v>
      </c>
      <c r="F4" s="21" t="s">
        <v>587</v>
      </c>
      <c r="G4" s="21" t="s">
        <v>588</v>
      </c>
      <c r="H4" s="21" t="s">
        <v>589</v>
      </c>
    </row>
    <row r="5" customFormat="false" ht="35.05" hidden="false" customHeight="false" outlineLevel="0" collapsed="false">
      <c r="A5" s="21" t="s">
        <v>281</v>
      </c>
      <c r="B5" s="8" t="s">
        <v>590</v>
      </c>
      <c r="C5" s="21" t="s">
        <v>591</v>
      </c>
      <c r="D5" s="21" t="s">
        <v>592</v>
      </c>
      <c r="E5" s="21" t="s">
        <v>593</v>
      </c>
      <c r="F5" s="21" t="s">
        <v>594</v>
      </c>
      <c r="G5" s="21" t="s">
        <v>595</v>
      </c>
      <c r="H5" s="21" t="s">
        <v>596</v>
      </c>
    </row>
    <row r="6" customFormat="false" ht="23.85" hidden="false" customHeight="false" outlineLevel="0" collapsed="false">
      <c r="A6" s="21" t="s">
        <v>597</v>
      </c>
      <c r="B6" s="8" t="s">
        <v>598</v>
      </c>
      <c r="C6" s="21" t="s">
        <v>599</v>
      </c>
      <c r="D6" s="21" t="s">
        <v>600</v>
      </c>
      <c r="E6" s="21" t="s">
        <v>593</v>
      </c>
      <c r="F6" s="21" t="s">
        <v>601</v>
      </c>
      <c r="G6" s="21" t="s">
        <v>602</v>
      </c>
      <c r="H6" s="21" t="s">
        <v>596</v>
      </c>
    </row>
    <row r="7" customFormat="false" ht="23.85" hidden="false" customHeight="false" outlineLevel="0" collapsed="false">
      <c r="A7" s="21" t="s">
        <v>603</v>
      </c>
      <c r="B7" s="8" t="s">
        <v>604</v>
      </c>
      <c r="C7" s="21" t="s">
        <v>605</v>
      </c>
      <c r="D7" s="21" t="s">
        <v>606</v>
      </c>
      <c r="E7" s="21" t="s">
        <v>607</v>
      </c>
      <c r="F7" s="21" t="s">
        <v>593</v>
      </c>
      <c r="G7" s="21" t="s">
        <v>601</v>
      </c>
      <c r="H7" s="21" t="s">
        <v>608</v>
      </c>
    </row>
    <row r="8" customFormat="false" ht="23.85" hidden="false" customHeight="false" outlineLevel="0" collapsed="false">
      <c r="A8" s="21" t="s">
        <v>294</v>
      </c>
      <c r="B8" s="8" t="s">
        <v>609</v>
      </c>
      <c r="C8" s="21" t="s">
        <v>610</v>
      </c>
      <c r="D8" s="21" t="s">
        <v>611</v>
      </c>
      <c r="E8" s="21" t="s">
        <v>593</v>
      </c>
      <c r="F8" s="21" t="s">
        <v>601</v>
      </c>
      <c r="G8" s="21" t="s">
        <v>612</v>
      </c>
      <c r="H8" s="21" t="s">
        <v>596</v>
      </c>
    </row>
    <row r="9" customFormat="false" ht="23.85" hidden="false" customHeight="false" outlineLevel="0" collapsed="false">
      <c r="A9" s="21" t="s">
        <v>613</v>
      </c>
      <c r="B9" s="8" t="s">
        <v>614</v>
      </c>
      <c r="C9" s="21" t="s">
        <v>615</v>
      </c>
      <c r="D9" s="21" t="s">
        <v>616</v>
      </c>
      <c r="E9" s="21" t="s">
        <v>593</v>
      </c>
      <c r="F9" s="21" t="s">
        <v>601</v>
      </c>
      <c r="G9" s="21" t="s">
        <v>617</v>
      </c>
      <c r="H9" s="21" t="s">
        <v>596</v>
      </c>
    </row>
    <row r="10" customFormat="false" ht="23.85" hidden="false" customHeight="false" outlineLevel="0" collapsed="false">
      <c r="A10" s="21" t="s">
        <v>618</v>
      </c>
      <c r="B10" s="8" t="s">
        <v>619</v>
      </c>
      <c r="C10" s="21" t="s">
        <v>615</v>
      </c>
      <c r="D10" s="21" t="s">
        <v>620</v>
      </c>
      <c r="E10" s="21" t="s">
        <v>593</v>
      </c>
      <c r="F10" s="21" t="s">
        <v>594</v>
      </c>
      <c r="G10" s="21" t="s">
        <v>621</v>
      </c>
      <c r="H10" s="21" t="s">
        <v>596</v>
      </c>
    </row>
    <row r="11" customFormat="false" ht="23.85" hidden="false" customHeight="false" outlineLevel="0" collapsed="false">
      <c r="A11" s="21" t="s">
        <v>622</v>
      </c>
      <c r="B11" s="8" t="s">
        <v>623</v>
      </c>
      <c r="C11" s="21" t="s">
        <v>624</v>
      </c>
      <c r="D11" s="21" t="s">
        <v>625</v>
      </c>
      <c r="E11" s="21" t="s">
        <v>593</v>
      </c>
      <c r="F11" s="21" t="s">
        <v>594</v>
      </c>
      <c r="G11" s="21" t="s">
        <v>626</v>
      </c>
      <c r="H11" s="21" t="s">
        <v>627</v>
      </c>
    </row>
    <row r="12" customFormat="false" ht="23.85" hidden="false" customHeight="false" outlineLevel="0" collapsed="false">
      <c r="A12" s="21" t="s">
        <v>628</v>
      </c>
      <c r="B12" s="8" t="s">
        <v>629</v>
      </c>
      <c r="C12" s="21" t="s">
        <v>630</v>
      </c>
      <c r="D12" s="21" t="s">
        <v>631</v>
      </c>
      <c r="E12" s="21" t="s">
        <v>593</v>
      </c>
      <c r="F12" s="21" t="s">
        <v>594</v>
      </c>
      <c r="G12" s="21" t="s">
        <v>632</v>
      </c>
      <c r="H12" s="21" t="s">
        <v>596</v>
      </c>
    </row>
    <row r="13" customFormat="false" ht="23.85" hidden="false" customHeight="false" outlineLevel="0" collapsed="false">
      <c r="A13" s="21" t="s">
        <v>633</v>
      </c>
      <c r="B13" s="8" t="s">
        <v>634</v>
      </c>
      <c r="C13" s="21" t="s">
        <v>635</v>
      </c>
      <c r="D13" s="21" t="s">
        <v>636</v>
      </c>
      <c r="E13" s="21" t="s">
        <v>593</v>
      </c>
      <c r="F13" s="21" t="s">
        <v>594</v>
      </c>
      <c r="G13" s="21" t="s">
        <v>637</v>
      </c>
      <c r="H13" s="21" t="s">
        <v>596</v>
      </c>
    </row>
    <row r="14" customFormat="false" ht="23.85" hidden="false" customHeight="false" outlineLevel="0" collapsed="false">
      <c r="A14" s="21" t="s">
        <v>62</v>
      </c>
      <c r="B14" s="8" t="s">
        <v>638</v>
      </c>
      <c r="C14" s="21" t="s">
        <v>639</v>
      </c>
      <c r="D14" s="21" t="s">
        <v>640</v>
      </c>
      <c r="E14" s="21" t="s">
        <v>593</v>
      </c>
      <c r="F14" s="21" t="s">
        <v>594</v>
      </c>
      <c r="G14" s="21" t="s">
        <v>641</v>
      </c>
      <c r="H14" s="21" t="s">
        <v>596</v>
      </c>
    </row>
    <row r="15" customFormat="false" ht="23.85" hidden="false" customHeight="false" outlineLevel="0" collapsed="false">
      <c r="A15" s="21" t="s">
        <v>642</v>
      </c>
      <c r="B15" s="8" t="s">
        <v>643</v>
      </c>
      <c r="C15" s="21" t="s">
        <v>644</v>
      </c>
      <c r="D15" s="21" t="s">
        <v>645</v>
      </c>
      <c r="E15" s="21" t="s">
        <v>593</v>
      </c>
      <c r="F15" s="21" t="s">
        <v>594</v>
      </c>
      <c r="G15" s="21" t="s">
        <v>646</v>
      </c>
      <c r="H15" s="21" t="s">
        <v>596</v>
      </c>
    </row>
    <row r="16" customFormat="false" ht="35.05" hidden="false" customHeight="false" outlineLevel="0" collapsed="false">
      <c r="A16" s="21" t="s">
        <v>95</v>
      </c>
      <c r="B16" s="8" t="s">
        <v>647</v>
      </c>
      <c r="C16" s="21" t="s">
        <v>648</v>
      </c>
      <c r="D16" s="21" t="s">
        <v>649</v>
      </c>
      <c r="E16" s="21" t="s">
        <v>593</v>
      </c>
      <c r="F16" s="21" t="s">
        <v>594</v>
      </c>
      <c r="G16" s="21" t="s">
        <v>650</v>
      </c>
      <c r="H16" s="21" t="s">
        <v>651</v>
      </c>
    </row>
    <row r="17" customFormat="false" ht="23.85" hidden="false" customHeight="false" outlineLevel="0" collapsed="false">
      <c r="A17" s="21" t="s">
        <v>652</v>
      </c>
      <c r="B17" s="8" t="s">
        <v>653</v>
      </c>
      <c r="C17" s="21" t="s">
        <v>654</v>
      </c>
      <c r="D17" s="21" t="s">
        <v>655</v>
      </c>
      <c r="E17" s="21" t="s">
        <v>593</v>
      </c>
      <c r="F17" s="21" t="s">
        <v>601</v>
      </c>
      <c r="G17" s="21" t="s">
        <v>656</v>
      </c>
      <c r="H17" s="21" t="s">
        <v>596</v>
      </c>
    </row>
    <row r="18" customFormat="false" ht="23.85" hidden="false" customHeight="false" outlineLevel="0" collapsed="false">
      <c r="A18" s="21" t="s">
        <v>657</v>
      </c>
      <c r="B18" s="8" t="s">
        <v>658</v>
      </c>
      <c r="C18" s="21" t="s">
        <v>659</v>
      </c>
      <c r="D18" s="21" t="s">
        <v>660</v>
      </c>
      <c r="E18" s="21" t="s">
        <v>593</v>
      </c>
      <c r="F18" s="21" t="s">
        <v>594</v>
      </c>
      <c r="G18" s="21" t="s">
        <v>661</v>
      </c>
      <c r="H18" s="21" t="s">
        <v>596</v>
      </c>
    </row>
    <row r="19" customFormat="false" ht="35.05" hidden="false" customHeight="false" outlineLevel="0" collapsed="false">
      <c r="A19" s="21" t="s">
        <v>662</v>
      </c>
      <c r="B19" s="8" t="s">
        <v>663</v>
      </c>
      <c r="C19" s="21" t="s">
        <v>664</v>
      </c>
      <c r="D19" s="21" t="s">
        <v>665</v>
      </c>
      <c r="E19" s="21" t="s">
        <v>593</v>
      </c>
      <c r="F19" s="21" t="s">
        <v>594</v>
      </c>
      <c r="G19" s="21" t="s">
        <v>666</v>
      </c>
      <c r="H19" s="21" t="s">
        <v>596</v>
      </c>
    </row>
    <row r="20" customFormat="false" ht="23.85" hidden="false" customHeight="false" outlineLevel="0" collapsed="false">
      <c r="A20" s="21" t="s">
        <v>667</v>
      </c>
      <c r="B20" s="8" t="s">
        <v>668</v>
      </c>
      <c r="C20" s="21" t="s">
        <v>669</v>
      </c>
      <c r="D20" s="21" t="s">
        <v>670</v>
      </c>
      <c r="E20" s="21" t="s">
        <v>593</v>
      </c>
      <c r="F20" s="21" t="s">
        <v>594</v>
      </c>
      <c r="G20" s="21" t="s">
        <v>671</v>
      </c>
      <c r="H20" s="21" t="s">
        <v>596</v>
      </c>
    </row>
    <row r="21" customFormat="false" ht="23.85" hidden="false" customHeight="false" outlineLevel="0" collapsed="false">
      <c r="A21" s="21" t="s">
        <v>672</v>
      </c>
      <c r="B21" s="8" t="s">
        <v>673</v>
      </c>
      <c r="C21" s="21" t="s">
        <v>674</v>
      </c>
      <c r="D21" s="21" t="s">
        <v>670</v>
      </c>
      <c r="E21" s="21" t="s">
        <v>593</v>
      </c>
      <c r="F21" s="21" t="s">
        <v>594</v>
      </c>
      <c r="G21" s="21" t="s">
        <v>675</v>
      </c>
      <c r="H21" s="21" t="s">
        <v>596</v>
      </c>
    </row>
    <row r="22" customFormat="false" ht="23.85" hidden="false" customHeight="false" outlineLevel="0" collapsed="false">
      <c r="A22" s="21" t="s">
        <v>676</v>
      </c>
      <c r="B22" s="8" t="s">
        <v>677</v>
      </c>
      <c r="C22" s="21" t="s">
        <v>678</v>
      </c>
      <c r="D22" s="21" t="s">
        <v>670</v>
      </c>
      <c r="E22" s="21" t="s">
        <v>593</v>
      </c>
      <c r="F22" s="21" t="s">
        <v>594</v>
      </c>
      <c r="G22" s="21" t="s">
        <v>675</v>
      </c>
      <c r="H22" s="21" t="s">
        <v>596</v>
      </c>
    </row>
    <row r="23" customFormat="false" ht="15" hidden="false" customHeight="false" outlineLevel="0" collapsed="false">
      <c r="A23" s="21" t="s">
        <v>679</v>
      </c>
      <c r="B23" s="8" t="s">
        <v>680</v>
      </c>
      <c r="C23" s="21" t="s">
        <v>681</v>
      </c>
      <c r="D23" s="21" t="s">
        <v>670</v>
      </c>
      <c r="E23" s="21" t="s">
        <v>593</v>
      </c>
      <c r="F23" s="21" t="s">
        <v>594</v>
      </c>
      <c r="G23" s="21" t="s">
        <v>671</v>
      </c>
      <c r="H23" s="21" t="s">
        <v>596</v>
      </c>
    </row>
    <row r="24" customFormat="false" ht="15" hidden="false" customHeight="false" outlineLevel="0" collapsed="false">
      <c r="A24" s="21" t="s">
        <v>682</v>
      </c>
      <c r="B24" s="8" t="s">
        <v>683</v>
      </c>
      <c r="C24" s="21" t="s">
        <v>684</v>
      </c>
      <c r="D24" s="21" t="s">
        <v>670</v>
      </c>
      <c r="E24" s="21" t="s">
        <v>593</v>
      </c>
      <c r="F24" s="21" t="s">
        <v>594</v>
      </c>
      <c r="G24" s="21" t="s">
        <v>671</v>
      </c>
      <c r="H24" s="21" t="s">
        <v>596</v>
      </c>
    </row>
    <row r="25" customFormat="false" ht="23.85" hidden="false" customHeight="false" outlineLevel="0" collapsed="false">
      <c r="A25" s="21" t="s">
        <v>685</v>
      </c>
      <c r="B25" s="8" t="s">
        <v>686</v>
      </c>
      <c r="C25" s="21" t="s">
        <v>687</v>
      </c>
      <c r="D25" s="21" t="s">
        <v>670</v>
      </c>
      <c r="E25" s="21" t="s">
        <v>593</v>
      </c>
      <c r="F25" s="21" t="s">
        <v>594</v>
      </c>
      <c r="G25" s="21" t="s">
        <v>675</v>
      </c>
      <c r="H25" s="21" t="s">
        <v>596</v>
      </c>
    </row>
    <row r="26" customFormat="false" ht="23.85" hidden="false" customHeight="false" outlineLevel="0" collapsed="false">
      <c r="A26" s="21" t="s">
        <v>688</v>
      </c>
      <c r="B26" s="8" t="s">
        <v>689</v>
      </c>
      <c r="C26" s="21" t="s">
        <v>690</v>
      </c>
      <c r="D26" s="21" t="s">
        <v>691</v>
      </c>
      <c r="E26" s="21" t="s">
        <v>593</v>
      </c>
      <c r="F26" s="21" t="s">
        <v>594</v>
      </c>
      <c r="G26" s="21" t="s">
        <v>692</v>
      </c>
      <c r="H26" s="21" t="s">
        <v>651</v>
      </c>
    </row>
    <row r="27" customFormat="false" ht="23.85" hidden="false" customHeight="false" outlineLevel="0" collapsed="false">
      <c r="A27" s="21" t="s">
        <v>693</v>
      </c>
      <c r="B27" s="8" t="s">
        <v>694</v>
      </c>
      <c r="C27" s="21" t="s">
        <v>695</v>
      </c>
      <c r="D27" s="21" t="s">
        <v>696</v>
      </c>
      <c r="E27" s="21" t="s">
        <v>593</v>
      </c>
      <c r="F27" s="21" t="s">
        <v>594</v>
      </c>
      <c r="G27" s="21" t="s">
        <v>697</v>
      </c>
      <c r="H27" s="21" t="s">
        <v>651</v>
      </c>
    </row>
    <row r="28" customFormat="false" ht="23.85" hidden="false" customHeight="false" outlineLevel="0" collapsed="false">
      <c r="A28" s="21" t="s">
        <v>698</v>
      </c>
      <c r="B28" s="8" t="s">
        <v>699</v>
      </c>
      <c r="C28" s="21" t="s">
        <v>700</v>
      </c>
      <c r="D28" s="21" t="s">
        <v>701</v>
      </c>
      <c r="E28" s="21" t="s">
        <v>593</v>
      </c>
      <c r="F28" s="21" t="s">
        <v>594</v>
      </c>
      <c r="G28" s="21" t="s">
        <v>702</v>
      </c>
      <c r="H28" s="21" t="s">
        <v>627</v>
      </c>
    </row>
    <row r="29" customFormat="false" ht="23.85" hidden="false" customHeight="false" outlineLevel="0" collapsed="false">
      <c r="A29" s="21" t="s">
        <v>703</v>
      </c>
      <c r="B29" s="8" t="s">
        <v>704</v>
      </c>
      <c r="C29" s="21" t="s">
        <v>705</v>
      </c>
      <c r="D29" s="21" t="s">
        <v>706</v>
      </c>
      <c r="E29" s="21" t="s">
        <v>593</v>
      </c>
      <c r="F29" s="21" t="s">
        <v>594</v>
      </c>
      <c r="G29" s="21" t="s">
        <v>707</v>
      </c>
      <c r="H29" s="21" t="s">
        <v>627</v>
      </c>
    </row>
    <row r="30" customFormat="false" ht="23.85" hidden="false" customHeight="false" outlineLevel="0" collapsed="false">
      <c r="A30" s="21" t="s">
        <v>433</v>
      </c>
      <c r="B30" s="8" t="s">
        <v>708</v>
      </c>
      <c r="C30" s="21" t="s">
        <v>709</v>
      </c>
      <c r="D30" s="21" t="s">
        <v>710</v>
      </c>
      <c r="E30" s="21" t="s">
        <v>593</v>
      </c>
      <c r="F30" s="21" t="s">
        <v>594</v>
      </c>
      <c r="G30" s="21" t="s">
        <v>711</v>
      </c>
      <c r="H30" s="21" t="s">
        <v>651</v>
      </c>
    </row>
    <row r="31" customFormat="false" ht="35.05" hidden="false" customHeight="false" outlineLevel="0" collapsed="false">
      <c r="A31" s="21" t="s">
        <v>712</v>
      </c>
      <c r="B31" s="8" t="s">
        <v>713</v>
      </c>
      <c r="C31" s="21" t="s">
        <v>714</v>
      </c>
      <c r="D31" s="21" t="s">
        <v>715</v>
      </c>
      <c r="E31" s="21" t="s">
        <v>593</v>
      </c>
      <c r="F31" s="21" t="s">
        <v>594</v>
      </c>
      <c r="G31" s="21" t="s">
        <v>716</v>
      </c>
      <c r="H31" s="21" t="s">
        <v>596</v>
      </c>
    </row>
    <row r="32" customFormat="false" ht="35.05" hidden="false" customHeight="false" outlineLevel="0" collapsed="false">
      <c r="A32" s="21" t="s">
        <v>717</v>
      </c>
      <c r="B32" s="8" t="s">
        <v>718</v>
      </c>
      <c r="C32" s="21" t="s">
        <v>719</v>
      </c>
      <c r="D32" s="21" t="s">
        <v>720</v>
      </c>
      <c r="E32" s="21" t="s">
        <v>593</v>
      </c>
      <c r="F32" s="21" t="s">
        <v>594</v>
      </c>
      <c r="G32" s="21" t="s">
        <v>721</v>
      </c>
      <c r="H32" s="21" t="s">
        <v>651</v>
      </c>
    </row>
    <row r="33" customFormat="false" ht="23.85" hidden="false" customHeight="false" outlineLevel="0" collapsed="false">
      <c r="A33" s="21" t="s">
        <v>445</v>
      </c>
      <c r="B33" s="8" t="s">
        <v>722</v>
      </c>
      <c r="C33" s="21" t="s">
        <v>723</v>
      </c>
      <c r="D33" s="21" t="s">
        <v>724</v>
      </c>
      <c r="E33" s="21" t="s">
        <v>593</v>
      </c>
      <c r="F33" s="21" t="s">
        <v>594</v>
      </c>
      <c r="G33" s="21" t="s">
        <v>725</v>
      </c>
      <c r="H33" s="21" t="s">
        <v>651</v>
      </c>
    </row>
    <row r="34" customFormat="false" ht="23.85" hidden="false" customHeight="false" outlineLevel="0" collapsed="false">
      <c r="A34" s="21" t="s">
        <v>726</v>
      </c>
      <c r="B34" s="8" t="s">
        <v>727</v>
      </c>
      <c r="C34" s="21" t="s">
        <v>728</v>
      </c>
      <c r="D34" s="21" t="s">
        <v>724</v>
      </c>
      <c r="E34" s="21" t="s">
        <v>593</v>
      </c>
      <c r="F34" s="21" t="s">
        <v>594</v>
      </c>
      <c r="G34" s="21" t="s">
        <v>729</v>
      </c>
      <c r="H34" s="21" t="s">
        <v>651</v>
      </c>
    </row>
    <row r="35" customFormat="false" ht="23.85" hidden="false" customHeight="false" outlineLevel="0" collapsed="false">
      <c r="A35" s="21" t="s">
        <v>67</v>
      </c>
      <c r="B35" s="8" t="s">
        <v>730</v>
      </c>
      <c r="C35" s="21" t="s">
        <v>731</v>
      </c>
      <c r="D35" s="21" t="s">
        <v>732</v>
      </c>
      <c r="E35" s="21" t="s">
        <v>593</v>
      </c>
      <c r="F35" s="21" t="s">
        <v>594</v>
      </c>
      <c r="G35" s="21" t="s">
        <v>733</v>
      </c>
      <c r="H35" s="21" t="s">
        <v>596</v>
      </c>
    </row>
    <row r="36" customFormat="false" ht="23.85" hidden="false" customHeight="false" outlineLevel="0" collapsed="false">
      <c r="A36" s="21" t="s">
        <v>29</v>
      </c>
      <c r="B36" s="8" t="s">
        <v>734</v>
      </c>
      <c r="C36" s="21" t="s">
        <v>735</v>
      </c>
      <c r="D36" s="21" t="s">
        <v>736</v>
      </c>
      <c r="E36" s="21" t="s">
        <v>593</v>
      </c>
      <c r="F36" s="21" t="s">
        <v>594</v>
      </c>
      <c r="G36" s="21" t="s">
        <v>737</v>
      </c>
      <c r="H36" s="21" t="s">
        <v>627</v>
      </c>
    </row>
    <row r="37" customFormat="false" ht="23.85" hidden="false" customHeight="false" outlineLevel="0" collapsed="false">
      <c r="A37" s="21" t="s">
        <v>738</v>
      </c>
      <c r="B37" s="8" t="s">
        <v>739</v>
      </c>
      <c r="C37" s="21" t="s">
        <v>740</v>
      </c>
      <c r="D37" s="21" t="s">
        <v>741</v>
      </c>
      <c r="E37" s="21" t="s">
        <v>593</v>
      </c>
      <c r="F37" s="21" t="s">
        <v>594</v>
      </c>
      <c r="G37" s="21" t="s">
        <v>742</v>
      </c>
      <c r="H37" s="21" t="s">
        <v>651</v>
      </c>
    </row>
    <row r="38" customFormat="false" ht="23.85" hidden="false" customHeight="false" outlineLevel="0" collapsed="false">
      <c r="A38" s="21" t="s">
        <v>743</v>
      </c>
      <c r="B38" s="8" t="s">
        <v>744</v>
      </c>
      <c r="C38" s="21" t="s">
        <v>745</v>
      </c>
      <c r="D38" s="21" t="s">
        <v>746</v>
      </c>
      <c r="E38" s="21" t="s">
        <v>593</v>
      </c>
      <c r="F38" s="21" t="s">
        <v>594</v>
      </c>
      <c r="G38" s="21" t="s">
        <v>747</v>
      </c>
      <c r="H38" s="21" t="s">
        <v>596</v>
      </c>
    </row>
    <row r="39" customFormat="false" ht="23.85" hidden="false" customHeight="false" outlineLevel="0" collapsed="false">
      <c r="A39" s="21" t="s">
        <v>748</v>
      </c>
      <c r="B39" s="8" t="s">
        <v>749</v>
      </c>
      <c r="C39" s="21" t="s">
        <v>750</v>
      </c>
      <c r="D39" s="21" t="s">
        <v>724</v>
      </c>
      <c r="E39" s="21" t="s">
        <v>593</v>
      </c>
      <c r="F39" s="21" t="s">
        <v>594</v>
      </c>
      <c r="G39" s="21" t="s">
        <v>751</v>
      </c>
      <c r="H39" s="21" t="s">
        <v>651</v>
      </c>
    </row>
    <row r="40" customFormat="false" ht="23.85" hidden="false" customHeight="false" outlineLevel="0" collapsed="false">
      <c r="A40" s="21" t="s">
        <v>752</v>
      </c>
      <c r="B40" s="8" t="s">
        <v>753</v>
      </c>
      <c r="C40" s="21" t="s">
        <v>754</v>
      </c>
      <c r="D40" s="21" t="s">
        <v>755</v>
      </c>
      <c r="E40" s="21" t="s">
        <v>593</v>
      </c>
      <c r="F40" s="21" t="s">
        <v>594</v>
      </c>
      <c r="G40" s="21" t="s">
        <v>756</v>
      </c>
      <c r="H40" s="21" t="s">
        <v>596</v>
      </c>
    </row>
    <row r="41" customFormat="false" ht="35.05" hidden="false" customHeight="false" outlineLevel="0" collapsed="false">
      <c r="A41" s="21" t="s">
        <v>407</v>
      </c>
      <c r="B41" s="8" t="s">
        <v>757</v>
      </c>
      <c r="C41" s="21" t="s">
        <v>758</v>
      </c>
      <c r="D41" s="21" t="s">
        <v>759</v>
      </c>
      <c r="E41" s="21" t="s">
        <v>593</v>
      </c>
      <c r="F41" s="21" t="s">
        <v>594</v>
      </c>
      <c r="G41" s="21" t="s">
        <v>760</v>
      </c>
      <c r="H41" s="21" t="s">
        <v>627</v>
      </c>
    </row>
    <row r="42" customFormat="false" ht="35.05" hidden="false" customHeight="false" outlineLevel="0" collapsed="false">
      <c r="A42" s="21" t="s">
        <v>761</v>
      </c>
      <c r="B42" s="8" t="s">
        <v>762</v>
      </c>
      <c r="C42" s="21" t="s">
        <v>763</v>
      </c>
      <c r="D42" s="21" t="s">
        <v>764</v>
      </c>
      <c r="E42" s="21" t="s">
        <v>593</v>
      </c>
      <c r="F42" s="21" t="s">
        <v>594</v>
      </c>
      <c r="G42" s="21" t="s">
        <v>765</v>
      </c>
      <c r="H42" s="21" t="s">
        <v>651</v>
      </c>
    </row>
    <row r="43" customFormat="false" ht="23.85" hidden="false" customHeight="false" outlineLevel="0" collapsed="false">
      <c r="A43" s="21" t="s">
        <v>766</v>
      </c>
      <c r="B43" s="8" t="s">
        <v>767</v>
      </c>
      <c r="C43" s="21" t="s">
        <v>768</v>
      </c>
      <c r="D43" s="21" t="s">
        <v>764</v>
      </c>
      <c r="E43" s="21" t="s">
        <v>593</v>
      </c>
      <c r="F43" s="21" t="s">
        <v>594</v>
      </c>
      <c r="G43" s="21" t="s">
        <v>769</v>
      </c>
      <c r="H43" s="21" t="s">
        <v>651</v>
      </c>
    </row>
    <row r="44" customFormat="false" ht="23.85" hidden="false" customHeight="false" outlineLevel="0" collapsed="false">
      <c r="A44" s="21" t="s">
        <v>770</v>
      </c>
      <c r="B44" s="8" t="s">
        <v>771</v>
      </c>
      <c r="C44" s="21" t="s">
        <v>772</v>
      </c>
      <c r="D44" s="21" t="s">
        <v>691</v>
      </c>
      <c r="E44" s="21" t="s">
        <v>593</v>
      </c>
      <c r="F44" s="21" t="s">
        <v>601</v>
      </c>
      <c r="G44" s="21" t="s">
        <v>773</v>
      </c>
      <c r="H44" s="21" t="s">
        <v>651</v>
      </c>
    </row>
    <row r="45" customFormat="false" ht="23.85" hidden="false" customHeight="false" outlineLevel="0" collapsed="false">
      <c r="A45" s="21" t="s">
        <v>774</v>
      </c>
      <c r="B45" s="8" t="s">
        <v>775</v>
      </c>
      <c r="C45" s="21" t="s">
        <v>776</v>
      </c>
      <c r="D45" s="21" t="s">
        <v>724</v>
      </c>
      <c r="E45" s="21" t="s">
        <v>593</v>
      </c>
      <c r="F45" s="21" t="s">
        <v>594</v>
      </c>
      <c r="G45" s="21" t="s">
        <v>777</v>
      </c>
      <c r="H45" s="21" t="s">
        <v>651</v>
      </c>
    </row>
    <row r="46" customFormat="false" ht="23.85" hidden="false" customHeight="false" outlineLevel="0" collapsed="false">
      <c r="A46" s="21" t="s">
        <v>778</v>
      </c>
      <c r="B46" s="8" t="s">
        <v>779</v>
      </c>
      <c r="C46" s="21" t="s">
        <v>780</v>
      </c>
      <c r="D46" s="21" t="s">
        <v>781</v>
      </c>
      <c r="E46" s="21" t="s">
        <v>593</v>
      </c>
      <c r="F46" s="21" t="s">
        <v>594</v>
      </c>
      <c r="G46" s="21" t="s">
        <v>782</v>
      </c>
      <c r="H46" s="21" t="s">
        <v>651</v>
      </c>
    </row>
    <row r="47" customFormat="false" ht="23.85" hidden="false" customHeight="false" outlineLevel="0" collapsed="false">
      <c r="A47" s="21" t="s">
        <v>783</v>
      </c>
      <c r="B47" s="8" t="s">
        <v>784</v>
      </c>
      <c r="C47" s="21" t="s">
        <v>785</v>
      </c>
      <c r="D47" s="21" t="s">
        <v>724</v>
      </c>
      <c r="E47" s="21" t="s">
        <v>593</v>
      </c>
      <c r="F47" s="21" t="s">
        <v>594</v>
      </c>
      <c r="G47" s="21" t="s">
        <v>786</v>
      </c>
      <c r="H47" s="21" t="s">
        <v>651</v>
      </c>
    </row>
    <row r="48" customFormat="false" ht="23.85" hidden="false" customHeight="false" outlineLevel="0" collapsed="false">
      <c r="A48" s="21" t="s">
        <v>787</v>
      </c>
      <c r="B48" s="8" t="s">
        <v>788</v>
      </c>
      <c r="C48" s="21" t="s">
        <v>789</v>
      </c>
      <c r="D48" s="21" t="s">
        <v>790</v>
      </c>
      <c r="E48" s="21" t="s">
        <v>593</v>
      </c>
      <c r="F48" s="21" t="s">
        <v>601</v>
      </c>
      <c r="G48" s="21" t="s">
        <v>791</v>
      </c>
      <c r="H48" s="21" t="s">
        <v>627</v>
      </c>
    </row>
    <row r="49" customFormat="false" ht="15" hidden="false" customHeight="false" outlineLevel="0" collapsed="false">
      <c r="A49" s="21" t="s">
        <v>792</v>
      </c>
      <c r="B49" s="8" t="s">
        <v>793</v>
      </c>
      <c r="C49" s="21" t="s">
        <v>794</v>
      </c>
      <c r="D49" s="21" t="s">
        <v>790</v>
      </c>
      <c r="E49" s="21" t="s">
        <v>593</v>
      </c>
      <c r="F49" s="21" t="s">
        <v>601</v>
      </c>
      <c r="G49" s="21" t="s">
        <v>791</v>
      </c>
      <c r="H49" s="21" t="s">
        <v>627</v>
      </c>
    </row>
    <row r="50" customFormat="false" ht="15" hidden="false" customHeight="false" outlineLevel="0" collapsed="false">
      <c r="A50" s="21" t="s">
        <v>795</v>
      </c>
      <c r="B50" s="8" t="s">
        <v>796</v>
      </c>
      <c r="C50" s="21" t="s">
        <v>797</v>
      </c>
      <c r="D50" s="21" t="s">
        <v>790</v>
      </c>
      <c r="E50" s="21" t="s">
        <v>593</v>
      </c>
      <c r="F50" s="21" t="s">
        <v>601</v>
      </c>
      <c r="G50" s="21" t="s">
        <v>791</v>
      </c>
      <c r="H50" s="21" t="s">
        <v>627</v>
      </c>
    </row>
    <row r="51" customFormat="false" ht="23.85" hidden="false" customHeight="false" outlineLevel="0" collapsed="false">
      <c r="A51" s="21" t="s">
        <v>798</v>
      </c>
      <c r="B51" s="8" t="s">
        <v>799</v>
      </c>
      <c r="C51" s="21" t="s">
        <v>800</v>
      </c>
      <c r="D51" s="21" t="s">
        <v>801</v>
      </c>
      <c r="E51" s="21" t="s">
        <v>593</v>
      </c>
      <c r="F51" s="21" t="s">
        <v>601</v>
      </c>
      <c r="G51" s="21" t="s">
        <v>802</v>
      </c>
      <c r="H51" s="21" t="s">
        <v>627</v>
      </c>
    </row>
    <row r="52" customFormat="false" ht="23.85" hidden="false" customHeight="false" outlineLevel="0" collapsed="false">
      <c r="A52" s="21" t="s">
        <v>803</v>
      </c>
      <c r="B52" s="8" t="s">
        <v>804</v>
      </c>
      <c r="C52" s="21" t="s">
        <v>805</v>
      </c>
      <c r="D52" s="21" t="s">
        <v>806</v>
      </c>
      <c r="E52" s="21" t="s">
        <v>593</v>
      </c>
      <c r="F52" s="21" t="s">
        <v>601</v>
      </c>
      <c r="G52" s="21" t="s">
        <v>802</v>
      </c>
      <c r="H52" s="21" t="s">
        <v>627</v>
      </c>
    </row>
    <row r="53" customFormat="false" ht="15" hidden="false" customHeight="false" outlineLevel="0" collapsed="false">
      <c r="A53" s="21" t="s">
        <v>807</v>
      </c>
      <c r="B53" s="8" t="s">
        <v>808</v>
      </c>
      <c r="C53" s="21" t="s">
        <v>809</v>
      </c>
      <c r="D53" s="21" t="s">
        <v>724</v>
      </c>
      <c r="E53" s="21" t="s">
        <v>593</v>
      </c>
      <c r="F53" s="21" t="s">
        <v>594</v>
      </c>
      <c r="G53" s="21" t="s">
        <v>810</v>
      </c>
      <c r="H53" s="21" t="s">
        <v>651</v>
      </c>
    </row>
    <row r="54" customFormat="false" ht="23.85" hidden="false" customHeight="false" outlineLevel="0" collapsed="false">
      <c r="A54" s="21" t="s">
        <v>811</v>
      </c>
      <c r="B54" s="8" t="s">
        <v>812</v>
      </c>
      <c r="C54" s="21" t="s">
        <v>813</v>
      </c>
      <c r="D54" s="21" t="s">
        <v>724</v>
      </c>
      <c r="E54" s="21" t="s">
        <v>593</v>
      </c>
      <c r="F54" s="21" t="s">
        <v>594</v>
      </c>
      <c r="G54" s="21" t="s">
        <v>814</v>
      </c>
      <c r="H54" s="21" t="s">
        <v>651</v>
      </c>
    </row>
    <row r="55" customFormat="false" ht="23.85" hidden="false" customHeight="false" outlineLevel="0" collapsed="false">
      <c r="A55" s="21" t="s">
        <v>815</v>
      </c>
      <c r="B55" s="8" t="s">
        <v>816</v>
      </c>
      <c r="C55" s="21" t="s">
        <v>817</v>
      </c>
      <c r="D55" s="21" t="s">
        <v>818</v>
      </c>
      <c r="E55" s="21" t="s">
        <v>593</v>
      </c>
      <c r="F55" s="21" t="s">
        <v>594</v>
      </c>
      <c r="G55" s="21" t="s">
        <v>819</v>
      </c>
      <c r="H55" s="21" t="s">
        <v>596</v>
      </c>
    </row>
    <row r="56" customFormat="false" ht="23.85" hidden="false" customHeight="false" outlineLevel="0" collapsed="false">
      <c r="A56" s="21" t="s">
        <v>820</v>
      </c>
      <c r="B56" s="8" t="s">
        <v>821</v>
      </c>
      <c r="C56" s="21" t="s">
        <v>822</v>
      </c>
      <c r="D56" s="21" t="s">
        <v>823</v>
      </c>
      <c r="E56" s="21" t="s">
        <v>593</v>
      </c>
      <c r="F56" s="21" t="s">
        <v>594</v>
      </c>
      <c r="G56" s="21" t="s">
        <v>824</v>
      </c>
      <c r="H56" s="21" t="s">
        <v>596</v>
      </c>
    </row>
    <row r="57" customFormat="false" ht="23.85" hidden="false" customHeight="false" outlineLevel="0" collapsed="false">
      <c r="A57" s="21" t="s">
        <v>825</v>
      </c>
      <c r="B57" s="8" t="s">
        <v>826</v>
      </c>
      <c r="C57" s="21" t="s">
        <v>827</v>
      </c>
      <c r="D57" s="21" t="s">
        <v>828</v>
      </c>
      <c r="E57" s="21" t="s">
        <v>593</v>
      </c>
      <c r="F57" s="21" t="s">
        <v>594</v>
      </c>
      <c r="G57" s="21" t="s">
        <v>819</v>
      </c>
      <c r="H57" s="21" t="s">
        <v>596</v>
      </c>
    </row>
    <row r="58" customFormat="false" ht="23.85" hidden="false" customHeight="false" outlineLevel="0" collapsed="false">
      <c r="A58" s="21" t="s">
        <v>829</v>
      </c>
      <c r="B58" s="8" t="s">
        <v>830</v>
      </c>
      <c r="C58" s="21" t="s">
        <v>831</v>
      </c>
      <c r="D58" s="21" t="s">
        <v>828</v>
      </c>
      <c r="E58" s="21" t="s">
        <v>593</v>
      </c>
      <c r="F58" s="21" t="s">
        <v>601</v>
      </c>
      <c r="G58" s="21" t="s">
        <v>832</v>
      </c>
      <c r="H58" s="21" t="s">
        <v>596</v>
      </c>
    </row>
    <row r="59" customFormat="false" ht="23.85" hidden="false" customHeight="false" outlineLevel="0" collapsed="false">
      <c r="A59" s="21" t="s">
        <v>833</v>
      </c>
      <c r="B59" s="8" t="s">
        <v>834</v>
      </c>
      <c r="C59" s="21" t="s">
        <v>835</v>
      </c>
      <c r="D59" s="21" t="s">
        <v>836</v>
      </c>
      <c r="E59" s="21" t="s">
        <v>593</v>
      </c>
      <c r="F59" s="21" t="s">
        <v>594</v>
      </c>
      <c r="G59" s="21" t="s">
        <v>819</v>
      </c>
      <c r="H59" s="21" t="s">
        <v>651</v>
      </c>
    </row>
    <row r="60" customFormat="false" ht="35.05" hidden="false" customHeight="false" outlineLevel="0" collapsed="false">
      <c r="A60" s="21" t="s">
        <v>837</v>
      </c>
      <c r="B60" s="8" t="s">
        <v>838</v>
      </c>
      <c r="C60" s="21" t="s">
        <v>839</v>
      </c>
      <c r="D60" s="21" t="s">
        <v>840</v>
      </c>
      <c r="E60" s="21" t="s">
        <v>593</v>
      </c>
      <c r="F60" s="21" t="s">
        <v>601</v>
      </c>
      <c r="G60" s="21" t="s">
        <v>832</v>
      </c>
      <c r="H60" s="21" t="s">
        <v>596</v>
      </c>
    </row>
    <row r="61" customFormat="false" ht="23.85" hidden="false" customHeight="false" outlineLevel="0" collapsed="false">
      <c r="A61" s="21" t="s">
        <v>841</v>
      </c>
      <c r="B61" s="8" t="s">
        <v>842</v>
      </c>
      <c r="C61" s="21" t="s">
        <v>843</v>
      </c>
      <c r="D61" s="21" t="s">
        <v>844</v>
      </c>
      <c r="E61" s="21" t="s">
        <v>593</v>
      </c>
      <c r="F61" s="21" t="s">
        <v>594</v>
      </c>
      <c r="G61" s="21" t="s">
        <v>819</v>
      </c>
      <c r="H61" s="21" t="s">
        <v>651</v>
      </c>
    </row>
    <row r="62" customFormat="false" ht="23.85" hidden="false" customHeight="false" outlineLevel="0" collapsed="false">
      <c r="A62" s="21" t="s">
        <v>845</v>
      </c>
      <c r="B62" s="8" t="s">
        <v>846</v>
      </c>
      <c r="C62" s="21" t="s">
        <v>847</v>
      </c>
      <c r="D62" s="21" t="s">
        <v>828</v>
      </c>
      <c r="E62" s="21" t="s">
        <v>593</v>
      </c>
      <c r="F62" s="21" t="s">
        <v>601</v>
      </c>
      <c r="G62" s="21" t="s">
        <v>832</v>
      </c>
      <c r="H62" s="21" t="s">
        <v>627</v>
      </c>
    </row>
    <row r="63" customFormat="false" ht="35.05" hidden="false" customHeight="false" outlineLevel="0" collapsed="false">
      <c r="A63" s="21" t="s">
        <v>188</v>
      </c>
      <c r="B63" s="8" t="s">
        <v>848</v>
      </c>
      <c r="C63" s="21" t="s">
        <v>849</v>
      </c>
      <c r="D63" s="21" t="s">
        <v>850</v>
      </c>
      <c r="E63" s="21" t="s">
        <v>593</v>
      </c>
      <c r="F63" s="21" t="s">
        <v>594</v>
      </c>
      <c r="G63" s="21" t="s">
        <v>851</v>
      </c>
      <c r="H63" s="21" t="s">
        <v>651</v>
      </c>
    </row>
    <row r="64" customFormat="false" ht="23.85" hidden="false" customHeight="false" outlineLevel="0" collapsed="false">
      <c r="A64" s="21" t="s">
        <v>852</v>
      </c>
      <c r="B64" s="8" t="s">
        <v>853</v>
      </c>
      <c r="C64" s="21" t="s">
        <v>854</v>
      </c>
      <c r="D64" s="21" t="s">
        <v>724</v>
      </c>
      <c r="E64" s="21" t="s">
        <v>593</v>
      </c>
      <c r="F64" s="21" t="s">
        <v>594</v>
      </c>
      <c r="G64" s="21" t="s">
        <v>855</v>
      </c>
      <c r="H64" s="21" t="s">
        <v>651</v>
      </c>
    </row>
    <row r="65" customFormat="false" ht="23.85" hidden="false" customHeight="false" outlineLevel="0" collapsed="false">
      <c r="A65" s="21" t="s">
        <v>856</v>
      </c>
      <c r="B65" s="8" t="s">
        <v>857</v>
      </c>
      <c r="C65" s="21" t="s">
        <v>858</v>
      </c>
      <c r="D65" s="21" t="s">
        <v>724</v>
      </c>
      <c r="E65" s="21" t="s">
        <v>593</v>
      </c>
      <c r="F65" s="21" t="s">
        <v>594</v>
      </c>
      <c r="G65" s="21" t="s">
        <v>859</v>
      </c>
      <c r="H65" s="21" t="s">
        <v>651</v>
      </c>
    </row>
    <row r="66" customFormat="false" ht="23.85" hidden="false" customHeight="false" outlineLevel="0" collapsed="false">
      <c r="A66" s="21" t="s">
        <v>860</v>
      </c>
      <c r="B66" s="8" t="s">
        <v>861</v>
      </c>
      <c r="C66" s="21" t="s">
        <v>862</v>
      </c>
      <c r="D66" s="21" t="s">
        <v>863</v>
      </c>
      <c r="E66" s="21" t="s">
        <v>593</v>
      </c>
      <c r="F66" s="21" t="s">
        <v>594</v>
      </c>
      <c r="G66" s="21" t="s">
        <v>864</v>
      </c>
      <c r="H66" s="21" t="s">
        <v>651</v>
      </c>
    </row>
    <row r="67" customFormat="false" ht="15" hidden="false" customHeight="false" outlineLevel="0" collapsed="false">
      <c r="A67" s="21" t="s">
        <v>865</v>
      </c>
      <c r="B67" s="8" t="s">
        <v>866</v>
      </c>
      <c r="C67" s="21" t="s">
        <v>867</v>
      </c>
      <c r="D67" s="21" t="s">
        <v>868</v>
      </c>
      <c r="E67" s="21" t="s">
        <v>593</v>
      </c>
      <c r="F67" s="21" t="s">
        <v>594</v>
      </c>
      <c r="G67" s="21" t="s">
        <v>869</v>
      </c>
      <c r="H67" s="21" t="s">
        <v>596</v>
      </c>
    </row>
    <row r="68" customFormat="false" ht="23.85" hidden="false" customHeight="false" outlineLevel="0" collapsed="false">
      <c r="A68" s="21" t="s">
        <v>870</v>
      </c>
      <c r="B68" s="8" t="s">
        <v>871</v>
      </c>
      <c r="C68" s="21" t="s">
        <v>872</v>
      </c>
      <c r="D68" s="21" t="s">
        <v>873</v>
      </c>
      <c r="E68" s="21" t="s">
        <v>593</v>
      </c>
      <c r="F68" s="21" t="s">
        <v>594</v>
      </c>
      <c r="G68" s="21" t="s">
        <v>874</v>
      </c>
      <c r="H68" s="21" t="s">
        <v>651</v>
      </c>
    </row>
    <row r="69" customFormat="false" ht="23.85" hidden="false" customHeight="false" outlineLevel="0" collapsed="false">
      <c r="A69" s="21" t="s">
        <v>875</v>
      </c>
      <c r="B69" s="8" t="s">
        <v>876</v>
      </c>
      <c r="C69" s="21" t="s">
        <v>877</v>
      </c>
      <c r="D69" s="21" t="s">
        <v>878</v>
      </c>
      <c r="E69" s="21" t="s">
        <v>593</v>
      </c>
      <c r="F69" s="21" t="s">
        <v>594</v>
      </c>
      <c r="G69" s="21" t="s">
        <v>879</v>
      </c>
      <c r="H69" s="21" t="s">
        <v>651</v>
      </c>
    </row>
    <row r="70" customFormat="false" ht="23.85" hidden="false" customHeight="false" outlineLevel="0" collapsed="false">
      <c r="A70" s="21" t="s">
        <v>880</v>
      </c>
      <c r="B70" s="8" t="s">
        <v>881</v>
      </c>
      <c r="C70" s="21" t="s">
        <v>882</v>
      </c>
      <c r="D70" s="21" t="s">
        <v>878</v>
      </c>
      <c r="E70" s="21" t="s">
        <v>593</v>
      </c>
      <c r="F70" s="21" t="s">
        <v>594</v>
      </c>
      <c r="G70" s="21" t="s">
        <v>883</v>
      </c>
      <c r="H70" s="21" t="s">
        <v>651</v>
      </c>
    </row>
    <row r="71" customFormat="false" ht="23.85" hidden="false" customHeight="false" outlineLevel="0" collapsed="false">
      <c r="A71" s="21" t="s">
        <v>884</v>
      </c>
      <c r="B71" s="8" t="s">
        <v>885</v>
      </c>
      <c r="C71" s="21" t="s">
        <v>886</v>
      </c>
      <c r="D71" s="21" t="s">
        <v>887</v>
      </c>
      <c r="E71" s="21" t="s">
        <v>593</v>
      </c>
      <c r="F71" s="21" t="s">
        <v>601</v>
      </c>
      <c r="G71" s="21" t="s">
        <v>888</v>
      </c>
      <c r="H71" s="21" t="s">
        <v>596</v>
      </c>
    </row>
    <row r="72" customFormat="false" ht="35.05" hidden="false" customHeight="false" outlineLevel="0" collapsed="false">
      <c r="A72" s="21" t="s">
        <v>889</v>
      </c>
      <c r="B72" s="8" t="s">
        <v>890</v>
      </c>
      <c r="C72" s="21" t="s">
        <v>891</v>
      </c>
      <c r="D72" s="21" t="s">
        <v>892</v>
      </c>
      <c r="E72" s="21" t="s">
        <v>593</v>
      </c>
      <c r="F72" s="21" t="s">
        <v>594</v>
      </c>
      <c r="G72" s="21" t="s">
        <v>893</v>
      </c>
      <c r="H72" s="21" t="s">
        <v>651</v>
      </c>
    </row>
    <row r="73" customFormat="false" ht="23.85" hidden="false" customHeight="false" outlineLevel="0" collapsed="false">
      <c r="A73" s="21" t="s">
        <v>894</v>
      </c>
      <c r="B73" s="8" t="s">
        <v>895</v>
      </c>
      <c r="C73" s="21" t="s">
        <v>896</v>
      </c>
      <c r="D73" s="21" t="s">
        <v>897</v>
      </c>
      <c r="E73" s="21" t="s">
        <v>593</v>
      </c>
      <c r="F73" s="21" t="s">
        <v>601</v>
      </c>
      <c r="G73" s="21" t="s">
        <v>898</v>
      </c>
      <c r="H73" s="21" t="s">
        <v>596</v>
      </c>
    </row>
    <row r="74" customFormat="false" ht="23.85" hidden="false" customHeight="false" outlineLevel="0" collapsed="false">
      <c r="A74" s="21" t="s">
        <v>899</v>
      </c>
      <c r="B74" s="8" t="s">
        <v>900</v>
      </c>
      <c r="C74" s="21" t="s">
        <v>901</v>
      </c>
      <c r="D74" s="21" t="s">
        <v>897</v>
      </c>
      <c r="E74" s="21" t="s">
        <v>593</v>
      </c>
      <c r="F74" s="21" t="s">
        <v>601</v>
      </c>
      <c r="G74" s="21" t="s">
        <v>898</v>
      </c>
      <c r="H74" s="21" t="s">
        <v>596</v>
      </c>
    </row>
    <row r="75" customFormat="false" ht="35.05" hidden="false" customHeight="false" outlineLevel="0" collapsed="false">
      <c r="A75" s="21" t="s">
        <v>902</v>
      </c>
      <c r="B75" s="8" t="s">
        <v>903</v>
      </c>
      <c r="C75" s="21" t="s">
        <v>904</v>
      </c>
      <c r="D75" s="21" t="s">
        <v>905</v>
      </c>
      <c r="E75" s="21" t="s">
        <v>593</v>
      </c>
      <c r="F75" s="21" t="s">
        <v>601</v>
      </c>
      <c r="G75" s="21" t="s">
        <v>906</v>
      </c>
      <c r="H75" s="21" t="s">
        <v>627</v>
      </c>
    </row>
    <row r="76" customFormat="false" ht="35.05" hidden="false" customHeight="false" outlineLevel="0" collapsed="false">
      <c r="A76" s="21" t="s">
        <v>907</v>
      </c>
      <c r="B76" s="8" t="s">
        <v>908</v>
      </c>
      <c r="C76" s="21" t="s">
        <v>909</v>
      </c>
      <c r="D76" s="21" t="s">
        <v>910</v>
      </c>
      <c r="E76" s="21" t="s">
        <v>593</v>
      </c>
      <c r="F76" s="21" t="s">
        <v>594</v>
      </c>
      <c r="G76" s="21" t="s">
        <v>911</v>
      </c>
      <c r="H76" s="21" t="s">
        <v>596</v>
      </c>
    </row>
    <row r="77" customFormat="false" ht="35.05" hidden="false" customHeight="false" outlineLevel="0" collapsed="false">
      <c r="A77" s="21" t="s">
        <v>912</v>
      </c>
      <c r="B77" s="8" t="s">
        <v>913</v>
      </c>
      <c r="C77" s="21" t="s">
        <v>914</v>
      </c>
      <c r="D77" s="21" t="s">
        <v>915</v>
      </c>
      <c r="E77" s="21" t="s">
        <v>593</v>
      </c>
      <c r="F77" s="21" t="s">
        <v>601</v>
      </c>
      <c r="G77" s="21" t="s">
        <v>916</v>
      </c>
      <c r="H77" s="21" t="s">
        <v>596</v>
      </c>
    </row>
    <row r="78" customFormat="false" ht="35.05" hidden="false" customHeight="false" outlineLevel="0" collapsed="false">
      <c r="A78" s="21" t="s">
        <v>917</v>
      </c>
      <c r="B78" s="8" t="s">
        <v>918</v>
      </c>
      <c r="C78" s="21" t="s">
        <v>919</v>
      </c>
      <c r="D78" s="21" t="s">
        <v>897</v>
      </c>
      <c r="E78" s="21" t="s">
        <v>593</v>
      </c>
      <c r="F78" s="21" t="s">
        <v>601</v>
      </c>
      <c r="G78" s="21" t="s">
        <v>920</v>
      </c>
      <c r="H78" s="21" t="s">
        <v>627</v>
      </c>
    </row>
    <row r="79" customFormat="false" ht="23.85" hidden="false" customHeight="false" outlineLevel="0" collapsed="false">
      <c r="A79" s="21" t="s">
        <v>152</v>
      </c>
      <c r="B79" s="8" t="s">
        <v>921</v>
      </c>
      <c r="C79" s="21" t="s">
        <v>922</v>
      </c>
      <c r="D79" s="21" t="s">
        <v>923</v>
      </c>
      <c r="E79" s="21" t="s">
        <v>593</v>
      </c>
      <c r="F79" s="21" t="s">
        <v>594</v>
      </c>
      <c r="G79" s="21" t="s">
        <v>924</v>
      </c>
      <c r="H79" s="21" t="s">
        <v>627</v>
      </c>
    </row>
    <row r="80" customFormat="false" ht="23.85" hidden="false" customHeight="false" outlineLevel="0" collapsed="false">
      <c r="A80" s="21" t="s">
        <v>125</v>
      </c>
      <c r="B80" s="8" t="s">
        <v>925</v>
      </c>
      <c r="C80" s="21" t="s">
        <v>926</v>
      </c>
      <c r="D80" s="21" t="s">
        <v>923</v>
      </c>
      <c r="E80" s="21" t="s">
        <v>593</v>
      </c>
      <c r="F80" s="21" t="s">
        <v>594</v>
      </c>
      <c r="G80" s="21" t="s">
        <v>924</v>
      </c>
      <c r="H80" s="21" t="s">
        <v>627</v>
      </c>
    </row>
    <row r="81" customFormat="false" ht="23.85" hidden="false" customHeight="false" outlineLevel="0" collapsed="false">
      <c r="A81" s="21" t="s">
        <v>927</v>
      </c>
      <c r="B81" s="8" t="s">
        <v>928</v>
      </c>
      <c r="C81" s="21" t="s">
        <v>929</v>
      </c>
      <c r="D81" s="21" t="s">
        <v>897</v>
      </c>
      <c r="E81" s="21" t="s">
        <v>593</v>
      </c>
      <c r="F81" s="21" t="s">
        <v>601</v>
      </c>
      <c r="G81" s="21" t="s">
        <v>930</v>
      </c>
      <c r="H81" s="21" t="s">
        <v>596</v>
      </c>
    </row>
    <row r="82" customFormat="false" ht="35.05" hidden="false" customHeight="false" outlineLevel="0" collapsed="false">
      <c r="A82" s="21" t="s">
        <v>109</v>
      </c>
      <c r="B82" s="8" t="s">
        <v>931</v>
      </c>
      <c r="C82" s="21" t="s">
        <v>932</v>
      </c>
      <c r="D82" s="21" t="s">
        <v>933</v>
      </c>
      <c r="E82" s="21" t="s">
        <v>593</v>
      </c>
      <c r="F82" s="21" t="s">
        <v>594</v>
      </c>
      <c r="G82" s="21" t="s">
        <v>934</v>
      </c>
      <c r="H82" s="21" t="s">
        <v>651</v>
      </c>
    </row>
    <row r="83" customFormat="false" ht="23.85" hidden="false" customHeight="false" outlineLevel="0" collapsed="false">
      <c r="A83" s="21" t="s">
        <v>935</v>
      </c>
      <c r="B83" s="8" t="s">
        <v>936</v>
      </c>
      <c r="C83" s="21" t="s">
        <v>937</v>
      </c>
      <c r="D83" s="21" t="s">
        <v>878</v>
      </c>
      <c r="E83" s="21" t="s">
        <v>593</v>
      </c>
      <c r="F83" s="21" t="s">
        <v>594</v>
      </c>
      <c r="G83" s="21" t="s">
        <v>938</v>
      </c>
      <c r="H83" s="21" t="s">
        <v>651</v>
      </c>
    </row>
    <row r="84" customFormat="false" ht="23.85" hidden="false" customHeight="false" outlineLevel="0" collapsed="false">
      <c r="A84" s="21" t="s">
        <v>939</v>
      </c>
      <c r="B84" s="8" t="s">
        <v>940</v>
      </c>
      <c r="C84" s="21" t="s">
        <v>941</v>
      </c>
      <c r="D84" s="21" t="s">
        <v>942</v>
      </c>
      <c r="E84" s="21" t="s">
        <v>593</v>
      </c>
      <c r="F84" s="21" t="s">
        <v>594</v>
      </c>
      <c r="G84" s="21" t="s">
        <v>943</v>
      </c>
      <c r="H84" s="21" t="s">
        <v>651</v>
      </c>
    </row>
    <row r="85" customFormat="false" ht="23.85" hidden="false" customHeight="false" outlineLevel="0" collapsed="false">
      <c r="A85" s="21" t="s">
        <v>944</v>
      </c>
      <c r="B85" s="8" t="s">
        <v>945</v>
      </c>
      <c r="C85" s="21" t="s">
        <v>946</v>
      </c>
      <c r="D85" s="21" t="s">
        <v>947</v>
      </c>
      <c r="E85" s="21" t="s">
        <v>593</v>
      </c>
      <c r="F85" s="21" t="s">
        <v>594</v>
      </c>
      <c r="G85" s="21" t="s">
        <v>948</v>
      </c>
      <c r="H85" s="21" t="s">
        <v>651</v>
      </c>
    </row>
    <row r="86" customFormat="false" ht="23.85" hidden="false" customHeight="false" outlineLevel="0" collapsed="false">
      <c r="A86" s="21" t="s">
        <v>949</v>
      </c>
      <c r="B86" s="8" t="s">
        <v>950</v>
      </c>
      <c r="C86" s="21" t="s">
        <v>951</v>
      </c>
      <c r="D86" s="21" t="s">
        <v>952</v>
      </c>
      <c r="E86" s="21" t="s">
        <v>593</v>
      </c>
      <c r="F86" s="21" t="s">
        <v>594</v>
      </c>
      <c r="G86" s="21" t="s">
        <v>953</v>
      </c>
      <c r="H86" s="21" t="s">
        <v>651</v>
      </c>
    </row>
    <row r="87" customFormat="false" ht="23.85" hidden="false" customHeight="false" outlineLevel="0" collapsed="false">
      <c r="A87" s="21" t="s">
        <v>954</v>
      </c>
      <c r="B87" s="8" t="s">
        <v>955</v>
      </c>
      <c r="C87" s="21" t="s">
        <v>956</v>
      </c>
      <c r="D87" s="21" t="s">
        <v>952</v>
      </c>
      <c r="E87" s="21" t="s">
        <v>593</v>
      </c>
      <c r="F87" s="21" t="s">
        <v>594</v>
      </c>
      <c r="G87" s="21" t="s">
        <v>953</v>
      </c>
      <c r="H87" s="21" t="s">
        <v>651</v>
      </c>
    </row>
    <row r="88" customFormat="false" ht="23.85" hidden="false" customHeight="false" outlineLevel="0" collapsed="false">
      <c r="A88" s="21" t="s">
        <v>957</v>
      </c>
      <c r="B88" s="8" t="s">
        <v>958</v>
      </c>
      <c r="C88" s="21" t="s">
        <v>959</v>
      </c>
      <c r="D88" s="21" t="s">
        <v>952</v>
      </c>
      <c r="E88" s="21" t="s">
        <v>593</v>
      </c>
      <c r="F88" s="21" t="s">
        <v>594</v>
      </c>
      <c r="G88" s="21" t="s">
        <v>953</v>
      </c>
      <c r="H88" s="21" t="s">
        <v>651</v>
      </c>
    </row>
    <row r="89" customFormat="false" ht="23.85" hidden="false" customHeight="false" outlineLevel="0" collapsed="false">
      <c r="A89" s="21" t="s">
        <v>960</v>
      </c>
      <c r="B89" s="8" t="s">
        <v>961</v>
      </c>
      <c r="C89" s="21" t="s">
        <v>962</v>
      </c>
      <c r="D89" s="21" t="s">
        <v>952</v>
      </c>
      <c r="E89" s="21" t="s">
        <v>593</v>
      </c>
      <c r="F89" s="21" t="s">
        <v>594</v>
      </c>
      <c r="G89" s="21" t="s">
        <v>953</v>
      </c>
      <c r="H89" s="21" t="s">
        <v>651</v>
      </c>
    </row>
    <row r="90" customFormat="false" ht="23.85" hidden="false" customHeight="false" outlineLevel="0" collapsed="false">
      <c r="A90" s="21" t="s">
        <v>963</v>
      </c>
      <c r="B90" s="8" t="s">
        <v>964</v>
      </c>
      <c r="C90" s="21" t="s">
        <v>965</v>
      </c>
      <c r="D90" s="21" t="s">
        <v>952</v>
      </c>
      <c r="E90" s="21" t="s">
        <v>593</v>
      </c>
      <c r="F90" s="21" t="s">
        <v>594</v>
      </c>
      <c r="G90" s="21" t="s">
        <v>953</v>
      </c>
      <c r="H90" s="21" t="s">
        <v>651</v>
      </c>
    </row>
    <row r="91" customFormat="false" ht="23.85" hidden="false" customHeight="false" outlineLevel="0" collapsed="false">
      <c r="A91" s="21" t="s">
        <v>966</v>
      </c>
      <c r="B91" s="8" t="s">
        <v>967</v>
      </c>
      <c r="C91" s="21" t="s">
        <v>968</v>
      </c>
      <c r="D91" s="21" t="s">
        <v>952</v>
      </c>
      <c r="E91" s="21" t="s">
        <v>593</v>
      </c>
      <c r="F91" s="21" t="s">
        <v>594</v>
      </c>
      <c r="G91" s="21" t="s">
        <v>953</v>
      </c>
      <c r="H91" s="21" t="s">
        <v>651</v>
      </c>
    </row>
    <row r="92" customFormat="false" ht="15" hidden="false" customHeight="false" outlineLevel="0" collapsed="false">
      <c r="A92" s="21" t="s">
        <v>969</v>
      </c>
      <c r="B92" s="8" t="s">
        <v>970</v>
      </c>
      <c r="C92" s="21" t="s">
        <v>971</v>
      </c>
      <c r="D92" s="21" t="s">
        <v>972</v>
      </c>
      <c r="E92" s="21" t="s">
        <v>593</v>
      </c>
      <c r="F92" s="21" t="s">
        <v>594</v>
      </c>
      <c r="G92" s="21" t="s">
        <v>973</v>
      </c>
      <c r="H92" s="21" t="s">
        <v>651</v>
      </c>
    </row>
    <row r="93" customFormat="false" ht="15" hidden="false" customHeight="false" outlineLevel="0" collapsed="false">
      <c r="A93" s="21" t="s">
        <v>974</v>
      </c>
      <c r="B93" s="8" t="s">
        <v>975</v>
      </c>
      <c r="C93" s="21" t="s">
        <v>976</v>
      </c>
      <c r="D93" s="21" t="s">
        <v>972</v>
      </c>
      <c r="E93" s="21" t="s">
        <v>593</v>
      </c>
      <c r="F93" s="21" t="s">
        <v>594</v>
      </c>
      <c r="G93" s="21" t="s">
        <v>977</v>
      </c>
      <c r="H93" s="21" t="s">
        <v>651</v>
      </c>
    </row>
    <row r="94" customFormat="false" ht="23.85" hidden="false" customHeight="false" outlineLevel="0" collapsed="false">
      <c r="A94" s="21" t="s">
        <v>978</v>
      </c>
      <c r="B94" s="8" t="s">
        <v>979</v>
      </c>
      <c r="C94" s="21" t="s">
        <v>980</v>
      </c>
      <c r="D94" s="21" t="s">
        <v>952</v>
      </c>
      <c r="E94" s="21" t="s">
        <v>593</v>
      </c>
      <c r="F94" s="21" t="s">
        <v>594</v>
      </c>
      <c r="G94" s="21" t="s">
        <v>977</v>
      </c>
      <c r="H94" s="21" t="s">
        <v>981</v>
      </c>
    </row>
    <row r="95" customFormat="false" ht="15" hidden="false" customHeight="false" outlineLevel="0" collapsed="false">
      <c r="A95" s="21" t="s">
        <v>982</v>
      </c>
      <c r="B95" s="8" t="s">
        <v>983</v>
      </c>
      <c r="C95" s="21" t="s">
        <v>768</v>
      </c>
      <c r="D95" s="21" t="s">
        <v>984</v>
      </c>
      <c r="E95" s="21" t="s">
        <v>593</v>
      </c>
      <c r="F95" s="21" t="s">
        <v>601</v>
      </c>
      <c r="G95" s="21" t="s">
        <v>985</v>
      </c>
      <c r="H95" s="21" t="s">
        <v>651</v>
      </c>
    </row>
    <row r="96" customFormat="false" ht="23.85" hidden="false" customHeight="false" outlineLevel="0" collapsed="false">
      <c r="A96" s="21" t="s">
        <v>986</v>
      </c>
      <c r="B96" s="8" t="s">
        <v>987</v>
      </c>
      <c r="C96" s="21" t="s">
        <v>988</v>
      </c>
      <c r="D96" s="21" t="s">
        <v>989</v>
      </c>
      <c r="E96" s="21" t="s">
        <v>593</v>
      </c>
      <c r="F96" s="21" t="s">
        <v>601</v>
      </c>
      <c r="G96" s="21" t="s">
        <v>990</v>
      </c>
      <c r="H96" s="21" t="s">
        <v>596</v>
      </c>
    </row>
    <row r="97" customFormat="false" ht="23.85" hidden="false" customHeight="false" outlineLevel="0" collapsed="false">
      <c r="A97" s="21" t="s">
        <v>991</v>
      </c>
      <c r="B97" s="8" t="s">
        <v>992</v>
      </c>
      <c r="C97" s="21" t="s">
        <v>993</v>
      </c>
      <c r="D97" s="21" t="s">
        <v>952</v>
      </c>
      <c r="E97" s="21" t="s">
        <v>593</v>
      </c>
      <c r="F97" s="21" t="s">
        <v>594</v>
      </c>
      <c r="G97" s="21" t="s">
        <v>994</v>
      </c>
      <c r="H97" s="21" t="s">
        <v>651</v>
      </c>
    </row>
    <row r="98" customFormat="false" ht="23.85" hidden="false" customHeight="false" outlineLevel="0" collapsed="false">
      <c r="A98" s="21" t="s">
        <v>995</v>
      </c>
      <c r="B98" s="8" t="s">
        <v>996</v>
      </c>
      <c r="C98" s="21" t="s">
        <v>997</v>
      </c>
      <c r="D98" s="21" t="s">
        <v>952</v>
      </c>
      <c r="E98" s="21" t="s">
        <v>593</v>
      </c>
      <c r="F98" s="21" t="s">
        <v>594</v>
      </c>
      <c r="G98" s="21" t="s">
        <v>994</v>
      </c>
      <c r="H98" s="21" t="s">
        <v>651</v>
      </c>
    </row>
    <row r="99" customFormat="false" ht="15" hidden="false" customHeight="false" outlineLevel="0" collapsed="false">
      <c r="A99" s="21" t="s">
        <v>998</v>
      </c>
      <c r="B99" s="8" t="s">
        <v>999</v>
      </c>
      <c r="C99" s="21" t="s">
        <v>1000</v>
      </c>
      <c r="D99" s="21" t="s">
        <v>947</v>
      </c>
      <c r="E99" s="21" t="s">
        <v>593</v>
      </c>
      <c r="F99" s="21" t="s">
        <v>594</v>
      </c>
      <c r="G99" s="21" t="s">
        <v>948</v>
      </c>
      <c r="H99" s="21" t="s">
        <v>651</v>
      </c>
    </row>
    <row r="100" customFormat="false" ht="23.85" hidden="false" customHeight="false" outlineLevel="0" collapsed="false">
      <c r="A100" s="21" t="s">
        <v>1001</v>
      </c>
      <c r="B100" s="8" t="s">
        <v>1002</v>
      </c>
      <c r="C100" s="21" t="s">
        <v>1003</v>
      </c>
      <c r="D100" s="21" t="s">
        <v>947</v>
      </c>
      <c r="E100" s="21" t="s">
        <v>593</v>
      </c>
      <c r="F100" s="21" t="s">
        <v>594</v>
      </c>
      <c r="G100" s="21" t="s">
        <v>1004</v>
      </c>
      <c r="H100" s="21" t="s">
        <v>651</v>
      </c>
    </row>
    <row r="101" customFormat="false" ht="15" hidden="false" customHeight="false" outlineLevel="0" collapsed="false">
      <c r="A101" s="21" t="s">
        <v>1005</v>
      </c>
      <c r="B101" s="8" t="s">
        <v>1006</v>
      </c>
      <c r="C101" s="21" t="s">
        <v>1007</v>
      </c>
      <c r="D101" s="21" t="s">
        <v>1008</v>
      </c>
      <c r="E101" s="21" t="s">
        <v>593</v>
      </c>
      <c r="F101" s="21" t="s">
        <v>594</v>
      </c>
      <c r="G101" s="21" t="s">
        <v>1004</v>
      </c>
      <c r="H101" s="21" t="s">
        <v>596</v>
      </c>
    </row>
    <row r="102" customFormat="false" ht="23.85" hidden="false" customHeight="false" outlineLevel="0" collapsed="false">
      <c r="A102" s="21" t="s">
        <v>1009</v>
      </c>
      <c r="B102" s="8" t="s">
        <v>1010</v>
      </c>
      <c r="C102" s="21" t="s">
        <v>1011</v>
      </c>
      <c r="D102" s="21" t="s">
        <v>1012</v>
      </c>
      <c r="E102" s="21" t="s">
        <v>593</v>
      </c>
      <c r="F102" s="21" t="s">
        <v>594</v>
      </c>
      <c r="G102" s="21" t="s">
        <v>1013</v>
      </c>
      <c r="H102" s="21" t="s">
        <v>596</v>
      </c>
    </row>
    <row r="103" customFormat="false" ht="23.85" hidden="false" customHeight="false" outlineLevel="0" collapsed="false">
      <c r="A103" s="21" t="s">
        <v>1014</v>
      </c>
      <c r="B103" s="8" t="s">
        <v>1015</v>
      </c>
      <c r="C103" s="21" t="s">
        <v>1016</v>
      </c>
      <c r="D103" s="21" t="s">
        <v>1017</v>
      </c>
      <c r="E103" s="21" t="s">
        <v>593</v>
      </c>
      <c r="F103" s="21" t="s">
        <v>594</v>
      </c>
      <c r="G103" s="21" t="s">
        <v>1018</v>
      </c>
      <c r="H103" s="21" t="s">
        <v>596</v>
      </c>
    </row>
    <row r="104" customFormat="false" ht="23.85" hidden="false" customHeight="false" outlineLevel="0" collapsed="false">
      <c r="A104" s="21" t="s">
        <v>1019</v>
      </c>
      <c r="B104" s="8" t="s">
        <v>1020</v>
      </c>
      <c r="C104" s="21" t="s">
        <v>1021</v>
      </c>
      <c r="D104" s="21" t="s">
        <v>947</v>
      </c>
      <c r="E104" s="21" t="s">
        <v>593</v>
      </c>
      <c r="F104" s="21" t="s">
        <v>594</v>
      </c>
      <c r="G104" s="21" t="s">
        <v>1022</v>
      </c>
      <c r="H104" s="21" t="s">
        <v>651</v>
      </c>
    </row>
    <row r="105" customFormat="false" ht="23.85" hidden="false" customHeight="false" outlineLevel="0" collapsed="false">
      <c r="A105" s="21" t="s">
        <v>1023</v>
      </c>
      <c r="B105" s="8" t="s">
        <v>1024</v>
      </c>
      <c r="C105" s="21" t="s">
        <v>1025</v>
      </c>
      <c r="D105" s="21" t="s">
        <v>1026</v>
      </c>
      <c r="E105" s="21" t="s">
        <v>593</v>
      </c>
      <c r="F105" s="21" t="s">
        <v>594</v>
      </c>
      <c r="G105" s="21" t="s">
        <v>1027</v>
      </c>
      <c r="H105" s="21" t="s">
        <v>651</v>
      </c>
    </row>
    <row r="106" customFormat="false" ht="23.85" hidden="false" customHeight="false" outlineLevel="0" collapsed="false">
      <c r="A106" s="21" t="s">
        <v>1028</v>
      </c>
      <c r="B106" s="8" t="s">
        <v>1029</v>
      </c>
      <c r="C106" s="21" t="s">
        <v>1030</v>
      </c>
      <c r="D106" s="21" t="s">
        <v>952</v>
      </c>
      <c r="E106" s="21" t="s">
        <v>593</v>
      </c>
      <c r="F106" s="21" t="s">
        <v>594</v>
      </c>
      <c r="G106" s="21" t="s">
        <v>1027</v>
      </c>
      <c r="H106" s="21" t="s">
        <v>651</v>
      </c>
    </row>
    <row r="107" customFormat="false" ht="23.85" hidden="false" customHeight="false" outlineLevel="0" collapsed="false">
      <c r="A107" s="21" t="s">
        <v>1031</v>
      </c>
      <c r="B107" s="8" t="s">
        <v>1032</v>
      </c>
      <c r="C107" s="21" t="s">
        <v>1033</v>
      </c>
      <c r="D107" s="21" t="s">
        <v>952</v>
      </c>
      <c r="E107" s="21" t="s">
        <v>593</v>
      </c>
      <c r="F107" s="21" t="s">
        <v>594</v>
      </c>
      <c r="G107" s="21" t="s">
        <v>1034</v>
      </c>
      <c r="H107" s="21" t="s">
        <v>651</v>
      </c>
    </row>
    <row r="108" customFormat="false" ht="23.85" hidden="false" customHeight="false" outlineLevel="0" collapsed="false">
      <c r="A108" s="21" t="s">
        <v>1035</v>
      </c>
      <c r="B108" s="8" t="s">
        <v>1036</v>
      </c>
      <c r="C108" s="21" t="s">
        <v>1037</v>
      </c>
      <c r="D108" s="21" t="s">
        <v>947</v>
      </c>
      <c r="E108" s="21" t="s">
        <v>593</v>
      </c>
      <c r="F108" s="21" t="s">
        <v>594</v>
      </c>
      <c r="G108" s="21" t="s">
        <v>1038</v>
      </c>
      <c r="H108" s="21" t="s">
        <v>651</v>
      </c>
    </row>
    <row r="109" customFormat="false" ht="15" hidden="false" customHeight="false" outlineLevel="0" collapsed="false">
      <c r="A109" s="21" t="s">
        <v>1039</v>
      </c>
      <c r="B109" s="8" t="s">
        <v>1040</v>
      </c>
      <c r="C109" s="21" t="s">
        <v>1041</v>
      </c>
      <c r="D109" s="21" t="s">
        <v>947</v>
      </c>
      <c r="E109" s="21" t="s">
        <v>593</v>
      </c>
      <c r="F109" s="21" t="s">
        <v>594</v>
      </c>
      <c r="G109" s="21" t="s">
        <v>1042</v>
      </c>
      <c r="H109" s="21" t="s">
        <v>651</v>
      </c>
    </row>
    <row r="110" customFormat="false" ht="23.85" hidden="false" customHeight="false" outlineLevel="0" collapsed="false">
      <c r="A110" s="21" t="s">
        <v>1043</v>
      </c>
      <c r="B110" s="8" t="s">
        <v>1044</v>
      </c>
      <c r="C110" s="21" t="s">
        <v>1045</v>
      </c>
      <c r="D110" s="21" t="s">
        <v>947</v>
      </c>
      <c r="E110" s="21" t="s">
        <v>593</v>
      </c>
      <c r="F110" s="21" t="s">
        <v>594</v>
      </c>
      <c r="G110" s="21" t="s">
        <v>1046</v>
      </c>
      <c r="H110" s="21" t="s">
        <v>651</v>
      </c>
    </row>
    <row r="111" customFormat="false" ht="15" hidden="false" customHeight="false" outlineLevel="0" collapsed="false">
      <c r="A111" s="21" t="s">
        <v>1047</v>
      </c>
      <c r="B111" s="8" t="s">
        <v>1048</v>
      </c>
      <c r="C111" s="21" t="s">
        <v>1049</v>
      </c>
      <c r="D111" s="21" t="s">
        <v>947</v>
      </c>
      <c r="E111" s="21" t="s">
        <v>593</v>
      </c>
      <c r="F111" s="21" t="s">
        <v>594</v>
      </c>
      <c r="G111" s="21" t="s">
        <v>1050</v>
      </c>
      <c r="H111" s="21" t="s">
        <v>651</v>
      </c>
    </row>
    <row r="112" customFormat="false" ht="23.85" hidden="false" customHeight="false" outlineLevel="0" collapsed="false">
      <c r="A112" s="21" t="s">
        <v>1051</v>
      </c>
      <c r="B112" s="8" t="s">
        <v>1052</v>
      </c>
      <c r="C112" s="21" t="s">
        <v>1053</v>
      </c>
      <c r="D112" s="21" t="s">
        <v>947</v>
      </c>
      <c r="E112" s="21" t="s">
        <v>593</v>
      </c>
      <c r="F112" s="21" t="s">
        <v>594</v>
      </c>
      <c r="G112" s="21" t="s">
        <v>1054</v>
      </c>
      <c r="H112" s="21" t="s">
        <v>651</v>
      </c>
    </row>
    <row r="113" customFormat="false" ht="23.85" hidden="false" customHeight="false" outlineLevel="0" collapsed="false">
      <c r="A113" s="21" t="s">
        <v>1055</v>
      </c>
      <c r="B113" s="8" t="s">
        <v>1056</v>
      </c>
      <c r="C113" s="21" t="s">
        <v>1057</v>
      </c>
      <c r="D113" s="21" t="s">
        <v>947</v>
      </c>
      <c r="E113" s="21" t="s">
        <v>593</v>
      </c>
      <c r="F113" s="21" t="s">
        <v>594</v>
      </c>
      <c r="G113" s="21" t="s">
        <v>1058</v>
      </c>
      <c r="H113" s="21" t="s">
        <v>651</v>
      </c>
    </row>
    <row r="114" customFormat="false" ht="23.85" hidden="false" customHeight="false" outlineLevel="0" collapsed="false">
      <c r="A114" s="21" t="s">
        <v>1059</v>
      </c>
      <c r="B114" s="8" t="s">
        <v>1060</v>
      </c>
      <c r="C114" s="21" t="s">
        <v>1061</v>
      </c>
      <c r="D114" s="21" t="s">
        <v>947</v>
      </c>
      <c r="E114" s="21" t="s">
        <v>593</v>
      </c>
      <c r="F114" s="21" t="s">
        <v>594</v>
      </c>
      <c r="G114" s="21" t="s">
        <v>1062</v>
      </c>
      <c r="H114" s="21" t="s">
        <v>651</v>
      </c>
    </row>
    <row r="115" customFormat="false" ht="23.85" hidden="false" customHeight="false" outlineLevel="0" collapsed="false">
      <c r="A115" s="21" t="s">
        <v>1063</v>
      </c>
      <c r="B115" s="8" t="s">
        <v>1064</v>
      </c>
      <c r="C115" s="21" t="s">
        <v>1065</v>
      </c>
      <c r="D115" s="21" t="s">
        <v>947</v>
      </c>
      <c r="E115" s="21" t="s">
        <v>593</v>
      </c>
      <c r="F115" s="21" t="s">
        <v>594</v>
      </c>
      <c r="G115" s="21" t="s">
        <v>1066</v>
      </c>
      <c r="H115" s="21" t="s">
        <v>651</v>
      </c>
    </row>
    <row r="116" customFormat="false" ht="23.85" hidden="false" customHeight="false" outlineLevel="0" collapsed="false">
      <c r="A116" s="21" t="s">
        <v>1067</v>
      </c>
      <c r="B116" s="8" t="s">
        <v>1068</v>
      </c>
      <c r="C116" s="21" t="s">
        <v>1069</v>
      </c>
      <c r="D116" s="21" t="s">
        <v>947</v>
      </c>
      <c r="E116" s="21" t="s">
        <v>593</v>
      </c>
      <c r="F116" s="21" t="s">
        <v>594</v>
      </c>
      <c r="G116" s="21" t="s">
        <v>1066</v>
      </c>
      <c r="H116" s="21" t="s">
        <v>651</v>
      </c>
    </row>
    <row r="117" customFormat="false" ht="15" hidden="false" customHeight="false" outlineLevel="0" collapsed="false">
      <c r="A117" s="21" t="s">
        <v>1070</v>
      </c>
      <c r="B117" s="8" t="s">
        <v>1071</v>
      </c>
      <c r="C117" s="21" t="s">
        <v>1072</v>
      </c>
      <c r="D117" s="21" t="s">
        <v>947</v>
      </c>
      <c r="E117" s="21" t="s">
        <v>593</v>
      </c>
      <c r="F117" s="21" t="s">
        <v>594</v>
      </c>
      <c r="G117" s="21" t="s">
        <v>1073</v>
      </c>
      <c r="H117" s="21" t="s">
        <v>651</v>
      </c>
    </row>
    <row r="118" customFormat="false" ht="23.85" hidden="false" customHeight="false" outlineLevel="0" collapsed="false">
      <c r="A118" s="21" t="s">
        <v>1074</v>
      </c>
      <c r="B118" s="8" t="s">
        <v>1075</v>
      </c>
      <c r="C118" s="21" t="s">
        <v>1076</v>
      </c>
      <c r="D118" s="21" t="s">
        <v>947</v>
      </c>
      <c r="E118" s="21" t="s">
        <v>593</v>
      </c>
      <c r="F118" s="21" t="s">
        <v>594</v>
      </c>
      <c r="G118" s="21" t="s">
        <v>1077</v>
      </c>
      <c r="H118" s="21" t="s">
        <v>651</v>
      </c>
    </row>
    <row r="119" customFormat="false" ht="15" hidden="false" customHeight="false" outlineLevel="0" collapsed="false">
      <c r="A119" s="21" t="s">
        <v>1078</v>
      </c>
      <c r="B119" s="8" t="s">
        <v>1079</v>
      </c>
      <c r="C119" s="21" t="s">
        <v>1080</v>
      </c>
      <c r="D119" s="21" t="s">
        <v>947</v>
      </c>
      <c r="E119" s="21" t="s">
        <v>593</v>
      </c>
      <c r="F119" s="21" t="s">
        <v>594</v>
      </c>
      <c r="G119" s="21" t="s">
        <v>1081</v>
      </c>
      <c r="H119" s="21" t="s">
        <v>651</v>
      </c>
    </row>
    <row r="120" customFormat="false" ht="23.85" hidden="false" customHeight="false" outlineLevel="0" collapsed="false">
      <c r="A120" s="21" t="s">
        <v>1082</v>
      </c>
      <c r="B120" s="8" t="s">
        <v>1083</v>
      </c>
      <c r="C120" s="21" t="s">
        <v>1084</v>
      </c>
      <c r="D120" s="21" t="s">
        <v>947</v>
      </c>
      <c r="E120" s="21" t="s">
        <v>593</v>
      </c>
      <c r="F120" s="21" t="s">
        <v>594</v>
      </c>
      <c r="G120" s="21" t="s">
        <v>1085</v>
      </c>
      <c r="H120" s="21" t="s">
        <v>651</v>
      </c>
    </row>
    <row r="121" customFormat="false" ht="15" hidden="false" customHeight="false" outlineLevel="0" collapsed="false">
      <c r="A121" s="21" t="s">
        <v>1086</v>
      </c>
      <c r="B121" s="8" t="s">
        <v>1087</v>
      </c>
      <c r="C121" s="21" t="s">
        <v>1088</v>
      </c>
      <c r="D121" s="21" t="s">
        <v>947</v>
      </c>
      <c r="E121" s="21" t="s">
        <v>593</v>
      </c>
      <c r="F121" s="21" t="s">
        <v>594</v>
      </c>
      <c r="G121" s="21" t="s">
        <v>1089</v>
      </c>
      <c r="H121" s="21" t="s">
        <v>651</v>
      </c>
    </row>
    <row r="122" customFormat="false" ht="23.85" hidden="false" customHeight="false" outlineLevel="0" collapsed="false">
      <c r="A122" s="21" t="s">
        <v>1090</v>
      </c>
      <c r="B122" s="8" t="s">
        <v>1091</v>
      </c>
      <c r="C122" s="21" t="s">
        <v>1092</v>
      </c>
      <c r="D122" s="21" t="s">
        <v>947</v>
      </c>
      <c r="E122" s="21" t="s">
        <v>593</v>
      </c>
      <c r="F122" s="21" t="s">
        <v>594</v>
      </c>
      <c r="G122" s="21" t="s">
        <v>1093</v>
      </c>
      <c r="H122" s="21" t="s">
        <v>651</v>
      </c>
    </row>
    <row r="123" customFormat="false" ht="15" hidden="false" customHeight="false" outlineLevel="0" collapsed="false">
      <c r="A123" s="21" t="s">
        <v>1094</v>
      </c>
      <c r="B123" s="8" t="s">
        <v>1095</v>
      </c>
      <c r="C123" s="21" t="s">
        <v>1096</v>
      </c>
      <c r="D123" s="21" t="s">
        <v>947</v>
      </c>
      <c r="E123" s="21" t="s">
        <v>593</v>
      </c>
      <c r="F123" s="21" t="s">
        <v>594</v>
      </c>
      <c r="G123" s="21" t="s">
        <v>1093</v>
      </c>
      <c r="H123" s="21" t="s">
        <v>651</v>
      </c>
    </row>
    <row r="124" customFormat="false" ht="23.85" hidden="false" customHeight="false" outlineLevel="0" collapsed="false">
      <c r="A124" s="21" t="s">
        <v>1097</v>
      </c>
      <c r="B124" s="8" t="s">
        <v>1098</v>
      </c>
      <c r="C124" s="21" t="s">
        <v>1099</v>
      </c>
      <c r="D124" s="21" t="s">
        <v>947</v>
      </c>
      <c r="E124" s="21" t="s">
        <v>593</v>
      </c>
      <c r="F124" s="21" t="s">
        <v>594</v>
      </c>
      <c r="G124" s="21" t="s">
        <v>1100</v>
      </c>
      <c r="H124" s="21" t="s">
        <v>651</v>
      </c>
    </row>
    <row r="125" customFormat="false" ht="23.85" hidden="false" customHeight="false" outlineLevel="0" collapsed="false">
      <c r="A125" s="21" t="s">
        <v>1101</v>
      </c>
      <c r="B125" s="8" t="s">
        <v>1102</v>
      </c>
      <c r="C125" s="21" t="s">
        <v>1103</v>
      </c>
      <c r="D125" s="21" t="s">
        <v>947</v>
      </c>
      <c r="E125" s="21" t="s">
        <v>593</v>
      </c>
      <c r="F125" s="21" t="s">
        <v>594</v>
      </c>
      <c r="G125" s="21" t="s">
        <v>1104</v>
      </c>
      <c r="H125" s="21" t="s">
        <v>651</v>
      </c>
    </row>
    <row r="126" customFormat="false" ht="23.85" hidden="false" customHeight="false" outlineLevel="0" collapsed="false">
      <c r="A126" s="21" t="s">
        <v>1105</v>
      </c>
      <c r="B126" s="8" t="s">
        <v>1106</v>
      </c>
      <c r="C126" s="21" t="s">
        <v>1107</v>
      </c>
      <c r="D126" s="21" t="s">
        <v>947</v>
      </c>
      <c r="E126" s="21" t="s">
        <v>593</v>
      </c>
      <c r="F126" s="21" t="s">
        <v>594</v>
      </c>
      <c r="G126" s="21" t="s">
        <v>1108</v>
      </c>
      <c r="H126" s="21" t="s">
        <v>651</v>
      </c>
    </row>
    <row r="127" customFormat="false" ht="23.85" hidden="false" customHeight="false" outlineLevel="0" collapsed="false">
      <c r="A127" s="21" t="s">
        <v>1109</v>
      </c>
      <c r="B127" s="8" t="s">
        <v>1110</v>
      </c>
      <c r="C127" s="21" t="s">
        <v>1111</v>
      </c>
      <c r="D127" s="21" t="s">
        <v>952</v>
      </c>
      <c r="E127" s="21" t="s">
        <v>593</v>
      </c>
      <c r="F127" s="21" t="s">
        <v>594</v>
      </c>
      <c r="G127" s="21" t="s">
        <v>1112</v>
      </c>
      <c r="H127" s="21" t="s">
        <v>651</v>
      </c>
    </row>
    <row r="128" customFormat="false" ht="23.85" hidden="false" customHeight="false" outlineLevel="0" collapsed="false">
      <c r="A128" s="21" t="s">
        <v>1113</v>
      </c>
      <c r="B128" s="8" t="s">
        <v>1114</v>
      </c>
      <c r="C128" s="21" t="s">
        <v>1115</v>
      </c>
      <c r="D128" s="21" t="s">
        <v>1116</v>
      </c>
      <c r="E128" s="21" t="s">
        <v>593</v>
      </c>
      <c r="F128" s="21" t="s">
        <v>594</v>
      </c>
      <c r="G128" s="21" t="s">
        <v>1117</v>
      </c>
      <c r="H128" s="21" t="s">
        <v>596</v>
      </c>
    </row>
    <row r="129" customFormat="false" ht="15" hidden="false" customHeight="false" outlineLevel="0" collapsed="false">
      <c r="A129" s="21" t="s">
        <v>1118</v>
      </c>
      <c r="B129" s="8" t="s">
        <v>1119</v>
      </c>
      <c r="C129" s="21" t="s">
        <v>1120</v>
      </c>
      <c r="D129" s="21" t="s">
        <v>1116</v>
      </c>
      <c r="E129" s="21" t="s">
        <v>593</v>
      </c>
      <c r="F129" s="21" t="s">
        <v>594</v>
      </c>
      <c r="G129" s="21" t="s">
        <v>1054</v>
      </c>
      <c r="H129" s="21" t="s">
        <v>596</v>
      </c>
    </row>
    <row r="130" customFormat="false" ht="23.85" hidden="false" customHeight="false" outlineLevel="0" collapsed="false">
      <c r="A130" s="21" t="s">
        <v>1121</v>
      </c>
      <c r="B130" s="8" t="s">
        <v>1122</v>
      </c>
      <c r="C130" s="21" t="s">
        <v>1123</v>
      </c>
      <c r="D130" s="21" t="s">
        <v>1124</v>
      </c>
      <c r="E130" s="21" t="s">
        <v>593</v>
      </c>
      <c r="F130" s="21" t="s">
        <v>594</v>
      </c>
      <c r="G130" s="21" t="s">
        <v>1054</v>
      </c>
      <c r="H130" s="21" t="s">
        <v>596</v>
      </c>
    </row>
    <row r="131" customFormat="false" ht="35.05" hidden="false" customHeight="false" outlineLevel="0" collapsed="false">
      <c r="A131" s="21" t="s">
        <v>1125</v>
      </c>
      <c r="B131" s="8" t="s">
        <v>1126</v>
      </c>
      <c r="C131" s="21" t="s">
        <v>1127</v>
      </c>
      <c r="D131" s="21" t="s">
        <v>1128</v>
      </c>
      <c r="E131" s="21" t="s">
        <v>593</v>
      </c>
      <c r="F131" s="21" t="s">
        <v>601</v>
      </c>
      <c r="G131" s="21" t="s">
        <v>1054</v>
      </c>
      <c r="H131" s="21" t="s">
        <v>596</v>
      </c>
    </row>
    <row r="132" customFormat="false" ht="35.05" hidden="false" customHeight="false" outlineLevel="0" collapsed="false">
      <c r="A132" s="21" t="s">
        <v>1129</v>
      </c>
      <c r="B132" s="8" t="s">
        <v>1130</v>
      </c>
      <c r="C132" s="21" t="s">
        <v>1131</v>
      </c>
      <c r="D132" s="21" t="s">
        <v>1026</v>
      </c>
      <c r="E132" s="21" t="s">
        <v>593</v>
      </c>
      <c r="F132" s="21" t="s">
        <v>594</v>
      </c>
      <c r="G132" s="21" t="s">
        <v>1054</v>
      </c>
      <c r="H132" s="21" t="s">
        <v>651</v>
      </c>
    </row>
    <row r="133" customFormat="false" ht="23.85" hidden="false" customHeight="false" outlineLevel="0" collapsed="false">
      <c r="A133" s="21" t="s">
        <v>1132</v>
      </c>
      <c r="B133" s="8" t="s">
        <v>1133</v>
      </c>
      <c r="C133" s="21" t="s">
        <v>1134</v>
      </c>
      <c r="D133" s="21" t="s">
        <v>947</v>
      </c>
      <c r="E133" s="21" t="s">
        <v>593</v>
      </c>
      <c r="F133" s="21" t="s">
        <v>594</v>
      </c>
      <c r="G133" s="21" t="s">
        <v>1135</v>
      </c>
      <c r="H133" s="21" t="s">
        <v>651</v>
      </c>
    </row>
    <row r="134" customFormat="false" ht="23.85" hidden="false" customHeight="false" outlineLevel="0" collapsed="false">
      <c r="A134" s="21" t="s">
        <v>1136</v>
      </c>
      <c r="B134" s="8" t="s">
        <v>1137</v>
      </c>
      <c r="C134" s="21" t="s">
        <v>1138</v>
      </c>
      <c r="D134" s="21" t="s">
        <v>1139</v>
      </c>
      <c r="E134" s="21" t="s">
        <v>593</v>
      </c>
      <c r="F134" s="21" t="s">
        <v>594</v>
      </c>
      <c r="G134" s="21" t="s">
        <v>1140</v>
      </c>
      <c r="H134" s="21" t="s">
        <v>651</v>
      </c>
    </row>
    <row r="135" customFormat="false" ht="15" hidden="false" customHeight="false" outlineLevel="0" collapsed="false">
      <c r="A135" s="21" t="s">
        <v>1141</v>
      </c>
      <c r="B135" s="8" t="s">
        <v>1142</v>
      </c>
      <c r="C135" s="21" t="s">
        <v>1143</v>
      </c>
      <c r="D135" s="21" t="s">
        <v>1139</v>
      </c>
      <c r="E135" s="21" t="s">
        <v>593</v>
      </c>
      <c r="F135" s="21" t="s">
        <v>594</v>
      </c>
      <c r="G135" s="21" t="s">
        <v>1135</v>
      </c>
      <c r="H135" s="21" t="s">
        <v>651</v>
      </c>
    </row>
    <row r="136" customFormat="false" ht="23.85" hidden="false" customHeight="false" outlineLevel="0" collapsed="false">
      <c r="A136" s="21" t="s">
        <v>1144</v>
      </c>
      <c r="B136" s="8" t="s">
        <v>1145</v>
      </c>
      <c r="C136" s="21" t="s">
        <v>1146</v>
      </c>
      <c r="D136" s="21" t="s">
        <v>1147</v>
      </c>
      <c r="E136" s="21" t="s">
        <v>593</v>
      </c>
      <c r="F136" s="21" t="s">
        <v>594</v>
      </c>
      <c r="G136" s="21" t="s">
        <v>1148</v>
      </c>
      <c r="H136" s="21" t="s">
        <v>651</v>
      </c>
    </row>
    <row r="137" customFormat="false" ht="23.85" hidden="false" customHeight="false" outlineLevel="0" collapsed="false">
      <c r="A137" s="21" t="s">
        <v>1149</v>
      </c>
      <c r="B137" s="8" t="s">
        <v>1150</v>
      </c>
      <c r="C137" s="21" t="s">
        <v>1151</v>
      </c>
      <c r="D137" s="21" t="s">
        <v>1012</v>
      </c>
      <c r="E137" s="21" t="s">
        <v>593</v>
      </c>
      <c r="F137" s="21" t="s">
        <v>594</v>
      </c>
      <c r="G137" s="21" t="s">
        <v>1152</v>
      </c>
      <c r="H137" s="21" t="s">
        <v>596</v>
      </c>
    </row>
    <row r="138" customFormat="false" ht="23.85" hidden="false" customHeight="false" outlineLevel="0" collapsed="false">
      <c r="A138" s="21" t="s">
        <v>1153</v>
      </c>
      <c r="B138" s="8" t="s">
        <v>1154</v>
      </c>
      <c r="C138" s="21" t="s">
        <v>1155</v>
      </c>
      <c r="D138" s="21" t="s">
        <v>1128</v>
      </c>
      <c r="E138" s="21" t="s">
        <v>593</v>
      </c>
      <c r="F138" s="21" t="s">
        <v>601</v>
      </c>
      <c r="G138" s="21" t="s">
        <v>1152</v>
      </c>
      <c r="H138" s="21" t="s">
        <v>596</v>
      </c>
    </row>
    <row r="139" customFormat="false" ht="23.85" hidden="false" customHeight="false" outlineLevel="0" collapsed="false">
      <c r="A139" s="21" t="s">
        <v>1156</v>
      </c>
      <c r="B139" s="8" t="s">
        <v>1157</v>
      </c>
      <c r="C139" s="21" t="s">
        <v>1158</v>
      </c>
      <c r="D139" s="21" t="s">
        <v>952</v>
      </c>
      <c r="E139" s="21" t="s">
        <v>593</v>
      </c>
      <c r="F139" s="21" t="s">
        <v>594</v>
      </c>
      <c r="G139" s="21" t="s">
        <v>1159</v>
      </c>
      <c r="H139" s="21" t="s">
        <v>651</v>
      </c>
    </row>
    <row r="140" customFormat="false" ht="23.85" hidden="false" customHeight="false" outlineLevel="0" collapsed="false">
      <c r="A140" s="21" t="s">
        <v>1160</v>
      </c>
      <c r="B140" s="8" t="s">
        <v>1161</v>
      </c>
      <c r="C140" s="21" t="s">
        <v>1162</v>
      </c>
      <c r="D140" s="21" t="s">
        <v>952</v>
      </c>
      <c r="E140" s="21" t="s">
        <v>593</v>
      </c>
      <c r="F140" s="21" t="s">
        <v>594</v>
      </c>
      <c r="G140" s="21" t="s">
        <v>1159</v>
      </c>
      <c r="H140" s="21" t="s">
        <v>651</v>
      </c>
    </row>
    <row r="141" customFormat="false" ht="23.85" hidden="false" customHeight="false" outlineLevel="0" collapsed="false">
      <c r="A141" s="21" t="s">
        <v>1163</v>
      </c>
      <c r="B141" s="8" t="s">
        <v>1164</v>
      </c>
      <c r="C141" s="21" t="s">
        <v>1165</v>
      </c>
      <c r="D141" s="21" t="s">
        <v>947</v>
      </c>
      <c r="E141" s="21" t="s">
        <v>593</v>
      </c>
      <c r="F141" s="21" t="s">
        <v>594</v>
      </c>
      <c r="G141" s="21" t="s">
        <v>1166</v>
      </c>
      <c r="H141" s="21" t="s">
        <v>651</v>
      </c>
    </row>
    <row r="142" customFormat="false" ht="15" hidden="false" customHeight="false" outlineLevel="0" collapsed="false">
      <c r="A142" s="21" t="s">
        <v>1167</v>
      </c>
      <c r="B142" s="8" t="s">
        <v>1168</v>
      </c>
      <c r="C142" s="21" t="s">
        <v>1169</v>
      </c>
      <c r="D142" s="21" t="s">
        <v>947</v>
      </c>
      <c r="E142" s="21" t="s">
        <v>593</v>
      </c>
      <c r="F142" s="21" t="s">
        <v>594</v>
      </c>
      <c r="G142" s="21" t="s">
        <v>1170</v>
      </c>
      <c r="H142" s="21" t="s">
        <v>651</v>
      </c>
    </row>
    <row r="143" customFormat="false" ht="23.85" hidden="false" customHeight="false" outlineLevel="0" collapsed="false">
      <c r="A143" s="21" t="s">
        <v>1171</v>
      </c>
      <c r="B143" s="8" t="s">
        <v>1172</v>
      </c>
      <c r="C143" s="21" t="s">
        <v>1173</v>
      </c>
      <c r="D143" s="21" t="s">
        <v>947</v>
      </c>
      <c r="E143" s="21" t="s">
        <v>593</v>
      </c>
      <c r="F143" s="21" t="s">
        <v>594</v>
      </c>
      <c r="G143" s="21" t="s">
        <v>1174</v>
      </c>
      <c r="H143" s="21" t="s">
        <v>651</v>
      </c>
    </row>
    <row r="144" customFormat="false" ht="23.85" hidden="false" customHeight="false" outlineLevel="0" collapsed="false">
      <c r="A144" s="21" t="s">
        <v>1175</v>
      </c>
      <c r="B144" s="8" t="s">
        <v>1176</v>
      </c>
      <c r="C144" s="21" t="s">
        <v>1177</v>
      </c>
      <c r="D144" s="21" t="s">
        <v>947</v>
      </c>
      <c r="E144" s="21" t="s">
        <v>593</v>
      </c>
      <c r="F144" s="21" t="s">
        <v>594</v>
      </c>
      <c r="G144" s="21" t="s">
        <v>1178</v>
      </c>
      <c r="H144" s="21" t="s">
        <v>651</v>
      </c>
    </row>
    <row r="145" customFormat="false" ht="23.85" hidden="false" customHeight="false" outlineLevel="0" collapsed="false">
      <c r="A145" s="21" t="s">
        <v>1179</v>
      </c>
      <c r="B145" s="8" t="s">
        <v>1180</v>
      </c>
      <c r="C145" s="21" t="s">
        <v>1181</v>
      </c>
      <c r="D145" s="21" t="s">
        <v>952</v>
      </c>
      <c r="E145" s="21" t="s">
        <v>593</v>
      </c>
      <c r="F145" s="21" t="s">
        <v>594</v>
      </c>
      <c r="G145" s="21" t="s">
        <v>1182</v>
      </c>
      <c r="H145" s="21" t="s">
        <v>651</v>
      </c>
    </row>
    <row r="146" customFormat="false" ht="23.85" hidden="false" customHeight="false" outlineLevel="0" collapsed="false">
      <c r="A146" s="21" t="s">
        <v>1183</v>
      </c>
      <c r="B146" s="8" t="s">
        <v>1184</v>
      </c>
      <c r="C146" s="21" t="s">
        <v>1185</v>
      </c>
      <c r="D146" s="21" t="s">
        <v>952</v>
      </c>
      <c r="E146" s="21" t="s">
        <v>593</v>
      </c>
      <c r="F146" s="21" t="s">
        <v>601</v>
      </c>
      <c r="G146" s="21" t="s">
        <v>1182</v>
      </c>
      <c r="H146" s="21" t="s">
        <v>596</v>
      </c>
    </row>
    <row r="147" customFormat="false" ht="23.85" hidden="false" customHeight="false" outlineLevel="0" collapsed="false">
      <c r="A147" s="21" t="s">
        <v>1186</v>
      </c>
      <c r="B147" s="8" t="s">
        <v>1187</v>
      </c>
      <c r="C147" s="21" t="s">
        <v>1188</v>
      </c>
      <c r="D147" s="21" t="s">
        <v>947</v>
      </c>
      <c r="E147" s="21" t="s">
        <v>593</v>
      </c>
      <c r="F147" s="21" t="s">
        <v>594</v>
      </c>
      <c r="G147" s="21" t="s">
        <v>1189</v>
      </c>
      <c r="H147" s="21" t="s">
        <v>651</v>
      </c>
    </row>
    <row r="148" customFormat="false" ht="15" hidden="false" customHeight="false" outlineLevel="0" collapsed="false">
      <c r="A148" s="21" t="s">
        <v>1190</v>
      </c>
      <c r="B148" s="8" t="s">
        <v>1191</v>
      </c>
      <c r="C148" s="21" t="s">
        <v>1192</v>
      </c>
      <c r="D148" s="21" t="s">
        <v>1193</v>
      </c>
      <c r="E148" s="21" t="s">
        <v>593</v>
      </c>
      <c r="F148" s="21" t="s">
        <v>594</v>
      </c>
      <c r="G148" s="21" t="s">
        <v>1194</v>
      </c>
      <c r="H148" s="21" t="s">
        <v>651</v>
      </c>
    </row>
    <row r="149" customFormat="false" ht="15" hidden="false" customHeight="false" outlineLevel="0" collapsed="false">
      <c r="A149" s="21" t="s">
        <v>1195</v>
      </c>
      <c r="B149" s="8" t="s">
        <v>1196</v>
      </c>
      <c r="C149" s="21" t="s">
        <v>1197</v>
      </c>
      <c r="D149" s="21" t="s">
        <v>1193</v>
      </c>
      <c r="E149" s="21" t="s">
        <v>593</v>
      </c>
      <c r="F149" s="21" t="s">
        <v>594</v>
      </c>
      <c r="G149" s="21" t="s">
        <v>1198</v>
      </c>
      <c r="H149" s="21" t="s">
        <v>651</v>
      </c>
    </row>
    <row r="150" customFormat="false" ht="15" hidden="false" customHeight="false" outlineLevel="0" collapsed="false">
      <c r="A150" s="21" t="s">
        <v>1199</v>
      </c>
      <c r="B150" s="8" t="s">
        <v>1200</v>
      </c>
      <c r="C150" s="21" t="s">
        <v>1201</v>
      </c>
      <c r="D150" s="21" t="s">
        <v>1193</v>
      </c>
      <c r="E150" s="21" t="s">
        <v>593</v>
      </c>
      <c r="F150" s="21" t="s">
        <v>594</v>
      </c>
      <c r="G150" s="21" t="s">
        <v>1202</v>
      </c>
      <c r="H150" s="21" t="s">
        <v>651</v>
      </c>
    </row>
    <row r="151" customFormat="false" ht="15" hidden="false" customHeight="false" outlineLevel="0" collapsed="false">
      <c r="A151" s="21" t="s">
        <v>1203</v>
      </c>
      <c r="B151" s="8" t="s">
        <v>1204</v>
      </c>
      <c r="C151" s="21" t="s">
        <v>1205</v>
      </c>
      <c r="D151" s="21" t="s">
        <v>1193</v>
      </c>
      <c r="E151" s="21" t="s">
        <v>593</v>
      </c>
      <c r="F151" s="21" t="s">
        <v>594</v>
      </c>
      <c r="G151" s="21" t="s">
        <v>1206</v>
      </c>
      <c r="H151" s="21" t="s">
        <v>651</v>
      </c>
    </row>
    <row r="152" customFormat="false" ht="15" hidden="false" customHeight="false" outlineLevel="0" collapsed="false">
      <c r="A152" s="21" t="s">
        <v>1207</v>
      </c>
      <c r="B152" s="8" t="s">
        <v>1208</v>
      </c>
      <c r="C152" s="21" t="s">
        <v>1209</v>
      </c>
      <c r="D152" s="21" t="s">
        <v>1193</v>
      </c>
      <c r="E152" s="21" t="s">
        <v>593</v>
      </c>
      <c r="F152" s="21" t="s">
        <v>594</v>
      </c>
      <c r="G152" s="21" t="s">
        <v>1194</v>
      </c>
      <c r="H152" s="21" t="s">
        <v>651</v>
      </c>
    </row>
    <row r="153" customFormat="false" ht="15" hidden="false" customHeight="false" outlineLevel="0" collapsed="false">
      <c r="A153" s="21" t="s">
        <v>1210</v>
      </c>
      <c r="B153" s="8" t="s">
        <v>1211</v>
      </c>
      <c r="C153" s="21" t="s">
        <v>1212</v>
      </c>
      <c r="D153" s="21" t="s">
        <v>1193</v>
      </c>
      <c r="E153" s="21" t="s">
        <v>593</v>
      </c>
      <c r="F153" s="21" t="s">
        <v>594</v>
      </c>
      <c r="G153" s="21" t="s">
        <v>1213</v>
      </c>
      <c r="H153" s="21" t="s">
        <v>651</v>
      </c>
    </row>
    <row r="154" customFormat="false" ht="15" hidden="false" customHeight="false" outlineLevel="0" collapsed="false">
      <c r="A154" s="21" t="s">
        <v>1214</v>
      </c>
      <c r="B154" s="8" t="s">
        <v>1215</v>
      </c>
      <c r="C154" s="21" t="s">
        <v>1216</v>
      </c>
      <c r="D154" s="21" t="s">
        <v>1193</v>
      </c>
      <c r="E154" s="21" t="s">
        <v>593</v>
      </c>
      <c r="F154" s="21" t="s">
        <v>594</v>
      </c>
      <c r="G154" s="21" t="s">
        <v>1217</v>
      </c>
      <c r="H154" s="21" t="s">
        <v>651</v>
      </c>
    </row>
    <row r="155" customFormat="false" ht="15" hidden="false" customHeight="false" outlineLevel="0" collapsed="false">
      <c r="A155" s="21" t="s">
        <v>1218</v>
      </c>
      <c r="B155" s="8" t="s">
        <v>1219</v>
      </c>
      <c r="C155" s="21" t="s">
        <v>1220</v>
      </c>
      <c r="D155" s="21" t="s">
        <v>1193</v>
      </c>
      <c r="E155" s="21" t="s">
        <v>593</v>
      </c>
      <c r="F155" s="21" t="s">
        <v>594</v>
      </c>
      <c r="G155" s="21" t="s">
        <v>1221</v>
      </c>
      <c r="H155" s="21" t="s">
        <v>651</v>
      </c>
    </row>
    <row r="156" customFormat="false" ht="15" hidden="false" customHeight="false" outlineLevel="0" collapsed="false">
      <c r="A156" s="21" t="s">
        <v>1222</v>
      </c>
      <c r="B156" s="8" t="s">
        <v>1223</v>
      </c>
      <c r="C156" s="21" t="s">
        <v>1224</v>
      </c>
      <c r="D156" s="21" t="s">
        <v>1193</v>
      </c>
      <c r="E156" s="21" t="s">
        <v>593</v>
      </c>
      <c r="F156" s="21" t="s">
        <v>594</v>
      </c>
      <c r="G156" s="21" t="s">
        <v>1225</v>
      </c>
      <c r="H156" s="21" t="s">
        <v>651</v>
      </c>
    </row>
    <row r="157" customFormat="false" ht="15" hidden="false" customHeight="false" outlineLevel="0" collapsed="false">
      <c r="A157" s="21" t="s">
        <v>1226</v>
      </c>
      <c r="B157" s="8" t="s">
        <v>1227</v>
      </c>
      <c r="C157" s="21" t="s">
        <v>1228</v>
      </c>
      <c r="D157" s="21" t="s">
        <v>1193</v>
      </c>
      <c r="E157" s="21" t="s">
        <v>593</v>
      </c>
      <c r="F157" s="21" t="s">
        <v>594</v>
      </c>
      <c r="G157" s="21" t="s">
        <v>1225</v>
      </c>
      <c r="H157" s="21" t="s">
        <v>651</v>
      </c>
    </row>
    <row r="158" customFormat="false" ht="15" hidden="false" customHeight="false" outlineLevel="0" collapsed="false">
      <c r="A158" s="21" t="s">
        <v>1229</v>
      </c>
      <c r="B158" s="8" t="s">
        <v>1230</v>
      </c>
      <c r="C158" s="21" t="s">
        <v>1231</v>
      </c>
      <c r="D158" s="21" t="s">
        <v>1193</v>
      </c>
      <c r="E158" s="21" t="s">
        <v>593</v>
      </c>
      <c r="F158" s="21" t="s">
        <v>594</v>
      </c>
      <c r="G158" s="21" t="s">
        <v>1225</v>
      </c>
      <c r="H158" s="21" t="s">
        <v>651</v>
      </c>
    </row>
    <row r="159" customFormat="false" ht="15" hidden="false" customHeight="false" outlineLevel="0" collapsed="false">
      <c r="A159" s="21" t="s">
        <v>1232</v>
      </c>
      <c r="B159" s="8" t="s">
        <v>1233</v>
      </c>
      <c r="C159" s="21" t="s">
        <v>1234</v>
      </c>
      <c r="D159" s="21" t="s">
        <v>1193</v>
      </c>
      <c r="E159" s="21" t="s">
        <v>593</v>
      </c>
      <c r="F159" s="21" t="s">
        <v>594</v>
      </c>
      <c r="G159" s="21" t="s">
        <v>1217</v>
      </c>
      <c r="H159" s="21" t="s">
        <v>651</v>
      </c>
    </row>
    <row r="160" customFormat="false" ht="15" hidden="false" customHeight="false" outlineLevel="0" collapsed="false">
      <c r="A160" s="21" t="s">
        <v>1235</v>
      </c>
      <c r="B160" s="8" t="s">
        <v>1236</v>
      </c>
      <c r="C160" s="21" t="s">
        <v>1237</v>
      </c>
      <c r="D160" s="21" t="s">
        <v>1193</v>
      </c>
      <c r="E160" s="21" t="s">
        <v>593</v>
      </c>
      <c r="F160" s="21" t="s">
        <v>594</v>
      </c>
      <c r="G160" s="21" t="s">
        <v>1238</v>
      </c>
      <c r="H160" s="21" t="s">
        <v>651</v>
      </c>
    </row>
    <row r="161" customFormat="false" ht="15" hidden="false" customHeight="false" outlineLevel="0" collapsed="false">
      <c r="A161" s="21" t="s">
        <v>1239</v>
      </c>
      <c r="B161" s="8" t="s">
        <v>1240</v>
      </c>
      <c r="C161" s="21" t="s">
        <v>1241</v>
      </c>
      <c r="D161" s="21" t="s">
        <v>1193</v>
      </c>
      <c r="E161" s="21" t="s">
        <v>593</v>
      </c>
      <c r="F161" s="21" t="s">
        <v>594</v>
      </c>
      <c r="G161" s="21" t="s">
        <v>1242</v>
      </c>
      <c r="H161" s="21" t="s">
        <v>651</v>
      </c>
    </row>
    <row r="162" customFormat="false" ht="15" hidden="false" customHeight="false" outlineLevel="0" collapsed="false">
      <c r="A162" s="21" t="s">
        <v>1243</v>
      </c>
      <c r="B162" s="8" t="s">
        <v>1244</v>
      </c>
      <c r="C162" s="21" t="s">
        <v>1245</v>
      </c>
      <c r="D162" s="21" t="s">
        <v>1193</v>
      </c>
      <c r="E162" s="21" t="s">
        <v>593</v>
      </c>
      <c r="F162" s="21" t="s">
        <v>594</v>
      </c>
      <c r="G162" s="21" t="s">
        <v>1246</v>
      </c>
      <c r="H162" s="21" t="s">
        <v>651</v>
      </c>
    </row>
    <row r="163" customFormat="false" ht="15" hidden="false" customHeight="false" outlineLevel="0" collapsed="false">
      <c r="A163" s="21" t="s">
        <v>1247</v>
      </c>
      <c r="B163" s="8" t="s">
        <v>1248</v>
      </c>
      <c r="C163" s="21" t="s">
        <v>1249</v>
      </c>
      <c r="D163" s="21" t="s">
        <v>1193</v>
      </c>
      <c r="E163" s="21" t="s">
        <v>593</v>
      </c>
      <c r="F163" s="21" t="s">
        <v>594</v>
      </c>
      <c r="G163" s="21" t="s">
        <v>1250</v>
      </c>
      <c r="H163" s="21" t="s">
        <v>651</v>
      </c>
    </row>
    <row r="164" customFormat="false" ht="15" hidden="false" customHeight="false" outlineLevel="0" collapsed="false">
      <c r="A164" s="21" t="s">
        <v>1251</v>
      </c>
      <c r="B164" s="8" t="s">
        <v>1252</v>
      </c>
      <c r="C164" s="21" t="s">
        <v>1253</v>
      </c>
      <c r="D164" s="21" t="s">
        <v>1193</v>
      </c>
      <c r="E164" s="21" t="s">
        <v>593</v>
      </c>
      <c r="F164" s="21" t="s">
        <v>594</v>
      </c>
      <c r="G164" s="21" t="s">
        <v>1254</v>
      </c>
      <c r="H164" s="21" t="s">
        <v>651</v>
      </c>
    </row>
    <row r="165" customFormat="false" ht="23.85" hidden="false" customHeight="false" outlineLevel="0" collapsed="false">
      <c r="A165" s="21" t="s">
        <v>1255</v>
      </c>
      <c r="B165" s="8" t="s">
        <v>1256</v>
      </c>
      <c r="C165" s="21" t="s">
        <v>1257</v>
      </c>
      <c r="D165" s="21" t="s">
        <v>1258</v>
      </c>
      <c r="E165" s="21" t="s">
        <v>593</v>
      </c>
      <c r="F165" s="21" t="s">
        <v>594</v>
      </c>
      <c r="G165" s="21" t="s">
        <v>1225</v>
      </c>
      <c r="H165" s="21" t="s">
        <v>651</v>
      </c>
    </row>
    <row r="166" customFormat="false" ht="15" hidden="false" customHeight="false" outlineLevel="0" collapsed="false">
      <c r="A166" s="21" t="s">
        <v>1259</v>
      </c>
      <c r="B166" s="8" t="s">
        <v>1260</v>
      </c>
      <c r="C166" s="21" t="s">
        <v>1261</v>
      </c>
      <c r="D166" s="21" t="s">
        <v>1193</v>
      </c>
      <c r="E166" s="21" t="s">
        <v>593</v>
      </c>
      <c r="F166" s="21" t="s">
        <v>594</v>
      </c>
      <c r="G166" s="21" t="s">
        <v>1262</v>
      </c>
      <c r="H166" s="21" t="s">
        <v>651</v>
      </c>
    </row>
    <row r="167" customFormat="false" ht="15" hidden="false" customHeight="false" outlineLevel="0" collapsed="false">
      <c r="A167" s="21" t="s">
        <v>1263</v>
      </c>
      <c r="B167" s="8" t="s">
        <v>1264</v>
      </c>
      <c r="C167" s="21" t="s">
        <v>1265</v>
      </c>
      <c r="D167" s="21" t="s">
        <v>1193</v>
      </c>
      <c r="E167" s="21" t="s">
        <v>593</v>
      </c>
      <c r="F167" s="21" t="s">
        <v>594</v>
      </c>
      <c r="G167" s="21" t="s">
        <v>1266</v>
      </c>
      <c r="H167" s="21" t="s">
        <v>651</v>
      </c>
    </row>
    <row r="168" customFormat="false" ht="15" hidden="false" customHeight="false" outlineLevel="0" collapsed="false">
      <c r="A168" s="21" t="s">
        <v>1267</v>
      </c>
      <c r="B168" s="8" t="s">
        <v>1268</v>
      </c>
      <c r="C168" s="21" t="s">
        <v>1269</v>
      </c>
      <c r="D168" s="21" t="s">
        <v>1193</v>
      </c>
      <c r="E168" s="21" t="s">
        <v>593</v>
      </c>
      <c r="F168" s="21" t="s">
        <v>594</v>
      </c>
      <c r="G168" s="21" t="s">
        <v>1270</v>
      </c>
      <c r="H168" s="21" t="s">
        <v>651</v>
      </c>
    </row>
    <row r="169" customFormat="false" ht="15" hidden="false" customHeight="false" outlineLevel="0" collapsed="false">
      <c r="A169" s="21" t="s">
        <v>1271</v>
      </c>
      <c r="B169" s="8" t="s">
        <v>1272</v>
      </c>
      <c r="C169" s="21" t="s">
        <v>1273</v>
      </c>
      <c r="D169" s="21" t="s">
        <v>1193</v>
      </c>
      <c r="E169" s="21" t="s">
        <v>593</v>
      </c>
      <c r="F169" s="21" t="s">
        <v>594</v>
      </c>
      <c r="G169" s="21" t="s">
        <v>1225</v>
      </c>
      <c r="H169" s="21" t="s">
        <v>651</v>
      </c>
    </row>
    <row r="170" customFormat="false" ht="15" hidden="false" customHeight="false" outlineLevel="0" collapsed="false">
      <c r="A170" s="21" t="s">
        <v>1274</v>
      </c>
      <c r="B170" s="8" t="s">
        <v>1275</v>
      </c>
      <c r="C170" s="21" t="s">
        <v>1276</v>
      </c>
      <c r="D170" s="21" t="s">
        <v>1277</v>
      </c>
      <c r="E170" s="21" t="s">
        <v>593</v>
      </c>
      <c r="F170" s="21" t="s">
        <v>594</v>
      </c>
      <c r="G170" s="21" t="s">
        <v>1225</v>
      </c>
      <c r="H170" s="21" t="s">
        <v>596</v>
      </c>
    </row>
    <row r="171" customFormat="false" ht="15" hidden="false" customHeight="false" outlineLevel="0" collapsed="false">
      <c r="A171" s="21" t="s">
        <v>1278</v>
      </c>
      <c r="B171" s="8" t="s">
        <v>1279</v>
      </c>
      <c r="C171" s="21" t="s">
        <v>1280</v>
      </c>
      <c r="D171" s="21" t="s">
        <v>1277</v>
      </c>
      <c r="E171" s="21" t="s">
        <v>593</v>
      </c>
      <c r="F171" s="21" t="s">
        <v>594</v>
      </c>
      <c r="G171" s="21" t="s">
        <v>1225</v>
      </c>
      <c r="H171" s="21" t="s">
        <v>596</v>
      </c>
    </row>
    <row r="172" customFormat="false" ht="23.85" hidden="false" customHeight="false" outlineLevel="0" collapsed="false">
      <c r="A172" s="21" t="s">
        <v>1281</v>
      </c>
      <c r="B172" s="8" t="s">
        <v>1282</v>
      </c>
      <c r="C172" s="21" t="s">
        <v>1283</v>
      </c>
      <c r="D172" s="21" t="s">
        <v>1284</v>
      </c>
      <c r="E172" s="21" t="s">
        <v>593</v>
      </c>
      <c r="F172" s="21" t="s">
        <v>601</v>
      </c>
      <c r="G172" s="21" t="s">
        <v>1225</v>
      </c>
      <c r="H172" s="21" t="s">
        <v>596</v>
      </c>
    </row>
    <row r="173" customFormat="false" ht="15" hidden="false" customHeight="false" outlineLevel="0" collapsed="false">
      <c r="A173" s="21" t="s">
        <v>1285</v>
      </c>
      <c r="B173" s="8" t="s">
        <v>1286</v>
      </c>
      <c r="C173" s="21" t="s">
        <v>1287</v>
      </c>
      <c r="D173" s="21" t="s">
        <v>1193</v>
      </c>
      <c r="E173" s="21" t="s">
        <v>593</v>
      </c>
      <c r="F173" s="21" t="s">
        <v>594</v>
      </c>
      <c r="G173" s="21" t="s">
        <v>1288</v>
      </c>
      <c r="H173" s="21" t="s">
        <v>651</v>
      </c>
    </row>
    <row r="174" customFormat="false" ht="15" hidden="false" customHeight="false" outlineLevel="0" collapsed="false">
      <c r="A174" s="21" t="s">
        <v>1289</v>
      </c>
      <c r="B174" s="8" t="s">
        <v>1290</v>
      </c>
      <c r="C174" s="21" t="s">
        <v>1291</v>
      </c>
      <c r="D174" s="21" t="s">
        <v>1193</v>
      </c>
      <c r="E174" s="21" t="s">
        <v>593</v>
      </c>
      <c r="F174" s="21" t="s">
        <v>594</v>
      </c>
      <c r="G174" s="21" t="s">
        <v>1292</v>
      </c>
      <c r="H174" s="21" t="s">
        <v>651</v>
      </c>
    </row>
    <row r="175" customFormat="false" ht="15" hidden="false" customHeight="false" outlineLevel="0" collapsed="false">
      <c r="A175" s="21" t="s">
        <v>1293</v>
      </c>
      <c r="B175" s="8" t="s">
        <v>1294</v>
      </c>
      <c r="C175" s="21" t="s">
        <v>1295</v>
      </c>
      <c r="D175" s="21" t="s">
        <v>1193</v>
      </c>
      <c r="E175" s="21" t="s">
        <v>593</v>
      </c>
      <c r="F175" s="21" t="s">
        <v>594</v>
      </c>
      <c r="G175" s="21" t="s">
        <v>1296</v>
      </c>
      <c r="H175" s="21" t="s">
        <v>651</v>
      </c>
    </row>
    <row r="176" customFormat="false" ht="15" hidden="false" customHeight="false" outlineLevel="0" collapsed="false">
      <c r="A176" s="21" t="s">
        <v>1297</v>
      </c>
      <c r="B176" s="8" t="s">
        <v>1298</v>
      </c>
      <c r="C176" s="21" t="s">
        <v>1299</v>
      </c>
      <c r="D176" s="21" t="s">
        <v>1193</v>
      </c>
      <c r="E176" s="21" t="s">
        <v>593</v>
      </c>
      <c r="F176" s="21" t="s">
        <v>594</v>
      </c>
      <c r="G176" s="21" t="s">
        <v>1300</v>
      </c>
      <c r="H176" s="21" t="s">
        <v>651</v>
      </c>
    </row>
    <row r="177" customFormat="false" ht="15" hidden="false" customHeight="false" outlineLevel="0" collapsed="false">
      <c r="A177" s="21" t="s">
        <v>1301</v>
      </c>
      <c r="B177" s="8" t="s">
        <v>1302</v>
      </c>
      <c r="C177" s="21" t="s">
        <v>1303</v>
      </c>
      <c r="D177" s="21" t="s">
        <v>1304</v>
      </c>
      <c r="E177" s="21" t="s">
        <v>593</v>
      </c>
      <c r="F177" s="21" t="s">
        <v>594</v>
      </c>
      <c r="G177" s="21" t="s">
        <v>1198</v>
      </c>
      <c r="H177" s="21" t="s">
        <v>596</v>
      </c>
    </row>
    <row r="178" customFormat="false" ht="23.85" hidden="false" customHeight="false" outlineLevel="0" collapsed="false">
      <c r="A178" s="21" t="s">
        <v>1305</v>
      </c>
      <c r="B178" s="8" t="s">
        <v>1306</v>
      </c>
      <c r="C178" s="21" t="s">
        <v>1307</v>
      </c>
      <c r="D178" s="21" t="s">
        <v>1308</v>
      </c>
      <c r="E178" s="21" t="s">
        <v>593</v>
      </c>
      <c r="F178" s="21" t="s">
        <v>594</v>
      </c>
      <c r="G178" s="21" t="s">
        <v>1198</v>
      </c>
      <c r="H178" s="21" t="s">
        <v>596</v>
      </c>
    </row>
    <row r="179" customFormat="false" ht="23.85" hidden="false" customHeight="false" outlineLevel="0" collapsed="false">
      <c r="A179" s="21" t="s">
        <v>1309</v>
      </c>
      <c r="B179" s="8" t="s">
        <v>1310</v>
      </c>
      <c r="C179" s="21" t="s">
        <v>1311</v>
      </c>
      <c r="D179" s="21" t="s">
        <v>1312</v>
      </c>
      <c r="E179" s="21" t="s">
        <v>593</v>
      </c>
      <c r="F179" s="21" t="s">
        <v>601</v>
      </c>
      <c r="G179" s="21" t="s">
        <v>1198</v>
      </c>
      <c r="H179" s="21" t="s">
        <v>627</v>
      </c>
    </row>
    <row r="180" customFormat="false" ht="15" hidden="false" customHeight="false" outlineLevel="0" collapsed="false">
      <c r="A180" s="21" t="s">
        <v>1313</v>
      </c>
      <c r="B180" s="8" t="s">
        <v>1314</v>
      </c>
      <c r="C180" s="21" t="s">
        <v>1315</v>
      </c>
      <c r="D180" s="21" t="s">
        <v>1304</v>
      </c>
      <c r="E180" s="21" t="s">
        <v>593</v>
      </c>
      <c r="F180" s="21" t="s">
        <v>594</v>
      </c>
      <c r="G180" s="21" t="s">
        <v>1316</v>
      </c>
      <c r="H180" s="21" t="s">
        <v>596</v>
      </c>
    </row>
    <row r="181" customFormat="false" ht="23.85" hidden="false" customHeight="false" outlineLevel="0" collapsed="false">
      <c r="A181" s="21" t="s">
        <v>1317</v>
      </c>
      <c r="B181" s="8" t="s">
        <v>1318</v>
      </c>
      <c r="C181" s="21" t="s">
        <v>1319</v>
      </c>
      <c r="D181" s="21" t="s">
        <v>1193</v>
      </c>
      <c r="E181" s="21" t="s">
        <v>593</v>
      </c>
      <c r="F181" s="21" t="s">
        <v>594</v>
      </c>
      <c r="G181" s="21" t="s">
        <v>1320</v>
      </c>
      <c r="H181" s="21" t="s">
        <v>651</v>
      </c>
    </row>
    <row r="182" customFormat="false" ht="15" hidden="false" customHeight="false" outlineLevel="0" collapsed="false">
      <c r="A182" s="21" t="s">
        <v>1321</v>
      </c>
      <c r="B182" s="8" t="s">
        <v>1322</v>
      </c>
      <c r="C182" s="21" t="s">
        <v>1323</v>
      </c>
      <c r="D182" s="21" t="s">
        <v>1193</v>
      </c>
      <c r="E182" s="21" t="s">
        <v>593</v>
      </c>
      <c r="F182" s="21" t="s">
        <v>594</v>
      </c>
      <c r="G182" s="21" t="s">
        <v>1320</v>
      </c>
      <c r="H182" s="21" t="s">
        <v>651</v>
      </c>
    </row>
    <row r="183" customFormat="false" ht="23.85" hidden="false" customHeight="false" outlineLevel="0" collapsed="false">
      <c r="A183" s="21" t="s">
        <v>1324</v>
      </c>
      <c r="B183" s="8" t="s">
        <v>1325</v>
      </c>
      <c r="C183" s="21" t="s">
        <v>1326</v>
      </c>
      <c r="D183" s="21" t="s">
        <v>1327</v>
      </c>
      <c r="E183" s="21" t="s">
        <v>593</v>
      </c>
      <c r="F183" s="21" t="s">
        <v>601</v>
      </c>
      <c r="G183" s="21" t="s">
        <v>1328</v>
      </c>
      <c r="H183" s="21" t="s">
        <v>596</v>
      </c>
    </row>
    <row r="184" customFormat="false" ht="23.85" hidden="false" customHeight="false" outlineLevel="0" collapsed="false">
      <c r="A184" s="21" t="s">
        <v>1329</v>
      </c>
      <c r="B184" s="8" t="s">
        <v>1330</v>
      </c>
      <c r="C184" s="21" t="s">
        <v>1331</v>
      </c>
      <c r="D184" s="21" t="s">
        <v>1193</v>
      </c>
      <c r="E184" s="21" t="s">
        <v>593</v>
      </c>
      <c r="F184" s="21" t="s">
        <v>594</v>
      </c>
      <c r="G184" s="21" t="s">
        <v>1332</v>
      </c>
      <c r="H184" s="21" t="s">
        <v>651</v>
      </c>
    </row>
    <row r="185" customFormat="false" ht="15" hidden="false" customHeight="false" outlineLevel="0" collapsed="false">
      <c r="A185" s="21" t="s">
        <v>1333</v>
      </c>
      <c r="B185" s="8" t="s">
        <v>1334</v>
      </c>
      <c r="C185" s="21" t="s">
        <v>1335</v>
      </c>
      <c r="D185" s="21" t="s">
        <v>1193</v>
      </c>
      <c r="E185" s="21" t="s">
        <v>593</v>
      </c>
      <c r="F185" s="21" t="s">
        <v>594</v>
      </c>
      <c r="G185" s="21" t="s">
        <v>1336</v>
      </c>
      <c r="H185" s="21" t="s">
        <v>651</v>
      </c>
    </row>
    <row r="186" customFormat="false" ht="15" hidden="false" customHeight="false" outlineLevel="0" collapsed="false">
      <c r="A186" s="21" t="s">
        <v>1337</v>
      </c>
      <c r="B186" s="8" t="s">
        <v>1338</v>
      </c>
      <c r="C186" s="21" t="s">
        <v>1339</v>
      </c>
      <c r="D186" s="21" t="s">
        <v>1193</v>
      </c>
      <c r="E186" s="21" t="s">
        <v>593</v>
      </c>
      <c r="F186" s="21" t="s">
        <v>594</v>
      </c>
      <c r="G186" s="21" t="s">
        <v>1340</v>
      </c>
      <c r="H186" s="21" t="s">
        <v>651</v>
      </c>
    </row>
    <row r="187" customFormat="false" ht="15" hidden="false" customHeight="false" outlineLevel="0" collapsed="false">
      <c r="A187" s="21" t="s">
        <v>1341</v>
      </c>
      <c r="B187" s="8" t="s">
        <v>1342</v>
      </c>
      <c r="C187" s="21" t="s">
        <v>1343</v>
      </c>
      <c r="D187" s="21" t="s">
        <v>1193</v>
      </c>
      <c r="E187" s="21" t="s">
        <v>593</v>
      </c>
      <c r="F187" s="21" t="s">
        <v>594</v>
      </c>
      <c r="G187" s="21" t="s">
        <v>1344</v>
      </c>
      <c r="H187" s="21" t="s">
        <v>651</v>
      </c>
    </row>
    <row r="188" customFormat="false" ht="23.85" hidden="false" customHeight="false" outlineLevel="0" collapsed="false">
      <c r="A188" s="21" t="s">
        <v>1345</v>
      </c>
      <c r="B188" s="8" t="s">
        <v>1346</v>
      </c>
      <c r="C188" s="21" t="s">
        <v>1347</v>
      </c>
      <c r="D188" s="21" t="s">
        <v>1304</v>
      </c>
      <c r="E188" s="21" t="s">
        <v>593</v>
      </c>
      <c r="F188" s="21" t="s">
        <v>594</v>
      </c>
      <c r="G188" s="21" t="s">
        <v>1262</v>
      </c>
      <c r="H188" s="21" t="s">
        <v>596</v>
      </c>
    </row>
    <row r="189" customFormat="false" ht="15" hidden="false" customHeight="false" outlineLevel="0" collapsed="false">
      <c r="A189" s="21" t="s">
        <v>1348</v>
      </c>
      <c r="B189" s="8" t="s">
        <v>1349</v>
      </c>
      <c r="C189" s="21" t="s">
        <v>1350</v>
      </c>
      <c r="D189" s="21" t="s">
        <v>1304</v>
      </c>
      <c r="E189" s="21" t="s">
        <v>593</v>
      </c>
      <c r="F189" s="21" t="s">
        <v>594</v>
      </c>
      <c r="G189" s="21" t="s">
        <v>1351</v>
      </c>
      <c r="H189" s="21" t="s">
        <v>596</v>
      </c>
    </row>
    <row r="190" customFormat="false" ht="15" hidden="false" customHeight="false" outlineLevel="0" collapsed="false">
      <c r="A190" s="21" t="s">
        <v>1352</v>
      </c>
      <c r="B190" s="8" t="s">
        <v>1353</v>
      </c>
      <c r="C190" s="21" t="s">
        <v>1354</v>
      </c>
      <c r="D190" s="21" t="s">
        <v>1304</v>
      </c>
      <c r="E190" s="21" t="s">
        <v>593</v>
      </c>
      <c r="F190" s="21" t="s">
        <v>594</v>
      </c>
      <c r="G190" s="21" t="s">
        <v>1355</v>
      </c>
      <c r="H190" s="21" t="s">
        <v>627</v>
      </c>
    </row>
    <row r="191" customFormat="false" ht="15" hidden="false" customHeight="false" outlineLevel="0" collapsed="false">
      <c r="A191" s="21" t="s">
        <v>1356</v>
      </c>
      <c r="B191" s="8" t="s">
        <v>1357</v>
      </c>
      <c r="C191" s="21" t="s">
        <v>1358</v>
      </c>
      <c r="D191" s="21" t="s">
        <v>1304</v>
      </c>
      <c r="E191" s="21" t="s">
        <v>593</v>
      </c>
      <c r="F191" s="21" t="s">
        <v>594</v>
      </c>
      <c r="G191" s="21" t="s">
        <v>1270</v>
      </c>
      <c r="H191" s="21" t="s">
        <v>596</v>
      </c>
    </row>
    <row r="192" customFormat="false" ht="23.85" hidden="false" customHeight="false" outlineLevel="0" collapsed="false">
      <c r="A192" s="21" t="s">
        <v>1359</v>
      </c>
      <c r="B192" s="8" t="s">
        <v>1360</v>
      </c>
      <c r="C192" s="21" t="s">
        <v>1361</v>
      </c>
      <c r="D192" s="21" t="s">
        <v>1362</v>
      </c>
      <c r="E192" s="21" t="s">
        <v>593</v>
      </c>
      <c r="F192" s="21" t="s">
        <v>594</v>
      </c>
      <c r="G192" s="21" t="s">
        <v>1300</v>
      </c>
      <c r="H192" s="21" t="s">
        <v>651</v>
      </c>
    </row>
    <row r="193" customFormat="false" ht="23.85" hidden="false" customHeight="false" outlineLevel="0" collapsed="false">
      <c r="A193" s="21" t="s">
        <v>1363</v>
      </c>
      <c r="B193" s="8" t="s">
        <v>1364</v>
      </c>
      <c r="C193" s="21" t="s">
        <v>1365</v>
      </c>
      <c r="D193" s="21" t="s">
        <v>1366</v>
      </c>
      <c r="E193" s="21" t="s">
        <v>593</v>
      </c>
      <c r="F193" s="21" t="s">
        <v>594</v>
      </c>
      <c r="G193" s="21" t="s">
        <v>1300</v>
      </c>
      <c r="H193" s="21" t="s">
        <v>596</v>
      </c>
    </row>
    <row r="194" customFormat="false" ht="23.85" hidden="false" customHeight="false" outlineLevel="0" collapsed="false">
      <c r="A194" s="21" t="s">
        <v>1367</v>
      </c>
      <c r="B194" s="8" t="s">
        <v>1368</v>
      </c>
      <c r="C194" s="21" t="s">
        <v>1369</v>
      </c>
      <c r="D194" s="21" t="s">
        <v>1370</v>
      </c>
      <c r="E194" s="21" t="s">
        <v>593</v>
      </c>
      <c r="F194" s="21" t="s">
        <v>601</v>
      </c>
      <c r="G194" s="21" t="s">
        <v>1300</v>
      </c>
      <c r="H194" s="21" t="s">
        <v>596</v>
      </c>
    </row>
    <row r="195" customFormat="false" ht="23.85" hidden="false" customHeight="false" outlineLevel="0" collapsed="false">
      <c r="A195" s="21" t="s">
        <v>1371</v>
      </c>
      <c r="B195" s="8" t="s">
        <v>1372</v>
      </c>
      <c r="C195" s="21" t="s">
        <v>1373</v>
      </c>
      <c r="D195" s="21" t="s">
        <v>1374</v>
      </c>
      <c r="E195" s="21" t="s">
        <v>593</v>
      </c>
      <c r="F195" s="21" t="s">
        <v>601</v>
      </c>
      <c r="G195" s="21" t="s">
        <v>1300</v>
      </c>
      <c r="H195" s="21" t="s">
        <v>596</v>
      </c>
    </row>
    <row r="196" customFormat="false" ht="23.85" hidden="false" customHeight="false" outlineLevel="0" collapsed="false">
      <c r="A196" s="21" t="s">
        <v>1375</v>
      </c>
      <c r="B196" s="8" t="s">
        <v>1376</v>
      </c>
      <c r="C196" s="21" t="s">
        <v>1377</v>
      </c>
      <c r="D196" s="21" t="s">
        <v>1378</v>
      </c>
      <c r="E196" s="21" t="s">
        <v>593</v>
      </c>
      <c r="F196" s="21" t="s">
        <v>594</v>
      </c>
      <c r="G196" s="21" t="s">
        <v>1221</v>
      </c>
      <c r="H196" s="21" t="s">
        <v>596</v>
      </c>
    </row>
    <row r="197" customFormat="false" ht="23.85" hidden="false" customHeight="false" outlineLevel="0" collapsed="false">
      <c r="A197" s="21" t="s">
        <v>1379</v>
      </c>
      <c r="B197" s="8" t="s">
        <v>1380</v>
      </c>
      <c r="C197" s="21" t="s">
        <v>1381</v>
      </c>
      <c r="D197" s="21" t="s">
        <v>1382</v>
      </c>
      <c r="E197" s="21" t="s">
        <v>593</v>
      </c>
      <c r="F197" s="21" t="s">
        <v>601</v>
      </c>
      <c r="G197" s="21" t="s">
        <v>1221</v>
      </c>
      <c r="H197" s="21" t="s">
        <v>627</v>
      </c>
    </row>
    <row r="198" customFormat="false" ht="23.85" hidden="false" customHeight="false" outlineLevel="0" collapsed="false">
      <c r="A198" s="21" t="s">
        <v>1383</v>
      </c>
      <c r="B198" s="8" t="s">
        <v>1384</v>
      </c>
      <c r="C198" s="21" t="s">
        <v>1385</v>
      </c>
      <c r="D198" s="21" t="s">
        <v>1386</v>
      </c>
      <c r="E198" s="21" t="s">
        <v>593</v>
      </c>
      <c r="F198" s="21" t="s">
        <v>594</v>
      </c>
      <c r="G198" s="21" t="s">
        <v>1387</v>
      </c>
      <c r="H198" s="21" t="s">
        <v>596</v>
      </c>
    </row>
    <row r="199" customFormat="false" ht="23.85" hidden="false" customHeight="false" outlineLevel="0" collapsed="false">
      <c r="A199" s="21" t="s">
        <v>1388</v>
      </c>
      <c r="B199" s="8" t="s">
        <v>1389</v>
      </c>
      <c r="C199" s="21" t="s">
        <v>664</v>
      </c>
      <c r="D199" s="21" t="s">
        <v>665</v>
      </c>
      <c r="E199" s="21" t="s">
        <v>593</v>
      </c>
      <c r="F199" s="21" t="s">
        <v>594</v>
      </c>
      <c r="G199" s="21" t="s">
        <v>1390</v>
      </c>
      <c r="H199" s="21" t="s">
        <v>596</v>
      </c>
    </row>
    <row r="200" customFormat="false" ht="23.85" hidden="false" customHeight="false" outlineLevel="0" collapsed="false">
      <c r="A200" s="21" t="s">
        <v>1391</v>
      </c>
      <c r="B200" s="8" t="s">
        <v>1392</v>
      </c>
      <c r="C200" s="21" t="s">
        <v>1393</v>
      </c>
      <c r="D200" s="21" t="s">
        <v>1394</v>
      </c>
      <c r="E200" s="21" t="s">
        <v>593</v>
      </c>
      <c r="F200" s="21" t="s">
        <v>601</v>
      </c>
      <c r="G200" s="21" t="s">
        <v>1395</v>
      </c>
      <c r="H200" s="21" t="s">
        <v>596</v>
      </c>
    </row>
    <row r="201" customFormat="false" ht="23.85" hidden="false" customHeight="false" outlineLevel="0" collapsed="false">
      <c r="A201" s="21" t="s">
        <v>1396</v>
      </c>
      <c r="B201" s="8" t="s">
        <v>1397</v>
      </c>
      <c r="C201" s="21" t="s">
        <v>1398</v>
      </c>
      <c r="D201" s="21" t="s">
        <v>1399</v>
      </c>
      <c r="E201" s="21" t="s">
        <v>593</v>
      </c>
      <c r="F201" s="21" t="s">
        <v>594</v>
      </c>
      <c r="G201" s="21" t="s">
        <v>1266</v>
      </c>
      <c r="H201" s="21" t="s">
        <v>596</v>
      </c>
    </row>
    <row r="202" customFormat="false" ht="15" hidden="false" customHeight="false" outlineLevel="0" collapsed="false">
      <c r="A202" s="21" t="s">
        <v>1400</v>
      </c>
      <c r="B202" s="8" t="s">
        <v>1401</v>
      </c>
      <c r="C202" s="21" t="s">
        <v>1402</v>
      </c>
      <c r="D202" s="21" t="s">
        <v>1403</v>
      </c>
      <c r="E202" s="21" t="s">
        <v>593</v>
      </c>
      <c r="F202" s="21" t="s">
        <v>594</v>
      </c>
      <c r="G202" s="21" t="s">
        <v>1270</v>
      </c>
      <c r="H202" s="21" t="s">
        <v>651</v>
      </c>
    </row>
    <row r="203" customFormat="false" ht="15" hidden="false" customHeight="false" outlineLevel="0" collapsed="false">
      <c r="A203" s="21" t="s">
        <v>1404</v>
      </c>
      <c r="B203" s="8" t="s">
        <v>1405</v>
      </c>
      <c r="C203" s="21" t="s">
        <v>1406</v>
      </c>
      <c r="D203" s="21" t="s">
        <v>1403</v>
      </c>
      <c r="E203" s="21" t="s">
        <v>593</v>
      </c>
      <c r="F203" s="21" t="s">
        <v>594</v>
      </c>
      <c r="G203" s="21" t="s">
        <v>1270</v>
      </c>
      <c r="H203" s="21" t="s">
        <v>651</v>
      </c>
    </row>
    <row r="204" customFormat="false" ht="15" hidden="false" customHeight="false" outlineLevel="0" collapsed="false">
      <c r="A204" s="21" t="s">
        <v>1407</v>
      </c>
      <c r="B204" s="8" t="s">
        <v>1408</v>
      </c>
      <c r="C204" s="21" t="s">
        <v>1409</v>
      </c>
      <c r="D204" s="21" t="s">
        <v>1403</v>
      </c>
      <c r="E204" s="21" t="s">
        <v>593</v>
      </c>
      <c r="F204" s="21" t="s">
        <v>594</v>
      </c>
      <c r="G204" s="21" t="s">
        <v>1270</v>
      </c>
      <c r="H204" s="21" t="s">
        <v>651</v>
      </c>
    </row>
    <row r="205" customFormat="false" ht="15" hidden="false" customHeight="false" outlineLevel="0" collapsed="false">
      <c r="A205" s="21" t="s">
        <v>1410</v>
      </c>
      <c r="B205" s="8" t="s">
        <v>1411</v>
      </c>
      <c r="C205" s="21" t="s">
        <v>1412</v>
      </c>
      <c r="D205" s="21" t="s">
        <v>1403</v>
      </c>
      <c r="E205" s="21" t="s">
        <v>593</v>
      </c>
      <c r="F205" s="21" t="s">
        <v>594</v>
      </c>
      <c r="G205" s="21" t="s">
        <v>1270</v>
      </c>
      <c r="H205" s="21" t="s">
        <v>651</v>
      </c>
    </row>
    <row r="206" customFormat="false" ht="15" hidden="false" customHeight="false" outlineLevel="0" collapsed="false">
      <c r="A206" s="21" t="s">
        <v>1413</v>
      </c>
      <c r="B206" s="8" t="s">
        <v>1414</v>
      </c>
      <c r="C206" s="21" t="s">
        <v>1415</v>
      </c>
      <c r="D206" s="21" t="s">
        <v>1403</v>
      </c>
      <c r="E206" s="21" t="s">
        <v>593</v>
      </c>
      <c r="F206" s="21" t="s">
        <v>594</v>
      </c>
      <c r="G206" s="21" t="s">
        <v>1270</v>
      </c>
      <c r="H206" s="21" t="s">
        <v>651</v>
      </c>
    </row>
    <row r="207" customFormat="false" ht="23.85" hidden="false" customHeight="false" outlineLevel="0" collapsed="false">
      <c r="A207" s="21" t="s">
        <v>1416</v>
      </c>
      <c r="B207" s="8" t="s">
        <v>1417</v>
      </c>
      <c r="C207" s="21" t="s">
        <v>1418</v>
      </c>
      <c r="D207" s="21" t="s">
        <v>1403</v>
      </c>
      <c r="E207" s="21" t="s">
        <v>593</v>
      </c>
      <c r="F207" s="21" t="s">
        <v>594</v>
      </c>
      <c r="G207" s="21" t="s">
        <v>1270</v>
      </c>
      <c r="H207" s="21" t="s">
        <v>651</v>
      </c>
    </row>
    <row r="208" customFormat="false" ht="23.85" hidden="false" customHeight="false" outlineLevel="0" collapsed="false">
      <c r="A208" s="21" t="s">
        <v>1419</v>
      </c>
      <c r="B208" s="8" t="s">
        <v>1420</v>
      </c>
      <c r="C208" s="21" t="s">
        <v>1421</v>
      </c>
      <c r="D208" s="21" t="s">
        <v>1422</v>
      </c>
      <c r="E208" s="21" t="s">
        <v>593</v>
      </c>
      <c r="F208" s="21" t="s">
        <v>601</v>
      </c>
      <c r="G208" s="21" t="s">
        <v>1270</v>
      </c>
      <c r="H208" s="21" t="s">
        <v>627</v>
      </c>
    </row>
    <row r="209" customFormat="false" ht="23.85" hidden="false" customHeight="false" outlineLevel="0" collapsed="false">
      <c r="A209" s="21" t="s">
        <v>1423</v>
      </c>
      <c r="B209" s="8" t="s">
        <v>1424</v>
      </c>
      <c r="C209" s="21" t="s">
        <v>1425</v>
      </c>
      <c r="D209" s="21" t="s">
        <v>1426</v>
      </c>
      <c r="E209" s="21" t="s">
        <v>593</v>
      </c>
      <c r="F209" s="21" t="s">
        <v>594</v>
      </c>
      <c r="G209" s="21" t="s">
        <v>1262</v>
      </c>
      <c r="H209" s="21" t="s">
        <v>596</v>
      </c>
    </row>
    <row r="210" customFormat="false" ht="23.85" hidden="false" customHeight="false" outlineLevel="0" collapsed="false">
      <c r="A210" s="21" t="s">
        <v>1427</v>
      </c>
      <c r="B210" s="8" t="s">
        <v>1428</v>
      </c>
      <c r="C210" s="21" t="s">
        <v>1429</v>
      </c>
      <c r="D210" s="21" t="s">
        <v>1258</v>
      </c>
      <c r="E210" s="21" t="s">
        <v>593</v>
      </c>
      <c r="F210" s="21" t="s">
        <v>594</v>
      </c>
      <c r="G210" s="21" t="s">
        <v>1262</v>
      </c>
      <c r="H210" s="21" t="s">
        <v>651</v>
      </c>
    </row>
    <row r="211" customFormat="false" ht="23.85" hidden="false" customHeight="false" outlineLevel="0" collapsed="false">
      <c r="A211" s="21" t="s">
        <v>1430</v>
      </c>
      <c r="B211" s="8" t="s">
        <v>1431</v>
      </c>
      <c r="C211" s="21" t="s">
        <v>1432</v>
      </c>
      <c r="D211" s="21" t="s">
        <v>823</v>
      </c>
      <c r="E211" s="21" t="s">
        <v>593</v>
      </c>
      <c r="F211" s="21" t="s">
        <v>601</v>
      </c>
      <c r="G211" s="21" t="s">
        <v>1262</v>
      </c>
      <c r="H211" s="21" t="s">
        <v>596</v>
      </c>
    </row>
    <row r="212" customFormat="false" ht="23.85" hidden="false" customHeight="false" outlineLevel="0" collapsed="false">
      <c r="A212" s="21" t="s">
        <v>1433</v>
      </c>
      <c r="B212" s="8" t="s">
        <v>1434</v>
      </c>
      <c r="C212" s="21" t="s">
        <v>1435</v>
      </c>
      <c r="D212" s="21" t="s">
        <v>1436</v>
      </c>
      <c r="E212" s="21" t="s">
        <v>593</v>
      </c>
      <c r="F212" s="21" t="s">
        <v>594</v>
      </c>
      <c r="G212" s="21" t="s">
        <v>1250</v>
      </c>
      <c r="H212" s="21" t="s">
        <v>596</v>
      </c>
    </row>
    <row r="213" customFormat="false" ht="23.85" hidden="false" customHeight="false" outlineLevel="0" collapsed="false">
      <c r="A213" s="21" t="s">
        <v>1437</v>
      </c>
      <c r="B213" s="8" t="s">
        <v>1438</v>
      </c>
      <c r="C213" s="21" t="s">
        <v>1439</v>
      </c>
      <c r="D213" s="21" t="s">
        <v>741</v>
      </c>
      <c r="E213" s="21" t="s">
        <v>593</v>
      </c>
      <c r="F213" s="21" t="s">
        <v>601</v>
      </c>
      <c r="G213" s="21" t="s">
        <v>1250</v>
      </c>
      <c r="H213" s="21" t="s">
        <v>651</v>
      </c>
    </row>
    <row r="214" customFormat="false" ht="23.85" hidden="false" customHeight="false" outlineLevel="0" collapsed="false">
      <c r="A214" s="21" t="s">
        <v>1440</v>
      </c>
      <c r="B214" s="8" t="s">
        <v>1441</v>
      </c>
      <c r="C214" s="21" t="s">
        <v>1442</v>
      </c>
      <c r="D214" s="21" t="s">
        <v>1443</v>
      </c>
      <c r="E214" s="21" t="s">
        <v>593</v>
      </c>
      <c r="F214" s="21" t="s">
        <v>601</v>
      </c>
      <c r="G214" s="21" t="s">
        <v>1250</v>
      </c>
      <c r="H214" s="21" t="s">
        <v>596</v>
      </c>
    </row>
    <row r="215" customFormat="false" ht="15" hidden="false" customHeight="false" outlineLevel="0" collapsed="false">
      <c r="A215" s="21" t="s">
        <v>1444</v>
      </c>
      <c r="B215" s="8" t="s">
        <v>1445</v>
      </c>
      <c r="C215" s="21" t="s">
        <v>1446</v>
      </c>
      <c r="D215" s="21" t="s">
        <v>1304</v>
      </c>
      <c r="E215" s="21" t="s">
        <v>593</v>
      </c>
      <c r="F215" s="21" t="s">
        <v>594</v>
      </c>
      <c r="G215" s="21" t="s">
        <v>1254</v>
      </c>
      <c r="H215" s="21" t="s">
        <v>627</v>
      </c>
    </row>
    <row r="216" customFormat="false" ht="15" hidden="false" customHeight="false" outlineLevel="0" collapsed="false">
      <c r="A216" s="21" t="s">
        <v>1447</v>
      </c>
      <c r="B216" s="8" t="s">
        <v>1448</v>
      </c>
      <c r="C216" s="21" t="s">
        <v>1449</v>
      </c>
      <c r="D216" s="21" t="s">
        <v>1193</v>
      </c>
      <c r="E216" s="21" t="s">
        <v>593</v>
      </c>
      <c r="F216" s="21" t="s">
        <v>594</v>
      </c>
      <c r="G216" s="21" t="s">
        <v>1450</v>
      </c>
      <c r="H216" s="21" t="s">
        <v>651</v>
      </c>
    </row>
    <row r="217" customFormat="false" ht="15" hidden="false" customHeight="false" outlineLevel="0" collapsed="false">
      <c r="A217" s="21" t="s">
        <v>1451</v>
      </c>
      <c r="B217" s="8" t="s">
        <v>1452</v>
      </c>
      <c r="C217" s="21" t="s">
        <v>1453</v>
      </c>
      <c r="D217" s="21" t="s">
        <v>1193</v>
      </c>
      <c r="E217" s="21" t="s">
        <v>593</v>
      </c>
      <c r="F217" s="21" t="s">
        <v>594</v>
      </c>
      <c r="G217" s="21" t="s">
        <v>1450</v>
      </c>
      <c r="H217" s="21" t="s">
        <v>651</v>
      </c>
    </row>
    <row r="218" customFormat="false" ht="15" hidden="false" customHeight="false" outlineLevel="0" collapsed="false">
      <c r="A218" s="21" t="s">
        <v>1454</v>
      </c>
      <c r="B218" s="8" t="s">
        <v>1455</v>
      </c>
      <c r="C218" s="21" t="s">
        <v>1456</v>
      </c>
      <c r="D218" s="21" t="s">
        <v>1193</v>
      </c>
      <c r="E218" s="21" t="s">
        <v>593</v>
      </c>
      <c r="F218" s="21" t="s">
        <v>594</v>
      </c>
      <c r="G218" s="21" t="s">
        <v>1450</v>
      </c>
      <c r="H218" s="21" t="s">
        <v>651</v>
      </c>
    </row>
    <row r="219" customFormat="false" ht="15" hidden="false" customHeight="false" outlineLevel="0" collapsed="false">
      <c r="A219" s="21" t="s">
        <v>1457</v>
      </c>
      <c r="B219" s="8" t="s">
        <v>1458</v>
      </c>
      <c r="C219" s="21" t="s">
        <v>1459</v>
      </c>
      <c r="D219" s="21" t="s">
        <v>1193</v>
      </c>
      <c r="E219" s="21" t="s">
        <v>593</v>
      </c>
      <c r="F219" s="21" t="s">
        <v>594</v>
      </c>
      <c r="G219" s="21" t="s">
        <v>1450</v>
      </c>
      <c r="H219" s="21" t="s">
        <v>651</v>
      </c>
    </row>
    <row r="220" customFormat="false" ht="15" hidden="false" customHeight="false" outlineLevel="0" collapsed="false">
      <c r="A220" s="21" t="s">
        <v>1460</v>
      </c>
      <c r="B220" s="8" t="s">
        <v>1461</v>
      </c>
      <c r="C220" s="21" t="s">
        <v>1462</v>
      </c>
      <c r="D220" s="21" t="s">
        <v>1193</v>
      </c>
      <c r="E220" s="21" t="s">
        <v>593</v>
      </c>
      <c r="F220" s="21" t="s">
        <v>594</v>
      </c>
      <c r="G220" s="21" t="s">
        <v>1450</v>
      </c>
      <c r="H220" s="21" t="s">
        <v>651</v>
      </c>
    </row>
    <row r="221" customFormat="false" ht="23.85" hidden="false" customHeight="false" outlineLevel="0" collapsed="false">
      <c r="A221" s="21" t="s">
        <v>1463</v>
      </c>
      <c r="B221" s="8" t="s">
        <v>1464</v>
      </c>
      <c r="C221" s="21" t="s">
        <v>1465</v>
      </c>
      <c r="D221" s="21" t="s">
        <v>1258</v>
      </c>
      <c r="E221" s="21" t="s">
        <v>593</v>
      </c>
      <c r="F221" s="21" t="s">
        <v>594</v>
      </c>
      <c r="G221" s="21" t="s">
        <v>1466</v>
      </c>
      <c r="H221" s="21" t="s">
        <v>651</v>
      </c>
    </row>
    <row r="222" customFormat="false" ht="15" hidden="false" customHeight="false" outlineLevel="0" collapsed="false">
      <c r="A222" s="21" t="s">
        <v>1467</v>
      </c>
      <c r="B222" s="8" t="s">
        <v>1468</v>
      </c>
      <c r="C222" s="21" t="s">
        <v>1469</v>
      </c>
      <c r="D222" s="21" t="s">
        <v>1258</v>
      </c>
      <c r="E222" s="21" t="s">
        <v>593</v>
      </c>
      <c r="F222" s="21" t="s">
        <v>594</v>
      </c>
      <c r="G222" s="21" t="s">
        <v>1466</v>
      </c>
      <c r="H222" s="21" t="s">
        <v>651</v>
      </c>
    </row>
    <row r="223" customFormat="false" ht="15" hidden="false" customHeight="false" outlineLevel="0" collapsed="false">
      <c r="A223" s="21" t="s">
        <v>1470</v>
      </c>
      <c r="B223" s="8" t="s">
        <v>1471</v>
      </c>
      <c r="C223" s="21" t="s">
        <v>1472</v>
      </c>
      <c r="D223" s="21" t="s">
        <v>1258</v>
      </c>
      <c r="E223" s="21" t="s">
        <v>593</v>
      </c>
      <c r="F223" s="21" t="s">
        <v>594</v>
      </c>
      <c r="G223" s="21" t="s">
        <v>1466</v>
      </c>
      <c r="H223" s="21" t="s">
        <v>651</v>
      </c>
    </row>
    <row r="224" customFormat="false" ht="15" hidden="false" customHeight="false" outlineLevel="0" collapsed="false">
      <c r="A224" s="21" t="s">
        <v>1473</v>
      </c>
      <c r="B224" s="8" t="s">
        <v>1474</v>
      </c>
      <c r="C224" s="21" t="s">
        <v>1475</v>
      </c>
      <c r="D224" s="21" t="s">
        <v>1304</v>
      </c>
      <c r="E224" s="21" t="s">
        <v>593</v>
      </c>
      <c r="F224" s="21" t="s">
        <v>594</v>
      </c>
      <c r="G224" s="21" t="s">
        <v>1292</v>
      </c>
      <c r="H224" s="21" t="s">
        <v>596</v>
      </c>
    </row>
    <row r="225" customFormat="false" ht="15" hidden="false" customHeight="false" outlineLevel="0" collapsed="false">
      <c r="A225" s="21" t="s">
        <v>1476</v>
      </c>
      <c r="B225" s="8" t="s">
        <v>1477</v>
      </c>
      <c r="C225" s="21" t="s">
        <v>1478</v>
      </c>
      <c r="D225" s="21" t="s">
        <v>1304</v>
      </c>
      <c r="E225" s="21" t="s">
        <v>593</v>
      </c>
      <c r="F225" s="21" t="s">
        <v>594</v>
      </c>
      <c r="G225" s="21" t="s">
        <v>1296</v>
      </c>
      <c r="H225" s="21" t="s">
        <v>596</v>
      </c>
    </row>
    <row r="226" customFormat="false" ht="15" hidden="false" customHeight="false" outlineLevel="0" collapsed="false">
      <c r="A226" s="21" t="s">
        <v>1479</v>
      </c>
      <c r="B226" s="8" t="s">
        <v>1480</v>
      </c>
      <c r="C226" s="21" t="s">
        <v>1481</v>
      </c>
      <c r="D226" s="21" t="s">
        <v>1304</v>
      </c>
      <c r="E226" s="21" t="s">
        <v>593</v>
      </c>
      <c r="F226" s="21" t="s">
        <v>594</v>
      </c>
      <c r="G226" s="21" t="s">
        <v>1242</v>
      </c>
      <c r="H226" s="21" t="s">
        <v>596</v>
      </c>
    </row>
    <row r="227" customFormat="false" ht="15" hidden="false" customHeight="false" outlineLevel="0" collapsed="false">
      <c r="A227" s="21" t="s">
        <v>1482</v>
      </c>
      <c r="B227" s="8" t="s">
        <v>1483</v>
      </c>
      <c r="C227" s="21" t="s">
        <v>1484</v>
      </c>
      <c r="D227" s="21" t="s">
        <v>1304</v>
      </c>
      <c r="E227" s="21" t="s">
        <v>593</v>
      </c>
      <c r="F227" s="21" t="s">
        <v>594</v>
      </c>
      <c r="G227" s="21" t="s">
        <v>1217</v>
      </c>
      <c r="H227" s="21" t="s">
        <v>596</v>
      </c>
    </row>
    <row r="228" customFormat="false" ht="15" hidden="false" customHeight="false" outlineLevel="0" collapsed="false">
      <c r="A228" s="21" t="s">
        <v>1485</v>
      </c>
      <c r="B228" s="8" t="s">
        <v>1486</v>
      </c>
      <c r="C228" s="21" t="s">
        <v>1487</v>
      </c>
      <c r="D228" s="21" t="s">
        <v>1277</v>
      </c>
      <c r="E228" s="21" t="s">
        <v>593</v>
      </c>
      <c r="F228" s="21" t="s">
        <v>594</v>
      </c>
      <c r="G228" s="21" t="s">
        <v>1217</v>
      </c>
      <c r="H228" s="21" t="s">
        <v>596</v>
      </c>
    </row>
    <row r="229" customFormat="false" ht="15" hidden="false" customHeight="false" outlineLevel="0" collapsed="false">
      <c r="A229" s="21" t="s">
        <v>1488</v>
      </c>
      <c r="B229" s="8" t="s">
        <v>1489</v>
      </c>
      <c r="C229" s="21" t="s">
        <v>1490</v>
      </c>
      <c r="D229" s="21" t="s">
        <v>1304</v>
      </c>
      <c r="E229" s="21" t="s">
        <v>593</v>
      </c>
      <c r="F229" s="21" t="s">
        <v>594</v>
      </c>
      <c r="G229" s="21" t="s">
        <v>1238</v>
      </c>
      <c r="H229" s="21" t="s">
        <v>596</v>
      </c>
    </row>
    <row r="230" customFormat="false" ht="15" hidden="false" customHeight="false" outlineLevel="0" collapsed="false">
      <c r="A230" s="21" t="s">
        <v>1491</v>
      </c>
      <c r="B230" s="8" t="s">
        <v>1492</v>
      </c>
      <c r="C230" s="21" t="s">
        <v>1493</v>
      </c>
      <c r="D230" s="21" t="s">
        <v>1304</v>
      </c>
      <c r="E230" s="21" t="s">
        <v>593</v>
      </c>
      <c r="F230" s="21" t="s">
        <v>594</v>
      </c>
      <c r="G230" s="21" t="s">
        <v>1213</v>
      </c>
      <c r="H230" s="21" t="s">
        <v>596</v>
      </c>
    </row>
    <row r="231" customFormat="false" ht="23.85" hidden="false" customHeight="false" outlineLevel="0" collapsed="false">
      <c r="A231" s="21" t="s">
        <v>1494</v>
      </c>
      <c r="B231" s="8" t="s">
        <v>1495</v>
      </c>
      <c r="C231" s="21" t="s">
        <v>1496</v>
      </c>
      <c r="D231" s="21" t="s">
        <v>1304</v>
      </c>
      <c r="E231" s="21" t="s">
        <v>593</v>
      </c>
      <c r="F231" s="21" t="s">
        <v>594</v>
      </c>
      <c r="G231" s="21" t="s">
        <v>1202</v>
      </c>
      <c r="H231" s="21" t="s">
        <v>596</v>
      </c>
    </row>
    <row r="232" customFormat="false" ht="15" hidden="false" customHeight="false" outlineLevel="0" collapsed="false">
      <c r="A232" s="21" t="s">
        <v>1497</v>
      </c>
      <c r="B232" s="8" t="s">
        <v>1498</v>
      </c>
      <c r="C232" s="21" t="s">
        <v>1499</v>
      </c>
      <c r="D232" s="21" t="s">
        <v>1304</v>
      </c>
      <c r="E232" s="21" t="s">
        <v>593</v>
      </c>
      <c r="F232" s="21" t="s">
        <v>594</v>
      </c>
      <c r="G232" s="21" t="s">
        <v>1206</v>
      </c>
      <c r="H232" s="21" t="s">
        <v>596</v>
      </c>
    </row>
    <row r="233" customFormat="false" ht="35.05" hidden="false" customHeight="false" outlineLevel="0" collapsed="false">
      <c r="A233" s="21" t="s">
        <v>1500</v>
      </c>
      <c r="B233" s="8" t="s">
        <v>1501</v>
      </c>
      <c r="C233" s="21" t="s">
        <v>1502</v>
      </c>
      <c r="D233" s="21" t="s">
        <v>1503</v>
      </c>
      <c r="E233" s="21" t="s">
        <v>593</v>
      </c>
      <c r="F233" s="21" t="s">
        <v>601</v>
      </c>
      <c r="G233" s="21" t="s">
        <v>1198</v>
      </c>
      <c r="H233" s="21" t="s">
        <v>627</v>
      </c>
    </row>
    <row r="234" customFormat="false" ht="23.85" hidden="false" customHeight="false" outlineLevel="0" collapsed="false">
      <c r="A234" s="21" t="s">
        <v>1504</v>
      </c>
      <c r="B234" s="8" t="s">
        <v>1505</v>
      </c>
      <c r="C234" s="21" t="s">
        <v>1506</v>
      </c>
      <c r="D234" s="21" t="s">
        <v>1507</v>
      </c>
      <c r="E234" s="21" t="s">
        <v>593</v>
      </c>
      <c r="F234" s="21" t="s">
        <v>594</v>
      </c>
      <c r="G234" s="21" t="s">
        <v>1194</v>
      </c>
      <c r="H234" s="21" t="s">
        <v>651</v>
      </c>
    </row>
    <row r="235" customFormat="false" ht="15" hidden="false" customHeight="false" outlineLevel="0" collapsed="false">
      <c r="A235" s="21" t="s">
        <v>1508</v>
      </c>
      <c r="B235" s="8" t="s">
        <v>1509</v>
      </c>
      <c r="C235" s="21" t="s">
        <v>1510</v>
      </c>
      <c r="D235" s="21" t="s">
        <v>1511</v>
      </c>
      <c r="E235" s="21" t="s">
        <v>593</v>
      </c>
      <c r="F235" s="21" t="s">
        <v>594</v>
      </c>
      <c r="G235" s="21" t="s">
        <v>1217</v>
      </c>
      <c r="H235" s="21" t="s">
        <v>596</v>
      </c>
    </row>
    <row r="236" customFormat="false" ht="35.05" hidden="false" customHeight="false" outlineLevel="0" collapsed="false">
      <c r="A236" s="21" t="s">
        <v>1512</v>
      </c>
      <c r="B236" s="8" t="s">
        <v>1513</v>
      </c>
      <c r="C236" s="21" t="s">
        <v>1514</v>
      </c>
      <c r="D236" s="21" t="s">
        <v>1515</v>
      </c>
      <c r="E236" s="21" t="s">
        <v>593</v>
      </c>
      <c r="F236" s="21" t="s">
        <v>601</v>
      </c>
      <c r="G236" s="21" t="s">
        <v>1217</v>
      </c>
      <c r="H236" s="21" t="s">
        <v>627</v>
      </c>
    </row>
    <row r="237" customFormat="false" ht="23.85" hidden="false" customHeight="false" outlineLevel="0" collapsed="false">
      <c r="A237" s="21" t="s">
        <v>1516</v>
      </c>
      <c r="B237" s="8" t="s">
        <v>1517</v>
      </c>
      <c r="C237" s="21" t="s">
        <v>1518</v>
      </c>
      <c r="D237" s="21" t="s">
        <v>1519</v>
      </c>
      <c r="E237" s="21" t="s">
        <v>593</v>
      </c>
      <c r="F237" s="21" t="s">
        <v>594</v>
      </c>
      <c r="G237" s="21" t="s">
        <v>1520</v>
      </c>
      <c r="H237" s="21" t="s">
        <v>596</v>
      </c>
    </row>
    <row r="238" customFormat="false" ht="23.85" hidden="false" customHeight="false" outlineLevel="0" collapsed="false">
      <c r="A238" s="21" t="s">
        <v>1521</v>
      </c>
      <c r="B238" s="8" t="s">
        <v>1522</v>
      </c>
      <c r="C238" s="21" t="s">
        <v>1523</v>
      </c>
      <c r="D238" s="21" t="s">
        <v>1524</v>
      </c>
      <c r="E238" s="21" t="s">
        <v>593</v>
      </c>
      <c r="F238" s="21" t="s">
        <v>601</v>
      </c>
      <c r="G238" s="21" t="s">
        <v>1520</v>
      </c>
      <c r="H238" s="21" t="s">
        <v>627</v>
      </c>
    </row>
    <row r="239" customFormat="false" ht="15" hidden="false" customHeight="false" outlineLevel="0" collapsed="false">
      <c r="A239" s="21" t="s">
        <v>1525</v>
      </c>
      <c r="B239" s="8" t="s">
        <v>1526</v>
      </c>
      <c r="C239" s="21" t="s">
        <v>1527</v>
      </c>
      <c r="D239" s="21" t="s">
        <v>1193</v>
      </c>
      <c r="E239" s="21" t="s">
        <v>593</v>
      </c>
      <c r="F239" s="21" t="s">
        <v>594</v>
      </c>
      <c r="G239" s="21" t="s">
        <v>1528</v>
      </c>
      <c r="H239" s="21" t="s">
        <v>651</v>
      </c>
    </row>
    <row r="240" customFormat="false" ht="15" hidden="false" customHeight="false" outlineLevel="0" collapsed="false">
      <c r="A240" s="21" t="s">
        <v>1529</v>
      </c>
      <c r="B240" s="8" t="s">
        <v>1530</v>
      </c>
      <c r="C240" s="21" t="s">
        <v>1531</v>
      </c>
      <c r="D240" s="21" t="s">
        <v>1193</v>
      </c>
      <c r="E240" s="21" t="s">
        <v>593</v>
      </c>
      <c r="F240" s="21" t="s">
        <v>594</v>
      </c>
      <c r="G240" s="21" t="s">
        <v>1528</v>
      </c>
      <c r="H240" s="21" t="s">
        <v>651</v>
      </c>
    </row>
    <row r="241" customFormat="false" ht="23.85" hidden="false" customHeight="false" outlineLevel="0" collapsed="false">
      <c r="A241" s="21" t="s">
        <v>1532</v>
      </c>
      <c r="B241" s="8" t="s">
        <v>1533</v>
      </c>
      <c r="C241" s="21" t="s">
        <v>1534</v>
      </c>
      <c r="D241" s="21" t="s">
        <v>1535</v>
      </c>
      <c r="E241" s="21" t="s">
        <v>593</v>
      </c>
      <c r="F241" s="21" t="s">
        <v>594</v>
      </c>
      <c r="G241" s="21" t="s">
        <v>1536</v>
      </c>
      <c r="H241" s="21" t="s">
        <v>596</v>
      </c>
    </row>
    <row r="242" customFormat="false" ht="23.85" hidden="false" customHeight="false" outlineLevel="0" collapsed="false">
      <c r="A242" s="21" t="s">
        <v>1537</v>
      </c>
      <c r="B242" s="8" t="s">
        <v>1538</v>
      </c>
      <c r="C242" s="21" t="s">
        <v>1539</v>
      </c>
      <c r="D242" s="21" t="s">
        <v>1540</v>
      </c>
      <c r="E242" s="21" t="s">
        <v>593</v>
      </c>
      <c r="F242" s="21" t="s">
        <v>601</v>
      </c>
      <c r="G242" s="21" t="s">
        <v>1536</v>
      </c>
      <c r="H242" s="21" t="s">
        <v>596</v>
      </c>
    </row>
    <row r="243" customFormat="false" ht="23.85" hidden="false" customHeight="false" outlineLevel="0" collapsed="false">
      <c r="A243" s="21" t="s">
        <v>1541</v>
      </c>
      <c r="B243" s="8" t="s">
        <v>1542</v>
      </c>
      <c r="C243" s="21" t="s">
        <v>1543</v>
      </c>
      <c r="D243" s="21" t="s">
        <v>1544</v>
      </c>
      <c r="E243" s="21" t="s">
        <v>593</v>
      </c>
      <c r="F243" s="21" t="s">
        <v>594</v>
      </c>
      <c r="G243" s="21" t="s">
        <v>1545</v>
      </c>
      <c r="H243" s="21" t="s">
        <v>651</v>
      </c>
    </row>
    <row r="244" customFormat="false" ht="23.85" hidden="false" customHeight="false" outlineLevel="0" collapsed="false">
      <c r="A244" s="21" t="s">
        <v>1546</v>
      </c>
      <c r="B244" s="8" t="s">
        <v>1547</v>
      </c>
      <c r="C244" s="21" t="s">
        <v>1548</v>
      </c>
      <c r="D244" s="21" t="s">
        <v>1549</v>
      </c>
      <c r="E244" s="21" t="s">
        <v>593</v>
      </c>
      <c r="F244" s="21" t="s">
        <v>594</v>
      </c>
      <c r="G244" s="21" t="s">
        <v>1545</v>
      </c>
      <c r="H244" s="21" t="s">
        <v>651</v>
      </c>
    </row>
    <row r="245" customFormat="false" ht="23.85" hidden="false" customHeight="false" outlineLevel="0" collapsed="false">
      <c r="A245" s="21" t="s">
        <v>1550</v>
      </c>
      <c r="B245" s="8" t="s">
        <v>1551</v>
      </c>
      <c r="C245" s="21" t="s">
        <v>1552</v>
      </c>
      <c r="D245" s="21" t="s">
        <v>1553</v>
      </c>
      <c r="E245" s="21" t="s">
        <v>593</v>
      </c>
      <c r="F245" s="21" t="s">
        <v>594</v>
      </c>
      <c r="G245" s="21" t="s">
        <v>1554</v>
      </c>
      <c r="H245" s="21" t="s">
        <v>651</v>
      </c>
    </row>
    <row r="246" customFormat="false" ht="23.85" hidden="false" customHeight="false" outlineLevel="0" collapsed="false">
      <c r="A246" s="21" t="s">
        <v>1555</v>
      </c>
      <c r="B246" s="8" t="s">
        <v>1556</v>
      </c>
      <c r="C246" s="21" t="s">
        <v>1557</v>
      </c>
      <c r="D246" s="21" t="s">
        <v>1549</v>
      </c>
      <c r="E246" s="21" t="s">
        <v>593</v>
      </c>
      <c r="F246" s="21" t="s">
        <v>594</v>
      </c>
      <c r="G246" s="21" t="s">
        <v>1554</v>
      </c>
      <c r="H246" s="21" t="s">
        <v>651</v>
      </c>
    </row>
    <row r="247" customFormat="false" ht="23.85" hidden="false" customHeight="false" outlineLevel="0" collapsed="false">
      <c r="A247" s="21" t="s">
        <v>1558</v>
      </c>
      <c r="B247" s="8" t="s">
        <v>1559</v>
      </c>
      <c r="C247" s="21" t="s">
        <v>1560</v>
      </c>
      <c r="D247" s="21" t="s">
        <v>1553</v>
      </c>
      <c r="E247" s="21" t="s">
        <v>593</v>
      </c>
      <c r="F247" s="21" t="s">
        <v>594</v>
      </c>
      <c r="G247" s="21" t="s">
        <v>1561</v>
      </c>
      <c r="H247" s="21" t="s">
        <v>651</v>
      </c>
    </row>
    <row r="248" customFormat="false" ht="15" hidden="false" customHeight="false" outlineLevel="0" collapsed="false">
      <c r="A248" s="21" t="s">
        <v>1562</v>
      </c>
      <c r="B248" s="8" t="s">
        <v>1563</v>
      </c>
      <c r="C248" s="21" t="s">
        <v>1564</v>
      </c>
      <c r="D248" s="21" t="s">
        <v>1549</v>
      </c>
      <c r="E248" s="21" t="s">
        <v>593</v>
      </c>
      <c r="F248" s="21" t="s">
        <v>594</v>
      </c>
      <c r="G248" s="21" t="s">
        <v>1561</v>
      </c>
      <c r="H248" s="21" t="s">
        <v>651</v>
      </c>
    </row>
    <row r="249" customFormat="false" ht="23.85" hidden="false" customHeight="false" outlineLevel="0" collapsed="false">
      <c r="A249" s="21" t="s">
        <v>1565</v>
      </c>
      <c r="B249" s="8" t="s">
        <v>1566</v>
      </c>
      <c r="C249" s="21" t="s">
        <v>1567</v>
      </c>
      <c r="D249" s="21" t="s">
        <v>1553</v>
      </c>
      <c r="E249" s="21" t="s">
        <v>593</v>
      </c>
      <c r="F249" s="21" t="s">
        <v>594</v>
      </c>
      <c r="G249" s="21" t="s">
        <v>1568</v>
      </c>
      <c r="H249" s="21" t="s">
        <v>651</v>
      </c>
    </row>
    <row r="250" customFormat="false" ht="23.85" hidden="false" customHeight="false" outlineLevel="0" collapsed="false">
      <c r="A250" s="21" t="s">
        <v>1569</v>
      </c>
      <c r="B250" s="8" t="s">
        <v>1570</v>
      </c>
      <c r="C250" s="21" t="s">
        <v>1571</v>
      </c>
      <c r="D250" s="21" t="s">
        <v>1544</v>
      </c>
      <c r="E250" s="21" t="s">
        <v>593</v>
      </c>
      <c r="F250" s="21" t="s">
        <v>594</v>
      </c>
      <c r="G250" s="21" t="s">
        <v>1568</v>
      </c>
      <c r="H250" s="21" t="s">
        <v>651</v>
      </c>
    </row>
    <row r="251" customFormat="false" ht="35.05" hidden="false" customHeight="false" outlineLevel="0" collapsed="false">
      <c r="A251" s="21" t="s">
        <v>1572</v>
      </c>
      <c r="B251" s="8" t="s">
        <v>1573</v>
      </c>
      <c r="C251" s="21" t="s">
        <v>1574</v>
      </c>
      <c r="D251" s="21" t="s">
        <v>1549</v>
      </c>
      <c r="E251" s="21" t="s">
        <v>593</v>
      </c>
      <c r="F251" s="21" t="s">
        <v>594</v>
      </c>
      <c r="G251" s="21" t="s">
        <v>1575</v>
      </c>
      <c r="H251" s="21" t="s">
        <v>651</v>
      </c>
    </row>
    <row r="252" customFormat="false" ht="23.85" hidden="false" customHeight="false" outlineLevel="0" collapsed="false">
      <c r="A252" s="21" t="s">
        <v>1576</v>
      </c>
      <c r="B252" s="8" t="s">
        <v>1577</v>
      </c>
      <c r="C252" s="21" t="s">
        <v>1578</v>
      </c>
      <c r="D252" s="21" t="s">
        <v>1579</v>
      </c>
      <c r="E252" s="21" t="s">
        <v>593</v>
      </c>
      <c r="F252" s="21" t="s">
        <v>594</v>
      </c>
      <c r="G252" s="21" t="s">
        <v>1580</v>
      </c>
      <c r="H252" s="21" t="s">
        <v>651</v>
      </c>
    </row>
    <row r="253" customFormat="false" ht="23.85" hidden="false" customHeight="false" outlineLevel="0" collapsed="false">
      <c r="A253" s="21" t="s">
        <v>1581</v>
      </c>
      <c r="B253" s="8" t="s">
        <v>1582</v>
      </c>
      <c r="C253" s="21" t="s">
        <v>1583</v>
      </c>
      <c r="D253" s="21" t="s">
        <v>1544</v>
      </c>
      <c r="E253" s="21" t="s">
        <v>593</v>
      </c>
      <c r="F253" s="21" t="s">
        <v>594</v>
      </c>
      <c r="G253" s="21" t="s">
        <v>1584</v>
      </c>
      <c r="H253" s="21" t="s">
        <v>651</v>
      </c>
    </row>
    <row r="254" customFormat="false" ht="23.85" hidden="false" customHeight="false" outlineLevel="0" collapsed="false">
      <c r="A254" s="21" t="s">
        <v>1585</v>
      </c>
      <c r="B254" s="8" t="s">
        <v>1586</v>
      </c>
      <c r="C254" s="21" t="s">
        <v>1587</v>
      </c>
      <c r="D254" s="21" t="s">
        <v>1544</v>
      </c>
      <c r="E254" s="21" t="s">
        <v>593</v>
      </c>
      <c r="F254" s="21" t="s">
        <v>594</v>
      </c>
      <c r="G254" s="21" t="s">
        <v>1588</v>
      </c>
      <c r="H254" s="21" t="s">
        <v>651</v>
      </c>
    </row>
    <row r="255" customFormat="false" ht="23.85" hidden="false" customHeight="false" outlineLevel="0" collapsed="false">
      <c r="A255" s="21" t="s">
        <v>1589</v>
      </c>
      <c r="B255" s="8" t="s">
        <v>1590</v>
      </c>
      <c r="C255" s="21" t="s">
        <v>1591</v>
      </c>
      <c r="D255" s="21" t="s">
        <v>1579</v>
      </c>
      <c r="E255" s="21" t="s">
        <v>593</v>
      </c>
      <c r="F255" s="21" t="s">
        <v>594</v>
      </c>
      <c r="G255" s="21" t="s">
        <v>1592</v>
      </c>
      <c r="H255" s="21" t="s">
        <v>651</v>
      </c>
    </row>
    <row r="256" customFormat="false" ht="23.85" hidden="false" customHeight="false" outlineLevel="0" collapsed="false">
      <c r="A256" s="21" t="s">
        <v>1593</v>
      </c>
      <c r="B256" s="8" t="s">
        <v>1594</v>
      </c>
      <c r="C256" s="21" t="s">
        <v>1595</v>
      </c>
      <c r="D256" s="21" t="s">
        <v>1544</v>
      </c>
      <c r="E256" s="21" t="s">
        <v>593</v>
      </c>
      <c r="F256" s="21" t="s">
        <v>594</v>
      </c>
      <c r="G256" s="21" t="s">
        <v>1596</v>
      </c>
      <c r="H256" s="21" t="s">
        <v>651</v>
      </c>
    </row>
    <row r="257" customFormat="false" ht="23.85" hidden="false" customHeight="false" outlineLevel="0" collapsed="false">
      <c r="A257" s="21" t="s">
        <v>1597</v>
      </c>
      <c r="B257" s="8" t="s">
        <v>1598</v>
      </c>
      <c r="C257" s="21" t="s">
        <v>1599</v>
      </c>
      <c r="D257" s="21" t="s">
        <v>1600</v>
      </c>
      <c r="E257" s="21" t="s">
        <v>593</v>
      </c>
      <c r="F257" s="21" t="s">
        <v>594</v>
      </c>
      <c r="G257" s="21" t="s">
        <v>1601</v>
      </c>
      <c r="H257" s="21" t="s">
        <v>596</v>
      </c>
    </row>
    <row r="258" customFormat="false" ht="23.85" hidden="false" customHeight="false" outlineLevel="0" collapsed="false">
      <c r="A258" s="21" t="s">
        <v>1602</v>
      </c>
      <c r="B258" s="8" t="s">
        <v>1603</v>
      </c>
      <c r="C258" s="21" t="s">
        <v>635</v>
      </c>
      <c r="D258" s="21" t="s">
        <v>1604</v>
      </c>
      <c r="E258" s="21" t="s">
        <v>593</v>
      </c>
      <c r="F258" s="21" t="s">
        <v>594</v>
      </c>
      <c r="G258" s="21" t="s">
        <v>1601</v>
      </c>
      <c r="H258" s="21" t="s">
        <v>596</v>
      </c>
    </row>
    <row r="259" customFormat="false" ht="15" hidden="false" customHeight="false" outlineLevel="0" collapsed="false">
      <c r="A259" s="21" t="s">
        <v>1605</v>
      </c>
      <c r="B259" s="8" t="s">
        <v>1606</v>
      </c>
      <c r="C259" s="21" t="s">
        <v>1607</v>
      </c>
      <c r="D259" s="21" t="s">
        <v>1608</v>
      </c>
      <c r="E259" s="21" t="s">
        <v>593</v>
      </c>
      <c r="F259" s="21" t="s">
        <v>594</v>
      </c>
      <c r="G259" s="21" t="s">
        <v>1601</v>
      </c>
      <c r="H259" s="21" t="s">
        <v>651</v>
      </c>
    </row>
    <row r="260" customFormat="false" ht="15" hidden="false" customHeight="false" outlineLevel="0" collapsed="false">
      <c r="A260" s="21" t="s">
        <v>1609</v>
      </c>
      <c r="B260" s="8" t="s">
        <v>1610</v>
      </c>
      <c r="C260" s="21" t="s">
        <v>1611</v>
      </c>
      <c r="D260" s="21" t="s">
        <v>1608</v>
      </c>
      <c r="E260" s="21" t="s">
        <v>593</v>
      </c>
      <c r="F260" s="21" t="s">
        <v>594</v>
      </c>
      <c r="G260" s="21" t="s">
        <v>1601</v>
      </c>
      <c r="H260" s="21" t="s">
        <v>651</v>
      </c>
    </row>
    <row r="261" customFormat="false" ht="23.85" hidden="false" customHeight="false" outlineLevel="0" collapsed="false">
      <c r="A261" s="21" t="s">
        <v>1612</v>
      </c>
      <c r="B261" s="8" t="s">
        <v>1613</v>
      </c>
      <c r="C261" s="21" t="s">
        <v>1614</v>
      </c>
      <c r="D261" s="21" t="s">
        <v>1615</v>
      </c>
      <c r="E261" s="21" t="s">
        <v>593</v>
      </c>
      <c r="F261" s="21" t="s">
        <v>594</v>
      </c>
      <c r="G261" s="21" t="s">
        <v>1601</v>
      </c>
      <c r="H261" s="21" t="s">
        <v>651</v>
      </c>
    </row>
    <row r="262" customFormat="false" ht="23.85" hidden="false" customHeight="false" outlineLevel="0" collapsed="false">
      <c r="A262" s="21" t="s">
        <v>1616</v>
      </c>
      <c r="B262" s="8" t="s">
        <v>1617</v>
      </c>
      <c r="C262" s="21" t="s">
        <v>1618</v>
      </c>
      <c r="D262" s="21" t="s">
        <v>1619</v>
      </c>
      <c r="E262" s="21" t="s">
        <v>593</v>
      </c>
      <c r="F262" s="21" t="s">
        <v>594</v>
      </c>
      <c r="G262" s="21" t="s">
        <v>1620</v>
      </c>
      <c r="H262" s="21" t="s">
        <v>596</v>
      </c>
    </row>
    <row r="263" customFormat="false" ht="15" hidden="false" customHeight="false" outlineLevel="0" collapsed="false">
      <c r="A263" s="21" t="s">
        <v>1621</v>
      </c>
      <c r="B263" s="8" t="s">
        <v>1622</v>
      </c>
      <c r="C263" s="21" t="s">
        <v>1623</v>
      </c>
      <c r="D263" s="21" t="s">
        <v>1624</v>
      </c>
      <c r="E263" s="21" t="s">
        <v>593</v>
      </c>
      <c r="F263" s="21" t="s">
        <v>594</v>
      </c>
      <c r="G263" s="21" t="s">
        <v>1625</v>
      </c>
      <c r="H263" s="21" t="s">
        <v>651</v>
      </c>
    </row>
    <row r="264" customFormat="false" ht="15" hidden="false" customHeight="false" outlineLevel="0" collapsed="false">
      <c r="A264" s="21" t="s">
        <v>1626</v>
      </c>
      <c r="B264" s="8" t="s">
        <v>1627</v>
      </c>
      <c r="C264" s="21" t="s">
        <v>1628</v>
      </c>
      <c r="D264" s="21" t="s">
        <v>1374</v>
      </c>
      <c r="E264" s="21" t="s">
        <v>593</v>
      </c>
      <c r="F264" s="21" t="s">
        <v>594</v>
      </c>
      <c r="G264" s="21" t="s">
        <v>1625</v>
      </c>
      <c r="H264" s="21" t="s">
        <v>596</v>
      </c>
    </row>
    <row r="265" customFormat="false" ht="15" hidden="false" customHeight="false" outlineLevel="0" collapsed="false">
      <c r="A265" s="21" t="s">
        <v>1629</v>
      </c>
      <c r="B265" s="8" t="s">
        <v>1630</v>
      </c>
      <c r="C265" s="21" t="s">
        <v>1631</v>
      </c>
      <c r="D265" s="21" t="s">
        <v>1632</v>
      </c>
      <c r="E265" s="21" t="s">
        <v>593</v>
      </c>
      <c r="F265" s="21" t="s">
        <v>594</v>
      </c>
      <c r="G265" s="21" t="s">
        <v>1633</v>
      </c>
      <c r="H265" s="21" t="s">
        <v>596</v>
      </c>
    </row>
    <row r="266" customFormat="false" ht="15" hidden="false" customHeight="false" outlineLevel="0" collapsed="false">
      <c r="A266" s="21" t="s">
        <v>1634</v>
      </c>
      <c r="B266" s="8" t="s">
        <v>1635</v>
      </c>
      <c r="C266" s="21" t="s">
        <v>1636</v>
      </c>
      <c r="D266" s="21" t="s">
        <v>1637</v>
      </c>
      <c r="E266" s="21" t="s">
        <v>593</v>
      </c>
      <c r="F266" s="21" t="s">
        <v>594</v>
      </c>
      <c r="G266" s="21" t="s">
        <v>1633</v>
      </c>
      <c r="H266" s="21" t="s">
        <v>596</v>
      </c>
    </row>
    <row r="267" customFormat="false" ht="23.85" hidden="false" customHeight="false" outlineLevel="0" collapsed="false">
      <c r="A267" s="21" t="s">
        <v>1638</v>
      </c>
      <c r="B267" s="8" t="s">
        <v>1639</v>
      </c>
      <c r="C267" s="21" t="s">
        <v>1640</v>
      </c>
      <c r="D267" s="21" t="s">
        <v>1382</v>
      </c>
      <c r="E267" s="21" t="s">
        <v>593</v>
      </c>
      <c r="F267" s="21" t="s">
        <v>594</v>
      </c>
      <c r="G267" s="21" t="s">
        <v>1641</v>
      </c>
      <c r="H267" s="21" t="s">
        <v>596</v>
      </c>
    </row>
    <row r="268" customFormat="false" ht="15" hidden="false" customHeight="false" outlineLevel="0" collapsed="false">
      <c r="A268" s="21" t="s">
        <v>1642</v>
      </c>
      <c r="B268" s="8" t="s">
        <v>1643</v>
      </c>
      <c r="C268" s="21" t="s">
        <v>1644</v>
      </c>
      <c r="D268" s="21" t="s">
        <v>1637</v>
      </c>
      <c r="E268" s="21" t="s">
        <v>593</v>
      </c>
      <c r="F268" s="21" t="s">
        <v>594</v>
      </c>
      <c r="G268" s="21" t="s">
        <v>1641</v>
      </c>
      <c r="H268" s="21" t="s">
        <v>596</v>
      </c>
    </row>
    <row r="269" customFormat="false" ht="15" hidden="false" customHeight="false" outlineLevel="0" collapsed="false">
      <c r="A269" s="21" t="s">
        <v>1645</v>
      </c>
      <c r="B269" s="8" t="s">
        <v>1646</v>
      </c>
      <c r="C269" s="21" t="s">
        <v>1647</v>
      </c>
      <c r="D269" s="21" t="s">
        <v>1637</v>
      </c>
      <c r="E269" s="21" t="s">
        <v>593</v>
      </c>
      <c r="F269" s="21" t="s">
        <v>594</v>
      </c>
      <c r="G269" s="21" t="s">
        <v>1641</v>
      </c>
      <c r="H269" s="21" t="s">
        <v>596</v>
      </c>
    </row>
    <row r="270" customFormat="false" ht="15" hidden="false" customHeight="false" outlineLevel="0" collapsed="false">
      <c r="A270" s="21" t="s">
        <v>1648</v>
      </c>
      <c r="B270" s="8" t="s">
        <v>1649</v>
      </c>
      <c r="C270" s="21" t="s">
        <v>1650</v>
      </c>
      <c r="D270" s="21" t="s">
        <v>1637</v>
      </c>
      <c r="E270" s="21" t="s">
        <v>593</v>
      </c>
      <c r="F270" s="21" t="s">
        <v>594</v>
      </c>
      <c r="G270" s="21" t="s">
        <v>1641</v>
      </c>
      <c r="H270" s="21" t="s">
        <v>596</v>
      </c>
    </row>
    <row r="271" customFormat="false" ht="23.85" hidden="false" customHeight="false" outlineLevel="0" collapsed="false">
      <c r="A271" s="21" t="s">
        <v>1651</v>
      </c>
      <c r="B271" s="8" t="s">
        <v>1652</v>
      </c>
      <c r="C271" s="21" t="s">
        <v>1653</v>
      </c>
      <c r="D271" s="21" t="s">
        <v>1654</v>
      </c>
      <c r="E271" s="21" t="s">
        <v>593</v>
      </c>
      <c r="F271" s="21" t="s">
        <v>601</v>
      </c>
      <c r="G271" s="21" t="s">
        <v>1641</v>
      </c>
      <c r="H271" s="21" t="s">
        <v>627</v>
      </c>
    </row>
    <row r="272" customFormat="false" ht="23.85" hidden="false" customHeight="false" outlineLevel="0" collapsed="false">
      <c r="A272" s="21" t="s">
        <v>1655</v>
      </c>
      <c r="B272" s="8" t="s">
        <v>1656</v>
      </c>
      <c r="C272" s="21" t="s">
        <v>1657</v>
      </c>
      <c r="D272" s="21" t="s">
        <v>1382</v>
      </c>
      <c r="E272" s="21" t="s">
        <v>593</v>
      </c>
      <c r="F272" s="21" t="s">
        <v>594</v>
      </c>
      <c r="G272" s="21" t="s">
        <v>1658</v>
      </c>
      <c r="H272" s="21" t="s">
        <v>627</v>
      </c>
    </row>
    <row r="273" customFormat="false" ht="15" hidden="false" customHeight="false" outlineLevel="0" collapsed="false">
      <c r="A273" s="21" t="s">
        <v>1659</v>
      </c>
      <c r="B273" s="8" t="s">
        <v>1660</v>
      </c>
      <c r="C273" s="21" t="s">
        <v>1661</v>
      </c>
      <c r="D273" s="21" t="s">
        <v>1637</v>
      </c>
      <c r="E273" s="21" t="s">
        <v>593</v>
      </c>
      <c r="F273" s="21" t="s">
        <v>594</v>
      </c>
      <c r="G273" s="21" t="s">
        <v>1658</v>
      </c>
      <c r="H273" s="21" t="s">
        <v>596</v>
      </c>
    </row>
    <row r="274" customFormat="false" ht="15" hidden="false" customHeight="false" outlineLevel="0" collapsed="false">
      <c r="A274" s="21" t="s">
        <v>1662</v>
      </c>
      <c r="B274" s="8" t="s">
        <v>1663</v>
      </c>
      <c r="C274" s="21" t="s">
        <v>1664</v>
      </c>
      <c r="D274" s="21" t="s">
        <v>1637</v>
      </c>
      <c r="E274" s="21" t="s">
        <v>593</v>
      </c>
      <c r="F274" s="21" t="s">
        <v>594</v>
      </c>
      <c r="G274" s="21" t="s">
        <v>1658</v>
      </c>
      <c r="H274" s="21" t="s">
        <v>596</v>
      </c>
    </row>
    <row r="275" customFormat="false" ht="15" hidden="false" customHeight="false" outlineLevel="0" collapsed="false">
      <c r="A275" s="21" t="s">
        <v>1665</v>
      </c>
      <c r="B275" s="8" t="s">
        <v>1666</v>
      </c>
      <c r="C275" s="21" t="s">
        <v>1667</v>
      </c>
      <c r="D275" s="21" t="s">
        <v>1637</v>
      </c>
      <c r="E275" s="21" t="s">
        <v>593</v>
      </c>
      <c r="F275" s="21" t="s">
        <v>594</v>
      </c>
      <c r="G275" s="21" t="s">
        <v>1658</v>
      </c>
      <c r="H275" s="21" t="s">
        <v>596</v>
      </c>
    </row>
    <row r="276" customFormat="false" ht="15" hidden="false" customHeight="false" outlineLevel="0" collapsed="false">
      <c r="A276" s="21" t="s">
        <v>1668</v>
      </c>
      <c r="B276" s="8" t="s">
        <v>1669</v>
      </c>
      <c r="C276" s="21" t="s">
        <v>1670</v>
      </c>
      <c r="D276" s="21" t="s">
        <v>1671</v>
      </c>
      <c r="E276" s="21" t="s">
        <v>593</v>
      </c>
      <c r="F276" s="21" t="s">
        <v>594</v>
      </c>
      <c r="G276" s="21" t="s">
        <v>1672</v>
      </c>
      <c r="H276" s="21" t="s">
        <v>596</v>
      </c>
    </row>
    <row r="277" customFormat="false" ht="23.85" hidden="false" customHeight="false" outlineLevel="0" collapsed="false">
      <c r="A277" s="21" t="s">
        <v>1673</v>
      </c>
      <c r="B277" s="8" t="s">
        <v>1674</v>
      </c>
      <c r="C277" s="21" t="s">
        <v>1675</v>
      </c>
      <c r="D277" s="21" t="s">
        <v>1676</v>
      </c>
      <c r="E277" s="21" t="s">
        <v>593</v>
      </c>
      <c r="F277" s="21" t="s">
        <v>601</v>
      </c>
      <c r="G277" s="21" t="s">
        <v>1672</v>
      </c>
      <c r="H277" s="21" t="s">
        <v>596</v>
      </c>
    </row>
    <row r="278" customFormat="false" ht="15" hidden="false" customHeight="false" outlineLevel="0" collapsed="false">
      <c r="A278" s="21" t="s">
        <v>1677</v>
      </c>
      <c r="B278" s="8" t="s">
        <v>1678</v>
      </c>
      <c r="C278" s="21" t="s">
        <v>1679</v>
      </c>
      <c r="D278" s="21" t="s">
        <v>1680</v>
      </c>
      <c r="E278" s="21" t="s">
        <v>593</v>
      </c>
      <c r="F278" s="21" t="s">
        <v>594</v>
      </c>
      <c r="G278" s="21" t="s">
        <v>1681</v>
      </c>
      <c r="H278" s="21" t="s">
        <v>596</v>
      </c>
    </row>
    <row r="279" customFormat="false" ht="15" hidden="false" customHeight="false" outlineLevel="0" collapsed="false">
      <c r="A279" s="21" t="s">
        <v>1682</v>
      </c>
      <c r="B279" s="8" t="s">
        <v>1683</v>
      </c>
      <c r="C279" s="21" t="s">
        <v>1684</v>
      </c>
      <c r="D279" s="21" t="s">
        <v>1685</v>
      </c>
      <c r="E279" s="21" t="s">
        <v>593</v>
      </c>
      <c r="F279" s="21" t="s">
        <v>594</v>
      </c>
      <c r="G279" s="21" t="s">
        <v>1681</v>
      </c>
      <c r="H279" s="21" t="s">
        <v>596</v>
      </c>
    </row>
    <row r="280" customFormat="false" ht="23.85" hidden="false" customHeight="false" outlineLevel="0" collapsed="false">
      <c r="A280" s="21" t="s">
        <v>1686</v>
      </c>
      <c r="B280" s="8" t="s">
        <v>1687</v>
      </c>
      <c r="C280" s="21" t="s">
        <v>1688</v>
      </c>
      <c r="D280" s="21" t="s">
        <v>1689</v>
      </c>
      <c r="E280" s="21" t="s">
        <v>593</v>
      </c>
      <c r="F280" s="21" t="s">
        <v>594</v>
      </c>
      <c r="G280" s="21" t="s">
        <v>1690</v>
      </c>
      <c r="H280" s="21" t="s">
        <v>596</v>
      </c>
    </row>
    <row r="281" customFormat="false" ht="15" hidden="false" customHeight="false" outlineLevel="0" collapsed="false">
      <c r="A281" s="21" t="s">
        <v>1691</v>
      </c>
      <c r="B281" s="8" t="s">
        <v>1692</v>
      </c>
      <c r="C281" s="21" t="s">
        <v>1693</v>
      </c>
      <c r="D281" s="21" t="s">
        <v>1685</v>
      </c>
      <c r="E281" s="21" t="s">
        <v>593</v>
      </c>
      <c r="F281" s="21" t="s">
        <v>594</v>
      </c>
      <c r="G281" s="21" t="s">
        <v>1690</v>
      </c>
      <c r="H281" s="21" t="s">
        <v>596</v>
      </c>
    </row>
    <row r="282" customFormat="false" ht="23.85" hidden="false" customHeight="false" outlineLevel="0" collapsed="false">
      <c r="A282" s="21" t="s">
        <v>1694</v>
      </c>
      <c r="B282" s="8" t="s">
        <v>1695</v>
      </c>
      <c r="C282" s="21" t="s">
        <v>1696</v>
      </c>
      <c r="D282" s="21" t="s">
        <v>1553</v>
      </c>
      <c r="E282" s="21" t="s">
        <v>593</v>
      </c>
      <c r="F282" s="21" t="s">
        <v>594</v>
      </c>
      <c r="G282" s="21" t="s">
        <v>1697</v>
      </c>
      <c r="H282" s="21" t="s">
        <v>651</v>
      </c>
    </row>
    <row r="283" customFormat="false" ht="23.85" hidden="false" customHeight="false" outlineLevel="0" collapsed="false">
      <c r="A283" s="21" t="s">
        <v>1698</v>
      </c>
      <c r="B283" s="8" t="s">
        <v>1699</v>
      </c>
      <c r="C283" s="21" t="s">
        <v>1700</v>
      </c>
      <c r="D283" s="21" t="s">
        <v>1701</v>
      </c>
      <c r="E283" s="21" t="s">
        <v>593</v>
      </c>
      <c r="F283" s="21" t="s">
        <v>601</v>
      </c>
      <c r="G283" s="21" t="s">
        <v>1697</v>
      </c>
      <c r="H283" s="21" t="s">
        <v>596</v>
      </c>
    </row>
    <row r="284" customFormat="false" ht="15" hidden="false" customHeight="false" outlineLevel="0" collapsed="false">
      <c r="A284" s="21" t="s">
        <v>1702</v>
      </c>
      <c r="B284" s="8" t="s">
        <v>1703</v>
      </c>
      <c r="C284" s="21" t="s">
        <v>1704</v>
      </c>
      <c r="D284" s="21" t="s">
        <v>1705</v>
      </c>
      <c r="E284" s="21" t="s">
        <v>593</v>
      </c>
      <c r="F284" s="21" t="s">
        <v>594</v>
      </c>
      <c r="G284" s="21" t="s">
        <v>1706</v>
      </c>
      <c r="H284" s="21" t="s">
        <v>596</v>
      </c>
    </row>
    <row r="285" customFormat="false" ht="15" hidden="false" customHeight="false" outlineLevel="0" collapsed="false">
      <c r="A285" s="21" t="s">
        <v>1707</v>
      </c>
      <c r="B285" s="8" t="s">
        <v>1708</v>
      </c>
      <c r="C285" s="21" t="s">
        <v>1709</v>
      </c>
      <c r="D285" s="21" t="s">
        <v>1705</v>
      </c>
      <c r="E285" s="21" t="s">
        <v>593</v>
      </c>
      <c r="F285" s="21" t="s">
        <v>594</v>
      </c>
      <c r="G285" s="21" t="s">
        <v>1706</v>
      </c>
      <c r="H285" s="21" t="s">
        <v>596</v>
      </c>
    </row>
    <row r="286" customFormat="false" ht="23.85" hidden="false" customHeight="false" outlineLevel="0" collapsed="false">
      <c r="A286" s="21" t="s">
        <v>1710</v>
      </c>
      <c r="B286" s="8" t="s">
        <v>1711</v>
      </c>
      <c r="C286" s="21" t="s">
        <v>1712</v>
      </c>
      <c r="D286" s="21" t="s">
        <v>1370</v>
      </c>
      <c r="E286" s="21" t="s">
        <v>593</v>
      </c>
      <c r="F286" s="21" t="s">
        <v>601</v>
      </c>
      <c r="G286" s="21" t="s">
        <v>1706</v>
      </c>
      <c r="H286" s="21" t="s">
        <v>596</v>
      </c>
    </row>
    <row r="287" customFormat="false" ht="15" hidden="false" customHeight="false" outlineLevel="0" collapsed="false">
      <c r="A287" s="21" t="s">
        <v>1713</v>
      </c>
      <c r="B287" s="8" t="s">
        <v>1714</v>
      </c>
      <c r="C287" s="21" t="s">
        <v>1715</v>
      </c>
      <c r="D287" s="21" t="s">
        <v>1716</v>
      </c>
      <c r="E287" s="21" t="s">
        <v>593</v>
      </c>
      <c r="F287" s="21" t="s">
        <v>594</v>
      </c>
      <c r="G287" s="21" t="s">
        <v>1717</v>
      </c>
      <c r="H287" s="21" t="s">
        <v>596</v>
      </c>
    </row>
    <row r="288" customFormat="false" ht="23.85" hidden="false" customHeight="false" outlineLevel="0" collapsed="false">
      <c r="A288" s="21" t="s">
        <v>1718</v>
      </c>
      <c r="B288" s="8" t="s">
        <v>1719</v>
      </c>
      <c r="C288" s="21" t="s">
        <v>1720</v>
      </c>
      <c r="D288" s="21" t="s">
        <v>1721</v>
      </c>
      <c r="E288" s="21" t="s">
        <v>593</v>
      </c>
      <c r="F288" s="21" t="s">
        <v>601</v>
      </c>
      <c r="G288" s="21" t="s">
        <v>1717</v>
      </c>
      <c r="H288" s="21" t="s">
        <v>627</v>
      </c>
    </row>
    <row r="289" customFormat="false" ht="23.85" hidden="false" customHeight="false" outlineLevel="0" collapsed="false">
      <c r="A289" s="21" t="s">
        <v>1722</v>
      </c>
      <c r="B289" s="8" t="s">
        <v>1723</v>
      </c>
      <c r="C289" s="21" t="s">
        <v>1724</v>
      </c>
      <c r="D289" s="21" t="s">
        <v>1725</v>
      </c>
      <c r="E289" s="21" t="s">
        <v>593</v>
      </c>
      <c r="F289" s="21" t="s">
        <v>594</v>
      </c>
      <c r="G289" s="21" t="s">
        <v>1726</v>
      </c>
      <c r="H289" s="21" t="s">
        <v>651</v>
      </c>
    </row>
    <row r="290" customFormat="false" ht="23.85" hidden="false" customHeight="false" outlineLevel="0" collapsed="false">
      <c r="A290" s="21" t="s">
        <v>1727</v>
      </c>
      <c r="B290" s="8" t="s">
        <v>1728</v>
      </c>
      <c r="C290" s="21" t="s">
        <v>1729</v>
      </c>
      <c r="D290" s="21" t="s">
        <v>1725</v>
      </c>
      <c r="E290" s="21" t="s">
        <v>593</v>
      </c>
      <c r="F290" s="21" t="s">
        <v>594</v>
      </c>
      <c r="G290" s="21" t="s">
        <v>1730</v>
      </c>
      <c r="H290" s="21" t="s">
        <v>651</v>
      </c>
    </row>
    <row r="291" customFormat="false" ht="23.85" hidden="false" customHeight="false" outlineLevel="0" collapsed="false">
      <c r="A291" s="21" t="s">
        <v>1731</v>
      </c>
      <c r="B291" s="8" t="s">
        <v>1732</v>
      </c>
      <c r="C291" s="21" t="s">
        <v>1733</v>
      </c>
      <c r="D291" s="21" t="s">
        <v>1549</v>
      </c>
      <c r="E291" s="21" t="s">
        <v>593</v>
      </c>
      <c r="F291" s="21" t="s">
        <v>594</v>
      </c>
      <c r="G291" s="21" t="s">
        <v>1717</v>
      </c>
      <c r="H291" s="21" t="s">
        <v>651</v>
      </c>
    </row>
    <row r="292" customFormat="false" ht="23.85" hidden="false" customHeight="false" outlineLevel="0" collapsed="false">
      <c r="A292" s="21" t="s">
        <v>1734</v>
      </c>
      <c r="B292" s="8" t="s">
        <v>1735</v>
      </c>
      <c r="C292" s="21" t="s">
        <v>1736</v>
      </c>
      <c r="D292" s="21" t="s">
        <v>1737</v>
      </c>
      <c r="E292" s="21" t="s">
        <v>593</v>
      </c>
      <c r="F292" s="21" t="s">
        <v>594</v>
      </c>
      <c r="G292" s="21" t="s">
        <v>1726</v>
      </c>
      <c r="H292" s="21" t="s">
        <v>627</v>
      </c>
    </row>
    <row r="293" customFormat="false" ht="23.85" hidden="false" customHeight="false" outlineLevel="0" collapsed="false">
      <c r="A293" s="21" t="s">
        <v>1738</v>
      </c>
      <c r="B293" s="8" t="s">
        <v>1739</v>
      </c>
      <c r="C293" s="21" t="s">
        <v>1740</v>
      </c>
      <c r="D293" s="21" t="s">
        <v>1741</v>
      </c>
      <c r="E293" s="21" t="s">
        <v>593</v>
      </c>
      <c r="F293" s="21" t="s">
        <v>601</v>
      </c>
      <c r="G293" s="21" t="s">
        <v>1601</v>
      </c>
      <c r="H293" s="21" t="s">
        <v>627</v>
      </c>
    </row>
    <row r="294" customFormat="false" ht="23.85" hidden="false" customHeight="false" outlineLevel="0" collapsed="false">
      <c r="A294" s="21" t="s">
        <v>1742</v>
      </c>
      <c r="B294" s="8" t="s">
        <v>1743</v>
      </c>
      <c r="C294" s="21" t="s">
        <v>1744</v>
      </c>
      <c r="D294" s="21" t="s">
        <v>1745</v>
      </c>
      <c r="E294" s="21" t="s">
        <v>593</v>
      </c>
      <c r="F294" s="21" t="s">
        <v>601</v>
      </c>
      <c r="G294" s="21" t="s">
        <v>1706</v>
      </c>
      <c r="H294" s="21" t="s">
        <v>596</v>
      </c>
    </row>
    <row r="295" customFormat="false" ht="23.85" hidden="false" customHeight="false" outlineLevel="0" collapsed="false">
      <c r="A295" s="21" t="s">
        <v>1746</v>
      </c>
      <c r="B295" s="8" t="s">
        <v>1747</v>
      </c>
      <c r="C295" s="21" t="s">
        <v>1748</v>
      </c>
      <c r="D295" s="21" t="s">
        <v>1749</v>
      </c>
      <c r="E295" s="21" t="s">
        <v>593</v>
      </c>
      <c r="F295" s="21" t="s">
        <v>594</v>
      </c>
      <c r="G295" s="21" t="s">
        <v>1750</v>
      </c>
      <c r="H295" s="21" t="s">
        <v>651</v>
      </c>
    </row>
    <row r="296" customFormat="false" ht="35.05" hidden="false" customHeight="false" outlineLevel="0" collapsed="false">
      <c r="A296" s="21" t="s">
        <v>1751</v>
      </c>
      <c r="B296" s="8" t="s">
        <v>1752</v>
      </c>
      <c r="C296" s="21" t="s">
        <v>1753</v>
      </c>
      <c r="D296" s="21" t="s">
        <v>1754</v>
      </c>
      <c r="E296" s="21" t="s">
        <v>593</v>
      </c>
      <c r="F296" s="21" t="s">
        <v>594</v>
      </c>
      <c r="G296" s="21" t="s">
        <v>1755</v>
      </c>
      <c r="H296" s="21" t="s">
        <v>651</v>
      </c>
    </row>
    <row r="297" customFormat="false" ht="35.05" hidden="false" customHeight="false" outlineLevel="0" collapsed="false">
      <c r="A297" s="21" t="s">
        <v>1756</v>
      </c>
      <c r="B297" s="8" t="s">
        <v>1757</v>
      </c>
      <c r="C297" s="21" t="s">
        <v>1758</v>
      </c>
      <c r="D297" s="21" t="s">
        <v>1754</v>
      </c>
      <c r="E297" s="21" t="s">
        <v>593</v>
      </c>
      <c r="F297" s="21" t="s">
        <v>594</v>
      </c>
      <c r="G297" s="21" t="s">
        <v>1759</v>
      </c>
      <c r="H297" s="21" t="s">
        <v>651</v>
      </c>
    </row>
    <row r="298" customFormat="false" ht="23.85" hidden="false" customHeight="false" outlineLevel="0" collapsed="false">
      <c r="A298" s="21" t="s">
        <v>1760</v>
      </c>
      <c r="B298" s="8" t="s">
        <v>1761</v>
      </c>
      <c r="C298" s="21" t="s">
        <v>1762</v>
      </c>
      <c r="D298" s="21" t="s">
        <v>1763</v>
      </c>
      <c r="E298" s="21" t="s">
        <v>593</v>
      </c>
      <c r="F298" s="21" t="s">
        <v>594</v>
      </c>
      <c r="G298" s="21" t="s">
        <v>1764</v>
      </c>
      <c r="H298" s="21" t="s">
        <v>651</v>
      </c>
    </row>
    <row r="299" customFormat="false" ht="23.85" hidden="false" customHeight="false" outlineLevel="0" collapsed="false">
      <c r="A299" s="21" t="s">
        <v>1765</v>
      </c>
      <c r="B299" s="8" t="s">
        <v>1766</v>
      </c>
      <c r="C299" s="21" t="s">
        <v>1767</v>
      </c>
      <c r="D299" s="21" t="s">
        <v>1749</v>
      </c>
      <c r="E299" s="21" t="s">
        <v>593</v>
      </c>
      <c r="F299" s="21" t="s">
        <v>594</v>
      </c>
      <c r="G299" s="21" t="s">
        <v>1768</v>
      </c>
      <c r="H299" s="21" t="s">
        <v>651</v>
      </c>
    </row>
    <row r="300" customFormat="false" ht="15" hidden="false" customHeight="false" outlineLevel="0" collapsed="false">
      <c r="A300" s="21" t="s">
        <v>1769</v>
      </c>
      <c r="B300" s="8" t="s">
        <v>1770</v>
      </c>
      <c r="C300" s="21" t="s">
        <v>1771</v>
      </c>
      <c r="D300" s="21" t="s">
        <v>1772</v>
      </c>
      <c r="E300" s="21" t="s">
        <v>593</v>
      </c>
      <c r="F300" s="21" t="s">
        <v>594</v>
      </c>
      <c r="G300" s="21" t="s">
        <v>1773</v>
      </c>
      <c r="H300" s="21" t="s">
        <v>651</v>
      </c>
    </row>
    <row r="301" customFormat="false" ht="23.85" hidden="false" customHeight="false" outlineLevel="0" collapsed="false">
      <c r="A301" s="21" t="s">
        <v>1774</v>
      </c>
      <c r="B301" s="8" t="s">
        <v>1775</v>
      </c>
      <c r="C301" s="21" t="s">
        <v>1776</v>
      </c>
      <c r="D301" s="21" t="s">
        <v>1777</v>
      </c>
      <c r="E301" s="21" t="s">
        <v>593</v>
      </c>
      <c r="F301" s="21" t="s">
        <v>594</v>
      </c>
      <c r="G301" s="21" t="s">
        <v>1773</v>
      </c>
      <c r="H301" s="21" t="s">
        <v>651</v>
      </c>
    </row>
    <row r="302" customFormat="false" ht="35.05" hidden="false" customHeight="false" outlineLevel="0" collapsed="false">
      <c r="A302" s="21" t="s">
        <v>1778</v>
      </c>
      <c r="B302" s="8" t="s">
        <v>1779</v>
      </c>
      <c r="C302" s="21" t="s">
        <v>1780</v>
      </c>
      <c r="D302" s="21" t="s">
        <v>1781</v>
      </c>
      <c r="E302" s="21" t="s">
        <v>593</v>
      </c>
      <c r="F302" s="21" t="s">
        <v>594</v>
      </c>
      <c r="G302" s="21" t="s">
        <v>1782</v>
      </c>
      <c r="H302" s="21" t="s">
        <v>651</v>
      </c>
    </row>
    <row r="303" customFormat="false" ht="15" hidden="false" customHeight="false" outlineLevel="0" collapsed="false">
      <c r="A303" s="21" t="s">
        <v>1783</v>
      </c>
      <c r="B303" s="8" t="s">
        <v>1784</v>
      </c>
      <c r="C303" s="21" t="s">
        <v>1785</v>
      </c>
      <c r="D303" s="21" t="s">
        <v>1786</v>
      </c>
      <c r="E303" s="21" t="s">
        <v>593</v>
      </c>
      <c r="F303" s="21" t="s">
        <v>594</v>
      </c>
      <c r="G303" s="21" t="s">
        <v>1787</v>
      </c>
      <c r="H303" s="21" t="s">
        <v>596</v>
      </c>
    </row>
    <row r="304" customFormat="false" ht="15" hidden="false" customHeight="false" outlineLevel="0" collapsed="false">
      <c r="A304" s="21" t="s">
        <v>1788</v>
      </c>
      <c r="B304" s="8" t="s">
        <v>1789</v>
      </c>
      <c r="C304" s="21" t="s">
        <v>1790</v>
      </c>
      <c r="D304" s="21" t="s">
        <v>1786</v>
      </c>
      <c r="E304" s="21" t="s">
        <v>593</v>
      </c>
      <c r="F304" s="21" t="s">
        <v>594</v>
      </c>
      <c r="G304" s="21" t="s">
        <v>1787</v>
      </c>
      <c r="H304" s="21" t="s">
        <v>596</v>
      </c>
    </row>
    <row r="305" customFormat="false" ht="23.85" hidden="false" customHeight="false" outlineLevel="0" collapsed="false">
      <c r="A305" s="21" t="s">
        <v>1791</v>
      </c>
      <c r="B305" s="8" t="s">
        <v>1792</v>
      </c>
      <c r="C305" s="21" t="s">
        <v>1793</v>
      </c>
      <c r="D305" s="21" t="s">
        <v>1794</v>
      </c>
      <c r="E305" s="21" t="s">
        <v>593</v>
      </c>
      <c r="F305" s="21" t="s">
        <v>601</v>
      </c>
      <c r="G305" s="21" t="s">
        <v>1795</v>
      </c>
      <c r="H305" s="21" t="s">
        <v>627</v>
      </c>
    </row>
    <row r="306" customFormat="false" ht="15" hidden="false" customHeight="false" outlineLevel="0" collapsed="false">
      <c r="A306" s="21" t="s">
        <v>1796</v>
      </c>
      <c r="B306" s="8" t="s">
        <v>1797</v>
      </c>
      <c r="C306" s="21" t="s">
        <v>1798</v>
      </c>
      <c r="D306" s="21" t="s">
        <v>1799</v>
      </c>
      <c r="E306" s="21" t="s">
        <v>593</v>
      </c>
      <c r="F306" s="21" t="s">
        <v>594</v>
      </c>
      <c r="G306" s="21" t="s">
        <v>1795</v>
      </c>
      <c r="H306" s="21" t="s">
        <v>651</v>
      </c>
    </row>
    <row r="307" customFormat="false" ht="15" hidden="false" customHeight="false" outlineLevel="0" collapsed="false">
      <c r="A307" s="21" t="s">
        <v>1800</v>
      </c>
      <c r="B307" s="8" t="s">
        <v>1801</v>
      </c>
      <c r="C307" s="21" t="s">
        <v>1802</v>
      </c>
      <c r="D307" s="21" t="s">
        <v>1799</v>
      </c>
      <c r="E307" s="21" t="s">
        <v>593</v>
      </c>
      <c r="F307" s="21" t="s">
        <v>594</v>
      </c>
      <c r="G307" s="21" t="s">
        <v>1795</v>
      </c>
      <c r="H307" s="21" t="s">
        <v>651</v>
      </c>
    </row>
    <row r="308" customFormat="false" ht="15" hidden="false" customHeight="false" outlineLevel="0" collapsed="false">
      <c r="A308" s="21" t="s">
        <v>1803</v>
      </c>
      <c r="B308" s="8" t="s">
        <v>1804</v>
      </c>
      <c r="C308" s="21" t="s">
        <v>1805</v>
      </c>
      <c r="D308" s="21" t="s">
        <v>1799</v>
      </c>
      <c r="E308" s="21" t="s">
        <v>593</v>
      </c>
      <c r="F308" s="21" t="s">
        <v>594</v>
      </c>
      <c r="G308" s="21" t="s">
        <v>1795</v>
      </c>
      <c r="H308" s="21" t="s">
        <v>651</v>
      </c>
    </row>
    <row r="309" customFormat="false" ht="23.85" hidden="false" customHeight="false" outlineLevel="0" collapsed="false">
      <c r="A309" s="21" t="s">
        <v>1806</v>
      </c>
      <c r="B309" s="8" t="s">
        <v>1807</v>
      </c>
      <c r="C309" s="21" t="s">
        <v>1808</v>
      </c>
      <c r="D309" s="21" t="s">
        <v>1809</v>
      </c>
      <c r="E309" s="21" t="s">
        <v>593</v>
      </c>
      <c r="F309" s="21" t="s">
        <v>594</v>
      </c>
      <c r="G309" s="21" t="s">
        <v>1764</v>
      </c>
      <c r="H309" s="21" t="s">
        <v>651</v>
      </c>
    </row>
    <row r="310" customFormat="false" ht="23.85" hidden="false" customHeight="false" outlineLevel="0" collapsed="false">
      <c r="A310" s="21" t="s">
        <v>1810</v>
      </c>
      <c r="B310" s="8" t="s">
        <v>1811</v>
      </c>
      <c r="C310" s="21" t="s">
        <v>1812</v>
      </c>
      <c r="D310" s="21" t="s">
        <v>1813</v>
      </c>
      <c r="E310" s="21" t="s">
        <v>593</v>
      </c>
      <c r="F310" s="21" t="s">
        <v>594</v>
      </c>
      <c r="G310" s="21" t="s">
        <v>1814</v>
      </c>
      <c r="H310" s="21" t="s">
        <v>651</v>
      </c>
    </row>
    <row r="311" customFormat="false" ht="23.85" hidden="false" customHeight="false" outlineLevel="0" collapsed="false">
      <c r="A311" s="21" t="s">
        <v>1815</v>
      </c>
      <c r="B311" s="8" t="s">
        <v>1816</v>
      </c>
      <c r="C311" s="21" t="s">
        <v>1817</v>
      </c>
      <c r="D311" s="21" t="s">
        <v>1818</v>
      </c>
      <c r="E311" s="21" t="s">
        <v>593</v>
      </c>
      <c r="F311" s="21" t="s">
        <v>594</v>
      </c>
      <c r="G311" s="21" t="s">
        <v>1819</v>
      </c>
      <c r="H311" s="21" t="s">
        <v>651</v>
      </c>
    </row>
    <row r="312" customFormat="false" ht="23.85" hidden="false" customHeight="false" outlineLevel="0" collapsed="false">
      <c r="A312" s="21" t="s">
        <v>1820</v>
      </c>
      <c r="B312" s="8" t="s">
        <v>1821</v>
      </c>
      <c r="C312" s="21" t="s">
        <v>1435</v>
      </c>
      <c r="D312" s="21" t="s">
        <v>1822</v>
      </c>
      <c r="E312" s="21" t="s">
        <v>593</v>
      </c>
      <c r="F312" s="21" t="s">
        <v>594</v>
      </c>
      <c r="G312" s="21" t="s">
        <v>1823</v>
      </c>
      <c r="H312" s="21" t="s">
        <v>596</v>
      </c>
    </row>
    <row r="313" customFormat="false" ht="35.05" hidden="false" customHeight="false" outlineLevel="0" collapsed="false">
      <c r="A313" s="21" t="s">
        <v>1824</v>
      </c>
      <c r="B313" s="8" t="s">
        <v>1825</v>
      </c>
      <c r="C313" s="21" t="s">
        <v>1439</v>
      </c>
      <c r="D313" s="21" t="s">
        <v>989</v>
      </c>
      <c r="E313" s="21" t="s">
        <v>593</v>
      </c>
      <c r="F313" s="21" t="s">
        <v>601</v>
      </c>
      <c r="G313" s="21" t="s">
        <v>1823</v>
      </c>
      <c r="H313" s="21" t="s">
        <v>651</v>
      </c>
    </row>
    <row r="314" customFormat="false" ht="15" hidden="false" customHeight="false" outlineLevel="0" collapsed="false">
      <c r="A314" s="21" t="s">
        <v>1826</v>
      </c>
      <c r="B314" s="8" t="s">
        <v>1827</v>
      </c>
      <c r="C314" s="21" t="s">
        <v>1828</v>
      </c>
      <c r="D314" s="21" t="s">
        <v>1829</v>
      </c>
      <c r="E314" s="21" t="s">
        <v>593</v>
      </c>
      <c r="F314" s="21" t="s">
        <v>594</v>
      </c>
      <c r="G314" s="21" t="s">
        <v>1830</v>
      </c>
      <c r="H314" s="21" t="s">
        <v>596</v>
      </c>
    </row>
    <row r="315" customFormat="false" ht="23.85" hidden="false" customHeight="false" outlineLevel="0" collapsed="false">
      <c r="A315" s="21" t="s">
        <v>1831</v>
      </c>
      <c r="B315" s="8" t="s">
        <v>1832</v>
      </c>
      <c r="C315" s="21" t="s">
        <v>1833</v>
      </c>
      <c r="D315" s="21" t="s">
        <v>1834</v>
      </c>
      <c r="E315" s="21" t="s">
        <v>593</v>
      </c>
      <c r="F315" s="21" t="s">
        <v>594</v>
      </c>
      <c r="G315" s="21" t="s">
        <v>1835</v>
      </c>
      <c r="H315" s="21" t="s">
        <v>596</v>
      </c>
    </row>
    <row r="316" customFormat="false" ht="23.85" hidden="false" customHeight="false" outlineLevel="0" collapsed="false">
      <c r="A316" s="21" t="s">
        <v>1836</v>
      </c>
      <c r="B316" s="8" t="s">
        <v>1837</v>
      </c>
      <c r="C316" s="21" t="s">
        <v>1838</v>
      </c>
      <c r="D316" s="21" t="s">
        <v>1839</v>
      </c>
      <c r="E316" s="21" t="s">
        <v>593</v>
      </c>
      <c r="F316" s="21" t="s">
        <v>594</v>
      </c>
      <c r="G316" s="21" t="s">
        <v>1840</v>
      </c>
      <c r="H316" s="21" t="s">
        <v>596</v>
      </c>
    </row>
    <row r="317" customFormat="false" ht="23.85" hidden="false" customHeight="false" outlineLevel="0" collapsed="false">
      <c r="A317" s="21" t="s">
        <v>1841</v>
      </c>
      <c r="B317" s="8" t="s">
        <v>1842</v>
      </c>
      <c r="C317" s="21" t="s">
        <v>1843</v>
      </c>
      <c r="D317" s="21" t="s">
        <v>1844</v>
      </c>
      <c r="E317" s="21" t="s">
        <v>593</v>
      </c>
      <c r="F317" s="21" t="s">
        <v>601</v>
      </c>
      <c r="G317" s="21" t="s">
        <v>1840</v>
      </c>
      <c r="H317" s="21" t="s">
        <v>596</v>
      </c>
    </row>
    <row r="318" customFormat="false" ht="23.85" hidden="false" customHeight="false" outlineLevel="0" collapsed="false">
      <c r="A318" s="21" t="s">
        <v>1845</v>
      </c>
      <c r="B318" s="8" t="s">
        <v>1846</v>
      </c>
      <c r="C318" s="21" t="s">
        <v>1847</v>
      </c>
      <c r="D318" s="21" t="s">
        <v>1848</v>
      </c>
      <c r="E318" s="21" t="s">
        <v>593</v>
      </c>
      <c r="F318" s="21" t="s">
        <v>594</v>
      </c>
      <c r="G318" s="21" t="s">
        <v>1849</v>
      </c>
      <c r="H318" s="21" t="s">
        <v>596</v>
      </c>
    </row>
    <row r="319" customFormat="false" ht="35.05" hidden="false" customHeight="false" outlineLevel="0" collapsed="false">
      <c r="A319" s="21" t="s">
        <v>1850</v>
      </c>
      <c r="B319" s="8" t="s">
        <v>1851</v>
      </c>
      <c r="C319" s="21" t="s">
        <v>1852</v>
      </c>
      <c r="D319" s="21" t="s">
        <v>1853</v>
      </c>
      <c r="E319" s="21" t="s">
        <v>593</v>
      </c>
      <c r="F319" s="21" t="s">
        <v>594</v>
      </c>
      <c r="G319" s="21" t="s">
        <v>1854</v>
      </c>
      <c r="H319" s="21" t="s">
        <v>651</v>
      </c>
    </row>
    <row r="320" customFormat="false" ht="35.05" hidden="false" customHeight="false" outlineLevel="0" collapsed="false">
      <c r="A320" s="21" t="s">
        <v>1855</v>
      </c>
      <c r="B320" s="8" t="s">
        <v>1856</v>
      </c>
      <c r="C320" s="21" t="s">
        <v>1857</v>
      </c>
      <c r="D320" s="21" t="s">
        <v>1858</v>
      </c>
      <c r="E320" s="21" t="s">
        <v>593</v>
      </c>
      <c r="F320" s="21" t="s">
        <v>594</v>
      </c>
      <c r="G320" s="21" t="s">
        <v>1859</v>
      </c>
      <c r="H320" s="21" t="s">
        <v>651</v>
      </c>
    </row>
    <row r="321" customFormat="false" ht="35.05" hidden="false" customHeight="false" outlineLevel="0" collapsed="false">
      <c r="A321" s="21" t="s">
        <v>1860</v>
      </c>
      <c r="B321" s="8" t="s">
        <v>1861</v>
      </c>
      <c r="C321" s="21" t="s">
        <v>1862</v>
      </c>
      <c r="D321" s="21" t="s">
        <v>1863</v>
      </c>
      <c r="E321" s="21" t="s">
        <v>593</v>
      </c>
      <c r="F321" s="21" t="s">
        <v>594</v>
      </c>
      <c r="G321" s="21" t="s">
        <v>1864</v>
      </c>
      <c r="H321" s="21" t="s">
        <v>651</v>
      </c>
    </row>
    <row r="322" customFormat="false" ht="23.85" hidden="false" customHeight="false" outlineLevel="0" collapsed="false">
      <c r="A322" s="21" t="s">
        <v>1865</v>
      </c>
      <c r="B322" s="8" t="s">
        <v>1866</v>
      </c>
      <c r="C322" s="21" t="s">
        <v>1867</v>
      </c>
      <c r="D322" s="21" t="s">
        <v>1868</v>
      </c>
      <c r="E322" s="21" t="s">
        <v>593</v>
      </c>
      <c r="F322" s="21" t="s">
        <v>594</v>
      </c>
      <c r="G322" s="21" t="s">
        <v>1869</v>
      </c>
      <c r="H322" s="21" t="s">
        <v>596</v>
      </c>
    </row>
    <row r="323" customFormat="false" ht="15" hidden="false" customHeight="false" outlineLevel="0" collapsed="false">
      <c r="A323" s="21" t="s">
        <v>1870</v>
      </c>
      <c r="B323" s="8" t="s">
        <v>1871</v>
      </c>
      <c r="C323" s="21" t="s">
        <v>1872</v>
      </c>
      <c r="D323" s="21" t="s">
        <v>1873</v>
      </c>
      <c r="E323" s="21" t="s">
        <v>593</v>
      </c>
      <c r="F323" s="21" t="s">
        <v>594</v>
      </c>
      <c r="G323" s="21" t="s">
        <v>1874</v>
      </c>
      <c r="H323" s="21" t="s">
        <v>651</v>
      </c>
    </row>
    <row r="324" customFormat="false" ht="15" hidden="false" customHeight="false" outlineLevel="0" collapsed="false">
      <c r="A324" s="21" t="s">
        <v>1875</v>
      </c>
      <c r="B324" s="8" t="s">
        <v>1876</v>
      </c>
      <c r="C324" s="21" t="s">
        <v>1877</v>
      </c>
      <c r="D324" s="21" t="s">
        <v>1873</v>
      </c>
      <c r="E324" s="21" t="s">
        <v>593</v>
      </c>
      <c r="F324" s="21" t="s">
        <v>594</v>
      </c>
      <c r="G324" s="21" t="s">
        <v>1874</v>
      </c>
      <c r="H324" s="21" t="s">
        <v>651</v>
      </c>
    </row>
    <row r="325" customFormat="false" ht="15" hidden="false" customHeight="false" outlineLevel="0" collapsed="false">
      <c r="A325" s="21" t="s">
        <v>1878</v>
      </c>
      <c r="B325" s="8" t="s">
        <v>1879</v>
      </c>
      <c r="C325" s="21" t="s">
        <v>1880</v>
      </c>
      <c r="D325" s="21" t="s">
        <v>1881</v>
      </c>
      <c r="E325" s="21" t="s">
        <v>593</v>
      </c>
      <c r="F325" s="21" t="s">
        <v>594</v>
      </c>
      <c r="G325" s="21" t="s">
        <v>1882</v>
      </c>
      <c r="H325" s="21" t="s">
        <v>596</v>
      </c>
    </row>
    <row r="326" customFormat="false" ht="23.85" hidden="false" customHeight="false" outlineLevel="0" collapsed="false">
      <c r="A326" s="21" t="s">
        <v>1883</v>
      </c>
      <c r="B326" s="8" t="s">
        <v>1884</v>
      </c>
      <c r="C326" s="21" t="s">
        <v>1885</v>
      </c>
      <c r="D326" s="21" t="s">
        <v>1370</v>
      </c>
      <c r="E326" s="21" t="s">
        <v>593</v>
      </c>
      <c r="F326" s="21" t="s">
        <v>594</v>
      </c>
      <c r="G326" s="21" t="s">
        <v>1882</v>
      </c>
      <c r="H326" s="21" t="s">
        <v>596</v>
      </c>
    </row>
    <row r="327" customFormat="false" ht="15" hidden="false" customHeight="false" outlineLevel="0" collapsed="false">
      <c r="A327" s="21" t="s">
        <v>1886</v>
      </c>
      <c r="B327" s="8" t="s">
        <v>1887</v>
      </c>
      <c r="C327" s="21" t="s">
        <v>1888</v>
      </c>
      <c r="D327" s="21" t="s">
        <v>1889</v>
      </c>
      <c r="E327" s="21" t="s">
        <v>593</v>
      </c>
      <c r="F327" s="21" t="s">
        <v>594</v>
      </c>
      <c r="G327" s="21" t="s">
        <v>1890</v>
      </c>
      <c r="H327" s="21" t="s">
        <v>596</v>
      </c>
    </row>
    <row r="328" customFormat="false" ht="15" hidden="false" customHeight="false" outlineLevel="0" collapsed="false">
      <c r="A328" s="21" t="s">
        <v>1891</v>
      </c>
      <c r="B328" s="8" t="s">
        <v>1892</v>
      </c>
      <c r="C328" s="21" t="s">
        <v>1893</v>
      </c>
      <c r="D328" s="21" t="s">
        <v>1889</v>
      </c>
      <c r="E328" s="21" t="s">
        <v>593</v>
      </c>
      <c r="F328" s="21" t="s">
        <v>594</v>
      </c>
      <c r="G328" s="21" t="s">
        <v>1890</v>
      </c>
      <c r="H328" s="21" t="s">
        <v>596</v>
      </c>
    </row>
    <row r="329" customFormat="false" ht="15" hidden="false" customHeight="false" outlineLevel="0" collapsed="false">
      <c r="A329" s="21" t="s">
        <v>1894</v>
      </c>
      <c r="B329" s="8" t="s">
        <v>1895</v>
      </c>
      <c r="C329" s="21" t="s">
        <v>1896</v>
      </c>
      <c r="D329" s="21" t="s">
        <v>1897</v>
      </c>
      <c r="E329" s="21" t="s">
        <v>593</v>
      </c>
      <c r="F329" s="21" t="s">
        <v>594</v>
      </c>
      <c r="G329" s="21" t="s">
        <v>1898</v>
      </c>
      <c r="H329" s="21" t="s">
        <v>651</v>
      </c>
    </row>
    <row r="330" customFormat="false" ht="15" hidden="false" customHeight="false" outlineLevel="0" collapsed="false">
      <c r="A330" s="21" t="s">
        <v>1899</v>
      </c>
      <c r="B330" s="8" t="s">
        <v>1900</v>
      </c>
      <c r="C330" s="21" t="s">
        <v>1901</v>
      </c>
      <c r="D330" s="21" t="s">
        <v>1277</v>
      </c>
      <c r="E330" s="21" t="s">
        <v>593</v>
      </c>
      <c r="F330" s="21" t="s">
        <v>594</v>
      </c>
      <c r="G330" s="21" t="s">
        <v>1898</v>
      </c>
      <c r="H330" s="21" t="s">
        <v>651</v>
      </c>
    </row>
    <row r="331" customFormat="false" ht="15" hidden="false" customHeight="false" outlineLevel="0" collapsed="false">
      <c r="A331" s="21" t="s">
        <v>1902</v>
      </c>
      <c r="B331" s="8" t="s">
        <v>1903</v>
      </c>
      <c r="C331" s="21" t="s">
        <v>1904</v>
      </c>
      <c r="D331" s="21" t="s">
        <v>1889</v>
      </c>
      <c r="E331" s="21" t="s">
        <v>593</v>
      </c>
      <c r="F331" s="21" t="s">
        <v>594</v>
      </c>
      <c r="G331" s="21" t="s">
        <v>1898</v>
      </c>
      <c r="H331" s="21" t="s">
        <v>596</v>
      </c>
    </row>
    <row r="332" customFormat="false" ht="23.85" hidden="false" customHeight="false" outlineLevel="0" collapsed="false">
      <c r="A332" s="21" t="s">
        <v>1905</v>
      </c>
      <c r="B332" s="8" t="s">
        <v>1906</v>
      </c>
      <c r="C332" s="21" t="s">
        <v>1907</v>
      </c>
      <c r="D332" s="21" t="s">
        <v>1908</v>
      </c>
      <c r="E332" s="21" t="s">
        <v>593</v>
      </c>
      <c r="F332" s="21" t="s">
        <v>594</v>
      </c>
      <c r="G332" s="21" t="s">
        <v>1909</v>
      </c>
      <c r="H332" s="21" t="s">
        <v>627</v>
      </c>
    </row>
    <row r="333" customFormat="false" ht="15" hidden="false" customHeight="false" outlineLevel="0" collapsed="false">
      <c r="A333" s="21" t="s">
        <v>1910</v>
      </c>
      <c r="B333" s="8" t="s">
        <v>1911</v>
      </c>
      <c r="C333" s="21" t="s">
        <v>1912</v>
      </c>
      <c r="D333" s="21" t="s">
        <v>1908</v>
      </c>
      <c r="E333" s="21" t="s">
        <v>593</v>
      </c>
      <c r="F333" s="21" t="s">
        <v>601</v>
      </c>
      <c r="G333" s="21" t="s">
        <v>1913</v>
      </c>
      <c r="H333" s="21" t="s">
        <v>627</v>
      </c>
    </row>
    <row r="334" customFormat="false" ht="23.85" hidden="false" customHeight="false" outlineLevel="0" collapsed="false">
      <c r="A334" s="21" t="s">
        <v>1914</v>
      </c>
      <c r="B334" s="8" t="s">
        <v>1915</v>
      </c>
      <c r="C334" s="21" t="s">
        <v>1916</v>
      </c>
      <c r="D334" s="21" t="s">
        <v>1917</v>
      </c>
      <c r="E334" s="21" t="s">
        <v>593</v>
      </c>
      <c r="F334" s="21" t="s">
        <v>594</v>
      </c>
      <c r="G334" s="21" t="s">
        <v>1918</v>
      </c>
      <c r="H334" s="21" t="s">
        <v>651</v>
      </c>
    </row>
    <row r="335" customFormat="false" ht="15" hidden="false" customHeight="false" outlineLevel="0" collapsed="false">
      <c r="A335" s="21" t="s">
        <v>1919</v>
      </c>
      <c r="B335" s="8" t="s">
        <v>1920</v>
      </c>
      <c r="C335" s="21" t="s">
        <v>1921</v>
      </c>
      <c r="D335" s="21" t="s">
        <v>1917</v>
      </c>
      <c r="E335" s="21" t="s">
        <v>593</v>
      </c>
      <c r="F335" s="21" t="s">
        <v>594</v>
      </c>
      <c r="G335" s="21" t="s">
        <v>1922</v>
      </c>
      <c r="H335" s="21" t="s">
        <v>651</v>
      </c>
    </row>
    <row r="336" customFormat="false" ht="15" hidden="false" customHeight="false" outlineLevel="0" collapsed="false">
      <c r="A336" s="21" t="s">
        <v>1923</v>
      </c>
      <c r="B336" s="8" t="s">
        <v>1924</v>
      </c>
      <c r="C336" s="21" t="s">
        <v>1925</v>
      </c>
      <c r="D336" s="21" t="s">
        <v>1926</v>
      </c>
      <c r="E336" s="21" t="s">
        <v>593</v>
      </c>
      <c r="F336" s="21" t="s">
        <v>594</v>
      </c>
      <c r="G336" s="21" t="s">
        <v>1918</v>
      </c>
      <c r="H336" s="21" t="s">
        <v>651</v>
      </c>
    </row>
    <row r="337" customFormat="false" ht="23.85" hidden="false" customHeight="false" outlineLevel="0" collapsed="false">
      <c r="A337" s="21" t="s">
        <v>1927</v>
      </c>
      <c r="B337" s="8" t="s">
        <v>1928</v>
      </c>
      <c r="C337" s="21" t="s">
        <v>1929</v>
      </c>
      <c r="D337" s="21" t="s">
        <v>1873</v>
      </c>
      <c r="E337" s="21" t="s">
        <v>593</v>
      </c>
      <c r="F337" s="21" t="s">
        <v>594</v>
      </c>
      <c r="G337" s="21" t="s">
        <v>1930</v>
      </c>
      <c r="H337" s="21" t="s">
        <v>651</v>
      </c>
    </row>
    <row r="338" customFormat="false" ht="23.85" hidden="false" customHeight="false" outlineLevel="0" collapsed="false">
      <c r="A338" s="21" t="s">
        <v>1931</v>
      </c>
      <c r="B338" s="8" t="s">
        <v>1932</v>
      </c>
      <c r="C338" s="21" t="s">
        <v>1933</v>
      </c>
      <c r="D338" s="21" t="s">
        <v>1873</v>
      </c>
      <c r="E338" s="21" t="s">
        <v>593</v>
      </c>
      <c r="F338" s="21" t="s">
        <v>594</v>
      </c>
      <c r="G338" s="21" t="s">
        <v>1934</v>
      </c>
      <c r="H338" s="21" t="s">
        <v>651</v>
      </c>
    </row>
    <row r="339" customFormat="false" ht="15" hidden="false" customHeight="false" outlineLevel="0" collapsed="false">
      <c r="A339" s="21" t="s">
        <v>1935</v>
      </c>
      <c r="B339" s="8" t="s">
        <v>1936</v>
      </c>
      <c r="C339" s="21" t="s">
        <v>1937</v>
      </c>
      <c r="D339" s="21" t="s">
        <v>1938</v>
      </c>
      <c r="E339" s="21" t="s">
        <v>593</v>
      </c>
      <c r="F339" s="21" t="s">
        <v>594</v>
      </c>
      <c r="G339" s="21" t="s">
        <v>1939</v>
      </c>
      <c r="H339" s="21" t="s">
        <v>651</v>
      </c>
    </row>
    <row r="340" customFormat="false" ht="15" hidden="false" customHeight="false" outlineLevel="0" collapsed="false">
      <c r="A340" s="21" t="s">
        <v>1940</v>
      </c>
      <c r="B340" s="8" t="s">
        <v>1941</v>
      </c>
      <c r="C340" s="21" t="s">
        <v>1942</v>
      </c>
      <c r="D340" s="21" t="s">
        <v>1943</v>
      </c>
      <c r="E340" s="21" t="s">
        <v>593</v>
      </c>
      <c r="F340" s="21" t="s">
        <v>594</v>
      </c>
      <c r="G340" s="21" t="s">
        <v>1939</v>
      </c>
      <c r="H340" s="21" t="s">
        <v>651</v>
      </c>
    </row>
    <row r="341" customFormat="false" ht="15" hidden="false" customHeight="false" outlineLevel="0" collapsed="false">
      <c r="A341" s="21" t="s">
        <v>1944</v>
      </c>
      <c r="B341" s="8" t="s">
        <v>1945</v>
      </c>
      <c r="C341" s="21" t="s">
        <v>1946</v>
      </c>
      <c r="D341" s="21" t="s">
        <v>1943</v>
      </c>
      <c r="E341" s="21" t="s">
        <v>593</v>
      </c>
      <c r="F341" s="21" t="s">
        <v>594</v>
      </c>
      <c r="G341" s="21" t="s">
        <v>1939</v>
      </c>
      <c r="H341" s="21" t="s">
        <v>651</v>
      </c>
    </row>
    <row r="342" customFormat="false" ht="15" hidden="false" customHeight="false" outlineLevel="0" collapsed="false">
      <c r="A342" s="21" t="s">
        <v>1947</v>
      </c>
      <c r="B342" s="8" t="s">
        <v>1948</v>
      </c>
      <c r="C342" s="21" t="s">
        <v>1949</v>
      </c>
      <c r="D342" s="21" t="s">
        <v>1950</v>
      </c>
      <c r="E342" s="21" t="s">
        <v>593</v>
      </c>
      <c r="F342" s="21" t="s">
        <v>594</v>
      </c>
      <c r="G342" s="21" t="s">
        <v>1951</v>
      </c>
      <c r="H342" s="21" t="s">
        <v>596</v>
      </c>
    </row>
    <row r="343" customFormat="false" ht="15" hidden="false" customHeight="false" outlineLevel="0" collapsed="false">
      <c r="A343" s="21" t="s">
        <v>1952</v>
      </c>
      <c r="B343" s="8" t="s">
        <v>1953</v>
      </c>
      <c r="C343" s="21" t="s">
        <v>1954</v>
      </c>
      <c r="D343" s="21" t="s">
        <v>1950</v>
      </c>
      <c r="E343" s="21" t="s">
        <v>593</v>
      </c>
      <c r="F343" s="21" t="s">
        <v>594</v>
      </c>
      <c r="G343" s="21" t="s">
        <v>1955</v>
      </c>
      <c r="H343" s="21" t="s">
        <v>596</v>
      </c>
    </row>
    <row r="344" customFormat="false" ht="15" hidden="false" customHeight="false" outlineLevel="0" collapsed="false">
      <c r="A344" s="21" t="s">
        <v>1956</v>
      </c>
      <c r="B344" s="8" t="s">
        <v>1957</v>
      </c>
      <c r="C344" s="21" t="s">
        <v>1958</v>
      </c>
      <c r="D344" s="21" t="s">
        <v>1959</v>
      </c>
      <c r="E344" s="21" t="s">
        <v>593</v>
      </c>
      <c r="F344" s="21" t="s">
        <v>594</v>
      </c>
      <c r="G344" s="21" t="s">
        <v>1951</v>
      </c>
      <c r="H344" s="21" t="s">
        <v>596</v>
      </c>
    </row>
    <row r="345" customFormat="false" ht="15" hidden="false" customHeight="false" outlineLevel="0" collapsed="false">
      <c r="A345" s="21" t="s">
        <v>1960</v>
      </c>
      <c r="B345" s="8" t="s">
        <v>1961</v>
      </c>
      <c r="C345" s="21" t="s">
        <v>1962</v>
      </c>
      <c r="D345" s="21" t="s">
        <v>1963</v>
      </c>
      <c r="E345" s="21" t="s">
        <v>593</v>
      </c>
      <c r="F345" s="21" t="s">
        <v>594</v>
      </c>
      <c r="G345" s="21" t="s">
        <v>1964</v>
      </c>
      <c r="H345" s="21" t="s">
        <v>596</v>
      </c>
    </row>
    <row r="346" customFormat="false" ht="15" hidden="false" customHeight="false" outlineLevel="0" collapsed="false">
      <c r="A346" s="21" t="s">
        <v>1965</v>
      </c>
      <c r="B346" s="8" t="s">
        <v>1966</v>
      </c>
      <c r="C346" s="21" t="s">
        <v>1967</v>
      </c>
      <c r="D346" s="21" t="s">
        <v>1968</v>
      </c>
      <c r="E346" s="21" t="s">
        <v>593</v>
      </c>
      <c r="F346" s="21" t="s">
        <v>594</v>
      </c>
      <c r="G346" s="21" t="s">
        <v>1969</v>
      </c>
      <c r="H346" s="21" t="s">
        <v>596</v>
      </c>
    </row>
    <row r="347" customFormat="false" ht="15" hidden="false" customHeight="false" outlineLevel="0" collapsed="false">
      <c r="A347" s="21" t="s">
        <v>1970</v>
      </c>
      <c r="B347" s="8" t="s">
        <v>1971</v>
      </c>
      <c r="C347" s="21" t="s">
        <v>1972</v>
      </c>
      <c r="D347" s="21" t="s">
        <v>1604</v>
      </c>
      <c r="E347" s="21" t="s">
        <v>593</v>
      </c>
      <c r="F347" s="21" t="s">
        <v>594</v>
      </c>
      <c r="G347" s="21" t="s">
        <v>1969</v>
      </c>
      <c r="H347" s="21" t="s">
        <v>596</v>
      </c>
    </row>
    <row r="348" customFormat="false" ht="23.85" hidden="false" customHeight="false" outlineLevel="0" collapsed="false">
      <c r="A348" s="21" t="s">
        <v>1973</v>
      </c>
      <c r="B348" s="8" t="s">
        <v>1974</v>
      </c>
      <c r="C348" s="21" t="s">
        <v>1975</v>
      </c>
      <c r="D348" s="21" t="s">
        <v>1604</v>
      </c>
      <c r="E348" s="21" t="s">
        <v>593</v>
      </c>
      <c r="F348" s="21" t="s">
        <v>594</v>
      </c>
      <c r="G348" s="21" t="s">
        <v>1976</v>
      </c>
      <c r="H348" s="21" t="s">
        <v>596</v>
      </c>
    </row>
    <row r="349" customFormat="false" ht="15" hidden="false" customHeight="false" outlineLevel="0" collapsed="false">
      <c r="A349" s="21" t="s">
        <v>1977</v>
      </c>
      <c r="B349" s="8" t="s">
        <v>1978</v>
      </c>
      <c r="C349" s="21" t="s">
        <v>1979</v>
      </c>
      <c r="D349" s="21" t="s">
        <v>1897</v>
      </c>
      <c r="E349" s="21" t="s">
        <v>593</v>
      </c>
      <c r="F349" s="21" t="s">
        <v>594</v>
      </c>
      <c r="G349" s="21" t="s">
        <v>1980</v>
      </c>
      <c r="H349" s="21" t="s">
        <v>651</v>
      </c>
    </row>
    <row r="350" customFormat="false" ht="15" hidden="false" customHeight="false" outlineLevel="0" collapsed="false">
      <c r="A350" s="21" t="s">
        <v>1981</v>
      </c>
      <c r="B350" s="8" t="s">
        <v>1982</v>
      </c>
      <c r="C350" s="21" t="s">
        <v>1983</v>
      </c>
      <c r="D350" s="21" t="s">
        <v>1889</v>
      </c>
      <c r="E350" s="21" t="s">
        <v>593</v>
      </c>
      <c r="F350" s="21" t="s">
        <v>594</v>
      </c>
      <c r="G350" s="21" t="s">
        <v>1980</v>
      </c>
      <c r="H350" s="21" t="s">
        <v>596</v>
      </c>
    </row>
    <row r="351" customFormat="false" ht="15" hidden="false" customHeight="false" outlineLevel="0" collapsed="false">
      <c r="A351" s="21" t="s">
        <v>1984</v>
      </c>
      <c r="B351" s="8" t="s">
        <v>1985</v>
      </c>
      <c r="C351" s="21" t="s">
        <v>1986</v>
      </c>
      <c r="D351" s="21" t="s">
        <v>1889</v>
      </c>
      <c r="E351" s="21" t="s">
        <v>593</v>
      </c>
      <c r="F351" s="21" t="s">
        <v>594</v>
      </c>
      <c r="G351" s="21" t="s">
        <v>1980</v>
      </c>
      <c r="H351" s="21" t="s">
        <v>627</v>
      </c>
    </row>
    <row r="352" customFormat="false" ht="15" hidden="false" customHeight="false" outlineLevel="0" collapsed="false">
      <c r="A352" s="21" t="s">
        <v>1987</v>
      </c>
      <c r="B352" s="8" t="s">
        <v>1988</v>
      </c>
      <c r="C352" s="21" t="s">
        <v>1989</v>
      </c>
      <c r="D352" s="21" t="s">
        <v>1889</v>
      </c>
      <c r="E352" s="21" t="s">
        <v>593</v>
      </c>
      <c r="F352" s="21" t="s">
        <v>601</v>
      </c>
      <c r="G352" s="21" t="s">
        <v>1980</v>
      </c>
      <c r="H352" s="21" t="s">
        <v>627</v>
      </c>
    </row>
    <row r="353" customFormat="false" ht="15" hidden="false" customHeight="false" outlineLevel="0" collapsed="false">
      <c r="A353" s="21" t="s">
        <v>1990</v>
      </c>
      <c r="B353" s="8" t="s">
        <v>1991</v>
      </c>
      <c r="C353" s="21" t="s">
        <v>1992</v>
      </c>
      <c r="D353" s="21" t="s">
        <v>1908</v>
      </c>
      <c r="E353" s="21" t="s">
        <v>593</v>
      </c>
      <c r="F353" s="21" t="s">
        <v>601</v>
      </c>
      <c r="G353" s="21" t="s">
        <v>1980</v>
      </c>
      <c r="H353" s="21" t="s">
        <v>627</v>
      </c>
    </row>
    <row r="354" customFormat="false" ht="15" hidden="false" customHeight="false" outlineLevel="0" collapsed="false">
      <c r="A354" s="21" t="s">
        <v>1993</v>
      </c>
      <c r="B354" s="8" t="s">
        <v>1994</v>
      </c>
      <c r="C354" s="21" t="s">
        <v>1995</v>
      </c>
      <c r="D354" s="21" t="s">
        <v>1889</v>
      </c>
      <c r="E354" s="21" t="s">
        <v>593</v>
      </c>
      <c r="F354" s="21" t="s">
        <v>594</v>
      </c>
      <c r="G354" s="21" t="s">
        <v>1996</v>
      </c>
      <c r="H354" s="21" t="s">
        <v>596</v>
      </c>
    </row>
    <row r="355" customFormat="false" ht="15" hidden="false" customHeight="false" outlineLevel="0" collapsed="false">
      <c r="A355" s="21" t="s">
        <v>1997</v>
      </c>
      <c r="B355" s="8" t="s">
        <v>1998</v>
      </c>
      <c r="C355" s="21" t="s">
        <v>1999</v>
      </c>
      <c r="D355" s="21" t="s">
        <v>1277</v>
      </c>
      <c r="E355" s="21" t="s">
        <v>593</v>
      </c>
      <c r="F355" s="21" t="s">
        <v>594</v>
      </c>
      <c r="G355" s="21" t="s">
        <v>1996</v>
      </c>
      <c r="H355" s="21" t="s">
        <v>596</v>
      </c>
    </row>
    <row r="356" customFormat="false" ht="15" hidden="false" customHeight="false" outlineLevel="0" collapsed="false">
      <c r="A356" s="21" t="s">
        <v>2000</v>
      </c>
      <c r="B356" s="8" t="s">
        <v>2001</v>
      </c>
      <c r="C356" s="21" t="s">
        <v>2002</v>
      </c>
      <c r="D356" s="21" t="s">
        <v>2003</v>
      </c>
      <c r="E356" s="21" t="s">
        <v>593</v>
      </c>
      <c r="F356" s="21" t="s">
        <v>601</v>
      </c>
      <c r="G356" s="21" t="s">
        <v>1996</v>
      </c>
      <c r="H356" s="21" t="s">
        <v>596</v>
      </c>
    </row>
    <row r="357" customFormat="false" ht="15" hidden="false" customHeight="false" outlineLevel="0" collapsed="false">
      <c r="A357" s="21" t="s">
        <v>2004</v>
      </c>
      <c r="B357" s="8" t="s">
        <v>2005</v>
      </c>
      <c r="C357" s="21" t="s">
        <v>2006</v>
      </c>
      <c r="D357" s="21" t="s">
        <v>1366</v>
      </c>
      <c r="E357" s="21" t="s">
        <v>593</v>
      </c>
      <c r="F357" s="21" t="s">
        <v>601</v>
      </c>
      <c r="G357" s="21" t="s">
        <v>1996</v>
      </c>
      <c r="H357" s="21" t="s">
        <v>627</v>
      </c>
    </row>
    <row r="358" customFormat="false" ht="15" hidden="false" customHeight="false" outlineLevel="0" collapsed="false">
      <c r="A358" s="21" t="s">
        <v>2007</v>
      </c>
      <c r="B358" s="8" t="s">
        <v>2008</v>
      </c>
      <c r="C358" s="21" t="s">
        <v>2009</v>
      </c>
      <c r="D358" s="21" t="s">
        <v>2010</v>
      </c>
      <c r="E358" s="21" t="s">
        <v>593</v>
      </c>
      <c r="F358" s="21" t="s">
        <v>594</v>
      </c>
      <c r="G358" s="21" t="s">
        <v>2011</v>
      </c>
      <c r="H358" s="21" t="s">
        <v>651</v>
      </c>
    </row>
    <row r="359" customFormat="false" ht="15" hidden="false" customHeight="false" outlineLevel="0" collapsed="false">
      <c r="A359" s="21" t="s">
        <v>2012</v>
      </c>
      <c r="B359" s="8" t="s">
        <v>2013</v>
      </c>
      <c r="C359" s="21" t="s">
        <v>2014</v>
      </c>
      <c r="D359" s="21" t="s">
        <v>2010</v>
      </c>
      <c r="E359" s="21" t="s">
        <v>593</v>
      </c>
      <c r="F359" s="21" t="s">
        <v>594</v>
      </c>
      <c r="G359" s="21" t="s">
        <v>2011</v>
      </c>
      <c r="H359" s="21" t="s">
        <v>651</v>
      </c>
    </row>
    <row r="360" customFormat="false" ht="23.85" hidden="false" customHeight="false" outlineLevel="0" collapsed="false">
      <c r="A360" s="21" t="s">
        <v>2015</v>
      </c>
      <c r="B360" s="8" t="s">
        <v>2016</v>
      </c>
      <c r="C360" s="21" t="s">
        <v>2017</v>
      </c>
      <c r="D360" s="21" t="s">
        <v>2018</v>
      </c>
      <c r="E360" s="21" t="s">
        <v>593</v>
      </c>
      <c r="F360" s="21" t="s">
        <v>594</v>
      </c>
      <c r="G360" s="21" t="s">
        <v>2019</v>
      </c>
      <c r="H360" s="21" t="s">
        <v>651</v>
      </c>
    </row>
    <row r="361" customFormat="false" ht="23.85" hidden="false" customHeight="false" outlineLevel="0" collapsed="false">
      <c r="A361" s="21" t="s">
        <v>2020</v>
      </c>
      <c r="B361" s="8" t="s">
        <v>2021</v>
      </c>
      <c r="C361" s="21" t="s">
        <v>2022</v>
      </c>
      <c r="D361" s="21" t="s">
        <v>2023</v>
      </c>
      <c r="E361" s="21" t="s">
        <v>593</v>
      </c>
      <c r="F361" s="21" t="s">
        <v>594</v>
      </c>
      <c r="G361" s="21" t="s">
        <v>2019</v>
      </c>
      <c r="H361" s="21" t="s">
        <v>596</v>
      </c>
    </row>
    <row r="362" customFormat="false" ht="15" hidden="false" customHeight="false" outlineLevel="0" collapsed="false">
      <c r="A362" s="21" t="s">
        <v>2024</v>
      </c>
      <c r="B362" s="8" t="s">
        <v>2025</v>
      </c>
      <c r="C362" s="21" t="s">
        <v>2026</v>
      </c>
      <c r="D362" s="21" t="s">
        <v>2023</v>
      </c>
      <c r="E362" s="21" t="s">
        <v>593</v>
      </c>
      <c r="F362" s="21" t="s">
        <v>594</v>
      </c>
      <c r="G362" s="21" t="s">
        <v>2019</v>
      </c>
      <c r="H362" s="21" t="s">
        <v>596</v>
      </c>
    </row>
    <row r="363" customFormat="false" ht="23.85" hidden="false" customHeight="false" outlineLevel="0" collapsed="false">
      <c r="A363" s="21" t="s">
        <v>2027</v>
      </c>
      <c r="B363" s="8" t="s">
        <v>2028</v>
      </c>
      <c r="C363" s="21" t="s">
        <v>2029</v>
      </c>
      <c r="D363" s="21" t="s">
        <v>1604</v>
      </c>
      <c r="E363" s="21" t="s">
        <v>593</v>
      </c>
      <c r="F363" s="21" t="s">
        <v>594</v>
      </c>
      <c r="G363" s="21" t="s">
        <v>2030</v>
      </c>
      <c r="H363" s="21" t="s">
        <v>596</v>
      </c>
    </row>
    <row r="364" customFormat="false" ht="23.85" hidden="false" customHeight="false" outlineLevel="0" collapsed="false">
      <c r="A364" s="21" t="s">
        <v>2031</v>
      </c>
      <c r="B364" s="8" t="s">
        <v>2032</v>
      </c>
      <c r="C364" s="21" t="s">
        <v>2033</v>
      </c>
      <c r="D364" s="21" t="s">
        <v>2034</v>
      </c>
      <c r="E364" s="21" t="s">
        <v>593</v>
      </c>
      <c r="F364" s="21" t="s">
        <v>601</v>
      </c>
      <c r="G364" s="21" t="s">
        <v>2030</v>
      </c>
      <c r="H364" s="21" t="s">
        <v>596</v>
      </c>
    </row>
    <row r="365" customFormat="false" ht="23.85" hidden="false" customHeight="false" outlineLevel="0" collapsed="false">
      <c r="A365" s="21" t="s">
        <v>2035</v>
      </c>
      <c r="B365" s="8" t="s">
        <v>2036</v>
      </c>
      <c r="C365" s="21" t="s">
        <v>2037</v>
      </c>
      <c r="D365" s="21" t="s">
        <v>2034</v>
      </c>
      <c r="E365" s="21" t="s">
        <v>593</v>
      </c>
      <c r="F365" s="21" t="s">
        <v>601</v>
      </c>
      <c r="G365" s="21" t="s">
        <v>2030</v>
      </c>
      <c r="H365" s="21" t="s">
        <v>596</v>
      </c>
    </row>
    <row r="366" customFormat="false" ht="15" hidden="false" customHeight="false" outlineLevel="0" collapsed="false">
      <c r="A366" s="21" t="s">
        <v>2038</v>
      </c>
      <c r="B366" s="8" t="s">
        <v>2039</v>
      </c>
      <c r="C366" s="21" t="s">
        <v>2040</v>
      </c>
      <c r="D366" s="21" t="s">
        <v>1604</v>
      </c>
      <c r="E366" s="21" t="s">
        <v>593</v>
      </c>
      <c r="F366" s="21" t="s">
        <v>601</v>
      </c>
      <c r="G366" s="21" t="s">
        <v>2030</v>
      </c>
      <c r="H366" s="21" t="s">
        <v>627</v>
      </c>
    </row>
    <row r="367" customFormat="false" ht="15" hidden="false" customHeight="false" outlineLevel="0" collapsed="false">
      <c r="A367" s="21" t="s">
        <v>2041</v>
      </c>
      <c r="B367" s="8" t="s">
        <v>2042</v>
      </c>
      <c r="C367" s="21" t="s">
        <v>2043</v>
      </c>
      <c r="D367" s="21" t="s">
        <v>2044</v>
      </c>
      <c r="E367" s="21" t="s">
        <v>593</v>
      </c>
      <c r="F367" s="21" t="s">
        <v>594</v>
      </c>
      <c r="G367" s="21" t="s">
        <v>2045</v>
      </c>
      <c r="H367" s="21" t="s">
        <v>596</v>
      </c>
    </row>
    <row r="368" customFormat="false" ht="15" hidden="false" customHeight="false" outlineLevel="0" collapsed="false">
      <c r="A368" s="21" t="s">
        <v>2046</v>
      </c>
      <c r="B368" s="8" t="s">
        <v>2047</v>
      </c>
      <c r="C368" s="21" t="s">
        <v>2048</v>
      </c>
      <c r="D368" s="21" t="s">
        <v>1604</v>
      </c>
      <c r="E368" s="21" t="s">
        <v>593</v>
      </c>
      <c r="F368" s="21" t="s">
        <v>601</v>
      </c>
      <c r="G368" s="21" t="s">
        <v>2049</v>
      </c>
      <c r="H368" s="21" t="s">
        <v>627</v>
      </c>
    </row>
    <row r="369" customFormat="false" ht="23.85" hidden="false" customHeight="false" outlineLevel="0" collapsed="false">
      <c r="A369" s="21" t="s">
        <v>2050</v>
      </c>
      <c r="B369" s="8" t="s">
        <v>2051</v>
      </c>
      <c r="C369" s="21" t="s">
        <v>2052</v>
      </c>
      <c r="D369" s="21" t="s">
        <v>1604</v>
      </c>
      <c r="E369" s="21" t="s">
        <v>593</v>
      </c>
      <c r="F369" s="21" t="s">
        <v>601</v>
      </c>
      <c r="G369" s="21" t="s">
        <v>2053</v>
      </c>
      <c r="H369" s="21" t="s">
        <v>627</v>
      </c>
    </row>
    <row r="370" customFormat="false" ht="15" hidden="false" customHeight="false" outlineLevel="0" collapsed="false">
      <c r="A370" s="21" t="s">
        <v>2054</v>
      </c>
      <c r="B370" s="8" t="s">
        <v>2055</v>
      </c>
      <c r="C370" s="21" t="s">
        <v>2056</v>
      </c>
      <c r="D370" s="21" t="s">
        <v>1604</v>
      </c>
      <c r="E370" s="21" t="s">
        <v>593</v>
      </c>
      <c r="F370" s="21" t="s">
        <v>601</v>
      </c>
      <c r="G370" s="21" t="s">
        <v>2057</v>
      </c>
      <c r="H370" s="21" t="s">
        <v>596</v>
      </c>
    </row>
    <row r="371" customFormat="false" ht="15" hidden="false" customHeight="false" outlineLevel="0" collapsed="false">
      <c r="A371" s="21" t="s">
        <v>2058</v>
      </c>
      <c r="B371" s="8" t="s">
        <v>2059</v>
      </c>
      <c r="C371" s="21" t="s">
        <v>2060</v>
      </c>
      <c r="D371" s="21" t="s">
        <v>1604</v>
      </c>
      <c r="E371" s="21" t="s">
        <v>593</v>
      </c>
      <c r="F371" s="21" t="s">
        <v>594</v>
      </c>
      <c r="G371" s="21" t="s">
        <v>2057</v>
      </c>
      <c r="H371" s="21" t="s">
        <v>596</v>
      </c>
    </row>
    <row r="372" customFormat="false" ht="15" hidden="false" customHeight="false" outlineLevel="0" collapsed="false">
      <c r="A372" s="21" t="s">
        <v>2061</v>
      </c>
      <c r="B372" s="8" t="s">
        <v>2062</v>
      </c>
      <c r="C372" s="21" t="s">
        <v>2063</v>
      </c>
      <c r="D372" s="21" t="s">
        <v>1327</v>
      </c>
      <c r="E372" s="21" t="s">
        <v>593</v>
      </c>
      <c r="F372" s="21" t="s">
        <v>594</v>
      </c>
      <c r="G372" s="21" t="s">
        <v>2057</v>
      </c>
      <c r="H372" s="21" t="s">
        <v>651</v>
      </c>
    </row>
    <row r="373" customFormat="false" ht="23.85" hidden="false" customHeight="false" outlineLevel="0" collapsed="false">
      <c r="A373" s="21" t="s">
        <v>2064</v>
      </c>
      <c r="B373" s="8" t="s">
        <v>2065</v>
      </c>
      <c r="C373" s="21" t="s">
        <v>2066</v>
      </c>
      <c r="D373" s="21" t="s">
        <v>2067</v>
      </c>
      <c r="E373" s="21" t="s">
        <v>593</v>
      </c>
      <c r="F373" s="21" t="s">
        <v>601</v>
      </c>
      <c r="G373" s="21" t="s">
        <v>2057</v>
      </c>
      <c r="H373" s="21" t="s">
        <v>627</v>
      </c>
    </row>
    <row r="374" customFormat="false" ht="23.85" hidden="false" customHeight="false" outlineLevel="0" collapsed="false">
      <c r="A374" s="21" t="s">
        <v>2068</v>
      </c>
      <c r="B374" s="8" t="s">
        <v>2069</v>
      </c>
      <c r="C374" s="21" t="s">
        <v>2070</v>
      </c>
      <c r="D374" s="21" t="s">
        <v>2071</v>
      </c>
      <c r="E374" s="21" t="s">
        <v>593</v>
      </c>
      <c r="F374" s="21" t="s">
        <v>594</v>
      </c>
      <c r="G374" s="21" t="s">
        <v>2072</v>
      </c>
      <c r="H374" s="21" t="s">
        <v>651</v>
      </c>
    </row>
    <row r="375" customFormat="false" ht="15" hidden="false" customHeight="false" outlineLevel="0" collapsed="false">
      <c r="A375" s="21" t="s">
        <v>2073</v>
      </c>
      <c r="B375" s="8" t="s">
        <v>2074</v>
      </c>
      <c r="C375" s="21" t="s">
        <v>2075</v>
      </c>
      <c r="D375" s="21" t="s">
        <v>2076</v>
      </c>
      <c r="E375" s="21" t="s">
        <v>593</v>
      </c>
      <c r="F375" s="21" t="s">
        <v>594</v>
      </c>
      <c r="G375" s="21" t="s">
        <v>2077</v>
      </c>
      <c r="H375" s="21" t="s">
        <v>596</v>
      </c>
    </row>
    <row r="376" customFormat="false" ht="15" hidden="false" customHeight="false" outlineLevel="0" collapsed="false">
      <c r="A376" s="21" t="s">
        <v>2078</v>
      </c>
      <c r="B376" s="8" t="s">
        <v>2079</v>
      </c>
      <c r="C376" s="21" t="s">
        <v>2080</v>
      </c>
      <c r="D376" s="21" t="s">
        <v>2076</v>
      </c>
      <c r="E376" s="21" t="s">
        <v>593</v>
      </c>
      <c r="F376" s="21" t="s">
        <v>594</v>
      </c>
      <c r="G376" s="21" t="s">
        <v>2077</v>
      </c>
      <c r="H376" s="21" t="s">
        <v>596</v>
      </c>
    </row>
    <row r="377" customFormat="false" ht="15" hidden="false" customHeight="false" outlineLevel="0" collapsed="false">
      <c r="A377" s="21" t="s">
        <v>2081</v>
      </c>
      <c r="B377" s="8" t="s">
        <v>2082</v>
      </c>
      <c r="C377" s="21" t="s">
        <v>2083</v>
      </c>
      <c r="D377" s="21" t="s">
        <v>2076</v>
      </c>
      <c r="E377" s="21" t="s">
        <v>593</v>
      </c>
      <c r="F377" s="21" t="s">
        <v>594</v>
      </c>
      <c r="G377" s="21" t="s">
        <v>2077</v>
      </c>
      <c r="H377" s="21" t="s">
        <v>596</v>
      </c>
    </row>
    <row r="378" customFormat="false" ht="15" hidden="false" customHeight="false" outlineLevel="0" collapsed="false">
      <c r="A378" s="21" t="s">
        <v>2084</v>
      </c>
      <c r="B378" s="8" t="s">
        <v>2085</v>
      </c>
      <c r="C378" s="21" t="s">
        <v>2086</v>
      </c>
      <c r="D378" s="21" t="s">
        <v>2076</v>
      </c>
      <c r="E378" s="21" t="s">
        <v>593</v>
      </c>
      <c r="F378" s="21" t="s">
        <v>594</v>
      </c>
      <c r="G378" s="21" t="s">
        <v>2077</v>
      </c>
      <c r="H378" s="21" t="s">
        <v>596</v>
      </c>
    </row>
    <row r="379" customFormat="false" ht="15" hidden="false" customHeight="false" outlineLevel="0" collapsed="false">
      <c r="A379" s="21" t="s">
        <v>2087</v>
      </c>
      <c r="B379" s="8" t="s">
        <v>2088</v>
      </c>
      <c r="C379" s="21" t="s">
        <v>2089</v>
      </c>
      <c r="D379" s="21" t="s">
        <v>2076</v>
      </c>
      <c r="E379" s="21" t="s">
        <v>593</v>
      </c>
      <c r="F379" s="21" t="s">
        <v>594</v>
      </c>
      <c r="G379" s="21" t="s">
        <v>2077</v>
      </c>
      <c r="H379" s="21" t="s">
        <v>596</v>
      </c>
    </row>
    <row r="380" customFormat="false" ht="23.85" hidden="false" customHeight="false" outlineLevel="0" collapsed="false">
      <c r="A380" s="21" t="s">
        <v>2090</v>
      </c>
      <c r="B380" s="8" t="s">
        <v>2091</v>
      </c>
      <c r="C380" s="21" t="s">
        <v>2092</v>
      </c>
      <c r="D380" s="21" t="s">
        <v>2093</v>
      </c>
      <c r="E380" s="21" t="s">
        <v>593</v>
      </c>
      <c r="F380" s="21" t="s">
        <v>594</v>
      </c>
      <c r="G380" s="21" t="s">
        <v>2094</v>
      </c>
      <c r="H380" s="21" t="s">
        <v>596</v>
      </c>
    </row>
    <row r="381" customFormat="false" ht="23.85" hidden="false" customHeight="false" outlineLevel="0" collapsed="false">
      <c r="A381" s="21" t="s">
        <v>2095</v>
      </c>
      <c r="B381" s="8" t="s">
        <v>2096</v>
      </c>
      <c r="C381" s="21" t="s">
        <v>2097</v>
      </c>
      <c r="D381" s="21" t="s">
        <v>1604</v>
      </c>
      <c r="E381" s="21" t="s">
        <v>593</v>
      </c>
      <c r="F381" s="21" t="s">
        <v>601</v>
      </c>
      <c r="G381" s="21" t="s">
        <v>2094</v>
      </c>
      <c r="H381" s="21" t="s">
        <v>596</v>
      </c>
    </row>
    <row r="382" customFormat="false" ht="15" hidden="false" customHeight="false" outlineLevel="0" collapsed="false">
      <c r="A382" s="21" t="s">
        <v>2098</v>
      </c>
      <c r="B382" s="8" t="s">
        <v>2099</v>
      </c>
      <c r="C382" s="21" t="s">
        <v>2100</v>
      </c>
      <c r="D382" s="21" t="s">
        <v>2101</v>
      </c>
      <c r="E382" s="21" t="s">
        <v>593</v>
      </c>
      <c r="F382" s="21" t="s">
        <v>594</v>
      </c>
      <c r="G382" s="21" t="s">
        <v>2094</v>
      </c>
      <c r="H382" s="21" t="s">
        <v>596</v>
      </c>
    </row>
    <row r="383" customFormat="false" ht="15" hidden="false" customHeight="false" outlineLevel="0" collapsed="false">
      <c r="A383" s="21" t="s">
        <v>2102</v>
      </c>
      <c r="B383" s="8" t="s">
        <v>2103</v>
      </c>
      <c r="C383" s="21" t="s">
        <v>2104</v>
      </c>
      <c r="D383" s="21" t="s">
        <v>2105</v>
      </c>
      <c r="E383" s="21" t="s">
        <v>593</v>
      </c>
      <c r="F383" s="21" t="s">
        <v>601</v>
      </c>
      <c r="G383" s="21" t="s">
        <v>2094</v>
      </c>
      <c r="H383" s="21" t="s">
        <v>627</v>
      </c>
    </row>
    <row r="384" customFormat="false" ht="15" hidden="false" customHeight="false" outlineLevel="0" collapsed="false">
      <c r="A384" s="21" t="s">
        <v>2106</v>
      </c>
      <c r="B384" s="8" t="s">
        <v>2107</v>
      </c>
      <c r="C384" s="21" t="s">
        <v>2108</v>
      </c>
      <c r="D384" s="21" t="s">
        <v>2071</v>
      </c>
      <c r="E384" s="21" t="s">
        <v>593</v>
      </c>
      <c r="F384" s="21" t="s">
        <v>594</v>
      </c>
      <c r="G384" s="21" t="s">
        <v>2109</v>
      </c>
      <c r="H384" s="21" t="s">
        <v>651</v>
      </c>
    </row>
    <row r="385" customFormat="false" ht="23.85" hidden="false" customHeight="false" outlineLevel="0" collapsed="false">
      <c r="A385" s="21" t="s">
        <v>2110</v>
      </c>
      <c r="B385" s="8" t="s">
        <v>2111</v>
      </c>
      <c r="C385" s="21" t="s">
        <v>2112</v>
      </c>
      <c r="D385" s="21" t="s">
        <v>2113</v>
      </c>
      <c r="E385" s="21" t="s">
        <v>593</v>
      </c>
      <c r="F385" s="21" t="s">
        <v>594</v>
      </c>
      <c r="G385" s="21" t="s">
        <v>2114</v>
      </c>
      <c r="H385" s="21" t="s">
        <v>651</v>
      </c>
    </row>
    <row r="386" customFormat="false" ht="23.85" hidden="false" customHeight="false" outlineLevel="0" collapsed="false">
      <c r="A386" s="21" t="s">
        <v>2115</v>
      </c>
      <c r="B386" s="8" t="s">
        <v>2116</v>
      </c>
      <c r="C386" s="21" t="s">
        <v>2117</v>
      </c>
      <c r="D386" s="21" t="s">
        <v>2118</v>
      </c>
      <c r="E386" s="21" t="s">
        <v>593</v>
      </c>
      <c r="F386" s="21" t="s">
        <v>594</v>
      </c>
      <c r="G386" s="21" t="s">
        <v>2119</v>
      </c>
      <c r="H386" s="21" t="s">
        <v>651</v>
      </c>
    </row>
    <row r="387" customFormat="false" ht="23.85" hidden="false" customHeight="false" outlineLevel="0" collapsed="false">
      <c r="A387" s="21" t="s">
        <v>2120</v>
      </c>
      <c r="B387" s="8" t="s">
        <v>2121</v>
      </c>
      <c r="C387" s="21" t="s">
        <v>2122</v>
      </c>
      <c r="D387" s="21" t="s">
        <v>2123</v>
      </c>
      <c r="E387" s="21" t="s">
        <v>593</v>
      </c>
      <c r="F387" s="21" t="s">
        <v>594</v>
      </c>
      <c r="G387" s="21" t="s">
        <v>2119</v>
      </c>
      <c r="H387" s="21" t="s">
        <v>651</v>
      </c>
    </row>
    <row r="388" customFormat="false" ht="23.85" hidden="false" customHeight="false" outlineLevel="0" collapsed="false">
      <c r="A388" s="21" t="s">
        <v>2124</v>
      </c>
      <c r="B388" s="8" t="s">
        <v>2125</v>
      </c>
      <c r="C388" s="21" t="s">
        <v>1283</v>
      </c>
      <c r="D388" s="21" t="s">
        <v>1284</v>
      </c>
      <c r="E388" s="21" t="s">
        <v>593</v>
      </c>
      <c r="F388" s="21" t="s">
        <v>601</v>
      </c>
      <c r="G388" s="21" t="s">
        <v>2119</v>
      </c>
      <c r="H388" s="21" t="s">
        <v>596</v>
      </c>
    </row>
    <row r="389" customFormat="false" ht="15" hidden="false" customHeight="false" outlineLevel="0" collapsed="false">
      <c r="A389" s="21" t="s">
        <v>2126</v>
      </c>
      <c r="B389" s="8" t="s">
        <v>2127</v>
      </c>
      <c r="C389" s="21" t="s">
        <v>2128</v>
      </c>
      <c r="D389" s="21" t="s">
        <v>1277</v>
      </c>
      <c r="E389" s="21" t="s">
        <v>593</v>
      </c>
      <c r="F389" s="21" t="s">
        <v>594</v>
      </c>
      <c r="G389" s="21" t="s">
        <v>2129</v>
      </c>
      <c r="H389" s="21" t="s">
        <v>651</v>
      </c>
    </row>
    <row r="390" customFormat="false" ht="15" hidden="false" customHeight="false" outlineLevel="0" collapsed="false">
      <c r="A390" s="21" t="s">
        <v>2130</v>
      </c>
      <c r="B390" s="8" t="s">
        <v>2131</v>
      </c>
      <c r="C390" s="21" t="s">
        <v>2132</v>
      </c>
      <c r="D390" s="21" t="s">
        <v>1277</v>
      </c>
      <c r="E390" s="21" t="s">
        <v>593</v>
      </c>
      <c r="F390" s="21" t="s">
        <v>594</v>
      </c>
      <c r="G390" s="21" t="s">
        <v>2133</v>
      </c>
      <c r="H390" s="21" t="s">
        <v>651</v>
      </c>
    </row>
    <row r="391" customFormat="false" ht="15" hidden="false" customHeight="false" outlineLevel="0" collapsed="false">
      <c r="A391" s="21" t="s">
        <v>2134</v>
      </c>
      <c r="B391" s="8" t="s">
        <v>2135</v>
      </c>
      <c r="C391" s="21" t="s">
        <v>2136</v>
      </c>
      <c r="D391" s="21" t="s">
        <v>1277</v>
      </c>
      <c r="E391" s="21" t="s">
        <v>593</v>
      </c>
      <c r="F391" s="21" t="s">
        <v>594</v>
      </c>
      <c r="G391" s="21" t="s">
        <v>2129</v>
      </c>
      <c r="H391" s="21" t="s">
        <v>651</v>
      </c>
    </row>
    <row r="392" customFormat="false" ht="15" hidden="false" customHeight="false" outlineLevel="0" collapsed="false">
      <c r="A392" s="21" t="s">
        <v>2137</v>
      </c>
      <c r="B392" s="8" t="s">
        <v>2138</v>
      </c>
      <c r="C392" s="21" t="s">
        <v>2139</v>
      </c>
      <c r="D392" s="21" t="s">
        <v>1277</v>
      </c>
      <c r="E392" s="21" t="s">
        <v>593</v>
      </c>
      <c r="F392" s="21" t="s">
        <v>594</v>
      </c>
      <c r="G392" s="21" t="s">
        <v>2129</v>
      </c>
      <c r="H392" s="21" t="s">
        <v>651</v>
      </c>
    </row>
    <row r="393" customFormat="false" ht="15" hidden="false" customHeight="false" outlineLevel="0" collapsed="false">
      <c r="A393" s="21" t="s">
        <v>2140</v>
      </c>
      <c r="B393" s="8" t="s">
        <v>2141</v>
      </c>
      <c r="C393" s="21" t="s">
        <v>2142</v>
      </c>
      <c r="D393" s="21" t="s">
        <v>2143</v>
      </c>
      <c r="E393" s="21" t="s">
        <v>593</v>
      </c>
      <c r="F393" s="21" t="s">
        <v>601</v>
      </c>
      <c r="G393" s="21" t="s">
        <v>2129</v>
      </c>
      <c r="H393" s="21" t="s">
        <v>627</v>
      </c>
    </row>
    <row r="394" customFormat="false" ht="15" hidden="false" customHeight="false" outlineLevel="0" collapsed="false">
      <c r="A394" s="21" t="s">
        <v>2144</v>
      </c>
      <c r="B394" s="8" t="s">
        <v>2145</v>
      </c>
      <c r="C394" s="21" t="s">
        <v>2146</v>
      </c>
      <c r="D394" s="21" t="s">
        <v>2147</v>
      </c>
      <c r="E394" s="21" t="s">
        <v>593</v>
      </c>
      <c r="F394" s="21" t="s">
        <v>601</v>
      </c>
      <c r="G394" s="21" t="s">
        <v>2129</v>
      </c>
      <c r="H394" s="21" t="s">
        <v>627</v>
      </c>
    </row>
    <row r="395" customFormat="false" ht="15" hidden="false" customHeight="false" outlineLevel="0" collapsed="false">
      <c r="A395" s="21" t="s">
        <v>2148</v>
      </c>
      <c r="B395" s="8" t="s">
        <v>2149</v>
      </c>
      <c r="C395" s="21" t="s">
        <v>2150</v>
      </c>
      <c r="D395" s="21" t="s">
        <v>1277</v>
      </c>
      <c r="E395" s="21" t="s">
        <v>593</v>
      </c>
      <c r="F395" s="21" t="s">
        <v>594</v>
      </c>
      <c r="G395" s="21" t="s">
        <v>2129</v>
      </c>
      <c r="H395" s="21" t="s">
        <v>651</v>
      </c>
    </row>
    <row r="396" customFormat="false" ht="15" hidden="false" customHeight="false" outlineLevel="0" collapsed="false">
      <c r="A396" s="21" t="s">
        <v>2151</v>
      </c>
      <c r="B396" s="8" t="s">
        <v>2152</v>
      </c>
      <c r="C396" s="21" t="s">
        <v>2153</v>
      </c>
      <c r="D396" s="21" t="s">
        <v>1604</v>
      </c>
      <c r="E396" s="21" t="s">
        <v>593</v>
      </c>
      <c r="F396" s="21" t="s">
        <v>594</v>
      </c>
      <c r="G396" s="21" t="s">
        <v>1969</v>
      </c>
      <c r="H396" s="21" t="s">
        <v>596</v>
      </c>
    </row>
    <row r="397" customFormat="false" ht="23.85" hidden="false" customHeight="false" outlineLevel="0" collapsed="false">
      <c r="A397" s="21" t="s">
        <v>2154</v>
      </c>
      <c r="B397" s="8" t="s">
        <v>2155</v>
      </c>
      <c r="C397" s="21" t="s">
        <v>2156</v>
      </c>
      <c r="D397" s="21" t="s">
        <v>2157</v>
      </c>
      <c r="E397" s="21" t="s">
        <v>593</v>
      </c>
      <c r="F397" s="21" t="s">
        <v>594</v>
      </c>
      <c r="G397" s="21" t="s">
        <v>2158</v>
      </c>
      <c r="H397" s="21" t="s">
        <v>627</v>
      </c>
    </row>
    <row r="398" customFormat="false" ht="15" hidden="false" customHeight="false" outlineLevel="0" collapsed="false">
      <c r="A398" s="21" t="s">
        <v>2159</v>
      </c>
      <c r="B398" s="8" t="s">
        <v>2160</v>
      </c>
      <c r="C398" s="21" t="s">
        <v>2161</v>
      </c>
      <c r="D398" s="21" t="s">
        <v>2162</v>
      </c>
      <c r="E398" s="21" t="s">
        <v>593</v>
      </c>
      <c r="F398" s="21" t="s">
        <v>594</v>
      </c>
      <c r="G398" s="21" t="s">
        <v>2163</v>
      </c>
      <c r="H398" s="21" t="s">
        <v>596</v>
      </c>
    </row>
    <row r="399" customFormat="false" ht="15" hidden="false" customHeight="false" outlineLevel="0" collapsed="false">
      <c r="A399" s="21" t="s">
        <v>2164</v>
      </c>
      <c r="B399" s="8" t="s">
        <v>2165</v>
      </c>
      <c r="C399" s="21" t="s">
        <v>2166</v>
      </c>
      <c r="D399" s="21" t="s">
        <v>1304</v>
      </c>
      <c r="E399" s="21" t="s">
        <v>593</v>
      </c>
      <c r="F399" s="21" t="s">
        <v>594</v>
      </c>
      <c r="G399" s="21" t="s">
        <v>2167</v>
      </c>
      <c r="H399" s="21" t="s">
        <v>596</v>
      </c>
    </row>
    <row r="400" customFormat="false" ht="23.85" hidden="false" customHeight="false" outlineLevel="0" collapsed="false">
      <c r="A400" s="21" t="s">
        <v>2168</v>
      </c>
      <c r="B400" s="8" t="s">
        <v>2169</v>
      </c>
      <c r="C400" s="21" t="s">
        <v>2170</v>
      </c>
      <c r="D400" s="21" t="s">
        <v>2171</v>
      </c>
      <c r="E400" s="21" t="s">
        <v>593</v>
      </c>
      <c r="F400" s="21" t="s">
        <v>594</v>
      </c>
      <c r="G400" s="21" t="s">
        <v>2172</v>
      </c>
      <c r="H400" s="21" t="s">
        <v>596</v>
      </c>
    </row>
    <row r="401" customFormat="false" ht="23.85" hidden="false" customHeight="false" outlineLevel="0" collapsed="false">
      <c r="A401" s="21" t="s">
        <v>2173</v>
      </c>
      <c r="B401" s="8" t="s">
        <v>2174</v>
      </c>
      <c r="C401" s="21" t="s">
        <v>2175</v>
      </c>
      <c r="D401" s="21" t="s">
        <v>2176</v>
      </c>
      <c r="E401" s="21" t="s">
        <v>593</v>
      </c>
      <c r="F401" s="21" t="s">
        <v>594</v>
      </c>
      <c r="G401" s="21" t="s">
        <v>2177</v>
      </c>
      <c r="H401" s="21" t="s">
        <v>651</v>
      </c>
    </row>
    <row r="402" customFormat="false" ht="15" hidden="false" customHeight="false" outlineLevel="0" collapsed="false">
      <c r="A402" s="21" t="s">
        <v>2178</v>
      </c>
      <c r="B402" s="8" t="s">
        <v>2179</v>
      </c>
      <c r="C402" s="21" t="s">
        <v>2180</v>
      </c>
      <c r="D402" s="21" t="s">
        <v>2181</v>
      </c>
      <c r="E402" s="21" t="s">
        <v>593</v>
      </c>
      <c r="F402" s="21" t="s">
        <v>594</v>
      </c>
      <c r="G402" s="21" t="s">
        <v>2182</v>
      </c>
      <c r="H402" s="21" t="s">
        <v>651</v>
      </c>
    </row>
    <row r="403" customFormat="false" ht="15" hidden="false" customHeight="false" outlineLevel="0" collapsed="false">
      <c r="A403" s="21" t="s">
        <v>2183</v>
      </c>
      <c r="B403" s="8" t="s">
        <v>2184</v>
      </c>
      <c r="C403" s="21" t="s">
        <v>2185</v>
      </c>
      <c r="D403" s="21" t="s">
        <v>2186</v>
      </c>
      <c r="E403" s="21" t="s">
        <v>593</v>
      </c>
      <c r="F403" s="21" t="s">
        <v>594</v>
      </c>
      <c r="G403" s="21" t="s">
        <v>2187</v>
      </c>
      <c r="H403" s="21" t="s">
        <v>651</v>
      </c>
    </row>
    <row r="404" customFormat="false" ht="23.85" hidden="false" customHeight="false" outlineLevel="0" collapsed="false">
      <c r="A404" s="21" t="s">
        <v>2188</v>
      </c>
      <c r="B404" s="8" t="s">
        <v>2189</v>
      </c>
      <c r="C404" s="21" t="s">
        <v>2190</v>
      </c>
      <c r="D404" s="21" t="s">
        <v>2191</v>
      </c>
      <c r="E404" s="21" t="s">
        <v>593</v>
      </c>
      <c r="F404" s="21" t="s">
        <v>594</v>
      </c>
      <c r="G404" s="21" t="s">
        <v>2192</v>
      </c>
      <c r="H404" s="21" t="s">
        <v>596</v>
      </c>
    </row>
    <row r="405" customFormat="false" ht="15" hidden="false" customHeight="false" outlineLevel="0" collapsed="false">
      <c r="A405" s="21" t="s">
        <v>2193</v>
      </c>
      <c r="B405" s="8" t="s">
        <v>2194</v>
      </c>
      <c r="C405" s="21" t="s">
        <v>2195</v>
      </c>
      <c r="D405" s="21" t="s">
        <v>1008</v>
      </c>
      <c r="E405" s="21" t="s">
        <v>593</v>
      </c>
      <c r="F405" s="21" t="s">
        <v>594</v>
      </c>
      <c r="G405" s="21" t="s">
        <v>2196</v>
      </c>
      <c r="H405" s="21" t="s">
        <v>596</v>
      </c>
    </row>
    <row r="406" customFormat="false" ht="23.85" hidden="false" customHeight="false" outlineLevel="0" collapsed="false">
      <c r="A406" s="21" t="s">
        <v>2197</v>
      </c>
      <c r="B406" s="8" t="s">
        <v>2198</v>
      </c>
      <c r="C406" s="21" t="s">
        <v>2199</v>
      </c>
      <c r="D406" s="21" t="s">
        <v>2200</v>
      </c>
      <c r="E406" s="21" t="s">
        <v>593</v>
      </c>
      <c r="F406" s="21" t="s">
        <v>594</v>
      </c>
      <c r="G406" s="21" t="s">
        <v>2201</v>
      </c>
      <c r="H406" s="21" t="s">
        <v>651</v>
      </c>
    </row>
    <row r="407" customFormat="false" ht="23.85" hidden="false" customHeight="false" outlineLevel="0" collapsed="false">
      <c r="A407" s="21" t="s">
        <v>2202</v>
      </c>
      <c r="B407" s="8" t="s">
        <v>2203</v>
      </c>
      <c r="C407" s="21" t="s">
        <v>2204</v>
      </c>
      <c r="D407" s="21" t="s">
        <v>2205</v>
      </c>
      <c r="E407" s="21" t="s">
        <v>593</v>
      </c>
      <c r="F407" s="21" t="s">
        <v>594</v>
      </c>
      <c r="G407" s="21" t="s">
        <v>2206</v>
      </c>
      <c r="H407" s="21" t="s">
        <v>651</v>
      </c>
    </row>
    <row r="408" customFormat="false" ht="23.85" hidden="false" customHeight="false" outlineLevel="0" collapsed="false">
      <c r="A408" s="21" t="s">
        <v>2207</v>
      </c>
      <c r="B408" s="8" t="s">
        <v>2208</v>
      </c>
      <c r="C408" s="21" t="s">
        <v>2209</v>
      </c>
      <c r="D408" s="21" t="s">
        <v>2210</v>
      </c>
      <c r="E408" s="21" t="s">
        <v>593</v>
      </c>
      <c r="F408" s="21" t="s">
        <v>594</v>
      </c>
      <c r="G408" s="21" t="s">
        <v>2211</v>
      </c>
      <c r="H408" s="21" t="s">
        <v>651</v>
      </c>
    </row>
    <row r="409" customFormat="false" ht="15" hidden="false" customHeight="false" outlineLevel="0" collapsed="false">
      <c r="A409" s="21" t="s">
        <v>2212</v>
      </c>
      <c r="B409" s="8" t="s">
        <v>2213</v>
      </c>
      <c r="C409" s="21" t="s">
        <v>2214</v>
      </c>
      <c r="D409" s="21" t="s">
        <v>2215</v>
      </c>
      <c r="E409" s="21" t="s">
        <v>593</v>
      </c>
      <c r="F409" s="21" t="s">
        <v>594</v>
      </c>
      <c r="G409" s="21" t="s">
        <v>2216</v>
      </c>
      <c r="H409" s="21" t="s">
        <v>651</v>
      </c>
    </row>
    <row r="410" customFormat="false" ht="23.85" hidden="false" customHeight="false" outlineLevel="0" collapsed="false">
      <c r="A410" s="21" t="s">
        <v>2217</v>
      </c>
      <c r="B410" s="8" t="s">
        <v>2218</v>
      </c>
      <c r="C410" s="21" t="s">
        <v>2219</v>
      </c>
      <c r="D410" s="21" t="s">
        <v>2220</v>
      </c>
      <c r="E410" s="21" t="s">
        <v>593</v>
      </c>
      <c r="F410" s="21" t="s">
        <v>594</v>
      </c>
      <c r="G410" s="21" t="s">
        <v>2221</v>
      </c>
      <c r="H410" s="21" t="s">
        <v>596</v>
      </c>
    </row>
    <row r="411" customFormat="false" ht="15" hidden="false" customHeight="false" outlineLevel="0" collapsed="false">
      <c r="A411" s="21" t="s">
        <v>2222</v>
      </c>
      <c r="B411" s="8" t="s">
        <v>2223</v>
      </c>
      <c r="C411" s="21" t="s">
        <v>2224</v>
      </c>
      <c r="D411" s="21" t="s">
        <v>2215</v>
      </c>
      <c r="E411" s="21" t="s">
        <v>593</v>
      </c>
      <c r="F411" s="21" t="s">
        <v>594</v>
      </c>
      <c r="G411" s="21" t="s">
        <v>2225</v>
      </c>
      <c r="H411" s="21" t="s">
        <v>651</v>
      </c>
    </row>
    <row r="412" customFormat="false" ht="15" hidden="false" customHeight="false" outlineLevel="0" collapsed="false">
      <c r="A412" s="21" t="s">
        <v>2226</v>
      </c>
      <c r="B412" s="8" t="s">
        <v>2227</v>
      </c>
      <c r="C412" s="21" t="s">
        <v>2228</v>
      </c>
      <c r="D412" s="21" t="s">
        <v>2229</v>
      </c>
      <c r="E412" s="21" t="s">
        <v>593</v>
      </c>
      <c r="F412" s="21" t="s">
        <v>594</v>
      </c>
      <c r="G412" s="21" t="s">
        <v>2230</v>
      </c>
      <c r="H412" s="21" t="s">
        <v>651</v>
      </c>
    </row>
    <row r="413" customFormat="false" ht="15" hidden="false" customHeight="false" outlineLevel="0" collapsed="false">
      <c r="A413" s="21" t="s">
        <v>2231</v>
      </c>
      <c r="B413" s="8" t="s">
        <v>2232</v>
      </c>
      <c r="C413" s="21" t="s">
        <v>2233</v>
      </c>
      <c r="D413" s="21" t="s">
        <v>2234</v>
      </c>
      <c r="E413" s="21" t="s">
        <v>593</v>
      </c>
      <c r="F413" s="21" t="s">
        <v>594</v>
      </c>
      <c r="G413" s="21" t="s">
        <v>2235</v>
      </c>
      <c r="H413" s="21" t="s">
        <v>596</v>
      </c>
    </row>
    <row r="414" customFormat="false" ht="15" hidden="false" customHeight="false" outlineLevel="0" collapsed="false">
      <c r="A414" s="21" t="s">
        <v>2236</v>
      </c>
      <c r="B414" s="8" t="s">
        <v>2237</v>
      </c>
      <c r="C414" s="21" t="s">
        <v>2238</v>
      </c>
      <c r="D414" s="21" t="s">
        <v>1370</v>
      </c>
      <c r="E414" s="21" t="s">
        <v>593</v>
      </c>
      <c r="F414" s="21" t="s">
        <v>594</v>
      </c>
      <c r="G414" s="21" t="s">
        <v>2239</v>
      </c>
      <c r="H414" s="21" t="s">
        <v>596</v>
      </c>
    </row>
    <row r="415" customFormat="false" ht="23.85" hidden="false" customHeight="false" outlineLevel="0" collapsed="false">
      <c r="A415" s="21" t="s">
        <v>2240</v>
      </c>
      <c r="B415" s="8" t="s">
        <v>2241</v>
      </c>
      <c r="C415" s="21" t="s">
        <v>2242</v>
      </c>
      <c r="D415" s="21" t="s">
        <v>2243</v>
      </c>
      <c r="E415" s="21" t="s">
        <v>593</v>
      </c>
      <c r="F415" s="21" t="s">
        <v>601</v>
      </c>
      <c r="G415" s="21" t="s">
        <v>2244</v>
      </c>
      <c r="H415" s="21" t="s">
        <v>627</v>
      </c>
    </row>
    <row r="416" customFormat="false" ht="23.85" hidden="false" customHeight="false" outlineLevel="0" collapsed="false">
      <c r="A416" s="21" t="s">
        <v>2245</v>
      </c>
      <c r="B416" s="8" t="s">
        <v>2246</v>
      </c>
      <c r="C416" s="21" t="s">
        <v>2247</v>
      </c>
      <c r="D416" s="21" t="s">
        <v>2248</v>
      </c>
      <c r="E416" s="21" t="s">
        <v>593</v>
      </c>
      <c r="F416" s="21" t="s">
        <v>594</v>
      </c>
      <c r="G416" s="21" t="s">
        <v>2249</v>
      </c>
      <c r="H416" s="21" t="s">
        <v>627</v>
      </c>
    </row>
    <row r="417" customFormat="false" ht="23.85" hidden="false" customHeight="false" outlineLevel="0" collapsed="false">
      <c r="A417" s="21" t="s">
        <v>2250</v>
      </c>
      <c r="B417" s="8" t="s">
        <v>2251</v>
      </c>
      <c r="C417" s="21" t="s">
        <v>2252</v>
      </c>
      <c r="D417" s="21" t="s">
        <v>2067</v>
      </c>
      <c r="E417" s="21" t="s">
        <v>593</v>
      </c>
      <c r="F417" s="21" t="s">
        <v>594</v>
      </c>
      <c r="G417" s="21" t="s">
        <v>2253</v>
      </c>
      <c r="H417" s="21" t="s">
        <v>596</v>
      </c>
    </row>
    <row r="418" customFormat="false" ht="23.85" hidden="false" customHeight="false" outlineLevel="0" collapsed="false">
      <c r="A418" s="21" t="s">
        <v>2254</v>
      </c>
      <c r="B418" s="8" t="s">
        <v>2255</v>
      </c>
      <c r="C418" s="21" t="s">
        <v>2256</v>
      </c>
      <c r="D418" s="21" t="s">
        <v>2257</v>
      </c>
      <c r="E418" s="21" t="s">
        <v>593</v>
      </c>
      <c r="F418" s="21" t="s">
        <v>594</v>
      </c>
      <c r="G418" s="21" t="s">
        <v>2258</v>
      </c>
      <c r="H418" s="21" t="s">
        <v>651</v>
      </c>
    </row>
    <row r="419" customFormat="false" ht="15" hidden="false" customHeight="false" outlineLevel="0" collapsed="false">
      <c r="A419" s="21" t="s">
        <v>2259</v>
      </c>
      <c r="B419" s="8" t="s">
        <v>2260</v>
      </c>
      <c r="C419" s="21" t="s">
        <v>2261</v>
      </c>
      <c r="D419" s="21" t="s">
        <v>2262</v>
      </c>
      <c r="E419" s="21" t="s">
        <v>593</v>
      </c>
      <c r="F419" s="21" t="s">
        <v>594</v>
      </c>
      <c r="G419" s="21" t="s">
        <v>2263</v>
      </c>
      <c r="H419" s="21" t="s">
        <v>651</v>
      </c>
    </row>
    <row r="420" customFormat="false" ht="15" hidden="false" customHeight="false" outlineLevel="0" collapsed="false">
      <c r="A420" s="21" t="s">
        <v>2264</v>
      </c>
      <c r="B420" s="8" t="s">
        <v>2265</v>
      </c>
      <c r="C420" s="21" t="s">
        <v>2266</v>
      </c>
      <c r="D420" s="21" t="s">
        <v>2267</v>
      </c>
      <c r="E420" s="21" t="s">
        <v>593</v>
      </c>
      <c r="F420" s="21" t="s">
        <v>594</v>
      </c>
      <c r="G420" s="21" t="s">
        <v>2268</v>
      </c>
      <c r="H420" s="21" t="s">
        <v>651</v>
      </c>
    </row>
    <row r="421" customFormat="false" ht="15" hidden="false" customHeight="false" outlineLevel="0" collapsed="false">
      <c r="A421" s="21" t="s">
        <v>2269</v>
      </c>
      <c r="B421" s="8" t="s">
        <v>2270</v>
      </c>
      <c r="C421" s="21" t="s">
        <v>2271</v>
      </c>
      <c r="D421" s="21" t="s">
        <v>2067</v>
      </c>
      <c r="E421" s="21" t="s">
        <v>593</v>
      </c>
      <c r="F421" s="21" t="s">
        <v>601</v>
      </c>
      <c r="G421" s="21" t="s">
        <v>2272</v>
      </c>
      <c r="H421" s="21" t="s">
        <v>627</v>
      </c>
    </row>
    <row r="422" customFormat="false" ht="15" hidden="false" customHeight="false" outlineLevel="0" collapsed="false">
      <c r="A422" s="21" t="s">
        <v>2273</v>
      </c>
      <c r="B422" s="8" t="s">
        <v>2274</v>
      </c>
      <c r="C422" s="21" t="s">
        <v>2275</v>
      </c>
      <c r="D422" s="21" t="s">
        <v>1304</v>
      </c>
      <c r="E422" s="21" t="s">
        <v>593</v>
      </c>
      <c r="F422" s="21" t="s">
        <v>594</v>
      </c>
      <c r="G422" s="21" t="s">
        <v>2276</v>
      </c>
      <c r="H422" s="21" t="s">
        <v>596</v>
      </c>
    </row>
    <row r="423" customFormat="false" ht="15" hidden="false" customHeight="false" outlineLevel="0" collapsed="false">
      <c r="A423" s="21" t="s">
        <v>2277</v>
      </c>
      <c r="B423" s="8" t="s">
        <v>2278</v>
      </c>
      <c r="C423" s="21" t="s">
        <v>2279</v>
      </c>
      <c r="D423" s="21" t="s">
        <v>1304</v>
      </c>
      <c r="E423" s="21" t="s">
        <v>593</v>
      </c>
      <c r="F423" s="21" t="s">
        <v>594</v>
      </c>
      <c r="G423" s="21" t="s">
        <v>2280</v>
      </c>
      <c r="H423" s="21" t="s">
        <v>596</v>
      </c>
    </row>
    <row r="424" customFormat="false" ht="15" hidden="false" customHeight="false" outlineLevel="0" collapsed="false">
      <c r="A424" s="21" t="s">
        <v>2281</v>
      </c>
      <c r="B424" s="8" t="s">
        <v>2282</v>
      </c>
      <c r="C424" s="21" t="s">
        <v>2283</v>
      </c>
      <c r="D424" s="21" t="s">
        <v>1304</v>
      </c>
      <c r="E424" s="21" t="s">
        <v>593</v>
      </c>
      <c r="F424" s="21" t="s">
        <v>594</v>
      </c>
      <c r="G424" s="21" t="s">
        <v>2284</v>
      </c>
      <c r="H424" s="21" t="s">
        <v>596</v>
      </c>
    </row>
    <row r="425" customFormat="false" ht="23.85" hidden="false" customHeight="false" outlineLevel="0" collapsed="false">
      <c r="A425" s="21" t="s">
        <v>2285</v>
      </c>
      <c r="B425" s="8" t="s">
        <v>2286</v>
      </c>
      <c r="C425" s="21" t="s">
        <v>2287</v>
      </c>
      <c r="D425" s="21" t="s">
        <v>2288</v>
      </c>
      <c r="E425" s="21" t="s">
        <v>593</v>
      </c>
      <c r="F425" s="21" t="s">
        <v>594</v>
      </c>
      <c r="G425" s="21" t="s">
        <v>2289</v>
      </c>
      <c r="H425" s="21" t="s">
        <v>651</v>
      </c>
    </row>
    <row r="426" customFormat="false" ht="23.85" hidden="false" customHeight="false" outlineLevel="0" collapsed="false">
      <c r="A426" s="21" t="s">
        <v>2290</v>
      </c>
      <c r="B426" s="8" t="s">
        <v>2291</v>
      </c>
      <c r="C426" s="21" t="s">
        <v>2292</v>
      </c>
      <c r="D426" s="21" t="s">
        <v>2288</v>
      </c>
      <c r="E426" s="21" t="s">
        <v>593</v>
      </c>
      <c r="F426" s="21" t="s">
        <v>594</v>
      </c>
      <c r="G426" s="21" t="s">
        <v>2293</v>
      </c>
      <c r="H426" s="21" t="s">
        <v>651</v>
      </c>
    </row>
    <row r="427" customFormat="false" ht="23.85" hidden="false" customHeight="false" outlineLevel="0" collapsed="false">
      <c r="A427" s="21" t="s">
        <v>2294</v>
      </c>
      <c r="B427" s="8" t="s">
        <v>2295</v>
      </c>
      <c r="C427" s="21" t="s">
        <v>2296</v>
      </c>
      <c r="D427" s="21" t="s">
        <v>2297</v>
      </c>
      <c r="E427" s="21" t="s">
        <v>593</v>
      </c>
      <c r="F427" s="21" t="s">
        <v>594</v>
      </c>
      <c r="G427" s="21" t="s">
        <v>2298</v>
      </c>
      <c r="H427" s="21" t="s">
        <v>651</v>
      </c>
    </row>
    <row r="428" customFormat="false" ht="15" hidden="false" customHeight="false" outlineLevel="0" collapsed="false">
      <c r="A428" s="21" t="s">
        <v>2299</v>
      </c>
      <c r="B428" s="8" t="s">
        <v>2300</v>
      </c>
      <c r="C428" s="21" t="s">
        <v>2301</v>
      </c>
      <c r="D428" s="21" t="s">
        <v>2302</v>
      </c>
      <c r="E428" s="21" t="s">
        <v>593</v>
      </c>
      <c r="F428" s="21" t="s">
        <v>594</v>
      </c>
      <c r="G428" s="21" t="s">
        <v>2303</v>
      </c>
      <c r="H428" s="21" t="s">
        <v>651</v>
      </c>
    </row>
    <row r="429" customFormat="false" ht="15" hidden="false" customHeight="false" outlineLevel="0" collapsed="false">
      <c r="A429" s="21" t="s">
        <v>2304</v>
      </c>
      <c r="B429" s="8" t="s">
        <v>2305</v>
      </c>
      <c r="C429" s="21" t="s">
        <v>2306</v>
      </c>
      <c r="D429" s="21" t="s">
        <v>2307</v>
      </c>
      <c r="E429" s="21" t="s">
        <v>593</v>
      </c>
      <c r="F429" s="21" t="s">
        <v>594</v>
      </c>
      <c r="G429" s="21" t="s">
        <v>2308</v>
      </c>
      <c r="H429" s="21" t="s">
        <v>651</v>
      </c>
    </row>
    <row r="430" customFormat="false" ht="15" hidden="false" customHeight="false" outlineLevel="0" collapsed="false">
      <c r="A430" s="21" t="s">
        <v>2309</v>
      </c>
      <c r="B430" s="8" t="s">
        <v>2310</v>
      </c>
      <c r="C430" s="21" t="s">
        <v>2311</v>
      </c>
      <c r="D430" s="21" t="s">
        <v>2312</v>
      </c>
      <c r="E430" s="21" t="s">
        <v>593</v>
      </c>
      <c r="F430" s="21" t="s">
        <v>594</v>
      </c>
      <c r="G430" s="21" t="s">
        <v>2313</v>
      </c>
      <c r="H430" s="21" t="s">
        <v>651</v>
      </c>
    </row>
    <row r="431" customFormat="false" ht="15" hidden="false" customHeight="false" outlineLevel="0" collapsed="false">
      <c r="A431" s="21" t="s">
        <v>2314</v>
      </c>
      <c r="B431" s="8" t="s">
        <v>2315</v>
      </c>
      <c r="C431" s="21" t="s">
        <v>2316</v>
      </c>
      <c r="D431" s="21" t="s">
        <v>2317</v>
      </c>
      <c r="E431" s="21" t="s">
        <v>593</v>
      </c>
      <c r="F431" s="21" t="s">
        <v>594</v>
      </c>
      <c r="G431" s="21" t="s">
        <v>2318</v>
      </c>
      <c r="H431" s="21" t="s">
        <v>651</v>
      </c>
    </row>
    <row r="432" customFormat="false" ht="23.85" hidden="false" customHeight="false" outlineLevel="0" collapsed="false">
      <c r="A432" s="21" t="s">
        <v>2319</v>
      </c>
      <c r="B432" s="8" t="s">
        <v>2320</v>
      </c>
      <c r="C432" s="21" t="s">
        <v>2321</v>
      </c>
      <c r="D432" s="21" t="s">
        <v>2322</v>
      </c>
      <c r="E432" s="21" t="s">
        <v>593</v>
      </c>
      <c r="F432" s="21" t="s">
        <v>594</v>
      </c>
      <c r="G432" s="21" t="s">
        <v>2323</v>
      </c>
      <c r="H432" s="21" t="s">
        <v>596</v>
      </c>
    </row>
    <row r="433" customFormat="false" ht="23.85" hidden="false" customHeight="false" outlineLevel="0" collapsed="false">
      <c r="A433" s="21" t="s">
        <v>2324</v>
      </c>
      <c r="B433" s="8" t="s">
        <v>2325</v>
      </c>
      <c r="C433" s="21" t="s">
        <v>2326</v>
      </c>
      <c r="D433" s="21" t="s">
        <v>2327</v>
      </c>
      <c r="E433" s="21" t="s">
        <v>593</v>
      </c>
      <c r="F433" s="21" t="s">
        <v>601</v>
      </c>
      <c r="G433" s="21" t="s">
        <v>2328</v>
      </c>
      <c r="H433" s="21" t="s">
        <v>596</v>
      </c>
    </row>
    <row r="434" customFormat="false" ht="15" hidden="false" customHeight="false" outlineLevel="0" collapsed="false">
      <c r="A434" s="21" t="s">
        <v>2329</v>
      </c>
      <c r="B434" s="8" t="s">
        <v>2330</v>
      </c>
      <c r="C434" s="21" t="s">
        <v>2331</v>
      </c>
      <c r="D434" s="21" t="s">
        <v>1304</v>
      </c>
      <c r="E434" s="21" t="s">
        <v>593</v>
      </c>
      <c r="F434" s="21" t="s">
        <v>594</v>
      </c>
      <c r="G434" s="21" t="s">
        <v>2332</v>
      </c>
      <c r="H434" s="21" t="s">
        <v>596</v>
      </c>
    </row>
    <row r="435" customFormat="false" ht="15" hidden="false" customHeight="false" outlineLevel="0" collapsed="false">
      <c r="A435" s="21" t="s">
        <v>2333</v>
      </c>
      <c r="B435" s="8" t="s">
        <v>2334</v>
      </c>
      <c r="C435" s="21" t="s">
        <v>2335</v>
      </c>
      <c r="D435" s="21" t="s">
        <v>1304</v>
      </c>
      <c r="E435" s="21" t="s">
        <v>593</v>
      </c>
      <c r="F435" s="21" t="s">
        <v>594</v>
      </c>
      <c r="G435" s="21" t="s">
        <v>2336</v>
      </c>
      <c r="H435" s="21" t="s">
        <v>596</v>
      </c>
    </row>
    <row r="436" customFormat="false" ht="15" hidden="false" customHeight="false" outlineLevel="0" collapsed="false">
      <c r="A436" s="21" t="s">
        <v>2337</v>
      </c>
      <c r="B436" s="8" t="s">
        <v>2338</v>
      </c>
      <c r="C436" s="21" t="s">
        <v>2339</v>
      </c>
      <c r="D436" s="21" t="s">
        <v>1277</v>
      </c>
      <c r="E436" s="21" t="s">
        <v>593</v>
      </c>
      <c r="F436" s="21" t="s">
        <v>594</v>
      </c>
      <c r="G436" s="21" t="s">
        <v>2340</v>
      </c>
      <c r="H436" s="21" t="s">
        <v>596</v>
      </c>
    </row>
    <row r="437" customFormat="false" ht="23.85" hidden="false" customHeight="false" outlineLevel="0" collapsed="false">
      <c r="A437" s="21" t="s">
        <v>2341</v>
      </c>
      <c r="B437" s="8" t="s">
        <v>2342</v>
      </c>
      <c r="C437" s="21" t="s">
        <v>2343</v>
      </c>
      <c r="D437" s="21" t="s">
        <v>1382</v>
      </c>
      <c r="E437" s="21" t="s">
        <v>593</v>
      </c>
      <c r="F437" s="21" t="s">
        <v>594</v>
      </c>
      <c r="G437" s="21" t="s">
        <v>2344</v>
      </c>
      <c r="H437" s="21" t="s">
        <v>627</v>
      </c>
    </row>
    <row r="438" customFormat="false" ht="23.85" hidden="false" customHeight="false" outlineLevel="0" collapsed="false">
      <c r="A438" s="21" t="s">
        <v>2345</v>
      </c>
      <c r="B438" s="8" t="s">
        <v>2346</v>
      </c>
      <c r="C438" s="21" t="s">
        <v>2347</v>
      </c>
      <c r="D438" s="21" t="s">
        <v>2348</v>
      </c>
      <c r="E438" s="21" t="s">
        <v>593</v>
      </c>
      <c r="F438" s="21" t="s">
        <v>601</v>
      </c>
      <c r="G438" s="21" t="s">
        <v>2349</v>
      </c>
      <c r="H438" s="21" t="s">
        <v>596</v>
      </c>
    </row>
    <row r="439" customFormat="false" ht="15" hidden="false" customHeight="false" outlineLevel="0" collapsed="false">
      <c r="A439" s="21" t="s">
        <v>2350</v>
      </c>
      <c r="B439" s="8" t="s">
        <v>2351</v>
      </c>
      <c r="C439" s="21" t="s">
        <v>2352</v>
      </c>
      <c r="D439" s="21" t="s">
        <v>1304</v>
      </c>
      <c r="E439" s="21" t="s">
        <v>593</v>
      </c>
      <c r="F439" s="21" t="s">
        <v>594</v>
      </c>
      <c r="G439" s="21" t="s">
        <v>2353</v>
      </c>
      <c r="H439" s="21" t="s">
        <v>596</v>
      </c>
    </row>
    <row r="440" customFormat="false" ht="23.85" hidden="false" customHeight="false" outlineLevel="0" collapsed="false">
      <c r="A440" s="21" t="s">
        <v>2354</v>
      </c>
      <c r="B440" s="8" t="s">
        <v>2355</v>
      </c>
      <c r="C440" s="21" t="s">
        <v>2356</v>
      </c>
      <c r="D440" s="21" t="s">
        <v>2297</v>
      </c>
      <c r="E440" s="21" t="s">
        <v>593</v>
      </c>
      <c r="F440" s="21" t="s">
        <v>594</v>
      </c>
      <c r="G440" s="21" t="s">
        <v>2357</v>
      </c>
      <c r="H440" s="21" t="s">
        <v>651</v>
      </c>
    </row>
    <row r="441" customFormat="false" ht="15" hidden="false" customHeight="false" outlineLevel="0" collapsed="false">
      <c r="A441" s="21" t="s">
        <v>2358</v>
      </c>
      <c r="B441" s="8" t="s">
        <v>2359</v>
      </c>
      <c r="C441" s="21" t="s">
        <v>2360</v>
      </c>
      <c r="D441" s="21" t="s">
        <v>2361</v>
      </c>
      <c r="E441" s="21" t="s">
        <v>593</v>
      </c>
      <c r="F441" s="21" t="s">
        <v>594</v>
      </c>
      <c r="G441" s="21" t="s">
        <v>2362</v>
      </c>
      <c r="H441" s="21" t="s">
        <v>596</v>
      </c>
    </row>
    <row r="442" customFormat="false" ht="15" hidden="false" customHeight="false" outlineLevel="0" collapsed="false">
      <c r="A442" s="21" t="s">
        <v>2363</v>
      </c>
      <c r="B442" s="8" t="s">
        <v>2364</v>
      </c>
      <c r="C442" s="21" t="s">
        <v>2365</v>
      </c>
      <c r="D442" s="21" t="s">
        <v>1304</v>
      </c>
      <c r="E442" s="21" t="s">
        <v>593</v>
      </c>
      <c r="F442" s="21" t="s">
        <v>594</v>
      </c>
      <c r="G442" s="21" t="s">
        <v>2366</v>
      </c>
      <c r="H442" s="21" t="s">
        <v>596</v>
      </c>
    </row>
    <row r="443" customFormat="false" ht="23.85" hidden="false" customHeight="false" outlineLevel="0" collapsed="false">
      <c r="A443" s="21" t="s">
        <v>2367</v>
      </c>
      <c r="B443" s="8" t="s">
        <v>2368</v>
      </c>
      <c r="C443" s="21" t="s">
        <v>2369</v>
      </c>
      <c r="D443" s="21" t="s">
        <v>2370</v>
      </c>
      <c r="E443" s="21" t="s">
        <v>593</v>
      </c>
      <c r="F443" s="21" t="s">
        <v>594</v>
      </c>
      <c r="G443" s="21" t="s">
        <v>2371</v>
      </c>
      <c r="H443" s="21" t="s">
        <v>651</v>
      </c>
    </row>
    <row r="444" customFormat="false" ht="15" hidden="false" customHeight="false" outlineLevel="0" collapsed="false">
      <c r="A444" s="21" t="s">
        <v>2372</v>
      </c>
      <c r="B444" s="8" t="s">
        <v>2373</v>
      </c>
      <c r="C444" s="21" t="s">
        <v>2374</v>
      </c>
      <c r="D444" s="21" t="s">
        <v>2071</v>
      </c>
      <c r="E444" s="21" t="s">
        <v>593</v>
      </c>
      <c r="F444" s="21" t="s">
        <v>594</v>
      </c>
      <c r="G444" s="21" t="s">
        <v>2375</v>
      </c>
      <c r="H444" s="21" t="s">
        <v>651</v>
      </c>
    </row>
    <row r="445" customFormat="false" ht="23.85" hidden="false" customHeight="false" outlineLevel="0" collapsed="false">
      <c r="A445" s="21" t="s">
        <v>2376</v>
      </c>
      <c r="B445" s="8" t="s">
        <v>2377</v>
      </c>
      <c r="C445" s="21" t="s">
        <v>1653</v>
      </c>
      <c r="D445" s="21" t="s">
        <v>1382</v>
      </c>
      <c r="E445" s="21" t="s">
        <v>593</v>
      </c>
      <c r="F445" s="21" t="s">
        <v>601</v>
      </c>
      <c r="G445" s="21" t="s">
        <v>2378</v>
      </c>
      <c r="H445" s="21" t="s">
        <v>627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2026-10-14T18:17:18Z</dcterms:created>
  <dc:creator>openpyxl</dc:creator>
  <dc:description/>
  <dc:language>en-US</dc:language>
  <cp:lastModifiedBy/>
  <dcterms:modified xsi:type="dcterms:W3CDTF">2026-10-14T18:17:18Z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